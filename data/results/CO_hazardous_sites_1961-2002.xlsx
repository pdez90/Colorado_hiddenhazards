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Summary" sheetId="2" state="visible" r:id="rId2"/>
    <sheet name="Hidden sites" sheetId="3" state="visible" r:id="rId3"/>
    <sheet name="All F&amp;E hazardous sites" sheetId="4" state="visible" r:id="rId4"/>
    <sheet name="Extended-sector sites" sheetId="5" state="visible" r:id="rId5"/>
    <sheet name="Coverage by edition" sheetId="6" state="visible" r:id="rId6"/>
  </sheets>
</workbook>
</file>

<file path=xl/sharedStrings.xml><?xml version="1.0" encoding="utf-8"?>
<sst xmlns="http://schemas.openxmlformats.org/spreadsheetml/2006/main" count="21993" uniqueCount="21993">
  <si>
    <t xml:space="preserve">Item</t>
  </si>
  <si>
    <t xml:space="preserve">Description</t>
  </si>
  <si>
    <t xml:space="preserve">Colorado historical hazardous industrial sites, 1961–2002</t>
  </si>
  <si>
    <t xml:space="preserve">Method</t>
  </si>
  <si>
    <t xml:space="preserve">Frickel &amp; Elliott (Sites Unseen, 2018) relic-site approach applied to the Colorado Directory of Manufacturers, 13 editions 1961–2002.</t>
  </si>
  <si>
    <t xml:space="preserve">Hazardous sectors (F&amp;E)</t>
  </si>
  <si>
    <t xml:space="preserve">SIC 28 chemicals, 29 petroleum refining, 30 rubber &amp; plastics, 33 primary metals, 34 fabricated metals, 35 industrial machinery, 37 transportation equipment (NAICS 325, 324, 326, 331, 332, 333, 336 for 1999–2002).</t>
  </si>
  <si>
    <t xml:space="preserve">Extended sectors</t>
  </si>
  <si>
    <t xml:space="preserve">Not in F&amp;E but commonly contaminating: wood preserving 2491, leather tanning 3111, electronic components &amp; circuit boards 3671–3679, batteries 3691–3692, photographic chemicals 3861, metal mining / ore milling 10xx.</t>
  </si>
  <si>
    <t xml:space="preserve">Site</t>
  </si>
  <si>
    <t xml:space="preserve">All directory listings geocoded to street level within 30 m of each other, across all years.</t>
  </si>
  <si>
    <t xml:space="preserve">radar</t>
  </si>
  <si>
    <t xml:space="preserve">Best match to a current inventory: Cleanup / contamination list (EPA SEMS/Superfund, ACRES brownfields, FRS state/federal cleanup programs; CDPHE VCUP, brownfields, Superfund, RCRA corrective action, institutional controls, UMTRA, federal facilities) — matched if within 75 m, inside the site boundary, or same name within 250 m or same address. TRI reporter (100 m or name/address). RCRA hazardous-waste handler (40 m or name/address). Other EPA permit only (40 m or name/address). Not on any list = no match in any of these.</t>
  </si>
  <si>
    <t xml:space="preserve">confidence</t>
  </si>
  <si>
    <t xml:space="preserve">high = street-level geocode AND industry code printed in the directory; medium = one of the two; low = neither (inferred industry and approximate location).</t>
  </si>
  <si>
    <t xml:space="preserve">geo_level</t>
  </si>
  <si>
    <t xml:space="preserve">address = number interpolated on the matching TIGER/Line 2023 street segment; address_approx = OCR-tolerant street match, neighbouring ZIP, or nearest segment end (verify before field work).</t>
  </si>
  <si>
    <t xml:space="preserve">Sources</t>
  </si>
  <si>
    <t xml:space="preserve">Colorado Directory of Manufacturers (scans supplied by user); US EPA Facility Registry Service state file for Colorado (downloaded 16 Oct 2026); EPA TRI facility table (Envirofacts, 16 Oct 2026); CDPHE HMWMD layers, geodata.colorado.gov (16 Oct 2026); US Census TIGER/Line 2023 ADDRFEAT.</t>
  </si>
  <si>
    <t xml:space="preserve">Limits</t>
  </si>
  <si>
    <t xml:space="preserve">OCR errors in names, numbers and ZIPs; 1961–1965 editions have no ZIP codes; 2002 covers only the second half of the alphabet of places (part 1 missing); 1971 and 1985 volumes appear partial; renumbered historical streets fall back to ZIP centroids (listed separately). A site absent from regulatory lists is a candidate for review, not evidence of contamination.</t>
  </si>
  <si>
    <t xml:space="preserve">F&amp;E sites</t>
  </si>
  <si>
    <t xml:space="preserve">share</t>
  </si>
  <si>
    <t xml:space="preserve">high confidence</t>
  </si>
  <si>
    <t xml:space="preserve">medium</t>
  </si>
  <si>
    <t xml:space="preserve">low</t>
  </si>
  <si>
    <t xml:space="preserve">Cleanup / contamination list</t>
  </si>
  <si>
    <t xml:space="preserve">TRI reporter</t>
  </si>
  <si>
    <t xml:space="preserve">RCRA hazardous-waste handler</t>
  </si>
  <si>
    <t xml:space="preserve">Solid waste facility</t>
  </si>
  <si>
    <t xml:space="preserve">Other EPA permit only</t>
  </si>
  <si>
    <t xml:space="preserve">Not on any list</t>
  </si>
  <si>
    <t xml:space="preserve">Total</t>
  </si>
  <si>
    <t xml:space="preserve">Counts recalculate from the All F&amp;E hazardous sites sheet.</t>
  </si>
  <si>
    <t xml:space="preserve">site_id</t>
  </si>
  <si>
    <t xml:space="preserve">address</t>
  </si>
  <si>
    <t xml:space="preserve">city</t>
  </si>
  <si>
    <t xml:space="preserve">county</t>
  </si>
  <si>
    <t xml:space="preserve">zip</t>
  </si>
  <si>
    <t xml:space="preserve">lat</t>
  </si>
  <si>
    <t xml:space="preserve">lon</t>
  </si>
  <si>
    <t xml:space="preserve">fe_sectors</t>
  </si>
  <si>
    <t xml:space="preserve">ext_sectors</t>
  </si>
  <si>
    <t xml:space="preserve">first_year</t>
  </si>
  <si>
    <t xml:space="preserve">last_year</t>
  </si>
  <si>
    <t xml:space="preserve">hazard_years</t>
  </si>
  <si>
    <t xml:space="preserve">n_editions</t>
  </si>
  <si>
    <t xml:space="preserve">n_establishments</t>
  </si>
  <si>
    <t xml:space="preserve">n_hazard_establishments</t>
  </si>
  <si>
    <t xml:space="preserve">earliest_est</t>
  </si>
  <si>
    <t xml:space="preserve">hazard_firms</t>
  </si>
  <si>
    <t xml:space="preserve">all_firms</t>
  </si>
  <si>
    <t xml:space="preserve">industry_evidence</t>
  </si>
  <si>
    <t xml:space="preserve">cleanup_match</t>
  </si>
  <si>
    <t xml:space="preserve">tri_match</t>
  </si>
  <si>
    <t xml:space="preserve">rcra_handler_match</t>
  </si>
  <si>
    <t xml:space="preserve">solid_waste_match</t>
  </si>
  <si>
    <t xml:space="preserve">other_epa_match</t>
  </si>
  <si>
    <t xml:space="preserve">cleanup_nearest</t>
  </si>
  <si>
    <t xml:space="preserve">cleanup_nearest_m</t>
  </si>
  <si>
    <t xml:space="preserve">tri_nearest</t>
  </si>
  <si>
    <t xml:space="preserve">tri_nearest_m</t>
  </si>
  <si>
    <t xml:space="preserve">rcra_handler_nearest</t>
  </si>
  <si>
    <t xml:space="preserve">rcra_handler_nearest_m</t>
  </si>
  <si>
    <t xml:space="preserve">S01322</t>
  </si>
  <si>
    <t xml:space="preserve">high</t>
  </si>
  <si>
    <t xml:space="preserve">4950 E 71ST</t>
  </si>
  <si>
    <t xml:space="preserve">COMMERCE CITY</t>
  </si>
  <si>
    <t xml:space="preserve">Adams</t>
  </si>
  <si>
    <t xml:space="preserve">80022</t>
  </si>
  <si>
    <t xml:space="preserve">Fabricated metals</t>
  </si>
  <si>
    <t xml:space="preserve">1967;1973;1974</t>
  </si>
  <si>
    <t xml:space="preserve">FISCUS FEED MILL EQUIPMENT (1967; SIC 3441) | FISCUS STEEL FABRICATION (1973-1974; SIC 3441)</t>
  </si>
  <si>
    <t xml:space="preserve">FISCUS FEED MILL EQUIPMENT (1967) | FISCUS STEEL FABRICATION (1973)</t>
  </si>
  <si>
    <t xml:space="preserve">printed</t>
  </si>
  <si>
    <t xml:space="preserve">OIL &amp; SOLVENT PROCESS COMPANY (OSCO)</t>
  </si>
  <si>
    <t xml:space="preserve">DREITH AUTO BODY</t>
  </si>
  <si>
    <t xml:space="preserve">S01324</t>
  </si>
  <si>
    <t xml:space="preserve">6931 LOWELL BLVD</t>
  </si>
  <si>
    <t xml:space="preserve">DENVER</t>
  </si>
  <si>
    <t xml:space="preserve">80221</t>
  </si>
  <si>
    <t xml:space="preserve">Fabricated metals; Industrial machinery; Rubber &amp; plastics</t>
  </si>
  <si>
    <t xml:space="preserve">1973;1980;1983;1988</t>
  </si>
  <si>
    <t xml:space="preserve">WOOD LAND PLASTICS, INC (1973; SIC 3079,3544) | REICHERT SCREW MACHINE (1980-1988; SIC 3535,3452,3423) | VELMAR ENGRAVING CO. (1980; SIC 3479,3079,3953)</t>
  </si>
  <si>
    <t xml:space="preserve"> (1967) | WOOD LAND PLASTICS, INC (1973) | REICHERT SCREW MACHINE (1980) | VELMAR ENGRAVING CO. (1980)</t>
  </si>
  <si>
    <t xml:space="preserve">Heffley and Guildner Properties</t>
  </si>
  <si>
    <t xml:space="preserve">CAMP STONE COMPANY, INC.</t>
  </si>
  <si>
    <t xml:space="preserve">S01331</t>
  </si>
  <si>
    <t xml:space="preserve">7711 SHOSHONE</t>
  </si>
  <si>
    <t xml:space="preserve">Chemicals</t>
  </si>
  <si>
    <t xml:space="preserve">1968;1970;1974</t>
  </si>
  <si>
    <t xml:space="preserve">TRUMCC MFG CCRP (1968; SIC 2841,2842) | TRUMCO MFG CORP (1970-1974; SIC 2841,2842)</t>
  </si>
  <si>
    <t xml:space="preserve">5199 LEATHER GOCOS NE C TRUMCO MFG CORP ALAMOSA (1967) | TRUMCC MFG CCRP (1968) | TRUMCO MFG CORP (1970)</t>
  </si>
  <si>
    <t xml:space="preserve">S01336</t>
  </si>
  <si>
    <t xml:space="preserve">16200 E COLFAX</t>
  </si>
  <si>
    <t xml:space="preserve">AURORA</t>
  </si>
  <si>
    <t xml:space="preserve">80011</t>
  </si>
  <si>
    <t xml:space="preserve">Fabricated metals; Petroleum refining</t>
  </si>
  <si>
    <t xml:space="preserve">Asphalt paving mixtures</t>
  </si>
  <si>
    <t xml:space="preserve">1967;1973</t>
  </si>
  <si>
    <t xml:space="preserve">AURORA ASPHALT + PAVING CO (1967; SIC 2951,3444) | AURORA ASPHALT # PAVING CO INC (1973; SIC 2951)</t>
  </si>
  <si>
    <t xml:space="preserve">AURORA ASPHALT + PAVING CO (1967) | AURORA ASPHALT # PAVING CO INC (1973)</t>
  </si>
  <si>
    <t xml:space="preserve">AUTOZONE #802</t>
  </si>
  <si>
    <t xml:space="preserve">S01406</t>
  </si>
  <si>
    <t xml:space="preserve">3600 PECOS</t>
  </si>
  <si>
    <t xml:space="preserve">Fabricated metals; Primary metals; Transportation equipment</t>
  </si>
  <si>
    <t xml:space="preserve">1967;1968</t>
  </si>
  <si>
    <t xml:space="preserve">ALADDIN IRON + STEEL CORP (1967; SIC 3441,3352) | GENERATCR EXCHANGE CC INC (1968; SIC 3714)</t>
  </si>
  <si>
    <t xml:space="preserve">ALADDIN IRON + STEEL CORP (1967) | GENERATCR EXCHANGE CC INC (1968)</t>
  </si>
  <si>
    <t xml:space="preserve">S02176</t>
  </si>
  <si>
    <t xml:space="preserve">8777 BRIGHTON RD</t>
  </si>
  <si>
    <t xml:space="preserve">Industrial machinery; Rubber &amp; plastics; Transportation equipment</t>
  </si>
  <si>
    <t xml:space="preserve">1973;1974;1977;1980</t>
  </si>
  <si>
    <t xml:space="preserve">EMPIRE CORPORATION (1973-1980; SIC 2394,3079,3523) | EMPIRE CORPIRATION (1977; SIC 3161,3523,2394)</t>
  </si>
  <si>
    <t xml:space="preserve">EMPIRE CORPORATION (1973) | EMPIRE CORPIRATION (1977)</t>
  </si>
  <si>
    <t xml:space="preserve">GRAGAR INC</t>
  </si>
  <si>
    <t xml:space="preserve">S02189</t>
  </si>
  <si>
    <t xml:space="preserve">345 S MAIN ST</t>
  </si>
  <si>
    <t xml:space="preserve">BRIGHTON</t>
  </si>
  <si>
    <t xml:space="preserve">80601</t>
  </si>
  <si>
    <t xml:space="preserve">Industrial machinery</t>
  </si>
  <si>
    <t xml:space="preserve">1973</t>
  </si>
  <si>
    <t xml:space="preserve">GUNNISON CATTLE CHUTE MFG INC (1973; SIC 3523)</t>
  </si>
  <si>
    <t xml:space="preserve">GUNNISON CATTLE CHUTE MFG INC (1973)</t>
  </si>
  <si>
    <t xml:space="preserve">S02194</t>
  </si>
  <si>
    <t xml:space="preserve">4905 OLIVE</t>
  </si>
  <si>
    <t xml:space="preserve">Industrial machinery; Transportation equipment</t>
  </si>
  <si>
    <t xml:space="preserve">1973;1974</t>
  </si>
  <si>
    <t xml:space="preserve">ASSOCIATED ENGINEERING + MFG (1973-1974; SIC 2452,2439,3751)</t>
  </si>
  <si>
    <t xml:space="preserve">ASSOCIATED ENGINEERING + MFG (1973)</t>
  </si>
  <si>
    <t xml:space="preserve">BOB SMITH OILS INC</t>
  </si>
  <si>
    <t xml:space="preserve">S02199</t>
  </si>
  <si>
    <t xml:space="preserve">2000 W 60TH AVE</t>
  </si>
  <si>
    <t xml:space="preserve">Rubber &amp; plastics</t>
  </si>
  <si>
    <t xml:space="preserve">1973;1974;1983</t>
  </si>
  <si>
    <t xml:space="preserve">DREW FOAM OF COLO INC (1973-1974; SIC 3079) | DREW FOAM OF COLO INC (1983; SIC 3079)</t>
  </si>
  <si>
    <t xml:space="preserve">DREW FOAM OF COLO INC (1973) | DREW FOAM OF COLO INC (1983)</t>
  </si>
  <si>
    <t xml:space="preserve">60TH AND ALCOTT</t>
  </si>
  <si>
    <t xml:space="preserve">CENTRAL READY MIX, LLC</t>
  </si>
  <si>
    <t xml:space="preserve">S02201</t>
  </si>
  <si>
    <t xml:space="preserve">6425 BRIGHTON BLVD</t>
  </si>
  <si>
    <t xml:space="preserve">Fabricated metals; Industrial machinery</t>
  </si>
  <si>
    <t xml:space="preserve">1973;1974;1980;1988;1990</t>
  </si>
  <si>
    <t xml:space="preserve">EASON SERVICE SYSTEM INC (1973-1990; SIC 3469,3591,3599)</t>
  </si>
  <si>
    <t xml:space="preserve">EASON SERVICE SYSTEM INC (1973)</t>
  </si>
  <si>
    <t xml:space="preserve">GAHAGEN IRON&amp;METAL</t>
  </si>
  <si>
    <t xml:space="preserve">S02208</t>
  </si>
  <si>
    <t xml:space="preserve">4875 NEWPORT</t>
  </si>
  <si>
    <t xml:space="preserve">MAC STEEL, INC (1973-1974; SIC 3448,3441)</t>
  </si>
  <si>
    <t xml:space="preserve">MAC STEEL, INC (1973)</t>
  </si>
  <si>
    <t xml:space="preserve">CDM MACHINING AND FABRICATION</t>
  </si>
  <si>
    <t xml:space="preserve">MESA FIBERGLASS INC</t>
  </si>
  <si>
    <t xml:space="preserve">MARKETING DATA SOLUTIONS, LLC DBA REGION 8 INTERNATIONAL</t>
  </si>
  <si>
    <t xml:space="preserve">S02210</t>
  </si>
  <si>
    <t xml:space="preserve">5750 FAIRFAX</t>
  </si>
  <si>
    <t xml:space="preserve">MULTI-POINT TOOL CORP (1973-1974; SIC 3545)</t>
  </si>
  <si>
    <t xml:space="preserve">MULTI-POINT TOOL CORP (1973)</t>
  </si>
  <si>
    <t xml:space="preserve">TIRE DISTRIBUTION SYSTEMS, INC.</t>
  </si>
  <si>
    <t xml:space="preserve">STEWART &amp; STEVENSON POWER INC</t>
  </si>
  <si>
    <t xml:space="preserve">S02230</t>
  </si>
  <si>
    <t xml:space="preserve">1225 E 70TH</t>
  </si>
  <si>
    <t xml:space="preserve">THORNTON</t>
  </si>
  <si>
    <t xml:space="preserve">80229</t>
  </si>
  <si>
    <t xml:space="preserve">THORTON MACHINE + TOOL CO (1973; SIC 3519,3714)</t>
  </si>
  <si>
    <t xml:space="preserve">THORTON MACHINE + TOOL CO (1973)</t>
  </si>
  <si>
    <t xml:space="preserve">TruStile Properties LLC II</t>
  </si>
  <si>
    <t xml:space="preserve">TRUSTILE DOORS, LLC</t>
  </si>
  <si>
    <t xml:space="preserve">CHASIN DREAMS</t>
  </si>
  <si>
    <t xml:space="preserve">S02237</t>
  </si>
  <si>
    <t xml:space="preserve">11494 EMERSON</t>
  </si>
  <si>
    <t xml:space="preserve">NORTHGLENN</t>
  </si>
  <si>
    <t xml:space="preserve">80233</t>
  </si>
  <si>
    <t xml:space="preserve">S + S ENTERPRISES (1973-1974; SIC 3079,3299)</t>
  </si>
  <si>
    <t xml:space="preserve">S + S ENTERPRISES (1973)</t>
  </si>
  <si>
    <t xml:space="preserve">MALLEY DRIVE ELEMENTARY SCHOOL</t>
  </si>
  <si>
    <t xml:space="preserve">S02240</t>
  </si>
  <si>
    <t xml:space="preserve">7530 STUART ST</t>
  </si>
  <si>
    <t xml:space="preserve">WESTMINSTER</t>
  </si>
  <si>
    <t xml:space="preserve">80030</t>
  </si>
  <si>
    <t xml:space="preserve">MULTIFOAM CO INC (1973; SIC 3079)</t>
  </si>
  <si>
    <t xml:space="preserve">MULTIFOAM CO INC (1973)</t>
  </si>
  <si>
    <t xml:space="preserve">POUSKY</t>
  </si>
  <si>
    <t xml:space="preserve">S02241</t>
  </si>
  <si>
    <t xml:space="preserve">8320 TURNPIKE OR</t>
  </si>
  <si>
    <t xml:space="preserve">NATL WASTE TREATMENT CO INC (1973; SIC 3589)</t>
  </si>
  <si>
    <t xml:space="preserve">NATL WASTE TREATMENT CO INC (1973)</t>
  </si>
  <si>
    <t xml:space="preserve">S02471</t>
  </si>
  <si>
    <t xml:space="preserve">431 W 8TH AVE</t>
  </si>
  <si>
    <t xml:space="preserve">KNERL SHEET METAL INC (1973; SIC 3444)</t>
  </si>
  <si>
    <t xml:space="preserve">KNERL SHEET METAL INC (1973)</t>
  </si>
  <si>
    <t xml:space="preserve">CO  COLLISION CENTER DBA PERRY + TERRY C</t>
  </si>
  <si>
    <t xml:space="preserve">S02748</t>
  </si>
  <si>
    <t xml:space="preserve">7135 NEWTON</t>
  </si>
  <si>
    <t xml:space="preserve">Fabricated metals; Industrial machinery; Primary metals; Rubber &amp; plastics; Transportation equipment</t>
  </si>
  <si>
    <t xml:space="preserve">1974;1980;1983;1988;1990;1992</t>
  </si>
  <si>
    <t xml:space="preserve">HURTT MACHINE AND TOOL (1974-1990; SIC 3591) | MOLD SPECIALTY CO (1974-1990; SIC 3324) | A-1 METAL PRODUCTS (1980-1983; SIC 3446) | GUAR OWN MFG MACHINE SHOP (1980; SIC 3714,3499,3599) | PLASTIC PARTS OUPLICATORS (1980; SIC 3544) | BEL-PRO PRODUCTS (1983; SIC 3699,3551,3599) | PARTS DUPLICATORS (1983; SIC 3544) | SKYLINE MANUFACTURING INC (1983-1990; SIC 3544,3599) | JOSEPH M FORTUNATO (1988-1990; SIC 3599) | ‘CLEVECO PLASIICS (1992; SIC 3089)</t>
  </si>
  <si>
    <t xml:space="preserve">BELLVIEW WOOD PRODUCTS (1974) | HURTT MACHINE AND TOOL (1974) | MOLD SPECIALTY CO (1974) | A-1 METAL PRODUCTS (1980) | GUAR OWN MFG MACHINE SHOP (1980) | PLASTIC PARTS OUPLICATORS (1980) | BEL-PRO PRODUCTS (1983) | PARTS DUPLICATORS (1983) | SKYLINE MANUFACTURING INC (1983) | JOSEPH M FORTUNATO (1988) | ‘CLEVECO PLASIICS (1992)</t>
  </si>
  <si>
    <t xml:space="preserve">WESTMINSTER TOD</t>
  </si>
  <si>
    <t xml:space="preserve">CLEASBY MFG OF DENVER</t>
  </si>
  <si>
    <t xml:space="preserve">S02750</t>
  </si>
  <si>
    <t xml:space="preserve">15592 E BATAVIA DR</t>
  </si>
  <si>
    <t xml:space="preserve">Fabricated metals; Industrial machinery; Transportation equipment</t>
  </si>
  <si>
    <t xml:space="preserve">Electronic components</t>
  </si>
  <si>
    <t xml:space="preserve">1974;1977;1980;1983;1990;1992</t>
  </si>
  <si>
    <t xml:space="preserve">DENVER RECORDING CO INC (1974; SIC 3679) | DOUBLE v ENGINEERING INC (1974; SIC 3799,3751) | RAY SMITH AIR FILTER CO (1977-1980; SIC 3599) | TIGER MFC CO INC (1983; SIC 3432,3494) | FOGG SYSTEM CO INC. (1990-1992; SIC 3679)</t>
  </si>
  <si>
    <t xml:space="preserve">DENVER RECORDING CO INC (1974) | DOUBLE v ENGINEERING INC (1974) | FOGG SYSTEM COMPANY INC (1977) | RAY SMITH AIR FILTER CO (1977) | FOGG SYSTEM COMPANY ING (1980) | COVAULT PRINTING CO (1983) | TIGER MFC CO INC (1983) | COLORADO COMPUTER BROKERS INC (1992) | MCMULLEN SIGN &amp; BANNER: (1992)</t>
  </si>
  <si>
    <t xml:space="preserve">Fitzsimons Promenade</t>
  </si>
  <si>
    <t xml:space="preserve">M&amp;M AUTO RECONDITIONING INC</t>
  </si>
  <si>
    <t xml:space="preserve">S02776</t>
  </si>
  <si>
    <t xml:space="preserve">1001 DAKIN</t>
  </si>
  <si>
    <t xml:space="preserve">1974</t>
  </si>
  <si>
    <t xml:space="preserve">NOVA ENGRAVING CO (1974; SIC 3479)</t>
  </si>
  <si>
    <t xml:space="preserve">NOVA ENGRAVING CO (1974)</t>
  </si>
  <si>
    <t xml:space="preserve">S02781</t>
  </si>
  <si>
    <t xml:space="preserve">9966 LOGAN</t>
  </si>
  <si>
    <t xml:space="preserve">CONTROL PROCUCTS INC (1974; SIC 2831)</t>
  </si>
  <si>
    <t xml:space="preserve">CONTROL PROCUCTS INC (1974) | ALAMOSA (1977)</t>
  </si>
  <si>
    <t xml:space="preserve">GANDER MOUNTAIN #421</t>
  </si>
  <si>
    <t xml:space="preserve">S02929</t>
  </si>
  <si>
    <t xml:space="preserve">981 E 64TH AVE</t>
  </si>
  <si>
    <t xml:space="preserve">Fabricated metals; Transportation equipment</t>
  </si>
  <si>
    <t xml:space="preserve">1974;1980</t>
  </si>
  <si>
    <t xml:space="preserve">LIFETIME FEACE CO (1974; SIC 2499,3496) | MITCHELL AND SONS INC (1980; SIC 3792,2452)</t>
  </si>
  <si>
    <t xml:space="preserve">LIFETIME FEACE CO (1974) | MITCHELL AND SONS INC (1980)</t>
  </si>
  <si>
    <t xml:space="preserve">CARDINAL INDL FINISHES INC</t>
  </si>
  <si>
    <t xml:space="preserve">DIAGNOSTIC IMAGING INCORPORATED</t>
  </si>
  <si>
    <t xml:space="preserve">S03181</t>
  </si>
  <si>
    <t xml:space="preserve">21 N 1ST AVE</t>
  </si>
  <si>
    <t xml:space="preserve">1977</t>
  </si>
  <si>
    <t xml:space="preserve">BRIGHTON SENTINEL (1977; SIC 2711,3523)</t>
  </si>
  <si>
    <t xml:space="preserve">BRIGHTON SENTINEL (1977)</t>
  </si>
  <si>
    <t xml:space="preserve">CARQUEST AUTO PARTS</t>
  </si>
  <si>
    <t xml:space="preserve">S03190</t>
  </si>
  <si>
    <t xml:space="preserve">4540 E 60 AVE</t>
  </si>
  <si>
    <t xml:space="preserve">Fabricated metals; Industrial machinery; Primary metals</t>
  </si>
  <si>
    <t xml:space="preserve">1977;1983;1988;1990</t>
  </si>
  <si>
    <t xml:space="preserve">SCHMIDT ENVIRONMENTAL ARODUCTS (1977; SIC 3433,3589) | SCHMIDT INCINERATOR CO (1977; SIC 3441) | ANDERSON INDUSTRIES» INC (1983-1990; SIC 3272,3446,3441) | CHRISTMAS CARDS ANDERSON INDUSTRIES (1988; SIC 3441)</t>
  </si>
  <si>
    <t xml:space="preserve">SCHMIDT ENVIRONMENTAL ARODUCTS (1977) | SCHMIDT INCINERATOR CO (1977) | ANDERSON INDUSTRIES» INC (1983) | CHRISTMAS CARDS ANDERSON INDUSTRIES (1988)</t>
  </si>
  <si>
    <t xml:space="preserve">DEXTER &amp; 60TH</t>
  </si>
  <si>
    <t xml:space="preserve">4545 E 60TH AVE COMMERCE CITY CO</t>
  </si>
  <si>
    <t xml:space="preserve">S03572</t>
  </si>
  <si>
    <t xml:space="preserve">12801 BRIGHTON RD</t>
  </si>
  <si>
    <t xml:space="preserve">1980;1988;1990</t>
  </si>
  <si>
    <t xml:space="preserve">BROMLEY MACHINE COMPANY (1980-1990; SIC 3591)</t>
  </si>
  <si>
    <t xml:space="preserve">BROMLEY MACHINE COMPANY (1980)</t>
  </si>
  <si>
    <t xml:space="preserve">S03595</t>
  </si>
  <si>
    <t xml:space="preserve">2890 W 62ND AYE</t>
  </si>
  <si>
    <t xml:space="preserve">1980;1988;1992</t>
  </si>
  <si>
    <t xml:space="preserve">ARROW SHEET METAL PRODUCTS CO (1980-1992; SIC 3444) | BREBU CHESS METAL (1988; SIC 3444)</t>
  </si>
  <si>
    <t xml:space="preserve">ARROW SHEET METAL PRODUCTS CO (1980) | BREBU CHESS METAL (1988)</t>
  </si>
  <si>
    <t xml:space="preserve">PIONEER MOBILE HOME PARK</t>
  </si>
  <si>
    <t xml:space="preserve">S03623</t>
  </si>
  <si>
    <t xml:space="preserve">12850 E 112TH AVE</t>
  </si>
  <si>
    <t xml:space="preserve">HENDERSON</t>
  </si>
  <si>
    <t xml:space="preserve">80640</t>
  </si>
  <si>
    <t xml:space="preserve">1980</t>
  </si>
  <si>
    <t xml:space="preserve">CONDOR ENGINEERING * MANUFACTURING INC (1980; SIC 3533)</t>
  </si>
  <si>
    <t xml:space="preserve">CONDOR ENGINEERING * MANUFACTURING INC (1980)</t>
  </si>
  <si>
    <t xml:space="preserve">S04175</t>
  </si>
  <si>
    <t xml:space="preserve">6051 W 95TH AVE</t>
  </si>
  <si>
    <t xml:space="preserve">R E B PRODUCTS INC (1980; SIC 3599)</t>
  </si>
  <si>
    <t xml:space="preserve">R E B PRODUCTS INC (1980) | TREND HOMES (1983) | TREND HOMES SEPPERSON (1988)</t>
  </si>
  <si>
    <t xml:space="preserve">S04434</t>
  </si>
  <si>
    <t xml:space="preserve">14303 E MONCRIEFF</t>
  </si>
  <si>
    <t xml:space="preserve">1983</t>
  </si>
  <si>
    <t xml:space="preserve">KRESTMARK INDUSTRIES OF COLORADG (1983; SIC 3442)</t>
  </si>
  <si>
    <t xml:space="preserve">KRESTMARK INDUSTRIES OF COLORADG (1983)</t>
  </si>
  <si>
    <t xml:space="preserve">BEMIS PACKAGING MACHINERY CO</t>
  </si>
  <si>
    <t xml:space="preserve">S04437</t>
  </si>
  <si>
    <t xml:space="preserve">1790 JASPER ST</t>
  </si>
  <si>
    <t xml:space="preserve">Chemicals; Industrial machinery</t>
  </si>
  <si>
    <t xml:space="preserve">1983;1988;1990</t>
  </si>
  <si>
    <t xml:space="preserve">RAY SMITH AIR FILTER INC (1983-1988; SIC 3564) | RAY SMITH AIR FILTER INC (1990; SIC 3564)</t>
  </si>
  <si>
    <t xml:space="preserve">RAY SMITH AIR FILTER INC (1983) | BROCK SIGNS (1990) | RAY SMITH AIR FILTER INC (1990)</t>
  </si>
  <si>
    <t xml:space="preserve">ENVIRO HEALTH RESEARCH &amp; TSTN</t>
  </si>
  <si>
    <t xml:space="preserve">S04447</t>
  </si>
  <si>
    <t xml:space="preserve">4950 OLIVE ST</t>
  </si>
  <si>
    <t xml:space="preserve">GAS ENGINEERING SERVICES INC (1983; SIC 3563,3561,3621)</t>
  </si>
  <si>
    <t xml:space="preserve">GAS ENGINEERING SERVICES INC (1983)</t>
  </si>
  <si>
    <t xml:space="preserve">SINGLE SOURCE INC</t>
  </si>
  <si>
    <t xml:space="preserve">S04476</t>
  </si>
  <si>
    <t xml:space="preserve">9800 E 96TH AVE</t>
  </si>
  <si>
    <t xml:space="preserve">Petroleum refining</t>
  </si>
  <si>
    <t xml:space="preserve">1983;1988</t>
  </si>
  <si>
    <t xml:space="preserve">DAKOLIGS CONSTRUCTION CO INC D/B/A/ (1983; SIC 2951) | AGGREGATE+CONCRETE D.B.A.-DAKOLIOS ASPHALT PAVING (1988; SIC 2951,3295)</t>
  </si>
  <si>
    <t xml:space="preserve">DAKOLIGS CONSTRUCTION CO INC D/B/A/ (1983) | AGGREGATE+CONCRETE D.B.A.-DAKOLIOS ASPHALT PAVING (1988)</t>
  </si>
  <si>
    <t xml:space="preserve">COLORADO ANALYTICAL LABORATORIES INC</t>
  </si>
  <si>
    <t xml:space="preserve">S04477</t>
  </si>
  <si>
    <t xml:space="preserve">12202 BRIGHTON RD</t>
  </si>
  <si>
    <t xml:space="preserve">HENDERSON MANUFACTURING CO (1983-1990; SIC 3444,3431) | BARRELS KOOLON CORP (1988; SIC 3792) | KOOLON CORP (1990; SIC 3792)</t>
  </si>
  <si>
    <t xml:space="preserve">HENDERSON MANUFACTURING CO (1983) | BARRELS KOOLON CORP (1988) | KOOLON CORP (1990)</t>
  </si>
  <si>
    <t xml:space="preserve">S04480</t>
  </si>
  <si>
    <t xml:space="preserve">10983 LEROY OR</t>
  </si>
  <si>
    <t xml:space="preserve">1983;1990</t>
  </si>
  <si>
    <t xml:space="preserve">NEXUS CORPORATION (1983-1990; SIC 3448)</t>
  </si>
  <si>
    <t xml:space="preserve">NEXUS CORPORATION (1983)</t>
  </si>
  <si>
    <t xml:space="preserve">ATLAS ROOFING CORPORATION</t>
  </si>
  <si>
    <t xml:space="preserve">O'MERA FLEET SERVICES</t>
  </si>
  <si>
    <t xml:space="preserve">S04481</t>
  </si>
  <si>
    <t xml:space="preserve">11060 IRMA ORIVE</t>
  </si>
  <si>
    <t xml:space="preserve">PRECISION PLASTICS CORP (1983; SIC 3079,3642) | BAXTER PHARMASEAL (1988; SIC 3089,3842)</t>
  </si>
  <si>
    <t xml:space="preserve">PRECISION PLASTICS CORP (1983) | BAXTER PHARMASEAL (1988)</t>
  </si>
  <si>
    <t xml:space="preserve">CARSTAR IDEAL NORTHGLENN</t>
  </si>
  <si>
    <t xml:space="preserve">S04744</t>
  </si>
  <si>
    <t xml:space="preserve">4920 ALCOTT ST</t>
  </si>
  <si>
    <t xml:space="preserve">O + A MACHINE TOOL INC. (1983; SIC 3429,3599,3842)</t>
  </si>
  <si>
    <t xml:space="preserve">O + A MACHINE TOOL INC. (1983)</t>
  </si>
  <si>
    <t xml:space="preserve">HUD CLEANUP ENVIRONET INC</t>
  </si>
  <si>
    <t xml:space="preserve">S05295</t>
  </si>
  <si>
    <t xml:space="preserve">684 DEARBORN ST</t>
  </si>
  <si>
    <t xml:space="preserve">1988;1990</t>
  </si>
  <si>
    <t xml:space="preserve">EDUCATIONAL SOPTWAR LIGHT TOUCH (1988; SIC 3479,3983) | LIGHT TOUCH (1990; SIC 3479)</t>
  </si>
  <si>
    <t xml:space="preserve">EDUCATIONAL SOPTWAR LIGHT TOUCH (1988) | LIGHT TOUCH (1990)</t>
  </si>
  <si>
    <t xml:space="preserve">S05386</t>
  </si>
  <si>
    <t xml:space="preserve">1150 BRIGHTON RD</t>
  </si>
  <si>
    <t xml:space="preserve">Transportation equipment</t>
  </si>
  <si>
    <t xml:space="preserve">MANUFACTURIN HALLMARK MFG INC (1988; SIC 2451,3792) | HALLMARK MANUFACTURING INC (1990; SIC 2451,3792)</t>
  </si>
  <si>
    <t xml:space="preserve">MANUFACTURIN HALLMARK MFG INC (1988) | HALLMARK MANUFACTURING INC (1990)</t>
  </si>
  <si>
    <t xml:space="preserve">S05515</t>
  </si>
  <si>
    <t xml:space="preserve">8570 VALENTIA ST</t>
  </si>
  <si>
    <t xml:space="preserve">1988;1990;1992</t>
  </si>
  <si>
    <t xml:space="preserve">CDM MACHINING+FABRICATI (1988-1992; SIC 3689,3564)</t>
  </si>
  <si>
    <t xml:space="preserve">CDM MACHINING+FABRICATI (1988)</t>
  </si>
  <si>
    <t xml:space="preserve">S05549</t>
  </si>
  <si>
    <t xml:space="preserve">5897 LOWELL BLVD</t>
  </si>
  <si>
    <t xml:space="preserve">1988</t>
  </si>
  <si>
    <t xml:space="preserve">AMERICAN AIR DUCT (1988; SIC 3444)</t>
  </si>
  <si>
    <t xml:space="preserve">AMERICAN AIR DUCT (1988)</t>
  </si>
  <si>
    <t xml:space="preserve">S05551</t>
  </si>
  <si>
    <t xml:space="preserve">2892 W 64TH AVE</t>
  </si>
  <si>
    <t xml:space="preserve">AMERICAN PORTABLE BUILDING CORP (1988-1990; SIC 2452,2541,2542)</t>
  </si>
  <si>
    <t xml:space="preserve">AMERICAN PORTABLE BUILDING CORP (1988)</t>
  </si>
  <si>
    <t xml:space="preserve">COMPLETE AUTO BODY &amp; PAINT - 2855 W 64TH</t>
  </si>
  <si>
    <t xml:space="preserve">S05633</t>
  </si>
  <si>
    <t xml:space="preserve">7766 DURANGO</t>
  </si>
  <si>
    <t xml:space="preserve">MACHINE SERVICE CO (1988; SIC 3423,3499)</t>
  </si>
  <si>
    <t xml:space="preserve">MACHINE SERVICE CO (1988)</t>
  </si>
  <si>
    <t xml:space="preserve">ADVENTURE ELEMENTARY SCHOOL</t>
  </si>
  <si>
    <t xml:space="preserve">S06082</t>
  </si>
  <si>
    <t xml:space="preserve">12951 JOSEPHINE CT</t>
  </si>
  <si>
    <t xml:space="preserve">80241</t>
  </si>
  <si>
    <t xml:space="preserve">SPEORERE:: OOL (1988; SIC 3563)</t>
  </si>
  <si>
    <t xml:space="preserve">SPEORERE:: OOL (1988)</t>
  </si>
  <si>
    <t xml:space="preserve">S06095</t>
  </si>
  <si>
    <t xml:space="preserve">3181 W 95TH AVE</t>
  </si>
  <si>
    <t xml:space="preserve">LITTLE MITE MFG CO (1988; SIC 3949,3549)</t>
  </si>
  <si>
    <t xml:space="preserve">LITTLE MITE MFG CO (1988) | UTTLE MITE MANUFACTURING CO INC (1992)</t>
  </si>
  <si>
    <t xml:space="preserve">HOLLY PARK SUBDIVISION</t>
  </si>
  <si>
    <t xml:space="preserve">AUTOZONE #833</t>
  </si>
  <si>
    <t xml:space="preserve">S06221</t>
  </si>
  <si>
    <t xml:space="preserve">325 WALNUT ST</t>
  </si>
  <si>
    <t xml:space="preserve">1990</t>
  </si>
  <si>
    <t xml:space="preserve">DH CRAW INC (1990; SIC 3599)</t>
  </si>
  <si>
    <t xml:space="preserve">DH CRAW INC (1990) | JOSE'S OF BRIGHTON (1990)</t>
  </si>
  <si>
    <t xml:space="preserve">238 NORTH MAIN STREET</t>
  </si>
  <si>
    <t xml:space="preserve">S06334</t>
  </si>
  <si>
    <t xml:space="preserve">5775 EUDORA ST</t>
  </si>
  <si>
    <t xml:space="preserve">1990;1992</t>
  </si>
  <si>
    <t xml:space="preserve">INDUSTRIAL MFG + INSTALLATION INC (1990; SIC 3535,3441) | MINC (1992; SIC 3535)</t>
  </si>
  <si>
    <t xml:space="preserve">INDUSTRIAL MFG + INSTALLATION INC (1990) | MINC (1992)</t>
  </si>
  <si>
    <t xml:space="preserve">CECCO</t>
  </si>
  <si>
    <t xml:space="preserve">S06335</t>
  </si>
  <si>
    <t xml:space="preserve">6865 E 49TH AVE</t>
  </si>
  <si>
    <t xml:space="preserve">MFG + ASSURANCE TECHNOLOGIES INC (1990; SIC 3444,3469,3496) | METAL PRODUCT TECHNOLOGIES INC (1992; SIC 3444,3714,3499)</t>
  </si>
  <si>
    <t xml:space="preserve">MFG + ASSURANCE TECHNOLOGIES INC (1990) | METAL PRODUCT TECHNOLOGIES INC (1992)</t>
  </si>
  <si>
    <t xml:space="preserve">SUTRAK CORPORATION</t>
  </si>
  <si>
    <t xml:space="preserve">S06411</t>
  </si>
  <si>
    <t xml:space="preserve">565 E 70TH AVE NO 3 W</t>
  </si>
  <si>
    <t xml:space="preserve">FAUSTSON TOOL CORP (1990-1992; SIC 3544)</t>
  </si>
  <si>
    <t xml:space="preserve">FAUSTSON TOOL CORP (1990) | ABBEY MANUFACTURING + SUPPLY LTD (1990)</t>
  </si>
  <si>
    <t xml:space="preserve">CONCRETE WEST INC</t>
  </si>
  <si>
    <t xml:space="preserve">S06422</t>
  </si>
  <si>
    <t xml:space="preserve">9831 ADAMS ST</t>
  </si>
  <si>
    <t xml:space="preserve">HAWTHORNE TREATMENT SYSTEMS INC (1990; SIC 3589)</t>
  </si>
  <si>
    <t xml:space="preserve">HAWTHORNE TREATMENT SYSTEMS INC (1990)</t>
  </si>
  <si>
    <t xml:space="preserve">S01656</t>
  </si>
  <si>
    <t xml:space="preserve">915 6TH</t>
  </si>
  <si>
    <t xml:space="preserve">ALAMOSA</t>
  </si>
  <si>
    <t xml:space="preserve">Alamosa</t>
  </si>
  <si>
    <t xml:space="preserve">81101</t>
  </si>
  <si>
    <t xml:space="preserve">1977;1980;1983;1990;1992</t>
  </si>
  <si>
    <t xml:space="preserve">VAN*S MACHINE SHOP (1977-1992; SIC 3714,3599) | VAN-OLSON INC (1990; SIC 3599,3714)</t>
  </si>
  <si>
    <t xml:space="preserve">RCYAL CROWN-DR PEPPER BOTILING CO (1968) | VAN*S MACHINE SHOP (1977) | VAN-OLSON INC (1990)</t>
  </si>
  <si>
    <t xml:space="preserve">VALLEY COLLISION AND  KUSTOM PAINTING INC</t>
  </si>
  <si>
    <t xml:space="preserve">S00045</t>
  </si>
  <si>
    <t xml:space="preserve">5300 S DELAWARE</t>
  </si>
  <si>
    <t xml:space="preserve">LITTLETON</t>
  </si>
  <si>
    <t xml:space="preserve">Arapahoe</t>
  </si>
  <si>
    <t xml:space="preserve">1967</t>
  </si>
  <si>
    <t xml:space="preserve">CUSTOM BUILT CONTROLS DIV OF METRON (1967; SIC 3622,3566) | METRON INSTRUMENTS INC (1967; SIC 3821,3714,3662)</t>
  </si>
  <si>
    <t xml:space="preserve">METRON INSTRUMENT, INC. (1965) | CUSTOM BUILT CONTROLS OIV OF METRON (1966)</t>
  </si>
  <si>
    <t xml:space="preserve">CHERRELYN HEALTHCARE CENTER</t>
  </si>
  <si>
    <t xml:space="preserve">S00610</t>
  </si>
  <si>
    <t xml:space="preserve">4168 S BROADWAY</t>
  </si>
  <si>
    <t xml:space="preserve">ENGLEWOOD</t>
  </si>
  <si>
    <t xml:space="preserve">80110</t>
  </si>
  <si>
    <t xml:space="preserve">Chemicals; Transportation equipment</t>
  </si>
  <si>
    <t xml:space="preserve">4533 (1967; SIC 2024,2429,2822)</t>
  </si>
  <si>
    <t xml:space="preserve">ALLEN CREAMERLES INC R J LEIKAM ve (1966) | -4533 (1967) | ELECTRO MECHANICAL R * C CORP (EMRAD) (1974) | FRONTIER FOODS INC (1974)</t>
  </si>
  <si>
    <t xml:space="preserve">AUTO BODY &amp; PAINT CTR</t>
  </si>
  <si>
    <t xml:space="preserve">S00634</t>
  </si>
  <si>
    <t xml:space="preserve">3600 S JASON</t>
  </si>
  <si>
    <t xml:space="preserve">1966;1967;1968;1970;1973</t>
  </si>
  <si>
    <t xml:space="preserve">TWENTIETH CENTURY PRODUCTION CORP (1966-1973; SIC 3079) | POLYCO INC (1967; SIC 3079) | PLASTIC ENGINEERING + MFG CORP INC (1970; SIC 3079)</t>
  </si>
  <si>
    <t xml:space="preserve">TWENTIETH CENTURY PRODUCTION CORP (1966) | POLYCO INC (1967) | PLASTIC ENGINEERING + MFG CORP INC (1970) | ELITE COUNTERTOPS (1980) | CUSHION WORLD (1990)</t>
  </si>
  <si>
    <t xml:space="preserve">HomeBase</t>
  </si>
  <si>
    <t xml:space="preserve">MONTGOMERY WARD #1012</t>
  </si>
  <si>
    <t xml:space="preserve">S01337</t>
  </si>
  <si>
    <t xml:space="preserve">2245 S RARITAN ST</t>
  </si>
  <si>
    <t xml:space="preserve">1967;1970</t>
  </si>
  <si>
    <t xml:space="preserve">BARTON BROS INC (1967-1970; SIC 3444)</t>
  </si>
  <si>
    <t xml:space="preserve">BARTON BROS INC (1967)</t>
  </si>
  <si>
    <t xml:space="preserve">MODERN PLASTICS INC</t>
  </si>
  <si>
    <t xml:space="preserve">TIORCO INC</t>
  </si>
  <si>
    <t xml:space="preserve">S01344</t>
  </si>
  <si>
    <t xml:space="preserve">3620 S HURON ST</t>
  </si>
  <si>
    <t xml:space="preserve">1973;1980;1983;1988;1990</t>
  </si>
  <si>
    <t xml:space="preserve">DELLTRONICS INC (1973-1990; SIC 3566,3622,3679)</t>
  </si>
  <si>
    <t xml:space="preserve">DELLTRONICS INC (1967)</t>
  </si>
  <si>
    <t xml:space="preserve">KUMAR &amp; ASSOCIATES INC</t>
  </si>
  <si>
    <t xml:space="preserve">S01346</t>
  </si>
  <si>
    <t xml:space="preserve">3555 S SANTA FE DR</t>
  </si>
  <si>
    <t xml:space="preserve">DORSEY-MC COE DISTRIBUTION INC (1967-1968; SIC 3551)</t>
  </si>
  <si>
    <t xml:space="preserve">DORSEY-MC COE DISTRIBUTION INC (1967) | HOLIDAY FOODS, INC (1968) | CARBS ART GLASS STUCIC (1974) |  (1977)</t>
  </si>
  <si>
    <t xml:space="preserve">River Point at sheridan Texas road house</t>
  </si>
  <si>
    <t xml:space="preserve">EUGENES AUTO BODY</t>
  </si>
  <si>
    <t xml:space="preserve">S01981</t>
  </si>
  <si>
    <t xml:space="preserve">7014 S KENDALL CT</t>
  </si>
  <si>
    <t xml:space="preserve">80120</t>
  </si>
  <si>
    <t xml:space="preserve">COLORADO CEVELOPMENT LABSy INC (1973; SIC 3841,3079,3679)</t>
  </si>
  <si>
    <t xml:space="preserve">COLORADO DEVELOPMENT LABSe INC (1970) | COLORADO CEVELOPMENT LABSy INC (1973)</t>
  </si>
  <si>
    <t xml:space="preserve">S02183</t>
  </si>
  <si>
    <t xml:space="preserve">3171 OAKLAND</t>
  </si>
  <si>
    <t xml:space="preserve">80010</t>
  </si>
  <si>
    <t xml:space="preserve">1973;1974;1977;1980;1983;1990</t>
  </si>
  <si>
    <t xml:space="preserve">CLIMAX METAL FABRICATORS, INC (1973-1983; SIC 3444) | CLIMAX METAL FABRICATORS INC (1990; SIC 3444)</t>
  </si>
  <si>
    <t xml:space="preserve">CLIMAX METAL FABRICATORS, INC (1973) | CLIMAX METAL FABRICATORS INC (1990)</t>
  </si>
  <si>
    <t xml:space="preserve">Pull-n-Save</t>
  </si>
  <si>
    <t xml:space="preserve">FLINT INC CORPORATION</t>
  </si>
  <si>
    <t xml:space="preserve">S02185</t>
  </si>
  <si>
    <t xml:space="preserve">15544 E BATAVIA DR</t>
  </si>
  <si>
    <t xml:space="preserve">KOOL METAL OF COLORADO, INC (1973; SIC 3448,3442,3444)</t>
  </si>
  <si>
    <t xml:space="preserve">KOOL METAL OF COLORADO, INC (1973) | ES R CUSTOMS (1983)</t>
  </si>
  <si>
    <t xml:space="preserve">S02274</t>
  </si>
  <si>
    <t xml:space="preserve">2920 S VALLEJO</t>
  </si>
  <si>
    <t xml:space="preserve">1973;1977;1980;1983;1988;1990</t>
  </si>
  <si>
    <t xml:space="preserve">INLY TNDUSTRIES INC NEIL LANE MKTG DIR (1973; SIC 3591) | THLY INDUSTRIES INC (1977-1990; SIC 3699,3544,3599)</t>
  </si>
  <si>
    <t xml:space="preserve">INLY TNDUSTRIES INC NEIL LANE MKTG DIR (1973) | THLY INDUSTRIES INC (1977)</t>
  </si>
  <si>
    <t xml:space="preserve">2960 SOUTH UMATILLA STREET</t>
  </si>
  <si>
    <t xml:space="preserve">NATIONAL WIRE &amp; STAMPING INC DBA ACCELLENT</t>
  </si>
  <si>
    <t xml:space="preserve">STANDLEY CIRCUITS</t>
  </si>
  <si>
    <t xml:space="preserve">S02275</t>
  </si>
  <si>
    <t xml:space="preserve">2390 S TEJON</t>
  </si>
  <si>
    <t xml:space="preserve">1974;1980;1988;1990</t>
  </si>
  <si>
    <t xml:space="preserve">MERRILL ENGINEERING LABORATORIES (1974-1990; SIC 3589) | LABORATORIES Sueieunons PAHOE (1988; SIC 3589)</t>
  </si>
  <si>
    <t xml:space="preserve"> (1973) | MERRILL ENGINEERING LABORATORIES (1974) | LABORATORIES Sueieunons PAHOE (1988)</t>
  </si>
  <si>
    <t xml:space="preserve">ILIFF HAZWASTE</t>
  </si>
  <si>
    <t xml:space="preserve">AMERICAN STAINLESS STEEL CORP</t>
  </si>
  <si>
    <t xml:space="preserve">MERILAB, INC.</t>
  </si>
  <si>
    <t xml:space="preserve">S02278</t>
  </si>
  <si>
    <t xml:space="preserve">2305 S RARITAN</t>
  </si>
  <si>
    <t xml:space="preserve">1973;1983;1988</t>
  </si>
  <si>
    <t xml:space="preserve">MONARCH MFG CO--COLO DIVISION (1973; SIC 3442) | SERVICE = AIR INC (1983; SIC 3564,3599,2086) | ENGLEWOOD - ENGLEWOOD 261 SERVICE-AIR INC (1988; SIC 3564,3599)</t>
  </si>
  <si>
    <t xml:space="preserve">MONARCH MFG CO--COLO DIVISION (1973) | SERVICE — AIR INC 3317 STEEL PIPE AND TUSES (1977) | SERVICE = AIR INC (1983) | ENGLEWOOD - ENGLEWOOD 261 SERVICE-AIR INC (1988)</t>
  </si>
  <si>
    <t xml:space="preserve">All Recycling - Remelt - CS Holdings</t>
  </si>
  <si>
    <t xml:space="preserve">ALPS COLLISION CEN INC</t>
  </si>
  <si>
    <t xml:space="preserve">S02291</t>
  </si>
  <si>
    <t xml:space="preserve">3615 S FOX ST</t>
  </si>
  <si>
    <t xml:space="preserve">GALAXY INDUSTRIES INC (1983; SIC 3545)</t>
  </si>
  <si>
    <t xml:space="preserve">SANI CRISP PILLOWS, INC (1973) | GALAXY INDUSTRIES INC (1983)</t>
  </si>
  <si>
    <t xml:space="preserve">RTD ELATI MAINTENANCE FACILITY</t>
  </si>
  <si>
    <t xml:space="preserve">S02293</t>
  </si>
  <si>
    <t xml:space="preserve">8400 S VALLEY HWY</t>
  </si>
  <si>
    <t xml:space="preserve">STADLER MOLD # DIE (1973; SIC 3542,3544) | STADLER MOLD + OIE (1974; SIC 3542,3544)</t>
  </si>
  <si>
    <t xml:space="preserve">STADLER MOLD # DIE (1973) | STADLER MOLD + OIE (1974)</t>
  </si>
  <si>
    <t xml:space="preserve">ICON SURGERY CENTER OF DENVER</t>
  </si>
  <si>
    <t xml:space="preserve">S02301</t>
  </si>
  <si>
    <t xml:space="preserve">595 W LAKE AVE</t>
  </si>
  <si>
    <t xml:space="preserve">BACKER ROD MFG + SUPPLY CO (1973; SIC 3079)</t>
  </si>
  <si>
    <t xml:space="preserve">BACKER ROD MFG + SUPPLY CO (1973)</t>
  </si>
  <si>
    <t xml:space="preserve">S02789</t>
  </si>
  <si>
    <t xml:space="preserve">3203 OAKLAND</t>
  </si>
  <si>
    <t xml:space="preserve">1974;1977;1980;1983;1990</t>
  </si>
  <si>
    <t xml:space="preserve">NORTH J R ARCHITECTURAL METALS (1974-1990; SIC 3446)</t>
  </si>
  <si>
    <t xml:space="preserve">NORTH J R ARCHITECTURAL METALS (1974)</t>
  </si>
  <si>
    <t xml:space="preserve">S02797</t>
  </si>
  <si>
    <t xml:space="preserve">4335 S SANTA FE DR</t>
  </si>
  <si>
    <t xml:space="preserve">1974;1977;1980;1990;1992</t>
  </si>
  <si>
    <t xml:space="preserve">HANDICAPS INC (1974-1990; SIC 3714) | HANDICAPS INC. (1992; SIC 3537,3714)</t>
  </si>
  <si>
    <t xml:space="preserve">HANDICAPS INC (1974) | HANDICAPS INC. (1992)</t>
  </si>
  <si>
    <t xml:space="preserve">PAR DELIVERY SVC</t>
  </si>
  <si>
    <t xml:space="preserve">S02804</t>
  </si>
  <si>
    <t xml:space="preserve">2945 W UNION</t>
  </si>
  <si>
    <t xml:space="preserve">ROCKY MOUNTAIN TOOL ¢ MACHINE CO (1974; SIC 3591)</t>
  </si>
  <si>
    <t xml:space="preserve">ROCKY MOUNTAIN TOOL ¢ MACHINE CO (1974)</t>
  </si>
  <si>
    <t xml:space="preserve">Chicken and New Deal</t>
  </si>
  <si>
    <t xml:space="preserve">FRONT RANGE AUTO GROUP </t>
  </si>
  <si>
    <t xml:space="preserve">S02807</t>
  </si>
  <si>
    <t xml:space="preserve">2200 W BATES AVE</t>
  </si>
  <si>
    <t xml:space="preserve">1974;1980;1983;1988;1990</t>
  </si>
  <si>
    <t xml:space="preserve">WARNING LITES INC OF COLO (1974-1990; SIC 3499,3648)</t>
  </si>
  <si>
    <t xml:space="preserve">WARNING LITES INC OF COLO (1974)</t>
  </si>
  <si>
    <t xml:space="preserve">S03179</t>
  </si>
  <si>
    <t xml:space="preserve">3250 ABILENE</t>
  </si>
  <si>
    <t xml:space="preserve">TECHNE CORPORATION (1977; SIC 2879)</t>
  </si>
  <si>
    <t xml:space="preserve">TECHNE CORPORATION (1977)</t>
  </si>
  <si>
    <t xml:space="preserve">SPG INTERNATIONAL LLC BR #X032 UNIVERSAL BRAND</t>
  </si>
  <si>
    <t xml:space="preserve">ROYAL PRINTING SOLUTIONS</t>
  </si>
  <si>
    <t xml:space="preserve">S03202</t>
  </si>
  <si>
    <t xml:space="preserve">10320 E 6TH AVE</t>
  </si>
  <si>
    <t xml:space="preserve">MOTOR MACHINE + SUPPLY INC (1977; SIC 3714)</t>
  </si>
  <si>
    <t xml:space="preserve">MOTOR MACHINE + SUPPLY INC (1977)</t>
  </si>
  <si>
    <t xml:space="preserve">SUMMIT REHABILITATION AND CARE COMMUNITY</t>
  </si>
  <si>
    <t xml:space="preserve">S03203</t>
  </si>
  <si>
    <t xml:space="preserve">689 S WORCHESTER ST</t>
  </si>
  <si>
    <t xml:space="preserve">80012</t>
  </si>
  <si>
    <t xml:space="preserve">SOLAR HEATING DEVELOPMENT INC (1977; SIC 3433)</t>
  </si>
  <si>
    <t xml:space="preserve">SOLAR HEATING DEVELOPMENT INC (1977)</t>
  </si>
  <si>
    <t xml:space="preserve">WHEELING ELEMENTARY SCHOOL</t>
  </si>
  <si>
    <t xml:space="preserve">S03209</t>
  </si>
  <si>
    <t xml:space="preserve">2360 W BATES</t>
  </si>
  <si>
    <t xml:space="preserve">1977;1980;1983;1988;1990;1992</t>
  </si>
  <si>
    <t xml:space="preserve">ARN-WOOD C3, INC (1977-1990; SIC 3714,3829) | PEEK BROTHERS INC (1980; SIC 3599) | TECHNIMET INC (1990-1992; SIC 3599)</t>
  </si>
  <si>
    <t xml:space="preserve">ARN-WOOD C3, INC (1977) | PEEK BROTHERS INC (1980) | TECHNIMET INC (1990)</t>
  </si>
  <si>
    <t xml:space="preserve">COLORADO HEAT TREATING</t>
  </si>
  <si>
    <t xml:space="preserve">S03213</t>
  </si>
  <si>
    <t xml:space="preserve">3025 S UMATILLA</t>
  </si>
  <si>
    <t xml:space="preserve">Fabricated metals; Rubber &amp; plastics</t>
  </si>
  <si>
    <t xml:space="preserve">1980;1983</t>
  </si>
  <si>
    <t xml:space="preserve">ENERCO METAL PRODUCTS INC (1980; SIC 3499) | ENVIROPAX@DIV OF MEURER INDUSTRIES (1983; SIC 3079)</t>
  </si>
  <si>
    <t xml:space="preserve">EMBLEM-MEDIC INDUSTRIES INC (1977) | BMSLEM-HGBIC INOUSTRIES INC (1980) | ENERCO METAL PRODUCTS INC (1980) | ENVIROPAX@DIV OF MEURER INDUSTRIES (1983)</t>
  </si>
  <si>
    <t xml:space="preserve">S03215</t>
  </si>
  <si>
    <t xml:space="preserve">3064 S UMATILLA</t>
  </si>
  <si>
    <t xml:space="preserve">Industrial machinery; Primary metals</t>
  </si>
  <si>
    <t xml:space="preserve">1977;1988;1990;1992</t>
  </si>
  <si>
    <t xml:space="preserve">FISHER MFG CO INC (1977; SIC 3961,3362,3964) | Rea cHiNeRYSS (1988; SIC 3559) | DENVER GLASS MACHINERY (1990; SIC 3559,3555) | WALDEIN MANUFACTURING INC (1990; SIC 3599) | DENVER GLASS EQUIPMENT LID (1992; SIC 3231,3559,3567)</t>
  </si>
  <si>
    <t xml:space="preserve">FISHER MFG CO INC (1977) | DENVER GLASS EQUIPMENT LTD (1988) | Rea cHiNeRYSS (1988) | DENVER GLASS MACHINERY (1990) | WALDEIN MANUFACTURING INC (1990)</t>
  </si>
  <si>
    <t xml:space="preserve">CALIBER AUTO BODY &amp; PAINT</t>
  </si>
  <si>
    <t xml:space="preserve">S03562</t>
  </si>
  <si>
    <t xml:space="preserve">3555 MOLINE</t>
  </si>
  <si>
    <t xml:space="preserve">1980;1983;1988;1990</t>
  </si>
  <si>
    <t xml:space="preserve">DOW CHEMICAL USA EXTRUSION ALAND (1980-1990; SIC 3356) | BOTROMON ERK NEA (1988; SIC 3386,2672,2499)</t>
  </si>
  <si>
    <t xml:space="preserve">DOW CHEMICAL USA EXTRUSION ALAND (1980) | BOTROMON ERK NEA (1988)</t>
  </si>
  <si>
    <t xml:space="preserve">MOLINE STREET PCBS</t>
  </si>
  <si>
    <t xml:space="preserve">TIMMINCO CORP  MAGNESIUM FAB PROD DIV</t>
  </si>
  <si>
    <t xml:space="preserve">MONTVIEW ELEMENTARY SCHOOL</t>
  </si>
  <si>
    <t xml:space="preserve">S03642</t>
  </si>
  <si>
    <t xml:space="preserve">2977 S HANNIBAL ST</t>
  </si>
  <si>
    <t xml:space="preserve">80013</t>
  </si>
  <si>
    <t xml:space="preserve">BETTER FLOW GUTTER INC (1980; SIC 3444)</t>
  </si>
  <si>
    <t xml:space="preserve">BETTER FLOW GUTTER INC (1980)</t>
  </si>
  <si>
    <t xml:space="preserve">S03671</t>
  </si>
  <si>
    <t xml:space="preserve">3 INVERNESS DR E</t>
  </si>
  <si>
    <t xml:space="preserve">80112</t>
  </si>
  <si>
    <t xml:space="preserve">Photographic equipment/chemicals</t>
  </si>
  <si>
    <t xml:space="preserve">1980;1990</t>
  </si>
  <si>
    <t xml:space="preserve">DAYSTAR AUDIO VISUAL (1980; SIC 3861) | MONTGOMERY ELEVATOR COMPANY (1990; SIC 3534)</t>
  </si>
  <si>
    <t xml:space="preserve">DAYSTAR AUDIO VISUAL (1980) | MONTGOMERY ELEVATOR COMPANY (1990)</t>
  </si>
  <si>
    <t xml:space="preserve">County Line Apartments II</t>
  </si>
  <si>
    <t xml:space="preserve">RADIATION PROS LLC</t>
  </si>
  <si>
    <t xml:space="preserve">S03676</t>
  </si>
  <si>
    <t xml:space="preserve">2975 S WYANDOT ST</t>
  </si>
  <si>
    <t xml:space="preserve">PERFORMANCE PRODUCTS INC (1988-1990; SIC 3589,3711,3714)</t>
  </si>
  <si>
    <t xml:space="preserve">© G CABINET SHOP (1980) | PERFORMANCE PRODUCTS INC (1988)</t>
  </si>
  <si>
    <t xml:space="preserve">S03680</t>
  </si>
  <si>
    <t xml:space="preserve">7108 S ALTON WAY</t>
  </si>
  <si>
    <t xml:space="preserve">INTEREL CORPORATION (1980-1983; SIC 3569)</t>
  </si>
  <si>
    <t xml:space="preserve">INTEREL CORPORATION (1980) | TERAYCO INTERNATIONEL LTD (1983)</t>
  </si>
  <si>
    <t xml:space="preserve">SAFEWAY INC</t>
  </si>
  <si>
    <t xml:space="preserve">S03689</t>
  </si>
  <si>
    <t xml:space="preserve">40 INVERNESS DR E</t>
  </si>
  <si>
    <t xml:space="preserve">MOBECK MFG INC (1980; SIC 3537)</t>
  </si>
  <si>
    <t xml:space="preserve">MOBECK MFG INC (1980)</t>
  </si>
  <si>
    <t xml:space="preserve">TELEDYNE MONITOR LABS</t>
  </si>
  <si>
    <t xml:space="preserve">WEBSEEDS</t>
  </si>
  <si>
    <t xml:space="preserve">S03704</t>
  </si>
  <si>
    <t xml:space="preserve">15 E QUINCY</t>
  </si>
  <si>
    <t xml:space="preserve">TIGER MFC CO ENC (1980; SIC 3432,2494)</t>
  </si>
  <si>
    <t xml:space="preserve">TIGER MFC CO ENC (1980)</t>
  </si>
  <si>
    <t xml:space="preserve">AFFORDABLE  CLEANERS</t>
  </si>
  <si>
    <t xml:space="preserve">S03708</t>
  </si>
  <si>
    <t xml:space="preserve">3636 S JASON</t>
  </si>
  <si>
    <t xml:space="preserve">1980;1983;1990</t>
  </si>
  <si>
    <t xml:space="preserve">UNEVEX INTERNATIONAL LTO (1980-1990; SIC 3079)</t>
  </si>
  <si>
    <t xml:space="preserve">UNEVEX INTERNATIONAL LTO (1980)</t>
  </si>
  <si>
    <t xml:space="preserve">S03710</t>
  </si>
  <si>
    <t xml:space="preserve">2340 W COLLEGE</t>
  </si>
  <si>
    <t xml:space="preserve">MALOEIN MANUFACTURING (1980; SIC 3599) | WALDEIN MANUFACTURINGs INC (1983; SIC 3599)</t>
  </si>
  <si>
    <t xml:space="preserve">MALOEIN MANUFACTURING (1980) | WALDEIN MANUFACTURINGs INC (1983) | BAKER ENGRAVING CO (1988)</t>
  </si>
  <si>
    <t xml:space="preserve">ASPEN COURT DRUMS</t>
  </si>
  <si>
    <t xml:space="preserve">COLUMBIA PSI LLC</t>
  </si>
  <si>
    <t xml:space="preserve">S03713</t>
  </si>
  <si>
    <t xml:space="preserve">5306 S BANNOCK</t>
  </si>
  <si>
    <t xml:space="preserve">AW COATINGS (1980-1983; SIC 2851)</t>
  </si>
  <si>
    <t xml:space="preserve">AW COATINGS (1980)</t>
  </si>
  <si>
    <t xml:space="preserve">IMI</t>
  </si>
  <si>
    <t xml:space="preserve">IMI NORGREN INC</t>
  </si>
  <si>
    <t xml:space="preserve">BURT SUBARU INC</t>
  </si>
  <si>
    <t xml:space="preserve">S03715</t>
  </si>
  <si>
    <t xml:space="preserve">5599 S RIO GRANDE</t>
  </si>
  <si>
    <t xml:space="preserve">ARAPANGE IRON WORKS (1980; SIC 3444,3713)</t>
  </si>
  <si>
    <t xml:space="preserve">ARAPANGE IRON WORKS (1980)</t>
  </si>
  <si>
    <t xml:space="preserve">LITTLETON CLNRS</t>
  </si>
  <si>
    <t xml:space="preserve">S03728</t>
  </si>
  <si>
    <t xml:space="preserve">7068 S LAFAYETTE WAY</t>
  </si>
  <si>
    <t xml:space="preserve">80122</t>
  </si>
  <si>
    <t xml:space="preserve">TURF SYSTEMS MFG CO (1980-1983; SIC 3079)</t>
  </si>
  <si>
    <t xml:space="preserve">TURF SYSTEMS MFG CO (1980)</t>
  </si>
  <si>
    <t xml:space="preserve">S04493</t>
  </si>
  <si>
    <t xml:space="preserve">17000 E OHIO PL</t>
  </si>
  <si>
    <t xml:space="preserve">80017</t>
  </si>
  <si>
    <t xml:space="preserve">DENELCORs INC (1983; SIC 3573)</t>
  </si>
  <si>
    <t xml:space="preserve">DENELCORs INC (1983)</t>
  </si>
  <si>
    <t xml:space="preserve">XEL COMMUNICATIONS INC</t>
  </si>
  <si>
    <t xml:space="preserve">S04505</t>
  </si>
  <si>
    <t xml:space="preserve">17599 E EASTMAN DR</t>
  </si>
  <si>
    <t xml:space="preserve">Rubber &amp; plastics; Transportation equipment</t>
  </si>
  <si>
    <t xml:space="preserve">TMX HIGH PERFORMANCE FISER PLASTICS CO (1983-1990; SIC 3079,3732)</t>
  </si>
  <si>
    <t xml:space="preserve">TMX HIGH PERFORMANCE FISER PLASTICS CO (1983)</t>
  </si>
  <si>
    <t xml:space="preserve">DALTON ELEMENTARY SCHOOL</t>
  </si>
  <si>
    <t xml:space="preserve">S04540</t>
  </si>
  <si>
    <t xml:space="preserve">7310 S ALTON STE E</t>
  </si>
  <si>
    <t xml:space="preserve">SIGMA DESIGN INC (1983; SIC 3573,3281)</t>
  </si>
  <si>
    <t xml:space="preserve">INPUT~EZ CORPORATION (1983) | OPTECH INC (1983) | SIGMA DESIGN INC (1983) | COMPLETE CLOSETS + MORE INC (1990) | GEOTECH COMPUTER SYSTEMS INC (1992)</t>
  </si>
  <si>
    <t xml:space="preserve">SURTEK INC</t>
  </si>
  <si>
    <t xml:space="preserve">S04552</t>
  </si>
  <si>
    <t xml:space="preserve">2890 S ZUNI ST</t>
  </si>
  <si>
    <t xml:space="preserve">RALPH'S TOP SERVICE INC (1983-1990; SIC 3079,2521)</t>
  </si>
  <si>
    <t xml:space="preserve">RALPH'S TOP SERVICE INC (1983)</t>
  </si>
  <si>
    <t xml:space="preserve">DR. PEPPER SNAPPLE GROUP</t>
  </si>
  <si>
    <t xml:space="preserve">S04554</t>
  </si>
  <si>
    <t xml:space="preserve">4065 S ELIOT ST</t>
  </si>
  <si>
    <t xml:space="preserve">80150</t>
  </si>
  <si>
    <t xml:space="preserve">ROCKY MOUNTAIN FLUID PAPER (1983; SIC 3079,3999,3432)</t>
  </si>
  <si>
    <t xml:space="preserve">ROCKY MOUNTAIN FLUID PAPER (1983)</t>
  </si>
  <si>
    <t xml:space="preserve">IHC TOWNHOME PROPERTIES</t>
  </si>
  <si>
    <t xml:space="preserve">JOHN'S COLLISION REPAIR INC</t>
  </si>
  <si>
    <t xml:space="preserve">S04560</t>
  </si>
  <si>
    <t xml:space="preserve">2655 W DARTMOUTH AVE</t>
  </si>
  <si>
    <t xml:space="preserve">TRUE TURN INC (1983; SIC 3599)</t>
  </si>
  <si>
    <t xml:space="preserve">TRUE TURN INC (1983)</t>
  </si>
  <si>
    <t xml:space="preserve">S04573</t>
  </si>
  <si>
    <t xml:space="preserve">763 W ELATI CIR</t>
  </si>
  <si>
    <t xml:space="preserve">PETROSPEC CORP (1983-1990; SIC 2911) | MAPS, STUDIES PETROSPEC CORP (1988; SIC 2911)</t>
  </si>
  <si>
    <t xml:space="preserve">PETROSPEC CORP (1983) | MAPS, STUDIES PETROSPEC CORP (1988)</t>
  </si>
  <si>
    <t xml:space="preserve">S05727</t>
  </si>
  <si>
    <t xml:space="preserve">2345 W YALE AVE</t>
  </si>
  <si>
    <t xml:space="preserve">ACCESSORIES UNITED MACHINING INC (1988; SIC 3444)</t>
  </si>
  <si>
    <t xml:space="preserve">CONE MOUNTER CO (1988) | ACCESSORIES UNITED MACHINING INC (1988)</t>
  </si>
  <si>
    <t xml:space="preserve">NATKIN</t>
  </si>
  <si>
    <t xml:space="preserve">S05739</t>
  </si>
  <si>
    <t xml:space="preserve">4450 S FEDERAL BLVD</t>
  </si>
  <si>
    <t xml:space="preserve">MEDICAL LABORATORY EQUIPMENT CO (1988; SIC 3821,3060)</t>
  </si>
  <si>
    <t xml:space="preserve">MEDICAL LABORATORY EQUIPMENT CO (1988)</t>
  </si>
  <si>
    <t xml:space="preserve">4301 South Federal Boulevard Site</t>
  </si>
  <si>
    <t xml:space="preserve">S05746</t>
  </si>
  <si>
    <t xml:space="preserve">3723 S HAZEL CT</t>
  </si>
  <si>
    <t xml:space="preserve">THINNER PANNONIA ENTERPRISES (1988; SIC 3544,3599)</t>
  </si>
  <si>
    <t xml:space="preserve">THINNER PANNONIA ENTERPRISES (1988)</t>
  </si>
  <si>
    <t xml:space="preserve">SHERIDAN HOUSE</t>
  </si>
  <si>
    <t xml:space="preserve">MERCURY TUBE  - 3211 W BEAR CREEK DR</t>
  </si>
  <si>
    <t xml:space="preserve">MERCURY TUBE LLC</t>
  </si>
  <si>
    <t xml:space="preserve">S05751</t>
  </si>
  <si>
    <t xml:space="preserve">3231 S UNIVERSITY</t>
  </si>
  <si>
    <t xml:space="preserve">AUTOMOTIVE ENGINES ED ROBINSON (1988; SIC 3089)</t>
  </si>
  <si>
    <t xml:space="preserve">AUTOMOTIVE ENGINES ED ROBINSON (1988)</t>
  </si>
  <si>
    <t xml:space="preserve">S05754</t>
  </si>
  <si>
    <t xml:space="preserve">5600 S QUEBEC NO 107 A</t>
  </si>
  <si>
    <t xml:space="preserve">GREENWOOD VILLAGE</t>
  </si>
  <si>
    <t xml:space="preserve">80111</t>
  </si>
  <si>
    <t xml:space="preserve">SOERGUARD BUSINESS (1988; SIC 2761,2782,3545)</t>
  </si>
  <si>
    <t xml:space="preserve">SOERGUARD BUSINESS (1988) | SQUIRE PUBLICATIONS (1990)</t>
  </si>
  <si>
    <t xml:space="preserve">S05756</t>
  </si>
  <si>
    <t xml:space="preserve">7120 S LIMA</t>
  </si>
  <si>
    <t xml:space="preserve">STEEL TEE INC (1988-1990; SIC 3441)</t>
  </si>
  <si>
    <t xml:space="preserve">STEEL TEE INC (1988)</t>
  </si>
  <si>
    <t xml:space="preserve">S06168</t>
  </si>
  <si>
    <t xml:space="preserve">10555 E DARTMOUTH AVE NO 230</t>
  </si>
  <si>
    <t xml:space="preserve">80014</t>
  </si>
  <si>
    <t xml:space="preserve">SCHLOSS ENGINEERED EQUIPMENT INC (1990-1992; SIC 3535,3589)</t>
  </si>
  <si>
    <t xml:space="preserve">SCHLOSS ENGINEERED EQUIPMENT INC (1990)</t>
  </si>
  <si>
    <t xml:space="preserve">EASTSIDE PRINTING COMPANY INC</t>
  </si>
  <si>
    <t xml:space="preserve">S06537</t>
  </si>
  <si>
    <t xml:space="preserve">5650 GREENWOOD PLAZA</t>
  </si>
  <si>
    <t xml:space="preserve">SAFEGUARD BUSINESS SYSTEMS (1990-1992; SIC 2761,3999,3579)</t>
  </si>
  <si>
    <t xml:space="preserve">THE COMPOSING ROOM INC (1990) | SAFEGUARD BUSINESS SYSTEMS (1990)</t>
  </si>
  <si>
    <t xml:space="preserve">TRIAD OFFICE PARK</t>
  </si>
  <si>
    <t xml:space="preserve">S06546</t>
  </si>
  <si>
    <t xml:space="preserve">11234 E CALEY AVE</t>
  </si>
  <si>
    <t xml:space="preserve">INTEREL CORP (1990; SIC 3564,3449,3559) | INTEREL ENVIRONMENTAL TECHNOLOGIES (1992; SIC 3089,3599)</t>
  </si>
  <si>
    <t xml:space="preserve">INTEREL CORP (1990) | INTEREL ENVIRONMENTAL TECHNOLOGIES (1992)</t>
  </si>
  <si>
    <t xml:space="preserve">S06548</t>
  </si>
  <si>
    <t xml:space="preserve">12741 E CALEY AVE UNIT 140</t>
  </si>
  <si>
    <t xml:space="preserve">LAZER PRODUCTS INC. (1990; SIC 3577)</t>
  </si>
  <si>
    <t xml:space="preserve">LAZER PRODUCTS INC. (1990)</t>
  </si>
  <si>
    <t xml:space="preserve">AGFA CORP</t>
  </si>
  <si>
    <t xml:space="preserve">S06035</t>
  </si>
  <si>
    <t xml:space="preserve">120 N PAGOSA BLVD</t>
  </si>
  <si>
    <t xml:space="preserve">PAGOSA SPRINGS</t>
  </si>
  <si>
    <t xml:space="preserve">Archuleta</t>
  </si>
  <si>
    <t xml:space="preserve">81157</t>
  </si>
  <si>
    <t xml:space="preserve">TRESO INC (1988-1990; SIC 3451,3489)</t>
  </si>
  <si>
    <t xml:space="preserve">TRESO INC (1988)</t>
  </si>
  <si>
    <t xml:space="preserve">PINE RIDGE EXTENDED CARE CENTER</t>
  </si>
  <si>
    <t xml:space="preserve">S01984</t>
  </si>
  <si>
    <t xml:space="preserve">500 TIPTON</t>
  </si>
  <si>
    <t xml:space="preserve">SPRINGFIELD</t>
  </si>
  <si>
    <t xml:space="preserve">Baca</t>
  </si>
  <si>
    <t xml:space="preserve">81073</t>
  </si>
  <si>
    <t xml:space="preserve">SUNDAY + CO (1974; SIC 3523)</t>
  </si>
  <si>
    <t xml:space="preserve">SHERIDAN SUNDAY + CO (1970) | SUNDAY + CO (1974)</t>
  </si>
  <si>
    <t xml:space="preserve">S00644</t>
  </si>
  <si>
    <t xml:space="preserve">747 POPLAR</t>
  </si>
  <si>
    <t xml:space="preserve">LAS ANIMAS</t>
  </si>
  <si>
    <t xml:space="preserve">Bent</t>
  </si>
  <si>
    <t xml:space="preserve">81054</t>
  </si>
  <si>
    <t xml:space="preserve">1966;1967</t>
  </si>
  <si>
    <t xml:space="preserve">COFFEY APIARIES (1966-1967; SIC 2819)</t>
  </si>
  <si>
    <t xml:space="preserve">COFFEY APIARIES (1966)</t>
  </si>
  <si>
    <t xml:space="preserve">Bent County High School</t>
  </si>
  <si>
    <t xml:space="preserve">LAS ANIMAS SCHOOL DISTRICT</t>
  </si>
  <si>
    <t xml:space="preserve">S00658</t>
  </si>
  <si>
    <t xml:space="preserve">2738 PINE</t>
  </si>
  <si>
    <t xml:space="preserve">BOULDER</t>
  </si>
  <si>
    <t xml:space="preserve">Boulder</t>
  </si>
  <si>
    <t xml:space="preserve">80302</t>
  </si>
  <si>
    <t xml:space="preserve">1970</t>
  </si>
  <si>
    <t xml:space="preserve">JAN'S WESTERN GEMS 3799 TRANSPORTATION EQPT N E C R HABENICHT MGR (1970; SIC 3471)</t>
  </si>
  <si>
    <t xml:space="preserve">JAN*S WESTERN GEMS (1966) | JAN'S WESTERN GEMS 3799 TRANSPORTATION EQPT N E C R HABENICHT MGR (1970)</t>
  </si>
  <si>
    <t xml:space="preserve">MEINEKE CAR CARE CENTER</t>
  </si>
  <si>
    <t xml:space="preserve">S00662</t>
  </si>
  <si>
    <t xml:space="preserve">729 WALNUT</t>
  </si>
  <si>
    <t xml:space="preserve">1966;1974;1977;1980;1992</t>
  </si>
  <si>
    <t xml:space="preserve">MILLARD'S PRINTING HOUSE INTL © TO 19 (1966; SIC 3679) | NOROHAVEN ENTERPRISES (1974; SIC 3544,3599) | STAMPING GROUND TIQL + DIE (1977; SIC 3544,3599) | STAMPING GROUND VOOL + OSE INC WEST (1980; SIC 3544,3599) | JONATHAN RICHARDS LTD KNITTING (1992; SIC 2253,2789,3571)</t>
  </si>
  <si>
    <t xml:space="preserve">MILLARD'S PRINTING HOUSE INTL © TO 19 (1966) | JONATHAN RICHARDS LTD KNITTING MILLS (1973) | NOROHAVEN ENTERPRISES (1974) | STAMPING GROUND TIQL + DIE (1977) | LOG RHYTHMS (1980) | STAMPING GROUND VOOL + OSE INC WEST (1980) | SQUASH RACKETS HELIX SEEDS (1988)</t>
  </si>
  <si>
    <t xml:space="preserve">FOAM BUILDERS CORP</t>
  </si>
  <si>
    <t xml:space="preserve">S00677</t>
  </si>
  <si>
    <t xml:space="preserve">1407 MAIN</t>
  </si>
  <si>
    <t xml:space="preserve">LONGMONT</t>
  </si>
  <si>
    <t xml:space="preserve">80501</t>
  </si>
  <si>
    <t xml:space="preserve">1966;1990</t>
  </si>
  <si>
    <t xml:space="preserve">NU-LINE FURNITURE MFG (1966; SIC 3799) | STINN-CO TOOL INC (1990; SIC 3425,3423)</t>
  </si>
  <si>
    <t xml:space="preserve">NU-LINE FURNITURE MFG (1966) | STINN-CO TOOL INC (1990)</t>
  </si>
  <si>
    <t xml:space="preserve">Foothills Care Center I</t>
  </si>
  <si>
    <t xml:space="preserve">PENSKE AUTO CENTER</t>
  </si>
  <si>
    <t xml:space="preserve">S03236</t>
  </si>
  <si>
    <t xml:space="preserve">125 TERRY</t>
  </si>
  <si>
    <t xml:space="preserve">Electronic components; Storage batteries</t>
  </si>
  <si>
    <t xml:space="preserve">1966;1977;1980</t>
  </si>
  <si>
    <t xml:space="preserve">GOLDEN WEST MILLING CO (1966; SIC 3691) | SHERWOOD ENTERPRISES (1977; SIC 3679,3643) | CORR=A-GLAS OF COLO INC (1980; SIC 3079)</t>
  </si>
  <si>
    <t xml:space="preserve">GOLDEN WEST MILLING CO (1966) | GOLDEN hEST MILLING CO (1967) | GOLDEN WEST FILLING CC (1968) | GOLDEN WEST MILLING CO S PROP DIST o109 (1974) | SHERWOOD ENTERPRISES (1977) | CORR=A-GLAS OF COLO INC (1980)</t>
  </si>
  <si>
    <t xml:space="preserve">613 1ST AVENUE</t>
  </si>
  <si>
    <t xml:space="preserve">ACCURATE PLASTICS &amp; ENG INC</t>
  </si>
  <si>
    <t xml:space="preserve">S01369</t>
  </si>
  <si>
    <t xml:space="preserve">2590 WALNUT</t>
  </si>
  <si>
    <t xml:space="preserve">1967;1968;1973</t>
  </si>
  <si>
    <t xml:space="preserve">ARAPAHOE CHEMICALS DIV OF SYNTEX CORP (1967-1973; SIC 2833,3993)</t>
  </si>
  <si>
    <t xml:space="preserve">ARAPAHOE CHEMICALS DIV OF SYNTEX CORP (1967) | WATTS-HARDY DAIRY (1973)</t>
  </si>
  <si>
    <t xml:space="preserve">GOOGLE LLC</t>
  </si>
  <si>
    <t xml:space="preserve">S01376</t>
  </si>
  <si>
    <t xml:space="preserve">2898 30TH</t>
  </si>
  <si>
    <t xml:space="preserve">BOULDER STEEL + MASONRY (1967-1968; SIC 3411)</t>
  </si>
  <si>
    <t xml:space="preserve">BOULDER STEEL + MASONRY (1967)</t>
  </si>
  <si>
    <t xml:space="preserve">CIRCUIT IMAGES, INC</t>
  </si>
  <si>
    <t xml:space="preserve">CITY LOCK</t>
  </si>
  <si>
    <t xml:space="preserve">S01380</t>
  </si>
  <si>
    <t xml:space="preserve">3116 LONGHORN RD</t>
  </si>
  <si>
    <t xml:space="preserve">Chemicals; Fabricated metals; Industrial machinery; Rubber &amp; plastics</t>
  </si>
  <si>
    <t xml:space="preserve">1967;1968;1970;1973;1977;1980;1988</t>
  </si>
  <si>
    <t xml:space="preserve">CRYO ENGINEERING CO (1967-1973; SIC 3585) | ENGINEERING MEASUREMENTS CO» INC (1970; SIC 3573,3821) | COLSPAN ENVIRONMENTAL SYS INC (1973; SIC 3829,2899) | PRECISION SHEET METAL ROBERT H FRENCH PRESIDENT (1977; SIC 3444) | PROTO PRODUCTION PLASTICS Inc (1980; SIC 3079) | SIGNS+DISPLAYS INC D.B.A..WOODARD RACY GRAPHICS (1988; SIC 3861,3993)</t>
  </si>
  <si>
    <t xml:space="preserve">CRYO ENGINEERING CO (1967) | ENGINEERING MEASUREMENTS CO» INC (1970) | COLSPAN ENVIRONMENTAL SYS INC (1973) | PRECISION SHEET METAL ROBERT H FRENCH PRESIDENT (1977) | HANRAHANS INC, THE (1980) | PROTO PRODUCTION PLASTICS Inc (1980) | CONCRETE CURING ENGINEERS INC (1983) | WOODARD SIGNS + DISPLAYS INC (1983) | SIGNS+DISPLAYS INC D.B.A..WOODARD RACY GRAPHICS (1988)</t>
  </si>
  <si>
    <t xml:space="preserve">S01385</t>
  </si>
  <si>
    <t xml:space="preserve">1942 20TH ST</t>
  </si>
  <si>
    <t xml:space="preserve">DUNCAN» K O» COMPANY (1967-1968; SIC 3569)</t>
  </si>
  <si>
    <t xml:space="preserve">DUNCAN» K O» COMPANY (1967)</t>
  </si>
  <si>
    <t xml:space="preserve">BUSINESS EXPRESS INC</t>
  </si>
  <si>
    <t xml:space="preserve">S01393</t>
  </si>
  <si>
    <t xml:space="preserve">3532 DIAGONAL HWY</t>
  </si>
  <si>
    <t xml:space="preserve">1967;1968;1970;1973;1977;1980;1983;1988;1990</t>
  </si>
  <si>
    <t xml:space="preserve">WELLBORN MACFINE CO (1967-1983; SIC 3544,3554) | DTM PRODUCTS,s ENC (1970-1980; SIC 3079) | RCSF CISION (1988; SIC 3544,3869) | RCS PRECISION TOOLING (1990; SIC 3089) | WELLBORN MACHINE CO (1990; SIC 3541)</t>
  </si>
  <si>
    <t xml:space="preserve">WELLBORN MACFINE CO (1967) | DTM PRODUCTS,s ENC (1970) | THOMAS G FALUDY (1977) | RCSF CISION (1988) | RCS PRECISION TOOLING (1990) | WELLBORN MACHINE CO (1990)</t>
  </si>
  <si>
    <t xml:space="preserve">S01670</t>
  </si>
  <si>
    <t xml:space="preserve">3216 LONGHORN RD</t>
  </si>
  <si>
    <t xml:space="preserve">Fabricated metals; Rubber &amp; plastics; Transportation equipment</t>
  </si>
  <si>
    <t xml:space="preserve">1968;1970;1973;1974;1988</t>
  </si>
  <si>
    <t xml:space="preserve">BECK INOUSTRIES (1968-1970; SIC 3841,3729) | OD J TROPHIES (1973; SIC 3499) | PROTO PRODUCTION PLASTICS INC (1973-1974; SIC 3079) | CATALOGS-PEACE, CHI QUEST CORP (1988; SIC 3499)</t>
  </si>
  <si>
    <t xml:space="preserve">BECK INOUSTRIES (1968) | OD J TROPHIES (1973) | PROTO PRODUCTION PLASTICS INC (1973) | QUEST CORPORATION (1980) | CATALOGS-PEACE, CHI QUEST CORP (1988)</t>
  </si>
  <si>
    <t xml:space="preserve">S01675</t>
  </si>
  <si>
    <t xml:space="preserve">1334 PEARL</t>
  </si>
  <si>
    <t xml:space="preserve">1968;1983</t>
  </si>
  <si>
    <t xml:space="preserve">CRECOs INC (1968; SIC 3611,3429) | VIDEO MEDIC INC (1983; SIC 3573)</t>
  </si>
  <si>
    <t xml:space="preserve">CRECOs INC (1968) | VIDEO MEDIC INC (1983)</t>
  </si>
  <si>
    <t xml:space="preserve">Coburn Development II</t>
  </si>
  <si>
    <t xml:space="preserve">BOULDER COUNTY PRINTING DIV</t>
  </si>
  <si>
    <t xml:space="preserve">S01691</t>
  </si>
  <si>
    <t xml:space="preserve">804 LINCOLN ST</t>
  </si>
  <si>
    <t xml:space="preserve">Industrial machinery; Rubber &amp; plastics</t>
  </si>
  <si>
    <t xml:space="preserve">1968;1977;1980;1983;1988;1990;1992</t>
  </si>
  <si>
    <t xml:space="preserve">WoW ENGINEERING, IAC (1968; SIC 3522) | TECHNOLOGY PRODUCTS ENC (1977-1992; SIC 3079,3544) | WESER MAGHING CO. INC. (1980; SIC 3599) | WEBER MACHINE CO. INC. (1983; SIC 3599)</t>
  </si>
  <si>
    <t xml:space="preserve">WoW ENGINEERING, IAC (1968) | TECHNOLOGY PRODUCTS ENC (1977) | WESER MAGHING CO. INC. (1980) | WEBER MACHINE CO. INC. (1983)</t>
  </si>
  <si>
    <t xml:space="preserve">S01988</t>
  </si>
  <si>
    <t xml:space="preserve">2727 VALMONT RD</t>
  </si>
  <si>
    <t xml:space="preserve">DELBAR CO (1970; SIC 3481)</t>
  </si>
  <si>
    <t xml:space="preserve">DELBAR CO (1970)</t>
  </si>
  <si>
    <t xml:space="preserve">DENTAL CHOICE AMERICA LLC</t>
  </si>
  <si>
    <t xml:space="preserve">S01989</t>
  </si>
  <si>
    <t xml:space="preserve">5649 RAWHIDE CT</t>
  </si>
  <si>
    <t xml:space="preserve">1970;1973;1974;1977;1980;1983</t>
  </si>
  <si>
    <t xml:space="preserve">PLASTIC TOOLING AIDS LAB, ENC (1970-1983; SIC 3544) | PRECISION BEAM WELDING (1974; SIC 3469,3446,3999) |  (1977; SIC 3079) | KENRAY CORPORATION (1980; SIC 3469,3599,2751)</t>
  </si>
  <si>
    <t xml:space="preserve">DELTA ENGINEERENG (1970) | PLASTIC TOOLING AIDS LAB, ENC (1970) | PRECISION BEAM WELDING (1974) | COMPONENTS, 3999 MANUFACTURING INDUSTRIES? NEC (1977) |  (1977) | KENRAY CORPORATION (1980) | ELECTROPORE INC (1990)</t>
  </si>
  <si>
    <t xml:space="preserve">S01991</t>
  </si>
  <si>
    <t xml:space="preserve">1779 29TH ST</t>
  </si>
  <si>
    <t xml:space="preserve">STORAGE TECHNOLOGY CORP (1970; SIC 3573)</t>
  </si>
  <si>
    <t xml:space="preserve">STORAGE TECHNOLOGY CORP (1970)</t>
  </si>
  <si>
    <t xml:space="preserve">HOME DEPOT STORE #1546</t>
  </si>
  <si>
    <t xml:space="preserve">S02315</t>
  </si>
  <si>
    <t xml:space="preserve">2510 47TH ST UNIT A</t>
  </si>
  <si>
    <t xml:space="preserve">80301</t>
  </si>
  <si>
    <t xml:space="preserve">ASPEN COACH CORP (1973; SIC 3792)</t>
  </si>
  <si>
    <t xml:space="preserve">ASPEN COACH CORP (1973) | ASPEN COACH CORP B LINDEKE PRES (1974) | BOULDER ART GLASS THE (1980) | ELYSIAN STAINED GLASS COMPANY (1980) | MAYTUM GLASS CG (1980) | MAYTUMs INCe (1983) | PIANO + EVALUATION MAYTUM INC (1988) | OUT TO LUNCH (1988) | BACKLUND CABINET + WOODWORKS (1990) | MAYTUM INC (1990)</t>
  </si>
  <si>
    <t xml:space="preserve">HAUSER CHEMICAL RESEARCH INC</t>
  </si>
  <si>
    <t xml:space="preserve">SWEDISH MOTORS INC</t>
  </si>
  <si>
    <t xml:space="preserve">S02320</t>
  </si>
  <si>
    <t xml:space="preserve">4830 PEARL</t>
  </si>
  <si>
    <t xml:space="preserve">MOUNTAIN OCEAN LTD (1983; SIC 2844) | MONITORING SYSTEMS MOUNTAIN OCEAN LTD (1988; SIC 2844)</t>
  </si>
  <si>
    <t xml:space="preserve">BELCARO CANDLE CO (1973) | MOUNTAIN OCEAN LTD (1983) | MONITORING SYSTEMS MOUNTAIN OCEAN LTD (1988)</t>
  </si>
  <si>
    <t xml:space="preserve">SPECTRUM PAINT AND POWDER WORKS</t>
  </si>
  <si>
    <t xml:space="preserve">S02321</t>
  </si>
  <si>
    <t xml:space="preserve">2736 47TH ST</t>
  </si>
  <si>
    <t xml:space="preserve">1977;1980;1983</t>
  </si>
  <si>
    <t xml:space="preserve">SINCLAIR MACHINE SHIP (1977-1980; SIC 3599) | VEGA TOOL CO INC (1980-1983; SIC 3544,3599)</t>
  </si>
  <si>
    <t xml:space="preserve">BIO-FEEOOACK SYSTEMS INC (1973) | SINCLAIR MACHINE SHIP (1977) | BOTA OF BOULDER (1980) | VEGA TOOL CO INC (1980) | BOTA GF BOULDER (1983) | BRIMSTONE POTTERS INC (1983) | BYSteMe Ne ™ (1988) | SPIRIT BADGE CORP (1990)</t>
  </si>
  <si>
    <t xml:space="preserve">ABRA AUTO BODY AND GLASS</t>
  </si>
  <si>
    <t xml:space="preserve">S02328</t>
  </si>
  <si>
    <t xml:space="preserve">5420 ARAPAHOE AVE</t>
  </si>
  <si>
    <t xml:space="preserve">TRITON TOOL # MANUFACTURING CO (1973-1983; SIC 3591) | TRITON ENGINEERING+MFG CO (1988; SIC 3499,3599)</t>
  </si>
  <si>
    <t xml:space="preserve">COLUTRON CORP (1973) | TRITON TOOL # MANUFACTURING CO (1973) | QOLUTRON RESGARCH CORP. (1980) | QUALETY LINE PRINTING CO (1980) | TRITON ENGINEERING+MFG CO (1988)</t>
  </si>
  <si>
    <t xml:space="preserve">Boulder Warehouse Association Inc.</t>
  </si>
  <si>
    <t xml:space="preserve">AUTO PLACE</t>
  </si>
  <si>
    <t xml:space="preserve">S02330</t>
  </si>
  <si>
    <t xml:space="preserve">835 WALNUT</t>
  </si>
  <si>
    <t xml:space="preserve">EDDYLINE KAYAK WORKS LTD (1973; SIC 3732,2499)</t>
  </si>
  <si>
    <t xml:space="preserve">CRISMAN SPEAKER CO (1973) | EDDYLINE KAYAK WORKS LTD (1973)</t>
  </si>
  <si>
    <t xml:space="preserve">VANATTA ELECTRIC</t>
  </si>
  <si>
    <t xml:space="preserve">S02331</t>
  </si>
  <si>
    <t xml:space="preserve">3333 4TH</t>
  </si>
  <si>
    <t xml:space="preserve">CULTURED MARBLE BY WILL (1973; SIC 3079)</t>
  </si>
  <si>
    <t xml:space="preserve">CULTURED MARBLE BY WILL (1973) | CULTURED MARBLE BY WILL 2751 COMMERCIAL PRINTING, LETTERPRESS (1974)</t>
  </si>
  <si>
    <t xml:space="preserve">S02332</t>
  </si>
  <si>
    <t xml:space="preserve">2890 BLUFF ST</t>
  </si>
  <si>
    <t xml:space="preserve">Photographic equipment/chemicals; Semiconductors</t>
  </si>
  <si>
    <t xml:space="preserve">CUSTOM MARBLE PRODUCTS (1973-1983; SIC 3079) | ELECTRICAL FORM INC (1988; SIC 3499) | MELLES GRIOT COUNTY (1988-1990; SIC 3674,3629,3861)</t>
  </si>
  <si>
    <t xml:space="preserve">CUSTOM MARBLE PRODUCTS (1973) | ELECTRICAL FORM INC (1988) | MELLES GRIOT COUNTY (1988) | FORM SCULPTURE (1990)</t>
  </si>
  <si>
    <t xml:space="preserve">Cornerstone Strategies</t>
  </si>
  <si>
    <t xml:space="preserve">VILLAGE PRINTER</t>
  </si>
  <si>
    <t xml:space="preserve">S02347</t>
  </si>
  <si>
    <t xml:space="preserve">5547 CENTRAL AVE</t>
  </si>
  <si>
    <t xml:space="preserve">VACUUM INC (1983; SIC 3673,3559,3231)</t>
  </si>
  <si>
    <t xml:space="preserve">LOVETT + GREENBURG ENTERPRISES INC (1973) | Rptco (1980) | VACUUM INC (1983)</t>
  </si>
  <si>
    <t xml:space="preserve">SPECTRALINK CORP</t>
  </si>
  <si>
    <t xml:space="preserve">SOMATOGEN INC</t>
  </si>
  <si>
    <t xml:space="preserve">S02352</t>
  </si>
  <si>
    <t xml:space="preserve">7849 BROCKWAY</t>
  </si>
  <si>
    <t xml:space="preserve">80303</t>
  </si>
  <si>
    <t xml:space="preserve">PROTECTOR-OOME CO (1973-1974; SIC 3079)</t>
  </si>
  <si>
    <t xml:space="preserve">PROTECTOR-OOME CO (1973) | PROTECTO-DOME CO BARRY SCHACHT VICE PRES. (1977)</t>
  </si>
  <si>
    <t xml:space="preserve">S02362</t>
  </si>
  <si>
    <t xml:space="preserve">3134 4TH ST</t>
  </si>
  <si>
    <t xml:space="preserve">SWISS LENOX CO (1973; SIC 3471)</t>
  </si>
  <si>
    <t xml:space="preserve">SWISS LENOX CO (1973) | LENOX-MACLAREN (1990)</t>
  </si>
  <si>
    <t xml:space="preserve">AVISTA SURGERY CENTER</t>
  </si>
  <si>
    <t xml:space="preserve">S02365</t>
  </si>
  <si>
    <t xml:space="preserve">4920 PEARL ST</t>
  </si>
  <si>
    <t xml:space="preserve">TRIPLE S INDUSTRIES INC (1973; SIC 3714,3799)</t>
  </si>
  <si>
    <t xml:space="preserve">TRIPLE S INDUSTRIES INC (1973)</t>
  </si>
  <si>
    <t xml:space="preserve">MKS INSTRUMENTS INC HPS PRO DUCTS DIV</t>
  </si>
  <si>
    <t xml:space="preserve">DICERNA PHARMACEUTICALS - PILOT</t>
  </si>
  <si>
    <t xml:space="preserve">S02366</t>
  </si>
  <si>
    <t xml:space="preserve">2505 AGATE RD</t>
  </si>
  <si>
    <t xml:space="preserve">WILLOYO ENTERPRISES (1973; SIC 3079)</t>
  </si>
  <si>
    <t xml:space="preserve">WILLOYO ENTERPRISES (1973)</t>
  </si>
  <si>
    <t xml:space="preserve">S02375</t>
  </si>
  <si>
    <t xml:space="preserve">411 S PUBLIC RD</t>
  </si>
  <si>
    <t xml:space="preserve">LAFAYETTE</t>
  </si>
  <si>
    <t xml:space="preserve">80026</t>
  </si>
  <si>
    <t xml:space="preserve">Fabricated metals; Industrial machinery; Primary metals; Transportation equipment</t>
  </si>
  <si>
    <t xml:space="preserve">1973;1974;1980;1983;1988;1990</t>
  </si>
  <si>
    <t xml:space="preserve">BARLOW AND COMPANY (1973; SIC 3433,3613,3714) | ADVANCE FOUNCRY INCORPCRATED (1974; SIC 3361,3362) | AOVANCE FOUNDRY INCORPORATED (1980-1990; SIC 3361,3362) | COLORADO FABRICATION (1983; SIC 3451,3561) | MOUNTAIN STATES SCREW MACHINE COMPANY (1983; SIC 3451)</t>
  </si>
  <si>
    <t xml:space="preserve">BARLOW AND COMPANY (1973) | ADVANCE FOUNCRY INCORPCRATED (1974) | COLORADO FABRICATION 3275 GYPSJM PRODUCTS (1977) | AOVANCE FOUNDRY INCORPORATED (1980) | COLORADO FABRICATION (1983) | MOUNTAIN STATES SCREW MACHINE COMPANY (1983)</t>
  </si>
  <si>
    <t xml:space="preserve">S02376</t>
  </si>
  <si>
    <t xml:space="preserve">1700 S 120TH ST</t>
  </si>
  <si>
    <t xml:space="preserve">TASER INTERFEROMETER MILE HIGH INDUSTRIES (1988; SIC 3532,3999) | MILE HIGH INDUSTRIES (1990; SIC 3532,3999)</t>
  </si>
  <si>
    <t xml:space="preserve">TRAUTMAN MILLWORK INC (1973) |  (1977) | GENAC INC (1983) | MILE HIGH INDUSTRIES (1983) | TASER INTERFEROMETER MILE HIGH INDUSTRIES (1988) | DEMONSTRATION VIDEO TRAUTMANN MILLWORK (1988)</t>
  </si>
  <si>
    <t xml:space="preserve">AUTOZONE #4058</t>
  </si>
  <si>
    <t xml:space="preserve">S02377</t>
  </si>
  <si>
    <t xml:space="preserve">319 MAIN</t>
  </si>
  <si>
    <t xml:space="preserve">MOUNTAIN LEATHER TRADERS (1983; SIC 3172,3421)</t>
  </si>
  <si>
    <t xml:space="preserve">AGNES S ROBERTS PUBLISHING CO.s INC (1973) |  (1974) |  (1977) | RON'S TYPESETTING (1980) | MOUNTAIN LEATHER TRADERS (1983)</t>
  </si>
  <si>
    <t xml:space="preserve">FAMILY EXTENSION BUILDING</t>
  </si>
  <si>
    <t xml:space="preserve">S02379</t>
  </si>
  <si>
    <t xml:space="preserve">1351 GRAND AVE</t>
  </si>
  <si>
    <t xml:space="preserve">Fabricated metals; Industrial machinery; Primary metals; Rubber &amp; plastics</t>
  </si>
  <si>
    <t xml:space="preserve">1973;1974;1980;1988;1990;1992</t>
  </si>
  <si>
    <t xml:space="preserve">CLASSIC TOOL CO (1973; SIC 3423,3545) | ACCURATE PLASTICS + ENG INC (1974; SIC 3079) | © R MANUFACTURING, INC (1980; SIC 3079,3309) | MEASUREMENT EQUIP P R MFG INC (1988; SIC 2652,3086) | PR MANUFACTURING INC (1990-1992; SIC 2652,3086)</t>
  </si>
  <si>
    <t xml:space="preserve">CLASSIC TOOL CO (1973) | ACCURATE PLASTICS + ENG INC (1974) | © R MANUFACTURING, INC (1980) | MEASUREMENT EQUIP P R MFG INC (1988) | PR MANUFACTURING INC (1990)</t>
  </si>
  <si>
    <t xml:space="preserve">AVEDON ENGINEERING INC</t>
  </si>
  <si>
    <t xml:space="preserve">CENCORP</t>
  </si>
  <si>
    <t xml:space="preserve">S02813</t>
  </si>
  <si>
    <t xml:space="preserve">2140 KOHLER ORIVE</t>
  </si>
  <si>
    <t xml:space="preserve">BALL ENGINEERING COMPANY (1977-1983; SIC 3811,3429,3829)</t>
  </si>
  <si>
    <t xml:space="preserve">BALL ENGINEERING COMPANY (1974)</t>
  </si>
  <si>
    <t xml:space="preserve">S02817</t>
  </si>
  <si>
    <t xml:space="preserve">4890 PEARL</t>
  </si>
  <si>
    <t xml:space="preserve">GREEN MOUNTAIN HERBS LTO (1980; SIC 2833,2099)</t>
  </si>
  <si>
    <t xml:space="preserve">CELESTIAL SEASONINGS INCORPORATED (1974) | GREEN MOUNTAIN HERBS LTO (1980)</t>
  </si>
  <si>
    <t xml:space="preserve">CORDEN PHARMA - STERLING DRIVE</t>
  </si>
  <si>
    <t xml:space="preserve">WESTERN DISPOSAL INC</t>
  </si>
  <si>
    <t xml:space="preserve">S03247</t>
  </si>
  <si>
    <t xml:space="preserve">1500 17TH AVE</t>
  </si>
  <si>
    <t xml:space="preserve">LONGMONT SIGNS AND DECALS (1983; SIC 2751,3993,3552) | MONEBBCars (1988; SIC 2789,3552,3993)</t>
  </si>
  <si>
    <t xml:space="preserve"> (1977) | LONGMONT SIGNS AND DECALS (1983) | MONEBBCars (1988)</t>
  </si>
  <si>
    <t xml:space="preserve">BEMORE ENTERPRISES INC</t>
  </si>
  <si>
    <t xml:space="preserve">S03767</t>
  </si>
  <si>
    <t xml:space="preserve">628 PEARL</t>
  </si>
  <si>
    <t xml:space="preserve">MUSIC PRINT CORP (1980; SIC 3572)</t>
  </si>
  <si>
    <t xml:space="preserve">MUSIC PRINT CORP (1980)</t>
  </si>
  <si>
    <t xml:space="preserve">S03775</t>
  </si>
  <si>
    <t xml:space="preserve">4895 RIVERBEND RD</t>
  </si>
  <si>
    <t xml:space="preserve">PRECISION MFG CORP (1980; SIC 3499,3599,3544)</t>
  </si>
  <si>
    <t xml:space="preserve">PRECISION MFG CORP (1980)</t>
  </si>
  <si>
    <t xml:space="preserve">BAE SYSTEMS SPACE - BOULDER CAMPUS</t>
  </si>
  <si>
    <t xml:space="preserve">ENDOSCOPY CENTER OF THE ROCKIES-BOULDER</t>
  </si>
  <si>
    <t xml:space="preserve">S03782</t>
  </si>
  <si>
    <t xml:space="preserve">7687 CONCORD OR</t>
  </si>
  <si>
    <t xml:space="preserve">SPEEGY SIGNS ¢ SRECEALTIES (1980; SIC 3479) | SPEEDY SIGNS + SPECIALTIES (1983-1990; SIC 3079,2753)</t>
  </si>
  <si>
    <t xml:space="preserve">SPEEGY SIGNS ¢ SRECEALTIES (1980) | SPEEDY SIGNS + SPECIALTIES (1983)</t>
  </si>
  <si>
    <t xml:space="preserve">S03788</t>
  </si>
  <si>
    <t xml:space="preserve">9420 ARAPAHOE</t>
  </si>
  <si>
    <t xml:space="preserve">TRETONM TOOL * MFG CO (1980; SIC 3599)</t>
  </si>
  <si>
    <t xml:space="preserve">TRETONM TOOL * MFG CO (1980)</t>
  </si>
  <si>
    <t xml:space="preserve">S03802</t>
  </si>
  <si>
    <t xml:space="preserve">418 S PUBLIC RO</t>
  </si>
  <si>
    <t xml:space="preserve">BARLGW ANG COMPANY (1980; SIC 3361,3451,3441) | COLORADO FABRICATION (1980; SIC 3451,3561) | MOUNTAIN STATES SCREW MACHINE COMPANY (1980; SIC 3451)</t>
  </si>
  <si>
    <t xml:space="preserve">BARLGW ANG COMPANY (1980) | COLORADO FABRICATION (1980) | MOUNTAIN STATES SCREW MACHINE COMPANY (1980)</t>
  </si>
  <si>
    <t xml:space="preserve">S03803</t>
  </si>
  <si>
    <t xml:space="preserve">108 W BASELINE</t>
  </si>
  <si>
    <t xml:space="preserve">KORPER KETTLE REARODUC TIONS (1980-1983; SIC 3429,3999)</t>
  </si>
  <si>
    <t xml:space="preserve">KORPER KETTLE REARODUC TIONS (1980)</t>
  </si>
  <si>
    <t xml:space="preserve">S03808</t>
  </si>
  <si>
    <t xml:space="preserve">10976 MAPLE RD</t>
  </si>
  <si>
    <t xml:space="preserve">STRACK PLASTICS INC (1980-1990; SIC 3079) | LAFAYETTE - LAKEWOOD 291 STRACK PLASTICS INC (1988; SIC 3086)</t>
  </si>
  <si>
    <t xml:space="preserve">STRACK PLASTICS INC (1980) | LAFAYETTE - LAKEWOOD 291 STRACK PLASTICS INC (1988)</t>
  </si>
  <si>
    <t xml:space="preserve">S03820</t>
  </si>
  <si>
    <t xml:space="preserve">402 MARTIN ST</t>
  </si>
  <si>
    <t xml:space="preserve">MORGAN'S PRECISION MACHINING (1980-1990; SIC 3599)</t>
  </si>
  <si>
    <t xml:space="preserve">MORGAN'S PRECISION MACHINING (1980)</t>
  </si>
  <si>
    <t xml:space="preserve">VISTA AUTO SALES - 310 MARTIN ST</t>
  </si>
  <si>
    <t xml:space="preserve">S04585</t>
  </si>
  <si>
    <t xml:space="preserve">3131 N 75TH ST</t>
  </si>
  <si>
    <t xml:space="preserve">8 + B INDUSTRIES INC (1983; SIC 3573,2751) | J W AUTOMATIC MACHINE INC (1983; SIC 3451)</t>
  </si>
  <si>
    <t xml:space="preserve">8 + B INDUSTRIES INC (1983) | J W AUTOMATIC MACHINE INC (1983)</t>
  </si>
  <si>
    <t xml:space="preserve">B &amp; M ROOFING OF COLORADO INC</t>
  </si>
  <si>
    <t xml:space="preserve">S04599</t>
  </si>
  <si>
    <t xml:space="preserve">3251 11TH ST</t>
  </si>
  <si>
    <t xml:space="preserve">ELECTRICON CORP (1983; SIC 3573,3599,3079)</t>
  </si>
  <si>
    <t xml:space="preserve">ELECTRICON CORP (1983)</t>
  </si>
  <si>
    <t xml:space="preserve">FOOTHILL ELEMENTARY SCHOOL</t>
  </si>
  <si>
    <t xml:space="preserve">S04600</t>
  </si>
  <si>
    <t xml:space="preserve">6317 ARAPAHOE</t>
  </si>
  <si>
    <t xml:space="preserve">GEWA RIBBON LTD (1983; SIC 3955,3573) | GOLDEN RIBBON CORP D.B.A..G E W A RIBBONS LTD (1988; SIC 2761,3571) | HARMONY DESIGN INC (1990; SIC 3253,3496,3965)</t>
  </si>
  <si>
    <t xml:space="preserve">GEWA RIBBON LTD (1983) | HARMONY METAL INC (1983) | GOLDEN RIBBON CORP D.B.A..G E W A RIBBONS LTD (1988) | AUDREY'S NO-NOS (1990) | HARMONY DESIGN INC (1990)</t>
  </si>
  <si>
    <t xml:space="preserve">Johns 4x4 Center Inc.</t>
  </si>
  <si>
    <t xml:space="preserve">COMPUTER PRODUCTS TECNETICS</t>
  </si>
  <si>
    <t xml:space="preserve">BOULDER COUNTY SHERIFF</t>
  </si>
  <si>
    <t xml:space="preserve">S04605</t>
  </si>
  <si>
    <t xml:space="preserve">9081 TAHOE LN</t>
  </si>
  <si>
    <t xml:space="preserve">HODGSONsRede + SONS (1983-1990; SIC 3599)</t>
  </si>
  <si>
    <t xml:space="preserve">HODGSONsRede + SONS (1983)</t>
  </si>
  <si>
    <t xml:space="preserve">S04608</t>
  </si>
  <si>
    <t xml:space="preserve">3641 19TH ST</t>
  </si>
  <si>
    <t xml:space="preserve">J"LEEN LTD (1983-1988; SIC 3961,3499) | JLEEN LTD (1990; SIC 3469,3496,3231)</t>
  </si>
  <si>
    <t xml:space="preserve">J"LEEN LTD (1983) | JLEEN LTD (1990)</t>
  </si>
  <si>
    <t xml:space="preserve">S04611</t>
  </si>
  <si>
    <t xml:space="preserve">3015 BLUFF ST</t>
  </si>
  <si>
    <t xml:space="preserve">COMMUNICATION DATA LAB (1988; SIC 3577)</t>
  </si>
  <si>
    <t xml:space="preserve">KWIK KOPY (1983) | COMMUNICATION DATA LAB (1988) | COMPONENTS KWIK KOPY (1988) | KING SIGN CO INC (1990)</t>
  </si>
  <si>
    <t xml:space="preserve">S04627</t>
  </si>
  <si>
    <t xml:space="preserve">6681 ARAPAHOE</t>
  </si>
  <si>
    <t xml:space="preserve">Chemicals; Rubber &amp; plastics</t>
  </si>
  <si>
    <t xml:space="preserve">THE PROTECTOR CORPORATION (1990; SIC 3089) | Ft SYNTEX CHEMICALS INC (1992; SIC 2869)</t>
  </si>
  <si>
    <t xml:space="preserve">RELA SYSTEMS INC (1983) | THE PROTECTOR CORPORATION (1990) | Ft SYNTEX CHEMICALS INC (1992)</t>
  </si>
  <si>
    <t xml:space="preserve">ELASTOMER TECHNOLOGY INC</t>
  </si>
  <si>
    <t xml:space="preserve">S04635</t>
  </si>
  <si>
    <t xml:space="preserve">195 CONTINENTAL VIEW</t>
  </si>
  <si>
    <t xml:space="preserve">TROUSIL COes ReEso INC. (1983; SIC 2899) | R E TROUSIL CO INC (1988-1990; SIC 2899)</t>
  </si>
  <si>
    <t xml:space="preserve">TROUSIL COes ReEso INC. (1983) | R E TROUSIL CO INC (1988)</t>
  </si>
  <si>
    <t xml:space="preserve">S04647</t>
  </si>
  <si>
    <t xml:space="preserve">960 DIAMOND CIR</t>
  </si>
  <si>
    <t xml:space="preserve">KENRAY CORPORATION (1983; SIC 3444,3469,2751)</t>
  </si>
  <si>
    <t xml:space="preserve">KENRAY CORPORATION (1983)</t>
  </si>
  <si>
    <t xml:space="preserve">S04662</t>
  </si>
  <si>
    <t xml:space="preserve">1811 LEFTHAND CIR</t>
  </si>
  <si>
    <t xml:space="preserve">Electronic components; Semiconductors</t>
  </si>
  <si>
    <t xml:space="preserve">1983;1992</t>
  </si>
  <si>
    <t xml:space="preserve">GUYCO INDUSTRIES INC (1983; SIC 3679,3496,3674) | CHINOOK TECHNOLOGY (1992; SIC 3751)</t>
  </si>
  <si>
    <t xml:space="preserve">GUYCO INDUSTRIES INC (1983) | CHINOOK TECHNOLOGY (1992) | IBROTEK INDUSTRIES INC (1992)</t>
  </si>
  <si>
    <t xml:space="preserve">CENTURY DATA AMCODYNE DIV</t>
  </si>
  <si>
    <t xml:space="preserve">CATALINA CONTROLS</t>
  </si>
  <si>
    <t xml:space="preserve">S04680</t>
  </si>
  <si>
    <t xml:space="preserve">401 S 2ND AVE</t>
  </si>
  <si>
    <t xml:space="preserve">LOUISVILLE</t>
  </si>
  <si>
    <t xml:space="preserve">80027</t>
  </si>
  <si>
    <t xml:space="preserve">WHEELS WORKS (1983-1990; SIC 3469,3751) | SUPERIOR WHEEL WORKS (1988; SIC 3469)</t>
  </si>
  <si>
    <t xml:space="preserve">WHEELS WORKS (1983) | SUPERIOR WHEEL WORKS (1988)</t>
  </si>
  <si>
    <t xml:space="preserve">S05320</t>
  </si>
  <si>
    <t xml:space="preserve">275 BROOKSIDE</t>
  </si>
  <si>
    <t xml:space="preserve">1992</t>
  </si>
  <si>
    <t xml:space="preserve">ANGLERS PRODUCTS (1992; SIC 3949,2949)</t>
  </si>
  <si>
    <t xml:space="preserve">ANGLERS PRODUCTS (1988)</t>
  </si>
  <si>
    <t xml:space="preserve">MAPLETON CENTER FOR REHABILITATION</t>
  </si>
  <si>
    <t xml:space="preserve">S05322</t>
  </si>
  <si>
    <t xml:space="preserve">4401 BASELINE RD</t>
  </si>
  <si>
    <t xml:space="preserve">EQUIPMENT NOREEN Sion nes (1988; SIC 3423,3826)</t>
  </si>
  <si>
    <t xml:space="preserve">EQUIPMENT NOREEN Sion nes (1988)</t>
  </si>
  <si>
    <t xml:space="preserve">BOULDER MANOR</t>
  </si>
  <si>
    <t xml:space="preserve">S05337</t>
  </si>
  <si>
    <t xml:space="preserve">100 ARAPAHOE STE 10</t>
  </si>
  <si>
    <t xml:space="preserve">CLARK ASSOCIATES INC (1990; SIC 3571)</t>
  </si>
  <si>
    <t xml:space="preserve">DLSYS LTD D.B.A.-SISCOM (1988) | CLARK ASSOCIATES INC (1990) | SISCOM (1990)</t>
  </si>
  <si>
    <t xml:space="preserve">SCANDINAVIAN AUTOMOTIVE INC</t>
  </si>
  <si>
    <t xml:space="preserve">S05340</t>
  </si>
  <si>
    <t xml:space="preserve">2964 TINCUP CIR</t>
  </si>
  <si>
    <t xml:space="preserve">Industrial machinery; Petroleum refining; Rubber &amp; plastics</t>
  </si>
  <si>
    <t xml:space="preserve">FERN CREEK ENTERPRISES INC (1988; SIC 2499,2741,3089)</t>
  </si>
  <si>
    <t xml:space="preserve">FERN CREEK ENTERPRISES INC (1988)</t>
  </si>
  <si>
    <t xml:space="preserve">S05345</t>
  </si>
  <si>
    <t xml:space="preserve">155 ELDORADO SPRINGS</t>
  </si>
  <si>
    <t xml:space="preserve">HANPLEY COMPUTER (1988-1990; SIC 3577)</t>
  </si>
  <si>
    <t xml:space="preserve">HANPLEY COMPUTER (1988)</t>
  </si>
  <si>
    <t xml:space="preserve">S05348</t>
  </si>
  <si>
    <t xml:space="preserve">1525 SPRUCE NO 102</t>
  </si>
  <si>
    <t xml:space="preserve">Primary metals</t>
  </si>
  <si>
    <t xml:space="preserve">POWER BOX (1990; SIC 2522,3341,3829)</t>
  </si>
  <si>
    <t xml:space="preserve">J CORP (1988) | POWER BOX (1990) | POWERBOX INC (1992)</t>
  </si>
  <si>
    <t xml:space="preserve">GOODYEAR TIRE CENTER</t>
  </si>
  <si>
    <t xml:space="preserve">S05355</t>
  </si>
  <si>
    <t xml:space="preserve">380 S 43RD ST</t>
  </si>
  <si>
    <t xml:space="preserve">AUTOMOTIVE ENGINE S J MILLER CO (1988; SIC 2678,2752,3471)</t>
  </si>
  <si>
    <t xml:space="preserve">AUTOMOTIVE ENGINE S J MILLER CO (1988)</t>
  </si>
  <si>
    <t xml:space="preserve">S05380</t>
  </si>
  <si>
    <t xml:space="preserve">2970 WILDERNESS</t>
  </si>
  <si>
    <t xml:space="preserve">SALVES + SYRUPS UNISYS CORP (1988; SIC 3577)</t>
  </si>
  <si>
    <t xml:space="preserve">SALVES + SYRUPS UNISYS CORP (1988)</t>
  </si>
  <si>
    <t xml:space="preserve">SIRNA THERAPEUTICS, INC.</t>
  </si>
  <si>
    <t xml:space="preserve">S05909</t>
  </si>
  <si>
    <t xml:space="preserve">2140 N 107 ST</t>
  </si>
  <si>
    <t xml:space="preserve">(WESTERN MEDICAL EQUIPMENT CORP (1992; SIC 3842,2834)</t>
  </si>
  <si>
    <t xml:space="preserve">WESTERN MEDICAL EQUIPMENT CORP (1988)</t>
  </si>
  <si>
    <t xml:space="preserve">S05967</t>
  </si>
  <si>
    <t xml:space="preserve">1500 KANSAS AVE 2E</t>
  </si>
  <si>
    <t xml:space="preserve">WATER BASE INK CODAR TECHNOLOGY INC (1988; SIC 3571) | Is MACHINE+ENGINEERING (1988; SIC 3549,3571,3589)</t>
  </si>
  <si>
    <t xml:space="preserve">WATER BASE INK CODAR TECHNOLOGY INC (1988) | Is MACHINE+ENGINEERING (1988)</t>
  </si>
  <si>
    <t xml:space="preserve">CITY OF LONGMONT POWER &amp; COMMUNICATIONS</t>
  </si>
  <si>
    <t xml:space="preserve">CONNER PERIPHERIALS</t>
  </si>
  <si>
    <t xml:space="preserve">S05975</t>
  </si>
  <si>
    <t xml:space="preserve">108 ROTHROCK PL</t>
  </si>
  <si>
    <t xml:space="preserve">SERVICE PRODUCTS INSKEEP MACHINE SHOP (1988; SIC 3599) | INSKEEP MACHINE SHOP (1990-1992; SIC 3599)</t>
  </si>
  <si>
    <t xml:space="preserve">SERVICE PRODUCTS INSKEEP MACHINE SHOP (1988) | INSKEEP MACHINE SHOP (1990)</t>
  </si>
  <si>
    <t xml:space="preserve">S05979</t>
  </si>
  <si>
    <t xml:space="preserve">1552 DRAKE ST</t>
  </si>
  <si>
    <t xml:space="preserve">COMPONENTS MERCATUS INC (1988; SIC 3423,3713) | MERCATUS INC (1990; SIC 3423,3713)</t>
  </si>
  <si>
    <t xml:space="preserve">COMPONENTS MERCATUS INC (1988) | MERCATUS INC (1990)</t>
  </si>
  <si>
    <t xml:space="preserve">S05982</t>
  </si>
  <si>
    <t xml:space="preserve">1710 3RD AVE</t>
  </si>
  <si>
    <t xml:space="preserve">RABBIT HILL GRAPHICS (1988; SIC 2759,3993,3599)</t>
  </si>
  <si>
    <t xml:space="preserve">RABBIT HILL GRAPHICS (1988)</t>
  </si>
  <si>
    <t xml:space="preserve">S05992</t>
  </si>
  <si>
    <t xml:space="preserve">165 S PIERCE AVE</t>
  </si>
  <si>
    <t xml:space="preserve">MARK WILLIAMS ENTERPRISES INC (1988; SIC 3498,3599,3714)</t>
  </si>
  <si>
    <t xml:space="preserve">MARK WILLIAMS ENTERPRISES INC (1988)</t>
  </si>
  <si>
    <t xml:space="preserve">SAFION RENEWABLES</t>
  </si>
  <si>
    <t xml:space="preserve">S06017</t>
  </si>
  <si>
    <t xml:space="preserve">501 LAKE DR</t>
  </si>
  <si>
    <t xml:space="preserve">LYONS</t>
  </si>
  <si>
    <t xml:space="preserve">80540</t>
  </si>
  <si>
    <t xml:space="preserve">BLUE MOUNTAIN TOOL (1988; SIC 3599,2711)</t>
  </si>
  <si>
    <t xml:space="preserve">BLUE MOUNTAIN TOOL (1988)</t>
  </si>
  <si>
    <t xml:space="preserve">S06184</t>
  </si>
  <si>
    <t xml:space="preserve">1113 SPRUCE ST</t>
  </si>
  <si>
    <t xml:space="preserve">ASPEN WATER SYSTEMS (1990; SIC 3589,3599,3585)</t>
  </si>
  <si>
    <t xml:space="preserve">ASPEN WATER SYSTEMS (1990)</t>
  </si>
  <si>
    <t xml:space="preserve">BOULDER PUBLISHING INC</t>
  </si>
  <si>
    <t xml:space="preserve">S06189</t>
  </si>
  <si>
    <t xml:space="preserve">5171 ELDORADO SPRINGS DR</t>
  </si>
  <si>
    <t xml:space="preserve">DATA DISPLAY CORP (1990; SIC 3577)</t>
  </si>
  <si>
    <t xml:space="preserve">DATA DISPLAY CORP (1990) | TM PRODUCTS INC (1992)</t>
  </si>
  <si>
    <t xml:space="preserve">S06194</t>
  </si>
  <si>
    <t xml:space="preserve">293 ALPINE WAY</t>
  </si>
  <si>
    <t xml:space="preserve">80304</t>
  </si>
  <si>
    <t xml:space="preserve">FLOYD DRIVES CO (1990; SIC 3566,3599)</t>
  </si>
  <si>
    <t xml:space="preserve">FLOYD DRIVES CO (1990)</t>
  </si>
  <si>
    <t xml:space="preserve">S06197</t>
  </si>
  <si>
    <t xml:space="preserve">6440 ODELL PL NO B</t>
  </si>
  <si>
    <t xml:space="preserve">HIRSH PRECISION PRODUCTS INC | (1990-1992; SIC 3423,3499,3544)</t>
  </si>
  <si>
    <t xml:space="preserve">HIRSH PRECISION PRODUCTS INC | (1990)</t>
  </si>
  <si>
    <t xml:space="preserve">ELECTRASTEEL INC</t>
  </si>
  <si>
    <t xml:space="preserve">DUGOUT CLEANERS INC</t>
  </si>
  <si>
    <t xml:space="preserve">S06201</t>
  </si>
  <si>
    <t xml:space="preserve">5150 VALMONT</t>
  </si>
  <si>
    <t xml:space="preserve">MOUNTAIN OCEAN (1990; SIC 2844)</t>
  </si>
  <si>
    <t xml:space="preserve">MOUNTAIN OCEAN (1990)</t>
  </si>
  <si>
    <t xml:space="preserve">S06202</t>
  </si>
  <si>
    <t xml:space="preserve">4600 MACKY WAY</t>
  </si>
  <si>
    <t xml:space="preserve">MOVICK ENGINEERING CO INC (1990; SIC 3433)</t>
  </si>
  <si>
    <t xml:space="preserve">MOVICK ENGINEERING CO INC (1990)</t>
  </si>
  <si>
    <t xml:space="preserve">S06205</t>
  </si>
  <si>
    <t xml:space="preserve">421 KELLY RD E</t>
  </si>
  <si>
    <t xml:space="preserve">Electronic tubes</t>
  </si>
  <si>
    <t xml:space="preserve">PLATTER ANALYSIS + DESIGN (1990; SIC 3577,3825) | OUTBOUND SYSTEMS (1992; SIC 3671,3577,3999)</t>
  </si>
  <si>
    <t xml:space="preserve">PLATTER ANALYSIS + DESIGN (1990) | OUTBOUND SYSTEMS (1992)</t>
  </si>
  <si>
    <t xml:space="preserve">S06690</t>
  </si>
  <si>
    <t xml:space="preserve">11874 JASPER RD</t>
  </si>
  <si>
    <t xml:space="preserve">CARL'S JOB SHOP (1990; SIC 3545) | (CJS MACHINE (1992; SIC 3545)</t>
  </si>
  <si>
    <t xml:space="preserve">CARL'S JOB SHOP (1990) | (CJS MACHINE (1992)</t>
  </si>
  <si>
    <t xml:space="preserve">S06694</t>
  </si>
  <si>
    <t xml:space="preserve">1200 DIAMOND CIR UNIT D</t>
  </si>
  <si>
    <t xml:space="preserve">NOVATECH CORP (1990; SIC 3577)</t>
  </si>
  <si>
    <t xml:space="preserve">NOVATECH CORP (1990) | SEQUENTIAL SYSTEMS, INC (1990)</t>
  </si>
  <si>
    <t xml:space="preserve">DESIGN FABRICATORS INC.</t>
  </si>
  <si>
    <t xml:space="preserve">ASPEN DENTAL</t>
  </si>
  <si>
    <t xml:space="preserve">S06741</t>
  </si>
  <si>
    <t xml:space="preserve">1820 DELAWARE PI</t>
  </si>
  <si>
    <t xml:space="preserve">TRHINDUSTRIES INC (1992; SIC 3599,3829)</t>
  </si>
  <si>
    <t xml:space="preserve">COLORADO TRANSFORMER CO (1990) | TSA SYSTEMS LTD (1990) | TRHINDUSTRIES INC (1992)</t>
  </si>
  <si>
    <t xml:space="preserve">CIRCUITS WEST INC</t>
  </si>
  <si>
    <t xml:space="preserve">NEXUS CONTROLS LLC</t>
  </si>
  <si>
    <t xml:space="preserve">S06759</t>
  </si>
  <si>
    <t xml:space="preserve">697 S PIERCE AVE</t>
  </si>
  <si>
    <t xml:space="preserve">SCOPE MANUFACTURING INC (1990; SIC 3444)</t>
  </si>
  <si>
    <t xml:space="preserve">SCOPE MANUFACTURING INC (1990)</t>
  </si>
  <si>
    <t xml:space="preserve">KRYPTANE SYSTEMS</t>
  </si>
  <si>
    <t xml:space="preserve">COLORFLEX</t>
  </si>
  <si>
    <t xml:space="preserve">S06895</t>
  </si>
  <si>
    <t xml:space="preserve">6400 LOOKOUT RD</t>
  </si>
  <si>
    <t xml:space="preserve">Bi INCORPORATED (1992; SIC 3523,3669)</t>
  </si>
  <si>
    <t xml:space="preserve">Bi INCORPORATED (1992) | PRIMA SPORTS (1992)</t>
  </si>
  <si>
    <t xml:space="preserve">S06911</t>
  </si>
  <si>
    <t xml:space="preserve">1538 28TH ST</t>
  </si>
  <si>
    <t xml:space="preserve">WHEELS MANUFACTURING: (1992; SIC 3423,3647,3751)</t>
  </si>
  <si>
    <t xml:space="preserve">WHEELS MANUFACTURING: (1992)</t>
  </si>
  <si>
    <t xml:space="preserve">Arapahoe Village</t>
  </si>
  <si>
    <t xml:space="preserve">SAFEWAY STORE #2911</t>
  </si>
  <si>
    <t xml:space="preserve">S07095</t>
  </si>
  <si>
    <t xml:space="preserve">1116 COLORADO AVE</t>
  </si>
  <si>
    <t xml:space="preserve">‘COLO TOOLING &amp; ENGINEERING (1992; SIC 3089)</t>
  </si>
  <si>
    <t xml:space="preserve">‘COLO TOOLING &amp; ENGINEERING (1992)</t>
  </si>
  <si>
    <t xml:space="preserve">DOVATRON MANUFACTURING W</t>
  </si>
  <si>
    <t xml:space="preserve">DBM TECHNOLOGY INC</t>
  </si>
  <si>
    <t xml:space="preserve">S07104</t>
  </si>
  <si>
    <t xml:space="preserve">1753 TULIP ST</t>
  </si>
  <si>
    <t xml:space="preserve">\VETIECH INC (1992; SIC 3086,3089)</t>
  </si>
  <si>
    <t xml:space="preserve">\VETIECH INC (1992)</t>
  </si>
  <si>
    <t xml:space="preserve">S00669</t>
  </si>
  <si>
    <t xml:space="preserve">10401 W 120TH</t>
  </si>
  <si>
    <t xml:space="preserve">BROOMFIELD</t>
  </si>
  <si>
    <t xml:space="preserve">Broomfield</t>
  </si>
  <si>
    <t xml:space="preserve">80020</t>
  </si>
  <si>
    <t xml:space="preserve">1966;1967;1968;1970;1990</t>
  </si>
  <si>
    <t xml:space="preserve">KRISTI CO, THE (1966-1967; SIC 3714) | GREEN BROS FABRICATION INC (1968-1970; SIC 3589) | KNUDSON MFG INC (1990; SIC 3542)</t>
  </si>
  <si>
    <t xml:space="preserve">KRISTI CO, THE (1966) | GREEN BROS FABRICATION INC (1968) | SEDITA MANUFACTURING INC (1977) | 33 PUMPING STATIONS KNUDSON MFG INC (1988) | KNUDSON MFG INC (1990)</t>
  </si>
  <si>
    <t xml:space="preserve">NUVASIVE INC</t>
  </si>
  <si>
    <t xml:space="preserve">S01686</t>
  </si>
  <si>
    <t xml:space="preserve">1 PARK ST</t>
  </si>
  <si>
    <t xml:space="preserve">1968;1973;1974;1980;1983</t>
  </si>
  <si>
    <t xml:space="preserve">COLGRADU INSTRUMENTS INC (1968-1973; SIC 3573) | COLORADO INSTRUMENTS INC 3591 MACHINE SHOPS, JOBBING AND REPAIR (1974; SIC 3573) | BALL AEROSPAGE SYSTEM DIV-MILITARY MFG (1980-1983; SIC 3679,3662)</t>
  </si>
  <si>
    <t xml:space="preserve">COLGRADU INSTRUMENTS INC (1968) | COLORADO INSTRUMENTS INC 3591 MACHINE SHOPS, JOBBING AND REPAIR (1974) | BALL AEROSPAGE SYSTEM DIV-MILITARY MFG (1980)</t>
  </si>
  <si>
    <t xml:space="preserve">INTREX CORPORATION</t>
  </si>
  <si>
    <t xml:space="preserve">S01872</t>
  </si>
  <si>
    <t xml:space="preserve">11950 WADSWORTH BLVD</t>
  </si>
  <si>
    <t xml:space="preserve">1968;1973;1974;1977</t>
  </si>
  <si>
    <t xml:space="preserve">DENVER PUMP + MFG CO (1968-1973; SIC 3561,3621) | MELD CONTINENT ENGINEERING CORPORATICN (1974; SIC 3589) | T H TOOL + MACHINE INC (1974; SIC 3544,3591,3599) | MID CONTINENT ENGINEERING CORPORATION (1977; SIC 3589)</t>
  </si>
  <si>
    <t xml:space="preserve">DENVER PUMP + MFG CO (1968) | MELD CONTINENT ENGINEERING CORPORATICN (1974) | T H TOOL + MACHINE INC (1974) | MID CONTINENT ENGINEERING CORPORATION (1977) | NORTH VALLEY MACHINE (1980)</t>
  </si>
  <si>
    <t xml:space="preserve">MANDATORY MAINTENANCE</t>
  </si>
  <si>
    <t xml:space="preserve">S02373</t>
  </si>
  <si>
    <t xml:space="preserve">2801 INDUSTRIAL LN</t>
  </si>
  <si>
    <t xml:space="preserve">BRUN NETALCRAFT (1980-1990; SIC 3446) | HEISZ TOOL AND MACHINE CO (1980; SIC 3599) | EQHORART SUTTER (1988; SIC 3452) | COLORADO CUTTER GRINDING CO (1990; SIC 2795,3452,3599) | SCIENTIFIC ENTERPRISES INC (1990; SIC 3089,3625)</t>
  </si>
  <si>
    <t xml:space="preserve">SCIENTIFIC ENTERPRISES INC (1973) | BRUN NETALCRAFT (1980) | HEISZ TOOL AND MACHINE CO (1980) | CHINOOK SPORT LTD (1983) | EQHORART SUTTER (1988) | COLORADO CUTTER GRINDING CO (1990)</t>
  </si>
  <si>
    <t xml:space="preserve">Millenium Property/storage tech cor</t>
  </si>
  <si>
    <t xml:space="preserve">WALL TECHNOLOGY INC.</t>
  </si>
  <si>
    <t xml:space="preserve">JEMCO SEAL CORPORATION</t>
  </si>
  <si>
    <t xml:space="preserve">S03795</t>
  </si>
  <si>
    <t xml:space="preserve">225 HEMLOCK ST</t>
  </si>
  <si>
    <t xml:space="preserve">COCHRAN AIRCRAFT CO (1980-1983; SIC 3724,3999)</t>
  </si>
  <si>
    <t xml:space="preserve">COCHRAN AIRCRAFT CO (1980)</t>
  </si>
  <si>
    <t xml:space="preserve">S04640</t>
  </si>
  <si>
    <t xml:space="preserve">200 IRIS ST</t>
  </si>
  <si>
    <t xml:space="preserve">A FRIENO MANUFACTURING CORP (1983-1990; SIC 3999,3993,2396)</t>
  </si>
  <si>
    <t xml:space="preserve">A FRIENO MANUFACTURING CORP (1983) | CREATIVE EMPHASIS LTD (1983)</t>
  </si>
  <si>
    <t xml:space="preserve">CIRCLE K STORE # 2709894</t>
  </si>
  <si>
    <t xml:space="preserve">S04643</t>
  </si>
  <si>
    <t xml:space="preserve">2380 W MIDWAY BLVD</t>
  </si>
  <si>
    <t xml:space="preserve">ROCKMONT INDUSTRIES INC (1983; SIC 2649,3079,3544) | STAR SOLAR SYSTEMS INC (1990; SIC 3439,3599,3561)</t>
  </si>
  <si>
    <t xml:space="preserve">ROCKMONT INDUSTRIES INC (1983) | STAR SOLAR SYSTEMS INC (1990) | WESTVACO, ENVELOPE DIVISION (1990)</t>
  </si>
  <si>
    <t xml:space="preserve">SUN CHEMICAL CORP</t>
  </si>
  <si>
    <t xml:space="preserve">VISUAL MERCHANDISING, INC.</t>
  </si>
  <si>
    <t xml:space="preserve">RM3 LABS COLORADO LLC</t>
  </si>
  <si>
    <t xml:space="preserve">S04644</t>
  </si>
  <si>
    <t xml:space="preserve">965 CORAL ST</t>
  </si>
  <si>
    <t xml:space="preserve">SHIRCO PRODUCTS (1983-1988; SIC 3953,3079,2753)</t>
  </si>
  <si>
    <t xml:space="preserve">SHIRCO PRODUCTS (1983)</t>
  </si>
  <si>
    <t xml:space="preserve">S05043</t>
  </si>
  <si>
    <t xml:space="preserve">9795 GARRISON LN</t>
  </si>
  <si>
    <t xml:space="preserve">STONE ENVIRONMENTAL ENGR SERVICES INC (1983; SIC 3589,3569)</t>
  </si>
  <si>
    <t xml:space="preserve">STONE ENVIRONMENTAL ENGR SERVICES INC (1983)</t>
  </si>
  <si>
    <t xml:space="preserve">S05389</t>
  </si>
  <si>
    <t xml:space="preserve">11680 QUAY ST NO A</t>
  </si>
  <si>
    <t xml:space="preserve">BROOMFIELD A A ENGINEERING (1988; SIC 3544,3599) | AA ENGINEERING (1990-1992; SIC 3544,3599)</t>
  </si>
  <si>
    <t xml:space="preserve">BROOMFIELD A A ENGINEERING (1988) | CLEANING EQUIP T D SCOTT INC (1988) | AA ENGINEERING (1990)</t>
  </si>
  <si>
    <t xml:space="preserve">ALLPRO, INC.</t>
  </si>
  <si>
    <t xml:space="preserve">INCA PAINT AND PRINT</t>
  </si>
  <si>
    <t xml:space="preserve">S05401</t>
  </si>
  <si>
    <t xml:space="preserve">13034 KING CIR</t>
  </si>
  <si>
    <t xml:space="preserve">ARROW INSTRUMENT + MACHINING (1990; SIC 3599)</t>
  </si>
  <si>
    <t xml:space="preserve">PLBACK UNIT TERUS CORP (1988) | ARROW INSTRUMENT + MACHINING (1990) | TERUS CORP (1990)</t>
  </si>
  <si>
    <t xml:space="preserve">S06224</t>
  </si>
  <si>
    <t xml:space="preserve">2400 INDUSTRIAL LN NO 2800</t>
  </si>
  <si>
    <t xml:space="preserve">INTEC (1992; SIC 3599)</t>
  </si>
  <si>
    <t xml:space="preserve">BARRIER WEAR INC (1990) | INTEC (1992)</t>
  </si>
  <si>
    <t xml:space="preserve">IRVIN INDUSTRIES INC</t>
  </si>
  <si>
    <t xml:space="preserve">S06916</t>
  </si>
  <si>
    <t xml:space="preserve">1340 US HWY 287</t>
  </si>
  <si>
    <t xml:space="preserve">SIGNS &amp; DESIGNS (1992; SIC 3993,3499,3644)</t>
  </si>
  <si>
    <t xml:space="preserve">SIGNS &amp; DESIGNS (1992)</t>
  </si>
  <si>
    <t xml:space="preserve">S07067</t>
  </si>
  <si>
    <t xml:space="preserve">940 DAPHNE</t>
  </si>
  <si>
    <t xml:space="preserve">MILE HIGH MANUFACTURING IND (1992; SIC 3841,3599)</t>
  </si>
  <si>
    <t xml:space="preserve">MILE HIGH MANUFACTURING IND (1992)</t>
  </si>
  <si>
    <t xml:space="preserve">S00687</t>
  </si>
  <si>
    <t xml:space="preserve">331 H ST</t>
  </si>
  <si>
    <t xml:space="preserve">SALIDA</t>
  </si>
  <si>
    <t xml:space="preserve">Chaffee</t>
  </si>
  <si>
    <t xml:space="preserve">81201</t>
  </si>
  <si>
    <t xml:space="preserve">Chemicals; Fabricated metals; Rubber &amp; plastics</t>
  </si>
  <si>
    <t xml:space="preserve">HYLTON LUMBER CO (1988-1992; SIC 2431,2434,2448) | ‘THE MILL + CABINET SHOP (1992; SIC 2434,2511,2449)</t>
  </si>
  <si>
    <t xml:space="preserve">MONARCH DAIRY (1966) | nONARCH, OREEE (1970) | HYLTON LUMBER COMPANY (1980) | ‘THE MILL + CABINET SHOP (1992)</t>
  </si>
  <si>
    <t xml:space="preserve">Cook Brothers Oil Company</t>
  </si>
  <si>
    <t xml:space="preserve">SAFEWAY STORE #2817</t>
  </si>
  <si>
    <t xml:space="preserve">S03829</t>
  </si>
  <si>
    <t xml:space="preserve">210 W RAINBOW</t>
  </si>
  <si>
    <t xml:space="preserve">US SOIL CONOITIONING CO (1980-1990; SIC 2874,2048)</t>
  </si>
  <si>
    <t xml:space="preserve">US SOIL CONOITIONING CO (1980)</t>
  </si>
  <si>
    <t xml:space="preserve">S02852</t>
  </si>
  <si>
    <t xml:space="preserve">161 MEEKER</t>
  </si>
  <si>
    <t xml:space="preserve">DELTA</t>
  </si>
  <si>
    <t xml:space="preserve">Delta</t>
  </si>
  <si>
    <t xml:space="preserve">81416</t>
  </si>
  <si>
    <t xml:space="preserve">BRAMCO MANUFACTURING CO (1974; SIC 3714,2421)</t>
  </si>
  <si>
    <t xml:space="preserve">BRAMCO MANUFACTURING CO (1974)</t>
  </si>
  <si>
    <t xml:space="preserve">DELTA CLEANERS</t>
  </si>
  <si>
    <t xml:space="preserve">O'REILLY AUTO PARTS</t>
  </si>
  <si>
    <t xml:space="preserve">S05414</t>
  </si>
  <si>
    <t xml:space="preserve">875 W MAIN ST</t>
  </si>
  <si>
    <t xml:space="preserve">CEDAREDGE</t>
  </si>
  <si>
    <t xml:space="preserve">81413</t>
  </si>
  <si>
    <t xml:space="preserve">CEDAREDGE RUBBER CO (1988-1990; SIC 3053)</t>
  </si>
  <si>
    <t xml:space="preserve">CEDAREDGE RUBBER CO (1988)</t>
  </si>
  <si>
    <t xml:space="preserve">FRAMEWORKS</t>
  </si>
  <si>
    <t xml:space="preserve">S05533</t>
  </si>
  <si>
    <t xml:space="preserve">1780 GUNNISON AVE</t>
  </si>
  <si>
    <t xml:space="preserve">WELFELT WELDING (1988-1990; SIC 3317,3463,3799) | ROCKY MIN REBAR (1992; SIC 3441,3444,3463)</t>
  </si>
  <si>
    <t xml:space="preserve">WELFELT WELDING (1988) | ROCKY MIN REBAR (1992)</t>
  </si>
  <si>
    <t xml:space="preserve">HIGH COUNTRY CONTACTS</t>
  </si>
  <si>
    <t xml:space="preserve">S00078</t>
  </si>
  <si>
    <t xml:space="preserve">1600 BOULDER</t>
  </si>
  <si>
    <t xml:space="preserve">Denver</t>
  </si>
  <si>
    <t xml:space="preserve">1965</t>
  </si>
  <si>
    <t xml:space="preserve">AC INCUSTRIES PLASTIC BINDING DIV. (1965; SIC 3079)</t>
  </si>
  <si>
    <t xml:space="preserve">AC INCUSTRIES PLASTIC BINDING DIV. (1965)</t>
  </si>
  <si>
    <t xml:space="preserve">T&amp;R ENGRAVING</t>
  </si>
  <si>
    <t xml:space="preserve">T &amp; R ENGRAVING INC</t>
  </si>
  <si>
    <t xml:space="preserve">S00083</t>
  </si>
  <si>
    <t xml:space="preserve">1285 S HURON</t>
  </si>
  <si>
    <t xml:space="preserve">Chemicals; Fabricated metals</t>
  </si>
  <si>
    <t xml:space="preserve">1965;1966;1967;1968;1970</t>
  </si>
  <si>
    <t xml:space="preserve">AIR MASTER CORP. (1965-1970; SIC 3441)</t>
  </si>
  <si>
    <t xml:space="preserve">AIR MASTER CORP. (1965)</t>
  </si>
  <si>
    <t xml:space="preserve">Austin Hardwoods</t>
  </si>
  <si>
    <t xml:space="preserve">VANGO GRAPHICS INC</t>
  </si>
  <si>
    <t xml:space="preserve">S00098</t>
  </si>
  <si>
    <t xml:space="preserve">2144 LARIMER ST</t>
  </si>
  <si>
    <t xml:space="preserve">AMERICAN MATTRESS MFG. CO. (1965; SIC 2815)</t>
  </si>
  <si>
    <t xml:space="preserve">AMERICAN MATTRESS MFG. CO. (1965)</t>
  </si>
  <si>
    <t xml:space="preserve">Lawrence Street Development</t>
  </si>
  <si>
    <t xml:space="preserve">PREMIERR SPECIALTY CONTRACTORS</t>
  </si>
  <si>
    <t xml:space="preserve">S00100</t>
  </si>
  <si>
    <t xml:space="preserve">1653 CENTRAL</t>
  </si>
  <si>
    <t xml:space="preserve">Chemicals; Fabricated metals; Industrial machinery; Primary metals</t>
  </si>
  <si>
    <t xml:space="preserve">1965;1967;1968;1970;1973;1974;1977;1980;1983;1988;1990</t>
  </si>
  <si>
    <t xml:space="preserve">AMERICAN PATTERN WCRKS (1965-1983; SIC 3585) | EMCO MACHINE PRODUCTS (1968; SIC 3559,3555,3591) | UNIVERSAL CHEMICAL # SUPPLIES INC (1968; SIC 2899) | CENTRAL MACHINE INC (1973-1977; SIC 3591) |  (1974; SIC 3565) | AMERICAN MACHINE (1980-1990; SIC 3469) | QMERICAN PATTERN (1988; SIC 3543) | GARDNER AM (1990; SIC 3543)</t>
  </si>
  <si>
    <t xml:space="preserve">AMERICAN PATTERN WCRKS (1965) | EMCO MACHINE PRODUCTS (1968) | UNIVERSAL CHEMICAL # SUPPLIES INC (1968) | CENTRAL MACHINE INC (1973) |  (1974) | AMERICAN MACHINE (1980) | MERRY X-RAY CHEM. CORP (1983) | QMERICAN PATTERN (1988) | GARDNER AM (1990)</t>
  </si>
  <si>
    <t xml:space="preserve">Anchor Bolt Facility</t>
  </si>
  <si>
    <t xml:space="preserve">PAUL JEIINEK</t>
  </si>
  <si>
    <t xml:space="preserve">S00108</t>
  </si>
  <si>
    <t xml:space="preserve">130 E 5TH AVE</t>
  </si>
  <si>
    <t xml:space="preserve">ARMCO STEEL CCRP (1965; SIC 3444)</t>
  </si>
  <si>
    <t xml:space="preserve">ARMCO STEEL CCRP (1965)</t>
  </si>
  <si>
    <t xml:space="preserve">Gables Speer Blvd.</t>
  </si>
  <si>
    <t xml:space="preserve">JE GOOD AUTO BODY</t>
  </si>
  <si>
    <t xml:space="preserve">S00112</t>
  </si>
  <si>
    <t xml:space="preserve">2050 LAWRENCE</t>
  </si>
  <si>
    <t xml:space="preserve">Printed circuit boards</t>
  </si>
  <si>
    <t xml:space="preserve">1965;1974;1977</t>
  </si>
  <si>
    <t xml:space="preserve">ART-TECH, INC. (1965; SIC 3444) | R + R ELECTRONICS OF COLO INC (1974; SIC 3672) | 347k PLATING AND POLISHING 3334 PRIMARY ALUMINUM R + R ELECTRONICS OF COLD INC (1977; SIC 3471)</t>
  </si>
  <si>
    <t xml:space="preserve">ART-TECH, INC. (1965) | COLORACO RULERS + BINDERS (1967) | COLORADG RULERS + BINCERS (1968) | COLORADO BSINCDERYs INC (1970) | R + R ELECTRONICS OF COLO INC (1974) | 347k PLATING AND POLISHING 3334 PRIMARY ALUMINUM R + R ELECTRONICS OF COLD INC (1977) | POWER UNITS WARREN GRAPHICS INC (1988) | WARREN GRAPHICS INC (1990)</t>
  </si>
  <si>
    <t xml:space="preserve">FORMER UNITED AUTO SERVICE</t>
  </si>
  <si>
    <t xml:space="preserve">S00144</t>
  </si>
  <si>
    <t xml:space="preserve">1224 LAWRENCE</t>
  </si>
  <si>
    <t xml:space="preserve">CLER-VUE CO. (1965; SIC 3429)</t>
  </si>
  <si>
    <t xml:space="preserve">CLER-VUE CO. (1965)</t>
  </si>
  <si>
    <t xml:space="preserve">First Year Student Housing (CU Denver)</t>
  </si>
  <si>
    <t xml:space="preserve">UNIVERSITY OF COLORADO - DENVER</t>
  </si>
  <si>
    <t xml:space="preserve">S00145</t>
  </si>
  <si>
    <t xml:space="preserve">2363 LARIMER</t>
  </si>
  <si>
    <t xml:space="preserve">SQUARE REAL MFG. Co. (1965; SIC 2842)</t>
  </si>
  <si>
    <t xml:space="preserve">CROUSE-WILLIAMS AND CC. (1965) | SQUARE REAL MFG. Co. (1965) | COLORADO MATTRESS MFG CO (1966) | MCUNTAIN STATES MATTRESS CO (1968) | STAR INOUSTRIAL SUPPLIGS INC (1980)</t>
  </si>
  <si>
    <t xml:space="preserve">Arapahoe Square Development II</t>
  </si>
  <si>
    <t xml:space="preserve">SILVER STATE LAUNDRY BLDG</t>
  </si>
  <si>
    <t xml:space="preserve">S00147</t>
  </si>
  <si>
    <t xml:space="preserve">1411 MARKET</t>
  </si>
  <si>
    <t xml:space="preserve">1965;1980;1983</t>
  </si>
  <si>
    <t xml:space="preserve">CUSTOM MACHINING + FABRICATICN (1965; SIC 3591) | FAVER-LOCKHART LABCRATORIES (1965; SIC 2821) | &amp; J MOORE INCORPORATED (1980; SIC 3231,3432) | R J MOORE INCORPORATED (1983; SIC 3231,3432,3356) | R J ADORE INCORPORATED (1983; SIC 3231,3432,3356)</t>
  </si>
  <si>
    <t xml:space="preserve">CUSTOM MACHINING + FABRICATICN (1965) | FAVER-LOCKHART LABCRATORIES (1965) | COLORADO SADDLERY co (1966) | L + R BINDERY (1973) | PUOR RICHARDS LTD (1974) | &amp; J MOORE INCORPORATED (1980) | R J MOORE INCORPORATED (1983) | R J ADORE INCORPORATED (1983)</t>
  </si>
  <si>
    <t xml:space="preserve">CU Denver; Dravo Bldg</t>
  </si>
  <si>
    <t xml:space="preserve">US DEPARTMENT OF THE TREASURY US MINT DENVER</t>
  </si>
  <si>
    <t xml:space="preserve">DENVER MACHINE SHOP</t>
  </si>
  <si>
    <t xml:space="preserve">S00161</t>
  </si>
  <si>
    <t xml:space="preserve">1934 WE 33RD</t>
  </si>
  <si>
    <t xml:space="preserve">Metal mining / ore milling</t>
  </si>
  <si>
    <t xml:space="preserve">1965;1967</t>
  </si>
  <si>
    <t xml:space="preserve">CENVER PREFORMING CO. (1965-1967; SIC 2852)</t>
  </si>
  <si>
    <t xml:space="preserve">CENVER PREFORMING CO. (1965)</t>
  </si>
  <si>
    <t xml:space="preserve">Sprocket Design Build</t>
  </si>
  <si>
    <t xml:space="preserve">ENCORE DRAPERIES, INC.</t>
  </si>
  <si>
    <t xml:space="preserve">S00162</t>
  </si>
  <si>
    <t xml:space="preserve">2307 LARIMER</t>
  </si>
  <si>
    <t xml:space="preserve">CENVER RE-TiNNING + METALIZING CO. (1965; SIC 3479)</t>
  </si>
  <si>
    <t xml:space="preserve">CENVER RE-TiNNING + METALIZING CO. (1965) | *GLOBE CASKET MFG CO (1966) | GLOBE CASKET CO 2431 MILLWORK PLANTS (1970)</t>
  </si>
  <si>
    <t xml:space="preserve">S00171</t>
  </si>
  <si>
    <t xml:space="preserve">935 S PATTON CT</t>
  </si>
  <si>
    <t xml:space="preserve">1968</t>
  </si>
  <si>
    <t xml:space="preserve">DURANC, RUSSELL (1968; SIC 3532)</t>
  </si>
  <si>
    <t xml:space="preserve">ESCO CORPORATION (1965) | DURANC, RUSSELL (1968)</t>
  </si>
  <si>
    <t xml:space="preserve">S00173</t>
  </si>
  <si>
    <t xml:space="preserve">485 S JERSEY</t>
  </si>
  <si>
    <t xml:space="preserve">ESSCO PRODUCTS (1965; SIC 3442)</t>
  </si>
  <si>
    <t xml:space="preserve">ESSCO PRODUCTS (1965)</t>
  </si>
  <si>
    <t xml:space="preserve">JIFFY LUBE</t>
  </si>
  <si>
    <t xml:space="preserve">S00178</t>
  </si>
  <si>
    <t xml:space="preserve">2030 CHAMPA</t>
  </si>
  <si>
    <t xml:space="preserve">Chemicals; Fabricated metals; Primary metals; Rubber &amp; plastics</t>
  </si>
  <si>
    <t xml:space="preserve">1965;1966;1970;1973;1974;1980</t>
  </si>
  <si>
    <t xml:space="preserve">FECERAL ENVELCPE CC. (1965; SIC 2842) | COLORADO BADGE + TROPHY CO, THE (1966-1980; SIC 3369)</t>
  </si>
  <si>
    <t xml:space="preserve">FECERAL ENVELCPE CC. (1965) | COLORADO BADGE + TROPHY CO, THE (1966) | EAMES BROTHERS (1968) | JULIE ART DESIGN LTD (1973)</t>
  </si>
  <si>
    <t xml:space="preserve">2007 Broadway LLC</t>
  </si>
  <si>
    <t xml:space="preserve">GOODYEAR AUTO SERVICE CENTER</t>
  </si>
  <si>
    <t xml:space="preserve">S00187</t>
  </si>
  <si>
    <t xml:space="preserve">2180 S DELAWARE</t>
  </si>
  <si>
    <t xml:space="preserve">1965;1990;1992</t>
  </si>
  <si>
    <t xml:space="preserve">FRAZIER-GROSSMAN CCRP. (1965; SIC 3444) | S+T MACHINING LAB INC (1990-1992; SIC 3599)</t>
  </si>
  <si>
    <t xml:space="preserve">FRAZIER-GROSSMAN CCRP. (1965) | *MARKWOOD PRODUCTS CO (1966) | MARKWCOC PROCUCTS CC (1968) | S+T MACHINING LAB INC (1990)</t>
  </si>
  <si>
    <t xml:space="preserve">Former Power Engineering</t>
  </si>
  <si>
    <t xml:space="preserve">PROTECTO WRAP CO</t>
  </si>
  <si>
    <t xml:space="preserve">POWER ENGINEERING COMPANY 2220</t>
  </si>
  <si>
    <t xml:space="preserve">S00203</t>
  </si>
  <si>
    <t xml:space="preserve">2535 LARIMER ST</t>
  </si>
  <si>
    <t xml:space="preserve">1965;1968</t>
  </si>
  <si>
    <t xml:space="preserve">GOLCBERG BROTHERS MFG. CO. (1965; SIC 3861) | EMPIRE SPRING + SHCCK SERVICE IAC (1968; SIC 3493)</t>
  </si>
  <si>
    <t xml:space="preserve">GOLCBERG BROTHERS MFG. CO. (1965) | EMPIRE SPRING + SHCCK SERVICE IAC (1968)</t>
  </si>
  <si>
    <t xml:space="preserve">ULC BRUNETTI LOFTS</t>
  </si>
  <si>
    <t xml:space="preserve">SHERMAN &amp; HOWARD WAREHOUSE</t>
  </si>
  <si>
    <t xml:space="preserve">S00206</t>
  </si>
  <si>
    <t xml:space="preserve">2062 BLAKE ST</t>
  </si>
  <si>
    <t xml:space="preserve">GRABLER MFG. CO. (1965; SIC 3454)</t>
  </si>
  <si>
    <t xml:space="preserve">GRABLER MFG. CO. (1965)</t>
  </si>
  <si>
    <t xml:space="preserve">Former Piggly Wiggly Parcel II</t>
  </si>
  <si>
    <t xml:space="preserve">ETI GROUP COMPANIES OF NORTH AMERICA</t>
  </si>
  <si>
    <t xml:space="preserve">S00215</t>
  </si>
  <si>
    <t xml:space="preserve">2225 LOCUST</t>
  </si>
  <si>
    <t xml:space="preserve">FEISTEN HEATING + SHEET METAL (1965; SIC 3444)</t>
  </si>
  <si>
    <t xml:space="preserve">FEISTEN HEATING + SHEET METAL (1965)</t>
  </si>
  <si>
    <t xml:space="preserve">S00218</t>
  </si>
  <si>
    <t xml:space="preserve">1235 STOUT</t>
  </si>
  <si>
    <t xml:space="preserve">FICKS-DENVER CO. (1965; SIC 3581)</t>
  </si>
  <si>
    <t xml:space="preserve">FICKS-DENVER CO. (1965)</t>
  </si>
  <si>
    <t xml:space="preserve">J D CAIN COMPANY</t>
  </si>
  <si>
    <t xml:space="preserve">S00220</t>
  </si>
  <si>
    <t xml:space="preserve">1818 BLAKE</t>
  </si>
  <si>
    <t xml:space="preserve">1965;1968;1974;1977;1983;1988</t>
  </si>
  <si>
    <t xml:space="preserve">FINGLEYs J. A.) MACHINE CO. (1965-1988; SIC 3591)</t>
  </si>
  <si>
    <t xml:space="preserve">FINGLEYs J. A.) MACHINE CO. (1965) | MILLAR» E By COFFEE CO (1967) |  (1983) | EXECUTIVE PRESS INC (1988) | CUSTOM FURNISHINGS INC (1990) | NEON INC (1992)</t>
  </si>
  <si>
    <t xml:space="preserve">18th and Market LLC</t>
  </si>
  <si>
    <t xml:space="preserve">DENVER FIRE DEPT LINE SHOP</t>
  </si>
  <si>
    <t xml:space="preserve">S00223</t>
  </si>
  <si>
    <t xml:space="preserve">1893 S PEARL</t>
  </si>
  <si>
    <t xml:space="preserve">EXTINGUISHERS AEON ELECTRONICS INC (1988; SIC 3577)</t>
  </si>
  <si>
    <t xml:space="preserve">FOLLAND BAKERY» INC. (1965) | MODERN UPHOLSTERY CO (1967) | EXTINGUISHERS AEON ELECTRONICS INC (1988) | WASHINGTON PARK PROFILE (1990)</t>
  </si>
  <si>
    <t xml:space="preserve">Martin Fein Interests</t>
  </si>
  <si>
    <t xml:space="preserve">THE PHOTO MIRAGE</t>
  </si>
  <si>
    <t xml:space="preserve">S00228</t>
  </si>
  <si>
    <t xml:space="preserve">1545 GLENARM</t>
  </si>
  <si>
    <t xml:space="preserve">FOUSEY + ZEKMAN (1965; SIC 3561)</t>
  </si>
  <si>
    <t xml:space="preserve">FOUSEY + ZEKMAN (1965)</t>
  </si>
  <si>
    <t xml:space="preserve">Stage/Fashion Bar</t>
  </si>
  <si>
    <t xml:space="preserve">DENVER CHILLED WATER</t>
  </si>
  <si>
    <t xml:space="preserve">S00242</t>
  </si>
  <si>
    <t xml:space="preserve">1830 PLATTE</t>
  </si>
  <si>
    <t xml:space="preserve">LAW + SONS CASKET CO. (1965; SIC 3588)</t>
  </si>
  <si>
    <t xml:space="preserve">LAW + SONS CASKET CO. (1965)</t>
  </si>
  <si>
    <t xml:space="preserve">Central Platte Valley; Brownstones</t>
  </si>
  <si>
    <t xml:space="preserve">FINELINE SIGNS/GRAPHICS/PRINTING</t>
  </si>
  <si>
    <t xml:space="preserve">S00252</t>
  </si>
  <si>
    <t xml:space="preserve">5254 COOK</t>
  </si>
  <si>
    <t xml:space="preserve">1965;1966;1968;1970;1974;1977;1980;1983;1988</t>
  </si>
  <si>
    <t xml:space="preserve">LCHNE, Eo Jee IRON WORKS (1965; SIC 3441) | LOHNE, E J» IRUN WORKS (1966-1988; SIC 3496) | ARVADA STEEL FABRICATION CO (1977; SIC 3441)</t>
  </si>
  <si>
    <t xml:space="preserve">LCHNE, Eo Jee IRON WORKS (1965) | LOHNE, E J» IRUN WORKS (1966) | ARVADA STEEL FABRICATION CO (1977)</t>
  </si>
  <si>
    <t xml:space="preserve">J K CONCEPTS INC</t>
  </si>
  <si>
    <t xml:space="preserve">S00271</t>
  </si>
  <si>
    <t xml:space="preserve">2001 S BANNOCK</t>
  </si>
  <si>
    <t xml:space="preserve">1965;1970</t>
  </si>
  <si>
    <t xml:space="preserve">MORRISON - PELSUE CO. (1965; SIC 3433) | MOPECO, DIVISION OF GENERAL CABLE CORP (1970; SIC 3433,3564,3449)</t>
  </si>
  <si>
    <t xml:space="preserve">MORRISON - PELSUE CO. (1965) | MOPECO, DIVISION OF GENERAL CABLE CORP (1970) | PRO FACES INC (1974)</t>
  </si>
  <si>
    <t xml:space="preserve">J D GRANT INC</t>
  </si>
  <si>
    <t xml:space="preserve">MULTILIFT INC</t>
  </si>
  <si>
    <t xml:space="preserve">S00282</t>
  </si>
  <si>
    <t xml:space="preserve">1301 HW CENTER AVE</t>
  </si>
  <si>
    <t xml:space="preserve">NATIONAL WIRE SPECIALTY CORP. (1965; SIC 3481)</t>
  </si>
  <si>
    <t xml:space="preserve">NATIONAL WIRE SPECIALTY CORP. (1965)</t>
  </si>
  <si>
    <t xml:space="preserve">MORRISON METAL FINISHING CORP</t>
  </si>
  <si>
    <t xml:space="preserve">S00297</t>
  </si>
  <si>
    <t xml:space="preserve">2838 N SPEER BLVD</t>
  </si>
  <si>
    <t xml:space="preserve">80211</t>
  </si>
  <si>
    <t xml:space="preserve">1965;1966;1968;1970;1974;1980</t>
  </si>
  <si>
    <t xml:space="preserve">PLASTICRAFTS,» INC. (1965-1980; SIC 3079)</t>
  </si>
  <si>
    <t xml:space="preserve">PLASTICRAFTS,» INC. (1965) | JERRY'S AUTO TKIM INC (1966) | ALL PURPOSE AUTO TRIM INC (1974) | D.B.A..DRAPERY SERVICE AND DESIGN CORPORATION (1988) | WOOPEN CORP (1990)</t>
  </si>
  <si>
    <t xml:space="preserve">DVH COMPANY INC</t>
  </si>
  <si>
    <t xml:space="preserve">S00309</t>
  </si>
  <si>
    <t xml:space="preserve">1632 S GRAPE ST</t>
  </si>
  <si>
    <t xml:space="preserve">RAHNE SHEET METAL, INC. (1965; SIC 3444)</t>
  </si>
  <si>
    <t xml:space="preserve">RAHNE SHEET METAL, INC. (1965)</t>
  </si>
  <si>
    <t xml:space="preserve">PETCO STORE #1497</t>
  </si>
  <si>
    <t xml:space="preserve">S00338</t>
  </si>
  <si>
    <t xml:space="preserve">3724 W COLFAX AVE</t>
  </si>
  <si>
    <t xml:space="preserve">SMITH METAL WCRKERS» INC (1965; SIC 3591)</t>
  </si>
  <si>
    <t xml:space="preserve">SMITH METAL WCRKERS» INC (1965)</t>
  </si>
  <si>
    <t xml:space="preserve">LOWELL AND COLFAX</t>
  </si>
  <si>
    <t xml:space="preserve">D&amp;C AUTO BODY &amp; PAINT</t>
  </si>
  <si>
    <t xml:space="preserve">S00351</t>
  </si>
  <si>
    <t xml:space="preserve">2010 CURTIS ST</t>
  </si>
  <si>
    <t xml:space="preserve">STANDARD REPRODUCTION CO (1968; SIC 3555)</t>
  </si>
  <si>
    <t xml:space="preserve">STANDARD REPRODUCTION CO. (1965) | COLORADO ENGRAVING CO (1966) | GRAPHIC PROCESS SERVICE (1966) | HAMBRIGHT, ELBERT Ly PRINTING CO (1966) | HAMBRIGHT, EBBERT Le PRINTING CO (1974)</t>
  </si>
  <si>
    <t xml:space="preserve">FACILITIES GROUP WAREHOUSE</t>
  </si>
  <si>
    <t xml:space="preserve">S00375</t>
  </si>
  <si>
    <t xml:space="preserve">20 WE 12TH AVE</t>
  </si>
  <si>
    <t xml:space="preserve">WESTERN MOTOR: REBUILDERS, INC. (1965; SIC 3714) |  (1967; SIC 3714)</t>
  </si>
  <si>
    <t xml:space="preserve">WESTERN MOTOR: REBUILDERS, INC. (1965) |  (1967)</t>
  </si>
  <si>
    <t xml:space="preserve">CLYFFORD STILL MUSEUM</t>
  </si>
  <si>
    <t xml:space="preserve">CENTRAL RADIATOR KING</t>
  </si>
  <si>
    <t xml:space="preserve">S00377</t>
  </si>
  <si>
    <t xml:space="preserve">2664 CALIFORNIA ST</t>
  </si>
  <si>
    <t xml:space="preserve">WESTERN WHOLESALE NEON (1965; SIC 2813)</t>
  </si>
  <si>
    <t xml:space="preserve">WESTERN WHOLESALE NEON (1965)</t>
  </si>
  <si>
    <t xml:space="preserve">STOUT STREET DRUMS</t>
  </si>
  <si>
    <t xml:space="preserve">COLORADO NATIONAL BANK</t>
  </si>
  <si>
    <t xml:space="preserve">S00384</t>
  </si>
  <si>
    <t xml:space="preserve">1294 S INCA ST</t>
  </si>
  <si>
    <t xml:space="preserve">1965;1968;1970;1974;1977;1980;1983</t>
  </si>
  <si>
    <t xml:space="preserve">WIRE AND METAL PRODUCTS CO INC (1965-1970; SIC 3315) | PERMA-WALL (1974; SIC 3496) |  (1977; SIC 3496) | SAMCO TOOL + OFE INC (1980-1983; SIC 3599)</t>
  </si>
  <si>
    <t xml:space="preserve">WIRE AND METAL PRODUCTS CO INC (1965) | PERMA-WALL (1974) |  (1977) | SAMCO TOOL + OFE INC (1980)</t>
  </si>
  <si>
    <t xml:space="preserve">ELECTRO-MECHANICAL PRODUCTS INC</t>
  </si>
  <si>
    <t xml:space="preserve">ADAMS-MCCLURE INC</t>
  </si>
  <si>
    <t xml:space="preserve">S00792</t>
  </si>
  <si>
    <t xml:space="preserve">1505 S PEARL</t>
  </si>
  <si>
    <t xml:space="preserve">CURTICE MANUFACTURING CO (1966-1967; SIC 3432)</t>
  </si>
  <si>
    <t xml:space="preserve">CLARICGE PRINTING CO. (1965) | COLFAX (1965) | CURTICE MANUFACTURING CO (1966) | EVELYN*S DRAPERY SHOP (1968) | MEL BYPESETTENG (1980) | CRAFTSMEN (1983) | MEL TYPESETTINGs INCe (1983)</t>
  </si>
  <si>
    <t xml:space="preserve">BELAIRE CLNRS  (CANNATA CORP DBA)</t>
  </si>
  <si>
    <t xml:space="preserve">S01760</t>
  </si>
  <si>
    <t xml:space="preserve">1295 S BROADWAY</t>
  </si>
  <si>
    <t xml:space="preserve">1977;1980;1983;1988;1990</t>
  </si>
  <si>
    <t xml:space="preserve">HERGGN SADDLE CINCH EACTORY INC (1977-1990; SIC 3429)</t>
  </si>
  <si>
    <t xml:space="preserve">CARNEY LUMBER CO. (1965) | HERGON SACCLE CINCK FACTORY (1968) | HERGON SADDLE CINCH FACTORY (1970) | HEKGON SACDLE CINCH FACTORY HOTCHKISS INC (1973)</t>
  </si>
  <si>
    <t xml:space="preserve">Total Long Term Care</t>
  </si>
  <si>
    <t xml:space="preserve">SASHCO INC</t>
  </si>
  <si>
    <t xml:space="preserve">ROSEWATER CONSTRUCTION INC</t>
  </si>
  <si>
    <t xml:space="preserve">S04568</t>
  </si>
  <si>
    <t xml:space="preserve">5261 S RIO GRANDE ST</t>
  </si>
  <si>
    <t xml:space="preserve">Chemicals; Industrial machinery; Rubber &amp; plastics</t>
  </si>
  <si>
    <t xml:space="preserve">1965;1966;1967;1968;1983;1990</t>
  </si>
  <si>
    <t xml:space="preserve">C.K. RUBBER WELDERS, INC. (1965; SIC 3559) | O K TIRE + RUBBER CO (1966-1967; SIC 3559) | © K TIRE + RUBBER CO INC 2421 SAWMILLS + PLANING FILLS (1968; SIC 3069) | DAWN PRODUCTS CO (1983-1990; SIC 2842,3079)</t>
  </si>
  <si>
    <t xml:space="preserve">C.K. RUBBER WELDERS, INC. (1965) | O K TIRE + RUBBER CO (1966) | © K TIRE + RUBBER CO INC 2421 SAWMILLS + PLANING FILLS (1968) | DAWN PRODUCTS CO (1983)</t>
  </si>
  <si>
    <t xml:space="preserve">ELECTRON CORP</t>
  </si>
  <si>
    <t xml:space="preserve">ST2 SERVICE TECHNOLOGIES INC</t>
  </si>
  <si>
    <t xml:space="preserve">S00702</t>
  </si>
  <si>
    <t xml:space="preserve">1800 BOULDER ST</t>
  </si>
  <si>
    <t xml:space="preserve">1966;1968;1970;1973;1974</t>
  </si>
  <si>
    <t xml:space="preserve">AD INOUSTRIES (1966-1974; SIC 3079)</t>
  </si>
  <si>
    <t xml:space="preserve">AD INOUSTRIES (1966) | TYPESETTER INCes THE (1983) | THE TYPESETTER INC (1988)</t>
  </si>
  <si>
    <t xml:space="preserve">HOSPITAL SHARED SERVICES</t>
  </si>
  <si>
    <t xml:space="preserve">S00752</t>
  </si>
  <si>
    <t xml:space="preserve">1801 W 14TH</t>
  </si>
  <si>
    <t xml:space="preserve">80202</t>
  </si>
  <si>
    <t xml:space="preserve">CaARB-ICE CORP (1966; SIC 2819) | CUSTOMART INDUSTRIES INC (1990; SIC 2499,3089,3299)</t>
  </si>
  <si>
    <t xml:space="preserve">CaARB-ICE CORP (1966) | ABUSES Inc (1988) | CUSTOMART INDUSTRIES INC (1990)</t>
  </si>
  <si>
    <t xml:space="preserve">CDOT Colfax ROW - II</t>
  </si>
  <si>
    <t xml:space="preserve">DAKOTA DRILLING</t>
  </si>
  <si>
    <t xml:space="preserve">S00768</t>
  </si>
  <si>
    <t xml:space="preserve">1325 S CHEROKEE</t>
  </si>
  <si>
    <t xml:space="preserve">80223</t>
  </si>
  <si>
    <t xml:space="preserve">1966;1968;1973;1974</t>
  </si>
  <si>
    <t xml:space="preserve">CLUTCH EXCHANGe INC (1966-1974; SIC 3714)</t>
  </si>
  <si>
    <t xml:space="preserve">CLUTCH EXCHANGe INC (1966)</t>
  </si>
  <si>
    <t xml:space="preserve">Foothills Lighting</t>
  </si>
  <si>
    <t xml:space="preserve">CYCLO MANUFACTURING CO</t>
  </si>
  <si>
    <t xml:space="preserve">PARAGON ENVIRONMENTS INC</t>
  </si>
  <si>
    <t xml:space="preserve">S00772</t>
  </si>
  <si>
    <t xml:space="preserve">100 W 13TH</t>
  </si>
  <si>
    <t xml:space="preserve">80203</t>
  </si>
  <si>
    <t xml:space="preserve">O-C REINFORCEC PLASTICS (1974; SIC 3079,3544)</t>
  </si>
  <si>
    <t xml:space="preserve">INFORMATION (1966) | COLGRADG INFCRMATION (1970) | O-C REINFORCEC PLASTICS (1974)</t>
  </si>
  <si>
    <t xml:space="preserve">G7/DENVER ECONOMIC SUMMIT</t>
  </si>
  <si>
    <t xml:space="preserve">DENVER PUBLIC LIBRARY</t>
  </si>
  <si>
    <t xml:space="preserve">S00781</t>
  </si>
  <si>
    <t xml:space="preserve">40 S GALAPAGO</t>
  </si>
  <si>
    <t xml:space="preserve">1966;1974</t>
  </si>
  <si>
    <t xml:space="preserve">COOPER HEATING + SHEET METAL INC (1966-1974; SIC 3441)</t>
  </si>
  <si>
    <t xml:space="preserve">COOPER HEATING + SHEET METAL INC (1966)</t>
  </si>
  <si>
    <t xml:space="preserve">50-80 S Santa Fe Drive</t>
  </si>
  <si>
    <t xml:space="preserve">US MIX CO.</t>
  </si>
  <si>
    <t xml:space="preserve">KARL SCHMIDT &amp; ACCOCIATES</t>
  </si>
  <si>
    <t xml:space="preserve">S00783</t>
  </si>
  <si>
    <t xml:space="preserve">5025 W 29TH</t>
  </si>
  <si>
    <t xml:space="preserve">80212</t>
  </si>
  <si>
    <t xml:space="preserve">1966;1967;1968;1973;1974</t>
  </si>
  <si>
    <t xml:space="preserve">COUCH MFG Co (1966-1968; SIC 3449) | MOUNTAIN STATES METAL PRODUCTS, INC (1973-1974; SIC 3469,3499)</t>
  </si>
  <si>
    <t xml:space="preserve">COUCH MFG Co (1966) | MOUNTAIN STATES METAL PRODUCTS, INC (1973)</t>
  </si>
  <si>
    <t xml:space="preserve">4935 W. 29th</t>
  </si>
  <si>
    <t xml:space="preserve">WEST 29TH AVENUE CLEANERS</t>
  </si>
  <si>
    <t xml:space="preserve">S00796</t>
  </si>
  <si>
    <t xml:space="preserve">2250 19TH ST</t>
  </si>
  <si>
    <t xml:space="preserve">Fabricated metals; Primary metals; Rubber &amp; plastics</t>
  </si>
  <si>
    <t xml:space="preserve">1966;1968;1973;1974;1980;1983</t>
  </si>
  <si>
    <t xml:space="preserve">DALCO ENGINEERING CO (1966-1974; SIC 3441) | NEXUS CORP (1973-1980; SIC 3448) | DALCO INDUSTRIES: INC (1980-1983; SIC 2392,3079,2389)</t>
  </si>
  <si>
    <t xml:space="preserve">DALCO ENGINEERING CO (1966) | NEXUS CORP (1973) | DALCO INDUSTRIES: INC (1980)</t>
  </si>
  <si>
    <t xml:space="preserve">1880 Little Raven</t>
  </si>
  <si>
    <t xml:space="preserve">S00797</t>
  </si>
  <si>
    <t xml:space="preserve">3472 W COLFAX</t>
  </si>
  <si>
    <t xml:space="preserve">80204</t>
  </si>
  <si>
    <t xml:space="preserve">1966;1968</t>
  </si>
  <si>
    <t xml:space="preserve">*DALE PRODUCTS (1966-1968; SIC 3079)</t>
  </si>
  <si>
    <t xml:space="preserve">*DALE PRODUCTS (1966) | BRAND PRINTING * LITHOGRAPHY (1967) | DALE PROoUCTS 3259 STRUCTURAL CLAY PRCCUCTS A EC (1967) | BRANO PRINTING * LI THOGRAPFY (1974)</t>
  </si>
  <si>
    <t xml:space="preserve">COPPER-GLO FIREPLACE &amp; IRONWORKS</t>
  </si>
  <si>
    <t xml:space="preserve">S00798</t>
  </si>
  <si>
    <t xml:space="preserve">1002 S JASON</t>
  </si>
  <si>
    <t xml:space="preserve">DART MFG + SALES CO (1968; SIC 3531)</t>
  </si>
  <si>
    <t xml:space="preserve">DART MFG * SALES CO (1966) | DART MFG + SALES Co 3714 MOTOR VEHICLE PARTS + ACCESSORIES (1967) | IMERTAL CABINETS INC (1980)</t>
  </si>
  <si>
    <t xml:space="preserve">Perfecto Wrap Building</t>
  </si>
  <si>
    <t xml:space="preserve">PHARMACEUTICAL BASICS INC</t>
  </si>
  <si>
    <t xml:space="preserve">HARVEYS TIRE SHOP</t>
  </si>
  <si>
    <t xml:space="preserve">S00800</t>
  </si>
  <si>
    <t xml:space="preserve">1859 S PEARL</t>
  </si>
  <si>
    <t xml:space="preserve">80210</t>
  </si>
  <si>
    <t xml:space="preserve">AEON ELECTRONICS INC (1990; SIC 3577)</t>
  </si>
  <si>
    <t xml:space="preserve">DENVER ARTIFICIAL LIMB SHOP SPEC. IND. MACHINERY (1966) | DENVER ARTIFICIAL LIVB SHOP (1968) | BIGHORN PRINTING + LITH SERVICE (1973) | BIGHGRN ARINFING * LETH SERVICE (1980) | AEON ELECTRONICS INC (1990)</t>
  </si>
  <si>
    <t xml:space="preserve">S00841</t>
  </si>
  <si>
    <t xml:space="preserve">1025 21ST</t>
  </si>
  <si>
    <t xml:space="preserve">80205</t>
  </si>
  <si>
    <t xml:space="preserve">H + H LIGHTING + MFG CO HESSLER MFG CO (1967; SIC 3642,3843,3434)</t>
  </si>
  <si>
    <t xml:space="preserve">H + H LIGHTING + MFG CO (1966) | H + H LIGHTING + MFG CO HESSLER MFG CO (1967)</t>
  </si>
  <si>
    <t xml:space="preserve">Baltar Inc.</t>
  </si>
  <si>
    <t xml:space="preserve">S00890</t>
  </si>
  <si>
    <t xml:space="preserve">1165 S CHEROKEE</t>
  </si>
  <si>
    <t xml:space="preserve">1966;1980;1983;1990</t>
  </si>
  <si>
    <t xml:space="preserve">LANA PLASTIC MFG INC (1966; SIC 3079) | DENVER METAL PROOUCTS. ¢ CONSTRUCTION INC (1980-1983; SIC 3446,3442) | COLORADO SHOWER DOOR INC (1990; SIC 3442)</t>
  </si>
  <si>
    <t xml:space="preserve">LANA PLASTIC MFG INC (1966) | WILD, &amp; Cy CO INC (1966) | BEACON REPRODUCTION INC (1973) | DENVER METAL PROOUCTS. ¢ CONSTRUCTION INC (1980) | COLORADO SHOWER DOOR INC (1990)</t>
  </si>
  <si>
    <t xml:space="preserve">Gates Rubber: Employee Gas Station (#4)</t>
  </si>
  <si>
    <t xml:space="preserve">WINGS STUFF INC</t>
  </si>
  <si>
    <t xml:space="preserve">S00906</t>
  </si>
  <si>
    <t xml:space="preserve">3615 BLAKE</t>
  </si>
  <si>
    <t xml:space="preserve">1968;1970</t>
  </si>
  <si>
    <t xml:space="preserve">MAC'S WELDING SERVICE (1968-1970; SIC 3441)</t>
  </si>
  <si>
    <t xml:space="preserve">*MAC*S WELDING SERVICE (1966)</t>
  </si>
  <si>
    <t xml:space="preserve">Hub RiNo</t>
  </si>
  <si>
    <t xml:space="preserve">WHITE CAP CONSTRUCTION SUPPLY (WC0041)</t>
  </si>
  <si>
    <t xml:space="preserve">UNION PACIFIC RAILROAD CORP.</t>
  </si>
  <si>
    <t xml:space="preserve">S00933</t>
  </si>
  <si>
    <t xml:space="preserve">2727 W 27TH</t>
  </si>
  <si>
    <t xml:space="preserve">OLO HCMESTEAC BREAD CO (1967; SIC 2051,3461,3479)</t>
  </si>
  <si>
    <t xml:space="preserve">OLO HOMESTEAD BREAD CO (1966)</t>
  </si>
  <si>
    <t xml:space="preserve">DIAZ DELEON PROPERTY</t>
  </si>
  <si>
    <t xml:space="preserve">ROCKY CLIFF CARRIERS</t>
  </si>
  <si>
    <t xml:space="preserve">S00940</t>
  </si>
  <si>
    <t xml:space="preserve">745 S CHEROKEE</t>
  </si>
  <si>
    <t xml:space="preserve">1967;1968;1970;1974</t>
  </si>
  <si>
    <t xml:space="preserve">PANEL CORPORATION OF AMERICA (1967-1970; SIC 3729,2421) | AMERICAN FIBERGLAS CORP INC (1974; SIC 3079,3995) | STANDARD MFG CO (1974; SIC 3079)</t>
  </si>
  <si>
    <t xml:space="preserve">PANEL CORPORATION OF AMERICA (1966) | AMERICAN FIBERGLAS CORP INC (1974) | STANDARD MFG CO (1974)</t>
  </si>
  <si>
    <t xml:space="preserve">VACANT LOT NEXT TO US WELD FACILITY</t>
  </si>
  <si>
    <t xml:space="preserve">S00990</t>
  </si>
  <si>
    <t xml:space="preserve">1550 S PEARL</t>
  </si>
  <si>
    <t xml:space="preserve">1966;1967;1973;1977;1980;1983</t>
  </si>
  <si>
    <t xml:space="preserve">WAUKESHA FOUNDRY CO (1966-1967; SIC 3369) | SERPENTIX CONVEYOR CORP (1973-1983; SIC 3535)</t>
  </si>
  <si>
    <t xml:space="preserve">WAUKESHA FOUNDRY CO (1966) | SERPENTIX CONVEYOR CORP (1973)</t>
  </si>
  <si>
    <t xml:space="preserve">S00998</t>
  </si>
  <si>
    <t xml:space="preserve">819 E 6TH AVE</t>
  </si>
  <si>
    <t xml:space="preserve">80219</t>
  </si>
  <si>
    <t xml:space="preserve">1968;1973;1974</t>
  </si>
  <si>
    <t xml:space="preserve">WHEELER, CHARLES He HEATIAG + SFEET MTL WK (1968; SIC 3444) | WHEELER, CHARLES Hy HEATING * SHEET MTL WK (1973-1974; SIC 3444,3499,3585)</t>
  </si>
  <si>
    <t xml:space="preserve">WHEELER, (1966) | WHEELER, CHARLES He HEATIAG + SFEET MTL WK (1968) | WHEELER, CHARLES Hy HEATING * SHEET MTL WK (1973)</t>
  </si>
  <si>
    <t xml:space="preserve">HANNECK CLEANERS AND SHIRT LAUNDRY, INCORPORATED</t>
  </si>
  <si>
    <t xml:space="preserve">S01106</t>
  </si>
  <si>
    <t xml:space="preserve">3895 CHASE</t>
  </si>
  <si>
    <t xml:space="preserve">HUTCHINGS, GEORGE CO (1983; SIC 2298,3446)</t>
  </si>
  <si>
    <t xml:space="preserve">HUTCHINGS, GEORGE Hy CO (1966)</t>
  </si>
  <si>
    <t xml:space="preserve">THE SHERMAN WILLIAMS</t>
  </si>
  <si>
    <t xml:space="preserve">S04819</t>
  </si>
  <si>
    <t xml:space="preserve">3433 BLAKE</t>
  </si>
  <si>
    <t xml:space="preserve">1966;1968;1970;1988;1990</t>
  </si>
  <si>
    <t xml:space="preserve">COLORADO TOOL + OIE (1966-1970; SIC 3369) | LAROCCA MFG (1988; SIC 3599) | VECTOR CORP LTD (1988; SIC 3532,3555) | VECTOR CORP LTD (1990; SIC 3532,3535,3545)</t>
  </si>
  <si>
    <t xml:space="preserve">COLORADO TOOL + OIE (1966) | BLAKE STREET GLASS (1983) | ReAsHe FIXTURE COMPANY (1983) | LAROCCA MFG (1988) | VECTOR CORP LTD (1988) | VECTOR CORP LTD (1990)</t>
  </si>
  <si>
    <t xml:space="preserve">3500 Blake Street Owners LLC II</t>
  </si>
  <si>
    <t xml:space="preserve">BANNER MANUFACTURING CO LLC</t>
  </si>
  <si>
    <t xml:space="preserve">S01424</t>
  </si>
  <si>
    <t xml:space="preserve">900 WEWATTA</t>
  </si>
  <si>
    <t xml:space="preserve">1967;1968;1973;1974;1977;1980</t>
  </si>
  <si>
    <t xml:space="preserve">CROWN TAR + CHEMICAL WORKS INC (1967-1980; SIC 2814) | CROWN TAR + CHEMICAL WORKS INC 2791 TYPESETTING (1977; SIC 2899)</t>
  </si>
  <si>
    <t xml:space="preserve">CROWN TAR + CHEMICAL WORKS INC (1967) | CROWN TAR + CHEMICAL WORKS INC 2791 TYPESETTING (1977)</t>
  </si>
  <si>
    <t xml:space="preserve">DENVER MANUFACTURE GAS PLANTS</t>
  </si>
  <si>
    <t xml:space="preserve">CHEMICAL WASTE MGT INC DBA WASTE TRANS</t>
  </si>
  <si>
    <t xml:space="preserve">S01449</t>
  </si>
  <si>
    <t xml:space="preserve">2300 19TH ST</t>
  </si>
  <si>
    <t xml:space="preserve">80217</t>
  </si>
  <si>
    <t xml:space="preserve">Chemicals; Fabricated metals; Industrial machinery</t>
  </si>
  <si>
    <t xml:space="preserve">1968;1970;1980</t>
  </si>
  <si>
    <t xml:space="preserve">INDUSTRIAL CFEMICALS CORP (1968-1970; SIC 2851,2899,2818) | MARSHALL MFG CO] (1980; SIC 3469,3599,3411)</t>
  </si>
  <si>
    <t xml:space="preserve">INDUSTRIAL CFEMICALS CoRP (1967) | MARSHALL MFG CO] (1980)</t>
  </si>
  <si>
    <t xml:space="preserve">S01451</t>
  </si>
  <si>
    <t xml:space="preserve">805 W 11TH AVE</t>
  </si>
  <si>
    <t xml:space="preserve">1970;1974</t>
  </si>
  <si>
    <t xml:space="preserve">INTERCHEMICAL CORP PRINTING INK OIV (1970; SIC 2893,2711) | INMONT CORP (1974; SIC 2893)</t>
  </si>
  <si>
    <t xml:space="preserve">INTERCHEMICAL CORP PRINTING INK OLV (1967) | INMONT CORP (1974)</t>
  </si>
  <si>
    <t xml:space="preserve">Santa Fe Assemblage Phase II Site NAD</t>
  </si>
  <si>
    <t xml:space="preserve">PHOENIX PRESS</t>
  </si>
  <si>
    <t xml:space="preserve">PROCTOR PRODUCTIONS</t>
  </si>
  <si>
    <t xml:space="preserve">S01452</t>
  </si>
  <si>
    <t xml:space="preserve">4511 E 46TH AVE</t>
  </si>
  <si>
    <t xml:space="preserve">80216</t>
  </si>
  <si>
    <t xml:space="preserve">1967;1970;1974;1980</t>
  </si>
  <si>
    <t xml:space="preserve">INTERMOUNTAIN PLASTICS CO (1967-1970; SIC 3079) | DUR-O-WAL WESTERN, COLO DIV (1974; SIC 3496) | DUR-O-WAL INC.» COLO OLV (1980; SIC 3496)</t>
  </si>
  <si>
    <t xml:space="preserve">INTERMOUNTAIN PLASTICS CO (1967) | DUR-O-WAL WESTERN, COLO DIV (1974) | DUR-O-WAL INC.» COLO OLV (1980) | RITE MADE OF COLORADO (1988)</t>
  </si>
  <si>
    <t xml:space="preserve">Chemical &amp; Metal Industries</t>
  </si>
  <si>
    <t xml:space="preserve">DENVER DISTRIBUTION CENTER</t>
  </si>
  <si>
    <t xml:space="preserve">AMERICAN AIRLINES</t>
  </si>
  <si>
    <t xml:space="preserve">S01480</t>
  </si>
  <si>
    <t xml:space="preserve">2601 S BANNOCK</t>
  </si>
  <si>
    <t xml:space="preserve">MORRISON-PELSUE CO (1967; SIC 3433,3564)</t>
  </si>
  <si>
    <t xml:space="preserve">MORRISON-PELSUE CO (1967)</t>
  </si>
  <si>
    <t xml:space="preserve">POWER ENGINEERING</t>
  </si>
  <si>
    <t xml:space="preserve">WOODY'S WELDING SERVICE INC</t>
  </si>
  <si>
    <t xml:space="preserve">S01492</t>
  </si>
  <si>
    <t xml:space="preserve">2101 BLAKE ST</t>
  </si>
  <si>
    <t xml:space="preserve">1980;1983;1988</t>
  </si>
  <si>
    <t xml:space="preserve">ABRASIVE EQUIPMENT + SUPPLY CO INC (1980-1983; SIC 3569,3589) | EQUIPMENT+SUPPLY CO D.B.A.-BENNETT AND ASSOCIATES (1988; SIC 3569,3589)</t>
  </si>
  <si>
    <t xml:space="preserve">OUTOMATIC FIRE EXTINGUISHER CO (1967) | ABRASIVE EQUIPMENT + SUPPLY CO INC (1980) | ELYSIAN STAINED GLASS COMPANY (1983) | EQUIPMENT+SUPPLY CO D.B.A.-BENNETT AND ASSOCIATES (1988)</t>
  </si>
  <si>
    <t xml:space="preserve">Former Piggly Wiggly Parcel I</t>
  </si>
  <si>
    <t xml:space="preserve">COORS FIELD BASEBALL STADIUM</t>
  </si>
  <si>
    <t xml:space="preserve">S01502</t>
  </si>
  <si>
    <t xml:space="preserve">2600 N SPEER BLVD</t>
  </si>
  <si>
    <t xml:space="preserve">PLASTICRAFTS INC (1967; SIC 3079)</t>
  </si>
  <si>
    <t xml:space="preserve">PLASTICRAFTS INC (1967)</t>
  </si>
  <si>
    <t xml:space="preserve">DIAMOND HILL OFFICE COMPLES</t>
  </si>
  <si>
    <t xml:space="preserve">S01521</t>
  </si>
  <si>
    <t xml:space="preserve">3061 S BRYANT</t>
  </si>
  <si>
    <t xml:space="preserve">TCRSCHER NECN CO (1968; SIC 3993,3714)</t>
  </si>
  <si>
    <t xml:space="preserve">TORSCHER NEOA CO (1967)</t>
  </si>
  <si>
    <t xml:space="preserve">DON BLAIR EXCAVATING</t>
  </si>
  <si>
    <t xml:space="preserve">S01527</t>
  </si>
  <si>
    <t xml:space="preserve">15 S CHEROKEE</t>
  </si>
  <si>
    <t xml:space="preserve">METAL STRIP DK SCURLOCK GEN EN MGR 2751 COM*L PRINTING EXCEPT PT LIT! (1967; SIC 3442)</t>
  </si>
  <si>
    <t xml:space="preserve">METAL STRIP DK SCURLOCK GEN EN MGR 2751 COM*L PRINTING EXCEPT PT LIT! (1967)</t>
  </si>
  <si>
    <t xml:space="preserve">Bayaud Enterprises Inc.</t>
  </si>
  <si>
    <t xml:space="preserve">GATES &amp; SONS INC</t>
  </si>
  <si>
    <t xml:space="preserve">S01695</t>
  </si>
  <si>
    <t xml:space="preserve">390 S IVY</t>
  </si>
  <si>
    <t xml:space="preserve">80222</t>
  </si>
  <si>
    <t xml:space="preserve">AA SIGNS (1973-1974; SIC 3079,3479,3993)</t>
  </si>
  <si>
    <t xml:space="preserve">AA SIGNS (1968)</t>
  </si>
  <si>
    <t xml:space="preserve">HIGH TECH CIRCUIT BOARD</t>
  </si>
  <si>
    <t xml:space="preserve">S01698</t>
  </si>
  <si>
    <t xml:space="preserve">4401 E EVANS</t>
  </si>
  <si>
    <t xml:space="preserve">ALSCO OF COLORADO INC (1968; SIC 3444,3442)</t>
  </si>
  <si>
    <t xml:space="preserve">ALSCO OF COLORADO INC (1968) | ACME DOOR OF COLO INC (1973)</t>
  </si>
  <si>
    <t xml:space="preserve">AGRISCIENCE LABS</t>
  </si>
  <si>
    <t xml:space="preserve">S01700</t>
  </si>
  <si>
    <t xml:space="preserve">4695 IRONTON</t>
  </si>
  <si>
    <t xml:space="preserve">80239</t>
  </si>
  <si>
    <t xml:space="preserve">1968;1970;1980;1983</t>
  </si>
  <si>
    <t xml:space="preserve">AMERICAN SNOWBLAST CORP (1968-1970; SIC 3711) | SN@WELAST (1980; SIC 3524,3714) | SNOWBLAST (1983; SIC 3524,3714)</t>
  </si>
  <si>
    <t xml:space="preserve">AMERICAN SNOWBLAST CORP (1968) | SN@WELAST (1980) | SNOWBLAST (1983)</t>
  </si>
  <si>
    <t xml:space="preserve">TRANSLOGIC CORP</t>
  </si>
  <si>
    <t xml:space="preserve">S01738</t>
  </si>
  <si>
    <t xml:space="preserve">3111 LARIMER</t>
  </si>
  <si>
    <t xml:space="preserve">OUFFY*S INC (1968; SIC 2086,2087,2813)</t>
  </si>
  <si>
    <t xml:space="preserve">OUFFY*S INC (1968) | LA POPULAR MEXICAN FOOD PROCESSORS (1988) | LA POPULAR MEXICAN FOOD PROCESSORS (1990)</t>
  </si>
  <si>
    <t xml:space="preserve">Universal Chemical</t>
  </si>
  <si>
    <t xml:space="preserve">DENVER SANITARY CO. - DENVER PUMPERS LLC</t>
  </si>
  <si>
    <t xml:space="preserve">UNIVERSAL CHEMICAL AND SUPPLIES CO</t>
  </si>
  <si>
    <t xml:space="preserve">S01753</t>
  </si>
  <si>
    <t xml:space="preserve">4200 KEARNEY</t>
  </si>
  <si>
    <t xml:space="preserve">1968;1970;1973</t>
  </si>
  <si>
    <t xml:space="preserve">FOX, SAM, STAINLESS STEEL CORP (1968; SIC 3461,3589,3444) | FOX METAL INDUSTRIES» INC (1970; SIC 3461,3589,3444) | TOPS UNLEMITED INC E EHLERS GEN MGR F WILDE PRES (1973; SIC 3446)</t>
  </si>
  <si>
    <t xml:space="preserve">FOX, SAM, STAINLESS STEEL CORP (1968) | FOX METAL INDUSTRIES» INC (1970) | TOPS UNLEMITED INC E EHLERS GEN MGR F WILDE PRES (1973) | TOPS UNLIMITEC INC (1974) | TORLINE MFG INC (1980) | EXCEL TOPS INC (1990)</t>
  </si>
  <si>
    <t xml:space="preserve">REICHHOLD CHEMICAL</t>
  </si>
  <si>
    <t xml:space="preserve">S01771</t>
  </si>
  <si>
    <t xml:space="preserve">1741 S PARKER RO</t>
  </si>
  <si>
    <t xml:space="preserve">LCSAh LIVESTGCK SUPPLY (1968; SIC 3522,3441) | LOSAW LIVESTOCK SUPPLY (1970; SIC 3522,3441)</t>
  </si>
  <si>
    <t xml:space="preserve">LCSAh LIVESTGCK SUPPLY (1968) | LOSAW LIVESTOCK SUPPLY (1970)</t>
  </si>
  <si>
    <t xml:space="preserve">S01773</t>
  </si>
  <si>
    <t xml:space="preserve">5701 STAPLETON DR NO</t>
  </si>
  <si>
    <t xml:space="preserve">1968;1970;1973;1974;1983</t>
  </si>
  <si>
    <t xml:space="preserve">™ 0 C PRODUCTS CORP (1968-1983; SIC 3591)</t>
  </si>
  <si>
    <t xml:space="preserve">™ 0 C PRODUCTS CORP (1968)</t>
  </si>
  <si>
    <t xml:space="preserve">Fagan Iron and Metal Works</t>
  </si>
  <si>
    <t xml:space="preserve">EFI POLYMERS</t>
  </si>
  <si>
    <t xml:space="preserve">JOHN DEERE PARTS DIST CENTER</t>
  </si>
  <si>
    <t xml:space="preserve">S01776</t>
  </si>
  <si>
    <t xml:space="preserve">1025 WW 3RD AVE</t>
  </si>
  <si>
    <t xml:space="preserve">MERRILL ENGINEERING LABORATORIES (1968; SIC 3589)</t>
  </si>
  <si>
    <t xml:space="preserve">MERRILL ENGINEERING LABORATORIES (1968)</t>
  </si>
  <si>
    <t xml:space="preserve">345 S. Santa Fe Drive</t>
  </si>
  <si>
    <t xml:space="preserve">HD SUPPLY PLUMBING/HVAC LTD (HG7789)</t>
  </si>
  <si>
    <t xml:space="preserve">S01797</t>
  </si>
  <si>
    <t xml:space="preserve">1555 W VIRGINIA AVE</t>
  </si>
  <si>
    <t xml:space="preserve">S + H SHEET METAL CO (1968; SIC 3444)</t>
  </si>
  <si>
    <t xml:space="preserve">S + H SHEET METAL CO (1968)</t>
  </si>
  <si>
    <t xml:space="preserve">ALAMEDA ORNAMENTAL IRON</t>
  </si>
  <si>
    <t xml:space="preserve">S01825</t>
  </si>
  <si>
    <t xml:space="preserve">1437 MARKET</t>
  </si>
  <si>
    <t xml:space="preserve">THOMAS MACHINE MFG INC (1968; SIC 3499)</t>
  </si>
  <si>
    <t xml:space="preserve">THOMAS MACHINE MFG INC (1968) | SQUARE FRAMES LTD (1974) | WESTWORD INC. (1980)</t>
  </si>
  <si>
    <t xml:space="preserve">DENVER PERFORMING ARTS COMPLEX </t>
  </si>
  <si>
    <t xml:space="preserve">S01827</t>
  </si>
  <si>
    <t xml:space="preserve">3425 LIPAN</t>
  </si>
  <si>
    <t xml:space="preserve">UNICN WELDING COy INC (1968; SIC 3522)</t>
  </si>
  <si>
    <t xml:space="preserve">UNICN WELDING COy INC (1968)</t>
  </si>
  <si>
    <t xml:space="preserve">MAIL-WELL ENVELOPE (WAS AMERICAN M-W)</t>
  </si>
  <si>
    <t xml:space="preserve">S01832</t>
  </si>
  <si>
    <t xml:space="preserve">730 W 12TH</t>
  </si>
  <si>
    <t xml:space="preserve">WESTERN SPRING SERVICE INC (1968; SIC 3493,3229)</t>
  </si>
  <si>
    <t xml:space="preserve">WESTERN SPRING SERVICE INC (1968) | WINDFALL SYSTEMS INC (1988) | WINDFALL SYSTEMS INC (1990)</t>
  </si>
  <si>
    <t xml:space="preserve">SNYDER AUTOWORKS INC</t>
  </si>
  <si>
    <t xml:space="preserve">S01833</t>
  </si>
  <si>
    <t xml:space="preserve">2020 S BANNOCK</t>
  </si>
  <si>
    <t xml:space="preserve">WHEEL=TEK + WHEEL CHECKERS (1983-1990; SIC 3799,3823) | Cdt@kers +WHEEL-TEK (1988; SIC 3799,3823,3841)</t>
  </si>
  <si>
    <t xml:space="preserve">WHEEL CHECKERS (1968) | WHEEL CHECKERS ~ DIV OF MARINE ELECTRIC (1980) | WHEEL=TEK + WHEEL CHECKERS (1983) | Cdt@kers +WHEEL-TEK (1988)</t>
  </si>
  <si>
    <t xml:space="preserve">S02003</t>
  </si>
  <si>
    <t xml:space="preserve">832 ACOMA</t>
  </si>
  <si>
    <t xml:space="preserve">ANDERSON ENGRAVING (1970; SIC 2753,3369)</t>
  </si>
  <si>
    <t xml:space="preserve">ANDERSON ENGRAVING (1970) | BELKE PRINTING CO (1970) | MAPCO DIVERSIFIED INC (1983)</t>
  </si>
  <si>
    <t xml:space="preserve">BBVA Compass Bank</t>
  </si>
  <si>
    <t xml:space="preserve">SPITZER ELECTRICAL CO.</t>
  </si>
  <si>
    <t xml:space="preserve">S02009</t>
  </si>
  <si>
    <t xml:space="preserve">2014 MARKET</t>
  </si>
  <si>
    <t xml:space="preserve">THB PLASTIC INC (1973; SIC 3079)</t>
  </si>
  <si>
    <t xml:space="preserve">ISHOP, PAULe + CO (1970) | THB PLASTIC INC (1973)</t>
  </si>
  <si>
    <t xml:space="preserve">IMAGE DESIGN CONCEPTS</t>
  </si>
  <si>
    <t xml:space="preserve">S02021</t>
  </si>
  <si>
    <t xml:space="preserve">1604 S PEARL ST</t>
  </si>
  <si>
    <t xml:space="preserve">DOWDLE AIR CONDITIONING + HEATING CO (1970; SIC 3444,3870)</t>
  </si>
  <si>
    <t xml:space="preserve">DOWDLE AIR CONDITIONING + HEATING CO (1970)</t>
  </si>
  <si>
    <t xml:space="preserve">S02039</t>
  </si>
  <si>
    <t xml:space="preserve">25 LARIMER</t>
  </si>
  <si>
    <t xml:space="preserve">1970;1974;1977;1980;1983;1992</t>
  </si>
  <si>
    <t xml:space="preserve">MIDWEST STEEL # IRON WORKS CO (1970-1983; SIC 3441) | miowest steec + ‘taon soaks co (1980; SIC 3441) | HUNTINGTON LABORATORIES (1992; SIC 2841,2842)</t>
  </si>
  <si>
    <t xml:space="preserve">MIDWEST STEEL # IRON WORKS CO (1970) | miowest steec + ‘taon soaks co (1980) | LETT NEW MAN SIGNS a (1988) | HUNTINGTON LABORATORIES (1992)</t>
  </si>
  <si>
    <t xml:space="preserve">ZUNI STREET PROJECT</t>
  </si>
  <si>
    <t xml:space="preserve">DENVER HOUSING AUTHORITY</t>
  </si>
  <si>
    <t xml:space="preserve">S02073</t>
  </si>
  <si>
    <t xml:space="preserve">8601 E 48TH</t>
  </si>
  <si>
    <t xml:space="preserve">Fabricated metals; Industrial machinery; Petroleum refining; Rubber &amp; plastics</t>
  </si>
  <si>
    <t xml:space="preserve">YORKER # SONS» INC (1970; SIC 3079,3613,3444)</t>
  </si>
  <si>
    <t xml:space="preserve">YORKER # SONS» INC (1970)</t>
  </si>
  <si>
    <t xml:space="preserve">CALIBER COLLISION CENTER - DENVER - STAPLETON 0859</t>
  </si>
  <si>
    <t xml:space="preserve">S02227</t>
  </si>
  <si>
    <t xml:space="preserve">151 W 56TH</t>
  </si>
  <si>
    <t xml:space="preserve">SAN-O-LET SERVICE INC (1973-1974; SIC 3448) | SAN=O-LET INC (1983; SIC 3431)</t>
  </si>
  <si>
    <t xml:space="preserve">SAN-O-LET SERVICE INC (1973) | SANM-O-LET ENC (1980) | SAN=O-LET INC (1983)</t>
  </si>
  <si>
    <t xml:space="preserve">UNIVAR SOLUTIONS USA INC</t>
  </si>
  <si>
    <t xml:space="preserve">AVFUEL CORPORATION/ASHLAND</t>
  </si>
  <si>
    <t xml:space="preserve">S02402</t>
  </si>
  <si>
    <t xml:space="preserve">1607 S LOCUST</t>
  </si>
  <si>
    <t xml:space="preserve">ARCHITECTURAL FORMING SYSTEMS (1980; SIC 3079) | ARCHITECTURAL FORMING SYSTEMS (1983; SIC 3079)</t>
  </si>
  <si>
    <t xml:space="preserve"> (1973) |  (1974) | ARCHITECTURAL FORMING SYSTEMS (1980) | ARCHITECTURAL FORMING SYSTEMS (1983)</t>
  </si>
  <si>
    <t xml:space="preserve">S02404</t>
  </si>
  <si>
    <t xml:space="preserve">830 S LIPAN</t>
  </si>
  <si>
    <t xml:space="preserve">ALUMINUM PROCUCTS INC (1974; SIC 3442)</t>
  </si>
  <si>
    <t xml:space="preserve">ALUMINUM PRODUCTS INC J J YATES PRES (1973) | ALUMINUM PROCUCTS INC (1974)</t>
  </si>
  <si>
    <t xml:space="preserve">728 S. Lipan</t>
  </si>
  <si>
    <t xml:space="preserve">VISIONPRINT LIMITED</t>
  </si>
  <si>
    <t xml:space="preserve">S02405</t>
  </si>
  <si>
    <t xml:space="preserve">6875 E EVANS</t>
  </si>
  <si>
    <t xml:space="preserve">Electronic components; Photographic equipment/chemicals</t>
  </si>
  <si>
    <t xml:space="preserve">AUDIO VISUAL CONTRACTORS CO (1973-1980; SIC 3679) | HARDING, WAYNE ASSOCIATES (1980; SIC 3599)</t>
  </si>
  <si>
    <t xml:space="preserve">AUDIO VISUAL CONTRACTORS CO (1973) | HARDING, WAYNE ASSOCIATES (1980)</t>
  </si>
  <si>
    <t xml:space="preserve">THE PEP BOYS #406</t>
  </si>
  <si>
    <t xml:space="preserve">S02428</t>
  </si>
  <si>
    <t xml:space="preserve">4730 W 3RD AVE</t>
  </si>
  <si>
    <t xml:space="preserve">COLGRADO CERMASTONE (1973-1974; SIC 3961,3963,3369)</t>
  </si>
  <si>
    <t xml:space="preserve">COLGRADO CERMASTONE (1973)</t>
  </si>
  <si>
    <t xml:space="preserve">S02433</t>
  </si>
  <si>
    <t xml:space="preserve">1075 S GALAPAGO</t>
  </si>
  <si>
    <t xml:space="preserve">1973;1974;1977;1980;1983;1988;1990</t>
  </si>
  <si>
    <t xml:space="preserve">COWBOY METAL PRODUCTS (1973-1990; SIC 3442,3444,2737) | PRODUCTS We? (1988; SIC 3444,3792)</t>
  </si>
  <si>
    <t xml:space="preserve">COWBOY METAL PRODUCTS (1973) | PRODUCTS We? (1988)</t>
  </si>
  <si>
    <t xml:space="preserve">UNITED TECHNOLOGIES OTIS ELEVATOR</t>
  </si>
  <si>
    <t xml:space="preserve">S02475</t>
  </si>
  <si>
    <t xml:space="preserve">330 S GILPIN</t>
  </si>
  <si>
    <t xml:space="preserve">80209</t>
  </si>
  <si>
    <t xml:space="preserve">MACHENING INC (1973; SIC 3544,3799)</t>
  </si>
  <si>
    <t xml:space="preserve">MACHENING INC (1973)</t>
  </si>
  <si>
    <t xml:space="preserve">SOUTH PARKS MAINTENANCE DISTRICT</t>
  </si>
  <si>
    <t xml:space="preserve">S02484</t>
  </si>
  <si>
    <t xml:space="preserve">1219 N SPEER</t>
  </si>
  <si>
    <t xml:space="preserve">1974;1977</t>
  </si>
  <si>
    <t xml:space="preserve">MILE-HI MACHINE ¢ MOLD (1974-1977; SIC 3544,3591)</t>
  </si>
  <si>
    <t xml:space="preserve"> (1973) | MILE-HI MACHINE ¢ MOLD (1974)</t>
  </si>
  <si>
    <t xml:space="preserve">HALLIBURTON GEOPHYSICAL</t>
  </si>
  <si>
    <t xml:space="preserve">S02488</t>
  </si>
  <si>
    <t xml:space="preserve">1301 W THIRD AVE</t>
  </si>
  <si>
    <t xml:space="preserve">NEMONIC DATA SySTEMS (1973; SIC 3573)</t>
  </si>
  <si>
    <t xml:space="preserve">NEMONIC DATA SySTEMS (1973)</t>
  </si>
  <si>
    <t xml:space="preserve">PUBLIC SERVICE CO</t>
  </si>
  <si>
    <t xml:space="preserve">S02496</t>
  </si>
  <si>
    <t xml:space="preserve">820 S LIPAN</t>
  </si>
  <si>
    <t xml:space="preserve">RAINS-FLO MANUFACTURING INC. (1990; SIC 2819,3053,3569)</t>
  </si>
  <si>
    <t xml:space="preserve">RAINS-FLO MFG CO (1973)</t>
  </si>
  <si>
    <t xml:space="preserve">S02497</t>
  </si>
  <si>
    <t xml:space="preserve">5270 STEELE ST</t>
  </si>
  <si>
    <t xml:space="preserve">RECREATIONAL PRODUCTS CORP (1973; SIC 3714)</t>
  </si>
  <si>
    <t xml:space="preserve">RECREATIONAL PRODUCTS CORP (1973)</t>
  </si>
  <si>
    <t xml:space="preserve">RAC TRANSPORT COMPANY INC</t>
  </si>
  <si>
    <t xml:space="preserve">S02502</t>
  </si>
  <si>
    <t xml:space="preserve">1800 LAWRENCE</t>
  </si>
  <si>
    <t xml:space="preserve">SACHS-LAWLOR CO (1973; SIC 3479,3953,3469) | SACHS=EAWLOR CO 2421 SAWMILLS AND. PLANING MILLS, GENERAL 8 A SHAFER PRES (1974; SIC 1035)</t>
  </si>
  <si>
    <t xml:space="preserve">SACHS-LAWLOR CO (1973) | SACHS=EAWLOR CO 2421 SAWMILLS AND. PLANING MILLS, GENERAL 8 A SHAFER PRES (1974)</t>
  </si>
  <si>
    <t xml:space="preserve">SUNSET PARK APARTMENTS</t>
  </si>
  <si>
    <t xml:space="preserve">CROWHEART ENERGY (WAMSUTTER SOUTH EVAPORATION BASIN)</t>
  </si>
  <si>
    <t xml:space="preserve">TRAMMELL CROW</t>
  </si>
  <si>
    <t xml:space="preserve">S02514</t>
  </si>
  <si>
    <t xml:space="preserve">700 S ASH ST</t>
  </si>
  <si>
    <t xml:space="preserve">1973;1974;1977</t>
  </si>
  <si>
    <t xml:space="preserve">STEARNS-ROGER INCORPORATED (1973-1974; SIC 3321,3498,3569) |  (1977; SIC 3569,3321)</t>
  </si>
  <si>
    <t xml:space="preserve">STEARNS-ROGER INCORPORATED (1973) |  (1977)</t>
  </si>
  <si>
    <t xml:space="preserve">CDPHE MERCURY</t>
  </si>
  <si>
    <t xml:space="preserve">TEST FACILITY AND MISC FACILITY PROJECTS FOR CDPHE-HMWMD</t>
  </si>
  <si>
    <t xml:space="preserve">S02530</t>
  </si>
  <si>
    <t xml:space="preserve">4949 IRONTON</t>
  </si>
  <si>
    <t xml:space="preserve">WHALE SCIENTIFIC CO (1973-1977; SIC 2821,3079) | WHALE SCIENTIFIC Co (1980; SIC 3079,3841)</t>
  </si>
  <si>
    <t xml:space="preserve">WHALE SCIENTIFIC CO (1973) | WHALE SCIENTIFIC Co (1980)</t>
  </si>
  <si>
    <t xml:space="preserve">Stapleton Business Ctr (B4)</t>
  </si>
  <si>
    <t xml:space="preserve">SCOTT'S LIQUID GOLD INC</t>
  </si>
  <si>
    <t xml:space="preserve">ELECTRONICS RECYCLING</t>
  </si>
  <si>
    <t xml:space="preserve">S02605</t>
  </si>
  <si>
    <t xml:space="preserve">3276 BENTON</t>
  </si>
  <si>
    <t xml:space="preserve">Chemicals; Fabricated metals; Transportation equipment</t>
  </si>
  <si>
    <t xml:space="preserve">1973;1974;1977;1980;1983</t>
  </si>
  <si>
    <t xml:space="preserve">BANDIMERE MFG CO (1973-1983; SIC 2842,3423,3714)</t>
  </si>
  <si>
    <t xml:space="preserve">BANDIMERE MFG CO (1973) | FRONT ROOM LTD (1977)</t>
  </si>
  <si>
    <t xml:space="preserve">S02863</t>
  </si>
  <si>
    <t xml:space="preserve">5450 VALE DR</t>
  </si>
  <si>
    <t xml:space="preserve">AUTOMOTIVE WEEEL WINCE CO (1974-1977; SIC 3714)</t>
  </si>
  <si>
    <t xml:space="preserve">AUTOMOTIVE WEEEL WINCE CO (1974)</t>
  </si>
  <si>
    <t xml:space="preserve">S02864</t>
  </si>
  <si>
    <t xml:space="preserve">8125 E 39TH</t>
  </si>
  <si>
    <t xml:space="preserve">80207</t>
  </si>
  <si>
    <t xml:space="preserve">BURKE CONCRETE ACCESSORIES INC (1974-1977; SIC 3496)</t>
  </si>
  <si>
    <t xml:space="preserve">BURKE CONCRETE ACCESSORIES INC (1974)</t>
  </si>
  <si>
    <t xml:space="preserve">ARDCO CORP</t>
  </si>
  <si>
    <t xml:space="preserve">MITHCON CORPORATION</t>
  </si>
  <si>
    <t xml:space="preserve">S02865</t>
  </si>
  <si>
    <t xml:space="preserve">2 LIPAN ST</t>
  </si>
  <si>
    <t xml:space="preserve">1974;1977;1980</t>
  </si>
  <si>
    <t xml:space="preserve">BUSH J M CO (1974-1977; SIC 3079) | BUSH 44 -CO (1980; SIC 3079)</t>
  </si>
  <si>
    <t xml:space="preserve">BUSH J M CO (1974) | BUSH 44 -CO (1980)</t>
  </si>
  <si>
    <t xml:space="preserve">50 S. Kalamath II</t>
  </si>
  <si>
    <t xml:space="preserve">CTL/THOMPSON MATERIALS ENGINEERS INC</t>
  </si>
  <si>
    <t xml:space="preserve">S02918</t>
  </si>
  <si>
    <t xml:space="preserve">2125 S JASMINE</t>
  </si>
  <si>
    <t xml:space="preserve">1974;1977;1980;1983;1988</t>
  </si>
  <si>
    <t xml:space="preserve">SPIEGEL PRECISION PRODUCTS CO (1974-1983; SIC 3599,3544) | SPIEGEL PRECISION PRODUCTS CO RUTH F MILLER PRESIDENT (1977; SIC 3599) | PRINTING PRODOUESESTSION (1988; SIC 3599)</t>
  </si>
  <si>
    <t xml:space="preserve">INTERNATIONAL MEDICAL PRODUCTS INC (1974) | SPIEGEL PRECISION PRODUCTS CO (1974) | SPIEGEL PRECISION PRODUCTS CO RUTH F MILLER PRESIDENT (1977) | PRINTING PRODOUESESTSION (1988)</t>
  </si>
  <si>
    <t xml:space="preserve">BOSCH FOREIGN LTD</t>
  </si>
  <si>
    <t xml:space="preserve">S02923</t>
  </si>
  <si>
    <t xml:space="preserve">3540 KALAMATH</t>
  </si>
  <si>
    <t xml:space="preserve">LA GUARDIA SHEET METAL CO (1974; SIC 3444) | LA GUARDIA HEATING + AIR CONDITIONING CO (1977; SIC 3444)</t>
  </si>
  <si>
    <t xml:space="preserve">LA GUARDIA SHEET METAL CO (1974) | LA GUARDIA HEATING + AIR CONDITIONING CO (1977)</t>
  </si>
  <si>
    <t xml:space="preserve">Mailwell Envelopes II</t>
  </si>
  <si>
    <t xml:space="preserve">S02926</t>
  </si>
  <si>
    <t xml:space="preserve">2057 S HUDSON</t>
  </si>
  <si>
    <t xml:space="preserve">LANE MANUFACTURING INC (1974; SIC 3523,3699)</t>
  </si>
  <si>
    <t xml:space="preserve">LANE MANUFACTURING INC (1974)</t>
  </si>
  <si>
    <t xml:space="preserve">ANEMAS AUTO BODY INC</t>
  </si>
  <si>
    <t xml:space="preserve">S02930</t>
  </si>
  <si>
    <t xml:space="preserve">1101 S MONACO PKWY</t>
  </si>
  <si>
    <t xml:space="preserve">80220</t>
  </si>
  <si>
    <t xml:space="preserve">CREATIVE CHEMISTRY INC (1980; SIC 2842,3999) | LINCOLN GROUP ART REPROOGCTIONS INC THE (1980; SIC 2842,3484)</t>
  </si>
  <si>
    <t xml:space="preserve">LENCCLN GROUP ART REPRODUCTIONS INC THE (1974) | LINCOLN GROUP ART REPRODUCTIONS INC THE 3949 SpORTING AND ATHLETIC GOODS, NEC (1977) | CREATIVE CHEMISTRY INC (1980)</t>
  </si>
  <si>
    <t xml:space="preserve">S02964</t>
  </si>
  <si>
    <t xml:space="preserve">1420 W 46TH AVE</t>
  </si>
  <si>
    <t xml:space="preserve">PROGRESSIVE TOOL + MACHINE (1974; SIC 3544)</t>
  </si>
  <si>
    <t xml:space="preserve">PROGRESSIVE TOOL + MACHINE (1974)</t>
  </si>
  <si>
    <t xml:space="preserve">RAMP IND INC</t>
  </si>
  <si>
    <t xml:space="preserve">DAWN FOODS PRODUCTS</t>
  </si>
  <si>
    <t xml:space="preserve">SMITH NELSON &amp; OATIS LTD</t>
  </si>
  <si>
    <t xml:space="preserve">S02970</t>
  </si>
  <si>
    <t xml:space="preserve">3145 W ALAMEDA</t>
  </si>
  <si>
    <t xml:space="preserve">RHINO PRODUCTS CORP (1977; SIC 3429,3999,2751)</t>
  </si>
  <si>
    <t xml:space="preserve">SUR SPEEDY INSTANT PRINTING CENTER (1974) | RHINO PRODUCTS CORP (1977)</t>
  </si>
  <si>
    <t xml:space="preserve">YOUR VALET CLNRS &amp; SHIRT LAUNDRY</t>
  </si>
  <si>
    <t xml:space="preserve">S02978</t>
  </si>
  <si>
    <t xml:space="preserve">2563 15TH ST</t>
  </si>
  <si>
    <t xml:space="preserve">SPEEDI-SIGN (1974; SIC 3993,3079)</t>
  </si>
  <si>
    <t xml:space="preserve">SPEEDI-SIGN (1974) | SKY SCRAPER KITES (1977)</t>
  </si>
  <si>
    <t xml:space="preserve">Lawyer Park II</t>
  </si>
  <si>
    <t xml:space="preserve">JUNIPER VILLAGE - THE SPEARLY CENTER</t>
  </si>
  <si>
    <t xml:space="preserve">S02981</t>
  </si>
  <si>
    <t xml:space="preserve">2350 ARAPAHOE ST</t>
  </si>
  <si>
    <t xml:space="preserve">STAR FOR PARTS INC (1974-1992; SIC 3589,3635) | VACUUM FORM STAR FOR PARTS INC (1988; SIC 3589)</t>
  </si>
  <si>
    <t xml:space="preserve">STAR FOR PARTS INC (1974) | VACUUM FORM STAR FOR PARTS INC (1988)</t>
  </si>
  <si>
    <t xml:space="preserve">EDDIE MAESTAS TRIANGLE PARK</t>
  </si>
  <si>
    <t xml:space="preserve">S03261</t>
  </si>
  <si>
    <t xml:space="preserve">245 FOX ST</t>
  </si>
  <si>
    <t xml:space="preserve">AMERICAN STEEL + IROM WORKS INC (1977; SIC 3443)</t>
  </si>
  <si>
    <t xml:space="preserve">AMERICAN STEEL + IROM WORKS INC (1977)</t>
  </si>
  <si>
    <t xml:space="preserve">PSCO-LIPAN DISTRIBUTION CENTER</t>
  </si>
  <si>
    <t xml:space="preserve">S03272</t>
  </si>
  <si>
    <t xml:space="preserve">2460 S BROADWAY</t>
  </si>
  <si>
    <t xml:space="preserve">ACTION GLASS SERVICE INC (1988; SIC 3442)</t>
  </si>
  <si>
    <t xml:space="preserve">CABINETPAK KITCHENS OF COLORADO (1977) | ACTION GLASS SERVICE INC (1988)</t>
  </si>
  <si>
    <t xml:space="preserve">BEAR FRAME &amp; AXLE SERVICE CO</t>
  </si>
  <si>
    <t xml:space="preserve">S03288</t>
  </si>
  <si>
    <t xml:space="preserve">5920 LOGAN</t>
  </si>
  <si>
    <t xml:space="preserve">1977;1980</t>
  </si>
  <si>
    <t xml:space="preserve">DENVER ROLL CORRUGATING (1977-1980; SIC 3523) | ACME PRECISION INDUSTRIES (1980; SIC 3532,3561,3599)</t>
  </si>
  <si>
    <t xml:space="preserve">DENVER ROLL CORRUGATING (1977) | ACME PRECISION INDUSTRIES (1980)</t>
  </si>
  <si>
    <t xml:space="preserve">Denver Merchandise Mart II</t>
  </si>
  <si>
    <t xml:space="preserve">ZIMMERMAN METALS INC</t>
  </si>
  <si>
    <t xml:space="preserve">RESERVOIR ENVIRONMENTAL</t>
  </si>
  <si>
    <t xml:space="preserve">S03321</t>
  </si>
  <si>
    <t xml:space="preserve">1172 W VIRGINIA AVE</t>
  </si>
  <si>
    <t xml:space="preserve">S @ HW SHEET METAL CO (1980-1990; SIC 3444)</t>
  </si>
  <si>
    <t xml:space="preserve">SHOP (1977) | S @ HW SHEET METAL CO (1980)</t>
  </si>
  <si>
    <t xml:space="preserve">Domenico Property</t>
  </si>
  <si>
    <t xml:space="preserve">DENVER AUTOMOTIVE &amp; DIESEL COLLEGE</t>
  </si>
  <si>
    <t xml:space="preserve">S03341</t>
  </si>
  <si>
    <t xml:space="preserve">1300 S PEARL</t>
  </si>
  <si>
    <t xml:space="preserve">VAN GENDEREN, WMy CO (1977; SIC 3444,3589)</t>
  </si>
  <si>
    <t xml:space="preserve">VAN GENDEREN, WMy CO (1977)</t>
  </si>
  <si>
    <t xml:space="preserve">S03854</t>
  </si>
  <si>
    <t xml:space="preserve">1415 S JASMINE WAY</t>
  </si>
  <si>
    <t xml:space="preserve">80224</t>
  </si>
  <si>
    <t xml:space="preserve">AVANTI SAILBOAT CO (1980; SIC 3732)</t>
  </si>
  <si>
    <t xml:space="preserve">AVANTI SAILBOAT CO (1980)</t>
  </si>
  <si>
    <t xml:space="preserve">S03862</t>
  </si>
  <si>
    <t xml:space="preserve">4100 FEDERAL BLVD</t>
  </si>
  <si>
    <t xml:space="preserve">STEEL PABRICATION HEINRICH MARKETING (1988; SIC 3089,3993) | HEINRICH MARKETING (1990; SIC 3089,3993)</t>
  </si>
  <si>
    <t xml:space="preserve">C ¢ € ORAPERY Co (1980) | STEEL PABRICATION HEINRICH MARKETING (1988) | HEINRICH MARKETING (1990)</t>
  </si>
  <si>
    <t xml:space="preserve">ST CATHERINES</t>
  </si>
  <si>
    <t xml:space="preserve">S03908</t>
  </si>
  <si>
    <t xml:space="preserve">1300 S PATTON CT</t>
  </si>
  <si>
    <t xml:space="preserve">E + SCREW MACHINE PRODUCTS (1980-1983; SIC 3542,3599)</t>
  </si>
  <si>
    <t xml:space="preserve">E + SCREW MACHINE PRODUCTS (1980)</t>
  </si>
  <si>
    <t xml:space="preserve">S03911</t>
  </si>
  <si>
    <t xml:space="preserve">3353 LARIMER</t>
  </si>
  <si>
    <t xml:space="preserve">EASY ENGINEERING CORP (1980-1983; SIC 3523,3559)</t>
  </si>
  <si>
    <t xml:space="preserve">EASY ENGINEERING CORP (1980) | SELGRERO AF (1988) | EVERGREEN SPECIALTY (1988) | COLORADO ART SERVICES (1990) | DENVER, CONT. (1992)</t>
  </si>
  <si>
    <t xml:space="preserve">3235 Larimer</t>
  </si>
  <si>
    <t xml:space="preserve">JEMM CO</t>
  </si>
  <si>
    <t xml:space="preserve">S03953</t>
  </si>
  <si>
    <t xml:space="preserve">240 S PECOS ST</t>
  </si>
  <si>
    <t xml:space="preserve">4°44 PERFORMANCG MARINE INC (1980; SIC 3799,3732)</t>
  </si>
  <si>
    <t xml:space="preserve">4°44 PERFORMANCG MARINE INC (1980)</t>
  </si>
  <si>
    <t xml:space="preserve">MALLOW PLATING WORKS INC</t>
  </si>
  <si>
    <t xml:space="preserve">DUPREE  I  INC</t>
  </si>
  <si>
    <t xml:space="preserve">S03956</t>
  </si>
  <si>
    <t xml:space="preserve">820 W 9TH AVE</t>
  </si>
  <si>
    <t xml:space="preserve">JOHNSON + HELD LTO. (1980; SIC 3964,3466,3961) | SPECTRON ENGINEERING (1983-1990; SIC 3832,3825,3573)</t>
  </si>
  <si>
    <t xml:space="preserve">JOHNSON + HELD LTO. (1980) | SPECTRON ENGINEERING (1983)</t>
  </si>
  <si>
    <t xml:space="preserve">INDUSTRIAL CHROME PLATING</t>
  </si>
  <si>
    <t xml:space="preserve">TEXTILE EMPORIUM INC</t>
  </si>
  <si>
    <t xml:space="preserve">S03965</t>
  </si>
  <si>
    <t xml:space="preserve">2722 W 44TH AVE</t>
  </si>
  <si>
    <t xml:space="preserve">1980;1983;1988;1992</t>
  </si>
  <si>
    <t xml:space="preserve">LABATE’S TROPHY HOUSE (1980-1992; SIC 3499)</t>
  </si>
  <si>
    <t xml:space="preserve">LABATE’S TROPHY HOUSE (1980)</t>
  </si>
  <si>
    <t xml:space="preserve">PATS CLEANING CTR</t>
  </si>
  <si>
    <t xml:space="preserve">S03976</t>
  </si>
  <si>
    <t xml:space="preserve">3433 S PATTON WAY</t>
  </si>
  <si>
    <t xml:space="preserve">80236</t>
  </si>
  <si>
    <t xml:space="preserve">MAGNET SERVICE (1980-1990; SIC 3499)</t>
  </si>
  <si>
    <t xml:space="preserve">MAGNET SERVICE (1980)</t>
  </si>
  <si>
    <t xml:space="preserve">S03977</t>
  </si>
  <si>
    <t xml:space="preserve">6035 E 36TH AVE</t>
  </si>
  <si>
    <t xml:space="preserve">MAJESTIC WAX CO (1980; SIC 2842)</t>
  </si>
  <si>
    <t xml:space="preserve">MAJESTIC WAX CO (1980)</t>
  </si>
  <si>
    <t xml:space="preserve">HUD CLEANUP FRONT RANGE ASBESTOS REMOVAL</t>
  </si>
  <si>
    <t xml:space="preserve">S03998</t>
  </si>
  <si>
    <t xml:space="preserve">4500 JACKSON ST</t>
  </si>
  <si>
    <t xml:space="preserve">PERRY TOOL + O8E CO INC (1980-1990; SIC 3544,3949,3429)</t>
  </si>
  <si>
    <t xml:space="preserve">PERRY TOOL + O8E CO INC (1980)</t>
  </si>
  <si>
    <t xml:space="preserve">AET ENVIRONMENTAL</t>
  </si>
  <si>
    <t xml:space="preserve">R C CARTAGE CO INC</t>
  </si>
  <si>
    <t xml:space="preserve">S04009</t>
  </si>
  <si>
    <t xml:space="preserve">611 KALAMATH</t>
  </si>
  <si>
    <t xml:space="preserve">R CO HOLLOW METAL CO (1980; SIC 3442)</t>
  </si>
  <si>
    <t xml:space="preserve">R CO HOLLOW METAL CO (1980) | AMERICAN CLOSET CO (1990)</t>
  </si>
  <si>
    <t xml:space="preserve">INCA COMMONS</t>
  </si>
  <si>
    <t xml:space="preserve">S &amp; W PAINTING &amp; DECORATING</t>
  </si>
  <si>
    <t xml:space="preserve">S04014</t>
  </si>
  <si>
    <t xml:space="preserve">3188 W ALAMEDA</t>
  </si>
  <si>
    <t xml:space="preserve">RHINO PRODUCTS CORP (1980-1983; SIC 3429,3999,2396)</t>
  </si>
  <si>
    <t xml:space="preserve">RHINO PRODUCTS CORP (1980)</t>
  </si>
  <si>
    <t xml:space="preserve">S04049</t>
  </si>
  <si>
    <t xml:space="preserve">1369 W BYERS PL</t>
  </si>
  <si>
    <t xml:space="preserve">INDUSTRIAL SUPPLY CO (1990; SIC 3599)</t>
  </si>
  <si>
    <t xml:space="preserve">TORGY*S INDUSTRIAL SUPPLY CO (1980) | PNEUMATIC DIVERTERS INDUSTRIAL SUPPLY CO (1988)</t>
  </si>
  <si>
    <t xml:space="preserve">S04051</t>
  </si>
  <si>
    <t xml:space="preserve">3615 MORRISON RD</t>
  </si>
  <si>
    <t xml:space="preserve">Tsc MFG CO (1980; SIC 3792)</t>
  </si>
  <si>
    <t xml:space="preserve">Tsc MFG CO (1980)</t>
  </si>
  <si>
    <t xml:space="preserve">WESTWOOD FOOD HUB SITE</t>
  </si>
  <si>
    <t xml:space="preserve">G &amp; G AUTO BODY AND PAINT LLC</t>
  </si>
  <si>
    <t xml:space="preserve">S04805</t>
  </si>
  <si>
    <t xml:space="preserve">7925 E HARVARD AVE</t>
  </si>
  <si>
    <t xml:space="preserve">80231</t>
  </si>
  <si>
    <t xml:space="preserve">MATTRESS PADS SANILOGICAL CORP (1988; SIC 3589)</t>
  </si>
  <si>
    <t xml:space="preserve">C ¢ $ GRAPHICS (1980) | PHILEPS CONTROL CORPQRATION (1980) | PASAR INC (1983) | GRANGE JUICE DAILY» INC. (1983) | HAND SOAP ORANGE JUICE DAILY (1988) | MATTRESS PADS SANILOGICAL CORP (1988) | ORANGE JUICE DAILY INC (1990) | ASI SIGN SYSTEMS (1990)</t>
  </si>
  <si>
    <t xml:space="preserve">TIORCO LLC</t>
  </si>
  <si>
    <t xml:space="preserve">S04463</t>
  </si>
  <si>
    <t xml:space="preserve">5371 TENNYSON ST 11</t>
  </si>
  <si>
    <t xml:space="preserve">LENOX CORPORATION JIM MCNELLY OWNER (1983; SIC 3469,3499) | TR SEIDEL COMPANY (1983; SIC 2844,2642,2879) | LENOX CORP (1988; SIC 3469,3499) | MACHINE PARTS LENOX-MACLAREN (1988; SIC 3423,3694)</t>
  </si>
  <si>
    <t xml:space="preserve">LENOX CORPORATION JIM MCNELLY OWNER (1983) | TR SEIDEL COMPANY (1983) | LENOX CORP (1988) | MACHINE PARTS LENOX-MACLAREN (1988) | SAGE BUILDING SYSTEMS INC. (1990)</t>
  </si>
  <si>
    <t xml:space="preserve">CSX CORPORATION OF COLORADO</t>
  </si>
  <si>
    <t xml:space="preserve">S04490</t>
  </si>
  <si>
    <t xml:space="preserve">9351 E CORNELL</t>
  </si>
  <si>
    <t xml:space="preserve">BETTER FLOW GUTTER INC (1983; SIC 3444)</t>
  </si>
  <si>
    <t xml:space="preserve">BETTER FLOW GUTTER INC (1983)</t>
  </si>
  <si>
    <t xml:space="preserve">S04513</t>
  </si>
  <si>
    <t xml:space="preserve">3070 S KRAMERIA</t>
  </si>
  <si>
    <t xml:space="preserve">PERSONALIZED PRODUCTS INC (1983; SIC 3999,3499,3861)</t>
  </si>
  <si>
    <t xml:space="preserve">PERSONALIZED PRODUCTS INC (1983)</t>
  </si>
  <si>
    <t xml:space="preserve">HOLLY HILLS ELEMENTARY SCHOOL</t>
  </si>
  <si>
    <t xml:space="preserve">S04710</t>
  </si>
  <si>
    <t xml:space="preserve">2045 W 9TH AVE</t>
  </si>
  <si>
    <t xml:space="preserve">1983;1988;1990;1992</t>
  </si>
  <si>
    <t xml:space="preserve">APPLICATIONS CORP (1983-1990; SIC 3569,3532,3561) | ONPG SF COLE INE (1988; SIC 3356,3363,3369) | SUPERIOR CASTINGS (1990-1992; SIC 3356,3363,3366)</t>
  </si>
  <si>
    <t xml:space="preserve">APPLICATIONS CORP (1983) | ONPG SF COLE INE (1988) | SUPERIOR CASTINGS (1990)</t>
  </si>
  <si>
    <t xml:space="preserve">Katzson Brothers</t>
  </si>
  <si>
    <t xml:space="preserve">MACHINE REPAIR INC</t>
  </si>
  <si>
    <t xml:space="preserve">S04748</t>
  </si>
  <si>
    <t xml:space="preserve">1431 W MAPLE</t>
  </si>
  <si>
    <t xml:space="preserve">DENVER MILL ¢ LATHE (1983-1990; SIC 3832,3469)</t>
  </si>
  <si>
    <t xml:space="preserve">DENVER MILL ¢ LATHE (1983) | ERSCACNS kpverris D.B.A.-FRONT RANGE SIGN (1988)</t>
  </si>
  <si>
    <t xml:space="preserve">J P DIESEL</t>
  </si>
  <si>
    <t xml:space="preserve">S04771</t>
  </si>
  <si>
    <t xml:space="preserve">527 KALAMATH STE</t>
  </si>
  <si>
    <t xml:space="preserve">JARCOs INCe (1983; SIC 3079,3949)</t>
  </si>
  <si>
    <t xml:space="preserve">JARCOs INCe (1983)</t>
  </si>
  <si>
    <t xml:space="preserve">500 N. Lipan Street, Denver</t>
  </si>
  <si>
    <t xml:space="preserve">PACESETTER DESIGNS INCORPORATED</t>
  </si>
  <si>
    <t xml:space="preserve">W RAY CRABB INC</t>
  </si>
  <si>
    <t xml:space="preserve">S04790</t>
  </si>
  <si>
    <t xml:space="preserve">5501 E 47TH AVE</t>
  </si>
  <si>
    <t xml:space="preserve">METAL INDUSTRIES INC ALUMINUM SCREEN DIV (1983; SIC 3442)</t>
  </si>
  <si>
    <t xml:space="preserve">METAL INDUSTRIES INC ALUMINUM SCREEN DIV (1983)</t>
  </si>
  <si>
    <t xml:space="preserve">COLORADO PAINT CO - 4747 HOLLY STREET</t>
  </si>
  <si>
    <t xml:space="preserve">CARPENTER COMPANY INC</t>
  </si>
  <si>
    <t xml:space="preserve">FAGAN IRON &amp; METAL</t>
  </si>
  <si>
    <t xml:space="preserve">S04793</t>
  </si>
  <si>
    <t xml:space="preserve">1331 WE MAPLE AVE</t>
  </si>
  <si>
    <t xml:space="preserve">MINA CORPORATION (1983-1992; SIC 2819)</t>
  </si>
  <si>
    <t xml:space="preserve">MINA CORPORATION (1983)</t>
  </si>
  <si>
    <t xml:space="preserve">ADM Denver Terminal</t>
  </si>
  <si>
    <t xml:space="preserve">S04803</t>
  </si>
  <si>
    <t xml:space="preserve">177 WE ALASKA PL</t>
  </si>
  <si>
    <t xml:space="preserve">NESS MANUFACTURING INC. (1983-1990; SIC 3728) | LETTERPRESS NESS MFG INC (1988; SIC 3728)</t>
  </si>
  <si>
    <t xml:space="preserve">NESS MANUFACTURING INC. (1983) | LETTERPRESS NESS MFG INC (1988)</t>
  </si>
  <si>
    <t xml:space="preserve">UPSHER-SMITH LABORATORIES</t>
  </si>
  <si>
    <t xml:space="preserve">TOOLS FOR BENDING INCORPORATED</t>
  </si>
  <si>
    <t xml:space="preserve">S04831</t>
  </si>
  <si>
    <t xml:space="preserve">1455 WE CEDAR AVE</t>
  </si>
  <si>
    <t xml:space="preserve">SANCHEZ SEAMLESS GUTTER» INCe (1983-1992; SIC 3444)</t>
  </si>
  <si>
    <t xml:space="preserve">SANCHEZ SEAMLESS GUTTER» INCe (1983)</t>
  </si>
  <si>
    <t xml:space="preserve">S04835</t>
  </si>
  <si>
    <t xml:space="preserve">3650 MORRISON RO</t>
  </si>
  <si>
    <t xml:space="preserve">SECURITY IRON COMPANY (1983; SIC 3446,3449) | TSC MANUFACTURING CO (1990; SIC 3792)</t>
  </si>
  <si>
    <t xml:space="preserve">SECURITY IRON COMPANY (1983) | TSC MANUFACTURING CO (1990)</t>
  </si>
  <si>
    <t xml:space="preserve">S04846</t>
  </si>
  <si>
    <t xml:space="preserve">1255 W VIRGINIA AVE</t>
  </si>
  <si>
    <t xml:space="preserve">STAR GUIDE CORP (1983-1992; SIC 3552)</t>
  </si>
  <si>
    <t xml:space="preserve">STAR GUIDE CORP (1983)</t>
  </si>
  <si>
    <t xml:space="preserve">S05542</t>
  </si>
  <si>
    <t xml:space="preserve">5959 E 39TH AVE</t>
  </si>
  <si>
    <t xml:space="preserve">ALBERT-ROSS REFRIGERATION CO (1988; SIC 3585,3471)</t>
  </si>
  <si>
    <t xml:space="preserve">ALBERT-ROSS REFRIGERATION CO (1988)</t>
  </si>
  <si>
    <t xml:space="preserve">PILLOW KINGDOM MFG</t>
  </si>
  <si>
    <t xml:space="preserve">PUBLIC SERVICE CO OF COLO ENGIN CENTER</t>
  </si>
  <si>
    <t xml:space="preserve">S05611</t>
  </si>
  <si>
    <t xml:space="preserve">4464 DAVENPORT WAY</t>
  </si>
  <si>
    <t xml:space="preserve">HOGAN METAL PRODUCTS (1988; SIC 3498)</t>
  </si>
  <si>
    <t xml:space="preserve">HOGAN METAL PRODUCTS (1988)</t>
  </si>
  <si>
    <t xml:space="preserve">S05628</t>
  </si>
  <si>
    <t xml:space="preserve">4757 W 1ST AVE</t>
  </si>
  <si>
    <t xml:space="preserve">CAST MOLDS LECK ENTERPRISES INC (1988; SIC 3599) | LECK ENTERPRISES INC (1990; SIC 3599)</t>
  </si>
  <si>
    <t xml:space="preserve">CAST MOLDS LECK ENTERPRISES INC (1988) | LECK ENTERPRISES INC (1990)</t>
  </si>
  <si>
    <t xml:space="preserve">S05632</t>
  </si>
  <si>
    <t xml:space="preserve">4955 MOLINE ST</t>
  </si>
  <si>
    <t xml:space="preserve">MACCOURT PRODUCTS (1988-1990; SIC 3089)</t>
  </si>
  <si>
    <t xml:space="preserve">MACCOURT PRODUCTS (1988)</t>
  </si>
  <si>
    <t xml:space="preserve">PEASE IND INC</t>
  </si>
  <si>
    <t xml:space="preserve">FLEXOVEYOR INDUSTRIES INC</t>
  </si>
  <si>
    <t xml:space="preserve">S05634</t>
  </si>
  <si>
    <t xml:space="preserve">50 RIO GRANDE BLVD</t>
  </si>
  <si>
    <t xml:space="preserve">MAC’S WELDING INC (1988-1990; SIC 3446,2740)</t>
  </si>
  <si>
    <t xml:space="preserve">MAC’S WELDING INC (1988)</t>
  </si>
  <si>
    <t xml:space="preserve">50 S. Kalamath</t>
  </si>
  <si>
    <t xml:space="preserve">S05654</t>
  </si>
  <si>
    <t xml:space="preserve">4761 MOLINE ST</t>
  </si>
  <si>
    <t xml:space="preserve">Boulder, Colorado POLYCHROME CORP (1988; SIC 2784,2893,3861) | POLYCHROME CORP (1990; SIC 2796,2893,2752)</t>
  </si>
  <si>
    <t xml:space="preserve">Boulder, Colorado POLYCHROME CORP (1988) | POLYCHROME CORP (1990)</t>
  </si>
  <si>
    <t xml:space="preserve">STEVEN LABEL CORPORATION</t>
  </si>
  <si>
    <t xml:space="preserve">S05671</t>
  </si>
  <si>
    <t xml:space="preserve">7450 E JEWELL AVE</t>
  </si>
  <si>
    <t xml:space="preserve">ROYAL CANVAS + BANNER INC (1988-1990; SIC 3089) | ZO DIVERSIFIED AUTOMATION INC (1990; SIC 3499,3423,3429)</t>
  </si>
  <si>
    <t xml:space="preserve">ROYAL CANVAS + BANNER INC (1988) | ZO DIVERSIFIED AUTOMATION INC (1990)</t>
  </si>
  <si>
    <t xml:space="preserve">Chadmor Estates II</t>
  </si>
  <si>
    <t xml:space="preserve">ALPHA LABS INC</t>
  </si>
  <si>
    <t xml:space="preserve">S06351</t>
  </si>
  <si>
    <t xml:space="preserve">1440 W 3RD AVE</t>
  </si>
  <si>
    <t xml:space="preserve">A+W ENTERPRISES INC (1990; SIC 3086)</t>
  </si>
  <si>
    <t xml:space="preserve">A+W ENTERPRISES INC (1990)</t>
  </si>
  <si>
    <t xml:space="preserve">METRON</t>
  </si>
  <si>
    <t xml:space="preserve">S06352</t>
  </si>
  <si>
    <t xml:space="preserve">290 E 56TH AVE</t>
  </si>
  <si>
    <t xml:space="preserve">AIA PLASTICS (1990; SIC 3089,3082) | APPLIED INDUSTRIAL ARCH PLASTICS (1992; SIC 3089)</t>
  </si>
  <si>
    <t xml:space="preserve">AIA PLASTICS (1990) | APPLIED INDUSTRIAL ARCH PLASTICS (1992)</t>
  </si>
  <si>
    <t xml:space="preserve">UNIVAR SOLUTIONS-DENVER WEST</t>
  </si>
  <si>
    <t xml:space="preserve">NAV AUTO1</t>
  </si>
  <si>
    <t xml:space="preserve">S06382</t>
  </si>
  <si>
    <t xml:space="preserve">11939 E 51ST AVE</t>
  </si>
  <si>
    <t xml:space="preserve">CABLE TECH SLING + SUPPLY CO (1990; SIC 3496)</t>
  </si>
  <si>
    <t xml:space="preserve">CABLE TECH SLING + SUPPLY CO (1990)</t>
  </si>
  <si>
    <t xml:space="preserve">Vari-L</t>
  </si>
  <si>
    <t xml:space="preserve">CHEMSTATION DENVER</t>
  </si>
  <si>
    <t xml:space="preserve">LUMINOUS RECYCLING</t>
  </si>
  <si>
    <t xml:space="preserve">S06393</t>
  </si>
  <si>
    <t xml:space="preserve">4221 MONACO</t>
  </si>
  <si>
    <t xml:space="preserve">COLORADO CONTAINER CORP (1990-1992; SIC 2653,3089)</t>
  </si>
  <si>
    <t xml:space="preserve">COLORADO CONTAINER CORP (1990)</t>
  </si>
  <si>
    <t xml:space="preserve">FRONTIER AERO STRUCTURES</t>
  </si>
  <si>
    <t xml:space="preserve">NCS WAREHOUSE</t>
  </si>
  <si>
    <t xml:space="preserve">S06399</t>
  </si>
  <si>
    <t xml:space="preserve">4600 S ULSTER ST 390</t>
  </si>
  <si>
    <t xml:space="preserve">80237</t>
  </si>
  <si>
    <t xml:space="preserve">COMPUTER CONSOLES INCORPORATED (1990; SIC 3571)</t>
  </si>
  <si>
    <t xml:space="preserve">COMPUTER CONSOLES INCORPORATED (1990)</t>
  </si>
  <si>
    <t xml:space="preserve">CASCADE INTEGRATED SERVICES LLC</t>
  </si>
  <si>
    <t xml:space="preserve">S06405</t>
  </si>
  <si>
    <t xml:space="preserve">3255 S BIRCH</t>
  </si>
  <si>
    <t xml:space="preserve">DORSEY-MCCOMB INC (1990; SIC 3556)</t>
  </si>
  <si>
    <t xml:space="preserve">DORSEY-MCCOMB INC (1990)</t>
  </si>
  <si>
    <t xml:space="preserve">S06410</t>
  </si>
  <si>
    <t xml:space="preserve">3671 W UNION AVE</t>
  </si>
  <si>
    <t xml:space="preserve">EUROMATIC INC (1990; SIC 3563)</t>
  </si>
  <si>
    <t xml:space="preserve">EUROMATIC INC (1990)</t>
  </si>
  <si>
    <t xml:space="preserve">S06417</t>
  </si>
  <si>
    <t xml:space="preserve">1690 S FEDERAL BIVD UNIT B</t>
  </si>
  <si>
    <t xml:space="preserve">G+S PLASTICS INC (1990-1992; SIC 3089)</t>
  </si>
  <si>
    <t xml:space="preserve">G+S PLASTICS INC (1990)</t>
  </si>
  <si>
    <t xml:space="preserve">DC WASTE INC</t>
  </si>
  <si>
    <t xml:space="preserve">S06433</t>
  </si>
  <si>
    <t xml:space="preserve">2245 MARKET ST</t>
  </si>
  <si>
    <t xml:space="preserve">KAMINSKY BARREL CO (1990; SIC 3412,3089,2655)</t>
  </si>
  <si>
    <t xml:space="preserve">KAMINSKY BARREL CO (1990)</t>
  </si>
  <si>
    <t xml:space="preserve">Arapahoe Square Development</t>
  </si>
  <si>
    <t xml:space="preserve">HUMPHREY'S</t>
  </si>
  <si>
    <t xml:space="preserve">S06455</t>
  </si>
  <si>
    <t xml:space="preserve">1340 W BYERS PL</t>
  </si>
  <si>
    <t xml:space="preserve">INDUSTRIAL SUPPLY CO (1992; SIC 3599)</t>
  </si>
  <si>
    <t xml:space="preserve">MORSE BROS MACHINERY CO (1990) | INDUSTRIAL SUPPLY CO (1992)</t>
  </si>
  <si>
    <t xml:space="preserve">1342 WEST CEDAR</t>
  </si>
  <si>
    <t xml:space="preserve">S06475</t>
  </si>
  <si>
    <t xml:space="preserve">5590 JOLIET ST</t>
  </si>
  <si>
    <t xml:space="preserve">RMI-D (1990; SIC 3089)</t>
  </si>
  <si>
    <t xml:space="preserve">RMI-D (1990)</t>
  </si>
  <si>
    <t xml:space="preserve">S06954</t>
  </si>
  <si>
    <t xml:space="preserve">6191 E 38TH AVE</t>
  </si>
  <si>
    <t xml:space="preserve">Wood preserving</t>
  </si>
  <si>
    <t xml:space="preserve">AMERICAN EXCELSIOR CO (1992; SIC 3443,2491,3086)</t>
  </si>
  <si>
    <t xml:space="preserve">AMERICAN EXCELSIOR CO (1992)</t>
  </si>
  <si>
    <t xml:space="preserve">EVMARS</t>
  </si>
  <si>
    <t xml:space="preserve">S06969</t>
  </si>
  <si>
    <t xml:space="preserve">595 E 5TH AVE</t>
  </si>
  <si>
    <t xml:space="preserve">ELKINS KENNEL MANUFACTURING (1992; SIC 3069,3999)</t>
  </si>
  <si>
    <t xml:space="preserve">ELKINS KENNEL MANUFACTURING (1992)</t>
  </si>
  <si>
    <t xml:space="preserve">S06989</t>
  </si>
  <si>
    <t xml:space="preserve">1485 RIO CT</t>
  </si>
  <si>
    <t xml:space="preserve">METALWEST INC (1992; SIC 3499)</t>
  </si>
  <si>
    <t xml:space="preserve">METALWEST INC (1992)</t>
  </si>
  <si>
    <t xml:space="preserve">Community College of Denver</t>
  </si>
  <si>
    <t xml:space="preserve">RTD - RIO COURT MAINTENANCE OF WAY FACILITY</t>
  </si>
  <si>
    <t xml:space="preserve">S03001</t>
  </si>
  <si>
    <t xml:space="preserve">521 S GILBERT</t>
  </si>
  <si>
    <t xml:space="preserve">CASTLE ROCK</t>
  </si>
  <si>
    <t xml:space="preserve">Douglas</t>
  </si>
  <si>
    <t xml:space="preserve">80104</t>
  </si>
  <si>
    <t xml:space="preserve">F-M MANUFACTURING CO (1974-1977; SIC 3079)</t>
  </si>
  <si>
    <t xml:space="preserve">F-M MANUFACTURING CO (1974) | EUROPEAN SAUSAGE CO INC (1980) | COMPONENTS EUROPEAN SAUSAGE CO (1988)</t>
  </si>
  <si>
    <t xml:space="preserve">MARTIN MARIETTA CASTLE ROCK READY MIX</t>
  </si>
  <si>
    <t xml:space="preserve">AMG - CO, CASTLE ROCK</t>
  </si>
  <si>
    <t xml:space="preserve">S03348</t>
  </si>
  <si>
    <t xml:space="preserve">1004 FRONT</t>
  </si>
  <si>
    <t xml:space="preserve">ALLIED FIBERGLASS CO (1977; SIC 3079)</t>
  </si>
  <si>
    <t xml:space="preserve">ALLIED FIBERGLASS CO (1977)</t>
  </si>
  <si>
    <t xml:space="preserve">ACME BRICK DENVER PLANT</t>
  </si>
  <si>
    <t xml:space="preserve">COLORADO DEPT OF HWYS - CASTLE R</t>
  </si>
  <si>
    <t xml:space="preserve">S03350</t>
  </si>
  <si>
    <t xml:space="preserve">607 S GILBERT</t>
  </si>
  <si>
    <t xml:space="preserve">MASTER MAGNETICS INC (1980-1990; SIC 3545,3429,3469) | TEN-GAM CORP (1980-1988; SIC 3429) | KUSTER INDUSTRIES (1983; SIC 3559,2643)</t>
  </si>
  <si>
    <t xml:space="preserve">MASTER MAGNETICS INC (1977) | TEN-GAM CORP (1980) | KUSTER INDUSTRIES (1983)</t>
  </si>
  <si>
    <t xml:space="preserve">H3L LABS</t>
  </si>
  <si>
    <t xml:space="preserve">S04885</t>
  </si>
  <si>
    <t xml:space="preserve">11626 MUSTANG RD</t>
  </si>
  <si>
    <t xml:space="preserve">FRANKTOWN</t>
  </si>
  <si>
    <t xml:space="preserve">80116</t>
  </si>
  <si>
    <t xml:space="preserve">‘SHERER CUSTOM SADDLES INC. (1992; SIC 3199,2974)</t>
  </si>
  <si>
    <t xml:space="preserve">SHERER CUSTOM SADDLES» INCe (1983)</t>
  </si>
  <si>
    <t xml:space="preserve">S04890</t>
  </si>
  <si>
    <t xml:space="preserve">9432 MOTSENBOCKER RD</t>
  </si>
  <si>
    <t xml:space="preserve">PARKER</t>
  </si>
  <si>
    <t xml:space="preserve">80134</t>
  </si>
  <si>
    <t xml:space="preserve">COLORADO WIRE PRODUCTS (1983-1990; SIC 3496)</t>
  </si>
  <si>
    <t xml:space="preserve">COLORADO WIRE PRODUCTS (1983)</t>
  </si>
  <si>
    <t xml:space="preserve">S04078</t>
  </si>
  <si>
    <t xml:space="preserve">143 E MEADOW DR</t>
  </si>
  <si>
    <t xml:space="preserve">VAIL</t>
  </si>
  <si>
    <t xml:space="preserve">Eagle</t>
  </si>
  <si>
    <t xml:space="preserve">81657</t>
  </si>
  <si>
    <t xml:space="preserve">FRESH SQEEZE DAILY INC (1980; SIC 3551)</t>
  </si>
  <si>
    <t xml:space="preserve">FRESH SQEEZE DAILY INC (1980) | VAIL PRINTING ¢ SECRETARIAL GERVIGE (1980) | VAIL PRINTING + SECRETARIAL SERVICE (1983) | VAIL VILLAGE JEWELLERS DBA MY JEWELLER (1983) | VAIL PRINTING (1988) | VAIL DALY (1992)</t>
  </si>
  <si>
    <t xml:space="preserve">ALPINE VENTURES, INCORPORATED</t>
  </si>
  <si>
    <t xml:space="preserve">S05304</t>
  </si>
  <si>
    <t xml:space="preserve">0176 EMMA RD</t>
  </si>
  <si>
    <t xml:space="preserve">BASALT</t>
  </si>
  <si>
    <t xml:space="preserve">MYERS+CO ARCHITECTURAL METAL (1988-1992; SIC 3441,3446,3449)</t>
  </si>
  <si>
    <t xml:space="preserve">MYERS+CO ARCHITECTURAL METAL (1988)</t>
  </si>
  <si>
    <t xml:space="preserve">FINISHING TOUCH AUTO BODY INC</t>
  </si>
  <si>
    <t xml:space="preserve">S00394</t>
  </si>
  <si>
    <t xml:space="preserve">22 RUXTON AVE</t>
  </si>
  <si>
    <t xml:space="preserve">MANITOU SPRINGS</t>
  </si>
  <si>
    <t xml:space="preserve">El Paso</t>
  </si>
  <si>
    <t xml:space="preserve">COLORADO STEAM EQUIPMENT CO (1983-1990; SIC 3589) | EQUB MR aE Ne (1988; SIC 3589)</t>
  </si>
  <si>
    <t xml:space="preserve">PIKES PEAK JOURNAL (1965) |  (1977) | COLORADO STEAM EQUIPMENT CO (1983) | EQUB MR aE Ne (1988)</t>
  </si>
  <si>
    <t xml:space="preserve">S01005</t>
  </si>
  <si>
    <t xml:space="preserve">310 TIA JUANA</t>
  </si>
  <si>
    <t xml:space="preserve">COLORADO SPRINGS</t>
  </si>
  <si>
    <t xml:space="preserve">80909</t>
  </si>
  <si>
    <t xml:space="preserve">Fabricated metals; Primary metals</t>
  </si>
  <si>
    <t xml:space="preserve">1966;1968;1974</t>
  </si>
  <si>
    <t xml:space="preserve">A+ L ALUMINUM MFG CO (1966-1968; SIC 3441) | ALLEN» RAY, MFG CC, INC (1974; SIC 3199,3851,3362)</t>
  </si>
  <si>
    <t xml:space="preserve">A+ L ALUMINUM MFG CO (1966) | ALLEN, RAY» MFG CO, INC (1973) | ALLENs RAYs RFG COs INC (1983) | THE CLAY PEN (1988) | BOttEay "RTH (1988)</t>
  </si>
  <si>
    <t xml:space="preserve">NOB HILL BODY SHOP</t>
  </si>
  <si>
    <t xml:space="preserve">COLORADO CURLYS SPECIALTY PLATING</t>
  </si>
  <si>
    <t xml:space="preserve">S01009</t>
  </si>
  <si>
    <t xml:space="preserve">801 W CUCHARRAS</t>
  </si>
  <si>
    <t xml:space="preserve">80905</t>
  </si>
  <si>
    <t xml:space="preserve">ALRWAVE HEATING CORP (1973; SIC 3444)</t>
  </si>
  <si>
    <t xml:space="preserve">AIRWAVE HEATING Corp (1966)</t>
  </si>
  <si>
    <t xml:space="preserve">Springs Inn</t>
  </si>
  <si>
    <t xml:space="preserve">GARY'S COLLISION &amp; ALIGNMENT INC</t>
  </si>
  <si>
    <t xml:space="preserve">S01015</t>
  </si>
  <si>
    <t xml:space="preserve">1031 S ROYER</t>
  </si>
  <si>
    <t xml:space="preserve">80903</t>
  </si>
  <si>
    <t xml:space="preserve">BOYD'S WELDING + MFG CO (1966-1968; SIC 3599)</t>
  </si>
  <si>
    <t xml:space="preserve">BOYD'S WELDING + MFG CO (1966) | NATIONAL CLAY PRODUCTS CO (1966) | SUMMITT BRICK # MASCNRY SUPPLY (1973)</t>
  </si>
  <si>
    <t xml:space="preserve">CONCRETE COYOTE</t>
  </si>
  <si>
    <t xml:space="preserve">W W WILLIAMS INC  DBA/ AREO COLOURS</t>
  </si>
  <si>
    <t xml:space="preserve">S01039</t>
  </si>
  <si>
    <t xml:space="preserve">1711 N WEBER</t>
  </si>
  <si>
    <t xml:space="preserve">80907</t>
  </si>
  <si>
    <t xml:space="preserve">1966;1973</t>
  </si>
  <si>
    <t xml:space="preserve">MAP LABORATORIES (1966-1973; SIC 2841)</t>
  </si>
  <si>
    <t xml:space="preserve">MAP LABORATORIES (1966)</t>
  </si>
  <si>
    <t xml:space="preserve">S01040</t>
  </si>
  <si>
    <t xml:space="preserve">122 N TEJON</t>
  </si>
  <si>
    <t xml:space="preserve">80900</t>
  </si>
  <si>
    <t xml:space="preserve">MICHELLE OF COLORAD SPRINGS (1977; SIC 2965,2024,2087)</t>
  </si>
  <si>
    <t xml:space="preserve">MICHELLE INTERNATIONAL INC (1966) | MICHELLE INTERNATICNAL IAC (1968) | MLCHELLE OF COLORADO SPRINGS (1970) |  (1974) | MICHELLE OF COLORADO SPRINGS (1980)</t>
  </si>
  <si>
    <t xml:space="preserve">Canon Bank Building</t>
  </si>
  <si>
    <t xml:space="preserve">CITY  OF COLOADO SPRINGS OLD</t>
  </si>
  <si>
    <t xml:space="preserve">S01048</t>
  </si>
  <si>
    <t xml:space="preserve">3920 N WEBER ST</t>
  </si>
  <si>
    <t xml:space="preserve">1966;1980;1983;1988;1990</t>
  </si>
  <si>
    <t xml:space="preserve">PACE MFG CO (1966; SIC 3799) | X &amp; CORPORATION (1980; SIC 2542,3496,3499) | X L INDUSTRIES INCe (1983-1990; SIC 2542,3496,3499) | FURNITURE X L INDUSTRIES (1988; SIC 2542,3646,3496)</t>
  </si>
  <si>
    <t xml:space="preserve">PACE MFG CO (1966) | X L CORPORATION 3172) PERSONAL LEATHER SOOOS, NEC 3281 CUT STONE AND STONE PRODUCTS (1977) | X &amp; CORPORATION (1980) | X L INDUSTRIES INCe (1983) | FURNITURE X L INDUSTRIES (1988)</t>
  </si>
  <si>
    <t xml:space="preserve">PIKE TOOL &amp; GRINDING INC</t>
  </si>
  <si>
    <t xml:space="preserve">SPRINGS TRANSMISSION SPECIALISTS</t>
  </si>
  <si>
    <t xml:space="preserve">S01055</t>
  </si>
  <si>
    <t xml:space="preserve">317 VICTORIA</t>
  </si>
  <si>
    <t xml:space="preserve">1966;1967;1968;1970;1973;1977;1980;1983;1988</t>
  </si>
  <si>
    <t xml:space="preserve">PRECISION TOOL MFG CO (1966-1970; SIC 3599) | JEND INDUSTRIES (1973-1983; SIC 3591) | er davHER BELTS JEND INDUSTRIES INC (1988; SIC 3599)</t>
  </si>
  <si>
    <t xml:space="preserve">PRECISION TOOL MFG CO (1966) | JEND INDUSTRIES (1973) | er davHER BELTS JEND INDUSTRIES INC (1988)</t>
  </si>
  <si>
    <t xml:space="preserve">S01066</t>
  </si>
  <si>
    <t xml:space="preserve">3007 N INSTITUTE</t>
  </si>
  <si>
    <t xml:space="preserve">WILLIAMS ¢ FIELC (1968; SIC 2752,2051,3714)</t>
  </si>
  <si>
    <t xml:space="preserve">WILLIAMS + FIELD (1966)</t>
  </si>
  <si>
    <t xml:space="preserve">COLONIAL COLUMNS</t>
  </si>
  <si>
    <t xml:space="preserve">S01532</t>
  </si>
  <si>
    <t xml:space="preserve">2109 BROADWAY</t>
  </si>
  <si>
    <t xml:space="preserve">80904</t>
  </si>
  <si>
    <t xml:space="preserve">CUSTOM ALUMIAUM PR a (1967; SIC 3442,2547,2752)</t>
  </si>
  <si>
    <t xml:space="preserve">CUSTOM ALUMIAUM PR a (1967) | CREATIVE PRESS (1970)</t>
  </si>
  <si>
    <t xml:space="preserve">Kum &amp; Go #678</t>
  </si>
  <si>
    <t xml:space="preserve">AUTOBODY &amp; RV SPECIALISTS INC DBA DON'S BODY SHOP</t>
  </si>
  <si>
    <t xml:space="preserve">S01533</t>
  </si>
  <si>
    <t xml:space="preserve">520 S WAHSATCH</t>
  </si>
  <si>
    <t xml:space="preserve">DENVER EQUIPFENT CO (1967; SIC 3532,3559)</t>
  </si>
  <si>
    <t xml:space="preserve">DENVER EQUIPFENT CO (1967)</t>
  </si>
  <si>
    <t xml:space="preserve">Elan Rio Grande II</t>
  </si>
  <si>
    <t xml:space="preserve">INDIVIDUAL DYNAMICS DBA WAHSATCH RECYCLING DEPOT</t>
  </si>
  <si>
    <t xml:space="preserve">S01534</t>
  </si>
  <si>
    <t xml:space="preserve">419 E COLUMBIA</t>
  </si>
  <si>
    <t xml:space="preserve">VITASCIL COMPANY (1968; SIC 2879)</t>
  </si>
  <si>
    <t xml:space="preserve">DERTAY CO (1967) | VITASCIL COMPANY (1968)</t>
  </si>
  <si>
    <t xml:space="preserve">OCONNOR'S SERVICE STATION</t>
  </si>
  <si>
    <t xml:space="preserve">S01543</t>
  </si>
  <si>
    <t xml:space="preserve">516 ARRAWANNA</t>
  </si>
  <si>
    <t xml:space="preserve">IRRIGATION INDUSTRIES INC. (1983; SIC 3432)</t>
  </si>
  <si>
    <t xml:space="preserve">MODERN WOODWCRKING INC (1967) | KITCHEN COMPONENTS INC (1973) | IRRIGATION INDUSTRIES INC. (1983) | ADKO SIGNS INC (1990)</t>
  </si>
  <si>
    <t xml:space="preserve">CLASSIC COLLISION - 2049 - KNOB HILL</t>
  </si>
  <si>
    <t xml:space="preserve">S01844</t>
  </si>
  <si>
    <t xml:space="preserve">335 S WAHSATCH</t>
  </si>
  <si>
    <t xml:space="preserve">1968;1973</t>
  </si>
  <si>
    <t xml:space="preserve">COBB SHEET METAL + AIR CONDITIONING (1968; SIC 3444,2086) | BENBOW PLUMBING + HEATING (1973; SIC 3444)</t>
  </si>
  <si>
    <t xml:space="preserve">COBB SHEET METAL + AIR CONDITIONING (1968) | BENBOW PLUMBING + HEATING (1973)</t>
  </si>
  <si>
    <t xml:space="preserve">HOLCIM WCR - CS-MAIN</t>
  </si>
  <si>
    <t xml:space="preserve">MANLEY RADIATOR SERVICE</t>
  </si>
  <si>
    <t xml:space="preserve">S01848</t>
  </si>
  <si>
    <t xml:space="preserve">115 S 26TH</t>
  </si>
  <si>
    <t xml:space="preserve">A AA MARKING PRODUCTS CO INC (1983; SIC 3953,3993,2751)</t>
  </si>
  <si>
    <t xml:space="preserve">COLORADO SPRINGS MATTRESS CO 520 S SAHWATCH (1968) | COLORADO SPRINGS MATTRESS CO (1970) | A AA MARKING PRODUCTS CO INC (1983)</t>
  </si>
  <si>
    <t xml:space="preserve">SUNDANCE SKILLED NURSING REHABILITATION</t>
  </si>
  <si>
    <t xml:space="preserve">S02092</t>
  </si>
  <si>
    <t xml:space="preserve">619 S 31ST</t>
  </si>
  <si>
    <t xml:space="preserve">1970;1973;1974;1977;1980;1983;1988;1990</t>
  </si>
  <si>
    <t xml:space="preserve">GLASER WELDING WORKS (1970-1990; SIC 3446,3591)</t>
  </si>
  <si>
    <t xml:space="preserve">GLASER WELDING WORKS (1970)</t>
  </si>
  <si>
    <t xml:space="preserve">Gaubatz Property</t>
  </si>
  <si>
    <t xml:space="preserve">WESTSIDERS GARAGE</t>
  </si>
  <si>
    <t xml:space="preserve">S02093</t>
  </si>
  <si>
    <t xml:space="preserve">3341 N EL PASO</t>
  </si>
  <si>
    <t xml:space="preserve">WESTERN MFG + DISTRIBUTING SCHORER*S» KATE, ORIGINALS (1974; SIC 3792)</t>
  </si>
  <si>
    <t xml:space="preserve"> (1970) | WESTERN MFG + DISTRIBUTING SCHORER*S» KATE, ORIGINALS (1974) | DOODLE ON YOUR SHIRT (1988) | READY ICE (1990)</t>
  </si>
  <si>
    <t xml:space="preserve">CELLULAR PRODUCT SERVICES INC</t>
  </si>
  <si>
    <t xml:space="preserve">HALL WOODWORK INC</t>
  </si>
  <si>
    <t xml:space="preserve">S02098</t>
  </si>
  <si>
    <t xml:space="preserve">829 W COLORADO AVE</t>
  </si>
  <si>
    <t xml:space="preserve">80901</t>
  </si>
  <si>
    <t xml:space="preserve">1970;1973;1977;1983</t>
  </si>
  <si>
    <t xml:space="preserve">NEAT INDUSTRIES, DIV OF L L BARTHELOW (1970-1977; SIC 3079) | COLORADO SPRINGS LOCKSMITH SHOP (1983; SIC 3953,3079)</t>
  </si>
  <si>
    <t xml:space="preserve">NEAT INDUSTRIES, DIV OF L L BARTHELOW (1970) | COLORADO SPRINGS LOCKSMITH SHOP (1983)</t>
  </si>
  <si>
    <t xml:space="preserve">RAMPART RECYCLING INC</t>
  </si>
  <si>
    <t xml:space="preserve">S02110</t>
  </si>
  <si>
    <t xml:space="preserve">1600 MANITOU BLVD</t>
  </si>
  <si>
    <t xml:space="preserve">SLBUR MOTHPROOF CO (1970; SIC 2842)</t>
  </si>
  <si>
    <t xml:space="preserve">SLBUR MOTHPROOF CO (1970)</t>
  </si>
  <si>
    <t xml:space="preserve">S02115</t>
  </si>
  <si>
    <t xml:space="preserve">320 S EL PASO</t>
  </si>
  <si>
    <t xml:space="preserve">WESTONE LABS INC MANITOU SPRINGS (1977; SIC 3079) | WESTONE LABS INC (1983-1990; SIC 3079) | BLANKING DIES WESTONE LABS INC (1988; SIC 3089)</t>
  </si>
  <si>
    <t xml:space="preserve">WESTONE LABS INC 509 CANON AVE (1970) | WESTONE LABS INC MANITOU SPRINGS (1977) | WESTONE LABS INC (1983) | BLANKING DIES WESTONE LABS INC (1988)</t>
  </si>
  <si>
    <t xml:space="preserve">TLC PHARMACY</t>
  </si>
  <si>
    <t xml:space="preserve">S02137</t>
  </si>
  <si>
    <t xml:space="preserve">331 S 14TH ST</t>
  </si>
  <si>
    <t xml:space="preserve">LEADING EDGE AIR FOILS INC (1983-1990; SIC 3751,3728,3199)</t>
  </si>
  <si>
    <t xml:space="preserve">BURLINGTON RECORD (1970) | LEADING EDGE AER FOILS INC (1980) | T+S LUMBER CO (1988)</t>
  </si>
  <si>
    <t xml:space="preserve">WRECKMASTERS BODY AND FRAME INC</t>
  </si>
  <si>
    <t xml:space="preserve">S02541</t>
  </si>
  <si>
    <t xml:space="preserve">3117 E PLATTE AVE</t>
  </si>
  <si>
    <t xml:space="preserve">1973;1974;1977;1990</t>
  </si>
  <si>
    <t xml:space="preserve">ANCONA PORTABLE WELDING CO (1973-1977; SIC 3446,3441,3799) | ANCONA JOB SHOP (1990; SIC 3446,3449)</t>
  </si>
  <si>
    <t xml:space="preserve">ANCONA PORTABLE WELDING CO (1973) | ANCONA JOB SHOP (1990)</t>
  </si>
  <si>
    <t xml:space="preserve">Carlin Dodge II</t>
  </si>
  <si>
    <t xml:space="preserve">WAL-MART SUPERCENTER 1200</t>
  </si>
  <si>
    <t xml:space="preserve">S02544</t>
  </si>
  <si>
    <t xml:space="preserve">111 N WALNUT ST</t>
  </si>
  <si>
    <t xml:space="preserve">ECONOMY HEATING ¢ SHEET METAL INC (1973; SIC 3444)</t>
  </si>
  <si>
    <t xml:space="preserve">ASHCROFT MANUFACTURING CO (1973) | ECONOMY HEATING ¢ SHEET METAL INC (1973)</t>
  </si>
  <si>
    <t xml:space="preserve">FREEWAY AMOCO</t>
  </si>
  <si>
    <t xml:space="preserve">S02546</t>
  </si>
  <si>
    <t xml:space="preserve">3333 N EL PASO</t>
  </si>
  <si>
    <t xml:space="preserve">WESTERN MFG + DISTRIBUTING INC (1977-1983; SIC 3792)</t>
  </si>
  <si>
    <t xml:space="preserve">CLIFFORD*S CUSTOM UPHOLSTERY INC (1973) | CLIFFORD*S CUSTOM FURNITURE (1977) | WESTERN MFG + DISTRIBUTING INC (1977)</t>
  </si>
  <si>
    <t xml:space="preserve">CURRENT INC</t>
  </si>
  <si>
    <t xml:space="preserve">S02568</t>
  </si>
  <si>
    <t xml:space="preserve">1101 N CORONA</t>
  </si>
  <si>
    <t xml:space="preserve">80908</t>
  </si>
  <si>
    <t xml:space="preserve">NCRTH 40 STABLES INC (1973; SIC 3531)</t>
  </si>
  <si>
    <t xml:space="preserve">NCRTH 40 STABLES INC (1973)</t>
  </si>
  <si>
    <t xml:space="preserve">PETCO STORE #917</t>
  </si>
  <si>
    <t xml:space="preserve">S02581</t>
  </si>
  <si>
    <t xml:space="preserve">2720 E YAMPA</t>
  </si>
  <si>
    <t xml:space="preserve">TOTAL POLE INC (1973; SIC 3499,3949)</t>
  </si>
  <si>
    <t xml:space="preserve">TOTAL POLE INC (1973)</t>
  </si>
  <si>
    <t xml:space="preserve">WALGREENS #4043</t>
  </si>
  <si>
    <t xml:space="preserve">S02585</t>
  </si>
  <si>
    <t xml:space="preserve">24 S ROOSEVELT</t>
  </si>
  <si>
    <t xml:space="preserve">80910</t>
  </si>
  <si>
    <t xml:space="preserve">VOLANT INC (1973-1974; SIC 2844)</t>
  </si>
  <si>
    <t xml:space="preserve">VOLANT INC (1973)</t>
  </si>
  <si>
    <t xml:space="preserve">S03011</t>
  </si>
  <si>
    <t xml:space="preserve">209 N WALNUT</t>
  </si>
  <si>
    <t xml:space="preserve">ECONOMY HEATING + SHEET METAL INC (1974; SIC 3444)</t>
  </si>
  <si>
    <t xml:space="preserve">ECONOMY HEATING + SHEET METAL INC (1974)</t>
  </si>
  <si>
    <t xml:space="preserve">S03015</t>
  </si>
  <si>
    <t xml:space="preserve">3200 N STONE</t>
  </si>
  <si>
    <t xml:space="preserve">OLOACH BUILDING PRODUCTS CO (1983; SIC 3442,2431) | CARBOTHERM LTD (1988; SIC 2813,2486)</t>
  </si>
  <si>
    <t xml:space="preserve">HEXOL INC KAST-MARBLE INC (1974) | OLOACH BUILDING PRODUCTS CO (1983) | CARBOTHERM LTD (1988)</t>
  </si>
  <si>
    <t xml:space="preserve">El Paso Engineering Fac.</t>
  </si>
  <si>
    <t xml:space="preserve">INNOV WIRE TECHNOLOGY INC</t>
  </si>
  <si>
    <t xml:space="preserve">SEARS REPAIR SERVICE</t>
  </si>
  <si>
    <t xml:space="preserve">S03025</t>
  </si>
  <si>
    <t xml:space="preserve">525 E FOUNTAIN</t>
  </si>
  <si>
    <t xml:space="preserve">1974;1977;1980;1983</t>
  </si>
  <si>
    <t xml:space="preserve">TITUS WELDING (1974-1983; SIC 3591,3446,3441)</t>
  </si>
  <si>
    <t xml:space="preserve">TITUS WELDING (1974)</t>
  </si>
  <si>
    <t xml:space="preserve">S03359</t>
  </si>
  <si>
    <t xml:space="preserve">4680 EDISON AVE</t>
  </si>
  <si>
    <t xml:space="preserve">80915</t>
  </si>
  <si>
    <t xml:space="preserve">Electronic components; Printed circuit boards</t>
  </si>
  <si>
    <t xml:space="preserve">1977;1980;1983;1990</t>
  </si>
  <si>
    <t xml:space="preserve">AMERICAN VIDEO (1977; SIC 3672,3079,3679) | MACKEY CORPORATION (1977; SIC 3079,3499) | HOWLAND MACHINE CORPORATION (1980-1983; SIC 3599) | INTER-LINK INC (1990; SIC 3577)</t>
  </si>
  <si>
    <t xml:space="preserve">AMERICAN VIDEO (1977) |  (1977) | MACKEY CORPORATION (1977) | HOWLAND MACHINE CORPORATION (1980) | INTER-LINK INC (1990)</t>
  </si>
  <si>
    <t xml:space="preserve">NCR CORPORATION</t>
  </si>
  <si>
    <t xml:space="preserve">S03378</t>
  </si>
  <si>
    <t xml:space="preserve">1730 N CORONA</t>
  </si>
  <si>
    <t xml:space="preserve">M A P LABORATORIES (1977-1980; SIC 2844)</t>
  </si>
  <si>
    <t xml:space="preserve">M A P LABORATORIES (1977) | KEYSER LITHO INC (1988)</t>
  </si>
  <si>
    <t xml:space="preserve">S03380</t>
  </si>
  <si>
    <t xml:space="preserve">1495 FORD ST</t>
  </si>
  <si>
    <t xml:space="preserve">MICRO METALS (1977; SIC 3444,3471,3573)</t>
  </si>
  <si>
    <t xml:space="preserve">MICRO METALS (1977)</t>
  </si>
  <si>
    <t xml:space="preserve">THE DIFF SHOP</t>
  </si>
  <si>
    <t xml:space="preserve">S03389</t>
  </si>
  <si>
    <t xml:space="preserve">2902 AIRPORT RO</t>
  </si>
  <si>
    <t xml:space="preserve">ULTRALITE FILM OBJECTS INC (1977; SIC 3079)</t>
  </si>
  <si>
    <t xml:space="preserve">ULTRALITE FILM OBJECTS INC (1977)</t>
  </si>
  <si>
    <t xml:space="preserve">S04085</t>
  </si>
  <si>
    <t xml:space="preserve">5240 EDISON AVE</t>
  </si>
  <si>
    <t xml:space="preserve">AMERICAN VIDEO (1980; SIC 3672,3079,3999)</t>
  </si>
  <si>
    <t xml:space="preserve">AMERICAN VIDEO (1980)</t>
  </si>
  <si>
    <t xml:space="preserve">UTE SPRAY PAINTING INC</t>
  </si>
  <si>
    <t xml:space="preserve">S04089</t>
  </si>
  <si>
    <t xml:space="preserve">3036 W PIKES PEAK AVE</t>
  </si>
  <si>
    <t xml:space="preserve">B.N.Eo-O1V OF LL BARTHEUGW. INC. (1980; SIC 3714) | AUTOMATIC MOLDING ACCESSORIES (1983; SIC 3599) | BeNoTe=DIV OF LL BARTHELOWs INC. (1983; SIC 3714)</t>
  </si>
  <si>
    <t xml:space="preserve">B.N.Eo-O1V OF LL BARTHEUGW. INC. (1980) | AUTOMATIC MOLDING ACCESSORIES (1983) | BeNoTe=DIV OF LL BARTHELOWs INC. (1983)</t>
  </si>
  <si>
    <t xml:space="preserve">K AND S AUTOMOTIVE</t>
  </si>
  <si>
    <t xml:space="preserve">S04102</t>
  </si>
  <si>
    <t xml:space="preserve">1511 DUSTRY DR</t>
  </si>
  <si>
    <t xml:space="preserve">80906</t>
  </si>
  <si>
    <t xml:space="preserve">Blast furnaces &amp; coke</t>
  </si>
  <si>
    <t xml:space="preserve">INTERMOUNTAIN STEEL MFG 4NC (1980; SIC 3312)</t>
  </si>
  <si>
    <t xml:space="preserve">INTERMOUNTAIN STEEL MFG 4NC (1980)</t>
  </si>
  <si>
    <t xml:space="preserve">MHC KENWORTH INC</t>
  </si>
  <si>
    <t xml:space="preserve">S04103</t>
  </si>
  <si>
    <t xml:space="preserve">1013 S TEJON ST</t>
  </si>
  <si>
    <t xml:space="preserve">1980;1992</t>
  </si>
  <si>
    <t xml:space="preserve">MAGIC MIST (1980; SIC 2819,3589) | COLO SPGS TIME RECORDER CO (1992; SIC 3579,2675,2048)</t>
  </si>
  <si>
    <t xml:space="preserve">RAR-NEL WOOD PRODUCTS CO. (1980) | MAGIC MIST (1980) | TAYCO SCREEN PRINTING (1983) | COLO SPGS TIME RECORDER CO (1992)</t>
  </si>
  <si>
    <t xml:space="preserve">TONY ALLEN</t>
  </si>
  <si>
    <t xml:space="preserve">S04135</t>
  </si>
  <si>
    <t xml:space="preserve">301 MANITOU AVE</t>
  </si>
  <si>
    <t xml:space="preserve">80829</t>
  </si>
  <si>
    <t xml:space="preserve">BOBBY*S CUSTOM CANPER MFG (1980; SIC 3792) | 8! ¥*S CUSTOM CAMPER MFG (1983; SIC 3792)</t>
  </si>
  <si>
    <t xml:space="preserve">BOBBY*S CUSTOM CANPER MFG (1980) | 8! ¥*S CUSTOM CAMPER MFG (1983)</t>
  </si>
  <si>
    <t xml:space="preserve">S04136</t>
  </si>
  <si>
    <t xml:space="preserve">2007 MANITOU AVE</t>
  </si>
  <si>
    <t xml:space="preserve">COLORADO STEAM EQUIPMENT CO (1980; SIC 3589)</t>
  </si>
  <si>
    <t xml:space="preserve">COLORADO STEAM EQUIPMENT CO (1980)</t>
  </si>
  <si>
    <t xml:space="preserve">MANITOU ANTIQUE MALL</t>
  </si>
  <si>
    <t xml:space="preserve">S04897</t>
  </si>
  <si>
    <t xml:space="preserve">2785 STEEL OR</t>
  </si>
  <si>
    <t xml:space="preserve">A + P STEEL INC. (1983; SIC 3523,3441,3449) | A+P STEEL SUPPLY (1988-1990; SIC 3441,3449,3523)</t>
  </si>
  <si>
    <t xml:space="preserve">A + P STEEL INC. (1983) | A+P STEEL SUPPLY (1988)</t>
  </si>
  <si>
    <t xml:space="preserve">E-TECH RECYCLERS LLC</t>
  </si>
  <si>
    <t xml:space="preserve">S04899</t>
  </si>
  <si>
    <t xml:space="preserve">2318 E PLATTE AVE</t>
  </si>
  <si>
    <t xml:space="preserve">ALPHA 76sINCo (1983; SIC 2329,3552)</t>
  </si>
  <si>
    <t xml:space="preserve">ALPHA 76sINCo (1983)</t>
  </si>
  <si>
    <t xml:space="preserve">NOB HILL CLEANERS</t>
  </si>
  <si>
    <t xml:space="preserve">VOGUE CLEANERS</t>
  </si>
  <si>
    <t xml:space="preserve">S04924</t>
  </si>
  <si>
    <t xml:space="preserve">740 GEIGER CT</t>
  </si>
  <si>
    <t xml:space="preserve">ENERCON ENTERPRISES LTO (1983; SIC 3442)</t>
  </si>
  <si>
    <t xml:space="preserve">ENERCON ENTERPRISES LTO (1983)</t>
  </si>
  <si>
    <t xml:space="preserve">FOTC</t>
  </si>
  <si>
    <t xml:space="preserve">S04927</t>
  </si>
  <si>
    <t xml:space="preserve">2613 JANITELL RO</t>
  </si>
  <si>
    <t xml:space="preserve">EXIOYNE FLUID TECHNOLOGIES INC (1983; SIC 3611,3569)</t>
  </si>
  <si>
    <t xml:space="preserve">EXIOYNE FLUID TECHNOLOGIES INC (1983)</t>
  </si>
  <si>
    <t xml:space="preserve">JERRY'S YARD</t>
  </si>
  <si>
    <t xml:space="preserve">S04933</t>
  </si>
  <si>
    <t xml:space="preserve">822 N WEBER</t>
  </si>
  <si>
    <t xml:space="preserve">GREENE PATTERN COs (1983-1990; SIC 3565,3999,2499)</t>
  </si>
  <si>
    <t xml:space="preserve">GREENE PATTERN COs (1983)</t>
  </si>
  <si>
    <t xml:space="preserve">Corundum Group</t>
  </si>
  <si>
    <t xml:space="preserve">DIGESTIVE DISEASE ENDOSCOPY CENTER</t>
  </si>
  <si>
    <t xml:space="preserve">S04938</t>
  </si>
  <si>
    <t xml:space="preserve">1235 VALLEY ST</t>
  </si>
  <si>
    <t xml:space="preserve">INTERMOUNTAIN STEEL MFG INC (1983-1990; SIC 3312)</t>
  </si>
  <si>
    <t xml:space="preserve">INTERMOUNTAIN STEEL MFG INC (1983)</t>
  </si>
  <si>
    <t xml:space="preserve">TRI-STATE INDUSTRIES</t>
  </si>
  <si>
    <t xml:space="preserve">S04943</t>
  </si>
  <si>
    <t xml:space="preserve">4425 GATEWOOD OR</t>
  </si>
  <si>
    <t xml:space="preserve">80916</t>
  </si>
  <si>
    <t xml:space="preserve">MAGIC MIST (1983; SIC 2619,3589)</t>
  </si>
  <si>
    <t xml:space="preserve">MAGIC MIST (1983)</t>
  </si>
  <si>
    <t xml:space="preserve">S04970</t>
  </si>
  <si>
    <t xml:space="preserve">11 E LAS VEGAS</t>
  </si>
  <si>
    <t xml:space="preserve">TEK INDUSTRIES INC. (1983; SIC 2842,2899)</t>
  </si>
  <si>
    <t xml:space="preserve">TEK INDUSTRIES INC. (1983)</t>
  </si>
  <si>
    <t xml:space="preserve">S04979</t>
  </si>
  <si>
    <t xml:space="preserve">7365 FORTMAN AVE</t>
  </si>
  <si>
    <t xml:space="preserve">FOUNTAIN</t>
  </si>
  <si>
    <t xml:space="preserve">80817</t>
  </si>
  <si>
    <t xml:space="preserve">CONYS ENGRAVING (1983; SIC 3479)</t>
  </si>
  <si>
    <t xml:space="preserve">CONYS ENGRAVING (1983)</t>
  </si>
  <si>
    <t xml:space="preserve">S04980</t>
  </si>
  <si>
    <t xml:space="preserve">517 MANITOU AVE</t>
  </si>
  <si>
    <t xml:space="preserve">ADCOM TRANSFORMER INC (1983-1990; SIC 3612,3677,3079)</t>
  </si>
  <si>
    <t xml:space="preserve">ADCOM TRANSFORMER INC (1983)</t>
  </si>
  <si>
    <t xml:space="preserve">S05315</t>
  </si>
  <si>
    <t xml:space="preserve">7815 MAVERICK RD</t>
  </si>
  <si>
    <t xml:space="preserve">BLACK FOREST TITUS WELDING INC (1988; SIC 3441,3446,3462) | TITUS IRONWORK CO (1990; SIC 3446,3462,3591)</t>
  </si>
  <si>
    <t xml:space="preserve">BLACK FOREST TITUS WELDING INC (1988) | TITUS IRONWORK CO (1990)</t>
  </si>
  <si>
    <t xml:space="preserve">S05422</t>
  </si>
  <si>
    <t xml:space="preserve">115 S CORONA</t>
  </si>
  <si>
    <t xml:space="preserve">ARGO METAL PRODUCTS (1988-1990; SIC 3442,3446)</t>
  </si>
  <si>
    <t xml:space="preserve">ARGO METAL PRODUCTS (1988)</t>
  </si>
  <si>
    <t xml:space="preserve">Elan Rio Grande</t>
  </si>
  <si>
    <t xml:space="preserve">B AND F INC DBA STATUS SYMBOL AUTOBODY</t>
  </si>
  <si>
    <t xml:space="preserve">S05426</t>
  </si>
  <si>
    <t xml:space="preserve">1275 VAPOR TRAIL</t>
  </si>
  <si>
    <t xml:space="preserve">BIANCHI MFG+DESIGN (1988-1990; SIC 3089,3442)</t>
  </si>
  <si>
    <t xml:space="preserve">BIANCHI MFG+DESIGN (1988)</t>
  </si>
  <si>
    <t xml:space="preserve">GOODRICH INTERIORS DBA COLLINS AEROSPACE</t>
  </si>
  <si>
    <t xml:space="preserve">BOYD LIGHTING COMPANY</t>
  </si>
  <si>
    <t xml:space="preserve">S05441</t>
  </si>
  <si>
    <t xml:space="preserve">2930 JANITELL RD</t>
  </si>
  <si>
    <t xml:space="preserve">Wate SShrn (1988; SIC 2899)</t>
  </si>
  <si>
    <t xml:space="preserve">Wate SShrn (1988)</t>
  </si>
  <si>
    <t xml:space="preserve">GARDEN VALLEY AMOCO</t>
  </si>
  <si>
    <t xml:space="preserve">S05446</t>
  </si>
  <si>
    <t xml:space="preserve">5975 N ACADEMY BLVD</t>
  </si>
  <si>
    <t xml:space="preserve">80918</t>
  </si>
  <si>
    <t xml:space="preserve">E Z STORM SYSTEMS (1988; SIC 3442,3820)</t>
  </si>
  <si>
    <t xml:space="preserve">E Z STORM SYSTEMS (1988)</t>
  </si>
  <si>
    <t xml:space="preserve">COLO SPGS MED CTR - NORTH BR</t>
  </si>
  <si>
    <t xml:space="preserve">S05456</t>
  </si>
  <si>
    <t xml:space="preserve">4525 E PLATTE AVE</t>
  </si>
  <si>
    <t xml:space="preserve">INTER-LINK INC (1988; SIC 3577)</t>
  </si>
  <si>
    <t xml:space="preserve">INTER-LINK INC (1988)</t>
  </si>
  <si>
    <t xml:space="preserve">FAMILY DOLLAR #2661</t>
  </si>
  <si>
    <t xml:space="preserve">S05478</t>
  </si>
  <si>
    <t xml:space="preserve">4795 MARK DABLING</t>
  </si>
  <si>
    <t xml:space="preserve">COLOR WORK PIKES PEAK STEEL INC (1988; SIC 3441,3443,3444)</t>
  </si>
  <si>
    <t xml:space="preserve">COLOR WORK PIKES PEAK STEEL INC (1988)</t>
  </si>
  <si>
    <t xml:space="preserve">SPRINGFIELD PLATING, &amp; ANODIZING</t>
  </si>
  <si>
    <t xml:space="preserve">HVH TRANSPORTATION</t>
  </si>
  <si>
    <t xml:space="preserve">S05481</t>
  </si>
  <si>
    <t xml:space="preserve">2702 N CHESTNUT</t>
  </si>
  <si>
    <t xml:space="preserve">QUALITY PRINTING (1988-1990; SIC 3469,3644,3953)</t>
  </si>
  <si>
    <t xml:space="preserve">QUALITY PRINTING (1988)</t>
  </si>
  <si>
    <t xml:space="preserve">S05494</t>
  </si>
  <si>
    <t xml:space="preserve">4635 TOPAZ DR</t>
  </si>
  <si>
    <t xml:space="preserve">SOUTHWEST PLASTIC SYSTEMS INC (1988; SIC 3559,3679)</t>
  </si>
  <si>
    <t xml:space="preserve">SOUTHWEST PLASTIC SYSTEMS INC (1988)</t>
  </si>
  <si>
    <t xml:space="preserve">MONTEBELLO  CLEANERS</t>
  </si>
  <si>
    <t xml:space="preserve">S06234</t>
  </si>
  <si>
    <t xml:space="preserve">146 3RD ST</t>
  </si>
  <si>
    <t xml:space="preserve">CALHAN</t>
  </si>
  <si>
    <t xml:space="preserve">80808</t>
  </si>
  <si>
    <t xml:space="preserve">LA PERRIERE MANUFACTURING (1990; SIC 3369)</t>
  </si>
  <si>
    <t xml:space="preserve">LA PERRIERE MANUFACTURING (1990)</t>
  </si>
  <si>
    <t xml:space="preserve">S06250</t>
  </si>
  <si>
    <t xml:space="preserve">2720 E LAS VEGAS ST</t>
  </si>
  <si>
    <t xml:space="preserve">JD ADAMS CULVERT CO (1990; SIC 3317,3441,3462)</t>
  </si>
  <si>
    <t xml:space="preserve">JD ADAMS CULVERT CO (1990)</t>
  </si>
  <si>
    <t xml:space="preserve">S06258</t>
  </si>
  <si>
    <t xml:space="preserve">2620 VENETUCCI BLVD</t>
  </si>
  <si>
    <t xml:space="preserve">CBA SERVICE CORP (1990; SIC 2721,2741,3577)</t>
  </si>
  <si>
    <t xml:space="preserve">CBA SERVICE CORP (1990)</t>
  </si>
  <si>
    <t xml:space="preserve">S06277</t>
  </si>
  <si>
    <t xml:space="preserve">6640 MONTARBOR DR</t>
  </si>
  <si>
    <t xml:space="preserve">FRONT RANGE MACHINE SHOP (1990; SIC 3599)</t>
  </si>
  <si>
    <t xml:space="preserve">FRONT RANGE MACHINE SHOP (1990)</t>
  </si>
  <si>
    <t xml:space="preserve">S06283</t>
  </si>
  <si>
    <t xml:space="preserve">2926 DAKOTA DR</t>
  </si>
  <si>
    <t xml:space="preserve">JAN'S RUBBER STAMPS (1990; SIC 3069)</t>
  </si>
  <si>
    <t xml:space="preserve">JAN'S RUBBER STAMPS (1990)</t>
  </si>
  <si>
    <t xml:space="preserve">PETRO-MARK INC</t>
  </si>
  <si>
    <t xml:space="preserve">S06304</t>
  </si>
  <si>
    <t xml:space="preserve">2023 E BOULDER</t>
  </si>
  <si>
    <t xml:space="preserve">SHIPP’S AUTO ROOF CENTER (1990; SIC 3714)</t>
  </si>
  <si>
    <t xml:space="preserve">SHIPP’S AUTO ROOF CENTER (1990)</t>
  </si>
  <si>
    <t xml:space="preserve">THE BODY &amp; FENDER SHOP LTD</t>
  </si>
  <si>
    <t xml:space="preserve">S06313</t>
  </si>
  <si>
    <t xml:space="preserve">1180A VALLEY ST</t>
  </si>
  <si>
    <t xml:space="preserve">THEMAC INC (1990; SIC 3599)</t>
  </si>
  <si>
    <t xml:space="preserve">THEMAC INC (1990)</t>
  </si>
  <si>
    <t xml:space="preserve">SUPER SPORTS PAINT AND BODY LLC - CHARLES W ALLDRIDGE</t>
  </si>
  <si>
    <t xml:space="preserve">S06933</t>
  </si>
  <si>
    <t xml:space="preserve">2460 N POWERS BIVD</t>
  </si>
  <si>
    <t xml:space="preserve">J AFLESHER COMPANY (1992; SIC 3599,3545)</t>
  </si>
  <si>
    <t xml:space="preserve">J AFLESHER COMPANY (1992)</t>
  </si>
  <si>
    <t xml:space="preserve">WOODFORD MFG</t>
  </si>
  <si>
    <t xml:space="preserve">S06935</t>
  </si>
  <si>
    <t xml:space="preserve">515 S 25TH ST</t>
  </si>
  <si>
    <t xml:space="preserve">PLANIT (1992; SIC 3444)</t>
  </si>
  <si>
    <t xml:space="preserve">PLANIT (1992)</t>
  </si>
  <si>
    <t xml:space="preserve">UNITED STATES POSTAL SERVICE</t>
  </si>
  <si>
    <t xml:space="preserve">S03397</t>
  </si>
  <si>
    <t xml:space="preserve">516 COLLEGE AVE</t>
  </si>
  <si>
    <t xml:space="preserve">CANON CITY</t>
  </si>
  <si>
    <t xml:space="preserve">Fremont</t>
  </si>
  <si>
    <t xml:space="preserve">81212</t>
  </si>
  <si>
    <t xml:space="preserve">EVANS R V SPECIALTIES MFG Co INC (1977; SIC 3446,3499)</t>
  </si>
  <si>
    <t xml:space="preserve">EVANS R V SPECIALTIES MFG Co INC (1977)</t>
  </si>
  <si>
    <t xml:space="preserve">S03403</t>
  </si>
  <si>
    <t xml:space="preserve">115 S PIKES PEAK</t>
  </si>
  <si>
    <t xml:space="preserve">FLORENCE</t>
  </si>
  <si>
    <t xml:space="preserve">81226</t>
  </si>
  <si>
    <t xml:space="preserve">COW-POW INC (1977; SIC 2875)</t>
  </si>
  <si>
    <t xml:space="preserve">COW-POW INC (1977) | EARTH SCIENCE MATERIALS (1980)</t>
  </si>
  <si>
    <t xml:space="preserve">BAKER BLDG</t>
  </si>
  <si>
    <t xml:space="preserve">SPRADLEY/BARR MOTOR COMPANY</t>
  </si>
  <si>
    <t xml:space="preserve">S04985</t>
  </si>
  <si>
    <t xml:space="preserve">1167 HIGH ST</t>
  </si>
  <si>
    <t xml:space="preserve">BRADLEY EXPLOSIVES*BRADLEY METALS COs INC (1983; SIC 2692,3448,3484)</t>
  </si>
  <si>
    <t xml:space="preserve">BRADLEY EXPLOSIVES*BRADLEY METALS COs INC (1983)</t>
  </si>
  <si>
    <t xml:space="preserve">S04988</t>
  </si>
  <si>
    <t xml:space="preserve">728 MYRTLE AVE</t>
  </si>
  <si>
    <t xml:space="preserve">GRIFFIN MACHINE SHOP (1983-1990; SIC 3499)</t>
  </si>
  <si>
    <t xml:space="preserve">GRIFFIN MACHINE SHOP (1983)</t>
  </si>
  <si>
    <t xml:space="preserve">S06236</t>
  </si>
  <si>
    <t xml:space="preserve">1119 SHORT ST</t>
  </si>
  <si>
    <t xml:space="preserve">DFC CERAMICS INC (1992; SIC 3297,2099,2041)</t>
  </si>
  <si>
    <t xml:space="preserve">DALGARN + SONS COLORADO HONEY (1990) | DFC CERAMICS INC (1992)</t>
  </si>
  <si>
    <t xml:space="preserve">S01558</t>
  </si>
  <si>
    <t xml:space="preserve">719 GRAND AVE</t>
  </si>
  <si>
    <t xml:space="preserve">GLENWOOD SPRINGS</t>
  </si>
  <si>
    <t xml:space="preserve">Garfield</t>
  </si>
  <si>
    <t xml:space="preserve">81601</t>
  </si>
  <si>
    <t xml:space="preserve">CHASCO MFG CO (1967; SIC 3593)</t>
  </si>
  <si>
    <t xml:space="preserve">CHASCO MFG CO (1967) | REMINCER PUBLISHING CO (1968) | GAZETTE PRESS (1974) | MULTI-SCREEN (1983)</t>
  </si>
  <si>
    <t xml:space="preserve">DECOMMISSIONED WASTEWATER TREATMENT PLANT</t>
  </si>
  <si>
    <t xml:space="preserve">STORAGE YARD</t>
  </si>
  <si>
    <t xml:space="preserve">S04148</t>
  </si>
  <si>
    <t xml:space="preserve">2936 RAILROAD AVE</t>
  </si>
  <si>
    <t xml:space="preserve">RIFLE</t>
  </si>
  <si>
    <t xml:space="preserve">81650</t>
  </si>
  <si>
    <t xml:space="preserve">OLYMPIC TRUSSCO (1980; SIC 2439,2011,2097)</t>
  </si>
  <si>
    <t xml:space="preserve">OLYMPIC TRUSSCO (1980)</t>
  </si>
  <si>
    <t xml:space="preserve">COLUMBINE FORD</t>
  </si>
  <si>
    <t xml:space="preserve">S02595</t>
  </si>
  <si>
    <t xml:space="preserve">500 E GEORGIA AVE</t>
  </si>
  <si>
    <t xml:space="preserve">GUNNISON</t>
  </si>
  <si>
    <t xml:space="preserve">Gunnison</t>
  </si>
  <si>
    <t xml:space="preserve">81230</t>
  </si>
  <si>
    <t xml:space="preserve">FINEST CUSTOM RIFLES (1973-1980; SIC 3484)</t>
  </si>
  <si>
    <t xml:space="preserve">FINEST CUSTOM RIFLES (1973)</t>
  </si>
  <si>
    <t xml:space="preserve">S02596</t>
  </si>
  <si>
    <t xml:space="preserve">313 N TAYLOR</t>
  </si>
  <si>
    <t xml:space="preserve">HANSEN WEATHER-PORT CO (1973; SIC 3448,3949)</t>
  </si>
  <si>
    <t xml:space="preserve">HANSEN WEATHER-PORT CO (1973)</t>
  </si>
  <si>
    <t xml:space="preserve">GUNNISON VALLEY HEALTH</t>
  </si>
  <si>
    <t xml:space="preserve">S04152</t>
  </si>
  <si>
    <t xml:space="preserve">322 BELLEVIEW</t>
  </si>
  <si>
    <t xml:space="preserve">CRESTED BUTTE</t>
  </si>
  <si>
    <t xml:space="preserve">81224</t>
  </si>
  <si>
    <t xml:space="preserve">RM TAYLOR INC (1980-1983; SIC 3444,3599)</t>
  </si>
  <si>
    <t xml:space="preserve">RM TAYLOR INC (1980) | PUBLICATIONS SRIVARGBUTTE (1988) | CRESTED BUTTE PRINTING (1990)</t>
  </si>
  <si>
    <t xml:space="preserve">S04154</t>
  </si>
  <si>
    <t xml:space="preserve">300 S 14</t>
  </si>
  <si>
    <t xml:space="preserve">HANSEN WEATHER-PORT CO (1990; SIC 2452,3471,2394)</t>
  </si>
  <si>
    <t xml:space="preserve">HANSEN WEATHER~PORT CO (1980)</t>
  </si>
  <si>
    <t xml:space="preserve">SAFEWAY STORE #617</t>
  </si>
  <si>
    <t xml:space="preserve">S05005</t>
  </si>
  <si>
    <t xml:space="preserve">515 5TH ST</t>
  </si>
  <si>
    <t xml:space="preserve">LIBERTY FORGE (1983; SIC 3446,3462,3545)</t>
  </si>
  <si>
    <t xml:space="preserve">LIBERTY FORGE (1983)</t>
  </si>
  <si>
    <t xml:space="preserve">CRESTED BUTTE TRANSFORMER SITE</t>
  </si>
  <si>
    <t xml:space="preserve">S02597</t>
  </si>
  <si>
    <t xml:space="preserve">115 E INDIANA AVE</t>
  </si>
  <si>
    <t xml:space="preserve">WALSENBURG</t>
  </si>
  <si>
    <t xml:space="preserve">Huerfano</t>
  </si>
  <si>
    <t xml:space="preserve">81089</t>
  </si>
  <si>
    <t xml:space="preserve">HUERFANO ELECTRONIC INOUSTRIES (1973; SIC 3432,3662,3993)</t>
  </si>
  <si>
    <t xml:space="preserve">HUERFANO ELECTRONIC INOUSTRIES (1973)</t>
  </si>
  <si>
    <t xml:space="preserve">WALSENBURG ASBESTOS SITE</t>
  </si>
  <si>
    <t xml:space="preserve">S02598</t>
  </si>
  <si>
    <t xml:space="preserve">801 RUSSELL</t>
  </si>
  <si>
    <t xml:space="preserve">PLASTIC PRINCE (1973; SIC 3079,3643)</t>
  </si>
  <si>
    <t xml:space="preserve">PLASTIC PRINCE (1973)</t>
  </si>
  <si>
    <t xml:space="preserve">PAPA JOE'S DRY CLEANERS</t>
  </si>
  <si>
    <t xml:space="preserve">S00422</t>
  </si>
  <si>
    <t xml:space="preserve">14425 W 32 AVE</t>
  </si>
  <si>
    <t xml:space="preserve">GOLDEN</t>
  </si>
  <si>
    <t xml:space="preserve">Jefferson</t>
  </si>
  <si>
    <t xml:space="preserve">KILGROE-ATCHISON CONSTRUCTION + PAVING CC (1968; SIC 2951)</t>
  </si>
  <si>
    <t xml:space="preserve">TABLE MOUNTAIN SANC + GRAVEL (1965) | KILGROE-ATCHISON CONSTRUCTION + PAVING CC (1968)</t>
  </si>
  <si>
    <t xml:space="preserve">S01086</t>
  </si>
  <si>
    <t xml:space="preserve">9041 OBERON RD</t>
  </si>
  <si>
    <t xml:space="preserve">ARVADA</t>
  </si>
  <si>
    <t xml:space="preserve">80002</t>
  </si>
  <si>
    <t xml:space="preserve">1966;1967;1977</t>
  </si>
  <si>
    <t xml:space="preserve">ARVADA HEATING + SHEET METAL CO (1966-1977; SIC 3441) | ARVADA * (1967; SIC 3444)</t>
  </si>
  <si>
    <t xml:space="preserve">ARVADA HEATING + SHEET METAL CO (1966) | ARVADA * (1967)</t>
  </si>
  <si>
    <t xml:space="preserve">S01091</t>
  </si>
  <si>
    <t xml:space="preserve">5685 GRAY</t>
  </si>
  <si>
    <t xml:space="preserve">1966;1968;1973</t>
  </si>
  <si>
    <t xml:space="preserve">JEFFCO STEEL FABRICATORS INC (1966; SIC 3441) | HARTUNG'S WELCING + TRON WORKS (1968; SIC 3441,3446) | A-1 METAL PRODUCTS (1973; SIC 3446)</t>
  </si>
  <si>
    <t xml:space="preserve">JEFFCO STEEL FABRICATORS INC (1966) | HARTUNG'S WELCING + TRON WORKS (1968) | A-1 METAL PRODUCTS (1973)</t>
  </si>
  <si>
    <t xml:space="preserve">G&amp;S Vending</t>
  </si>
  <si>
    <t xml:space="preserve">BARONE INC</t>
  </si>
  <si>
    <t xml:space="preserve">S01096</t>
  </si>
  <si>
    <t xml:space="preserve">6701 GRANDVIEW</t>
  </si>
  <si>
    <t xml:space="preserve">M VAN WESTENEERG (1968; SIC 3079,2751)</t>
  </si>
  <si>
    <t xml:space="preserve">M VAN WESTENBERG (1966)</t>
  </si>
  <si>
    <t xml:space="preserve">AUTOMOTIVE TECH &amp; AUTO BODY</t>
  </si>
  <si>
    <t xml:space="preserve">S01100</t>
  </si>
  <si>
    <t xml:space="preserve">9960 W 8TH AVE</t>
  </si>
  <si>
    <t xml:space="preserve">LAKEWOOD</t>
  </si>
  <si>
    <t xml:space="preserve">80215</t>
  </si>
  <si>
    <t xml:space="preserve">1966;1970;1974;1977</t>
  </si>
  <si>
    <t xml:space="preserve">COLLINS SHEET METAL + HEATING (1966-1977; SIC 3441)</t>
  </si>
  <si>
    <t xml:space="preserve">COLLINS SHEET METAL + HEATING (1966)</t>
  </si>
  <si>
    <t xml:space="preserve">CST METRO LLC DBA CORNER STORE #4121</t>
  </si>
  <si>
    <t xml:space="preserve">S01102</t>
  </si>
  <si>
    <t xml:space="preserve">9937 W 25TH AVE</t>
  </si>
  <si>
    <t xml:space="preserve">1970;1983</t>
  </si>
  <si>
    <t xml:space="preserve">COLORADG CONVEYOR CO (1970; SIC 3535) | TYPOGRAPHICS WEST» INC. (1983; SIC 2791,3861)</t>
  </si>
  <si>
    <t xml:space="preserve">EMPIRE LIGHTING + SUPPLY CO (1966) | EMPIRE LIGHTING + SUPPLY CO (1968) | COLORADG CONVEYOR CO (1970) | ANDRON ELECTRIC (1974) | TVPOGRAPHICS WEST, INC. (1980) | EME +SUPPLY CO (1988)</t>
  </si>
  <si>
    <t xml:space="preserve">Master Valet Cleaners</t>
  </si>
  <si>
    <t xml:space="preserve">KIPLING DRYCLEANER</t>
  </si>
  <si>
    <t xml:space="preserve">S01105</t>
  </si>
  <si>
    <t xml:space="preserve">1506 S INGALLS</t>
  </si>
  <si>
    <t xml:space="preserve">80226</t>
  </si>
  <si>
    <t xml:space="preserve">1966;1967;1968</t>
  </si>
  <si>
    <t xml:space="preserve">HUBER, NORMAN E (1966-1968; SIC 3599)</t>
  </si>
  <si>
    <t xml:space="preserve">HUBER, NORMAN E (1966)</t>
  </si>
  <si>
    <t xml:space="preserve">S01129</t>
  </si>
  <si>
    <t xml:space="preserve">3660 LEE</t>
  </si>
  <si>
    <t xml:space="preserve">WHEAT RIDGE</t>
  </si>
  <si>
    <t xml:space="preserve">80033</t>
  </si>
  <si>
    <t xml:space="preserve">1966;1968;1970</t>
  </si>
  <si>
    <t xml:space="preserve">JENSEN*S MECHANICS (1966; SIC 3079) | LAMINATED DECOK INC (1966-1970; SIC 1000)</t>
  </si>
  <si>
    <t xml:space="preserve">JENSEN*S MECHANICS (1966) | LAMINATED DECOK INC (1966)</t>
  </si>
  <si>
    <t xml:space="preserve">38TH &amp; KIPLING REDEVELOPMENT</t>
  </si>
  <si>
    <t xml:space="preserve">AUTOZONE</t>
  </si>
  <si>
    <t xml:space="preserve">S02621</t>
  </si>
  <si>
    <t xml:space="preserve">15860 W 9TH AVE</t>
  </si>
  <si>
    <t xml:space="preserve">80401</t>
  </si>
  <si>
    <t xml:space="preserve">1973;1980</t>
  </si>
  <si>
    <t xml:space="preserve">MICROWAVE SYSTEMS CO (1973; SIC 3441) | GOLDEN TOOL + MACHINE CO ENC (1980; SIC 3499,3599)</t>
  </si>
  <si>
    <t xml:space="preserve">UPTIME CORPORAL ION (1966) | MICROWAVE SYSTEMS CO (1973) | Pp — T TEMPLET CO (1973) |  (1974) | TELEDYNE TERRAMETRICS (1974) | TERRAMETRICS» INC (1977) | GOLDEN TOOL + MACHINE CO ENC (1980) | @ + T TEMPLED CO (1980) | BRITE UNE INDUSTRIES (1992)</t>
  </si>
  <si>
    <t xml:space="preserve">880-890 McIntyre St</t>
  </si>
  <si>
    <t xml:space="preserve">LAWSON'S PAINT &amp; BODY</t>
  </si>
  <si>
    <t xml:space="preserve">S01572</t>
  </si>
  <si>
    <t xml:space="preserve">1310 E ST</t>
  </si>
  <si>
    <t xml:space="preserve">MILLARD, R Ly + SONS INC (1967; SIC 3079)</t>
  </si>
  <si>
    <t xml:space="preserve">MILLARD, R Ly + SONS INC (1967)</t>
  </si>
  <si>
    <t xml:space="preserve">Coors: Tank Lining</t>
  </si>
  <si>
    <t xml:space="preserve">MILLER COORS LLC - BREWERY</t>
  </si>
  <si>
    <t xml:space="preserve">GOLDEN CLEANERS</t>
  </si>
  <si>
    <t xml:space="preserve">S01896</t>
  </si>
  <si>
    <t xml:space="preserve">12556 W 38TH AVE</t>
  </si>
  <si>
    <t xml:space="preserve">SYSTEMS ENGINEERING ASSOCIATES (1968; SIC 3573)</t>
  </si>
  <si>
    <t xml:space="preserve">SYSTEMS ENGINEERING ASSOCIATES (1968)</t>
  </si>
  <si>
    <t xml:space="preserve">S01897</t>
  </si>
  <si>
    <t xml:space="preserve">4045 WADSWORTH BLVD</t>
  </si>
  <si>
    <t xml:space="preserve">WESTERN BIOLOGICAL INCUSTRIES INC (1968; SIC 2831)</t>
  </si>
  <si>
    <t xml:space="preserve">WESTERN BIOLOGICAL INCUSTRIES INC (1968)</t>
  </si>
  <si>
    <t xml:space="preserve">3900 WADSWORTH</t>
  </si>
  <si>
    <t xml:space="preserve">ACTION RECYCLING CENTER</t>
  </si>
  <si>
    <t xml:space="preserve">SAFEWAY STORE #1479</t>
  </si>
  <si>
    <t xml:space="preserve">S02135</t>
  </si>
  <si>
    <t xml:space="preserve">4601 WARD RD</t>
  </si>
  <si>
    <t xml:space="preserve">RATHCO STEEL FABRICATORS INC (1970; SIC 3441)</t>
  </si>
  <si>
    <t xml:space="preserve">RATHCO STEEL FABRICATORS INC (1970)</t>
  </si>
  <si>
    <t xml:space="preserve">RESIDENCE AT 12430 W. 44TH AVENUE</t>
  </si>
  <si>
    <t xml:space="preserve">S02303</t>
  </si>
  <si>
    <t xml:space="preserve">7860 S PLATTE CANYON RD</t>
  </si>
  <si>
    <t xml:space="preserve">80123</t>
  </si>
  <si>
    <t xml:space="preserve">ORAKE PRECISION MACHINE PRODUCTS (1973; SIC 3451,3079)</t>
  </si>
  <si>
    <t xml:space="preserve">ORAKE PRECISION MACHINE PRODUCTS (1973)</t>
  </si>
  <si>
    <t xml:space="preserve">S02486</t>
  </si>
  <si>
    <t xml:space="preserve">11901 W CEDAR OR</t>
  </si>
  <si>
    <t xml:space="preserve">Semiconductors</t>
  </si>
  <si>
    <t xml:space="preserve">SEVEN ENGINEERING CORP (1980; SIC 3523) | INTERSOL POWER CORP (1983; SIC 3674)</t>
  </si>
  <si>
    <t xml:space="preserve">MOUNTAIN STONE CO (1973) | SAN JUAN POOLS INC (1973) | MOUNTAIN STCNE CO (1974) | SEVEN ENGINEERING CORP (1980) | INTERSOL POWER CORP (1983)</t>
  </si>
  <si>
    <t xml:space="preserve">HEADWAY IND INC</t>
  </si>
  <si>
    <t xml:space="preserve">S02604</t>
  </si>
  <si>
    <t xml:space="preserve">8465 W 32ND AVE</t>
  </si>
  <si>
    <t xml:space="preserve">1973;1974;1977;1980;1988;1990</t>
  </si>
  <si>
    <t xml:space="preserve">APPLEWOOD SHEET METAL + HEATING (1973-1974; SIC 3444) | APPLEWOOD SHEET METAL + HEATING (1977-1990; SIC 3444)</t>
  </si>
  <si>
    <t xml:space="preserve">APPLEWOOD SHEET METAL + HEATING (1973) | APPLEWOOD SHEET METAL + HEATING (1977)</t>
  </si>
  <si>
    <t xml:space="preserve">INTERMOUNTAIN HEALTH HOSPICE - DENVER</t>
  </si>
  <si>
    <t xml:space="preserve">S02613</t>
  </si>
  <si>
    <t xml:space="preserve">4295 MCINTYRE</t>
  </si>
  <si>
    <t xml:space="preserve">COLORADO CHEMICAL SPC INC (1973-1983; SIC 2869) | SOE PR DO CHEMICAL (1988; SIC 2822,2869,3089)</t>
  </si>
  <si>
    <t xml:space="preserve">COLORADO CHEMICAL SPC INC (1973) | SOE PR DO CHEMICAL (1988)</t>
  </si>
  <si>
    <t xml:space="preserve">Trucking Terminal II</t>
  </si>
  <si>
    <t xml:space="preserve">YENTER &amp; SONS BLASTING INC</t>
  </si>
  <si>
    <t xml:space="preserve">S02623</t>
  </si>
  <si>
    <t xml:space="preserve">3990 EASLEY WAY</t>
  </si>
  <si>
    <t xml:space="preserve">ROMAN PRODUCTS CO (1973-1974; SIC 3496,3993)</t>
  </si>
  <si>
    <t xml:space="preserve">ROMAN PRODUCTS CO (1973)</t>
  </si>
  <si>
    <t xml:space="preserve">S02627</t>
  </si>
  <si>
    <t xml:space="preserve">2800 S ROONEY RD</t>
  </si>
  <si>
    <t xml:space="preserve">MORRISON</t>
  </si>
  <si>
    <t xml:space="preserve">80465</t>
  </si>
  <si>
    <t xml:space="preserve">MORRISON COMPUTER TALK INC (1988; SIC 3577,2431,2541) | COMPUTER TALK INC (1990; SIC 3577)</t>
  </si>
  <si>
    <t xml:space="preserve">PETERSCN PILGRIM PRICE TURKEYS (1973) | MORRISON COMPUTER TALK INC (1988) | COMPUTER TALK INC (1990)</t>
  </si>
  <si>
    <t xml:space="preserve">S02636</t>
  </si>
  <si>
    <t xml:space="preserve">10710 W 44TH AVE</t>
  </si>
  <si>
    <t xml:space="preserve">KINMAN SHEET METAL # HEATING (1973-1977; SIC 3444)</t>
  </si>
  <si>
    <t xml:space="preserve">KINMAN SHEET METAL # HEATING (1973)</t>
  </si>
  <si>
    <t xml:space="preserve">FRUITDALE SCHOOL</t>
  </si>
  <si>
    <t xml:space="preserve">S02809</t>
  </si>
  <si>
    <t xml:space="preserve">7680 S PLATTE CANYON RD</t>
  </si>
  <si>
    <t xml:space="preserve">DRAKE PRECISICN MACHINE PRODUCTS (1974; SIC 3451,3079)</t>
  </si>
  <si>
    <t xml:space="preserve">DRAKE PRECISICN MACHINE PRODUCTS (1974)</t>
  </si>
  <si>
    <t xml:space="preserve">S03066</t>
  </si>
  <si>
    <t xml:space="preserve">2125 S AMMONS</t>
  </si>
  <si>
    <t xml:space="preserve">80227</t>
  </si>
  <si>
    <t xml:space="preserve">HAMPTON, DALE, COe+ INC. (1974-1977; SIC 3429)</t>
  </si>
  <si>
    <t xml:space="preserve">HAMPTON, DALE, COe+ INC. (1974)</t>
  </si>
  <si>
    <t xml:space="preserve">S03068</t>
  </si>
  <si>
    <t xml:space="preserve">5650 W 29TH AVE</t>
  </si>
  <si>
    <t xml:space="preserve">80214</t>
  </si>
  <si>
    <t xml:space="preserve">RIDGE VALLEY POULTRY FARM (1974-1980; SIC 2016,2875)</t>
  </si>
  <si>
    <t xml:space="preserve">RIDGE VALLEY POULTRY FARM (1974)</t>
  </si>
  <si>
    <t xml:space="preserve">WHEAT RIDGE MANOR</t>
  </si>
  <si>
    <t xml:space="preserve">S03076</t>
  </si>
  <si>
    <t xml:space="preserve">8000 W 13TH</t>
  </si>
  <si>
    <t xml:space="preserve">BETTER BILT DCOR CO OF COLORADO (1974; SIC 2431,3429)</t>
  </si>
  <si>
    <t xml:space="preserve">BETTER BILT DCOR CO OF COLORADO (1974)</t>
  </si>
  <si>
    <t xml:space="preserve">PRECISION VOLKSWAGON SUZUKI</t>
  </si>
  <si>
    <t xml:space="preserve">S03085</t>
  </si>
  <si>
    <t xml:space="preserve">6035 W 11TH AVE</t>
  </si>
  <si>
    <t xml:space="preserve">TWELFT DIMENSION MFG CORP (1974; SIC 3079)</t>
  </si>
  <si>
    <t xml:space="preserve">TWELFT DIMENSION MFG CORP (1974) | LK PRINTING SERVICE (1977)</t>
  </si>
  <si>
    <t xml:space="preserve">1240 Harlan Street, AAD Disposal</t>
  </si>
  <si>
    <t xml:space="preserve">OKON INC</t>
  </si>
  <si>
    <t xml:space="preserve">COLORADO CAR WORKS</t>
  </si>
  <si>
    <t xml:space="preserve">S03088</t>
  </si>
  <si>
    <t xml:space="preserve">3000 S ROONEY</t>
  </si>
  <si>
    <t xml:space="preserve">1974;1980;1983;1990</t>
  </si>
  <si>
    <t xml:space="preserve">LAKEWOOD MANUFACTURING CO (1974-1990; SIC 3714) | L¥AMEWOOD MANUFACTURING CO (1980; SIC 3714)</t>
  </si>
  <si>
    <t xml:space="preserve">LAKEWOOD MANUFACTURING CO (1974) | L¥AMEWOOD MANUFACTURING CO (1980)</t>
  </si>
  <si>
    <t xml:space="preserve">BANDIMERE SPEEDWAY</t>
  </si>
  <si>
    <t xml:space="preserve">S03415</t>
  </si>
  <si>
    <t xml:space="preserve">6385 W 52ND AVE</t>
  </si>
  <si>
    <t xml:space="preserve">ALPINE ENGINEERING CO (1977; SIC 3599,3544) | AL@INE ENGINEERING CB (1980; SIC 3599,3544)</t>
  </si>
  <si>
    <t xml:space="preserve">ALPINE ENGINEERING CO (1977) | AL@INE ENGINEERING CB (1980) | MIDWEST SIGNAL SYSTEMS INC (1983)</t>
  </si>
  <si>
    <t xml:space="preserve">SUSTAINABILITY 6260 W 52ND AVE</t>
  </si>
  <si>
    <t xml:space="preserve">S03432</t>
  </si>
  <si>
    <t xml:space="preserve">15400 W 44TH AVE</t>
  </si>
  <si>
    <t xml:space="preserve">ROMAN PRODUCTS CO (1977-1980; SIC 3496,3544)</t>
  </si>
  <si>
    <t xml:space="preserve">ROMAN PRODUCTS CO (1977)</t>
  </si>
  <si>
    <t xml:space="preserve">C.F. MAIER COMPOSITES INC - SEE 059/1318</t>
  </si>
  <si>
    <t xml:space="preserve">A-1 AUTO AND METAL STRIPPING</t>
  </si>
  <si>
    <t xml:space="preserve">S03434</t>
  </si>
  <si>
    <t xml:space="preserve">7496 W CEDAR CIR</t>
  </si>
  <si>
    <t xml:space="preserve">COLORADO CERMASTONE (1977; SIC 2951,3963)</t>
  </si>
  <si>
    <t xml:space="preserve">COLORADO CERMASTONE (1977)</t>
  </si>
  <si>
    <t xml:space="preserve">PICKERING'S AUTO SERVICE CENTER</t>
  </si>
  <si>
    <t xml:space="preserve">S03438</t>
  </si>
  <si>
    <t xml:space="preserve">8175 WWW 48TH</t>
  </si>
  <si>
    <t xml:space="preserve">Fabricated metals; Industrial machinery; Rubber &amp; plastics; Transportation equipment</t>
  </si>
  <si>
    <t xml:space="preserve">BECKER MFG INC (1977; SIC 3792,3714) | BRANSON AIRCRAFT CoRP (1977; SIC 3728) | VAN DALE MFS (1977-1983; SIC 3792,2048) | ALPHA TOOL CORP (1983; SIC 3545,3599) | OLIVER PLASTICS (1983; SIC 3079)</t>
  </si>
  <si>
    <t xml:space="preserve">BECKER MFG INC (1977) | BRANSON AIRCRAFT CoRP (1977) | VAN DALE MFS (1977) | BLACK SHUTTER CO (1980) | STAIRS OF EAST INC (1980) | ALPHA TOOL CORP (1983) | OLIVER PLASTICS (1983)</t>
  </si>
  <si>
    <t xml:space="preserve">S03440</t>
  </si>
  <si>
    <t xml:space="preserve">8005 W 44TH AVE</t>
  </si>
  <si>
    <t xml:space="preserve">Storage batteries</t>
  </si>
  <si>
    <t xml:space="preserve">1977;1990</t>
  </si>
  <si>
    <t xml:space="preserve">OUR OWN MANUFACTURING CO (1977; SIC 3714,3499,3599) | ROCKY MOUNTAIN BATTERY SERVICE (1990; SIC 3691)</t>
  </si>
  <si>
    <t xml:space="preserve">OUR OWN MANUFACTURING CO (1977) | ACTION LABEL COMPANY (1983) | ROCKY MOUNTAIN BATTERY SERVICE (1990)</t>
  </si>
  <si>
    <t xml:space="preserve">Wheat Ridge Green House II</t>
  </si>
  <si>
    <t xml:space="preserve">HOFLIN PUBLISHING</t>
  </si>
  <si>
    <t xml:space="preserve">S03442</t>
  </si>
  <si>
    <t xml:space="preserve">12215 W 34 PL</t>
  </si>
  <si>
    <t xml:space="preserve">SUNWATER CO OF COLORADO (1977; SIC 3433)</t>
  </si>
  <si>
    <t xml:space="preserve">SUNWATER CO OF COLORADO (1977)</t>
  </si>
  <si>
    <t xml:space="preserve">DI GRAPHICS INC</t>
  </si>
  <si>
    <t xml:space="preserve">S04165</t>
  </si>
  <si>
    <t xml:space="preserve">10600 W 73RD PL</t>
  </si>
  <si>
    <t xml:space="preserve">80005</t>
  </si>
  <si>
    <t xml:space="preserve">O ¢ H ENGRAVING (1980-1983; SIC 3479)</t>
  </si>
  <si>
    <t xml:space="preserve">O ¢ H ENGRAVING (1980)</t>
  </si>
  <si>
    <t xml:space="preserve">S04183</t>
  </si>
  <si>
    <t xml:space="preserve">6655 MARSHALL</t>
  </si>
  <si>
    <t xml:space="preserve">80001</t>
  </si>
  <si>
    <t xml:space="preserve">WINNER FOUNORIES ¢ MRG., INC (1980; SIC 3559)</t>
  </si>
  <si>
    <t xml:space="preserve">WINNER FOUNORIES ¢ MRG., INC (1980)</t>
  </si>
  <si>
    <t xml:space="preserve">S04206</t>
  </si>
  <si>
    <t xml:space="preserve">12990 W CEDAR DR</t>
  </si>
  <si>
    <t xml:space="preserve">80228</t>
  </si>
  <si>
    <t xml:space="preserve">CEEL-Co (1980-1990; SIC 2851,3079)</t>
  </si>
  <si>
    <t xml:space="preserve">CEEL-Co (1980) | SNUGLI INC (1988)</t>
  </si>
  <si>
    <t xml:space="preserve">DENVER URBAN GARDENS AT GREEN MOUNTAIN UNITED METHODIST CHURCH</t>
  </si>
  <si>
    <t xml:space="preserve">BONDAR-CLEGG, INC.</t>
  </si>
  <si>
    <t xml:space="preserve">S04213</t>
  </si>
  <si>
    <t xml:space="preserve">10777 W 6TH AVE</t>
  </si>
  <si>
    <t xml:space="preserve">FOUR WHEGL CAMPERS (1980-1983; SIC 3792)</t>
  </si>
  <si>
    <t xml:space="preserve">FOUR WHEGL CAMPERS (1980)</t>
  </si>
  <si>
    <t xml:space="preserve">NATIONAL ENFORCEMENT INVESTIGATION CENTER</t>
  </si>
  <si>
    <t xml:space="preserve">LOU THOMPSON CADILLAC INC</t>
  </si>
  <si>
    <t xml:space="preserve">S04228</t>
  </si>
  <si>
    <t xml:space="preserve">6595 W 14TH AVE</t>
  </si>
  <si>
    <t xml:space="preserve">SALUDICON CORP (1980-1983; SIC 2834)</t>
  </si>
  <si>
    <t xml:space="preserve">SALUDICON CORP (1980)</t>
  </si>
  <si>
    <t xml:space="preserve">Key Bank Branch Facility</t>
  </si>
  <si>
    <t xml:space="preserve">ADAMS FINE FURNITURE AND CABINETRY</t>
  </si>
  <si>
    <t xml:space="preserve">S04232</t>
  </si>
  <si>
    <t xml:space="preserve">8810 W FRANCIS</t>
  </si>
  <si>
    <t xml:space="preserve">TIN-BX ORILLING RESEARCH, INC. (1980; SIC 3532)</t>
  </si>
  <si>
    <t xml:space="preserve">TIN-BX ORILLING RESEARCH, INC. (1980)</t>
  </si>
  <si>
    <t xml:space="preserve">S04234</t>
  </si>
  <si>
    <t xml:space="preserve">8729 S TURKEY CREEK</t>
  </si>
  <si>
    <t xml:space="preserve">80665</t>
  </si>
  <si>
    <t xml:space="preserve">DATREX (1980; SIC 3573,3662,3661) | DATREX (1983; SIC 3573,3662,3661)</t>
  </si>
  <si>
    <t xml:space="preserve">DATREX (1980) | DATREX (1983)</t>
  </si>
  <si>
    <t xml:space="preserve">S04429</t>
  </si>
  <si>
    <t xml:space="preserve">6524 QUITMAN</t>
  </si>
  <si>
    <t xml:space="preserve">80003</t>
  </si>
  <si>
    <t xml:space="preserve">CUSTOM ENTERPRISES (1983; SIC 3469,2431)</t>
  </si>
  <si>
    <t xml:space="preserve">CUSTOM ENTERPRISES (1983)</t>
  </si>
  <si>
    <t xml:space="preserve">S04715</t>
  </si>
  <si>
    <t xml:space="preserve">2957 S SHERIDAN</t>
  </si>
  <si>
    <t xml:space="preserve">8.4 S PRODUCTS (1983; SIC 3599,3452,3441) | BOB’S MACHINE SHOP D.B.A..BMS PRODUCTS CO (1988; SIC 3441,3452,3499)</t>
  </si>
  <si>
    <t xml:space="preserve">8.4 S PRODUCTS (1983) | BOB’S MACHINE SHOP D.B.A..BMS PRODUCTS CO (1988)</t>
  </si>
  <si>
    <t xml:space="preserve">S04768</t>
  </si>
  <si>
    <t xml:space="preserve">5200 W PRINCETON DR</t>
  </si>
  <si>
    <t xml:space="preserve">80235</t>
  </si>
  <si>
    <t xml:space="preserve">JTR ENTERPRISES (1988; SIC 3423,3949,3999)</t>
  </si>
  <si>
    <t xml:space="preserve">_9 CR ENTERPRISES nee 3 xX (1983) | JTR ENTERPRISES (1988)</t>
  </si>
  <si>
    <t xml:space="preserve">S05009</t>
  </si>
  <si>
    <t xml:space="preserve">9435 ALKIRE ST</t>
  </si>
  <si>
    <t xml:space="preserve">ALKIRE MACHINE SHOP INC (1983; SIC 3599,3544)</t>
  </si>
  <si>
    <t xml:space="preserve">ALKIRE MACHINE SHOP INC (1983)</t>
  </si>
  <si>
    <t xml:space="preserve">S05023</t>
  </si>
  <si>
    <t xml:space="preserve">12189 RALSTON RD</t>
  </si>
  <si>
    <t xml:space="preserve">80004</t>
  </si>
  <si>
    <t xml:space="preserve">HENRIKSEN DATA SYSTEMS INC (1983; SIC 3573,3662,3643)</t>
  </si>
  <si>
    <t xml:space="preserve">HENRIKSEN DATA SYSTEMS INC (1983)</t>
  </si>
  <si>
    <t xml:space="preserve">O'REILLY AUTO PARTS 2815</t>
  </si>
  <si>
    <t xml:space="preserve">S05053</t>
  </si>
  <si>
    <t xml:space="preserve">913 8TH ST</t>
  </si>
  <si>
    <t xml:space="preserve">GOLDEN FABRICATORS (1983; SIC 3433,3443,3449)</t>
  </si>
  <si>
    <t xml:space="preserve">GOLDEN FABRICATORS (1983)</t>
  </si>
  <si>
    <t xml:space="preserve">COORSTEK</t>
  </si>
  <si>
    <t xml:space="preserve">GOLDEN PUBLIC WORKS CITY OF</t>
  </si>
  <si>
    <t xml:space="preserve">S05059</t>
  </si>
  <si>
    <t xml:space="preserve">21599 GRANDVIEW AVE</t>
  </si>
  <si>
    <t xml:space="preserve">OVA ENGRAVING CO (1983-1990; SIC 3479)</t>
  </si>
  <si>
    <t xml:space="preserve">OVA ENGRAVING CO (1983)</t>
  </si>
  <si>
    <t xml:space="preserve">S05060</t>
  </si>
  <si>
    <t xml:space="preserve">4363 LOVELAND ST</t>
  </si>
  <si>
    <t xml:space="preserve">ROMAN PRODUCTS INC (1983; SIC 3496,3544,3599) | KRAUSS TOOL INC (1992; SIC 3509)</t>
  </si>
  <si>
    <t xml:space="preserve">ROMAN PRODUCTS INC (1983) | KRAUSS TOOL INC (1992)</t>
  </si>
  <si>
    <t xml:space="preserve">COLORADO CHEMICAL SPECIALTIES INCORPORATED</t>
  </si>
  <si>
    <t xml:space="preserve">S05068</t>
  </si>
  <si>
    <t xml:space="preserve">911 S SHERIDAN</t>
  </si>
  <si>
    <t xml:space="preserve">METRO SCREENWORKS (1992; SIC 3442)</t>
  </si>
  <si>
    <t xml:space="preserve">BRAYER*S WOODWORKING (1983) | METRO SCREENWORKS (1992)</t>
  </si>
  <si>
    <t xml:space="preserve">KITCHEN NETWORK COMMISSARY</t>
  </si>
  <si>
    <t xml:space="preserve">S05073</t>
  </si>
  <si>
    <t xml:space="preserve">5609 W 6TH AVE</t>
  </si>
  <si>
    <t xml:space="preserve">FLUID POWER/WEST INC (1983; SIC 3599,3533) | STAOIA COLO CORP (1983; SIC 3955,2041,2893)</t>
  </si>
  <si>
    <t xml:space="preserve">FLUID POWER/WEST INC (1983) | STAOIA COLO CORP (1983)</t>
  </si>
  <si>
    <t xml:space="preserve">7th Street Farm</t>
  </si>
  <si>
    <t xml:space="preserve">LAKEWOOD POLICE CITY OF LAKEWOOD</t>
  </si>
  <si>
    <t xml:space="preserve">S05079</t>
  </si>
  <si>
    <t xml:space="preserve">5290 W 4TH AVE</t>
  </si>
  <si>
    <t xml:space="preserve">T S C MANUFACTURING CO (1983; SIC 3792)</t>
  </si>
  <si>
    <t xml:space="preserve">T S C MANUFACTURING CO (1983)</t>
  </si>
  <si>
    <t xml:space="preserve">KUPETZ AND GOLDSTIEN</t>
  </si>
  <si>
    <t xml:space="preserve">S05080</t>
  </si>
  <si>
    <t xml:space="preserve">6800 W 5TH AVE</t>
  </si>
  <si>
    <t xml:space="preserve">WILL-COVER LTD (1983; SIC 3079)</t>
  </si>
  <si>
    <t xml:space="preserve">WILL-COVER LTD (1983)</t>
  </si>
  <si>
    <t xml:space="preserve">S05086</t>
  </si>
  <si>
    <t xml:space="preserve">10577 W CENTENNIAL RD</t>
  </si>
  <si>
    <t xml:space="preserve">80127</t>
  </si>
  <si>
    <t xml:space="preserve">STADLER MOLD + DIE CO INC (1992; SIC 3542,3544)</t>
  </si>
  <si>
    <t xml:space="preserve">TREEFORMS (1983) | STADLER MOLD + DIE CO INC (1992)</t>
  </si>
  <si>
    <t xml:space="preserve">TTM TECHNOLOGIES</t>
  </si>
  <si>
    <t xml:space="preserve">PEARL AUTO BODY</t>
  </si>
  <si>
    <t xml:space="preserve">S05830</t>
  </si>
  <si>
    <t xml:space="preserve">1181 MAPLE</t>
  </si>
  <si>
    <t xml:space="preserve">80402</t>
  </si>
  <si>
    <t xml:space="preserve">‘TELECONFERENCE BRID CONTROL TECHNOLOGY (1988; SIC 3613,3625,3822)</t>
  </si>
  <si>
    <t xml:space="preserve">‘TELECONFERENCE BRID CONTROL TECHNOLOGY (1988)</t>
  </si>
  <si>
    <t xml:space="preserve">Golden City Parcel</t>
  </si>
  <si>
    <t xml:space="preserve">COLORADO SCHOOL OF MINES RESEARCH</t>
  </si>
  <si>
    <t xml:space="preserve">S05834</t>
  </si>
  <si>
    <t xml:space="preserve">14618 W 6TH AVE S NO 150</t>
  </si>
  <si>
    <t xml:space="preserve">PUBLISHING GENERAL ROBOTICS (1988; SIC 3577) | GENERAL ROBOTICS (1990; SIC 3577)</t>
  </si>
  <si>
    <t xml:space="preserve">PUBLISHING GENERAL ROBOTICS (1988) | GENERAL ROBOTICS (1990)</t>
  </si>
  <si>
    <t xml:space="preserve">REFINISHERS</t>
  </si>
  <si>
    <t xml:space="preserve">S05835</t>
  </si>
  <si>
    <t xml:space="preserve">1034 6TH ST</t>
  </si>
  <si>
    <t xml:space="preserve">80403</t>
  </si>
  <si>
    <t xml:space="preserve">GOLDEN - GOLDEN 277 EABON ROHS (1988; SIC 2891)</t>
  </si>
  <si>
    <t xml:space="preserve">GOLDEN - GOLDEN 277 EABON ROHS (1988) | HARTMEISTER LABORATORIES (1990)</t>
  </si>
  <si>
    <t xml:space="preserve">COLORADO DEPT OF TRANSPORTATION REGION 1 SECTION 5</t>
  </si>
  <si>
    <t xml:space="preserve">S05836</t>
  </si>
  <si>
    <t xml:space="preserve">14720 W ELLSWORTH AVE</t>
  </si>
  <si>
    <t xml:space="preserve">INSIGHTS UNIVERSAL (1988; SIC 2759,2771,3069)</t>
  </si>
  <si>
    <t xml:space="preserve">INSIGHTS UNIVERSAL (1988)</t>
  </si>
  <si>
    <t xml:space="preserve">COLORADO DEPT OF TRANSPORTATION</t>
  </si>
  <si>
    <t xml:space="preserve">S05839</t>
  </si>
  <si>
    <t xml:space="preserve">21899 GRANDVIEW AVE</t>
  </si>
  <si>
    <t xml:space="preserve">CAMPING EQUIP NOVA ENGRAVING CO (1988; SIC 3479)</t>
  </si>
  <si>
    <t xml:space="preserve">CAMPING EQUIP NOVA ENGRAVING CO (1988)</t>
  </si>
  <si>
    <t xml:space="preserve">S05948</t>
  </si>
  <si>
    <t xml:space="preserve">5265 W QUARLES DR</t>
  </si>
  <si>
    <t xml:space="preserve">ICESKATE CONDITIONING EQUIPM (1988; SIC 3049)</t>
  </si>
  <si>
    <t xml:space="preserve">ICESKATE CONDITIONING EQUIPM (1988)</t>
  </si>
  <si>
    <t xml:space="preserve">S06125</t>
  </si>
  <si>
    <t xml:space="preserve">7490 KLINE DR</t>
  </si>
  <si>
    <t xml:space="preserve">INPRO TECHNOLOGIES INC (1990; SIC 3533)</t>
  </si>
  <si>
    <t xml:space="preserve">INPRO TECHNOLOGIES INC (1990)</t>
  </si>
  <si>
    <t xml:space="preserve">S06129</t>
  </si>
  <si>
    <t xml:space="preserve">10961 W 68TH PL</t>
  </si>
  <si>
    <t xml:space="preserve">RODCO SYSTEMS INC (1990; SIC 3089)</t>
  </si>
  <si>
    <t xml:space="preserve">RODCO SYSTEMS INC (1990)</t>
  </si>
  <si>
    <t xml:space="preserve">S06342</t>
  </si>
  <si>
    <t xml:space="preserve">24698 AGATE AVE</t>
  </si>
  <si>
    <t xml:space="preserve">CONIFER</t>
  </si>
  <si>
    <t xml:space="preserve">80433</t>
  </si>
  <si>
    <t xml:space="preserve">COMPUTEST (1990; SIC 3577)</t>
  </si>
  <si>
    <t xml:space="preserve">COMPUTEST (1990)</t>
  </si>
  <si>
    <t xml:space="preserve">S06392</t>
  </si>
  <si>
    <t xml:space="preserve">500 S EATON ST</t>
  </si>
  <si>
    <t xml:space="preserve">COLORADO COMPOSITE CO. (1990; SIC 3089,3465,3544)</t>
  </si>
  <si>
    <t xml:space="preserve">COLORADO COMPOSITE CO (1990)</t>
  </si>
  <si>
    <t xml:space="preserve">S06702</t>
  </si>
  <si>
    <t xml:space="preserve">350 S MILLER ST</t>
  </si>
  <si>
    <t xml:space="preserve">COLORADO TOOL SPECIALTIES (1990; SIC 3563)</t>
  </si>
  <si>
    <t xml:space="preserve">COLORADO TOOL SPECIALTIES (1990)</t>
  </si>
  <si>
    <t xml:space="preserve">S06703</t>
  </si>
  <si>
    <t xml:space="preserve">2296 S KIPLING ST</t>
  </si>
  <si>
    <t xml:space="preserve">CONCRETE SPECIAL-TIES + MFG CORP (1990; SIC 3272,3423)</t>
  </si>
  <si>
    <t xml:space="preserve">CONCRETE SPECIAL-TIES + MFG CORP (1990)</t>
  </si>
  <si>
    <t xml:space="preserve">S06856</t>
  </si>
  <si>
    <t xml:space="preserve">9595 W 49TH AVE</t>
  </si>
  <si>
    <t xml:space="preserve">GREEN MOUNTAIN PHOTO INC (1990; SIC 3577,3999)</t>
  </si>
  <si>
    <t xml:space="preserve">GREEN MOUNTAIN PHOTO INC (1990)</t>
  </si>
  <si>
    <t xml:space="preserve">ROCKY MOUNTAIN BANK NOTE</t>
  </si>
  <si>
    <t xml:space="preserve">UNITED ACCESS DENVER WEST</t>
  </si>
  <si>
    <t xml:space="preserve">S06869</t>
  </si>
  <si>
    <t xml:space="preserve">12555 W 82ND AVE</t>
  </si>
  <si>
    <t xml:space="preserve">BONDS CUSTOM MFG INC (1992; SIC 3444,3479,3499)</t>
  </si>
  <si>
    <t xml:space="preserve">BONDS CUSTOM MFG INC (1992)</t>
  </si>
  <si>
    <t xml:space="preserve">S07076</t>
  </si>
  <si>
    <t xml:space="preserve">13366 W CENTER DR</t>
  </si>
  <si>
    <t xml:space="preserve">PETAL SOFT SKIN CARE (1992; SIC 2844,3842)</t>
  </si>
  <si>
    <t xml:space="preserve">PETAL SOFT SKIN CARE (1992)</t>
  </si>
  <si>
    <t xml:space="preserve">S07086</t>
  </si>
  <si>
    <t xml:space="preserve">5605 W ROWLAND AVE</t>
  </si>
  <si>
    <t xml:space="preserve">‘COLORADO WINDOW &amp; SIDING INC (1992; SIC 3089,3444)</t>
  </si>
  <si>
    <t xml:space="preserve">‘COLORADO WINDOW &amp; SIDING INC (1992)</t>
  </si>
  <si>
    <t xml:space="preserve">S07092</t>
  </si>
  <si>
    <t xml:space="preserve">2897 W BELLEVIEW</t>
  </si>
  <si>
    <t xml:space="preserve">SPECIAL OCCASIONS (1992; SIC 2499,3499)</t>
  </si>
  <si>
    <t xml:space="preserve">SPECIAL OCCASIONS (1992)</t>
  </si>
  <si>
    <t xml:space="preserve">HOME DEPOT STORE #1519</t>
  </si>
  <si>
    <t xml:space="preserve">S07159</t>
  </si>
  <si>
    <t xml:space="preserve">9005 W 44TH AVE</t>
  </si>
  <si>
    <t xml:space="preserve">CUSTOM QUALITY MACHINE (1992; SIC 3949,3599)</t>
  </si>
  <si>
    <t xml:space="preserve">CUSTOM QUALITY MACHINE (1992)</t>
  </si>
  <si>
    <t xml:space="preserve">ROCKY MOUNTAIN LAUNDRY DRY CLNG</t>
  </si>
  <si>
    <t xml:space="preserve">S03443</t>
  </si>
  <si>
    <t xml:space="preserve">463 13TH ST</t>
  </si>
  <si>
    <t xml:space="preserve">BURLINGTON</t>
  </si>
  <si>
    <t xml:space="preserve">Kit Carson</t>
  </si>
  <si>
    <t xml:space="preserve">80807</t>
  </si>
  <si>
    <t xml:space="preserve">1977;1980;1988;1990</t>
  </si>
  <si>
    <t xml:space="preserve">DUREST MACHINE WORKS (1977-1990; SIC 3519)</t>
  </si>
  <si>
    <t xml:space="preserve">DUREST MACHINE WORKS (1977)</t>
  </si>
  <si>
    <t xml:space="preserve">Prarie Family Center</t>
  </si>
  <si>
    <t xml:space="preserve">VINCE'S CHEVY OLDS CADILLAC</t>
  </si>
  <si>
    <t xml:space="preserve">S01899</t>
  </si>
  <si>
    <t xml:space="preserve">146 E 8TH</t>
  </si>
  <si>
    <t xml:space="preserve">DURANGO</t>
  </si>
  <si>
    <t xml:space="preserve">La Plata</t>
  </si>
  <si>
    <t xml:space="preserve">81301</t>
  </si>
  <si>
    <t xml:space="preserve">REED LOCK ¢ KEY SERVICE (1968; SIC 3429)</t>
  </si>
  <si>
    <t xml:space="preserve">REED LOCK ¢ KEY SERVICE (1968)</t>
  </si>
  <si>
    <t xml:space="preserve">PAT MURPHY MOTOR CO</t>
  </si>
  <si>
    <t xml:space="preserve">S02640</t>
  </si>
  <si>
    <t xml:space="preserve">151 E 15TH ST</t>
  </si>
  <si>
    <t xml:space="preserve">OLIGER SHEET METALS (1973; SIC 3449)</t>
  </si>
  <si>
    <t xml:space="preserve">OLIGER SHEET METALS (1973)</t>
  </si>
  <si>
    <t xml:space="preserve">Durango Power Plant (aka Durango Discovery Museum)</t>
  </si>
  <si>
    <t xml:space="preserve">CITY CLEANERS</t>
  </si>
  <si>
    <t xml:space="preserve">S05106</t>
  </si>
  <si>
    <t xml:space="preserve">550 E 30TH ST</t>
  </si>
  <si>
    <t xml:space="preserve">LEVIATHAN LTD. (1983; SIC 2434,3552)</t>
  </si>
  <si>
    <t xml:space="preserve">LEVIATHAN LTD. (1983)</t>
  </si>
  <si>
    <t xml:space="preserve">S05108</t>
  </si>
  <si>
    <t xml:space="preserve">3690 MAIN AVE</t>
  </si>
  <si>
    <t xml:space="preserve">NIP N TUCK UPHOLSTERY (1983; SIC 2394,2399,3448)</t>
  </si>
  <si>
    <t xml:space="preserve">NIP N TUCK UPHOLSTERY (1983)</t>
  </si>
  <si>
    <t xml:space="preserve">S06178</t>
  </si>
  <si>
    <t xml:space="preserve">24 E MILL ST</t>
  </si>
  <si>
    <t xml:space="preserve">BAYFIELD</t>
  </si>
  <si>
    <t xml:space="preserve">81122</t>
  </si>
  <si>
    <t xml:space="preserve">MARTIN'S BOOT + SADDLE (1990; SIC 3172,3199,3429)</t>
  </si>
  <si>
    <t xml:space="preserve">MARTIN'S BOOT + SADDLE (1990)</t>
  </si>
  <si>
    <t xml:space="preserve">BAYFIELD OPEN SPACE</t>
  </si>
  <si>
    <t xml:space="preserve">S07012</t>
  </si>
  <si>
    <t xml:space="preserve">1403 E 2ND AVE</t>
  </si>
  <si>
    <t xml:space="preserve">ANIMAS GLASS/HARDING GLASS (1992; SIC 3463)</t>
  </si>
  <si>
    <t xml:space="preserve">ANIMAS GLASS/HARDING GLASS (1992)</t>
  </si>
  <si>
    <t xml:space="preserve">Durango Livestock Commission</t>
  </si>
  <si>
    <t xml:space="preserve">S07018</t>
  </si>
  <si>
    <t xml:space="preserve">71 FLORIDA RD</t>
  </si>
  <si>
    <t xml:space="preserve">MOUNTAIN MACHINE SERVICE (1992; SIC 3559)</t>
  </si>
  <si>
    <t xml:space="preserve">MOUNTAIN MACHINE SERVICE (1992)</t>
  </si>
  <si>
    <t xml:space="preserve">S00424</t>
  </si>
  <si>
    <t xml:space="preserve">3690 S LINCOLN</t>
  </si>
  <si>
    <t xml:space="preserve">LOVELAND</t>
  </si>
  <si>
    <t xml:space="preserve">Larimer</t>
  </si>
  <si>
    <t xml:space="preserve">1965;1970;1973</t>
  </si>
  <si>
    <t xml:space="preserve">C. S. M. MANUFACTURING.CO. (1965; SIC 3545) | BERTHOUD SCREW MACHINE PRODUCTS (1970-1973; SIC 3461)</t>
  </si>
  <si>
    <t xml:space="preserve">C. S. M. MANUFACTURING.CO. (1965) | BERTHOUD SCREW MACHINE PRODUCTS (1970)</t>
  </si>
  <si>
    <t xml:space="preserve">S00426</t>
  </si>
  <si>
    <t xml:space="preserve">1342 WASHINGTON</t>
  </si>
  <si>
    <t xml:space="preserve">CLOVEN ENTERPRISES (1965; SIC 3541)</t>
  </si>
  <si>
    <t xml:space="preserve">CLOVEN ENTERPRISES (1965)</t>
  </si>
  <si>
    <t xml:space="preserve">STAN'S AUTO SERVICE INC</t>
  </si>
  <si>
    <t xml:space="preserve">S00430</t>
  </si>
  <si>
    <t xml:space="preserve">101 E 3RD</t>
  </si>
  <si>
    <t xml:space="preserve">80537</t>
  </si>
  <si>
    <t xml:space="preserve">FARBISON-PAINE MFG. CO. (1965-1970; SIC 3522)</t>
  </si>
  <si>
    <t xml:space="preserve">FARBISON-PAINE MFG. CO. (1965) | ROYAL CRAFT PRINTING (1990)</t>
  </si>
  <si>
    <t xml:space="preserve">FORMER ELKS LODGE</t>
  </si>
  <si>
    <t xml:space="preserve">JOHNSON PRINTING</t>
  </si>
  <si>
    <t xml:space="preserve">S01602</t>
  </si>
  <si>
    <t xml:space="preserve">300 HICKORY</t>
  </si>
  <si>
    <t xml:space="preserve">FORT COLLINS</t>
  </si>
  <si>
    <t xml:space="preserve">80521</t>
  </si>
  <si>
    <t xml:space="preserve">RCYAL CHEMICAL CO (1967; SIC 2871) | ROYAL CFEMICAL CO (1968; SIC 2871,2086)</t>
  </si>
  <si>
    <t xml:space="preserve">RCYAL CHEMICAL CO (1967) | ROYAL CFEMICAL CO (1968)</t>
  </si>
  <si>
    <t xml:space="preserve">S01912</t>
  </si>
  <si>
    <t xml:space="preserve">1021 S LINCOLN</t>
  </si>
  <si>
    <t xml:space="preserve">RAMPART SCREw MACHINE CORP (1968; SIC 3451)</t>
  </si>
  <si>
    <t xml:space="preserve">RAMPART SCREw MACHINE CORP (1968)</t>
  </si>
  <si>
    <t xml:space="preserve">SAMPSON PROPERTY</t>
  </si>
  <si>
    <t xml:space="preserve">CONTINENTAL GRAIN LOVELAND FOODS</t>
  </si>
  <si>
    <t xml:space="preserve">S02140</t>
  </si>
  <si>
    <t xml:space="preserve">1300 E MULBERRY</t>
  </si>
  <si>
    <t xml:space="preserve">AUTOMATIC DEVICES INC (1970; SIC 3586)</t>
  </si>
  <si>
    <t xml:space="preserve">AUTOMATIC DEVICES INC (1970)</t>
  </si>
  <si>
    <t xml:space="preserve">PENSKE TRUCK LEASING CO LP</t>
  </si>
  <si>
    <t xml:space="preserve">S02645</t>
  </si>
  <si>
    <t xml:space="preserve">172 W ELKHORN AVE</t>
  </si>
  <si>
    <t xml:space="preserve">ESTES PARK</t>
  </si>
  <si>
    <t xml:space="preserve">80517</t>
  </si>
  <si>
    <t xml:space="preserve">TAFFY SHOP» THE (1977; SIC 2065,3449)</t>
  </si>
  <si>
    <t xml:space="preserve">LORD LATIGO INC (1973) | ROCKY MOUNTAIN SPECTRUM INC (1977) | TAFFY SHOP» THE (1977)</t>
  </si>
  <si>
    <t xml:space="preserve">S02658</t>
  </si>
  <si>
    <t xml:space="preserve">3006 E MULBERRY</t>
  </si>
  <si>
    <t xml:space="preserve">SALISBURY. SADDLE CO (1973; SIC 3079,3199)</t>
  </si>
  <si>
    <t xml:space="preserve">SALISBURY. SADDLE CO (1973)</t>
  </si>
  <si>
    <t xml:space="preserve">POUDRE VALLEY AUTOMOTIVE</t>
  </si>
  <si>
    <t xml:space="preserve">S02664</t>
  </si>
  <si>
    <t xml:space="preserve">125 S LINCOLN AVE</t>
  </si>
  <si>
    <t xml:space="preserve">RAMPART SCREW MACHINE CORP (1980; SIC 3451)</t>
  </si>
  <si>
    <t xml:space="preserve">CUMINGS MFG CO (1973) | RAMPART SCREW MACHINE CORP (1980)</t>
  </si>
  <si>
    <t xml:space="preserve">Leslie the Cleaners - Off-Site</t>
  </si>
  <si>
    <t xml:space="preserve">AVID PRODUCT DEVELOPMENT LLC</t>
  </si>
  <si>
    <t xml:space="preserve">S02666</t>
  </si>
  <si>
    <t xml:space="preserve">3900 W EISENHOWER</t>
  </si>
  <si>
    <t xml:space="preserve">FRINKS GIFT SHOP (1992; SIC 3961,3559)</t>
  </si>
  <si>
    <t xml:space="preserve">WESTPLAQUE CO (1973) | ROCKY MOUNTAIN POTTERY (1977) | FRINKS GIFT SHOP (1980)</t>
  </si>
  <si>
    <t xml:space="preserve">MJR INVESTMENTS INC</t>
  </si>
  <si>
    <t xml:space="preserve">S02667</t>
  </si>
  <si>
    <t xml:space="preserve">4000 MAIN</t>
  </si>
  <si>
    <t xml:space="preserve">TIMNATH</t>
  </si>
  <si>
    <t xml:space="preserve">80547</t>
  </si>
  <si>
    <t xml:space="preserve">1973;1977;1980;1988;1990</t>
  </si>
  <si>
    <t xml:space="preserve">P — T MACHINED PRODUCTS (1973-1990; SIC 3591,2875) | @-T MACHEMEO PRODUCTS ING (1980; SIC 3599)</t>
  </si>
  <si>
    <t xml:space="preserve">P — T MACHINED PRODUCTS (1973) | P — T MACHINED PRODUCTS 1513 ALTA ST TRINIDAD WESTON (1974) | @-T MACHEMEO PRODUCTS ING (1980)</t>
  </si>
  <si>
    <t xml:space="preserve">ALPINE CABINET CO</t>
  </si>
  <si>
    <t xml:space="preserve">S03114</t>
  </si>
  <si>
    <t xml:space="preserve">4321 W EISENHOWER BLVD</t>
  </si>
  <si>
    <t xml:space="preserve">1977;1983</t>
  </si>
  <si>
    <t xml:space="preserve">LUSTEROCK MFG OF NORTHERN COLORADO (1977-1983; SIC 3079)</t>
  </si>
  <si>
    <t xml:space="preserve">LUSTEROCK (1974) | LUSTEROCK MFG OF NORTHERN COLORADO (1977)</t>
  </si>
  <si>
    <t xml:space="preserve">S03116</t>
  </si>
  <si>
    <t xml:space="preserve">2116 WW 1ST ST</t>
  </si>
  <si>
    <t xml:space="preserve">RUTLEDGE STEEL (1977; SIC 3441,3449) | WEB JOIST ROCKY MOUNTAIN INC (1980; SIC 3441)</t>
  </si>
  <si>
    <t xml:space="preserve">RUTLEOGE STEEL (1974) | WEB JOIST ROCKY MOUNTAIN INC (1980) | COMMER UNITS WEB JOIST ROCKY MTN (1988) | JOHNSON MANUFACTURING INC (1992)</t>
  </si>
  <si>
    <t xml:space="preserve">S03452</t>
  </si>
  <si>
    <t xml:space="preserve">200 JEFFERSON ST</t>
  </si>
  <si>
    <t xml:space="preserve">ALTA PRODUCTS INC (1977; SIC 3551)</t>
  </si>
  <si>
    <t xml:space="preserve">ALTA PRODUCTS INC (1977)</t>
  </si>
  <si>
    <t xml:space="preserve">WILLOW AND PINE MULTI-FAMILY RESIDENCES</t>
  </si>
  <si>
    <t xml:space="preserve">CITY OF FORT COLLINS - ENGINEER</t>
  </si>
  <si>
    <t xml:space="preserve">S03453</t>
  </si>
  <si>
    <t xml:space="preserve">912 WOOD</t>
  </si>
  <si>
    <t xml:space="preserve">80522</t>
  </si>
  <si>
    <t xml:space="preserve">BUFFALO MFG CO (1977; SIC 2449,3433) | BUFFALO MFG CO (1980; SIC 3433,3496)</t>
  </si>
  <si>
    <t xml:space="preserve">BUFFALO MFG CO (1977) | BUFFALO MFG CO (1980)</t>
  </si>
  <si>
    <t xml:space="preserve">CITY OF FORT COLLINS FLEET SERVICES</t>
  </si>
  <si>
    <t xml:space="preserve">S03456</t>
  </si>
  <si>
    <t xml:space="preserve">450 INDUSTRIAL DR</t>
  </si>
  <si>
    <t xml:space="preserve">KUCK COMPANY THE (1977-1980; SIC 3444) | GENIT PLASTIC TOOLINGSHFG INC (1980; SIC 3544,3079) | RICHARDSON TOOL+MOLD # GENII PLAST TOOL (1983; SIC 3544,3079)</t>
  </si>
  <si>
    <t xml:space="preserve">KUCK COMPANY THE (1977) | NOR-CO MECHANICAL CO, INC (1977) | GENIT PLASTIC TOOLINGSHFG INC (1980) | RICHARDSON TOOL+MOLD # GENII PLAST TOOL (1983)</t>
  </si>
  <si>
    <t xml:space="preserve">CACTUS HILL TRUCKS CENTER</t>
  </si>
  <si>
    <t xml:space="preserve">S03458</t>
  </si>
  <si>
    <t xml:space="preserve">921 E PROSPECT</t>
  </si>
  <si>
    <t xml:space="preserve">MOUNTAIN STATE MFG CO (1977; SIC 3544,3599) | MOUNTAIN STATES MACHINE # TOOLING INC (1980; SIC 3544,3599)</t>
  </si>
  <si>
    <t xml:space="preserve">MOUNTAIN STATE MFG CO (1977) | MOUNTAIN STATES MACHINE # TOOLING INC (1980)</t>
  </si>
  <si>
    <t xml:space="preserve">BURKE CLEANERS</t>
  </si>
  <si>
    <t xml:space="preserve">S03462</t>
  </si>
  <si>
    <t xml:space="preserve">1626 RIVERSIDE</t>
  </si>
  <si>
    <t xml:space="preserve">1977;1983;1990</t>
  </si>
  <si>
    <t xml:space="preserve">POUDRE PLASTICS, INC (1977; SIC 3079) | POUDRE PLASTICS» INC (1983-1990; SIC 3079)</t>
  </si>
  <si>
    <t xml:space="preserve">POUDRE PLASTICS, INC (1977) | POUDRE PLASTICS» INC (1983)</t>
  </si>
  <si>
    <t xml:space="preserve">WATER PIK INC</t>
  </si>
  <si>
    <t xml:space="preserve">S03466</t>
  </si>
  <si>
    <t xml:space="preserve">618 W MOUNTAIN</t>
  </si>
  <si>
    <t xml:space="preserve">RAINBOW PLASTICS INC (1977; SIC 3949,3079)</t>
  </si>
  <si>
    <t xml:space="preserve">RAINBOW PLASTICS INC (1977)</t>
  </si>
  <si>
    <t xml:space="preserve">S03469</t>
  </si>
  <si>
    <t xml:space="preserve">3034 E MULBERRY ST</t>
  </si>
  <si>
    <t xml:space="preserve">ROCKY MOUNTAIN FOAM FORM INC (1977; SIC 3079) | ROCKY MOUNTAIN FOAM FORM INC (1980-1983; SIC 3079)</t>
  </si>
  <si>
    <t xml:space="preserve">ROCKY MOUNTAIN FOAM FORM INC (1977) | ROCKY MOUNTAIN FOAM FORM INC (1980)</t>
  </si>
  <si>
    <t xml:space="preserve">S03471</t>
  </si>
  <si>
    <t xml:space="preserve">2030 AIRWAY AVE</t>
  </si>
  <si>
    <t xml:space="preserve">STEEL FABRICATORS INC (1977; SIC 3441,3446,3449) | STEEL FABRICATORS INC (1980; SIC 3441,3446,3449)</t>
  </si>
  <si>
    <t xml:space="preserve">STEEL FABRICATORS INC (1977) | STEEL FABRICATORS INC (1980)</t>
  </si>
  <si>
    <t xml:space="preserve">HELI SUPPORT</t>
  </si>
  <si>
    <t xml:space="preserve">S03472</t>
  </si>
  <si>
    <t xml:space="preserve">3504 N SHIELDS ST</t>
  </si>
  <si>
    <t xml:space="preserve">1977;1988</t>
  </si>
  <si>
    <t xml:space="preserve">THERMAL SPECIALTIES (1977; SIC 3398) | FORT COLLINS SHEET METAL CO (1988; SIC 3444)</t>
  </si>
  <si>
    <t xml:space="preserve">THERMAL SPECIALTIES (1977) | FORT COLLINS SHEET METAL CO (1988)</t>
  </si>
  <si>
    <t xml:space="preserve">S03475</t>
  </si>
  <si>
    <t xml:space="preserve">1839 E HARMONY RD</t>
  </si>
  <si>
    <t xml:space="preserve">WALKER MANUFACTURING CO (1977; SIC 3585,3589)</t>
  </si>
  <si>
    <t xml:space="preserve">WALKER MANUFACTURING CO (1977)</t>
  </si>
  <si>
    <t xml:space="preserve">ADVANCED ENERGY INDUSTRIES</t>
  </si>
  <si>
    <t xml:space="preserve">DAKO NORTH AMERICA INC</t>
  </si>
  <si>
    <t xml:space="preserve">S04257</t>
  </si>
  <si>
    <t xml:space="preserve">2709 MARTINGALE DR</t>
  </si>
  <si>
    <t xml:space="preserve">BERTHOUD</t>
  </si>
  <si>
    <t xml:space="preserve">80513</t>
  </si>
  <si>
    <t xml:space="preserve">MARTINGALE MACHINING COMPANY (1980; SIC 3599)</t>
  </si>
  <si>
    <t xml:space="preserve">MARTINGALE MACHINING COMPANY (1980)</t>
  </si>
  <si>
    <t xml:space="preserve">S04261</t>
  </si>
  <si>
    <t xml:space="preserve">1760 HIGH PINE DR</t>
  </si>
  <si>
    <t xml:space="preserve">6-2%-GARD INC (1980; SIC 3429)</t>
  </si>
  <si>
    <t xml:space="preserve">6-2%-GARD INC (1980) | E-Z-LIFT (1983) | E-Z-LIFT LTD INTERNATIONAL. (1990)</t>
  </si>
  <si>
    <t xml:space="preserve">S04264</t>
  </si>
  <si>
    <t xml:space="preserve">205 VIRGINIA DR 12</t>
  </si>
  <si>
    <t xml:space="preserve">WOODEN STUFF, INC. (1980; SIC 2499,3449)</t>
  </si>
  <si>
    <t xml:space="preserve">WOODEN STUFF, INC. (1980) | WOODEN THINGS (1983) | 52 GENERAL PRINTING, WOODEN THINGS (1988) | HEARTSCENTS (1992)</t>
  </si>
  <si>
    <t xml:space="preserve">S04292</t>
  </si>
  <si>
    <t xml:space="preserve">413 N LINK LN</t>
  </si>
  <si>
    <t xml:space="preserve">80524</t>
  </si>
  <si>
    <t xml:space="preserve">YAHT MANUFACTURING (1980; SIC 3841,3523)</t>
  </si>
  <si>
    <t xml:space="preserve">YAHT MANUFACTURING (1980)</t>
  </si>
  <si>
    <t xml:space="preserve">AIRWEST HELICOPTERS INC</t>
  </si>
  <si>
    <t xml:space="preserve">S04296</t>
  </si>
  <si>
    <t xml:space="preserve">3611 S LINCOLN AVE</t>
  </si>
  <si>
    <t xml:space="preserve">CLEMENTS DESIGNS (1983; SIC 3299,3369)</t>
  </si>
  <si>
    <t xml:space="preserve">CURTIS STUDIOS LTO (1980) | CLEMENTS DESIGNS (1983)</t>
  </si>
  <si>
    <t xml:space="preserve">ELLEN EQUIPMENT</t>
  </si>
  <si>
    <t xml:space="preserve">S04297</t>
  </si>
  <si>
    <t xml:space="preserve">825 E 11TH</t>
  </si>
  <si>
    <t xml:space="preserve">FOUR C'S EXTRUSION INC (1980; SIC 3079)</t>
  </si>
  <si>
    <t xml:space="preserve">FOUR C'S EXTRUSION INC (1980)</t>
  </si>
  <si>
    <t xml:space="preserve">THOMPSON SCHOOL DISTRICT</t>
  </si>
  <si>
    <t xml:space="preserve">S04298</t>
  </si>
  <si>
    <t xml:space="preserve">263 N CARTER LAKE RD</t>
  </si>
  <si>
    <t xml:space="preserve">GREENTREE RANCH WOOLS (1980; SIC 3552)</t>
  </si>
  <si>
    <t xml:space="preserve">GREENTREE RANCH WOOLS (1980)</t>
  </si>
  <si>
    <t xml:space="preserve">S04301</t>
  </si>
  <si>
    <t xml:space="preserve">1538 E EISENHOWER</t>
  </si>
  <si>
    <t xml:space="preserve">1980;1988</t>
  </si>
  <si>
    <t xml:space="preserve">RL FELKER + SONS (1980; SIC 3462,3443,3799) | POULTRY + PET FEED FELKER WELDING INC (1988; SIC 3443,3462,3499)</t>
  </si>
  <si>
    <t xml:space="preserve">RL FELKER + SONS (1980) | POULTRY + PET FEED FELKER WELDING INC (1988) | KELLY SIGNS (1988)</t>
  </si>
  <si>
    <t xml:space="preserve">TRIVERITY LABORATORIES</t>
  </si>
  <si>
    <t xml:space="preserve">S04302</t>
  </si>
  <si>
    <t xml:space="preserve">1240 E 1ST</t>
  </si>
  <si>
    <t xml:space="preserve">RIPSAM MFG + FABRICATION (1980; SIC 3441,3446)</t>
  </si>
  <si>
    <t xml:space="preserve">RIPSAM MFG + FABRICATION (1980)</t>
  </si>
  <si>
    <t xml:space="preserve">FOOTHILLS SPECIALTY ELECTRONICS</t>
  </si>
  <si>
    <t xml:space="preserve">S04307</t>
  </si>
  <si>
    <t xml:space="preserve">626 W 66TH</t>
  </si>
  <si>
    <t xml:space="preserve">VALUE PLASTICS INC (1980; SIC 3079)</t>
  </si>
  <si>
    <t xml:space="preserve">VALUE PLASTICS INC (1980)</t>
  </si>
  <si>
    <t xml:space="preserve">RICKER BARTLETT INC. (DBA) COL ORADO CASTINGS</t>
  </si>
  <si>
    <t xml:space="preserve">S05117</t>
  </si>
  <si>
    <t xml:space="preserve">1140 MANFORD AVE</t>
  </si>
  <si>
    <t xml:space="preserve">THREE V CORPORATION (1983; SIC 2834) | 3V CORP (1988-1990; SIC 2834)</t>
  </si>
  <si>
    <t xml:space="preserve">THREE V CORPORATION (1983) | 3V CORP (1988)</t>
  </si>
  <si>
    <t xml:space="preserve">S05143</t>
  </si>
  <si>
    <t xml:space="preserve">5137 S COLLEGE</t>
  </si>
  <si>
    <t xml:space="preserve">80525</t>
  </si>
  <si>
    <t xml:space="preserve"> (1983; SIC 3079)</t>
  </si>
  <si>
    <t xml:space="preserve"> (1983)</t>
  </si>
  <si>
    <t xml:space="preserve">S05148</t>
  </si>
  <si>
    <t xml:space="preserve">4538 E EISENHOWER</t>
  </si>
  <si>
    <t xml:space="preserve">FELKERs ROGER L + SONS (1983; SIC 3273,3261,3079)</t>
  </si>
  <si>
    <t xml:space="preserve">FELKERs ROGER L + SONS (1983)</t>
  </si>
  <si>
    <t xml:space="preserve">S05149</t>
  </si>
  <si>
    <t xml:space="preserve">163 N CARTER LAKE RO</t>
  </si>
  <si>
    <t xml:space="preserve">GREENTREE RANCH WOOLSs INC (1983; SIC 3552)</t>
  </si>
  <si>
    <t xml:space="preserve">GREENTREE RANCH WOOLSs INC (1983)</t>
  </si>
  <si>
    <t xml:space="preserve">S05155</t>
  </si>
  <si>
    <t xml:space="preserve">3509 BANYAN AVE</t>
  </si>
  <si>
    <t xml:space="preserve">LOVELAND MFG. CORP. (1983; SIC 3499,3444)</t>
  </si>
  <si>
    <t xml:space="preserve">LOVELAND MFG. CORP. (1983)</t>
  </si>
  <si>
    <t xml:space="preserve">THARP CABINET COMPANY LLC</t>
  </si>
  <si>
    <t xml:space="preserve">S05159</t>
  </si>
  <si>
    <t xml:space="preserve">2456 E 13TH ST</t>
  </si>
  <si>
    <t xml:space="preserve">ROBINSON ENTERPRISES 3362 BASES + PEDASTALS FOR BRONZE SCULPT GENE BONDS (1983; SIC 3451) | ADDISON DIE MOLD CO (1988; SIC 3544)</t>
  </si>
  <si>
    <t xml:space="preserve">ROBINSON ENTERPRISES 3362 BASES + PEDASTALS FOR BRONZE SCULPT GENE BONDS (1983) | ADDISON DIE MOLD CO (1988)</t>
  </si>
  <si>
    <t xml:space="preserve">WAL-MART - LOVELAND</t>
  </si>
  <si>
    <t xml:space="preserve">CARSTAR AXIOM LOVELAND</t>
  </si>
  <si>
    <t xml:space="preserve">S05312</t>
  </si>
  <si>
    <t xml:space="preserve">2319 CLAYTON PL</t>
  </si>
  <si>
    <t xml:space="preserve">PORT A STALL D.B.A..ROSEDALE MARKETING (1988; SIC 3446,3448) | PORT-A-STALL (1990; SIC 3446,3448)</t>
  </si>
  <si>
    <t xml:space="preserve">PORT A STALL D.B.A..ROSEDALE MARKETING (1988) | PORT-A-STALL (1990)</t>
  </si>
  <si>
    <t xml:space="preserve">S05790</t>
  </si>
  <si>
    <t xml:space="preserve">1930 N WHITCOMB</t>
  </si>
  <si>
    <t xml:space="preserve">THE FIBERGLASS SHOP (1988-1990; SIC 3443,3499,3732)</t>
  </si>
  <si>
    <t xml:space="preserve">THE FIBERGLASS SHOP (1988)</t>
  </si>
  <si>
    <t xml:space="preserve">S05794</t>
  </si>
  <si>
    <t xml:space="preserve">315 W HARMONY RD</t>
  </si>
  <si>
    <t xml:space="preserve">80526</t>
  </si>
  <si>
    <t xml:space="preserve">‘AIR CONDITIONG COMPONENTS IEM INC (1988; SIC 3571,7372)</t>
  </si>
  <si>
    <t xml:space="preserve">‘AIR CONDITIONG COMPONENTS IEM INC (1988)</t>
  </si>
  <si>
    <t xml:space="preserve">CONTINENTAL CLNRS.CN</t>
  </si>
  <si>
    <t xml:space="preserve">S05802</t>
  </si>
  <si>
    <t xml:space="preserve">401 HICKORY ST</t>
  </si>
  <si>
    <t xml:space="preserve">SCOTT RESOURCES INC (1992; SIC 3544,3953,3276)</t>
  </si>
  <si>
    <t xml:space="preserve">SCOTT RESOURCES INC (1988)</t>
  </si>
  <si>
    <t xml:space="preserve">FOREST SERVICE ADMINISTRATION SITE</t>
  </si>
  <si>
    <t xml:space="preserve">S05810</t>
  </si>
  <si>
    <t xml:space="preserve">126 W MOUNTAIN</t>
  </si>
  <si>
    <t xml:space="preserve">STANDS UPTOWN RUBBER STAMP (1988; SIC 3089,3953) | UPTOWN RUBBER STAMP: (1990; SIC 3089,3953)</t>
  </si>
  <si>
    <t xml:space="preserve">KWIK-KOPY PRINTING (1988) | STANDS UPTOWN RUBBER STAMP (1988) | UPTOWN RUBBER STAMP: (1990)</t>
  </si>
  <si>
    <t xml:space="preserve">LARIMER COUNTY COURTHOUSE</t>
  </si>
  <si>
    <t xml:space="preserve">S05994</t>
  </si>
  <si>
    <t xml:space="preserve">1019 N GARFIELD AVE</t>
  </si>
  <si>
    <t xml:space="preserve">A+N SIGNS (1988; SIC 2754,3993,2858)</t>
  </si>
  <si>
    <t xml:space="preserve">LOVELAND A+N SIGNS (1988) | A+N SIGNS (1988)</t>
  </si>
  <si>
    <t xml:space="preserve">COMLINEAR INC/514 RAILROAD AVE</t>
  </si>
  <si>
    <t xml:space="preserve">S06003</t>
  </si>
  <si>
    <t xml:space="preserve">980 W 1ST ST</t>
  </si>
  <si>
    <t xml:space="preserve">FLATIRON PAVING etter (1988-1990; SIC 2951)</t>
  </si>
  <si>
    <t xml:space="preserve">FLATIRON PAVING etter (1988)</t>
  </si>
  <si>
    <t xml:space="preserve">S06011</t>
  </si>
  <si>
    <t xml:space="preserve">2520 S LINCOLN</t>
  </si>
  <si>
    <t xml:space="preserve">PASCO INC (1988; SIC 3524)</t>
  </si>
  <si>
    <t xml:space="preserve">PASCO INC (1988)</t>
  </si>
  <si>
    <t xml:space="preserve">S06012</t>
  </si>
  <si>
    <t xml:space="preserve">1738 W EISENHOWER BLVD</t>
  </si>
  <si>
    <t xml:space="preserve">80539</t>
  </si>
  <si>
    <t xml:space="preserve">POWER BLAST INC (1988; SIC 3452)</t>
  </si>
  <si>
    <t xml:space="preserve">POWER BLAST INC (1988)</t>
  </si>
  <si>
    <t xml:space="preserve">Westlake Dry Cleaners</t>
  </si>
  <si>
    <t xml:space="preserve">SHERWIN-WILLIAMS CO</t>
  </si>
  <si>
    <t xml:space="preserve">S06014</t>
  </si>
  <si>
    <t xml:space="preserve">951 DES MOINES AVE</t>
  </si>
  <si>
    <t xml:space="preserve">QUALITY MACHINE INC (1988-1990; SIC 3544)</t>
  </si>
  <si>
    <t xml:space="preserve">QUALITY MACHINE INC (1988) | FAM-LEE PRODUCTS INC (1990)</t>
  </si>
  <si>
    <t xml:space="preserve">LINDE INC</t>
  </si>
  <si>
    <t xml:space="preserve">S06181</t>
  </si>
  <si>
    <t xml:space="preserve">222 SPRINGHILL LN</t>
  </si>
  <si>
    <t xml:space="preserve">SKI KARE INC (1990; SIC 3423,3553,2842)</t>
  </si>
  <si>
    <t xml:space="preserve">SKI KARE INC (1990)</t>
  </si>
  <si>
    <t xml:space="preserve">S06579</t>
  </si>
  <si>
    <t xml:space="preserve">2400 E VINE DR</t>
  </si>
  <si>
    <t xml:space="preserve">BLUEBIRD MANUFACTURING INC (1990; SIC 3599,3559,3569)</t>
  </si>
  <si>
    <t xml:space="preserve">BLUEBIRD MANUFACTURING INC (1990)</t>
  </si>
  <si>
    <t xml:space="preserve">S06602</t>
  </si>
  <si>
    <t xml:space="preserve">521 WHEDBEE</t>
  </si>
  <si>
    <t xml:space="preserve">TECHMEDIA (1990; SIC 3089,3543,3993) | ‘STEEL FABRICATORS INC (1992; SIC 3449,3449,3089)</t>
  </si>
  <si>
    <t xml:space="preserve">TECHMEDIA (1990) | ‘STEEL FABRICATORS INC (1992)</t>
  </si>
  <si>
    <t xml:space="preserve">S06763</t>
  </si>
  <si>
    <t xml:space="preserve">4100 LAKEFRONT DR</t>
  </si>
  <si>
    <t xml:space="preserve">ARTISAN PATTERN CO INC (1990; SIC 3565,3999)</t>
  </si>
  <si>
    <t xml:space="preserve">ARTISAN PATTERN CO INC (1990)</t>
  </si>
  <si>
    <t xml:space="preserve">S06765</t>
  </si>
  <si>
    <t xml:space="preserve">504 W EISENHOWER</t>
  </si>
  <si>
    <t xml:space="preserve">BICARSA PLUS (1990; SIC 3577)</t>
  </si>
  <si>
    <t xml:space="preserve">BICARSA PLUS (1990)</t>
  </si>
  <si>
    <t xml:space="preserve">S06768</t>
  </si>
  <si>
    <t xml:space="preserve">1828 E FIRST ST</t>
  </si>
  <si>
    <t xml:space="preserve">CYCLE TOTE (1990; SIC 3751)</t>
  </si>
  <si>
    <t xml:space="preserve">CYCLE TOTE (1990)</t>
  </si>
  <si>
    <t xml:space="preserve">S06773</t>
  </si>
  <si>
    <t xml:space="preserve">2198 W 15TH ST</t>
  </si>
  <si>
    <t xml:space="preserve">80538</t>
  </si>
  <si>
    <t xml:space="preserve">JORGENSEN LABORATORIES (1990; SIC 2834)</t>
  </si>
  <si>
    <t xml:space="preserve">JORGENSEN LABORATORIES (1990)</t>
  </si>
  <si>
    <t xml:space="preserve">NORTH COLO WATER CONSERV DIST</t>
  </si>
  <si>
    <t xml:space="preserve">S06781</t>
  </si>
  <si>
    <t xml:space="preserve">1321 MILNER AVE</t>
  </si>
  <si>
    <t xml:space="preserve">ROCKY MTN CAPSULE CO (1990; SIC 2899)</t>
  </si>
  <si>
    <t xml:space="preserve">ROCKY MTN CAPSULE CO (1990) | ROCKY MIN MANUFACTURING. (1992)</t>
  </si>
  <si>
    <t xml:space="preserve">WESTLAKE DRY CLEANING &amp; LAUNDROMAT</t>
  </si>
  <si>
    <t xml:space="preserve">S06782</t>
  </si>
  <si>
    <t xml:space="preserve">1702 W 8TH ST</t>
  </si>
  <si>
    <t xml:space="preserve">J ASANDOZ MACHINE SHOP (1990; SIC 3599)</t>
  </si>
  <si>
    <t xml:space="preserve">J ASANDOZ MACHINE SHOP (1990)</t>
  </si>
  <si>
    <t xml:space="preserve">Agilent Technologies III</t>
  </si>
  <si>
    <t xml:space="preserve">S07030</t>
  </si>
  <si>
    <t xml:space="preserve">310 4TH</t>
  </si>
  <si>
    <t xml:space="preserve">SEAMLESS OF ESTES PK (1992; SIC 3089,3444)</t>
  </si>
  <si>
    <t xml:space="preserve">SEAMLESS OF ESTES PK (1992)</t>
  </si>
  <si>
    <t xml:space="preserve">USDA-FOREST SERVICE ESTES  PARK</t>
  </si>
  <si>
    <t xml:space="preserve">S07040</t>
  </si>
  <si>
    <t xml:space="preserve">2613 DUNBAR AVE</t>
  </si>
  <si>
    <t xml:space="preserve">LITTLE SARA'S ORIGINALS (1992; SIC 3931,3499)</t>
  </si>
  <si>
    <t xml:space="preserve">LITTLE SARA'S ORIGINALS (1992)</t>
  </si>
  <si>
    <t xml:space="preserve">S06839</t>
  </si>
  <si>
    <t xml:space="preserve">230 EDWARDS AVE</t>
  </si>
  <si>
    <t xml:space="preserve">STERLING</t>
  </si>
  <si>
    <t xml:space="preserve">Logan</t>
  </si>
  <si>
    <t xml:space="preserve">80751</t>
  </si>
  <si>
    <t xml:space="preserve">GLUB WELDING INC x (1990; SIC 3441) | GW WELDING INC (1992; SIC 3441)</t>
  </si>
  <si>
    <t xml:space="preserve">GLUB WELDING INC x (1990) | GW WELDING INC (1992)</t>
  </si>
  <si>
    <t xml:space="preserve">S00459</t>
  </si>
  <si>
    <t xml:space="preserve">1841 ELM</t>
  </si>
  <si>
    <t xml:space="preserve">GRAND JUNCTION</t>
  </si>
  <si>
    <t xml:space="preserve">Mesa</t>
  </si>
  <si>
    <t xml:space="preserve">CARROLL'S HOME IMPROVEMENT Co. (1965; SIC 3444)</t>
  </si>
  <si>
    <t xml:space="preserve">CARROLL'S HOME IMPROVEMENT Co. (1965)</t>
  </si>
  <si>
    <t xml:space="preserve">S00465</t>
  </si>
  <si>
    <t xml:space="preserve">202 W MAIN ST</t>
  </si>
  <si>
    <t xml:space="preserve">FARDING-FLORMAN'S PAINT (1965; SIC 2852)</t>
  </si>
  <si>
    <t xml:space="preserve">FARDING-FLORMAN'S PAINT (1965)</t>
  </si>
  <si>
    <t xml:space="preserve">CASTINGS INC</t>
  </si>
  <si>
    <t xml:space="preserve">MESA COUNTY ALTERNATIVE STORAGE BLDG</t>
  </si>
  <si>
    <t xml:space="preserve">S00474</t>
  </si>
  <si>
    <t xml:space="preserve">233 S 5TH ST</t>
  </si>
  <si>
    <t xml:space="preserve">1965;1973;1983</t>
  </si>
  <si>
    <t xml:space="preserve">SMITH, C. OD.» COMPANY (1965; SIC 2844) | HY-GRADE LABORATORIES INC (1973; SIC 2844) | SMITHs C D COs THE (1983; SIC 2844)</t>
  </si>
  <si>
    <t xml:space="preserve">SMITH, C. OD.» COMPANY (1965) | HY-GRADE LABORATORIES INC (1973) | SMITHs C D COs THE (1983)</t>
  </si>
  <si>
    <t xml:space="preserve">Chase Place Residences, LTD</t>
  </si>
  <si>
    <t xml:space="preserve">WILSON &amp; YOUNG PRINTERS</t>
  </si>
  <si>
    <t xml:space="preserve">S01188</t>
  </si>
  <si>
    <t xml:space="preserve">1155 N 4TH</t>
  </si>
  <si>
    <t xml:space="preserve">81502</t>
  </si>
  <si>
    <t xml:space="preserve">GAS ENGIN ERING + EQUIPMENT CO (1967-1973; SIC 3433)</t>
  </si>
  <si>
    <t xml:space="preserve">GAS ENGINEERING * EQUIPMENT CO (1966)</t>
  </si>
  <si>
    <t xml:space="preserve">FABRICARE SERVICES</t>
  </si>
  <si>
    <t xml:space="preserve">GRAND JUNCTION LABORATORIES</t>
  </si>
  <si>
    <t xml:space="preserve">S01201</t>
  </si>
  <si>
    <t xml:space="preserve">2874 UNAWEEP</t>
  </si>
  <si>
    <t xml:space="preserve">81501</t>
  </si>
  <si>
    <t xml:space="preserve">PIKUP KAMPER (1966-1970; SIC 3799)</t>
  </si>
  <si>
    <t xml:space="preserve">PIKUP KAMPER (1966)</t>
  </si>
  <si>
    <t xml:space="preserve">S01608</t>
  </si>
  <si>
    <t xml:space="preserve">16 N MULBERRY</t>
  </si>
  <si>
    <t xml:space="preserve">FRUITA</t>
  </si>
  <si>
    <t xml:space="preserve">81521</t>
  </si>
  <si>
    <t xml:space="preserve">1967;1968;1970</t>
  </si>
  <si>
    <t xml:space="preserve">NEW LINE MACEKINERY INC (1967-1970; SIC 3522,3272)</t>
  </si>
  <si>
    <t xml:space="preserve">NEW LINE MACEKINERY INC (1967)</t>
  </si>
  <si>
    <t xml:space="preserve">ALPINE BANK</t>
  </si>
  <si>
    <t xml:space="preserve">S01609</t>
  </si>
  <si>
    <t xml:space="preserve">940 N AVE</t>
  </si>
  <si>
    <t xml:space="preserve">HOME STYLE EAKERY (1967; SIC 2051,2844)</t>
  </si>
  <si>
    <t xml:space="preserve">HOME STYLE EAKERY (1967) | SIR SPEEDY PRINTING (1977) | SEURRND SENOHONS (1988) | GRAPHIC SPECIALTIES OF GRAND JUNCT (1990)</t>
  </si>
  <si>
    <t xml:space="preserve">SHERWIN WILLIAMS #7194</t>
  </si>
  <si>
    <t xml:space="preserve">S01916</t>
  </si>
  <si>
    <t xml:space="preserve">473 MELODY LN</t>
  </si>
  <si>
    <t xml:space="preserve">PRECISION MACHINE * TCCLING (1968-1974; SIC 3544,3591)</t>
  </si>
  <si>
    <t xml:space="preserve">PRECISION MACHINE * TCCLING (1968)</t>
  </si>
  <si>
    <t xml:space="preserve">ADVANCED COLLISION CENTER LLC</t>
  </si>
  <si>
    <t xml:space="preserve">S01920</t>
  </si>
  <si>
    <t xml:space="preserve">426 E MAYFIELD OR</t>
  </si>
  <si>
    <t xml:space="preserve">WESTERN ENGRAVERS (1968; SIC 3479,2498)</t>
  </si>
  <si>
    <t xml:space="preserve">WESTERN ENGRAVERS (1968)</t>
  </si>
  <si>
    <t xml:space="preserve">S02685</t>
  </si>
  <si>
    <t xml:space="preserve">600 CENTER AVE</t>
  </si>
  <si>
    <t xml:space="preserve">PYROTECHNICS INDUSTRIES (1988; SIC 2899)</t>
  </si>
  <si>
    <t xml:space="preserve">DENTISTS LABGRATORY (1973) | OENTESTS LABQRATARY (1980) | DENTISTS LABROATORYs INCe (1983) | PYROTECHNICS INDUSTRIES (1988)</t>
  </si>
  <si>
    <t xml:space="preserve">ST MARYS HOSPITAL - 2635 N 7TH ST</t>
  </si>
  <si>
    <t xml:space="preserve">S02691</t>
  </si>
  <si>
    <t xml:space="preserve">423 E MAYFIELD DR</t>
  </si>
  <si>
    <t xml:space="preserve">1973;1980;1983</t>
  </si>
  <si>
    <t xml:space="preserve">SMITH CHEMICAL CO M GARDNER GEN MGR (1973; SIC 2899) | MEICROTEC ENGINEERING LABORATORIES INC (1980-1983; SIC 3541)</t>
  </si>
  <si>
    <t xml:space="preserve">SMITH CHEMICAL CO M GARDNER GEN MGR (1973) | MEICROTEC ENGINEERING LABORATORIES INC (1980)</t>
  </si>
  <si>
    <t xml:space="preserve">S03123</t>
  </si>
  <si>
    <t xml:space="preserve">233 S 9TH</t>
  </si>
  <si>
    <t xml:space="preserve">HY-GRADE LABORATORIES INC (1974; SIC 2844)</t>
  </si>
  <si>
    <t xml:space="preserve">HY-GRADE LABORATORIES INC (1974)</t>
  </si>
  <si>
    <t xml:space="preserve">S03127</t>
  </si>
  <si>
    <t xml:space="preserve">2494 INDUSTRIAL BLVD</t>
  </si>
  <si>
    <t xml:space="preserve">WESTERN SALES + FABRICATION (1974-1980; SIC 3563) | TIDEWATER COMPRESSION SERVICE (1983; SIC 3563)</t>
  </si>
  <si>
    <t xml:space="preserve">WESTERN SALES + FABRICATION (1974) | TIDEWATER COMPRESSION SERVICE (1983)</t>
  </si>
  <si>
    <t xml:space="preserve">Universal Compression</t>
  </si>
  <si>
    <t xml:space="preserve">MOORE'S AUTO BODY</t>
  </si>
  <si>
    <t xml:space="preserve">S04323</t>
  </si>
  <si>
    <t xml:space="preserve">225 N 9TH ST</t>
  </si>
  <si>
    <t xml:space="preserve">HY-GRADE LABORATORIES OIVESION (1980; SIC 2844)</t>
  </si>
  <si>
    <t xml:space="preserve">COLORADO COPY CENTER (1980) | HY-GRADE LABORATORIES OIVESION (1980)</t>
  </si>
  <si>
    <t xml:space="preserve">US WEST COMMUNICATIONS GRAND JCT MAIN</t>
  </si>
  <si>
    <t xml:space="preserve">S04335</t>
  </si>
  <si>
    <t xml:space="preserve">1426 UTE AVE</t>
  </si>
  <si>
    <t xml:space="preserve">ROGERS ARMS * MACHINE CO INC (1980-1988; SIC 3812,3599)</t>
  </si>
  <si>
    <t xml:space="preserve">ROGERS ARMS * MACHINE CO INC (1980)</t>
  </si>
  <si>
    <t xml:space="preserve">FA HECKENDORF INC</t>
  </si>
  <si>
    <t xml:space="preserve">S04336</t>
  </si>
  <si>
    <t xml:space="preserve">2496 COMMERCE BLVD</t>
  </si>
  <si>
    <t xml:space="preserve">SANBORN EQUIPMENT ¢ SUAPLY INC (1980; SIC 3993,3499)</t>
  </si>
  <si>
    <t xml:space="preserve">SANBORN EQUIPMENT ¢ SUAPLY INC (1980)</t>
  </si>
  <si>
    <t xml:space="preserve">GRAND JUNCTION TRAILER SITE</t>
  </si>
  <si>
    <t xml:space="preserve">MOUNTAIN AIR DRILLING</t>
  </si>
  <si>
    <t xml:space="preserve">S05180</t>
  </si>
  <si>
    <t xml:space="preserve">568 32 1 2 RD</t>
  </si>
  <si>
    <t xml:space="preserve">CLIFTON</t>
  </si>
  <si>
    <t xml:space="preserve">81520</t>
  </si>
  <si>
    <t xml:space="preserve">PLERKBUR Shp (1988; SIC 3089,3564)</t>
  </si>
  <si>
    <t xml:space="preserve">M # L COUNTER TOP INC (1983) | PLERKBUR Shp (1988)</t>
  </si>
  <si>
    <t xml:space="preserve">CLIFTON AUTO BODY</t>
  </si>
  <si>
    <t xml:space="preserve">S05187</t>
  </si>
  <si>
    <t xml:space="preserve">355 BONNY</t>
  </si>
  <si>
    <t xml:space="preserve">PRODUCTION EQUIPMENT # SUPPLY CO INC (1983; SIC 3559,3569)</t>
  </si>
  <si>
    <t xml:space="preserve">PRODUCTION EQUIPMENT # SUPPLY CO INC (1983)</t>
  </si>
  <si>
    <t xml:space="preserve">SAFETY KLEEN CORP 6 052 01</t>
  </si>
  <si>
    <t xml:space="preserve">SAFETY-KLEEN SYSTEMS INC</t>
  </si>
  <si>
    <t xml:space="preserve">S05191</t>
  </si>
  <si>
    <t xml:space="preserve">747 WINTERS AVE</t>
  </si>
  <si>
    <t xml:space="preserve">SPENDRUP AND ASSOCIATES INC (1983; SIC 3564)</t>
  </si>
  <si>
    <t xml:space="preserve">SPENDRUP AND ASSOCIATES INC (1983)</t>
  </si>
  <si>
    <t xml:space="preserve">Van Waters &amp; Rogers II</t>
  </si>
  <si>
    <t xml:space="preserve">E-WASTE RECYCLERS OF COLORADO</t>
  </si>
  <si>
    <t xml:space="preserve">S05849</t>
  </si>
  <si>
    <t xml:space="preserve">2295 LOGOS CT</t>
  </si>
  <si>
    <t xml:space="preserve">81505</t>
  </si>
  <si>
    <t xml:space="preserve">GRAND JUNCTION ALCAN SPRING (1988; SIC 3493) | ALCAN SPRING (1990-1992; SIC 2655,3493) | SCREW MACHINE SPECIALTIES INC (1990; SIC 3451)</t>
  </si>
  <si>
    <t xml:space="preserve">GRAND JUNCTION ALCAN SPRING (1988) | ALCAN SPRING (1990) | SCREW MACHINE SPECIALTIES INC (1990)</t>
  </si>
  <si>
    <t xml:space="preserve">SANDVIK MINING AND CONSTRUCTION USA LLC</t>
  </si>
  <si>
    <t xml:space="preserve">S05864</t>
  </si>
  <si>
    <t xml:space="preserve">2477 RIVER RD</t>
  </si>
  <si>
    <t xml:space="preserve">INTRAWEST MACHINE+FABRICATING (1988-1990; SIC 3599)</t>
  </si>
  <si>
    <t xml:space="preserve">INTRAWEST MACHINE+FABRICATING (1988) | HYTECH HYDRONIC SYSTEMS INC (1990)</t>
  </si>
  <si>
    <t xml:space="preserve">SAM'S CLUB #6360</t>
  </si>
  <si>
    <t xml:space="preserve">S05867</t>
  </si>
  <si>
    <t xml:space="preserve">163 SUNDANCE DR</t>
  </si>
  <si>
    <t xml:space="preserve">81503</t>
  </si>
  <si>
    <t xml:space="preserve">MAGNUM MACHINE INC (1988-1990; SIC 3544)</t>
  </si>
  <si>
    <t xml:space="preserve">MAGNUM MACHINE INC (1988)</t>
  </si>
  <si>
    <t xml:space="preserve">S05872</t>
  </si>
  <si>
    <t xml:space="preserve">304 W MAIN ST</t>
  </si>
  <si>
    <t xml:space="preserve">LOWERY INC (1990; SIC 3089)</t>
  </si>
  <si>
    <t xml:space="preserve">LITHOGRAPHIC PROEGionaL LINENS (1988) | LOWERY INC (1990) | PRO-SAFE PROFESSIONAL LINENS (1990)</t>
  </si>
  <si>
    <t xml:space="preserve">S05873</t>
  </si>
  <si>
    <t xml:space="preserve">1005 WINTERS AVE</t>
  </si>
  <si>
    <t xml:space="preserve">RAINCAT IRRIGATION SYSTEMS (1988-1990; SIC 3523) | TUMAC INDUSTRIES INC (1988-1990; SIC 2599,3523)</t>
  </si>
  <si>
    <t xml:space="preserve">RAINCAT IRRIGATION SYSTEMS (1988) | TUMAC INDUSTRIES INC (1988)</t>
  </si>
  <si>
    <t xml:space="preserve">GRAND JUNCTION STEEL LLC</t>
  </si>
  <si>
    <t xml:space="preserve">MESA COUNTY ENGINEERING DEPT</t>
  </si>
  <si>
    <t xml:space="preserve">S07046</t>
  </si>
  <si>
    <t xml:space="preserve">613 E GRAND AVE</t>
  </si>
  <si>
    <t xml:space="preserve">MAX SWEEP INC (1992; SIC 3563)</t>
  </si>
  <si>
    <t xml:space="preserve">MAX SWEEP INC (1992)</t>
  </si>
  <si>
    <t xml:space="preserve">Fruita Industrial Center</t>
  </si>
  <si>
    <t xml:space="preserve">SCREW MACHINE SPECIALTIES</t>
  </si>
  <si>
    <t xml:space="preserve">S07054</t>
  </si>
  <si>
    <t xml:space="preserve">2227 N 1ST</t>
  </si>
  <si>
    <t xml:space="preserve">BURD CORP (1992; SIC 3999,3523)</t>
  </si>
  <si>
    <t xml:space="preserve">BURD CORP (1992)</t>
  </si>
  <si>
    <t xml:space="preserve">S01613</t>
  </si>
  <si>
    <t xml:space="preserve">392 BREEZE</t>
  </si>
  <si>
    <t xml:space="preserve">CRAIG</t>
  </si>
  <si>
    <t xml:space="preserve">Moffat</t>
  </si>
  <si>
    <t xml:space="preserve">81625</t>
  </si>
  <si>
    <t xml:space="preserve">CURTIS MACHINE SHOP (1967-1968; SIC 3591)</t>
  </si>
  <si>
    <t xml:space="preserve">CURTIS MACHINE SHOP (1967)</t>
  </si>
  <si>
    <t xml:space="preserve">APH BUILDING 406 YAMPA AVENUE</t>
  </si>
  <si>
    <t xml:space="preserve">LEATHER SPECIALISTS</t>
  </si>
  <si>
    <t xml:space="preserve">S04341</t>
  </si>
  <si>
    <t xml:space="preserve">735 PERSHING ST</t>
  </si>
  <si>
    <t xml:space="preserve">1980;1988;1990;1992</t>
  </si>
  <si>
    <t xml:space="preserve">ADELE COSMETIC CO (1980-1990; SIC 2844) | CRAIS (1992; SIC 2844)</t>
  </si>
  <si>
    <t xml:space="preserve">ADELE COSMETIC CO (1980) | CRAIS (1992)</t>
  </si>
  <si>
    <t xml:space="preserve">S06345</t>
  </si>
  <si>
    <t xml:space="preserve">2450 W 3RD</t>
  </si>
  <si>
    <t xml:space="preserve">81626</t>
  </si>
  <si>
    <t xml:space="preserve">MAGNUME METALS (1990; SIC 3599)</t>
  </si>
  <si>
    <t xml:space="preserve">MAGNUME METALS (1990)</t>
  </si>
  <si>
    <t xml:space="preserve">YAMPA AUTO BODY INC</t>
  </si>
  <si>
    <t xml:space="preserve">S01614</t>
  </si>
  <si>
    <t xml:space="preserve">1203 E MAIN</t>
  </si>
  <si>
    <t xml:space="preserve">CORTEZ</t>
  </si>
  <si>
    <t xml:space="preserve">Montezuma</t>
  </si>
  <si>
    <t xml:space="preserve">81321</t>
  </si>
  <si>
    <t xml:space="preserve">COLORADO CAREONICS INC (1967-1968; SIC 2813) | OYE CARBONIC, INC. (1973; SIC 2813)</t>
  </si>
  <si>
    <t xml:space="preserve">COLORADO CAREONICS INC (1967) | OYE CARBONIC, INC. (1973)</t>
  </si>
  <si>
    <t xml:space="preserve">AUTOZONE #0841</t>
  </si>
  <si>
    <t xml:space="preserve">S01615</t>
  </si>
  <si>
    <t xml:space="preserve">501 S MARKET</t>
  </si>
  <si>
    <t xml:space="preserve">CRAYTOR MACHINE SHOP (1967; SIC 3591,3591)</t>
  </si>
  <si>
    <t xml:space="preserve">CRAYTOR MACHINE SHOP (1967)</t>
  </si>
  <si>
    <t xml:space="preserve">S01921</t>
  </si>
  <si>
    <t xml:space="preserve">901 S MARKET</t>
  </si>
  <si>
    <t xml:space="preserve">CRAYTOR MACHINE SHCP (1968; SIC 3591,3591)</t>
  </si>
  <si>
    <t xml:space="preserve">CRAYTOR MACHINE SHCP (1968)</t>
  </si>
  <si>
    <t xml:space="preserve">S02695</t>
  </si>
  <si>
    <t xml:space="preserve">495 N BROADWAY</t>
  </si>
  <si>
    <t xml:space="preserve">DOUTHIT MACHINE SHOP (1973; SIC 3591)</t>
  </si>
  <si>
    <t xml:space="preserve">DOUTHIT MACHINE SHOP (1973)</t>
  </si>
  <si>
    <t xml:space="preserve">TRAZA INC - DBA PETERSONS BODY &amp; FRAME</t>
  </si>
  <si>
    <t xml:space="preserve">S05529</t>
  </si>
  <si>
    <t xml:space="preserve">310 LA PLATA PL</t>
  </si>
  <si>
    <t xml:space="preserve">ENVIRONMENTAL LINERS INC (1988; SIC 3089,2421)</t>
  </si>
  <si>
    <t xml:space="preserve">ENVIRONMENTAL LINERS INC (1988)</t>
  </si>
  <si>
    <t xml:space="preserve">S06788</t>
  </si>
  <si>
    <t xml:space="preserve">335 BAUER</t>
  </si>
  <si>
    <t xml:space="preserve">MANCOS</t>
  </si>
  <si>
    <t xml:space="preserve">81328</t>
  </si>
  <si>
    <t xml:space="preserve">MANOS (1990; SIC 3421)</t>
  </si>
  <si>
    <t xml:space="preserve">MANOS (1990)</t>
  </si>
  <si>
    <t xml:space="preserve">MANCOS LIBRARY</t>
  </si>
  <si>
    <t xml:space="preserve">MANCOS HIGH SCHOOL</t>
  </si>
  <si>
    <t xml:space="preserve">S01215</t>
  </si>
  <si>
    <t xml:space="preserve">312 N 1ST ST</t>
  </si>
  <si>
    <t xml:space="preserve">MONTROSE</t>
  </si>
  <si>
    <t xml:space="preserve">Montrose</t>
  </si>
  <si>
    <t xml:space="preserve">81401</t>
  </si>
  <si>
    <t xml:space="preserve">BERTORELLO + SUN GENERAL MACHINE SHOP (1966-1968; SIC 3599) | GENERAL MACHINE SHOP CO (1973-1974; SIC 3591)</t>
  </si>
  <si>
    <t xml:space="preserve">BERTORELLO + SUN GENERAL MACHINE SHOP (1966) | GENERAL MACHINE SHOP CO (1973)</t>
  </si>
  <si>
    <t xml:space="preserve">Sunshine Peak Annex</t>
  </si>
  <si>
    <t xml:space="preserve">PONCHAK ENTERPRISES INC DBA KILBANE CLEA</t>
  </si>
  <si>
    <t xml:space="preserve">S02698</t>
  </si>
  <si>
    <t xml:space="preserve">930 N PARK AVE</t>
  </si>
  <si>
    <t xml:space="preserve">ODA-TEL RESEARCH CO (1973; SIC 3662,3573)</t>
  </si>
  <si>
    <t xml:space="preserve">ODA-TEL RESEARCH CO (1973)</t>
  </si>
  <si>
    <t xml:space="preserve">S03130</t>
  </si>
  <si>
    <t xml:space="preserve">29 N WILLERUP AVE</t>
  </si>
  <si>
    <t xml:space="preserve">JIM*S SHEET METAL SHOP (1974; SIC 3444) | COOLINGS HEATING + AIR CONDITIONING (1980-1990; SIC 3444)</t>
  </si>
  <si>
    <t xml:space="preserve">JIM*S SHEET METAL SHOP (1974) | COOLINGS HEATING + AIR CONDITIONING (1980)</t>
  </si>
  <si>
    <t xml:space="preserve">Lawrence Miskol</t>
  </si>
  <si>
    <t xml:space="preserve">RECLA METALS</t>
  </si>
  <si>
    <t xml:space="preserve">S04345</t>
  </si>
  <si>
    <t xml:space="preserve">1940 N TOWNSEND</t>
  </si>
  <si>
    <t xml:space="preserve">ALTA MANUFACTURING COMPANY INC (1980-1990; SIC 3792)</t>
  </si>
  <si>
    <t xml:space="preserve">ALTA MANUFACTURING COMPANY INC (1980)</t>
  </si>
  <si>
    <t xml:space="preserve">MONTROSE AUTO BODY</t>
  </si>
  <si>
    <t xml:space="preserve">S05205</t>
  </si>
  <si>
    <t xml:space="preserve">426 W MAIN ST</t>
  </si>
  <si>
    <t xml:space="preserve">NATURITA</t>
  </si>
  <si>
    <t xml:space="preserve">81422</t>
  </si>
  <si>
    <t xml:space="preserve">&amp; TO Z INDUSTRIES INC. (1983; SIC 3423) | NATURITA A TO Z INDUSTRIES (1988; SIC 3423,3233,3273) | ATO Z INDUSTRIES INC (1990; SIC 3423)</t>
  </si>
  <si>
    <t xml:space="preserve">&amp; TO Z INDUSTRIES INC. (1983) | NATURITA A TO Z INDUSTRIES (1988) | ATO Z INDUSTRIES INC (1990)</t>
  </si>
  <si>
    <t xml:space="preserve">GENERAL ELECTRIC URANIUM MGMT CORP</t>
  </si>
  <si>
    <t xml:space="preserve">S06034</t>
  </si>
  <si>
    <t xml:space="preserve">403 N 4TH ST</t>
  </si>
  <si>
    <t xml:space="preserve">OLATHE</t>
  </si>
  <si>
    <t xml:space="preserve">81425</t>
  </si>
  <si>
    <t xml:space="preserve">EARLS CAMPERS (1988-1990; SIC 3713)</t>
  </si>
  <si>
    <t xml:space="preserve">EARLS CAMPERS (1988) | PRATT MEDICAL INC (1990)</t>
  </si>
  <si>
    <t xml:space="preserve">HYDE BROTHERS AUTO &amp; TRUCK</t>
  </si>
  <si>
    <t xml:space="preserve">S06795</t>
  </si>
  <si>
    <t xml:space="preserve">308 ADAMS ST</t>
  </si>
  <si>
    <t xml:space="preserve">KYBATO INC (1990; SIC 3423,3546)</t>
  </si>
  <si>
    <t xml:space="preserve">KYBATO INC (1990)</t>
  </si>
  <si>
    <t xml:space="preserve">S07114</t>
  </si>
  <si>
    <t xml:space="preserve">1 PONDEROSA CT</t>
  </si>
  <si>
    <t xml:space="preserve">HAUCK ENGINEERING INC (1992; SIC 3325)</t>
  </si>
  <si>
    <t xml:space="preserve">HAUCK ENGINEERING INC (1992)</t>
  </si>
  <si>
    <t xml:space="preserve">PG&amp;F SUPERABRASIVES ROYERSFORD LLC</t>
  </si>
  <si>
    <t xml:space="preserve">S01223</t>
  </si>
  <si>
    <t xml:space="preserve">128 S CLAYTON</t>
  </si>
  <si>
    <t xml:space="preserve">BRUSH</t>
  </si>
  <si>
    <t xml:space="preserve">Morgan</t>
  </si>
  <si>
    <t xml:space="preserve">80723</t>
  </si>
  <si>
    <t xml:space="preserve">BRUSH LOCKER SYSTEMS INC (1988; SIC 2011,2013,3752)</t>
  </si>
  <si>
    <t xml:space="preserve">BRUSH LOCKER SYSTEM (1966) | RUSH LOCKER SYSTEMS INC. (1983)</t>
  </si>
  <si>
    <t xml:space="preserve">SOFTONE CLEANERS</t>
  </si>
  <si>
    <t xml:space="preserve">S03510</t>
  </si>
  <si>
    <t xml:space="preserve">515 INDUSTRIAL PARK RD</t>
  </si>
  <si>
    <t xml:space="preserve">WAITE MANUFACTURING CO (1977-1980; SIC 3599) | MORTEC INDUSTRIES INC (1980-1990; SIC 3576)</t>
  </si>
  <si>
    <t xml:space="preserve">WAITE MANUFACTURING CO (1977) | MORTEC INDUSTRIES INC (1980)</t>
  </si>
  <si>
    <t xml:space="preserve">BRUSH PUBLIC SCHOOLS</t>
  </si>
  <si>
    <t xml:space="preserve">S04353</t>
  </si>
  <si>
    <t xml:space="preserve">1200 EDISON</t>
  </si>
  <si>
    <t xml:space="preserve">AGRI CHEM INC (1980; SIC 2875) | BRUSH AGRI CHEM INC (1988; SIC 2875)</t>
  </si>
  <si>
    <t xml:space="preserve">AGRI CHEM INC (1980) | BRUSH AGRI CHEM INC (1988)</t>
  </si>
  <si>
    <t xml:space="preserve">S06610</t>
  </si>
  <si>
    <t xml:space="preserve">210 E BURLINGTON AVE</t>
  </si>
  <si>
    <t xml:space="preserve">FORT MORGAN</t>
  </si>
  <si>
    <t xml:space="preserve">80701</t>
  </si>
  <si>
    <t xml:space="preserve">PORTABLE WELDING SERVICE INC (1990; SIC 3443,3499)</t>
  </si>
  <si>
    <t xml:space="preserve">PORTABLE WELDING SERVICE INC (1990)</t>
  </si>
  <si>
    <t xml:space="preserve">JACKS BEAN CO FORT MORGAN MAIN ST</t>
  </si>
  <si>
    <t xml:space="preserve">S01227</t>
  </si>
  <si>
    <t xml:space="preserve">208 E SANTA FE</t>
  </si>
  <si>
    <t xml:space="preserve">FOWLER</t>
  </si>
  <si>
    <t xml:space="preserve">Otero</t>
  </si>
  <si>
    <t xml:space="preserve">81039</t>
  </si>
  <si>
    <t xml:space="preserve">TAYLOR MADE TRAILERS (1983-1990; SIC 3792)</t>
  </si>
  <si>
    <t xml:space="preserve">FOWLER CREAMERY CO (1966) |  (1968) | TAYLOR MADE TRAILERS (1983)</t>
  </si>
  <si>
    <t xml:space="preserve">S05212</t>
  </si>
  <si>
    <t xml:space="preserve">1601 ADAMS AVE</t>
  </si>
  <si>
    <t xml:space="preserve">LA JUNTA</t>
  </si>
  <si>
    <t xml:space="preserve">81050</t>
  </si>
  <si>
    <t xml:space="preserve">ANDREWS SHEET METAL INC (1983; SIC 3444)</t>
  </si>
  <si>
    <t xml:space="preserve">ANDREWS SHEET METAL INC (1983)</t>
  </si>
  <si>
    <t xml:space="preserve">LA JUNTA ASBESTOS #2</t>
  </si>
  <si>
    <t xml:space="preserve">S06687</t>
  </si>
  <si>
    <t xml:space="preserve">415 SAN JUAN</t>
  </si>
  <si>
    <t xml:space="preserve">MILES HEATING + REFRIGERATION CO (1990; SIC 3444,3585)</t>
  </si>
  <si>
    <t xml:space="preserve">MILES HEATING + REFRIGERATION CO (1990)</t>
  </si>
  <si>
    <t xml:space="preserve">HARRIS BROS BODY SHOP &amp; GLASS</t>
  </si>
  <si>
    <t xml:space="preserve">S05218</t>
  </si>
  <si>
    <t xml:space="preserve">47 ROYAL CT</t>
  </si>
  <si>
    <t xml:space="preserve">BAILEY</t>
  </si>
  <si>
    <t xml:space="preserve">Park</t>
  </si>
  <si>
    <t xml:space="preserve">80421</t>
  </si>
  <si>
    <t xml:space="preserve">APOLLO SYSTEMS INC (1983; SIC 2899,3433)</t>
  </si>
  <si>
    <t xml:space="preserve">APOLLO SYSTEMS INC (1983)</t>
  </si>
  <si>
    <t xml:space="preserve">S05223</t>
  </si>
  <si>
    <t xml:space="preserve">378 JESS MAR OR</t>
  </si>
  <si>
    <t xml:space="preserve">SHAWNEE</t>
  </si>
  <si>
    <t xml:space="preserve">80475</t>
  </si>
  <si>
    <t xml:space="preserve">SHAWNEE MICROM PRECISION INC (1988; SIC 3451) | SHAWNEE (1990; SIC 3451)</t>
  </si>
  <si>
    <t xml:space="preserve">MICROM PRECISION INC 2752 COMMERCIAL PRINTINGs LITHOGRAPHIC (1983) | SHAWNEE MICROM PRECISION INC (1988) | SHAWNEE (1990)</t>
  </si>
  <si>
    <t xml:space="preserve">S06177</t>
  </si>
  <si>
    <t xml:space="preserve">36 N PINE DR</t>
  </si>
  <si>
    <t xml:space="preserve">NORMAN R SMITH CO (1990; SIC 3089,3559,3599) | METCUT INC (1992; SIC 3659,3559)</t>
  </si>
  <si>
    <t xml:space="preserve">NORMAN R SMITH CO (1990) | METCUT INC (1992)</t>
  </si>
  <si>
    <t xml:space="preserve">S01238</t>
  </si>
  <si>
    <t xml:space="preserve">217 S COLORADO AVE</t>
  </si>
  <si>
    <t xml:space="preserve">HAXTUN</t>
  </si>
  <si>
    <t xml:space="preserve">Phillips</t>
  </si>
  <si>
    <t xml:space="preserve">80731</t>
  </si>
  <si>
    <t xml:space="preserve">HAXTUN HARVESTs THE ‘ (1968-1970; SIC 2711,3522)</t>
  </si>
  <si>
    <t xml:space="preserve">HAXTUN HARVEST, THE (1966) |  (1967) |  (1973) | HAXTUN HAXTUN HERALD (1988)</t>
  </si>
  <si>
    <t xml:space="preserve">SUPERIOR WELDING &amp; AUTO REPAIR</t>
  </si>
  <si>
    <t xml:space="preserve">S01619</t>
  </si>
  <si>
    <t xml:space="preserve">420 PEARL CT</t>
  </si>
  <si>
    <t xml:space="preserve">ASPEN</t>
  </si>
  <si>
    <t xml:space="preserve">Pitkin</t>
  </si>
  <si>
    <t xml:space="preserve">81611</t>
  </si>
  <si>
    <t xml:space="preserve">1967;1968;1970;1973</t>
  </si>
  <si>
    <t xml:space="preserve">HARTMEISTER MFG, INC (1967-1973; SIC 3423,3914)</t>
  </si>
  <si>
    <t xml:space="preserve">HARTMEISTER MFG, INC (1967)</t>
  </si>
  <si>
    <t xml:space="preserve">S00409</t>
  </si>
  <si>
    <t xml:space="preserve">5400 FENTON</t>
  </si>
  <si>
    <t xml:space="preserve">Portable Source</t>
  </si>
  <si>
    <t xml:space="preserve">SUBURBAN REOLI-¥IX (1968; SIC 3273,3461,3446)</t>
  </si>
  <si>
    <t xml:space="preserve">SUBURBAN RECDI-MIX (1965)</t>
  </si>
  <si>
    <t xml:space="preserve">ARVADA TREATMENT CENTER</t>
  </si>
  <si>
    <t xml:space="preserve">MARTIN MARIETTA ARVADA READY MIX</t>
  </si>
  <si>
    <t xml:space="preserve">RECYCLED MATERIALS COMPANY INC</t>
  </si>
  <si>
    <t xml:space="preserve">S00506</t>
  </si>
  <si>
    <t xml:space="preserve">508 N MAIN</t>
  </si>
  <si>
    <t xml:space="preserve">LAMAR</t>
  </si>
  <si>
    <t xml:space="preserve">Prowers</t>
  </si>
  <si>
    <t xml:space="preserve">C + S MACHINE SHOP + AUTC PARTS: INC (1967-1968; SIC 3591,2686) | C + S MACHINE SHOP + AUTO PARTS» INC (1973; SIC 3591,2086)</t>
  </si>
  <si>
    <t xml:space="preserve">MARX WHOLESALE BAKERY (1965) | C + S MACHINE SHOP + AUTC PARTS: INC (1967) | C + S MACHINE SHOP + AUTO PARTS» INC (1973) | MARK WHOLESALE BAKERY (1973) | MAR HOLESALE (1988)</t>
  </si>
  <si>
    <t xml:space="preserve">REYES AND ELLIS PROPERTY</t>
  </si>
  <si>
    <t xml:space="preserve">RON AUSTIN REPAIR SHOP</t>
  </si>
  <si>
    <t xml:space="preserve">S01622</t>
  </si>
  <si>
    <t xml:space="preserve">112 S 12TH</t>
  </si>
  <si>
    <t xml:space="preserve">81052</t>
  </si>
  <si>
    <t xml:space="preserve">PEERY ELECTRIC (1967; SIC 3441,2086)</t>
  </si>
  <si>
    <t xml:space="preserve">PEERY ELECTRIC (1967)</t>
  </si>
  <si>
    <t xml:space="preserve">TITO'S</t>
  </si>
  <si>
    <t xml:space="preserve">S00512</t>
  </si>
  <si>
    <t xml:space="preserve">607 W 7TH</t>
  </si>
  <si>
    <t xml:space="preserve">PUEBLO</t>
  </si>
  <si>
    <t xml:space="preserve">Pueblo</t>
  </si>
  <si>
    <t xml:space="preserve">81003</t>
  </si>
  <si>
    <t xml:space="preserve">1973;1977;1983;1988;1990</t>
  </si>
  <si>
    <t xml:space="preserve">PUEBLO SHEET METAL WORKS (1973-1983; SIC 3444) | HAS SHEET METAL (1988; SIC 3444) | HOPKINS SHEET METAL WORKS (1990; SIC 3444)</t>
  </si>
  <si>
    <t xml:space="preserve">BARTELS SIGNS (1965) | PUEBLO SHEET METAL WORKS (1973) | HAS SHEET METAL (1988) | HOPKINS SHEET METAL WORKS (1990)</t>
  </si>
  <si>
    <t xml:space="preserve">FORMER ICE HOUSE PROPERTY</t>
  </si>
  <si>
    <t xml:space="preserve">STAR JOURNAL PUB COR CHIEFTAIN</t>
  </si>
  <si>
    <t xml:space="preserve">S00517</t>
  </si>
  <si>
    <t xml:space="preserve">120 LAKE</t>
  </si>
  <si>
    <t xml:space="preserve">1965;1968;1973;1974;1983;1988;1990</t>
  </si>
  <si>
    <t xml:space="preserve">C + O MANUFACTURING CO. (1965; SIC 3459) | C + © MANUFACTURING CC (1968; SIC 3442) | C + O MANUFACTURING CO core (1973; SIC 3442) | C + O MANUFACTURING CC (1974; SIC 3442) | C # O WINDOW ¢ DOOR MANUFACTURING CO INC (1983-1990; SIC 3442)</t>
  </si>
  <si>
    <t xml:space="preserve">C + O MANUFACTURING CO. (1965) | C + © MANUFACTURING CC (1968) | C + O MANUFACTURING CO core (1973) | C + O MANUFACTURING CC (1974) | C # O WINDOW ¢ DOOR MANUFACTURING CO INC (1983)</t>
  </si>
  <si>
    <t xml:space="preserve">ST. PATRICK'S CHURCH</t>
  </si>
  <si>
    <t xml:space="preserve">S00519</t>
  </si>
  <si>
    <t xml:space="preserve">715 W 13TH</t>
  </si>
  <si>
    <t xml:space="preserve">1965;1968;1970</t>
  </si>
  <si>
    <t xml:space="preserve">CLEMENT'S (1965; SIC 3449) | CLEMENT'S (1968-1970; SIC 3446,3446,2086)</t>
  </si>
  <si>
    <t xml:space="preserve">CLEMENT'S (1965) | CLEMENT'S (1968)</t>
  </si>
  <si>
    <t xml:space="preserve">JANUS ENTERPRISES LLC</t>
  </si>
  <si>
    <t xml:space="preserve">S00524</t>
  </si>
  <si>
    <t xml:space="preserve">827 W 10TH</t>
  </si>
  <si>
    <t xml:space="preserve">1965;1977;1983;1988;1990</t>
  </si>
  <si>
    <t xml:space="preserve">SMITH SHEET METAL CO. (1965; SIC 3444) | SMITH SHEET METAL CO (1977-1990; SIC 3444)</t>
  </si>
  <si>
    <t xml:space="preserve">SMITH SHEET METAL CO. (1965) | SMITH SHEET METAL CO (1977)</t>
  </si>
  <si>
    <t xml:space="preserve">BOB PAINT &amp; BODY</t>
  </si>
  <si>
    <t xml:space="preserve">S01258</t>
  </si>
  <si>
    <t xml:space="preserve">516 E PITKIN AVE</t>
  </si>
  <si>
    <t xml:space="preserve">81005</t>
  </si>
  <si>
    <t xml:space="preserve">HAYDEN'S HEATING + AIR CONDITIONING (1966-1970; SIC 3441)</t>
  </si>
  <si>
    <t xml:space="preserve">HAYDEN'S HEATING + AIR CONDITIONING (1966)</t>
  </si>
  <si>
    <t xml:space="preserve">S01263</t>
  </si>
  <si>
    <t xml:space="preserve">1124 BRAGDON AVE</t>
  </si>
  <si>
    <t xml:space="preserve">81004</t>
  </si>
  <si>
    <t xml:space="preserve">MICHAEL'S PRINT SHCP (1968; SIC 2751,2751,2752)</t>
  </si>
  <si>
    <t xml:space="preserve">MICHAEL'S PRINT (1966)</t>
  </si>
  <si>
    <t xml:space="preserve">S01625</t>
  </si>
  <si>
    <t xml:space="preserve">190 CENTRAL MAIN</t>
  </si>
  <si>
    <t xml:space="preserve">81002</t>
  </si>
  <si>
    <t xml:space="preserve">FLORMAN HFG CC, THE (1967; SIC 2851)</t>
  </si>
  <si>
    <t xml:space="preserve">FLORMAN HFG CC, THE (1967)</t>
  </si>
  <si>
    <t xml:space="preserve">Riverwalk Residences</t>
  </si>
  <si>
    <t xml:space="preserve">PUEBLO TRANSPORTATION COMPANY</t>
  </si>
  <si>
    <t xml:space="preserve">S01629</t>
  </si>
  <si>
    <t xml:space="preserve">603 N GRAND AVE</t>
  </si>
  <si>
    <t xml:space="preserve">AIR-STREAM REFRIG + HTG CO (1977; SIC 3433)</t>
  </si>
  <si>
    <t xml:space="preserve">LUNDY-LEONARD INTERIORS (1967) | LUNDY-LECNARC INTERIORS (1968) | LUNDY-EEONARD LNTERIORS (1970) | AIR-STREAM REFRIG + HTG CO (1977) | ROCKY MOUNTAIN OPTICAL (1980) | LITHOGRAPHICS ROCKY MTN OPTICAL (1988)</t>
  </si>
  <si>
    <t xml:space="preserve">RODS RADIATOR SHOP</t>
  </si>
  <si>
    <t xml:space="preserve">S02717</t>
  </si>
  <si>
    <t xml:space="preserve">170 S SANTA FE AVE</t>
  </si>
  <si>
    <t xml:space="preserve"> (1973; SIC 2851) | PETERSON PAINT CO (1974-1980; SIC 2851)</t>
  </si>
  <si>
    <t xml:space="preserve"> (1973) | PETERSON PAINT CO (1974)</t>
  </si>
  <si>
    <t xml:space="preserve">River ST Property</t>
  </si>
  <si>
    <t xml:space="preserve">MECHANIC &amp; RICHMOND</t>
  </si>
  <si>
    <t xml:space="preserve">S03139</t>
  </si>
  <si>
    <t xml:space="preserve">2317 SANTA FE ORIVE</t>
  </si>
  <si>
    <t xml:space="preserve">81006</t>
  </si>
  <si>
    <t xml:space="preserve">1974;1980;1983</t>
  </si>
  <si>
    <t xml:space="preserve">CLEMENT#S (1974-1983; SIC 3446)</t>
  </si>
  <si>
    <t xml:space="preserve">CLEMENT#S (1974)</t>
  </si>
  <si>
    <t xml:space="preserve">GRUMA CORP. DBA MISSION FOODS CORP</t>
  </si>
  <si>
    <t xml:space="preserve">FAMILY DOLLAR #2869</t>
  </si>
  <si>
    <t xml:space="preserve">S03146</t>
  </si>
  <si>
    <t xml:space="preserve">1760 E ILEX ST</t>
  </si>
  <si>
    <t xml:space="preserve">WESTERN PIPE + TUBE CO INC (1974; SIC 3498)</t>
  </si>
  <si>
    <t xml:space="preserve">WESTERN PIPE + TUBE CO INC (1974)</t>
  </si>
  <si>
    <t xml:space="preserve">THE BELTRAMO PROPERTY</t>
  </si>
  <si>
    <t xml:space="preserve">S03522</t>
  </si>
  <si>
    <t xml:space="preserve">4303 RAWHIDE RD</t>
  </si>
  <si>
    <t xml:space="preserve">81008</t>
  </si>
  <si>
    <t xml:space="preserve">MAXWELL LANE ENTERPRESES (1977; SIC 3433)</t>
  </si>
  <si>
    <t xml:space="preserve">MAXWELL LANE ENTERPRESES (1977)</t>
  </si>
  <si>
    <t xml:space="preserve">S03523</t>
  </si>
  <si>
    <t xml:space="preserve">2037 CEDAR</t>
  </si>
  <si>
    <t xml:space="preserve">MIKATICH SIGNS (1977; SIC 2135,3449)</t>
  </si>
  <si>
    <t xml:space="preserve">MIKATICH SIGNS (1977)</t>
  </si>
  <si>
    <t xml:space="preserve">S04364</t>
  </si>
  <si>
    <t xml:space="preserve">115 BROADWAY</t>
  </si>
  <si>
    <t xml:space="preserve">1980;1983;1990;1992</t>
  </si>
  <si>
    <t xml:space="preserve">DINCLERS FABRICS (1980-1992; SIC 3079,2398)</t>
  </si>
  <si>
    <t xml:space="preserve">DINCLERS FABRICS (1980)</t>
  </si>
  <si>
    <t xml:space="preserve">PDQ PRINTERS</t>
  </si>
  <si>
    <t xml:space="preserve">S04368</t>
  </si>
  <si>
    <t xml:space="preserve">2034 E 11TH</t>
  </si>
  <si>
    <t xml:space="preserve">81001</t>
  </si>
  <si>
    <t xml:space="preserve">METAL SERVICE Co (1980; SIC 3444,3441)</t>
  </si>
  <si>
    <t xml:space="preserve">METAL SERVICE Co (1980)</t>
  </si>
  <si>
    <t xml:space="preserve">S04370</t>
  </si>
  <si>
    <t xml:space="preserve">126 27 1 4 LN</t>
  </si>
  <si>
    <t xml:space="preserve">MOUNTAIN STATES SHEET METAL (1980-1988; SIC 3444)</t>
  </si>
  <si>
    <t xml:space="preserve">MOUNTAIN STATES SHEET METAL (1980)</t>
  </si>
  <si>
    <t xml:space="preserve">S05228</t>
  </si>
  <si>
    <t xml:space="preserve">8980 CENTRAL AVE</t>
  </si>
  <si>
    <t xml:space="preserve">BEULAH</t>
  </si>
  <si>
    <t xml:space="preserve">81023</t>
  </si>
  <si>
    <t xml:space="preserve">MOORE ENTERPRISES (1983-1990; SIC 3469,3443) | LMBR, LNDSCP TMBR MOORE ENTERPRISES (1988; SIC 3443,3469)</t>
  </si>
  <si>
    <t xml:space="preserve">MOORE ENTERPRISES (1983) | LMBR, LNDSCP TMBR MOORE ENTERPRISES (1988)</t>
  </si>
  <si>
    <t xml:space="preserve">S05242</t>
  </si>
  <si>
    <t xml:space="preserve">141 E INDUSTRIAL BLVD</t>
  </si>
  <si>
    <t xml:space="preserve">PUEBLO WEST</t>
  </si>
  <si>
    <t xml:space="preserve">81007</t>
  </si>
  <si>
    <t xml:space="preserve">1983;1990;1992</t>
  </si>
  <si>
    <t xml:space="preserve">SCULPTURE STUDIO + FOUNDRY INC (1983-1992; SIC 3362)</t>
  </si>
  <si>
    <t xml:space="preserve">SCULPTURE STUDIO + FOUNDRY INC (1983)</t>
  </si>
  <si>
    <t xml:space="preserve">S06049</t>
  </si>
  <si>
    <t xml:space="preserve">815 KENNIE RD</t>
  </si>
  <si>
    <t xml:space="preserve">FRONTIER MFG INC (1988-1990; SIC 3799)</t>
  </si>
  <si>
    <t xml:space="preserve">FRONTIER MFG INC (1988)</t>
  </si>
  <si>
    <t xml:space="preserve">S06052</t>
  </si>
  <si>
    <t xml:space="preserve">2135 E EVANS AVE</t>
  </si>
  <si>
    <t xml:space="preserve">MINNEQUA ORNAMENTAL IRON (1988-1990; SIC 3449)</t>
  </si>
  <si>
    <t xml:space="preserve">MINNEQUA ORNAMENTAL IRON (1988)</t>
  </si>
  <si>
    <t xml:space="preserve">DAVIS WIRE PUEBLO CORP.</t>
  </si>
  <si>
    <t xml:space="preserve">SPILL 2026-0262</t>
  </si>
  <si>
    <t xml:space="preserve">S06061</t>
  </si>
  <si>
    <t xml:space="preserve">48 N ELECTRONIC DR</t>
  </si>
  <si>
    <t xml:space="preserve">PUEBLO SHEET METAL WORKS INC (1988-1990; SIC 3444)</t>
  </si>
  <si>
    <t xml:space="preserve">PUEBLO SHEET METAL WORKS INC (1988)</t>
  </si>
  <si>
    <t xml:space="preserve">S06828</t>
  </si>
  <si>
    <t xml:space="preserve">101 WILLIAM WHITE BIVD</t>
  </si>
  <si>
    <t xml:space="preserve">TRANE CO (1990; SIC 3585)</t>
  </si>
  <si>
    <t xml:space="preserve">TRANE CO (1990)</t>
  </si>
  <si>
    <t xml:space="preserve">PUEBLO, CO FACILITY</t>
  </si>
  <si>
    <t xml:space="preserve">S06830</t>
  </si>
  <si>
    <t xml:space="preserve">397 E INDUSTRIAL BIVD</t>
  </si>
  <si>
    <t xml:space="preserve">SINGLETON SHEET METAL WORKS INC (1990-1992; SIC 3441,3444)</t>
  </si>
  <si>
    <t xml:space="preserve">SINGLETON SHEET METAL WORKS INC (1990)</t>
  </si>
  <si>
    <t xml:space="preserve">S05249</t>
  </si>
  <si>
    <t xml:space="preserve">1580 PINE GROVE RO</t>
  </si>
  <si>
    <t xml:space="preserve">STEAMBOAT SPRINGS</t>
  </si>
  <si>
    <t xml:space="preserve">Routt</t>
  </si>
  <si>
    <t xml:space="preserve">80477</t>
  </si>
  <si>
    <t xml:space="preserve">HAMPDEN INDUSTRIES LTD (1983; SIC 3542)</t>
  </si>
  <si>
    <t xml:space="preserve">HAMPDEN INDUSTRIES LTD (1983)</t>
  </si>
  <si>
    <t xml:space="preserve">S02727</t>
  </si>
  <si>
    <t xml:space="preserve">201 W 1ST</t>
  </si>
  <si>
    <t xml:space="preserve">AKRON</t>
  </si>
  <si>
    <t xml:space="preserve">Washington</t>
  </si>
  <si>
    <t xml:space="preserve">80720</t>
  </si>
  <si>
    <t xml:space="preserve">Chemicals; Fabricated metals; Industrial machinery; Transportation equipment</t>
  </si>
  <si>
    <t xml:space="preserve">1973;1990</t>
  </si>
  <si>
    <t xml:space="preserve">SPEED*O MACH CORPORATION (1973-1990; SIC 3469,3714,3523)</t>
  </si>
  <si>
    <t xml:space="preserve">SPEED*O MACH CORPORATION (1973)</t>
  </si>
  <si>
    <t xml:space="preserve">FAMILY DOLLAR #9112</t>
  </si>
  <si>
    <t xml:space="preserve">S00565</t>
  </si>
  <si>
    <t xml:space="preserve">427 2ND</t>
  </si>
  <si>
    <t xml:space="preserve">KERSEY</t>
  </si>
  <si>
    <t xml:space="preserve">Weld</t>
  </si>
  <si>
    <t xml:space="preserve">FREEMAN TRUCK 30DIES (1965; SIC 3713)</t>
  </si>
  <si>
    <t xml:space="preserve">FREEMAN TRUCK 30DIES (1965)</t>
  </si>
  <si>
    <t xml:space="preserve">TOWN OF KERSEY GRAIN ELEVATOR</t>
  </si>
  <si>
    <t xml:space="preserve">FARR BETTER FEEDS</t>
  </si>
  <si>
    <t xml:space="preserve">TOWN OF KERSEY TOWN HALL</t>
  </si>
  <si>
    <t xml:space="preserve">S01286</t>
  </si>
  <si>
    <t xml:space="preserve">600 OAK</t>
  </si>
  <si>
    <t xml:space="preserve">EATON</t>
  </si>
  <si>
    <t xml:space="preserve">80615</t>
  </si>
  <si>
    <t xml:space="preserve">Industrial machinery; Primary metals; Transportation equipment</t>
  </si>
  <si>
    <t xml:space="preserve">1966;1968;1977;1980;1983;1988;1990</t>
  </si>
  <si>
    <t xml:space="preserve">HYDRAULICS UNLIMITED MFG CO (1966-1990; SIC 3523) | OXPRAYES Sec co (1988; SIC 3523,3536)</t>
  </si>
  <si>
    <t xml:space="preserve">HYDRAULICS UNLIMITED MFG CO (1966) | OXPRAYES Sec co (1988)</t>
  </si>
  <si>
    <t xml:space="preserve">HARSH INTERNATIONAL (WAS HYDRAULICS UNL)</t>
  </si>
  <si>
    <t xml:space="preserve">S01296</t>
  </si>
  <si>
    <t xml:space="preserve">608 9TH ST</t>
  </si>
  <si>
    <t xml:space="preserve">GREELEY</t>
  </si>
  <si>
    <t xml:space="preserve">80630</t>
  </si>
  <si>
    <t xml:space="preserve">1968;1980</t>
  </si>
  <si>
    <t xml:space="preserve">GREELEY FEEC + BEAN CC (1968; SIC 2871,2097) | OYERCO FABRICATORS INC (1980; SIC 3499,3551,3443)</t>
  </si>
  <si>
    <t xml:space="preserve">SCHANK FEED CO (1966) | GREELEY FEEC + BEAN CC (1968) | SCHANK FEED CO (1968) | OYERCO FABRICATORS INC (1980)</t>
  </si>
  <si>
    <t xml:space="preserve">Unitog III</t>
  </si>
  <si>
    <t xml:space="preserve">JIMS AUTOMOTIVE MACHINE SHOP</t>
  </si>
  <si>
    <t xml:space="preserve">S01639</t>
  </si>
  <si>
    <t xml:space="preserve">825 19TH ST</t>
  </si>
  <si>
    <t xml:space="preserve">80631</t>
  </si>
  <si>
    <t xml:space="preserve">WSPAPERS. PUELISHINGs PRINTING BAKE RITE BAKERY (1967; SIC 2879,3599,3522)</t>
  </si>
  <si>
    <t xml:space="preserve">WSPAPERS. PUELISHINGs PRINTING BAKE RITE BAKERY (1967)</t>
  </si>
  <si>
    <t xml:space="preserve">UNIVERSITY OF NORTHERN COLORADO</t>
  </si>
  <si>
    <t xml:space="preserve">S02173</t>
  </si>
  <si>
    <t xml:space="preserve">216 W MAIN</t>
  </si>
  <si>
    <t xml:space="preserve">PIERCE</t>
  </si>
  <si>
    <t xml:space="preserve">80650</t>
  </si>
  <si>
    <t xml:space="preserve">1970;1973;1974;1977</t>
  </si>
  <si>
    <t xml:space="preserve">HAWKINS MEG CO (1970; SIC 3522,3423) | INS MFG INC (1973; SIC 3523,3423) | HAWKINS MFG INC (1974-1977; SIC 3523,3423,3799)</t>
  </si>
  <si>
    <t xml:space="preserve">HAWKINS MEG CO (1970) | INS MFG INC (1973) | HAWKINS MFG INC (1974)</t>
  </si>
  <si>
    <t xml:space="preserve">S02730</t>
  </si>
  <si>
    <t xml:space="preserve">317 13TH ST</t>
  </si>
  <si>
    <t xml:space="preserve">CHISHOLM NFG DEVELOPMENT CO (1973; SIC 3544,3591)</t>
  </si>
  <si>
    <t xml:space="preserve">CHISHOLM NFG DEVELOPMENT CO (1973) | CHISHOLM MFG CEVELOPMENT CO L A WALLING PUELR (1974) | GREELEY PLANING MILL (1983)</t>
  </si>
  <si>
    <t xml:space="preserve">S02732</t>
  </si>
  <si>
    <t xml:space="preserve">2401 2ND AVE</t>
  </si>
  <si>
    <t xml:space="preserve">1973;1983</t>
  </si>
  <si>
    <t xml:space="preserve">FARMHAND, INC (1973; SIC 3523,3079) | EISENMAN ENTERPRISES INC (1983; SIC 3448)</t>
  </si>
  <si>
    <t xml:space="preserve">FARMHAND, INC (1973) | EISENMAN ENTERPRISES INC (1983)</t>
  </si>
  <si>
    <t xml:space="preserve">QXO - BRANCH #0186 GREELEY</t>
  </si>
  <si>
    <t xml:space="preserve">S02735</t>
  </si>
  <si>
    <t xml:space="preserve">1720 BALSAM</t>
  </si>
  <si>
    <t xml:space="preserve"> (1973; SIC 2841)</t>
  </si>
  <si>
    <t xml:space="preserve"> (1973)</t>
  </si>
  <si>
    <t xml:space="preserve">METZ BAKING CO</t>
  </si>
  <si>
    <t xml:space="preserve">S02740</t>
  </si>
  <si>
    <t xml:space="preserve">113 MAIN</t>
  </si>
  <si>
    <t xml:space="preserve">LA SALLE</t>
  </si>
  <si>
    <t xml:space="preserve">80645</t>
  </si>
  <si>
    <t xml:space="preserve">1973;1983;1988;1990</t>
  </si>
  <si>
    <t xml:space="preserve">J + S PRODUCTS (1973; SIC 3591) | K E A MANUFACTURING CO (1983; SIC 3592,3469,3499) | K EA MFG CO (1988; SIC 3469,3592,3648) | KEA MANUFACTURING CO (1990; SIC 3469,3592,3648)</t>
  </si>
  <si>
    <t xml:space="preserve">J + S PRODUCTS (1973) | K E A MANUFACTURING CO (1983) | K EA MFG CO (1988) | LA SALLE LEADER (1988) | KEA MANUFACTURING CO (1990)</t>
  </si>
  <si>
    <t xml:space="preserve">LASALLE TOWN OF</t>
  </si>
  <si>
    <t xml:space="preserve">S03156</t>
  </si>
  <si>
    <t xml:space="preserve">1100 DENVER AVE</t>
  </si>
  <si>
    <t xml:space="preserve">FORT LUPTON</t>
  </si>
  <si>
    <t xml:space="preserve">80621</t>
  </si>
  <si>
    <t xml:space="preserve">ALASKAN CAMPERS-MIDWEST,» INC~ (1974-1977; SIC 3792)</t>
  </si>
  <si>
    <t xml:space="preserve">ALASKAN CAMPERS-MIDWEST,» INC~ (1974)</t>
  </si>
  <si>
    <t xml:space="preserve">FORT LUPTON PUBLIC WORKS</t>
  </si>
  <si>
    <t xml:space="preserve">S03160</t>
  </si>
  <si>
    <t xml:space="preserve">2015 2ND AVE</t>
  </si>
  <si>
    <t xml:space="preserve">1974;1977;1983</t>
  </si>
  <si>
    <t xml:space="preserve">ARCHITRONICS CO INC 2034 OEHYDRATED FRUITS, VEGETABLES, SOUPS (1974; SIC 3573,3576,3622) | ARCHITRONICS CO INC (1977-1983; SIC 3573,3576,3622)</t>
  </si>
  <si>
    <t xml:space="preserve">ARCHITRONICS CO INC 2034 OEHYDRATED FRUITS, VEGETABLES, SOUPS (1974) | ARCHITRONICS CO INC (1977) | FRONT RANGE GLASS (1983) | LITHOGRAPHIC KENDALL PRINTING CO (1988) | KENDALL PRINTING CO (1990)</t>
  </si>
  <si>
    <t xml:space="preserve">MONFORT PORTION FOODS</t>
  </si>
  <si>
    <t xml:space="preserve">QUALITY PAINT AND BODY INC</t>
  </si>
  <si>
    <t xml:space="preserve">S03162</t>
  </si>
  <si>
    <t xml:space="preserve">1001 D</t>
  </si>
  <si>
    <t xml:space="preserve">1974;1983</t>
  </si>
  <si>
    <t xml:space="preserve">LAURIDSEN + SCN WELDING + MEG (1974; SIC 3551,3561,3523) | M + R MFG WELDING + MACHINE INC (1983; SIC 3551,3561,3523)</t>
  </si>
  <si>
    <t xml:space="preserve">LAURIDSEN + SCN WELDING + MEG (1974) | M + R MFG WELDING + MACHINE INC (1983)</t>
  </si>
  <si>
    <t xml:space="preserve">SWIFT BEEF CO</t>
  </si>
  <si>
    <t xml:space="preserve">JOHNNIES PAINT &amp; BODY SHOP</t>
  </si>
  <si>
    <t xml:space="preserve">S04403</t>
  </si>
  <si>
    <t xml:space="preserve">2611 7TH AVE</t>
  </si>
  <si>
    <t xml:space="preserve">BEATTIE INC 0.8.4. HYLAND PET PRODUCTS (1980; SIC 3499,3496,2499)</t>
  </si>
  <si>
    <t xml:space="preserve">BEATTIE INC 0.8.4. HYLAND PET PRODUCTS (1980)</t>
  </si>
  <si>
    <t xml:space="preserve">SUNCOA SNACKS</t>
  </si>
  <si>
    <t xml:space="preserve">GREELEY RECYCLING CO</t>
  </si>
  <si>
    <t xml:space="preserve">S04418</t>
  </si>
  <si>
    <t xml:space="preserve">921 E 18TH ST</t>
  </si>
  <si>
    <t xml:space="preserve">TODO'S MACHINE + WELDING (1980; SIC 3599)</t>
  </si>
  <si>
    <t xml:space="preserve">TODO'S MACHINE + WELDING (1980)</t>
  </si>
  <si>
    <t xml:space="preserve">WARBONNET CONSTRUCTION</t>
  </si>
  <si>
    <t xml:space="preserve">S04425</t>
  </si>
  <si>
    <t xml:space="preserve">409 GOODRICH</t>
  </si>
  <si>
    <t xml:space="preserve">PLATTEVILLE</t>
  </si>
  <si>
    <t xml:space="preserve">80651</t>
  </si>
  <si>
    <t xml:space="preserve">HERREN-STRONG INC (1980; SIC 3496) | PLATTEVILLE COLORADO WIRE CLOTH (1988-1992; SIC 3496) | PLATTEVILLE &lt;x (1990; SIC 3496)</t>
  </si>
  <si>
    <t xml:space="preserve">HERREN-STRONG INC (1980) |  (1983) | PLATTEVILLE COLORADO WIRE CLOTH (1988) | PLATTEVILLE &lt;x (1990)</t>
  </si>
  <si>
    <t xml:space="preserve">S05259</t>
  </si>
  <si>
    <t xml:space="preserve">3714 CARSON</t>
  </si>
  <si>
    <t xml:space="preserve">EVANS</t>
  </si>
  <si>
    <t xml:space="preserve">80620</t>
  </si>
  <si>
    <t xml:space="preserve">ELECTRONIC FAB TECHNOLOGY CORP (1983; SIC 3679,3496)</t>
  </si>
  <si>
    <t xml:space="preserve">ELECTRONIC FAB TECHNOLOGY CORP (1983)</t>
  </si>
  <si>
    <t xml:space="preserve">ALL PRO AUTOBODY</t>
  </si>
  <si>
    <t xml:space="preserve">S05260</t>
  </si>
  <si>
    <t xml:space="preserve">615 11TH ST</t>
  </si>
  <si>
    <t xml:space="preserve">HO=AD INC (1983; SIC 3824,3443)</t>
  </si>
  <si>
    <t xml:space="preserve">HO=AD INC (1983)</t>
  </si>
  <si>
    <t xml:space="preserve">S05270</t>
  </si>
  <si>
    <t xml:space="preserve">1818 14TH ST</t>
  </si>
  <si>
    <t xml:space="preserve">HUITT ENGRAVING (1983; SIC 3479,3079,3993)</t>
  </si>
  <si>
    <t xml:space="preserve">HUITT ENGRAVING (1983)</t>
  </si>
  <si>
    <t xml:space="preserve">CENTRAL HIGH SCHOOL</t>
  </si>
  <si>
    <t xml:space="preserve">S05274</t>
  </si>
  <si>
    <t xml:space="preserve">1807 26TH ST</t>
  </si>
  <si>
    <t xml:space="preserve">SARGE*S ENGRAVING (1983-1988; SIC 3079,2753)</t>
  </si>
  <si>
    <t xml:space="preserve">SARGE*S ENGRAVING (1983)</t>
  </si>
  <si>
    <t xml:space="preserve">DOUGLAS C UYEMURA DDS</t>
  </si>
  <si>
    <t xml:space="preserve">S05277</t>
  </si>
  <si>
    <t xml:space="preserve">621 E 18TH ST</t>
  </si>
  <si>
    <t xml:space="preserve">TODD'S MACHINE + WELDING (1983; SIC 3599)</t>
  </si>
  <si>
    <t xml:space="preserve">TODD'S MACHINE + WELDING (1983)</t>
  </si>
  <si>
    <t xml:space="preserve">CREATIVE CULTURED MARBLE</t>
  </si>
  <si>
    <t xml:space="preserve">S05308</t>
  </si>
  <si>
    <t xml:space="preserve">705 2ND ST</t>
  </si>
  <si>
    <t xml:space="preserve">80613</t>
  </si>
  <si>
    <t xml:space="preserve">ASSOCIATED THERMOFORMING INC (1988; SIC 3499)</t>
  </si>
  <si>
    <t xml:space="preserve">ASSOCIATED THERMOFORMING INC (1988)</t>
  </si>
  <si>
    <t xml:space="preserve">UNITED PARCEL SERVICE, INC</t>
  </si>
  <si>
    <t xml:space="preserve">S05881</t>
  </si>
  <si>
    <t xml:space="preserve">6340 W 10TH ST</t>
  </si>
  <si>
    <t xml:space="preserve">80634</t>
  </si>
  <si>
    <t xml:space="preserve">BURROWS ENTERPRISES (1988-1990; SIC 3623,3861,3822) | DYERCO FABRICATORS (1988-1990; SIC 3441,3556) | ASSEMBLY-TECHNICO (1990; SIC 3679) | FISHER PUMPS INC (1990; SIC 3532,3523) | PUMA STEEL (1990; SIC 3441)</t>
  </si>
  <si>
    <t xml:space="preserve">BURROWS ENTERPRISES (1988) | DYERCO FABRICATORS (1988) | ASSEMBLY-TECHNICO (1990) | FISHER PUMPS INC (1990) | PUMA STEEL (1990)</t>
  </si>
  <si>
    <t xml:space="preserve">GREELEY CHEMICAL</t>
  </si>
  <si>
    <t xml:space="preserve">HI TECH AUTO BODY</t>
  </si>
  <si>
    <t xml:space="preserve">S05892</t>
  </si>
  <si>
    <t xml:space="preserve">1507 1ST AVE 6</t>
  </si>
  <si>
    <t xml:space="preserve">80632</t>
  </si>
  <si>
    <t xml:space="preserve">SUNDANCE D.B.A.-S BO (1988; SIC 3523) | SUNDANCE (1990; SIC 3523,3531)</t>
  </si>
  <si>
    <t xml:space="preserve">SUNDANCE D.B.A.-S BO (1988) | SUNDANCE (1990)</t>
  </si>
  <si>
    <t xml:space="preserve">LEPRINO FOODS COMPANY - GREELEY PLANT</t>
  </si>
  <si>
    <t xml:space="preserve">WELD COUNTY GARAGE BODY SHOP</t>
  </si>
  <si>
    <t xml:space="preserve">S06665</t>
  </si>
  <si>
    <t xml:space="preserve">6450 W 10TH ST NO M</t>
  </si>
  <si>
    <t xml:space="preserve">COLUMBINE CYCLE WORKS (1990; SIC 3751)</t>
  </si>
  <si>
    <t xml:space="preserve">COLUMBINE CYCLE WORKS (1990)</t>
  </si>
  <si>
    <t xml:space="preserve">S06670</t>
  </si>
  <si>
    <t xml:space="preserve">101 E 18TH ST</t>
  </si>
  <si>
    <t xml:space="preserve">HORST CO (1990; SIC 3496,3315)</t>
  </si>
  <si>
    <t xml:space="preserve">HORST CO (1990)</t>
  </si>
  <si>
    <t xml:space="preserve">S06673</t>
  </si>
  <si>
    <t xml:space="preserve">1531 4TH AVE</t>
  </si>
  <si>
    <t xml:space="preserve">DENNIS MORLANG + CO (1990; SIC 3441)</t>
  </si>
  <si>
    <t xml:space="preserve">DENNIS MORLANG + CO (1990)</t>
  </si>
  <si>
    <t xml:space="preserve">CRAFTSMAN DECORATING INC</t>
  </si>
  <si>
    <t xml:space="preserve">S02202</t>
  </si>
  <si>
    <t xml:space="preserve">5151 E 96TH AVE</t>
  </si>
  <si>
    <t xml:space="preserve">address_approx</t>
  </si>
  <si>
    <t xml:space="preserve">ELECTRIC POWER EQUIPMENT CC (1973; SIC 3613,3825,3566)</t>
  </si>
  <si>
    <t xml:space="preserve">ELECTRIC POWER EQUIPMENT CC (1973)</t>
  </si>
  <si>
    <t xml:space="preserve">S02206</t>
  </si>
  <si>
    <t xml:space="preserve">78 DAHLIA</t>
  </si>
  <si>
    <t xml:space="preserve">1973;1977</t>
  </si>
  <si>
    <t xml:space="preserve">KILGROE-ATCHISON (1973-1977; SIC 2951)</t>
  </si>
  <si>
    <t xml:space="preserve">KILGROE-ATCHISON (1973)</t>
  </si>
  <si>
    <t xml:space="preserve">S04443</t>
  </si>
  <si>
    <t xml:space="preserve">950 NIAGARA</t>
  </si>
  <si>
    <t xml:space="preserve">COM MACHINE + FABRICATION CORP (1983; SIC 3599)</t>
  </si>
  <si>
    <t xml:space="preserve">COM MACHINE + FABRICATION CORP (1983)</t>
  </si>
  <si>
    <t xml:space="preserve">S06175</t>
  </si>
  <si>
    <t xml:space="preserve">5650 NUCLA WAY</t>
  </si>
  <si>
    <t xml:space="preserve">D O WEAVER + CO (1990; SIC 2834)</t>
  </si>
  <si>
    <t xml:space="preserve">D O WEAVER + CO (1990)</t>
  </si>
  <si>
    <t xml:space="preserve">S07121</t>
  </si>
  <si>
    <t xml:space="preserve">225 W 118TH AVE</t>
  </si>
  <si>
    <t xml:space="preserve">80234</t>
  </si>
  <si>
    <t xml:space="preserve">CONTRACT MANUFACTURING INC (1992; SIC 3499,3599)</t>
  </si>
  <si>
    <t xml:space="preserve">CONTRACT MANUFACTURING INC (1992)</t>
  </si>
  <si>
    <t xml:space="preserve">S01342</t>
  </si>
  <si>
    <t xml:space="preserve">460 S CLAY ST</t>
  </si>
  <si>
    <t xml:space="preserve">DARTING, B J, CO (1967; SIC 3564,3479)</t>
  </si>
  <si>
    <t xml:space="preserve">DARTING, B J, CO (1967)</t>
  </si>
  <si>
    <t xml:space="preserve">S02250</t>
  </si>
  <si>
    <t xml:space="preserve">2522 HANOVER</t>
  </si>
  <si>
    <t xml:space="preserve">SUMMIT PRECISION, INC (1973; SIC 3599,3544)</t>
  </si>
  <si>
    <t xml:space="preserve">SUMMIT PRECISION, INC (1973)</t>
  </si>
  <si>
    <t xml:space="preserve">US FAA DENVER SECTOR FLD OFC 11</t>
  </si>
  <si>
    <t xml:space="preserve">S03175</t>
  </si>
  <si>
    <t xml:space="preserve">355 MOLINE</t>
  </si>
  <si>
    <t xml:space="preserve">DOW CHEMICAL USA EXTRUSION PLANT (1977; SIC 3356)</t>
  </si>
  <si>
    <t xml:space="preserve">DOW CHEMICAL USA EXTRUSION PLANT (1977)</t>
  </si>
  <si>
    <t xml:space="preserve">S03694</t>
  </si>
  <si>
    <t xml:space="preserve">919 W STANFORO AVE</t>
  </si>
  <si>
    <t xml:space="preserve">PLATTE REVER ASPHALT CO INC (1980; SIC 2951)</t>
  </si>
  <si>
    <t xml:space="preserve">PLATTE REVER ASPHALT CO INC (1980)</t>
  </si>
  <si>
    <t xml:space="preserve">S05294</t>
  </si>
  <si>
    <t xml:space="preserve">13193 B BETHANY PL</t>
  </si>
  <si>
    <t xml:space="preserve">NEWSLETTER (1988; SIC 2711,3494)</t>
  </si>
  <si>
    <t xml:space="preserve">NEWSLETTER (1988)</t>
  </si>
  <si>
    <t xml:space="preserve">S05302</t>
  </si>
  <si>
    <t xml:space="preserve">808 HAVANA ST</t>
  </si>
  <si>
    <t xml:space="preserve">DEBUG + COMPILRS UNCLE SAMS PRINTING (1988; SIC 2762,2800)</t>
  </si>
  <si>
    <t xml:space="preserve">DEBUG + COMPILRS UNCLE SAMS PRINTING (1988)</t>
  </si>
  <si>
    <t xml:space="preserve">FAMILY DOLLAR #9159</t>
  </si>
  <si>
    <t xml:space="preserve">S05718</t>
  </si>
  <si>
    <t xml:space="preserve">3937 5 LIPAN</t>
  </si>
  <si>
    <t xml:space="preserve">ALDERMAN TOOL+DIE (1988; SIC 3363,3544,3780)</t>
  </si>
  <si>
    <t xml:space="preserve">ALDERMAN TOOL+DIE (1988)</t>
  </si>
  <si>
    <t xml:space="preserve">S00645</t>
  </si>
  <si>
    <t xml:space="preserve">225 BENT AVE</t>
  </si>
  <si>
    <t xml:space="preserve">NELSON'S FEED STORE (1967-1968; SIC 2042,2041,2872)</t>
  </si>
  <si>
    <t xml:space="preserve">NELSON'S FEED STORE (1966)</t>
  </si>
  <si>
    <t xml:space="preserve">S00052</t>
  </si>
  <si>
    <t xml:space="preserve">817 1ST AVE</t>
  </si>
  <si>
    <t xml:space="preserve">FURRESTER'S ORNAMENTAL FOUNDRY (1965; SIC 3449)</t>
  </si>
  <si>
    <t xml:space="preserve">FURRESTER'S ORNAMENTAL FOUNDRY (1965)</t>
  </si>
  <si>
    <t xml:space="preserve">GT BICYCLES INC</t>
  </si>
  <si>
    <t xml:space="preserve">S00652</t>
  </si>
  <si>
    <t xml:space="preserve">2305 BROADWAY</t>
  </si>
  <si>
    <t xml:space="preserve">80306</t>
  </si>
  <si>
    <t xml:space="preserve">1966</t>
  </si>
  <si>
    <t xml:space="preserve">GARDNER*S CUSTOM FURNITURE .FACTORY (1966; SIC 2899)</t>
  </si>
  <si>
    <t xml:space="preserve">GARDNER*S CUSTOM FURNITURE .FACTORY (1966) | COTTINGHAM + WELLS INC (1977) | GOURMET DESSERTS INC (1980) | PALAOIN ENTERPRISES INC (1980) | PALADIN PRESS (1983) | CHAIRS + TOYS PALADIN PRESS (1988)</t>
  </si>
  <si>
    <t xml:space="preserve">inferred</t>
  </si>
  <si>
    <t xml:space="preserve">S00671</t>
  </si>
  <si>
    <t xml:space="preserve">810 BASELINE</t>
  </si>
  <si>
    <t xml:space="preserve">COLORADO MOLD + EDM INC (1983; SIC 3544,3599,3541)</t>
  </si>
  <si>
    <t xml:space="preserve">LAFAYETTE ELEVATOR + MILLING CO (1966) | COLORADO MOLD + EDM INC (1983) | PRODUCTS D.B.A.-LAFAYETTE ENGRAVING (1988)</t>
  </si>
  <si>
    <t xml:space="preserve">S02355</t>
  </si>
  <si>
    <t xml:space="preserve">944 PEAKL</t>
  </si>
  <si>
    <t xml:space="preserve">RENALOE CROCKETT + KELLY BIT + SPUR CO (1973; SIC 3199,3429)</t>
  </si>
  <si>
    <t xml:space="preserve">RENALOE CROCKETT + KELLY BIT + SPUR CO (1973)</t>
  </si>
  <si>
    <t xml:space="preserve">S02538</t>
  </si>
  <si>
    <t xml:space="preserve">2401 STEEL ORIVE</t>
  </si>
  <si>
    <t xml:space="preserve">80503</t>
  </si>
  <si>
    <t xml:space="preserve">A + P STEEL (1973; SIC 3441,3591)</t>
  </si>
  <si>
    <t xml:space="preserve">A + P STEEL (1973)</t>
  </si>
  <si>
    <t xml:space="preserve">S03736</t>
  </si>
  <si>
    <t xml:space="preserve">2907 95TH ST</t>
  </si>
  <si>
    <t xml:space="preserve">ASPEN COACH CORP (1980; SIC 3792)</t>
  </si>
  <si>
    <t xml:space="preserve">ASPEN COACH CORP (1980)</t>
  </si>
  <si>
    <t xml:space="preserve">S03815</t>
  </si>
  <si>
    <t xml:space="preserve">1254 SHERMAN OR</t>
  </si>
  <si>
    <t xml:space="preserve">HELIOS MANUFACTURING ¢ MACHINING CO (1980; SIC 3662,3599,3728) | TRE LNDUSTRIES INC (1980-1988; SIC 3599)</t>
  </si>
  <si>
    <t xml:space="preserve">HELIOS MANUFACTURING ¢ MACHINING CO (1980) | TRE LNDUSTRIES INC (1980) | EQUIPONSE BALANCING SERVICE (1992)</t>
  </si>
  <si>
    <t xml:space="preserve">ENGINE SHOP THE</t>
  </si>
  <si>
    <t xml:space="preserve">S04621</t>
  </si>
  <si>
    <t xml:space="preserve">5400 NE BROADWAY</t>
  </si>
  <si>
    <t xml:space="preserve">PHILLIPSs AL MACHINERY (1983; SIC 3535,3531)</t>
  </si>
  <si>
    <t xml:space="preserve">PHILLIPSs AL MACHINERY (1983)</t>
  </si>
  <si>
    <t xml:space="preserve">S04674</t>
  </si>
  <si>
    <t xml:space="preserve">1430 EMERY ST</t>
  </si>
  <si>
    <t xml:space="preserve">WESTCODYNE CORPORATION (1983; SIC 3841,3999,3559)</t>
  </si>
  <si>
    <t xml:space="preserve">WESTCODYNE CORPORATION (1983)</t>
  </si>
  <si>
    <t xml:space="preserve">S05330</t>
  </si>
  <si>
    <t xml:space="preserve">7353 BROCK WAY DR</t>
  </si>
  <si>
    <t xml:space="preserve">BRIMSTONE POTTERS (1988; SIC 3269,2975)</t>
  </si>
  <si>
    <t xml:space="preserve">BRIMSTONE POTTERS (1988)</t>
  </si>
  <si>
    <t xml:space="preserve">S05966</t>
  </si>
  <si>
    <t xml:space="preserve">1301 SUNSET</t>
  </si>
  <si>
    <t xml:space="preserve">CENTURY DATA SYSTEMS D.B.A.-PORD HIGGINS (1988; SIC 3577)</t>
  </si>
  <si>
    <t xml:space="preserve">CENTURY DATA SYSTEMS D.B.A.-PORD HIGGINS (1988)</t>
  </si>
  <si>
    <t xml:space="preserve">APPLEWOOD LIVING CENTER</t>
  </si>
  <si>
    <t xml:space="preserve">S05972</t>
  </si>
  <si>
    <t xml:space="preserve">1532 BOWEN ST</t>
  </si>
  <si>
    <t xml:space="preserve">HEFCO MACHINING (1990-1992; SIC 3542,3499)</t>
  </si>
  <si>
    <t xml:space="preserve">COPIERS HEFCO MACHINING (1988)</t>
  </si>
  <si>
    <t xml:space="preserve">S06754</t>
  </si>
  <si>
    <t xml:space="preserve">2129 DOGWOOD CR</t>
  </si>
  <si>
    <t xml:space="preserve">CEILING TECHNOLOGY INC (1990; SIC 2842) | CEIL-BRITE INC (1992; SIC 2842)</t>
  </si>
  <si>
    <t xml:space="preserve">CEILING TECHNOLOGY INC (1990) | CEIL-BRITE INC (1992)</t>
  </si>
  <si>
    <t xml:space="preserve">S06756</t>
  </si>
  <si>
    <t xml:space="preserve">511 N ADAMS</t>
  </si>
  <si>
    <t xml:space="preserve">CRYOCO INC (1990; SIC 3443,3679)</t>
  </si>
  <si>
    <t xml:space="preserve">CRYOCO INC (1990)</t>
  </si>
  <si>
    <t xml:space="preserve">S07094</t>
  </si>
  <si>
    <t xml:space="preserve">810 SHERMAN</t>
  </si>
  <si>
    <t xml:space="preserve">BYERS INDUSTRIES INC (1992; SIC 3544,3089,3469)</t>
  </si>
  <si>
    <t xml:space="preserve">BYERS INDUSTRIES INC (1992)</t>
  </si>
  <si>
    <t xml:space="preserve">S06915</t>
  </si>
  <si>
    <t xml:space="preserve">7245 JOHNSON W PRESIDENT 116M PI</t>
  </si>
  <si>
    <t xml:space="preserve">FRONT RANGE MACHINING INC (1992; SIC 3499)</t>
  </si>
  <si>
    <t xml:space="preserve">FRONT RANGE MACHINING INC (1992)</t>
  </si>
  <si>
    <t xml:space="preserve">S03826</t>
  </si>
  <si>
    <t xml:space="preserve">28395 CO RO 317</t>
  </si>
  <si>
    <t xml:space="preserve">BUENA VISTA</t>
  </si>
  <si>
    <t xml:space="preserve">81211</t>
  </si>
  <si>
    <t xml:space="preserve">BUENA VISTA DIE MOLD INC (1980; SIC 3544,3599)</t>
  </si>
  <si>
    <t xml:space="preserve">BUENA VISTA DIE MOLD INC (1980)</t>
  </si>
  <si>
    <t xml:space="preserve">S00105</t>
  </si>
  <si>
    <t xml:space="preserve">401 KALAMATH</t>
  </si>
  <si>
    <t xml:space="preserve">NIFTY NOVELTIES (1965; SIC 3559)</t>
  </si>
  <si>
    <t xml:space="preserve">ANDERSON SIGNS (1965) | NIFTY NOVELTIES (1965)</t>
  </si>
  <si>
    <t xml:space="preserve">345 Santa Fe Drive II</t>
  </si>
  <si>
    <t xml:space="preserve">RICKENBAUGH CADILLAC VOLVO</t>
  </si>
  <si>
    <t xml:space="preserve">S00114</t>
  </si>
  <si>
    <t xml:space="preserve">444 BANNOCK</t>
  </si>
  <si>
    <t xml:space="preserve">ATLAS HEATING AND AIR CCNDITICNING (1965; SIC 3444)</t>
  </si>
  <si>
    <t xml:space="preserve">ATLAS HEATING AND AIR CCNDITICNING (1965)</t>
  </si>
  <si>
    <t xml:space="preserve">Alameda Station Light Rail Transit Plaza</t>
  </si>
  <si>
    <t xml:space="preserve">CITY &amp; COUNTY - DENVER POLICE ADMIN BLDG</t>
  </si>
  <si>
    <t xml:space="preserve">S00124</t>
  </si>
  <si>
    <t xml:space="preserve">1200 13TH</t>
  </si>
  <si>
    <t xml:space="preserve">1970;1973;1974</t>
  </si>
  <si>
    <t xml:space="preserve"> (1970; SIC 3341) | NATIONAL SMELTING + REFINIAG CO (1973-1974; SIC 3341,3356)</t>
  </si>
  <si>
    <t xml:space="preserve">BORDEN*S CARLSON-FRINK CO. (1965) | CENTURY UPHOLSTERY CO. (1965) | NATIONAL SMELTING + REFINING CO. (1965) | CARLSON-FRINK CO (1967) |  (1970) | QUIK PRINT OF DENVER (1973) | RELA DESIGNS INC JAMES DEKAAN OWNER (1974)</t>
  </si>
  <si>
    <t xml:space="preserve">S00130</t>
  </si>
  <si>
    <t xml:space="preserve">421 W 4TH AVE</t>
  </si>
  <si>
    <t xml:space="preserve">GASSER MFG CO (1966; SIC 3449)</t>
  </si>
  <si>
    <t xml:space="preserve">BROWN'S FOOD PRODUCTS (1965) | GASSER MFG CO (1966) | LAKES INC (1990)</t>
  </si>
  <si>
    <t xml:space="preserve">EGAN PRINTING CO INC</t>
  </si>
  <si>
    <t xml:space="preserve">S00169</t>
  </si>
  <si>
    <t xml:space="preserve">745 DECATUR ST</t>
  </si>
  <si>
    <t xml:space="preserve">1965;1968;1974;1977;1980</t>
  </si>
  <si>
    <t xml:space="preserve">CUFFICY IRCN WORKS, INC. (1965-1980; SIC 3441)</t>
  </si>
  <si>
    <t xml:space="preserve">CUFFICY IRCN WORKS, INC. (1965)</t>
  </si>
  <si>
    <t xml:space="preserve">8TH AVENUE BROWNFIELDS PROJECT</t>
  </si>
  <si>
    <t xml:space="preserve">DENVER PUBLIC SCHOOLS  VEHICLE MAINT.</t>
  </si>
  <si>
    <t xml:space="preserve">S00208</t>
  </si>
  <si>
    <t xml:space="preserve">1157 10TH</t>
  </si>
  <si>
    <t xml:space="preserve">FACK ENGINEERING CC. (1965; SIC 3531)</t>
  </si>
  <si>
    <t xml:space="preserve">FACK ENGINEERING CC. (1965)</t>
  </si>
  <si>
    <t xml:space="preserve">WATER STREET CATALYTIC SITE</t>
  </si>
  <si>
    <t xml:space="preserve">UNIVERSITY OF COLORADO DENVER</t>
  </si>
  <si>
    <t xml:space="preserve">S00236</t>
  </si>
  <si>
    <t xml:space="preserve">2958 ZUNI ST</t>
  </si>
  <si>
    <t xml:space="preserve">1965;1968;1973;1974;1977</t>
  </si>
  <si>
    <t xml:space="preserve">KEENELO PRODUCTS CO (1965; SIC 2841) | WESTERN SHEET METAL WORKS (1965-1977; SIC 3444)</t>
  </si>
  <si>
    <t xml:space="preserve">KEENELO PRODUCTS CO (1965) | WESTERN SHEET METAL WORKS (1965) | DONAHUE, JOFN Je PRINTING CO (1968) | DESIGNERS DRAPERIES (1974) | UPHOLSTERY STYLISTS INC (1983)</t>
  </si>
  <si>
    <t xml:space="preserve">Lawyer Park</t>
  </si>
  <si>
    <t xml:space="preserve">METRO YOUTH EDUCATION CENTER</t>
  </si>
  <si>
    <t xml:space="preserve">S00259</t>
  </si>
  <si>
    <t xml:space="preserve">25 BRCADWAY</t>
  </si>
  <si>
    <t xml:space="preserve">DYNASTOR INC. (1974; SIC 3573)</t>
  </si>
  <si>
    <t xml:space="preserve">MARY ANNE BAKERIES (1965) | BERGS CANDY (1966) | GERGS CANDY (1967) | CeNER (1968) | DYNASTOR INC. (1974)</t>
  </si>
  <si>
    <t xml:space="preserve">VARSITY FORMAL WEAR</t>
  </si>
  <si>
    <t xml:space="preserve">S00294</t>
  </si>
  <si>
    <t xml:space="preserve">1335 S INCA</t>
  </si>
  <si>
    <t xml:space="preserve">OVER-LOWE CO INC (1966; SIC 3714)</t>
  </si>
  <si>
    <t xml:space="preserve">PIONEER FIXTURE CO. (1965) | OVER-LOWE CO INC (1966)</t>
  </si>
  <si>
    <t xml:space="preserve">S00360</t>
  </si>
  <si>
    <t xml:space="preserve">337 KALAMATH ST</t>
  </si>
  <si>
    <t xml:space="preserve">VERDECKBERG IRON + WIRE WORKS CC (1967; SIC 3446)</t>
  </si>
  <si>
    <t xml:space="preserve">VERDECKBERG IRON + WIRE WORKS CO (1965) | HOLLYWOOD VENETIAN BLIND CO (1967)</t>
  </si>
  <si>
    <t xml:space="preserve">ALERT POLISHING &amp; PLATING</t>
  </si>
  <si>
    <t xml:space="preserve">S01438</t>
  </si>
  <si>
    <t xml:space="preserve">1U GALAPAGO</t>
  </si>
  <si>
    <t xml:space="preserve">1965;1967;1968</t>
  </si>
  <si>
    <t xml:space="preserve">FREEMAN + FREEMAN, INC. (1965-1968; SIC 2842)</t>
  </si>
  <si>
    <t xml:space="preserve">FREEMAN + FREEMAN, INC. (1965)</t>
  </si>
  <si>
    <t xml:space="preserve">PSCO BARTERS LOT E</t>
  </si>
  <si>
    <t xml:space="preserve">S00721</t>
  </si>
  <si>
    <t xml:space="preserve">4665 E COLFAX</t>
  </si>
  <si>
    <t xml:space="preserve">ARTISTIC LAMP + SHADE STUDIO (1966; SIC 3585)</t>
  </si>
  <si>
    <t xml:space="preserve">ARTISTIC LAMP + SHADE STUDIO (1966)</t>
  </si>
  <si>
    <t xml:space="preserve">HAROLDS 66 SERVICE</t>
  </si>
  <si>
    <t xml:space="preserve">S00777</t>
  </si>
  <si>
    <t xml:space="preserve">1201 SPEER</t>
  </si>
  <si>
    <t xml:space="preserve">STUSKA ENGINEERING CO (1968; SIC 3821,3591,3544)</t>
  </si>
  <si>
    <t xml:space="preserve">COLUMBIA PRESS INC (1966) | STUSKA ENGINEERING CO (1968) | MOTOR REBUILDERS INC (1970) | CAPITOL ENGRAVING CC (1974) | CAPITOL ENGRAVING CO (1980) | PERSPECTIVE PRINTING + DESIGN (1980) | HARTLINE CO (1983) | DIRECTORIES HARTLINE CO (1988)</t>
  </si>
  <si>
    <t xml:space="preserve">TUCHAS ASSOCIATES</t>
  </si>
  <si>
    <t xml:space="preserve">S00790</t>
  </si>
  <si>
    <t xml:space="preserve">1525 18TH</t>
  </si>
  <si>
    <t xml:space="preserve">1966;1977</t>
  </si>
  <si>
    <t xml:space="preserve">CROCKETT + RENALDE SIT + spuR co (1966; SIC 3423) | RENALDE, CRICKETT + KELLY INC (1977; SIC 3429,2843)</t>
  </si>
  <si>
    <t xml:space="preserve">CROCKETT + RENALDE SIT + spuR co (1966) | RENALDE, CROCKETT + KELLY INC 2642 ENVELOPES (1970) | RENALDE, CROCKETT * KELLY INC 2649 CONVERTED PAPER PRODLCTS» NEC (1974) | RENALDE, CRICKETT + KELLY INC (1977)</t>
  </si>
  <si>
    <t xml:space="preserve">1709 Chestnut Place, LLC</t>
  </si>
  <si>
    <t xml:space="preserve">RTD 20TH ST - CONSTRUCTION PROJECT</t>
  </si>
  <si>
    <t xml:space="preserve">S00793</t>
  </si>
  <si>
    <t xml:space="preserve">1125 11TH ST</t>
  </si>
  <si>
    <t xml:space="preserve">CAPITOL ENGRAVING CC (1968; SIC 2793,3555)</t>
  </si>
  <si>
    <t xml:space="preserve">CUSTOM TAPE + LABEL CO (1966) | CAPITOL ENGRAVING CO (1967) | BUSH T M CO INC (1973) | S-T COLOR CORP (1973)</t>
  </si>
  <si>
    <t xml:space="preserve">S00795</t>
  </si>
  <si>
    <t xml:space="preserve">3816 DAHLIA ST</t>
  </si>
  <si>
    <t xml:space="preserve">CYCLO MANUFACTURING CC (1968; SIC 3541,3548,2086) | CYCLO MANUFACTURING CO (1973; SIC 2842,3549,2431)</t>
  </si>
  <si>
    <t xml:space="preserve">CYCLO MANUFACTURING CO (1966) | CYCLO MANUFACTURING CC (1968)</t>
  </si>
  <si>
    <t xml:space="preserve">S00812</t>
  </si>
  <si>
    <t xml:space="preserve">1360 12TH ST</t>
  </si>
  <si>
    <t xml:space="preserve">ESKIMO RADIATOR MFG CC (1968; SIC 3714)</t>
  </si>
  <si>
    <t xml:space="preserve">ESKIMO RADIATOK HFG Co (1966) | ESKIMO RADIATOR MFG CC (1968)</t>
  </si>
  <si>
    <t xml:space="preserve">ELITCH GARDENS</t>
  </si>
  <si>
    <t xml:space="preserve">S00813</t>
  </si>
  <si>
    <t xml:space="preserve">1227 E 17TH</t>
  </si>
  <si>
    <t xml:space="preserve">80218</t>
  </si>
  <si>
    <t xml:space="preserve">€ZE MOP CO G KELLEY PRES (1966; SIC 2899)</t>
  </si>
  <si>
    <t xml:space="preserve">€ZE MOP CO G KELLEY PRES (1966) | Eze moP CO (1973) |  (1974)</t>
  </si>
  <si>
    <t xml:space="preserve">1780 Marion St. NAD</t>
  </si>
  <si>
    <t xml:space="preserve">ROCHE BIOMEDICAL LAB INC</t>
  </si>
  <si>
    <t xml:space="preserve">S00814</t>
  </si>
  <si>
    <t xml:space="preserve">1318 22ND ST</t>
  </si>
  <si>
    <t xml:space="preserve">1966;1968;1970;1973</t>
  </si>
  <si>
    <t xml:space="preserve">FENKO CHEMICAL CO MISC FOOD PREPARATIONS (1966; SIC 2899) | FENKO CHEMICAL CO (1968-1973; SIC 2842,2791,2752)</t>
  </si>
  <si>
    <t xml:space="preserve">FENKO CHEMICAL CO MISC FOOD PREPARATIONS (1966) | FENKO CHEMICAL CO (1968)</t>
  </si>
  <si>
    <t xml:space="preserve">S00926</t>
  </si>
  <si>
    <t xml:space="preserve">748 S BROADWAY</t>
  </si>
  <si>
    <t xml:space="preserve">METER MASTER INSTRUMENT CORP (1966; SIC 3566)</t>
  </si>
  <si>
    <t xml:space="preserve">METER MASTER INSTRUMENT CORP (1966) | WESTERN PLYWCOC + CCOR, INC (1968) | ASPEN TROPHIES INC (1990)</t>
  </si>
  <si>
    <t xml:space="preserve">ECONO LUBE N TUNE #270</t>
  </si>
  <si>
    <t xml:space="preserve">S00927</t>
  </si>
  <si>
    <t xml:space="preserve">401 SANTA FE OR</t>
  </si>
  <si>
    <t xml:space="preserve">MICHAELSON'S ORIGINALS INC (1966; SIC 1035) | MILE HIGH EQUIPMENT CC (1968; SIC 3585)</t>
  </si>
  <si>
    <t xml:space="preserve">MICHAELSON'S ORIGINALS INC (1966) | MILE HIGH EQUIPMENT CC (1968) | RABSINSON BRICK ¢ TILE CO (1980)</t>
  </si>
  <si>
    <t xml:space="preserve">PLATTE RIVER ART SERVICES INC</t>
  </si>
  <si>
    <t xml:space="preserve">S00950</t>
  </si>
  <si>
    <t xml:space="preserve">3501 E 46TH AVE</t>
  </si>
  <si>
    <t xml:space="preserve">PETERSON, E Sy CO INC (1966; SIC 3441)</t>
  </si>
  <si>
    <t xml:space="preserve">PETERSON, E Sy CO INC (1966) | RECORD STOCKMAN INC (1966) | MEOC PRINTING CO (1968) | RECORD STOCKWAN INC 2652 SET-UP PAPERBOARD BOXES (1970) |  (1973) | COMMUNITY PUBLICATIONS CO (1974) | GUESTGUIDE PUBLISHERS INC (1974) | COLORADO GRAPHICS CO Core. '=1953 266-1177 (1977) | SENTINEL NEWSPAPERS (1980) | SENTINEL PUBLISHING CO (1990)</t>
  </si>
  <si>
    <t xml:space="preserve">MANNA PRO PRODUCTS LLC</t>
  </si>
  <si>
    <t xml:space="preserve">KLEIN, FRANK C. TRUCKING</t>
  </si>
  <si>
    <t xml:space="preserve">S01462</t>
  </si>
  <si>
    <t xml:space="preserve">860 VALLEJO</t>
  </si>
  <si>
    <t xml:space="preserve">METAL INDUSTRIES INC ALUMINUM SCREEN CIV (1967-1968; SIC 3442)</t>
  </si>
  <si>
    <t xml:space="preserve">METAL INDUSTRIES INC ALUMINUM SCREEN CIV (1967)</t>
  </si>
  <si>
    <t xml:space="preserve">LINCOLN PLATING CO</t>
  </si>
  <si>
    <t xml:space="preserve">TIMKEN MOTOR &amp; CRANE SERVICES LLC (WAZEE)</t>
  </si>
  <si>
    <t xml:space="preserve">S01504</t>
  </si>
  <si>
    <t xml:space="preserve">669 LARIMER</t>
  </si>
  <si>
    <t xml:space="preserve">PRECISICN FOLNGRIES INC (1967; SIC 3361)</t>
  </si>
  <si>
    <t xml:space="preserve">PRECISICN FOLNGRIES INC (1967) | RODS OUT OF THE WOODS (1988) | MARTIN SHEA CABINETS (1988)</t>
  </si>
  <si>
    <t xml:space="preserve">AURARIA HIGHER EDUCATION CENTER</t>
  </si>
  <si>
    <t xml:space="preserve">S01519</t>
  </si>
  <si>
    <t xml:space="preserve">1090 LIPAN ST</t>
  </si>
  <si>
    <t xml:space="preserve">CODE SIGN CORP OF DENVER (1973; SIC 3993,3079,2752)</t>
  </si>
  <si>
    <t xml:space="preserve">TERIFT-TAMMEN COMPANY (1967) | CODE SIGN CORP OF DENVER (1973)</t>
  </si>
  <si>
    <t xml:space="preserve">DPS GREENLEE</t>
  </si>
  <si>
    <t xml:space="preserve">S01699</t>
  </si>
  <si>
    <t xml:space="preserve">2232 LAWRENCE ST</t>
  </si>
  <si>
    <t xml:space="preserve">AMERICAN CANVAS CO . 2621 PLASTICS MATERIALS AND RESINS 2329 MEN*S AND BOYS* CLOTHING, NEC (1973; SIC 3079)</t>
  </si>
  <si>
    <t xml:space="preserve">AMERICAN CANVAS CO (1968) | AMERICAN CANVAS CO . 2621 PLASTICS MATERIALS AND RESINS 2329 MEN*S AND BOYS* CLOTHING, NEC (1973) | CAMP-LITE PROCUCTS INC (1974)</t>
  </si>
  <si>
    <t xml:space="preserve">S01708</t>
  </si>
  <si>
    <t xml:space="preserve">79 MEADE</t>
  </si>
  <si>
    <t xml:space="preserve">BARRIE TYPE SETTING (1968-1970; SIC 3555)</t>
  </si>
  <si>
    <t xml:space="preserve">BARRIE TYPE SETTING (1968)</t>
  </si>
  <si>
    <t xml:space="preserve">DENVER URBAN GARDENS AT THE BARNUM ORCHARD</t>
  </si>
  <si>
    <t xml:space="preserve">WEST FIRST AUTO BODY</t>
  </si>
  <si>
    <t xml:space="preserve">S01712</t>
  </si>
  <si>
    <t xml:space="preserve">1450 9TH ST 8204</t>
  </si>
  <si>
    <t xml:space="preserve">1968;1973;1980</t>
  </si>
  <si>
    <t xml:space="preserve">CHEMETRON CORP, NATIONAL CYLIANCER GAS CIV (1968; SIC 2813,3548) | CHEMETRON CORP, NATICNAL CYLINDER GAS DIV (1973; SIC 2813) | LIQUID AIR INC, INDUSTRIAL GASES OIV (1980; SIC 2813)</t>
  </si>
  <si>
    <t xml:space="preserve">CHEMETRON CORP, NATIONAL CYLIANCER GAS CIV (1968) | CHEMETRON CORP, NATICNAL CYLINDER GAS DIV (1973) | SKYLINE DINETTES 2293 PADDINGS AND UPHOLSTERY FILLING (1973) | SKYLINE DINETTES (1974) | LIQUID AIR INC, INDUSTRIAL GASES OIV (1980)</t>
  </si>
  <si>
    <t xml:space="preserve">Pepsi Center</t>
  </si>
  <si>
    <t xml:space="preserve">METROPOLITAN STATE UNIVERSITY OF DENVER</t>
  </si>
  <si>
    <t xml:space="preserve">S01777</t>
  </si>
  <si>
    <t xml:space="preserve">1360 NIAGARA</t>
  </si>
  <si>
    <t xml:space="preserve">MILC NAIL COSPETIC INC (1968-1970; SIC 2844)</t>
  </si>
  <si>
    <t xml:space="preserve">MILC NAIL COSPETIC INC (1968)</t>
  </si>
  <si>
    <t xml:space="preserve">ULC PLACE ELEMENTARY SCHOOL</t>
  </si>
  <si>
    <t xml:space="preserve">SAFEWAY STORE #2714</t>
  </si>
  <si>
    <t xml:space="preserve">S01783</t>
  </si>
  <si>
    <t xml:space="preserve">900 VALLEJO ST</t>
  </si>
  <si>
    <t xml:space="preserve">1968;1970;1974;1977</t>
  </si>
  <si>
    <t xml:space="preserve">PLASTIC SUPPLY + FABRICATICK CC (1968-1974; SIC 3079) | HOLLY ENGINEERING + MFG INC (1977; SIC 3544,3599)</t>
  </si>
  <si>
    <t xml:space="preserve">PLASTIC SUPPLY + FABRICATICK CC (1968) | HOLLY ENGINEERING + MFG INC (1977)</t>
  </si>
  <si>
    <t xml:space="preserve">ROBERT WAXMAN INC</t>
  </si>
  <si>
    <t xml:space="preserve">S01800</t>
  </si>
  <si>
    <t xml:space="preserve">511 BROADWAY</t>
  </si>
  <si>
    <t xml:space="preserve">SCHAEFER TENT + AWNING CC (1968-1970; SIC 2394,3444)</t>
  </si>
  <si>
    <t xml:space="preserve">SCHAEFER TENT + AWNING CC (1968)</t>
  </si>
  <si>
    <t xml:space="preserve">BROADWAY 460 LLC (VACANT PROPERTY)</t>
  </si>
  <si>
    <t xml:space="preserve">S01816</t>
  </si>
  <si>
    <t xml:space="preserve">744 NAVAJO</t>
  </si>
  <si>
    <t xml:space="preserve">STURDI MFG CC (1968; SIC 3582)</t>
  </si>
  <si>
    <t xml:space="preserve">STURDI MFG CC (1968)</t>
  </si>
  <si>
    <t xml:space="preserve">NEIMAN'S INDUSTRAIL RECYCLING</t>
  </si>
  <si>
    <t xml:space="preserve">S01823</t>
  </si>
  <si>
    <t xml:space="preserve">1120 10TH</t>
  </si>
  <si>
    <t xml:space="preserve">THELCO CCRP (1968; SIC 3533,3561,3566)</t>
  </si>
  <si>
    <t xml:space="preserve">THELCO CCRP (1968) | WESTERN PLASTI-TYPE CO (1968)</t>
  </si>
  <si>
    <t xml:space="preserve">S01968</t>
  </si>
  <si>
    <t xml:space="preserve">5600 FRANKLIN ST</t>
  </si>
  <si>
    <t xml:space="preserve">RACE COURT FERTILIZER (1970; SIC 2871)</t>
  </si>
  <si>
    <t xml:space="preserve">RACE COURT FERTILIZER (1970)</t>
  </si>
  <si>
    <t xml:space="preserve">IRON &amp; METALS INC</t>
  </si>
  <si>
    <t xml:space="preserve">KS JV LLC</t>
  </si>
  <si>
    <t xml:space="preserve">S02013</t>
  </si>
  <si>
    <t xml:space="preserve">2715 17TH</t>
  </si>
  <si>
    <t xml:space="preserve">DENVER BARREL + DRUM INC (1992; SIC 3412,3089,2655)</t>
  </si>
  <si>
    <t xml:space="preserve">DENVER BOOKBINDING CO (1970) | DENVER BARREL + DRUM INC (1992)</t>
  </si>
  <si>
    <t xml:space="preserve">S02030</t>
  </si>
  <si>
    <t xml:space="preserve">77 KNOX CT</t>
  </si>
  <si>
    <t xml:space="preserve">WALDRON'S SECURITY SYSTEMS (1992; SIC 3429,3792,3715)</t>
  </si>
  <si>
    <t xml:space="preserve">ILLY*S ORTHOPEDIC AND MOLDED SHOES (1970) | WALDRON'S SECURITY SYSTEMS (1992)</t>
  </si>
  <si>
    <t xml:space="preserve">S02032</t>
  </si>
  <si>
    <t xml:space="preserve">1175 SANTA FE OR</t>
  </si>
  <si>
    <t xml:space="preserve">LANA MFG CO (1970; SIC 3079,2341)</t>
  </si>
  <si>
    <t xml:space="preserve">LANA MFG CO (1970)</t>
  </si>
  <si>
    <t xml:space="preserve">S02068</t>
  </si>
  <si>
    <t xml:space="preserve">1201 24TH</t>
  </si>
  <si>
    <t xml:space="preserve">UNIVERSAL SPRINGS INC (1970; SIC 3493)</t>
  </si>
  <si>
    <t xml:space="preserve">UNIVERSAL SPRINGS INC (1970)</t>
  </si>
  <si>
    <t xml:space="preserve">S02401</t>
  </si>
  <si>
    <t xml:space="preserve">4640 LIPAN</t>
  </si>
  <si>
    <t xml:space="preserve">ATRWAY INC (1973-1974; SIC 3444)</t>
  </si>
  <si>
    <t xml:space="preserve">ATRWAY INC (1973)</t>
  </si>
  <si>
    <t xml:space="preserve">COORS DISTRIBUTING CO</t>
  </si>
  <si>
    <t xml:space="preserve">S02437</t>
  </si>
  <si>
    <t xml:space="preserve">1125 LIPAN</t>
  </si>
  <si>
    <t xml:space="preserve">O-C METAL PLATING + FOUNDRY WORKS (1973-1974; SIC 3361,3362,3471)</t>
  </si>
  <si>
    <t xml:space="preserve">O-C METAL PLATING + FOUNDRY WORKS (1973)</t>
  </si>
  <si>
    <t xml:space="preserve">S02443</t>
  </si>
  <si>
    <t xml:space="preserve">1249 BANNOCK ST</t>
  </si>
  <si>
    <t xml:space="preserve">DENVER MARKING PRODUCTS S J SKULAVIK OWAER (1973; SIC 3479,3953,2753)</t>
  </si>
  <si>
    <t xml:space="preserve">DENVER MARKING PRODUCTS S J SKULAVIK OWAER (1973) | MILLER MINEO MART INC (1983)</t>
  </si>
  <si>
    <t xml:space="preserve">S02465</t>
  </si>
  <si>
    <t xml:space="preserve">1132 SPEER BLVD</t>
  </si>
  <si>
    <t xml:space="preserve">JOBBERS SERVICE INC (1973-1974; SIC 3714)</t>
  </si>
  <si>
    <t xml:space="preserve">JOBBERS SERVICE INC (1973) | FORREST MOUNTAINEERING INC (1990)</t>
  </si>
  <si>
    <t xml:space="preserve">S02466</t>
  </si>
  <si>
    <t xml:space="preserve">23 SKALAMATH</t>
  </si>
  <si>
    <t xml:space="preserve">JCHNSON, J Ay + SON (1973; SIC 3444) | ALNSWCRTH AIR EQUIPMENT CO (1974; SIC 3563)</t>
  </si>
  <si>
    <t xml:space="preserve">JCHNSON, J Ay + SON (1973) | ALNSWCRTH AIR EQUIPMENT CO (1974)</t>
  </si>
  <si>
    <t xml:space="preserve">TG X-RAY LTD</t>
  </si>
  <si>
    <t xml:space="preserve">S02500</t>
  </si>
  <si>
    <t xml:space="preserve">1660 11TH ST</t>
  </si>
  <si>
    <t xml:space="preserve">RELIABLE SLING CO 3079 MISCELLANEOUS PLASTICS : (1973; SIC 3079)</t>
  </si>
  <si>
    <t xml:space="preserve">RELIABLE SLING CO 3079 MISCELLANEOUS PLASTICS : (1973) | PEP SO COMPANY (1974)</t>
  </si>
  <si>
    <t xml:space="preserve">Postal Parking Lot II</t>
  </si>
  <si>
    <t xml:space="preserve">S02506</t>
  </si>
  <si>
    <t xml:space="preserve">266 KNOX CT</t>
  </si>
  <si>
    <t xml:space="preserve">SANCHEZ, MOSES B., ORNAMENTAL IRON WORK (1973; SIC 3446)</t>
  </si>
  <si>
    <t xml:space="preserve">SANCHEZ, MOSES B., ORNAMENTAL IRON WORK (1973)</t>
  </si>
  <si>
    <t xml:space="preserve">Savio House</t>
  </si>
  <si>
    <t xml:space="preserve">RUN-NEL ELECTRIC CO</t>
  </si>
  <si>
    <t xml:space="preserve">S03895</t>
  </si>
  <si>
    <t xml:space="preserve">4199 ONEIDA ST</t>
  </si>
  <si>
    <t xml:space="preserve">DEARBORN PLASTICS, OV OF BEATRICE FOODS (1980; SIC 3039)</t>
  </si>
  <si>
    <t xml:space="preserve">DEARBORN PLASTICS, OV OF BEATRICE FOODS (1980)</t>
  </si>
  <si>
    <t xml:space="preserve">MHC KENWORTH</t>
  </si>
  <si>
    <t xml:space="preserve">S03926</t>
  </si>
  <si>
    <t xml:space="preserve">185 GARFIELD NO 7</t>
  </si>
  <si>
    <t xml:space="preserve">FRONTIER HOSE + COUPLINGS (1980; SIC 3041,3494,3568)</t>
  </si>
  <si>
    <t xml:space="preserve">FRONTIER HOSE + COUPLINGS (1980)</t>
  </si>
  <si>
    <t xml:space="preserve">MADISON STREET SURGERY CENTER </t>
  </si>
  <si>
    <t xml:space="preserve">S03985</t>
  </si>
  <si>
    <t xml:space="preserve">9075 COOK</t>
  </si>
  <si>
    <t xml:space="preserve">MIO WEST SPRING + ‘CHASES SERVICE LTD (1980; SIC 3493,3452)</t>
  </si>
  <si>
    <t xml:space="preserve">MIO WEST SPRING + ‘CHASES SERVICE LTD (1980)</t>
  </si>
  <si>
    <t xml:space="preserve">S04001</t>
  </si>
  <si>
    <t xml:space="preserve">105 HOLLY ST</t>
  </si>
  <si>
    <t xml:space="preserve">POLYCRAFT CORP (1980; SIC 3079)</t>
  </si>
  <si>
    <t xml:space="preserve">POLYCRAFT CORP (1980)</t>
  </si>
  <si>
    <t xml:space="preserve">DPS CARSON</t>
  </si>
  <si>
    <t xml:space="preserve">S04046</t>
  </si>
  <si>
    <t xml:space="preserve">601 OGDEN</t>
  </si>
  <si>
    <t xml:space="preserve">THOMAS-STUART INC (1980-1990; SIC 3559)</t>
  </si>
  <si>
    <t xml:space="preserve">THOMAS-STUART INC (1980)</t>
  </si>
  <si>
    <t xml:space="preserve">Hanneck Cleaners</t>
  </si>
  <si>
    <t xml:space="preserve">S04518</t>
  </si>
  <si>
    <t xml:space="preserve">2050 PECOS</t>
  </si>
  <si>
    <t xml:space="preserve">AUTOMATICS LIMITED (1983; SIC 3451,3444,3479)</t>
  </si>
  <si>
    <t xml:space="preserve">AUTOMATICS LIMITED (1983)</t>
  </si>
  <si>
    <t xml:space="preserve">S04702</t>
  </si>
  <si>
    <t xml:space="preserve">040 FOX ST</t>
  </si>
  <si>
    <t xml:space="preserve">ALLIED PHOTO-PLATE (1983; SIC 2753,2793,2791) | KARL W SCHMIDT + ASSOCIATES INC (1992; SIC 3535,3559)</t>
  </si>
  <si>
    <t xml:space="preserve">ALLIED PHOTO-PLATE (1983) | KARL W SCHMIDT + ASSOCIATES INC (1992)</t>
  </si>
  <si>
    <t xml:space="preserve">S04705</t>
  </si>
  <si>
    <t xml:space="preserve">744 SANTA FE OR</t>
  </si>
  <si>
    <t xml:space="preserve">AMERICAN PLAQUE + LAMINATING COMPANY (1983; SIC 3999,3079,3444)</t>
  </si>
  <si>
    <t xml:space="preserve">AMERICAN PLAQUE + LAMINATING COMPANY (1983) | SECURITY DOORS DORF STONEWARE (1988) | DORF STONEWARE (1990)</t>
  </si>
  <si>
    <t xml:space="preserve">DENVER LAUNDRY &amp; DRY CLEANING CO</t>
  </si>
  <si>
    <t xml:space="preserve">S04734</t>
  </si>
  <si>
    <t xml:space="preserve">1115 LINCOLN ST</t>
  </si>
  <si>
    <t xml:space="preserve">COLORADO BADGE + TROPHY COs THE (1983-1990; SIC 2399,3499,2754)</t>
  </si>
  <si>
    <t xml:space="preserve">COLORADO BADGE + TROPHY COs THE (1983)</t>
  </si>
  <si>
    <t xml:space="preserve">BRITE-LINE TECHNOLOGIES</t>
  </si>
  <si>
    <t xml:space="preserve">KMAS</t>
  </si>
  <si>
    <t xml:space="preserve">S04825</t>
  </si>
  <si>
    <t xml:space="preserve">820 LIPAN</t>
  </si>
  <si>
    <t xml:space="preserve">RAINS-FLO MANUFACTURING INC (1992; SIC 2819,3053,3569)</t>
  </si>
  <si>
    <t xml:space="preserve">RAINS*FLD MFG CO (1983)</t>
  </si>
  <si>
    <t xml:space="preserve">B &amp; R SCREEN GRAPHICS</t>
  </si>
  <si>
    <t xml:space="preserve">S04857</t>
  </si>
  <si>
    <t xml:space="preserve">772 SANTA FE OR</t>
  </si>
  <si>
    <t xml:space="preserve">TOUCHSTONE INC (1983; SIC 3964,3496,3469) | AMERICAN PLAQUE + LAMINATING CO (1990-1992; SIC 3479,2672,2396) | MELONE MANUFACTURING (1990; SIC 3089,3999)</t>
  </si>
  <si>
    <t xml:space="preserve">TOUCHSTONE INC (1983) | AMERICAN PLAQUE + LAMINATING CO (1990) | MELONE MANUFACTURING (1990)</t>
  </si>
  <si>
    <t xml:space="preserve">S04858</t>
  </si>
  <si>
    <t xml:space="preserve">9444 GARFIELD</t>
  </si>
  <si>
    <t xml:space="preserve">TRANSMISSION PARTS CO (1983; SIC 3714)</t>
  </si>
  <si>
    <t xml:space="preserve">TRANSMISSION PARTS CO (1983)</t>
  </si>
  <si>
    <t xml:space="preserve">S04871</t>
  </si>
  <si>
    <t xml:space="preserve">355 MONACO</t>
  </si>
  <si>
    <t xml:space="preserve">WESTERN MEDIA PRODUCTS INC (1983; SIC 3573)</t>
  </si>
  <si>
    <t xml:space="preserve">WESTERN MEDIA PRODUCTS INC (1983)</t>
  </si>
  <si>
    <t xml:space="preserve">S04880</t>
  </si>
  <si>
    <t xml:space="preserve">2315 EUDORA</t>
  </si>
  <si>
    <t xml:space="preserve">1983;1988;1992</t>
  </si>
  <si>
    <t xml:space="preserve">YARTER-TEK CORPORATION (1983-1992; SIC 3843,3999,3533) | YARTER-TEK CORP D.B.A.-SILVER TEK (1988; SIC 3533,3843,3999)</t>
  </si>
  <si>
    <t xml:space="preserve">YARTER-TEK CORPORATION (1983) | YARTER-TEK CORP D.B.A.-SILVER TEK (1988)</t>
  </si>
  <si>
    <t xml:space="preserve">US EPA CLEANUP DAHLIA OFFSITE R1/FS CP</t>
  </si>
  <si>
    <t xml:space="preserve">S05543</t>
  </si>
  <si>
    <t xml:space="preserve">8304 TENNYSON</t>
  </si>
  <si>
    <t xml:space="preserve">ALL WELD SPECIALTIES INC (1988; SIC 3441,3446,3899)</t>
  </si>
  <si>
    <t xml:space="preserve">ALL WELD SPECIALTIES INC (1988)</t>
  </si>
  <si>
    <t xml:space="preserve">S05590</t>
  </si>
  <si>
    <t xml:space="preserve">507 COLORADO BLVD</t>
  </si>
  <si>
    <t xml:space="preserve">DUR-O-WAL INC, COLORADO (1988; SIC 3496)</t>
  </si>
  <si>
    <t xml:space="preserve">DUR-O-WAL INC, COLORADO (1988)</t>
  </si>
  <si>
    <t xml:space="preserve">S05605</t>
  </si>
  <si>
    <t xml:space="preserve">1301 CHEROKEE</t>
  </si>
  <si>
    <t xml:space="preserve">GREENLAWN SPRINKLER (1988; SIC 3432)</t>
  </si>
  <si>
    <t xml:space="preserve">GREENLAWN SPRINKLER (1988)</t>
  </si>
  <si>
    <t xml:space="preserve">DENVER FIREWORKS DISPOSAL</t>
  </si>
  <si>
    <t xml:space="preserve">APEX AUTO BODY LTD</t>
  </si>
  <si>
    <t xml:space="preserve">S05607</t>
  </si>
  <si>
    <t xml:space="preserve">9353 FRANKLIN</t>
  </si>
  <si>
    <t xml:space="preserve">ELECTRICITY HAUSMAN STEEL CORP (1988; SIC 3449)</t>
  </si>
  <si>
    <t xml:space="preserve">ELECTRICITY HAUSMAN STEEL CORP (1988)</t>
  </si>
  <si>
    <t xml:space="preserve">S06441</t>
  </si>
  <si>
    <t xml:space="preserve">775 MARIPOSA</t>
  </si>
  <si>
    <t xml:space="preserve">N S_LYNN + ASSOCIATES INC (1990; SIC 3691,3532,3443)</t>
  </si>
  <si>
    <t xml:space="preserve">N S_LYNN + ASSOCIATES INC (1990)</t>
  </si>
  <si>
    <t xml:space="preserve">S03354</t>
  </si>
  <si>
    <t xml:space="preserve">7800 MOORE RD</t>
  </si>
  <si>
    <t xml:space="preserve">LOUVIERS</t>
  </si>
  <si>
    <t xml:space="preserve">80131</t>
  </si>
  <si>
    <t xml:space="preserve">ENSIGN BICKFORD CI (1977-1980; SIC 2892)</t>
  </si>
  <si>
    <t xml:space="preserve">ENSIGN BICKFORD CI (1977)</t>
  </si>
  <si>
    <t xml:space="preserve">S04074</t>
  </si>
  <si>
    <t xml:space="preserve">11593 STAGE COACH DR</t>
  </si>
  <si>
    <t xml:space="preserve">POWER ASSIST COMPANY INC (1980; SIC 2861,2869,2899)</t>
  </si>
  <si>
    <t xml:space="preserve">POWER ASSIST COMPANY INC (1980)</t>
  </si>
  <si>
    <t xml:space="preserve">S07084</t>
  </si>
  <si>
    <t xml:space="preserve">9973 TITAN CT</t>
  </si>
  <si>
    <t xml:space="preserve">80125</t>
  </si>
  <si>
    <t xml:space="preserve">BARON HIGH-TECH PRECISION MFG CO (1992; SIC 3499)</t>
  </si>
  <si>
    <t xml:space="preserve">BARON HIGH-TECH PRECISION MFG CO (1992)</t>
  </si>
  <si>
    <t xml:space="preserve">SHATTUCK CHEMICAL COMPANY</t>
  </si>
  <si>
    <t xml:space="preserve">ZIMKOR INDUSTRIES INCORPORATED</t>
  </si>
  <si>
    <t xml:space="preserve">EXECUTIVE RECYCLING INC</t>
  </si>
  <si>
    <t xml:space="preserve">S01556</t>
  </si>
  <si>
    <t xml:space="preserve">707 PROSPECT PL</t>
  </si>
  <si>
    <t xml:space="preserve">HUNT'S WCOD SHED (1968; SIC 3429)</t>
  </si>
  <si>
    <t xml:space="preserve">HUNT'S WOOD SKED HARDY PUBLISHING CO, INC 3273 READY MIXED CONCRETE (1967) | HUNT'S WCOD SHED (1968)</t>
  </si>
  <si>
    <t xml:space="preserve">S02104</t>
  </si>
  <si>
    <t xml:space="preserve">720 GARDEN OF GOODS RD</t>
  </si>
  <si>
    <t xml:space="preserve">1970;1973;1974;1980;1983</t>
  </si>
  <si>
    <t xml:space="preserve">PIKE TOGL # GRINDING, LINC (1970-1973; SIC 3591,3544) | RBM PRECISION METAL PRODUCTS, INC (1970-1983; SIC 3444) | 59€-7S1C (1974; SIC 3444) | R 8 M PRECISION METAL ARODUCTS, INC (1980; SIC 3444,3599)</t>
  </si>
  <si>
    <t xml:space="preserve">PIKE TOGL # GRINDING, LINC (1970) | RBM PRECISION METAL PRODUCTS, INC (1970) | 59€-7S1C (1974) | R 8 M PRECISION METAL ARODUCTS, INC (1980)</t>
  </si>
  <si>
    <t xml:space="preserve">S02556</t>
  </si>
  <si>
    <t xml:space="preserve">750 GARDEN OF GODS RD</t>
  </si>
  <si>
    <t xml:space="preserve">1973;1977;1980;1983</t>
  </si>
  <si>
    <t xml:space="preserve">HARLOFF MANUFACTURING CO (1973-1983; SIC 2393,3589,3537)</t>
  </si>
  <si>
    <t xml:space="preserve">HARLOFF MANUFACTURING CO (1973)</t>
  </si>
  <si>
    <t xml:space="preserve">S04098</t>
  </si>
  <si>
    <t xml:space="preserve">140 E GARDEN O GODS</t>
  </si>
  <si>
    <t xml:space="preserve">80933</t>
  </si>
  <si>
    <t xml:space="preserve">ENVIRONMENTAL APPLIED SCIENCES (1980; SIC 3564)</t>
  </si>
  <si>
    <t xml:space="preserve">ENVIRONMENTAL APPLIED SCIENCES (1980)</t>
  </si>
  <si>
    <t xml:space="preserve">S04139</t>
  </si>
  <si>
    <t xml:space="preserve">901 SYNTHES BLVD 60232</t>
  </si>
  <si>
    <t xml:space="preserve">MONUMENT</t>
  </si>
  <si>
    <t xml:space="preserve">80800</t>
  </si>
  <si>
    <t xml:space="preserve">VALERON CORP (1980; SIC 3399,3545) | VALFORMs A DIVISION OF THE VALRON CORP. (1983; SIC 3399,3545) | VALFORM D.B.A.G TE VALERON CORP (1988; SIC 3399,3545) | VALFORM (1990; SIC 3399,3545)</t>
  </si>
  <si>
    <t xml:space="preserve">VALERON CORP (1980) | VALFORMs A DIVISION OF THE VALRON CORP. (1983) | VALFORM D.B.A.G TE VALERON CORP (1988) | VALFORM (1990)</t>
  </si>
  <si>
    <t xml:space="preserve">S05443</t>
  </si>
  <si>
    <t xml:space="preserve">301 ROCKRIMMON BVD 5</t>
  </si>
  <si>
    <t xml:space="preserve">80919</t>
  </si>
  <si>
    <t xml:space="preserve">DIGITAL EQUIPMENT CORP (1988-1990; SIC 3577)</t>
  </si>
  <si>
    <t xml:space="preserve">DIGITAL EQUIPMENT CORP (1988)</t>
  </si>
  <si>
    <t xml:space="preserve">COUTURES FABRIC CARE</t>
  </si>
  <si>
    <t xml:space="preserve">S05467</t>
  </si>
  <si>
    <t xml:space="preserve">1080 B VALLEY</t>
  </si>
  <si>
    <t xml:space="preserve">MESA POWER SYSTEMS (1988-1990; SIC 3599)</t>
  </si>
  <si>
    <t xml:space="preserve">MESA POWER SYSTEMS (1988)</t>
  </si>
  <si>
    <t xml:space="preserve">S05495</t>
  </si>
  <si>
    <t xml:space="preserve">1110 A ELKTON DR</t>
  </si>
  <si>
    <t xml:space="preserve">SPECTRASCAN INC (1988-1992; SIC 3571,3628,3663)</t>
  </si>
  <si>
    <t xml:space="preserve">SPECTRASCAN INC (1988)</t>
  </si>
  <si>
    <t xml:space="preserve">S06030</t>
  </si>
  <si>
    <t xml:space="preserve">530 E 8TH ST</t>
  </si>
  <si>
    <t xml:space="preserve">80132</t>
  </si>
  <si>
    <t xml:space="preserve">ULTIMATE ENGINEERING (1988-1992; SIC 3599)</t>
  </si>
  <si>
    <t xml:space="preserve">ULTIMATE ENGINEERING (1988)</t>
  </si>
  <si>
    <t xml:space="preserve">S03044</t>
  </si>
  <si>
    <t xml:space="preserve">401 MAIN</t>
  </si>
  <si>
    <t xml:space="preserve">SILT</t>
  </si>
  <si>
    <t xml:space="preserve">81652</t>
  </si>
  <si>
    <t xml:space="preserve">INSULSHUTTERs INC (1983; SIC 3442)</t>
  </si>
  <si>
    <t xml:space="preserve">DESIGN HOMES OF SILT CCLO INC (1974) | INSULSHUTTERs INC (1983) | SILT AUDIO ENCLOSURES INC (1988)</t>
  </si>
  <si>
    <t xml:space="preserve">S05847</t>
  </si>
  <si>
    <t xml:space="preserve">671 MEADOW RD</t>
  </si>
  <si>
    <t xml:space="preserve">GRANBY</t>
  </si>
  <si>
    <t xml:space="preserve">Grand</t>
  </si>
  <si>
    <t xml:space="preserve">80446</t>
  </si>
  <si>
    <t xml:space="preserve">GRANBY CERTIFIED REDDI MIX (1988-1990; SIC 2951)</t>
  </si>
  <si>
    <t xml:space="preserve">GRANBY CERTIFIED REDDI MIX (1988)</t>
  </si>
  <si>
    <t xml:space="preserve">S03413</t>
  </si>
  <si>
    <t xml:space="preserve">30 SENECA RIAD</t>
  </si>
  <si>
    <t xml:space="preserve">RON GLO INDUSTRIES INC (1977; SIC 3423)</t>
  </si>
  <si>
    <t xml:space="preserve">RON GLO INDUSTRIES INC (1977)</t>
  </si>
  <si>
    <t xml:space="preserve">S01082</t>
  </si>
  <si>
    <t xml:space="preserve">205 W 4TH</t>
  </si>
  <si>
    <t xml:space="preserve">WALSENBURG CREAMERY 3591 MACHINE SHOPS, JOBBING ANC REPAIR (1968; SIC 3599)</t>
  </si>
  <si>
    <t xml:space="preserve">WALSENBURG CREAMERY (1966) | WALSENBURG CREAMERY 3591 MACHINE SHOPS, JOBBING ANC REPAIR (1968)</t>
  </si>
  <si>
    <t xml:space="preserve">STEFFANI PROPERTY</t>
  </si>
  <si>
    <t xml:space="preserve">S00828</t>
  </si>
  <si>
    <t xml:space="preserve">1908 HARLAN</t>
  </si>
  <si>
    <t xml:space="preserve">GLAZIER, RUY, IRON + BODY SHOP (1966-1968; SIC 3599)</t>
  </si>
  <si>
    <t xml:space="preserve">GLAZIER, RUY, IRON + BODY SHOP (1966) | GLAZIER, ROY, IRON * BODY SHOP 3585 REFRIG MACHINERY EXCEPT HOUSEHOLD (1970)</t>
  </si>
  <si>
    <t xml:space="preserve">EDGEWATER HIGHLANDER CTR</t>
  </si>
  <si>
    <t xml:space="preserve">S01101</t>
  </si>
  <si>
    <t xml:space="preserve">1190 WELCH</t>
  </si>
  <si>
    <t xml:space="preserve">DUBOIS GUN + TOOL (1966-1968; SIC 3599) | OuBOIS TOOL + DIE (1973; SIC 3544,3591)</t>
  </si>
  <si>
    <t xml:space="preserve">DUBOIS GUN + TOOL (1966) | OuBOIS TOOL + DIE (1973)</t>
  </si>
  <si>
    <t xml:space="preserve">S01110</t>
  </si>
  <si>
    <t xml:space="preserve">1160 HARLAN</t>
  </si>
  <si>
    <t xml:space="preserve">1966;1968;1973;1974;1977;1980;1983;1988;1990;1992</t>
  </si>
  <si>
    <t xml:space="preserve">MC DONALO ORNAMENTAL IRON (1966-1968; SIC 3441) | JET PRECISION INC (1968; SIC 3461,3444) | TWELFTH DIMENSION MFG CORP (1973; SIC 3751) | QUALITY MFG + SUPPLY CO (1974-1983; SIC 3494) | MC DONALD ORNAMENTAL TRON (1974; SIC 3449) | PUBLISHING (1977; SIC 3449) | a 40 SERVICE Co (1980-1992; SIC 3442,3446)</t>
  </si>
  <si>
    <t xml:space="preserve">GENERAL COMMERICAL CORP (1966) | MC DONALO ORNAMENTAL IRON (1966) | JET PRECISION INC (1968) | TWELFTH DIMENSION MFG CORP (1973) | QUALITY MFG + SUPPLY CO (1974) | MC DONALD ORNAMENTAL TRON (1974) | PUBLISHING (1977) | a 40 SERVICE Co (1980) | NEWSLETTERS, ENV SCANDIA CABINETRY (1988) | SCANDIA CABINETRY (1990)</t>
  </si>
  <si>
    <t xml:space="preserve">S01124</t>
  </si>
  <si>
    <t xml:space="preserve">1401 SAULSBURY</t>
  </si>
  <si>
    <t xml:space="preserve">BLACKLINE ASPHALT SALES OF COLO INC (1966-1968; SIC 2951)</t>
  </si>
  <si>
    <t xml:space="preserve">BLACKLINE ASPHALT SALES OF COLO INC (1966)</t>
  </si>
  <si>
    <t xml:space="preserve">HOME DEPOT STORE #1550</t>
  </si>
  <si>
    <t xml:space="preserve">S01562</t>
  </si>
  <si>
    <t xml:space="preserve">9570 HARLAN</t>
  </si>
  <si>
    <t xml:space="preserve">MOUNTAIN PLASTICS CO D A KESLER PRES (1967; SIC 3079)</t>
  </si>
  <si>
    <t xml:space="preserve">MOUNTAIN PLASTICS CO D A KESLER PRES (1967)</t>
  </si>
  <si>
    <t xml:space="preserve">S01579</t>
  </si>
  <si>
    <t xml:space="preserve">230 JAY</t>
  </si>
  <si>
    <t xml:space="preserve"> (1967; SIC 3444) | LAKEWOOD HEATING + SHEET METAL (1968; SIC 3444,3299,3993)</t>
  </si>
  <si>
    <t xml:space="preserve"> (1967) | LAKEWOOD HEATING + SHEET METAL (1968)</t>
  </si>
  <si>
    <t xml:space="preserve">MAPLETON CARE CENTER</t>
  </si>
  <si>
    <t xml:space="preserve">S01644</t>
  </si>
  <si>
    <t xml:space="preserve">4783 W 98TH AVE</t>
  </si>
  <si>
    <t xml:space="preserve">PATTERN LABORATORIES (1968-1970; SIC 3544) | EMDUSTRIAL CHEMICALS CORP (1980; SIC 2843,2851,2812)</t>
  </si>
  <si>
    <t xml:space="preserve">PATTERN LABORATORIES (1968) | EMDUSTRIAL CHEMICALS CORP (1980)</t>
  </si>
  <si>
    <t xml:space="preserve">S02611</t>
  </si>
  <si>
    <t xml:space="preserve">1530 DOVER ST</t>
  </si>
  <si>
    <t xml:space="preserve">SAFETY SERVICE + SUPPLY CORP (1973; SIC 3429,3842)</t>
  </si>
  <si>
    <t xml:space="preserve">SAFETY SERVICE + SUPPLY CORP (1973)</t>
  </si>
  <si>
    <t xml:space="preserve">PRESTIGE PORSHE AUDI INCORPORATED</t>
  </si>
  <si>
    <t xml:space="preserve">S02624</t>
  </si>
  <si>
    <t xml:space="preserve">7515 W 17TH AVE</t>
  </si>
  <si>
    <t xml:space="preserve">SMITH, PAUL Ay LAB (1973; SIC 2831)</t>
  </si>
  <si>
    <t xml:space="preserve">SMITH, PAUL Ay LAB (1973) | LINEAR MUSIC PUBLICATIONS (1980)</t>
  </si>
  <si>
    <t xml:space="preserve">LANCER APARTMENTS</t>
  </si>
  <si>
    <t xml:space="preserve">S03056</t>
  </si>
  <si>
    <t xml:space="preserve">6735 W 98TH PL</t>
  </si>
  <si>
    <t xml:space="preserve">WHETE RIVER WOOD STOVE CG (1980; SIC 3433)</t>
  </si>
  <si>
    <t xml:space="preserve">CULO-MART INDUSTRIES INC (1974) | GIANT OAK INDUSTRIES INC (1974) | WHETE RIVER WOOD STOVE CG (1980)</t>
  </si>
  <si>
    <t xml:space="preserve">S03072</t>
  </si>
  <si>
    <t xml:space="preserve">622 GARDENIA CT</t>
  </si>
  <si>
    <t xml:space="preserve">APPLIED COMPUTER SYSTEMS INC (1980-1983; SIC 3573) | SPECTRUM-TECHNIQUES INC (1980; SIC 3573,3812)</t>
  </si>
  <si>
    <t xml:space="preserve">SPECTRUM-TECHNIQUES INC (1974) | APPLIED COMPUTER SYSTEMS INC (1980)</t>
  </si>
  <si>
    <t xml:space="preserve">S03074</t>
  </si>
  <si>
    <t xml:space="preserve">2017 BRENTWOOD ST</t>
  </si>
  <si>
    <t xml:space="preserve">AVANTL SAILBOAT CO (1974-1977; SIC 3732)</t>
  </si>
  <si>
    <t xml:space="preserve">AVANTL SAILBOAT CO (1974)</t>
  </si>
  <si>
    <t xml:space="preserve">S03084</t>
  </si>
  <si>
    <t xml:space="preserve">9800 MORRISON RD</t>
  </si>
  <si>
    <t xml:space="preserve">MC COY + JENSEN, INC (1974-1980; SIC 2875)</t>
  </si>
  <si>
    <t xml:space="preserve">MC COY + JENSEN, INC (1974) | PLATE PRINTING (1977)</t>
  </si>
  <si>
    <t xml:space="preserve">S03173</t>
  </si>
  <si>
    <t xml:space="preserve">9711 W 98TH AVE</t>
  </si>
  <si>
    <t xml:space="preserve">INDUSTRIAL CHEMICALS CORP (1977; SIC 2869,2851,2819)</t>
  </si>
  <si>
    <t xml:space="preserve">INDUSTRIAL CHEMICALS CORP (1977)</t>
  </si>
  <si>
    <t xml:space="preserve">S03555</t>
  </si>
  <si>
    <t xml:space="preserve">8654 CHASE DR NQ339</t>
  </si>
  <si>
    <t xml:space="preserve">AMPTEC INC (1980; SIC 3573,3829)</t>
  </si>
  <si>
    <t xml:space="preserve">AMPTEC INC (1980)</t>
  </si>
  <si>
    <t xml:space="preserve">S04158</t>
  </si>
  <si>
    <t xml:space="preserve">3485 HARLAN ST</t>
  </si>
  <si>
    <t xml:space="preserve">JOHNSON MACHINE (1983; SIC 3599,3544)</t>
  </si>
  <si>
    <t xml:space="preserve">AUTOMATED CONTROLS INC (1980) | JOHNSON MACHINE (1983)</t>
  </si>
  <si>
    <t xml:space="preserve">S04159</t>
  </si>
  <si>
    <t xml:space="preserve">3879 W 98TH AVE</t>
  </si>
  <si>
    <t xml:space="preserve">BARONE INC (1980; SIC 3569,3443)</t>
  </si>
  <si>
    <t xml:space="preserve">BARONE INC (1980)</t>
  </si>
  <si>
    <t xml:space="preserve">S04160</t>
  </si>
  <si>
    <t xml:space="preserve">9353 W 96TH AVE</t>
  </si>
  <si>
    <t xml:space="preserve">CF ¢ ® STEEL FABRICATING CO (1980; SIC 3443)</t>
  </si>
  <si>
    <t xml:space="preserve">CF ¢ ® STEEL FABRICATING CO (1980)</t>
  </si>
  <si>
    <t xml:space="preserve">S04170</t>
  </si>
  <si>
    <t xml:space="preserve">6435 W 99TH AVE</t>
  </si>
  <si>
    <t xml:space="preserve">MAGNERASE INC (1980; SIC 2842)</t>
  </si>
  <si>
    <t xml:space="preserve">MAGNERASE INC (1980)</t>
  </si>
  <si>
    <t xml:space="preserve">S04180</t>
  </si>
  <si>
    <t xml:space="preserve">9558 GRAY ST</t>
  </si>
  <si>
    <t xml:space="preserve">TEL-RAY INC (1980; SIC 3489,3499)</t>
  </si>
  <si>
    <t xml:space="preserve">TEL-RAY INC (1980)</t>
  </si>
  <si>
    <t xml:space="preserve">S04182</t>
  </si>
  <si>
    <t xml:space="preserve">6100 W 95TH PL</t>
  </si>
  <si>
    <t xml:space="preserve">UNEVERSAL PATTERN COMPANY (1980; SIC 3565,3079,3544)</t>
  </si>
  <si>
    <t xml:space="preserve">UNEVERSAL PATTERN COMPANY (1980)</t>
  </si>
  <si>
    <t xml:space="preserve">S04188</t>
  </si>
  <si>
    <t xml:space="preserve">4620 TELLER</t>
  </si>
  <si>
    <t xml:space="preserve">RAM BOAT CO ENC (1980; SIC 3732)</t>
  </si>
  <si>
    <t xml:space="preserve">RAM BOAT CO ENC (1980)</t>
  </si>
  <si>
    <t xml:space="preserve">S04190</t>
  </si>
  <si>
    <t xml:space="preserve">31958 QUARTERHORSE</t>
  </si>
  <si>
    <t xml:space="preserve">EVERGREEN</t>
  </si>
  <si>
    <t xml:space="preserve">80439</t>
  </si>
  <si>
    <t xml:space="preserve">FLUIO POWER/WEST INC (1980; SIC 3599)</t>
  </si>
  <si>
    <t xml:space="preserve">FLUIO POWER/WEST INC (1980)</t>
  </si>
  <si>
    <t xml:space="preserve">S04207</t>
  </si>
  <si>
    <t xml:space="preserve">2400 CARR ST</t>
  </si>
  <si>
    <t xml:space="preserve">CHAEMAGGIO INTERNATIONAL (1980; SIC 2844)</t>
  </si>
  <si>
    <t xml:space="preserve">CHAEMAGGIO INTERNATIONAL (1980)</t>
  </si>
  <si>
    <t xml:space="preserve">DENVER URBAN GARDENS AT SLATER ELEMENTARY SCHOOL</t>
  </si>
  <si>
    <t xml:space="preserve">S05290</t>
  </si>
  <si>
    <t xml:space="preserve">4035 W 89TH PL</t>
  </si>
  <si>
    <t xml:space="preserve">TAPE R E B PRODUCTS INC (1988; SIC 3599,2013)</t>
  </si>
  <si>
    <t xml:space="preserve">TAPE R E B PRODUCTS INC (1988)</t>
  </si>
  <si>
    <t xml:space="preserve">S05926</t>
  </si>
  <si>
    <t xml:space="preserve">9225 W LOMBARDY LN</t>
  </si>
  <si>
    <t xml:space="preserve">R A J PUBLICATIONS (1988; SIC 2731,2782,3732)</t>
  </si>
  <si>
    <t xml:space="preserve">R A J PUBLICATIONS (1988)</t>
  </si>
  <si>
    <t xml:space="preserve">S05937</t>
  </si>
  <si>
    <t xml:space="preserve">10499 BRADPORD RD</t>
  </si>
  <si>
    <t xml:space="preserve">STAIRS, HANDRAIL ANA TECH CORP (1988; SIC 3577) | ANA TECH (1990; SIC 3577)</t>
  </si>
  <si>
    <t xml:space="preserve">STAIRS, HANDRAIL ANA TECH CORP (1988) | ANA TECH (1990)</t>
  </si>
  <si>
    <t xml:space="preserve">S06697</t>
  </si>
  <si>
    <t xml:space="preserve">1109 HARLAN ST</t>
  </si>
  <si>
    <t xml:space="preserve">BLAIR ALEXANDER ENGINEERING CO INC (1990; SIC 3585)</t>
  </si>
  <si>
    <t xml:space="preserve">BLAIR ALEXANDER ENGINEERING CO INC (1990)</t>
  </si>
  <si>
    <t xml:space="preserve">S06947</t>
  </si>
  <si>
    <t xml:space="preserve">12504 US HWY 285</t>
  </si>
  <si>
    <t xml:space="preserve">MACMILLAN METAL WORKS LTD (1992; SIC 3446)</t>
  </si>
  <si>
    <t xml:space="preserve">MACMILLAN METAL WORKS LTD (1992)</t>
  </si>
  <si>
    <t xml:space="preserve">LONG BROTHERS GARAGE</t>
  </si>
  <si>
    <t xml:space="preserve">S07035</t>
  </si>
  <si>
    <t xml:space="preserve">4834 PINE RD</t>
  </si>
  <si>
    <t xml:space="preserve">DEN-SOILINC (1992; SIC 2899)</t>
  </si>
  <si>
    <t xml:space="preserve">DEN-SOILINC (1992)</t>
  </si>
  <si>
    <t xml:space="preserve">S07036</t>
  </si>
  <si>
    <t xml:space="preserve">27992 CAMEL HEIGHTS CR</t>
  </si>
  <si>
    <t xml:space="preserve">TIMBERUINE ARTS &amp; CRAFIS (1992; SIC 3559)</t>
  </si>
  <si>
    <t xml:space="preserve">TIMBERUINE ARTS &amp; CRAFIS (1992)</t>
  </si>
  <si>
    <t xml:space="preserve">S07053</t>
  </si>
  <si>
    <t xml:space="preserve">16800 W 72</t>
  </si>
  <si>
    <t xml:space="preserve">PROTO-TEL INC (1992; SIC 3062,3089)</t>
  </si>
  <si>
    <t xml:space="preserve">PROTO-TEL INC (1992)</t>
  </si>
  <si>
    <t xml:space="preserve">S07093</t>
  </si>
  <si>
    <t xml:space="preserve">5540 S MILER ST</t>
  </si>
  <si>
    <t xml:space="preserve">STR CORPORATION (1992; SIC 3548)</t>
  </si>
  <si>
    <t xml:space="preserve">STR CORPORATION (1992)</t>
  </si>
  <si>
    <t xml:space="preserve">S07160</t>
  </si>
  <si>
    <t xml:space="preserve">11467 W 70 FRONTAGE RD N</t>
  </si>
  <si>
    <t xml:space="preserve">IMMUNOVET INC (1992; SIC 2833)</t>
  </si>
  <si>
    <t xml:space="preserve">IMMUNOVET INC (1992)</t>
  </si>
  <si>
    <t xml:space="preserve">S01140</t>
  </si>
  <si>
    <t xml:space="preserve">146 E 6TH</t>
  </si>
  <si>
    <t xml:space="preserve">REED LOCK + key SERVICE (1966; SIC 3423)</t>
  </si>
  <si>
    <t xml:space="preserve">REED LOCK + key SERVICE (1966)</t>
  </si>
  <si>
    <t xml:space="preserve">S05707</t>
  </si>
  <si>
    <t xml:space="preserve">672 C R 207</t>
  </si>
  <si>
    <t xml:space="preserve">H+M MACHINING CO (1988; SIC 3469)</t>
  </si>
  <si>
    <t xml:space="preserve">H+M MACHINING CO (1988)</t>
  </si>
  <si>
    <t xml:space="preserve">S01152</t>
  </si>
  <si>
    <t xml:space="preserve">216 W MOUNTAIN AVE</t>
  </si>
  <si>
    <t xml:space="preserve">FORT COLLINS COLCRADO PRINTING CO 3444 SHEET METAL hORK (1968; SIC 3444)</t>
  </si>
  <si>
    <t xml:space="preserve">FORT COLLINS COLORADO PRINTING CO (1966) | FORT COLLINS COLCRACC PRINTING CO (1967) | ROBINSON-WARFIELO PRINTING CO (1967) | FORT COLLINS COLCRADO PRINTING CO 3444 SHEET METAL hORK (1968) | SPIC 'N* SPAN BAKERY (1973)</t>
  </si>
  <si>
    <t xml:space="preserve">S01160</t>
  </si>
  <si>
    <t xml:space="preserve">157 N MASON</t>
  </si>
  <si>
    <t xml:space="preserve">STRANG GRAIN CO (1966; SIC 3441) | STRANG GRAIN CO 3591 MACHINE SHOPS, JOBBING ANC REPAIR (1967; SIC 3599)</t>
  </si>
  <si>
    <t xml:space="preserve">STRANG GRAIN CO (1966) | STRANG GRAIN CO 3591 MACHINE SHOPS, JOBBING ANC REPAIR (1967)</t>
  </si>
  <si>
    <t xml:space="preserve">RECYCLING SYSTEMS CORP</t>
  </si>
  <si>
    <t xml:space="preserve">S01592</t>
  </si>
  <si>
    <t xml:space="preserve">301 LINCOLN</t>
  </si>
  <si>
    <t xml:space="preserve">1967;1968;1977</t>
  </si>
  <si>
    <t xml:space="preserve">FARAD CORP (1967; SIC 2899) | FARAD CORP RL HAMELTON CHNER (1968; SIC 2899) | MIMCO INC (1977; SIC 3079)</t>
  </si>
  <si>
    <t xml:space="preserve">FARAD CORP (1967) | FARAD CORP RL HAMELTON CHNER (1968) | MIMCO INC (1977)</t>
  </si>
  <si>
    <t xml:space="preserve">S03483</t>
  </si>
  <si>
    <t xml:space="preserve">1240 1ST</t>
  </si>
  <si>
    <t xml:space="preserve">SLIM*S TIN SHOP (1977; SIC 3444)</t>
  </si>
  <si>
    <t xml:space="preserve">SLIM*S TIN SHOP (1977) | RIPSAM HFG + FABRICATION 3271 CONCRETE BLOCK + BRICKS 2022 CHEESE -AND RICOTTA (1983)</t>
  </si>
  <si>
    <t xml:space="preserve">S04283</t>
  </si>
  <si>
    <t xml:space="preserve">1032 N RIDGELAWN OR</t>
  </si>
  <si>
    <t xml:space="preserve">STORMTRONICS (1980; SIC 3549)</t>
  </si>
  <si>
    <t xml:space="preserve">STORMTRONICS (1980) |  (1983)</t>
  </si>
  <si>
    <t xml:space="preserve">S04291</t>
  </si>
  <si>
    <t xml:space="preserve">3700 CANAL OR</t>
  </si>
  <si>
    <t xml:space="preserve">WYCO WOOB ENERGY SYSTEMS INC (1980; SIC 3433)</t>
  </si>
  <si>
    <t xml:space="preserve">WYCO WOOB ENERGY SYSTEMS INC (1980)</t>
  </si>
  <si>
    <t xml:space="preserve">UNITED PARCEL SERVICE FORT COLLINS</t>
  </si>
  <si>
    <t xml:space="preserve">S05157</t>
  </si>
  <si>
    <t xml:space="preserve">764 GRANT</t>
  </si>
  <si>
    <t xml:space="preserve">PETERSON'S SPECIALTY PRODUCTS» INC. (1983-1992; SIC 3842,2834,3843)</t>
  </si>
  <si>
    <t xml:space="preserve">PETERSON'S SPECIALTY PRODUCTS» INC. (1983)</t>
  </si>
  <si>
    <t xml:space="preserve">STAKE CENTER UTILITY LOCATE</t>
  </si>
  <si>
    <t xml:space="preserve">S06010</t>
  </si>
  <si>
    <t xml:space="preserve">6817 SW 14TH</t>
  </si>
  <si>
    <t xml:space="preserve">NQRERREN art (1988; SIC 3469) | NORTHERN COLORADO MACHINE (1990-1992; SIC 3469)</t>
  </si>
  <si>
    <t xml:space="preserve">NQRERREN art (1988) | NORTHERN COLORADO MACHINE (1990)</t>
  </si>
  <si>
    <t xml:space="preserve">S02673</t>
  </si>
  <si>
    <t xml:space="preserve">215 LINDEN</t>
  </si>
  <si>
    <t xml:space="preserve">TRINIDAD</t>
  </si>
  <si>
    <t xml:space="preserve">Las Animas</t>
  </si>
  <si>
    <t xml:space="preserve">81082</t>
  </si>
  <si>
    <t xml:space="preserve">TRINIDAD PROOUCTS CORP (1973; SIC 2542,3714)</t>
  </si>
  <si>
    <t xml:space="preserve">TRINIDAD PROOUCTS CORP (1973)</t>
  </si>
  <si>
    <t xml:space="preserve">EAST STREET SCHOOL</t>
  </si>
  <si>
    <t xml:space="preserve">S01913</t>
  </si>
  <si>
    <t xml:space="preserve">269 E AVE</t>
  </si>
  <si>
    <t xml:space="preserve">LIMON</t>
  </si>
  <si>
    <t xml:space="preserve">Lincoln</t>
  </si>
  <si>
    <t xml:space="preserve">80828</t>
  </si>
  <si>
    <t xml:space="preserve">MAIN AUTOMOTIVE (1974; SIC 3714)</t>
  </si>
  <si>
    <t xml:space="preserve">LIMON LEADER, THE (1968) | MAIN AUTOMOTIVE (1974) | LIMON LIMON LEADER (1988)</t>
  </si>
  <si>
    <t xml:space="preserve">U S WEST COMMUNICATIONS</t>
  </si>
  <si>
    <t xml:space="preserve">S06075</t>
  </si>
  <si>
    <t xml:space="preserve">17300 CNTY RD 33 7</t>
  </si>
  <si>
    <t xml:space="preserve">1988;1992</t>
  </si>
  <si>
    <t xml:space="preserve">ERECT TANKS DELTA H SYSTEMS INC (1988; SIC 3523,3564,3822) | DELTA H SYSTEMS INC (1992; SIC 3523,3564,3949)</t>
  </si>
  <si>
    <t xml:space="preserve">ERECT TANKS DELTA H SYSTEMS INC (1988) | DELTA H SYSTEMS INC (1990)</t>
  </si>
  <si>
    <t xml:space="preserve">S00469</t>
  </si>
  <si>
    <t xml:space="preserve">826 ROOD AVE</t>
  </si>
  <si>
    <t xml:space="preserve">MT. GARFIELD PLUMBING HEATING (1965; SIC 3564)</t>
  </si>
  <si>
    <t xml:space="preserve">MT. GARFIELD PLUMBING HEATING (1965)</t>
  </si>
  <si>
    <t xml:space="preserve">VALLEY RADIATOR SHOP (RADIATOR DOCTOR)</t>
  </si>
  <si>
    <t xml:space="preserve">S00475</t>
  </si>
  <si>
    <t xml:space="preserve">845 4TH AVE</t>
  </si>
  <si>
    <t xml:space="preserve">SMITH CHEMICAL COMPANY (1965; SIC 2879)</t>
  </si>
  <si>
    <t xml:space="preserve">SMITH CHEMICAL COMPANY (1965)</t>
  </si>
  <si>
    <t xml:space="preserve">NATIVE NAVIGATION</t>
  </si>
  <si>
    <t xml:space="preserve">S01914</t>
  </si>
  <si>
    <t xml:space="preserve">423 MAYFIELC OR</t>
  </si>
  <si>
    <t xml:space="preserve">Industrial machinery; Petroleum refining</t>
  </si>
  <si>
    <t xml:space="preserve">1968;1974</t>
  </si>
  <si>
    <t xml:space="preserve">MICROTEC DEVELOPMENT LAB (1968-1974; SIC 3559)</t>
  </si>
  <si>
    <t xml:space="preserve">MICROTEC DEVELOPMENT LAB (1968)</t>
  </si>
  <si>
    <t xml:space="preserve">S01917</t>
  </si>
  <si>
    <t xml:space="preserve">2421 BROADWAY</t>
  </si>
  <si>
    <t xml:space="preserve">RCDEC ELECTRONICS INC (1968; SIC 3593,3622)</t>
  </si>
  <si>
    <t xml:space="preserve">RCDEC ELECTRONICS INC (1968)</t>
  </si>
  <si>
    <t xml:space="preserve">S05168</t>
  </si>
  <si>
    <t xml:space="preserve">3196 HALL AVE</t>
  </si>
  <si>
    <t xml:space="preserve">ARNHOLD WELDING + FABRICATING (1983; SIC 3537,3533)</t>
  </si>
  <si>
    <t xml:space="preserve">ARNHOLD WELDING + FABRICATING (1983)</t>
  </si>
  <si>
    <t xml:space="preserve">S05188</t>
  </si>
  <si>
    <t xml:space="preserve">319 2</t>
  </si>
  <si>
    <t xml:space="preserve">RAINBOW MARBLE PRODUCTS (1983; SIC 3079)</t>
  </si>
  <si>
    <t xml:space="preserve">RAINBOW MARBLE PRODUCTS (1983)</t>
  </si>
  <si>
    <t xml:space="preserve">Manufactured Gas Plant I</t>
  </si>
  <si>
    <t xml:space="preserve">CONSERVANCY OIL CO</t>
  </si>
  <si>
    <t xml:space="preserve">COLORADO DEPT OF TRANS - GRAND JUNCTION</t>
  </si>
  <si>
    <t xml:space="preserve">S05870</t>
  </si>
  <si>
    <t xml:space="preserve">657 20 1 2 RD</t>
  </si>
  <si>
    <t xml:space="preserve">PEPPERONI ORDNANCE PARK CORP (1988; SIC 2699,3421,3489)</t>
  </si>
  <si>
    <t xml:space="preserve">PEPPERONI ORDNANCE PARK CORP (1988)</t>
  </si>
  <si>
    <t xml:space="preserve">S06651</t>
  </si>
  <si>
    <t xml:space="preserve">2768 C HALF RD</t>
  </si>
  <si>
    <t xml:space="preserve">SPENDRUP + ASSOCIATES INC (1990; SIC 3564,3613,3823)</t>
  </si>
  <si>
    <t xml:space="preserve">SPENDRUP + ASSOCIATES INC (1990)</t>
  </si>
  <si>
    <t xml:space="preserve">S06786</t>
  </si>
  <si>
    <t xml:space="preserve">666 GRAND AVE</t>
  </si>
  <si>
    <t xml:space="preserve">SANDERS ENTERPRISES (1990; SIC 3421)</t>
  </si>
  <si>
    <t xml:space="preserve">SANDERS ENTERPRISES (1990)</t>
  </si>
  <si>
    <t xml:space="preserve">S01220</t>
  </si>
  <si>
    <t xml:space="preserve">915 S 3RD</t>
  </si>
  <si>
    <t xml:space="preserve">SCHNEIDERS REALY MIX (1966; SIC 3444)</t>
  </si>
  <si>
    <t xml:space="preserve">SCHNEIDERS REALY MIX (1966)</t>
  </si>
  <si>
    <t xml:space="preserve">MONTROSE REGIONAL HEALTH</t>
  </si>
  <si>
    <t xml:space="preserve">S01924</t>
  </si>
  <si>
    <t xml:space="preserve">329 8TH AVE</t>
  </si>
  <si>
    <t xml:space="preserve">BLILDERS AGGREGATE CO (1968; SIC 3591)</t>
  </si>
  <si>
    <t xml:space="preserve">BLILDERS AGGREGATE CO (1968)</t>
  </si>
  <si>
    <t xml:space="preserve">S03516</t>
  </si>
  <si>
    <t xml:space="preserve">1601 ELM AVE</t>
  </si>
  <si>
    <t xml:space="preserve">ROCKY FORD</t>
  </si>
  <si>
    <t xml:space="preserve">81067</t>
  </si>
  <si>
    <t xml:space="preserve">DOUS TOMKINS + ROY KERN PARTNER (1977; SIC 3523) | REYNOLOSs P Ly» MACHINE + WELDING WORKS (1983; SIC 3523)</t>
  </si>
  <si>
    <t xml:space="preserve">DOUS TOMKINS + ROY KERN PARTNER (1977) | REYNOLOSs P Ly» MACHINE + WELDING WORKS (1983)</t>
  </si>
  <si>
    <t xml:space="preserve">S05901</t>
  </si>
  <si>
    <t xml:space="preserve">27762 RAILROAD AVE</t>
  </si>
  <si>
    <t xml:space="preserve">LA JUNTA A B B BUILDING INC (1988; SIC 3448) | ABB BUILDING INC (1990; SIC 3448)</t>
  </si>
  <si>
    <t xml:space="preserve">LA JUNTA A B B BUILDING INC (1988) | ABB BUILDING INC (1990) | ALPINE MAP CO INC (1990)</t>
  </si>
  <si>
    <t xml:space="preserve">S05226</t>
  </si>
  <si>
    <t xml:space="preserve">1111 S 4TH ST</t>
  </si>
  <si>
    <t xml:space="preserve">ROCKING ORIGINALS (1983; SIC 3599)</t>
  </si>
  <si>
    <t xml:space="preserve">ROCKING ORIGINALS (1983)</t>
  </si>
  <si>
    <t xml:space="preserve">TROY MANOR MOTEL</t>
  </si>
  <si>
    <t xml:space="preserve">S00528</t>
  </si>
  <si>
    <t xml:space="preserve">403 E 4TH ST</t>
  </si>
  <si>
    <t xml:space="preserve">ARROW BLOCK MANUFACTURING CO INC (1966; SIC 3441) | SWEENY FEED MILL INC (1966; SIC 3599)</t>
  </si>
  <si>
    <t xml:space="preserve">SWEENY FEED MILL (1965) | ARROW BLOCK MANUFACTURING CO INC (1966) | SWEENY FEED MILL SOUTHERN COLORADO (1990)</t>
  </si>
  <si>
    <t xml:space="preserve">RAINBO BAKING CO OF PUEBLO</t>
  </si>
  <si>
    <t xml:space="preserve">S01269</t>
  </si>
  <si>
    <t xml:space="preserve">703 WW 9TH</t>
  </si>
  <si>
    <t xml:space="preserve">RIVERSIDE PRINTING CO (1966; SIC 3339)</t>
  </si>
  <si>
    <t xml:space="preserve">RIVERSIDE PRINTING CO (1966) | FABRICATING LAB RIVERSIDE PRINTING (1988)</t>
  </si>
  <si>
    <t xml:space="preserve">SAFEWAY STORE #3714</t>
  </si>
  <si>
    <t xml:space="preserve">S03142</t>
  </si>
  <si>
    <t xml:space="preserve">225 N YUCCA</t>
  </si>
  <si>
    <t xml:space="preserve">OGN*S HEATING # AIR CONOITIONING (1974; SIC 3444)</t>
  </si>
  <si>
    <t xml:space="preserve">OGN*S HEATING # AIR CONOITIONING (1974)</t>
  </si>
  <si>
    <t xml:space="preserve">S06062</t>
  </si>
  <si>
    <t xml:space="preserve">397 B INDUSTRIAL BLVD</t>
  </si>
  <si>
    <t xml:space="preserve">PUEBLO - RIDGWAY 321 SN PAE WORREINC (1988; SIC 3441,3444)</t>
  </si>
  <si>
    <t xml:space="preserve">PUEBLO - RIDGWAY 321 SN PAE WORREINC (1988)</t>
  </si>
  <si>
    <t xml:space="preserve">S05824</t>
  </si>
  <si>
    <t xml:space="preserve">310 MAIN ST</t>
  </si>
  <si>
    <t xml:space="preserve">FRISCO</t>
  </si>
  <si>
    <t xml:space="preserve">Summit</t>
  </si>
  <si>
    <t xml:space="preserve">80443</t>
  </si>
  <si>
    <t xml:space="preserve">EOS EREVTRY (1988; SIC 3429,3963) | HIGH COUNTRY LOCK + KEY INC (1990; SIC 3429,3953)</t>
  </si>
  <si>
    <t xml:space="preserve">EOS EREVTRY (1988) | HIGH COUNTRY LOCK + KEY INC (1990) | ‘THE BUTTERHORN BAKERY DEU (1992) | FROM THE HEART (1992)</t>
  </si>
  <si>
    <t xml:space="preserve">S01300</t>
  </si>
  <si>
    <t xml:space="preserve">1210 8TH AVE</t>
  </si>
  <si>
    <t xml:space="preserve">STANTON MACHINE * WELDING SHOP (1966; SIC 3599) | = STANTON MACHINE SHCP (1968; SIC 3591)</t>
  </si>
  <si>
    <t xml:space="preserve">STANTON MACHINE * WELDING SHOP (1966) | = STANTON MACHINE SHCP (1968)</t>
  </si>
  <si>
    <t xml:space="preserve">Greeley Plaza</t>
  </si>
  <si>
    <t xml:space="preserve">FIRESTONE TIRE SERVICE CENTER</t>
  </si>
  <si>
    <t xml:space="preserve">S01303</t>
  </si>
  <si>
    <t xml:space="preserve">603 8TH ST</t>
  </si>
  <si>
    <t xml:space="preserve">WILES MACHINE SHOP (1966-1968; SIC 3599)</t>
  </si>
  <si>
    <t xml:space="preserve">WILES MACHINE SHOP (1966) | GREELEY MEAT CC (1974) | PURDY CONSTRUCTION (1992)</t>
  </si>
  <si>
    <t xml:space="preserve">S01956</t>
  </si>
  <si>
    <t xml:space="preserve">500 6TH AVE</t>
  </si>
  <si>
    <t xml:space="preserve">NOFFSINGER MANUFACTURING CO (1968; SIC 3522)</t>
  </si>
  <si>
    <t xml:space="preserve">NOFFSINGER MANUFACTURING CO (1968)</t>
  </si>
  <si>
    <t xml:space="preserve">S02733</t>
  </si>
  <si>
    <t xml:space="preserve">1100 EIGHTH AVE</t>
  </si>
  <si>
    <t xml:space="preserve">GARNSEY * WHEELER REBUILDERS INC (1973; SIC 3599,3694,3714)</t>
  </si>
  <si>
    <t xml:space="preserve">GARNSEY * WHEELER REBUILDERS INC (1973) | GREELEY PRINTING CO INC (1990)</t>
  </si>
  <si>
    <t xml:space="preserve">GURNSEY &amp; WHEELER CO</t>
  </si>
  <si>
    <t xml:space="preserve">S03168</t>
  </si>
  <si>
    <t xml:space="preserve">621 18TH ST</t>
  </si>
  <si>
    <t xml:space="preserve">TODD*S MACHINE + WELDING (1974; SIC 3599)</t>
  </si>
  <si>
    <t xml:space="preserve">TODD*S MACHINE + WELDING (1974)</t>
  </si>
  <si>
    <t xml:space="preserve">S05263</t>
  </si>
  <si>
    <t xml:space="preserve">302 6TH ST</t>
  </si>
  <si>
    <t xml:space="preserve">BIG R MANUFACTURING # DISTRIBUTING» INCs (1983; SIC 3443,3441,3523)</t>
  </si>
  <si>
    <t xml:space="preserve">BIG R MANUFACTURING # DISTRIBUTING» INCs (1983)</t>
  </si>
  <si>
    <t xml:space="preserve">MATCHLESS MILLWORK, INC.</t>
  </si>
  <si>
    <t xml:space="preserve">S05265</t>
  </si>
  <si>
    <t xml:space="preserve">6340 4 110TH ST</t>
  </si>
  <si>
    <t xml:space="preserve">BURROWS EATERPRISES INC (1983; SIC 3523,3031,3531)</t>
  </si>
  <si>
    <t xml:space="preserve">BURROWS EATERPRISES INC (1983)</t>
  </si>
  <si>
    <t xml:space="preserve">S05266</t>
  </si>
  <si>
    <t xml:space="preserve">504 1ST AVE</t>
  </si>
  <si>
    <t xml:space="preserve">MORLANGs DENNISs+ COMPANY (1983; SIC 3441)</t>
  </si>
  <si>
    <t xml:space="preserve">CARLISLE WOODS (1983) | MORLANGs DENNISs+ COMPANY (1983) | HAPPY BUZZARD WOODWORKS: (1990)</t>
  </si>
  <si>
    <t xml:space="preserve">COASTAL CHEMICAL CO LLC</t>
  </si>
  <si>
    <t xml:space="preserve">FLEET COLLISION SERVICES INC</t>
  </si>
  <si>
    <t xml:space="preserve">S05271</t>
  </si>
  <si>
    <t xml:space="preserve">651 28TH ST</t>
  </si>
  <si>
    <t xml:space="preserve">M + M MANUFACTURING (1983; SIC 3531)</t>
  </si>
  <si>
    <t xml:space="preserve">M + M MANUFACTURING (1983)</t>
  </si>
  <si>
    <t xml:space="preserve">ARCTIC FOX AUTO AND DIESEL LLC</t>
  </si>
  <si>
    <t xml:space="preserve">S05273</t>
  </si>
  <si>
    <t xml:space="preserve">1226 18 ST</t>
  </si>
  <si>
    <t xml:space="preserve">PLASTIC ART PRODUCTS LTD (1983; SIC 3079,3544)</t>
  </si>
  <si>
    <t xml:space="preserve">PLASTIC ART PRODUCTS LTD (1983)</t>
  </si>
  <si>
    <t xml:space="preserve">S05818</t>
  </si>
  <si>
    <t xml:space="preserve">12600 RD 14 1 2</t>
  </si>
  <si>
    <t xml:space="preserve">BAKER MACHINE+FABRICATION (1988; SIC 3451,3491,3499)</t>
  </si>
  <si>
    <t xml:space="preserve">BAKER MACHINE+FABRICATION (1988)</t>
  </si>
  <si>
    <t xml:space="preserve">S05885</t>
  </si>
  <si>
    <t xml:space="preserve">1646 8TH AVE</t>
  </si>
  <si>
    <t xml:space="preserve">HUITT ENGRAVING+GIFTS (1988; SIC 3479)</t>
  </si>
  <si>
    <t xml:space="preserve">HUITT ENGRAVING+GIFTS (1988)</t>
  </si>
  <si>
    <t xml:space="preserve">S06045</t>
  </si>
  <si>
    <t xml:space="preserve">200 FRONT ST</t>
  </si>
  <si>
    <t xml:space="preserve">BOLTS, TACK-LAG FARLEY'S MACHINE (1988; SIC 3553,3864) | FARLEY'S MACHINE (1990; SIC 3553,3564) | MCO INC (1990; SIC 3792)</t>
  </si>
  <si>
    <t xml:space="preserve">BOLTS, TACK-LAG FARLEY'S MACHINE (1988) | FARLEY'S MACHINE (1990) | MCO INC (1990)</t>
  </si>
  <si>
    <t xml:space="preserve">S06678</t>
  </si>
  <si>
    <t xml:space="preserve">2419 1ST AVE</t>
  </si>
  <si>
    <t xml:space="preserve">SCOTSMAN MANUFACTURING CO (1990; SIC 2452,3448,3792)</t>
  </si>
  <si>
    <t xml:space="preserve">SCOTSMAN MANUFACTURING CO (1990)</t>
  </si>
  <si>
    <t xml:space="preserve">S07057</t>
  </si>
  <si>
    <t xml:space="preserve">602 4TH AVE</t>
  </si>
  <si>
    <t xml:space="preserve">BKG R MANUFACTURING + DISTRIBUTING (1992; SIC 3441,3443,3499)</t>
  </si>
  <si>
    <t xml:space="preserve">BKG R MANUFACTURING + DISTRIBUTING (1992)</t>
  </si>
  <si>
    <t xml:space="preserve">S07061</t>
  </si>
  <si>
    <t xml:space="preserve">455 9TH AVE</t>
  </si>
  <si>
    <t xml:space="preserve">REGAL FIBERGLASS INC (1992; SIC 2499,3469)</t>
  </si>
  <si>
    <t xml:space="preserve">REGAL FIBERGLASS INC (1992)</t>
  </si>
  <si>
    <t xml:space="preserve">FAMILY DOLLAR #7221</t>
  </si>
  <si>
    <t xml:space="preserve">S07164</t>
  </si>
  <si>
    <t xml:space="preserve">101 MAIN</t>
  </si>
  <si>
    <t xml:space="preserve">WRAY</t>
  </si>
  <si>
    <t xml:space="preserve">Yuma</t>
  </si>
  <si>
    <t xml:space="preserve">80758</t>
  </si>
  <si>
    <t xml:space="preserve">MADE IN WRAY (1992; SIC 3714,3999,3568)</t>
  </si>
  <si>
    <t xml:space="preserve">MADE IN WRAY (1992)</t>
  </si>
  <si>
    <t xml:space="preserve">THIRD STREET AUTO</t>
  </si>
  <si>
    <t xml:space="preserve">S00568</t>
  </si>
  <si>
    <t xml:space="preserve">1140 JOLIET ST</t>
  </si>
  <si>
    <t xml:space="preserve"> (1966; SIC 3549)</t>
  </si>
  <si>
    <t xml:space="preserve"> (1966)</t>
  </si>
  <si>
    <t xml:space="preserve">KENTON ELEMENTARY SCHOOL</t>
  </si>
  <si>
    <t xml:space="preserve">S00586</t>
  </si>
  <si>
    <t xml:space="preserve">3925 ONEIDA ST</t>
  </si>
  <si>
    <t xml:space="preserve">EMPIRE PETROLEUM CO (1966; SIC 2911)</t>
  </si>
  <si>
    <t xml:space="preserve">EMPIRE PETROLEUM CO (1966)</t>
  </si>
  <si>
    <t xml:space="preserve">Yardney / Whitaker</t>
  </si>
  <si>
    <t xml:space="preserve">WHITTAKER POWER STORAGE SYSTEMS</t>
  </si>
  <si>
    <t xml:space="preserve">STAPLETON REMED PROJECT OFFICE</t>
  </si>
  <si>
    <t xml:space="preserve">S00835</t>
  </si>
  <si>
    <t xml:space="preserve">2100 HUMBOLOT</t>
  </si>
  <si>
    <t xml:space="preserve">JERRY'S NUT HOUSE INC 2851 PAINTS + ALLIED PRODUCTS (1983; SIC 2851)</t>
  </si>
  <si>
    <t xml:space="preserve">GREAT WESTERN FURNITURE MFG CO (1966) | DENVER HANDY CAN ICE CO (1968) | SERRVS NUT HOUSE INC (1980) | JERRY'S NUT HOUSE INC 2851 PAINTS + ALLIED PRODUCTS (1983) | JERRY'S NUT HOUSE INC (1990)</t>
  </si>
  <si>
    <t xml:space="preserve">KAISER PERMANENTE FRANKLIN MEDICAL CENTE</t>
  </si>
  <si>
    <t xml:space="preserve">S01125</t>
  </si>
  <si>
    <t xml:space="preserve">1325 JAY</t>
  </si>
  <si>
    <t xml:space="preserve">LAKEWOOD BRICK + TILE (1966; SIC 3441)</t>
  </si>
  <si>
    <t xml:space="preserve">LAKEWOOD BRICK + TILE (1966) | LAKEWOOD BRICK # TILE (1974) | wall (1977)</t>
  </si>
  <si>
    <t xml:space="preserve">Metro West Housing Solutions II</t>
  </si>
  <si>
    <t xml:space="preserve">S03112</t>
  </si>
  <si>
    <t xml:space="preserve">604 DOUGLASS</t>
  </si>
  <si>
    <t xml:space="preserve">CROWN PLATING UNLIMITED INC (1974; SIC 3471)</t>
  </si>
  <si>
    <t xml:space="preserve">CROWN PLATING UNLIMITED INC (1974)</t>
  </si>
  <si>
    <t xml:space="preserve">S01178</t>
  </si>
  <si>
    <t xml:space="preserve">545 MAIN ST 681501</t>
  </si>
  <si>
    <t xml:space="preserve">CHAMPION BOOTS + SADDLERY (1966; SIC 3021) | KOHLER MC LISTER PAINT CO (1966; SIC 2851)</t>
  </si>
  <si>
    <t xml:space="preserve">CHAMPION BOOTS + SADDLERY (1966) | KOHLER MC LISTER PAINT CO (1966)</t>
  </si>
  <si>
    <t xml:space="preserve">Ricon Resins</t>
  </si>
  <si>
    <t xml:space="preserve">S01203</t>
  </si>
  <si>
    <t xml:space="preserve">2863 1 2 N AVE</t>
  </si>
  <si>
    <t xml:space="preserve">PRECISION MACHINE + TOOLING (1966; SIC 3599)</t>
  </si>
  <si>
    <t xml:space="preserve">PRECISION MACHINE + TOOLING (1966) | STARDUST CUSTOM CABINETS INC (1980) | STARDUST CUSTOM CABINETS INC (1983)</t>
  </si>
  <si>
    <t xml:space="preserve">S01246</t>
  </si>
  <si>
    <t xml:space="preserve">201 WASHINGTON</t>
  </si>
  <si>
    <t xml:space="preserve">LAMAR VALLEY CUNCRETE CO (1966; SIC 3799)</t>
  </si>
  <si>
    <t xml:space="preserve">LAMAR VALLEY CUNCRETE CO (1966)</t>
  </si>
  <si>
    <t xml:space="preserve">S00260</t>
  </si>
  <si>
    <t xml:space="preserve">2101 52ND AVE</t>
  </si>
  <si>
    <t xml:space="preserve">MASTERCRAFT, INC. (1965; SIC 2814)</t>
  </si>
  <si>
    <t xml:space="preserve">MASTERCRAFT, INC. (1965)</t>
  </si>
  <si>
    <t xml:space="preserve">ADAMS COUNTY ODOR [FRS; 105 m]</t>
  </si>
  <si>
    <t xml:space="preserve">HADLEY AUTO TRANSPORT [CDPHE RCRA; 18 m] | PICK YOUR PART CENTRAL LLC [CDPHE RCRA; 215 m] | RED GIANT OIL COMPANY LLC [CDPHE RCRA; 215 m]</t>
  </si>
  <si>
    <t xml:space="preserve">CLEARWATER ENVIRONMENTAL, INC. [FRS; 62 m] | ZUNI RESIDENCES [FRS; 243 m]</t>
  </si>
  <si>
    <t xml:space="preserve">ADAMS COUNTY ODOR</t>
  </si>
  <si>
    <t xml:space="preserve">HADLEY AUTO TRANSPORT</t>
  </si>
  <si>
    <t xml:space="preserve">S00570</t>
  </si>
  <si>
    <t xml:space="preserve">5460 COLORADO BLVO</t>
  </si>
  <si>
    <t xml:space="preserve">1973;1974;1977;1980;1988</t>
  </si>
  <si>
    <t xml:space="preserve">UNION SUPPLY CO (1973-1980; SIC 3496,3293,3535) | FOAM FABRICATORS INC (1988; SIC 3086)</t>
  </si>
  <si>
    <t xml:space="preserve">HOGENSON CONCRETE CO (1966) | UNION SUPPLY CO (1973) | FOAM FABRICATORS INC (1988)</t>
  </si>
  <si>
    <t xml:space="preserve">Sand Creek/SND [CDPHE CDPHE Superfund] (inside site boundary)</t>
  </si>
  <si>
    <t xml:space="preserve">BARTON SUPPLY [FRS; 33 m] | NEVCO SERVICES INC. [FRS; 39 m] | MASTER WASH [FRS; 39 m] | JCB PRECISION TOOL &amp; MOLD [FRS; 42 m]</t>
  </si>
  <si>
    <t xml:space="preserve">HARRIS REBAR SALT LAKE INC [FRS; 33 m]</t>
  </si>
  <si>
    <t xml:space="preserve">GATES STEEL CO</t>
  </si>
  <si>
    <t xml:space="preserve">BARTON SUPPLY</t>
  </si>
  <si>
    <t xml:space="preserve">S00571</t>
  </si>
  <si>
    <t xml:space="preserve">5315 VASQUEZ BLVD</t>
  </si>
  <si>
    <t xml:space="preserve">1966;1968;1970;1973;1974;1980;1983;1988</t>
  </si>
  <si>
    <t xml:space="preserve">INTERSTATE MFG INC (1966-1974; SIC 3523) | CLEARFIELO MANUFACTURING INC (1968; SIC 3535) | AEROMOTIVE METAL PRODUCTS INC (1970-1973; SIC 3799,3714) | INTERMOUNTAIN WHOLESALE, INC (1973-1988; SIC 3523) | PART-CO MACHINE INC (1973; SIC 3591)</t>
  </si>
  <si>
    <t xml:space="preserve">INTERSTATE MFG INC (1966) | CLEARFIELO MANUFACTURING INC (1968) | INTERSTATE MFG INC RH KYLLC PRES (1968) | AEROMOTIVE METAL PRODUCTS INC (1970) | INTERMOUNTAIN WHOLESALE, INC (1973) | PART-CO MACHINE INC (1973) | WESTERN TURNINGS * SPECIALTY CO (1980) | R W SPECIALITIES INC (1983)</t>
  </si>
  <si>
    <t xml:space="preserve">GATES STEEL CO [FRS; 74 m] | Sand Creek/SND [CDPHE CDPHE Superfund] (inside site boundary)</t>
  </si>
  <si>
    <t xml:space="preserve">THE WASHOP [FRS; 39 m]</t>
  </si>
  <si>
    <t xml:space="preserve">THE WASHOP</t>
  </si>
  <si>
    <t xml:space="preserve">S00573</t>
  </si>
  <si>
    <t xml:space="preserve">5001 E 52ND AVE</t>
  </si>
  <si>
    <t xml:space="preserve">MAK*S SUPPLY CO (1967; SIC 3519)</t>
  </si>
  <si>
    <t xml:space="preserve">M+ K MFG CO INC (1966) | MAK*S SUPPLY CO (1967) | MAK'S SUPPLY CO 3581 AUTOMATIC MERCHANDISING MACHINES (1968)</t>
  </si>
  <si>
    <t xml:space="preserve">COLORADO BRAKE &amp; SUPPLY CO [FRS; 34 m] | COLORADO BRAKE &amp; SUPPLY CO [FRS] (address match)</t>
  </si>
  <si>
    <t xml:space="preserve">Sand Creek/SND</t>
  </si>
  <si>
    <t xml:space="preserve">FIVE STAR CHEMICALS &amp; SUPPLY</t>
  </si>
  <si>
    <t xml:space="preserve">S00574</t>
  </si>
  <si>
    <t xml:space="preserve">5961 E 64TH AVE</t>
  </si>
  <si>
    <t xml:space="preserve">1966;1974;1977</t>
  </si>
  <si>
    <t xml:space="preserve">MITCHELL AND SUNS INC (1966-1977; SIC 3714)</t>
  </si>
  <si>
    <t xml:space="preserve">MITCHELL AND SUNS INC (1966) | DENVER WINDOW CORP (1992)</t>
  </si>
  <si>
    <t xml:space="preserve">Chemical Sales/CSC [CDPHE CDPHE Superfund] (inside site boundary)</t>
  </si>
  <si>
    <t xml:space="preserve">CVS PHARMACY #COCOM1B01 [FRS; 4 m] | CVS PHARMACY #COCOM1B01 [CDPHE RCRA; 25 m] | FAMILY DOLLAR #9094 [FRS; 26 m]</t>
  </si>
  <si>
    <t xml:space="preserve">CVS PHARMACY #COCOM1B01</t>
  </si>
  <si>
    <t xml:space="preserve">S00576</t>
  </si>
  <si>
    <t xml:space="preserve">6326 IVY</t>
  </si>
  <si>
    <t xml:space="preserve">TAUCHE'S BAKERY 3272 MISC CONCRETE PRODUCTS (1967; SIC 2951)</t>
  </si>
  <si>
    <t xml:space="preserve">TAUCHE'S BAKERY (1966) | TAUCHE'S BAKERY 3272 MISC CONCRETE PRODUCTS (1967)</t>
  </si>
  <si>
    <t xml:space="preserve">DPC INDUSTRIES INC</t>
  </si>
  <si>
    <t xml:space="preserve">PERFECTA CLNRS</t>
  </si>
  <si>
    <t xml:space="preserve">S00577</t>
  </si>
  <si>
    <t xml:space="preserve">5321 DAHLIA ST</t>
  </si>
  <si>
    <t xml:space="preserve">1966;1967;1970;1973;1974;1980;1983;1990</t>
  </si>
  <si>
    <t xml:space="preserve">TIME CHEMICAL CORP (1966; SIC 1035) | COLORACO INTERNATIONAL CORP (1967-1970; SIC 2872) | HAINS ENGINEERING CORP (1973-1974; SIC 3443,3498) | COLORADO ORGANIC CHEMICAL CO INC (1980-1983; SIC 2874,2879) | 8 + D BRAKE SUPPLY CO INC (1983; SIC 3714) | CHEN-REAL INVESTMENT CORP (1990; SIC 2819)</t>
  </si>
  <si>
    <t xml:space="preserve">TIME CHEMICAL CORP (1966) | COLORACO INTERNATIONAL CORP (1967) | HAINS ENGINEERING CORP (1973) | COLORADO ORGANIC CHEMICAL CO INC (1980) | 8 + D BRAKE SUPPLY CO INC (1983) | CHEN-REAL INVESTMENT CORP (1990)</t>
  </si>
  <si>
    <t xml:space="preserve">COLORADO ORGANIC CHEMICAL SITE/MATTESON WAREHOUSE [FRS; name match, 46 m] | COLORADO ORGANIC CHEMICAL CO INC [FRS; name match, 64 m] | Sand Creek/SND [CDPHE CDPHE Superfund; 49 m] | COLORADO ORGANIC CHEMICAL CO INC [FRS] (address match) | Sand Creek/SND [CDPHE CDPHE Superfund] (inside site boundary)</t>
  </si>
  <si>
    <t xml:space="preserve">WESLEY INDUSTRIES INC. [FRS; 64 m] | WESLEY INDUSTRIES INC. [FRS] (address match)</t>
  </si>
  <si>
    <t xml:space="preserve">CHEM REAL INVESTMENT CORPORATION [FRS; name match, 64 m] | CHEM REAL INVESTMENT CORPORATION [FRS] (address match)</t>
  </si>
  <si>
    <t xml:space="preserve">COLORADO ORGANIC CHEMICAL SITE/MATTESON WAREHOUSE</t>
  </si>
  <si>
    <t xml:space="preserve">WESLEY INDUSTRIES INC.</t>
  </si>
  <si>
    <t xml:space="preserve">S00578</t>
  </si>
  <si>
    <t xml:space="preserve">6630 MONACO</t>
  </si>
  <si>
    <t xml:space="preserve">ALUMILUX-SCOTT INC (1966; SIC 3799)</t>
  </si>
  <si>
    <t xml:space="preserve">ALUMILUX-SCOTT INC (1966) |  (1968)</t>
  </si>
  <si>
    <t xml:space="preserve">S00603</t>
  </si>
  <si>
    <t xml:space="preserve">18200 COLFAX</t>
  </si>
  <si>
    <t xml:space="preserve">AURORA ASPHALT + PAVING CO (1966; SIC 3441)</t>
  </si>
  <si>
    <t xml:space="preserve">AURORA ASPHALT + PAVING CO (1966)</t>
  </si>
  <si>
    <t xml:space="preserve">Old Colfax Landfill [CDPHE Voluntary_Cleanup_and_Redevelopment_Program_(VCUP)_new; 212 m] | Colfax Landfill II [CDPHE Voluntary_Cleanup_and_Redevelopment_Program_(VCUP)_new; 212 m]</t>
  </si>
  <si>
    <t xml:space="preserve">U-PULL-AND-PAY LLC [CDPHE RCRA; 118 m] | U-PULL-AND-PAY LLC [FRS; 146 m] | ALL AUTO PARTS [FRS; 182 m]</t>
  </si>
  <si>
    <t xml:space="preserve">7-ELEVEN INC - 18351 E COLFAX AVE, 36956 [FRS; 53 m] | TRIPLE CREEK TRAILHEAD [FRS; 143 m] | VERIZON WIRELESS - BATAVIA [FRS; 144 m] | COLO DEPT OF HIGHWAYS #5009 [FRS; 144 m] | BUZZ'S AUTO BODY [FRS; 155 m] | HIGH LINE CANAL TRAIL IMPROVEMENTS (COLFAX AVENUE TO I-70) [FRS; 155 m] | BUZZ'S AUTO BODY [FRS; 175 m] | CORVETTE CITY [FRS; 175 m] | METAL MOVERS ZENO [FRS; 175 m] | KOA REGION 1 SITE IMPR</t>
  </si>
  <si>
    <t xml:space="preserve">Old Colfax Landfill</t>
  </si>
  <si>
    <t xml:space="preserve">U-PULL-AND-PAY LLC</t>
  </si>
  <si>
    <t xml:space="preserve">S00741</t>
  </si>
  <si>
    <t xml:space="preserve">4400 E 61ST AVE</t>
  </si>
  <si>
    <t xml:space="preserve">1966;1967;1968;1970;1973;1974;1990</t>
  </si>
  <si>
    <t xml:space="preserve">BOYLES GALVANIZING + PLATING CO (1966; SIC 3496) | BOYLES GALVANIZING + PLATING CO (1967-1990; SIC 3479,3481)</t>
  </si>
  <si>
    <t xml:space="preserve">BOYLES GALVANIZING + PLATING CO (1966) | BOYLES GALVANIZING + PLATING CO (1967)</t>
  </si>
  <si>
    <t xml:space="preserve">N.A. GALVANIZING CO - 4400 E 61ST AVE [FRS] (address match)</t>
  </si>
  <si>
    <t xml:space="preserve">AZZ GALVANIZING -DENVER [TRI] (address match)</t>
  </si>
  <si>
    <t xml:space="preserve">AZZ GALVANIZING SERVICES - DENVER [CDPHE RCRA] (address match)</t>
  </si>
  <si>
    <t xml:space="preserve">AZZ INC. [FRS] (address match)</t>
  </si>
  <si>
    <t xml:space="preserve">N.A. GALVANIZING CO - 4400 E 61ST AVE</t>
  </si>
  <si>
    <t xml:space="preserve">HYDROGATE ACQUISITION CORP</t>
  </si>
  <si>
    <t xml:space="preserve">CORNERSTON COATINGS / CLERMONT PRODUCTION FACILITY</t>
  </si>
  <si>
    <t xml:space="preserve">S01000</t>
  </si>
  <si>
    <t xml:space="preserve">5901 FEDERAL BLVO</t>
  </si>
  <si>
    <t xml:space="preserve">1966;1970;1973;1974</t>
  </si>
  <si>
    <t xml:space="preserve">WILLIAMS REFINING CO (1966-1974; SIC 2911)</t>
  </si>
  <si>
    <t xml:space="preserve">WILLIAMS REFINING CO (1966)</t>
  </si>
  <si>
    <t xml:space="preserve">ENGLAND WATER TREATMENT PLANT [FRS; 13 m] | 5900 FEDERAL [FRS; 55 m]</t>
  </si>
  <si>
    <t xml:space="preserve">W 60 AVE IMPROVEMENTS [FRS; 34 m]</t>
  </si>
  <si>
    <t xml:space="preserve">ENGLAND WATER TREATMENT PLANT</t>
  </si>
  <si>
    <t xml:space="preserve">CUNNINGHAM PROPERTY</t>
  </si>
  <si>
    <t xml:space="preserve">S01318</t>
  </si>
  <si>
    <t xml:space="preserve">4801 MONACO</t>
  </si>
  <si>
    <t xml:space="preserve">AEON PRECISION CO (1967; SIC 3542,3544)</t>
  </si>
  <si>
    <t xml:space="preserve">AEON PRECISION CO (1967) | BARON PRINT INC (1967) | BARON PRENT ENC (1980) | LICHT EDITIONS LTD (1983)</t>
  </si>
  <si>
    <t xml:space="preserve">MESA FIBERGLASS PROD CO</t>
  </si>
  <si>
    <t xml:space="preserve">MESA FIBERGLASS INC.CN</t>
  </si>
  <si>
    <t xml:space="preserve">YUASA EXIDE</t>
  </si>
  <si>
    <t xml:space="preserve">S01326</t>
  </si>
  <si>
    <t xml:space="preserve">5350 N FEDERAL BLVD</t>
  </si>
  <si>
    <t xml:space="preserve">FAMILY RECREATION + SUPPLY CO (1967-1970; SIC 3429,3949)</t>
  </si>
  <si>
    <t xml:space="preserve">FAMILY RECREATION + SUPPLY CO (1967)</t>
  </si>
  <si>
    <t xml:space="preserve">53RD &amp; FEDERAL [FRS; 139 m] | Marycrest Assisted Living [CDPHE Voluntary_Cleanup_and_Redevelopment_Program_(VCUP)_new; 184 m]</t>
  </si>
  <si>
    <t xml:space="preserve">MUNOZ AUTO [FRS; 16 m] | DERRY AUTO BODY [FRS; 72 m] | PRO STREET RODS [FRS; 117 m] | FAMILY DOLLAR #8668 [FRS; 121 m] | ADVANCED AUTO [FRS; 214 m]</t>
  </si>
  <si>
    <t xml:space="preserve">ARIA NW DETENTION POND [FRS; 44 m] | MARYCREST HIGH SCHOOL [FRS; 106 m] | SUPREME TOUCH AUTO BODY [FRS; 117 m] | CR 2 VEHICLES CO DAVE BROOKS AUTO (ADAMS [FRS; 117 m] | DERRY ENTERPRISES INC [FRS; 117 m] | HERMOSA VETERINARY CLINIC [FRS; 145 m] | EMMANS HOUSE [FRS; 203 m] | 3075 W. 53RD AVE. MINOR SUBDIVISION [FRS; 210 m]</t>
  </si>
  <si>
    <t xml:space="preserve">53RD &amp; FEDERAL</t>
  </si>
  <si>
    <t xml:space="preserve">MUNOZ AUTO</t>
  </si>
  <si>
    <t xml:space="preserve">S01649</t>
  </si>
  <si>
    <t xml:space="preserve">4950 NIAGARA</t>
  </si>
  <si>
    <t xml:space="preserve">1968;1970;1973;1974;1980</t>
  </si>
  <si>
    <t xml:space="preserve">c OM TOOL + CIE (1968-1980; SIC 3544) | UsS- POLYGLASS (1973; SIC 3079)</t>
  </si>
  <si>
    <t xml:space="preserve">c OM TOOL + CIE (1968) | UsS- POLYGLASS (1973) | AUSTRO FURNITURE CO (1983)</t>
  </si>
  <si>
    <t xml:space="preserve">CDM MACHINING AND FABRICATION [FRS; 6 m] | Chemical Sales/CSC [CDPHE CDPHE Superfund] (inside site boundary)</t>
  </si>
  <si>
    <t xml:space="preserve">FIVE STAR AFFILIATES</t>
  </si>
  <si>
    <t xml:space="preserve">DENVER IRON WORKS</t>
  </si>
  <si>
    <t xml:space="preserve">S01654</t>
  </si>
  <si>
    <t xml:space="preserve">8810 LANDER</t>
  </si>
  <si>
    <t xml:space="preserve">Chemicals; Petroleum refining</t>
  </si>
  <si>
    <t xml:space="preserve">1968;1973;1983;1988;1990</t>
  </si>
  <si>
    <t xml:space="preserve">OIAMON GLOW CC (1968; SIC 2842,2051) | DIAMON GLOW CO (1973-1990; SIC 2899,2842,2051) | DIAMOND GLOW WATCHEJLRY.CLEANSFLUIDS CO (1983; SIC 2842) | D.B.A.-RESEARCH CHEMICAL WEStMINGTES ADAMS (1988; SIC 2842,2992)</t>
  </si>
  <si>
    <t xml:space="preserve">OIAMON GLOW CC (1968) | DIAMON GLOW CO (1973) | DIAMOND GLOW WATCHEJLRY.CLEANSFLUIDS CO (1983) | D.B.A.-RESEARCH CHEMICAL WEStMINGTES ADAMS (1988)</t>
  </si>
  <si>
    <t xml:space="preserve">SHAW HEIGHTS CLEANERS [CDPHE Institutional_Controls_PROD_local; 89 m] | SHAW HEIGHTS CLEANERS [CDPHE Institutional_Controls_PROD_local] (inside site boundary)</t>
  </si>
  <si>
    <t xml:space="preserve">SHAW HEIGHTS CLEANERS</t>
  </si>
  <si>
    <t xml:space="preserve">S01820</t>
  </si>
  <si>
    <t xml:space="preserve">1170 W 46TH</t>
  </si>
  <si>
    <t xml:space="preserve">R MT PLASTICS (1983; SIC 2599,3079,2449)</t>
  </si>
  <si>
    <t xml:space="preserve">TASTY FCODS INC (1968) | R MT PLASTICS (1983)</t>
  </si>
  <si>
    <t xml:space="preserve">RAMP IND INC [FRS; 33 m]</t>
  </si>
  <si>
    <t xml:space="preserve">AMRP HIGHLANDS 10 MW IP RENEWAL [FRS; 20 m]</t>
  </si>
  <si>
    <t xml:space="preserve">HUSKAR</t>
  </si>
  <si>
    <t xml:space="preserve">S01971</t>
  </si>
  <si>
    <t xml:space="preserve">8200 E 96TH AVE</t>
  </si>
  <si>
    <t xml:space="preserve">1970;1973;1980;1983</t>
  </si>
  <si>
    <t xml:space="preserve">BEALL TRANSPORT EQUIPMENT SALES CO (1970; SIC 3715) | BEALL EQUIPMENT CORP OF COLORADO (1973; SIC 3715) | TEMPTE-BEALL, INC (1980-1983; SIC 3799)</t>
  </si>
  <si>
    <t xml:space="preserve">BEALL TRANSPORT EQUIPMENT SALES CO (1970) | BEALL EQUIPMENT CORP OF COLORADO (1973) | TEMPTE-BEALL, INC (1980)</t>
  </si>
  <si>
    <t xml:space="preserve">TIMPTE-BEALL INC [FRS] (address match)</t>
  </si>
  <si>
    <t xml:space="preserve">REBAR COATING &amp; FABRICATION [FRS; 97 m] | DENVER ARCHITECHURAL PRECAST INC [FRS] (address match) | DENVER ARCHITECTURAL PRECAST INC [TRI] (address match)</t>
  </si>
  <si>
    <t xml:space="preserve">HOLCIM (US), INC. [FRS; 22 m]</t>
  </si>
  <si>
    <t xml:space="preserve">REBAR COATING &amp; FABRICATION</t>
  </si>
  <si>
    <t xml:space="preserve">CUMMINS INC - HENDERSON BRANCH</t>
  </si>
  <si>
    <t xml:space="preserve">S02233</t>
  </si>
  <si>
    <t xml:space="preserve">6525 WASHINGTON ST N</t>
  </si>
  <si>
    <t xml:space="preserve">Fabricated metals; Industrial machinery; Petroleum refining</t>
  </si>
  <si>
    <t xml:space="preserve">JET PRECISION INC (1970-1974; SIC 3461,3444) | JET PRECISION INC T J PRICE MKTG DIR (1973; SIC 3469) | WESTERN SALES + SUPPLY CO (1973-1974; SIC 3589,3949,3451) | ARROW SHEET METAL PRODUCTS CO (1977; SIC 3444) | CRYOGENIC ENERGY CORP (1980-1983; SIC 3443,3559) | SARAS EES Rc (1988; SIC 2431,3679,2901) | GARAGE DOOR SPECIALTIES INC (1990; SIC 2431,3679)</t>
  </si>
  <si>
    <t xml:space="preserve">JET PRECISION INC (1970) | JET PRECISION INC T J PRICE MKTG DIR (1973) | WESTERN SALES + SUPPLY CO (1973) | DESIGN MANUFACTURING INC (1974) | ARROW SHEET METAL PRODUCTS CO (1977) | CARSON CONCRETE CASTING CO INC (1977) | CRYOGENIC ENERGY CORP (1980) | QUALITY COUNTER TOPS INC (1980) | SARAS EES Rc (1988) | GARAGE DOOR SPECIALTIES INC (1990)</t>
  </si>
  <si>
    <t xml:space="preserve">JWBSK INC. DBA WEAVER ELECTRIC COMPANY [FRS; 96 m]</t>
  </si>
  <si>
    <t xml:space="preserve">CRYENCO INC [FRS; 1 m] | REGION 8 ENVIRO LLC - UNIT K [FRS; 4 m]</t>
  </si>
  <si>
    <t xml:space="preserve">PRECISION PIPE SERVICES LLC [FRS; 3 m] | MAVERICK BIOFUELS, INC. - M2 FACILITY [FRS; 3 m] | WESTERN FREIGHTWAYS INC [FRS; 18 m] | BUFFALO EXPRESS INC [FRS; 18 m]</t>
  </si>
  <si>
    <t xml:space="preserve">MILLER BROTHERS INC [FRS; 18 m]</t>
  </si>
  <si>
    <t xml:space="preserve">JWBSK INC. DBA WEAVER ELECTRIC COMPANY</t>
  </si>
  <si>
    <t xml:space="preserve">CRYENCO INC</t>
  </si>
  <si>
    <t xml:space="preserve">PRECISION PIPE SERVICES LLC</t>
  </si>
  <si>
    <t xml:space="preserve">S02193</t>
  </si>
  <si>
    <t xml:space="preserve">6348 HOLLY</t>
  </si>
  <si>
    <t xml:space="preserve">ALLANS ENTERPRISES (1973; SIC 3714,3446)</t>
  </si>
  <si>
    <t xml:space="preserve">ALLANS ENTERPRISES (1973)</t>
  </si>
  <si>
    <t xml:space="preserve">Former Commerce City Dog Track/CDT [CDPHE Institutional_Controls_PROD_local] (inside site boundary) | Chemical Sales/CSC [CDPHE CDPHE Superfund] (inside site boundary)</t>
  </si>
  <si>
    <t xml:space="preserve">DPC INDUSTRIES INC [TRI; 22 m]</t>
  </si>
  <si>
    <t xml:space="preserve">ALBERT FREI &amp; SONS INC</t>
  </si>
  <si>
    <t xml:space="preserve">S02203</t>
  </si>
  <si>
    <t xml:space="preserve">5155 E 64TH AVE</t>
  </si>
  <si>
    <t xml:space="preserve">GREAT DIVIDE COACH MFG CO (1973-1974; SIC 3792)</t>
  </si>
  <si>
    <t xml:space="preserve">GREAT DIVIDE COACH MFG CO (1973)</t>
  </si>
  <si>
    <t xml:space="preserve">Former Commerce City Dog Track/CDT [CDPHE Institutional_Controls_PROD_local] (inside site boundary)</t>
  </si>
  <si>
    <t xml:space="preserve">Former Commerce City Dog Track/CDT</t>
  </si>
  <si>
    <t xml:space="preserve">S02204</t>
  </si>
  <si>
    <t xml:space="preserve">5591 LEYDEN</t>
  </si>
  <si>
    <t xml:space="preserve">1973;1977;1988</t>
  </si>
  <si>
    <t xml:space="preserve">KK TROPHIES INC (1973-1977; SIC 3499,2499) | SURFAS MFG+SUPPLY (1988; SIC 3482,3849)</t>
  </si>
  <si>
    <t xml:space="preserve">KK TROPHIES INC (1973) | SURFAS HFG * SUPPLY 2387 BEADED BELTS (1983) | SURFAS MFG+SUPPLY (1988)</t>
  </si>
  <si>
    <t xml:space="preserve">SEDITA MANUFACTURING [FRS; 38 m]</t>
  </si>
  <si>
    <t xml:space="preserve">MOUNTAIN MARINE INDUSTRIES, INC. [FRS; 18 m]</t>
  </si>
  <si>
    <t xml:space="preserve">CURTIS LANDSCAPING</t>
  </si>
  <si>
    <t xml:space="preserve">SEDITA MANUFACTURING</t>
  </si>
  <si>
    <t xml:space="preserve">S02209</t>
  </si>
  <si>
    <t xml:space="preserve">4100 E 60TH AVE</t>
  </si>
  <si>
    <t xml:space="preserve">MACHINE LABORATORY (1973-1990; SIC 3591)</t>
  </si>
  <si>
    <t xml:space="preserve">MACHINE LABORATORY (1973)</t>
  </si>
  <si>
    <t xml:space="preserve">WEAVER ELECTRIC LOT #2 [FRS; 95 m] | SUNCOR REFINERY YELLOW PLUME [FRS; 192 m]</t>
  </si>
  <si>
    <t xml:space="preserve">D&amp;R TRANSFER STATION - WASTE MANAGEMENT OF COLORADO INC [CDPHE RCRA; 166 m] | D&amp;R TRANSFER STATION - WASTE MANAGEMENT OF COLORADO INC [FRS; 166 m] | RTD NORTH METRO RAIL LINE PROJECT [FRS; 179 m] | BETZDEARBORN INC [FRS; 179 m] | DENVER OIL LLC [FRS] (address match) | DENVER OIL LLC [CDPHE RCRA] (address match)</t>
  </si>
  <si>
    <t xml:space="preserve">4150 E. 60TH AVE [FRS; 86 m] | 4150 E 60TH AVE [FRS; 86 m] | COMMERCE CITY DISPOSAL AND RECYCLING TRANSFER STATION [FRS; 165 m] | WASTE MANAGEMENT OF COLORADO [FRS; 165 m] | GEM MOBILE [FRS; 179 m] | DENVER WEST [FRS; 179 m] | DENVER TERMINAL [FRS; 179 m] | DENVER EAST [FRS; 179 m] | SCBW SUBSURFACE BARRIER WALL INSTALLATION [FRS; 179 m] | DENVER RAIL [FRS; 179 m] | DENVER REFINERY [FRS; 179 m] | </t>
  </si>
  <si>
    <t xml:space="preserve">WEAVER ELECTRIC LOT #2</t>
  </si>
  <si>
    <t xml:space="preserve">D&amp;R TRANSFER STATION - WASTE MANAGEMENT OF COLORADO INC</t>
  </si>
  <si>
    <t xml:space="preserve">S02212</t>
  </si>
  <si>
    <t xml:space="preserve">6421 E 49 OR</t>
  </si>
  <si>
    <t xml:space="preserve">SILL-MAR MFG CO (1973-1977; SIC 3079) | QUAD-B INC (1977; SIC 3079)</t>
  </si>
  <si>
    <t xml:space="preserve">SILL-MAR MFG CO (1973) | QUAD-B INC (1977)</t>
  </si>
  <si>
    <t xml:space="preserve">MESA FIBERGLASS PROD CO [FRS; 47 m] | Chemical Sales/CSC [CDPHE CDPHE Superfund] (inside site boundary)</t>
  </si>
  <si>
    <t xml:space="preserve">MESA FIBERGLASS INC.CN [FRS; 68 m]</t>
  </si>
  <si>
    <t xml:space="preserve">COMMERCE CITY SHOP [FRS; 14 m] | ELITE AUTO BODY II [FRS; 15 m]</t>
  </si>
  <si>
    <t xml:space="preserve">COMMERCE CITY SHOP</t>
  </si>
  <si>
    <t xml:space="preserve">S02213</t>
  </si>
  <si>
    <t xml:space="preserve">4306 E 60TH AVE</t>
  </si>
  <si>
    <t xml:space="preserve">UNITED ASPHALTS INC (1973-1990; SIC 2952)</t>
  </si>
  <si>
    <t xml:space="preserve">UNITED ASPHALTS INC (1973)</t>
  </si>
  <si>
    <t xml:space="preserve">UNITED ASPHALTS - 4306 E 60TH AVE [FRS; name match, 175 m] | UNITED ASPHALTS - 4306 E 60TH AVE [FRS] (address match)</t>
  </si>
  <si>
    <t xml:space="preserve">BKEP MATERIALS - DENVER C &amp; K [FRS; 90 m]</t>
  </si>
  <si>
    <t xml:space="preserve">UNITED ASPHALTS - 4306 E 60TH AVE</t>
  </si>
  <si>
    <t xml:space="preserve">BKEP MATERIALS - DENVER C &amp; K</t>
  </si>
  <si>
    <t xml:space="preserve">PROTECH BUILDING SERVICES</t>
  </si>
  <si>
    <t xml:space="preserve">S02214</t>
  </si>
  <si>
    <t xml:space="preserve">4945 MONACO</t>
  </si>
  <si>
    <t xml:space="preserve">WESTERN COMPUTER METAL PRODUCTS, INC (1973-1977; SIC 3499) | WHALE SCIENTIFIC CO (1990; SIC 3089)</t>
  </si>
  <si>
    <t xml:space="preserve">WESTERN COMPUTER METAL PRODUCTS, INC (1973) | TELAN CORPORATION (1980) | WHALE SCIENTIFIC CO (1990)</t>
  </si>
  <si>
    <t xml:space="preserve">WHALE SCIENTIFIC INC [FRS; name match, 9 m]</t>
  </si>
  <si>
    <t xml:space="preserve">Sum Computers Inc [CDPHE Solid_Waste_Facilities; 10 m]</t>
  </si>
  <si>
    <t xml:space="preserve">WHALE SCIENTIFIC INC</t>
  </si>
  <si>
    <t xml:space="preserve">S02229</t>
  </si>
  <si>
    <t xml:space="preserve">6066 E 49TH AVE</t>
  </si>
  <si>
    <t xml:space="preserve">1973;1988</t>
  </si>
  <si>
    <t xml:space="preserve">SUBTERRANEAN TOOLS» INC (1973; SIC 3532) | ROCKY MTN PRO CLEAN (1988; SIC 2842)</t>
  </si>
  <si>
    <t xml:space="preserve">SUBTERRANEAN TOOLS» INC (1973) | ROCKY MTN PRO CLEAN (1988) | THE PILLOW SHOPPE INC (1990)</t>
  </si>
  <si>
    <t xml:space="preserve">PRO CLEAN [FRS; name match, 61 m] | PRO CLEAN [FRS] (address match) | Chemical Sales/CSC [CDPHE CDPHE Superfund] (inside site boundary)</t>
  </si>
  <si>
    <t xml:space="preserve">THE PILLOW SHOP [FRS; name match, 42 m] | LAKESHORE INC [FRS; 22 m] | SYSTEMATIC TRADE [FRS; 26 m]</t>
  </si>
  <si>
    <t xml:space="preserve">PILLOW SHOPPE INC DBA COLLIERS OF COLO [FRS; name match, 92 m]</t>
  </si>
  <si>
    <t xml:space="preserve">PRO CLEAN</t>
  </si>
  <si>
    <t xml:space="preserve">LAKESHORE INC</t>
  </si>
  <si>
    <t xml:space="preserve">S02746</t>
  </si>
  <si>
    <t xml:space="preserve">5390 E 72ND AVE</t>
  </si>
  <si>
    <t xml:space="preserve">1974;1977;1990</t>
  </si>
  <si>
    <t xml:space="preserve">CUSTCM REFINING COMPANY (1974-1977; SIC 2992) | MILT ADAMS INC (1990; SIC 2992)</t>
  </si>
  <si>
    <t xml:space="preserve">CUSTCM REFINING COMPANY (1974) | MILT ADAMS INC (1990)</t>
  </si>
  <si>
    <t xml:space="preserve">MILT ADAMS INC OR APPROVED DRAIN OIL SER [FRS] (address match)</t>
  </si>
  <si>
    <t xml:space="preserve">MAI APPROVED OIL SERVICE INC [FRS; 15 m] | MAI APPROVED OIL SERVICE INC [FRS] (address match)</t>
  </si>
  <si>
    <t xml:space="preserve">BOLD PETROLEUM INC [FRS; 25 m] | COLORADO ASPHALT WORKS, INC [FRS] (address match)</t>
  </si>
  <si>
    <t xml:space="preserve">Approved Oil (N Parcel)</t>
  </si>
  <si>
    <t xml:space="preserve">MAI APPROVED OIL SERVICE INC</t>
  </si>
  <si>
    <t xml:space="preserve">S02754</t>
  </si>
  <si>
    <t xml:space="preserve">7777 BRIGHTON RD</t>
  </si>
  <si>
    <t xml:space="preserve">DUPONT</t>
  </si>
  <si>
    <t xml:space="preserve">80024</t>
  </si>
  <si>
    <t xml:space="preserve">COLORADO TORCH INDUSTRIES», INC (1974; SIC 3448,3441)</t>
  </si>
  <si>
    <t xml:space="preserve">COLORADO TORCH INDUSTRIES», INC (1974)</t>
  </si>
  <si>
    <t xml:space="preserve">RESOURCE ENVIRONMENTAL GROUP SERVICES [FRS; 80 m] | J C DIESEL [FRS; 165 m] | WESTERN TRUCK PARTS INC [FRS; 208 m] | CONVIENCE PLUS WAREHOUSE [FRS; 239 m]</t>
  </si>
  <si>
    <t xml:space="preserve">KENWOOD OUTFALL STORM SEWER [FRS; 104 m] | WITTMUSS MOBILE HOME PARK [FRS; 143 m] | KENWOOD OUTFALL PH III [FRS; 171 m] | KENWOOD MICROTUNNEL HWY 85 CROSSING [FRS; 181 m] | 76  TO 77 AVE STORM SEWER [FRS; 247 m] | ALLIED DEMO - ALLIED RECYCLED AGGREGATES [FRS; 248 m]</t>
  </si>
  <si>
    <t xml:space="preserve">RESOURCE ENVIRONMENTAL GROUP SERVICES</t>
  </si>
  <si>
    <t xml:space="preserve">S02756</t>
  </si>
  <si>
    <t xml:space="preserve">6001 DEXTER</t>
  </si>
  <si>
    <t xml:space="preserve">FLEET EQUIPMENT CO (1974; SIC 3714)</t>
  </si>
  <si>
    <t xml:space="preserve">FLEET EQUIPMENT CO (1974)</t>
  </si>
  <si>
    <t xml:space="preserve">DEXTER &amp; 60TH [FRS; 2 m] | DEXTER &amp; 60TH [FRS] (address match)</t>
  </si>
  <si>
    <t xml:space="preserve">FORMER CHEVRON SVC STA 7 0273 [FRS; 2 m] | 25826 SH 2 (VASQUEZ) AND 60TH AVENUE [FRS; 21 m]</t>
  </si>
  <si>
    <t xml:space="preserve">6025/6075 PARKWAY DR (VACANT FIELD)</t>
  </si>
  <si>
    <t xml:space="preserve">S02757</t>
  </si>
  <si>
    <t xml:space="preserve">5253 GRAPE CRIVE</t>
  </si>
  <si>
    <t xml:space="preserve">INTERMCUNTAIN RUBBER INDUSTRIES (1974-1980; SIC 3069)</t>
  </si>
  <si>
    <t xml:space="preserve">INTERMCUNTAIN RUBBER INDUSTRIES (1974) | PRECAST BUILDING SYSTEMS INC (1988)</t>
  </si>
  <si>
    <t xml:space="preserve">BISHOP [FRS; 15 m]</t>
  </si>
  <si>
    <t xml:space="preserve">RIVERDALE POINTE [FRS; 148 m]</t>
  </si>
  <si>
    <t xml:space="preserve">BISHOP</t>
  </si>
  <si>
    <t xml:space="preserve">S02760</t>
  </si>
  <si>
    <t xml:space="preserve">5870 E 56TH</t>
  </si>
  <si>
    <t xml:space="preserve">1974;1977;1988;1990;1992</t>
  </si>
  <si>
    <t xml:space="preserve">STANDARD METAL FABR (1974-1977; SIC 3444) | WATERSAVER CO INC (1988-1992; SIC 3069,3089,3433)</t>
  </si>
  <si>
    <t xml:space="preserve">STANDARD METAL FABR (1974) | WATERSAVER CO INC (1988)</t>
  </si>
  <si>
    <t xml:space="preserve">A R WILFLEY &amp; SONS INC [FRS; 45 m]</t>
  </si>
  <si>
    <t xml:space="preserve">WATERSAVER CO INC [FRS; name match, 45 m] | ORIBI MANUFACTURING [FRS; 19 m]</t>
  </si>
  <si>
    <t xml:space="preserve">FRANZEN AND SONS</t>
  </si>
  <si>
    <t xml:space="preserve">A R WILFLEY &amp; SONS INC</t>
  </si>
  <si>
    <t xml:space="preserve">APPLIED CONTROL EQUIPMENT LLLP</t>
  </si>
  <si>
    <t xml:space="preserve">S02764</t>
  </si>
  <si>
    <t xml:space="preserve">4915 NIAGARA</t>
  </si>
  <si>
    <t xml:space="preserve">CONNOR SPRING + MANUFACTURING CO (1980; SIC 3495,3469,3496) | ACCESSORIES TFICO (1988; SIC 3084,3089,3864)</t>
  </si>
  <si>
    <t xml:space="preserve">WHATLEY W J INC (1974) | CONNOR SPRING + MANUFACTURING CO (1980) | ACCESSORIES TFICO (1988)</t>
  </si>
  <si>
    <t xml:space="preserve">THERMOPLASTIC FABRICATIONS INC [FRS; 11 m]</t>
  </si>
  <si>
    <t xml:space="preserve">KNIGHT PRINTING CO</t>
  </si>
  <si>
    <t xml:space="preserve">S02922</t>
  </si>
  <si>
    <t xml:space="preserve">431 W 84TH AVE</t>
  </si>
  <si>
    <t xml:space="preserve">KNERL SHEET METAL INC (1974-1990; SIC 3444)</t>
  </si>
  <si>
    <t xml:space="preserve">KNERL SHEET METAL INC (1974)</t>
  </si>
  <si>
    <t xml:space="preserve">ECONO LUBE N TUNE # 206 [FRS; 32 m]</t>
  </si>
  <si>
    <t xml:space="preserve">SEARS ROEBUCK &amp; CO. [FRS; 111 m] | IMAGE CLEANERS [FRS; 169 m] | ACCUPRINT [FRS; 232 m]</t>
  </si>
  <si>
    <t xml:space="preserve">MIDWEST HAULERS INC [FRS; 61 m] | NORTH STAR PRINTING [FRS; 78 m] | ENERGY TECHNOLOGIES GROUP, INC. [FRS; 95 m] | BIG RED Q QUICKPRINT [FRS; 232 m]</t>
  </si>
  <si>
    <t xml:space="preserve">ECONO LUBE N TUNE # 206</t>
  </si>
  <si>
    <t xml:space="preserve">SEARS ROEBUCK &amp; CO.</t>
  </si>
  <si>
    <t xml:space="preserve">S03185</t>
  </si>
  <si>
    <t xml:space="preserve">9700 FAIRFAX</t>
  </si>
  <si>
    <t xml:space="preserve">KENDO INCORPORATED (1977; SIC 3531,3441,3599)</t>
  </si>
  <si>
    <t xml:space="preserve">KENDO INCORPORATED (1977)</t>
  </si>
  <si>
    <t xml:space="preserve">BISHOP [FRS; 247 m]</t>
  </si>
  <si>
    <t xml:space="preserve">S03187</t>
  </si>
  <si>
    <t xml:space="preserve">6471 E 49TH DR</t>
  </si>
  <si>
    <t xml:space="preserve">MESA FIBERGLASS PROD CO (1977-1990; SIC 3079)</t>
  </si>
  <si>
    <t xml:space="preserve">MESA FIBERGLASS PROD CO (1977)</t>
  </si>
  <si>
    <t xml:space="preserve">MESA FIBERGLASS PROD CO [FRS; name match, 22 m] | MESA FIBERGLASS PROD CO [FRS] (address match) | Chemical Sales/CSC [CDPHE CDPHE Superfund] (inside site boundary)</t>
  </si>
  <si>
    <t xml:space="preserve">MESA FIBERGLASS INC.CN [FRS; name match, 1 m] | MESA FIBERGLASS INC [TRI; name match, 72 m] | MESA FIBERGLASS INC [TRI] (address match)</t>
  </si>
  <si>
    <t xml:space="preserve">UE COMPRESSION  LLC [CDPHE RCRA] (address match)</t>
  </si>
  <si>
    <t xml:space="preserve">PRECISION PIPE &amp; VESSEL, LLC [FRS; 1 m] | U E COMPRESSION 49 DR [FRS; 22 m] | RIDGEATTHORNTONSTATION [FRS; 28 m]</t>
  </si>
  <si>
    <t xml:space="preserve">ELITE AUTO BODY II</t>
  </si>
  <si>
    <t xml:space="preserve">S03188</t>
  </si>
  <si>
    <t xml:space="preserve">8250 PONTIAC</t>
  </si>
  <si>
    <t xml:space="preserve">MOUNTAIN STATES BUILDING PRODUCTS (1977; SIC 3446)</t>
  </si>
  <si>
    <t xml:space="preserve">MOUNTAIN STATES BUILDING PRODUCTS (1977)</t>
  </si>
  <si>
    <t xml:space="preserve">COLOGRAPHIC INC.</t>
  </si>
  <si>
    <t xml:space="preserve">S03189</t>
  </si>
  <si>
    <t xml:space="preserve">5433 NEWPORT</t>
  </si>
  <si>
    <t xml:space="preserve">NATIONAL SMELTING + REFINING CO (1977-1980; SIC 3341)</t>
  </si>
  <si>
    <t xml:space="preserve">NATIONAL SMELTING + REFINING CO (1977)</t>
  </si>
  <si>
    <t xml:space="preserve">SUPREME AUTOBODY [FRS; 39 m]</t>
  </si>
  <si>
    <t xml:space="preserve">NATL SMELTING &amp; REFINING CO [FRS; name match, 97 m]</t>
  </si>
  <si>
    <t xml:space="preserve">MATHESON TRUCK PARTS &amp; REPAIR</t>
  </si>
  <si>
    <t xml:space="preserve">W.J. WHATLEY INC.</t>
  </si>
  <si>
    <t xml:space="preserve">SUPREME AUTOBODY</t>
  </si>
  <si>
    <t xml:space="preserve">S03193</t>
  </si>
  <si>
    <t xml:space="preserve">6980 E 54TH PL</t>
  </si>
  <si>
    <t xml:space="preserve">1977;1980;1990</t>
  </si>
  <si>
    <t xml:space="preserve">WHATLEYs WJ» INC (1977-1990; SIC 3079,3949)</t>
  </si>
  <si>
    <t xml:space="preserve">WHATLEYs WJ» INC (1977)</t>
  </si>
  <si>
    <t xml:space="preserve">W J WHATLEY INCORPORATED [FRS; 2 m] | W J WHATLEY INCORPORATED [FRS] (address match) | Chemical Sales/CSC [CDPHE CDPHE Superfund] (inside site boundary)</t>
  </si>
  <si>
    <t xml:space="preserve">W.J. WHATLEY INC. [TRI; 45 m] | W.J. WHATLEY INC. [TRI] (address match)</t>
  </si>
  <si>
    <t xml:space="preserve">W J WHATLEY INCORPORATED</t>
  </si>
  <si>
    <t xml:space="preserve">S03578</t>
  </si>
  <si>
    <t xml:space="preserve">5423 E 52ND AVE</t>
  </si>
  <si>
    <t xml:space="preserve">ADVANTAGE MFG COs INC (1980; SIC 3599,3561,3599)</t>
  </si>
  <si>
    <t xml:space="preserve">ADVANTAGE MFG COs INC (1980)</t>
  </si>
  <si>
    <t xml:space="preserve">THERMO KING [FRS; 74 m] | Sand Creek/SND [CDPHE CDPHE Superfund] (inside site boundary)</t>
  </si>
  <si>
    <t xml:space="preserve">T R TRUCK REPAIR [FRS; 9 m]</t>
  </si>
  <si>
    <t xml:space="preserve">COMMERCE CITY COLLISION -5421 E 52ND AVE [FRS; 9 m] | EXACTA RUBBER INC [FRS; 13 m] | DENVER CARTAGE COMPANY - DENVER CARTAGE COMPANY - [FRS; 19 m]</t>
  </si>
  <si>
    <t xml:space="preserve">THERMO KING</t>
  </si>
  <si>
    <t xml:space="preserve">T R TRUCK REPAIR</t>
  </si>
  <si>
    <t xml:space="preserve">S03581</t>
  </si>
  <si>
    <t xml:space="preserve">6625 E 49TH</t>
  </si>
  <si>
    <t xml:space="preserve">CASE-COTTER TNC (1980-1990; SIC 3589)</t>
  </si>
  <si>
    <t xml:space="preserve">CASE-COTTER TNC (1980) | MIDWEST FEATHER CO INC (1990)</t>
  </si>
  <si>
    <t xml:space="preserve">THERMOPLASTIC FABRICATIONS INC [FRS; 24 m] | LEE SOAP [FRS; 30 m]</t>
  </si>
  <si>
    <t xml:space="preserve">S03583</t>
  </si>
  <si>
    <t xml:space="preserve">6580 49TH AVE</t>
  </si>
  <si>
    <t xml:space="preserve">ENGINEERED GRATING INC (1980; SIC 3446)</t>
  </si>
  <si>
    <t xml:space="preserve">ENGINEERED GRATING INC (1980)</t>
  </si>
  <si>
    <t xml:space="preserve">CDM MACHINING AND FABRICATION [FRS; 121 m] | MESA FIBERGLASS PROD CO [FRS; 155 m] | Chemical Sales/CSC [CDPHE CDPHE Superfund] (inside site boundary)</t>
  </si>
  <si>
    <t xml:space="preserve">MESA FIBERGLASS INC [TRI; 61 m] | MESA FIBERGLASS INC.CN [FRS; 134 m]</t>
  </si>
  <si>
    <t xml:space="preserve">SYSTEMATIC TRADE [CDPHE RCRA; 2 m] | KNIGHT PRINTING CO [CDPHE RCRA; 2 m] | KNIGHT PRINTING CO INC [FRS; 9 m] | WHALE SCIENTIFIC INC [FRS; 138 m] | DENVER IRON WORKS [FRS; 178 m] | REGION 8 ENVIRO LLC [FRS; 186 m] | MARKETING DATA SOLUTIONS, LLC DBA REGION 8 INTERNATIONAL [FRS; 186 m] | ELITE AUTO BODY II [FRS; 186 m] | COMMERCE CITY SHOP [FRS; 187 m] | ELITE AUTO BODY INC [FRS; 204 m] | THERMO KI</t>
  </si>
  <si>
    <t xml:space="preserve">Sum Computers Inc [CDPHE Solid_Waste_Facilities; 145 m]</t>
  </si>
  <si>
    <t xml:space="preserve">THERMOPLASTIC FABRICATIONS INC [FRS; 51 m] | LEE SOAP [FRS; 84 m] | AMERICAN ENGRAVING CO [FRS; 97 m] | RIDGEATTHORNTONSTATION [FRS; 130 m] | PRECISION PIPE &amp; VESSEL, LLC [FRS; 132 m] | U E COMPRESSION 49 DR [FRS; 155 m] | SUTRAK WAREHOUSE [FRS; 171 m] | COMMERCIAL WOOD PRODUCTS [FRS; 178 m] | 6820 E 49 AVE OUTDOOR STORAGE LOT [FRS; 178 m] | REGION 8 ENVIRO LLC [FRS; 186 m] | COLORADO CONTEMPO LTD</t>
  </si>
  <si>
    <t xml:space="preserve">SYSTEMATIC TRADE</t>
  </si>
  <si>
    <t xml:space="preserve">S03586</t>
  </si>
  <si>
    <t xml:space="preserve">5663 MONACO ST</t>
  </si>
  <si>
    <t xml:space="preserve">1980;1983;1992</t>
  </si>
  <si>
    <t xml:space="preserve">K # K TROPHIES (1980-1983; SIC 3499,2399) | THI INTERNATIONAL (1992; SIC 3089)</t>
  </si>
  <si>
    <t xml:space="preserve">K # K TROPHIES (1980) | THI INTERNATIONAL (1992)</t>
  </si>
  <si>
    <t xml:space="preserve">TFI INTERNATIONAL, INC. [FRS; name match, 38 m] | AMERICA MARBLE AND GRANITE, INC. [FRS; 38 m]</t>
  </si>
  <si>
    <t xml:space="preserve">DECHANTS AUTO PARTS AND SERVICE</t>
  </si>
  <si>
    <t xml:space="preserve">ROCKY MOUNTAIN GYM EQUIPMENT CO INC</t>
  </si>
  <si>
    <t xml:space="preserve">S03590</t>
  </si>
  <si>
    <t xml:space="preserve">6401 E 80TH AVE</t>
  </si>
  <si>
    <t xml:space="preserve">T «4 D STRUCTURES ENC (1980; SIC 3448)</t>
  </si>
  <si>
    <t xml:space="preserve">T «4 D STRUCTURES ENC (1980) | T ¢ D STRUCTURES INC 3569 WATER+WASTE WATER TREATING EQUIP. 3079 POLYSTYRENE PCKG LOOSE FILL (1983) | ARCH DESIGN PRECAST CONCRETE INC (1992)</t>
  </si>
  <si>
    <t xml:space="preserve">WESTEC DENVER, INC. [FRS; 1 m] | WESTEC DENVER, INC. [FRS] (address match) | Chemical Sales/CSC [CDPHE CDPHE Superfund] (inside site boundary)</t>
  </si>
  <si>
    <t xml:space="preserve">ARCHITECTURAL DESIGN PRECAST CONCRETE, INCORPORATED [FRS; name match, 1 m] | ARCHITECTURAL DESIGN PRECAST, CONCRETE INC [TRI; name match, 88 m] | DENVER ARCHITECTURAL PRECAST INC [TRI; 88 m] | ARCHITECTURAL DESIGN PRECAST CONCRETE, INCORPORATED [FRS] (address match) | ARCHITECTURAL DESIGN PRECAST, CONCRETE INC [TRI] (address match)</t>
  </si>
  <si>
    <t xml:space="preserve">UNION PACIFIC RAILROAD -80TH AVE TANK FARM [FRS; 1 m] | UNION PACIFIC RAILROAD -80TH AVE TANK FARM [FRS] (address match) | UNION PACIFIC RAILROAD -80TH AVE TANK FARM [CDPHE RCRA] (address match)</t>
  </si>
  <si>
    <t xml:space="preserve">RECYCLED MATERIAL COMPANY INC [FRS; 1 m] | AMOCO OIL CO [FRS; 8 m] | RECYCLED MATERIAL COMPANY INC [FRS] (address match)</t>
  </si>
  <si>
    <t xml:space="preserve">WESTEC DENVER, INC.</t>
  </si>
  <si>
    <t xml:space="preserve">ARCHITECTURAL DESIGN PRECAST CONCRETE, INCORPORATED</t>
  </si>
  <si>
    <t xml:space="preserve">UNION PACIFIC RAILROAD -80TH AVE TANK FARM</t>
  </si>
  <si>
    <t xml:space="preserve">S03596</t>
  </si>
  <si>
    <t xml:space="preserve">12500 N WASHINGTON</t>
  </si>
  <si>
    <t xml:space="preserve">AUTO-TROL TECHNOLOGY CORPORATION (1980-1988; SIC 3573,3811) | AUTO-TROL TECHNOLOGY CORP (1990; SIC 3571)</t>
  </si>
  <si>
    <t xml:space="preserve">AUTO-TROL TECHNOLOGY CORPORATION (1980) | AUTO-TROL TECHNOLOGY CORP (1990)</t>
  </si>
  <si>
    <t xml:space="preserve">Adams 12 Five Star Schools [CDPHE Voluntary_Cleanup_and_Redevelopment_Program_(VCUP)_new; 243 m] | Adams 12 Five Star Schools II [CDPHE Voluntary_Cleanup_and_Redevelopment_Program_(VCUP)_new; 243 m]</t>
  </si>
  <si>
    <t xml:space="preserve">WESTERN DAIRYMANS COOP INC [FRS; 77 m] | AIR SQUARED MANUFACTURING INC [CDPHE RCRA; 233 m] | AIR SQUARED [FRS; 233 m]</t>
  </si>
  <si>
    <t xml:space="preserve">CAREER TECHNICAL EDUCATION CAMPUS [FRS; 91 m] | FISCHER IMAGING CORP [FRS; 102 m] | WESTGATE COMMUNITY SCHOOL [FRS; 114 m] | DISH NETWORK - THORNTON [FRS; 227 m]</t>
  </si>
  <si>
    <t xml:space="preserve">Adams 12 Five Star Schools</t>
  </si>
  <si>
    <t xml:space="preserve">WESTERN DAIRYMANS COOP INC</t>
  </si>
  <si>
    <t xml:space="preserve">S03607</t>
  </si>
  <si>
    <t xml:space="preserve">6759 E 50TH AVE</t>
  </si>
  <si>
    <t xml:space="preserve">FILTER TECHNOLOGY (1990; SIC 3589)</t>
  </si>
  <si>
    <t xml:space="preserve">O G O GRAPHICS (1980) | G + A CANVAS MFG (1983) | OC DO GRAPHICS (1983) | ADAMS FOODS (1990) | FILTER TECHNOLOGY (1990) | CONTAINER PRINTING CORP (1992)</t>
  </si>
  <si>
    <t xml:space="preserve">EARTH SERVICES &amp; ABATEMENT [FRS; 15 m] | Chemical Sales/CSC [CDPHE CDPHE Superfund] (inside site boundary)</t>
  </si>
  <si>
    <t xml:space="preserve">FIVE STAR AFFILIATES [FRS; 2 m]</t>
  </si>
  <si>
    <t xml:space="preserve">EARTH SERVICES &amp; ABATEMENT [CDPHE RCRA; 6 m] | ANDERSON'S FORMER WEAR [FRS; 22 m]</t>
  </si>
  <si>
    <t xml:space="preserve">GLISTEN PRODUCTS [FRS; 10 m] | AQUAROCKS [FRS; 11 m] | EARTH SERVICES AND ABATEMENT [FRS; 15 m] | ECORIDGE, LLC - COMMERCE CITY [FRS; 53 m] | 1 800 HANSONS [FRS; 61 m]</t>
  </si>
  <si>
    <t xml:space="preserve">EARTH SERVICES &amp; ABATEMENT</t>
  </si>
  <si>
    <t xml:space="preserve">S03619</t>
  </si>
  <si>
    <t xml:space="preserve">5900 FEDERAL BLVD</t>
  </si>
  <si>
    <t xml:space="preserve">WILLIAMS REFINING CO (1980-1983; SIC 2911)</t>
  </si>
  <si>
    <t xml:space="preserve">WILLIAMS REFINING CO (1980)</t>
  </si>
  <si>
    <t xml:space="preserve">5900 FEDERAL [FRS; 12 m] | ENGLAND WATER TREATMENT PLANT [FRS; 55 m] | 5900 FEDERAL [FRS] (address match)</t>
  </si>
  <si>
    <t xml:space="preserve">CUNNINGHAM PROPERTY [FRS; 12 m] | CUNNINGHAM PROPERTY [FRS] (address match)</t>
  </si>
  <si>
    <t xml:space="preserve">5900 FEDERAL</t>
  </si>
  <si>
    <t xml:space="preserve">S03631</t>
  </si>
  <si>
    <t xml:space="preserve">6815 GROVE ST</t>
  </si>
  <si>
    <t xml:space="preserve">BIRKO CORPORATION (1980-1990; SIC 2842,3559)</t>
  </si>
  <si>
    <t xml:space="preserve">BIRKO CORPORATION (1980)</t>
  </si>
  <si>
    <t xml:space="preserve">Mighty Muffler [CDPHE Voluntary_Cleanup_and_Redevelopment_Program_(VCUP)_new; 129 m] | Northgate Place [CDPHE Voluntary_Cleanup_and_Redevelopment_Program_(VCUP)_new; 187 m] | LaConte Plaza [CDPHE Voluntary_Cleanup_and_Redevelopment_Program_(VCUP)_new; 201 m] | LaConte Plaza II [CDPHE Voluntary_Cleanup_and_Redevelopment_Program_(VCUP)_new; 201 m] | Mission Valley Shopping Plaza [CDPHE Voluntary_Cle</t>
  </si>
  <si>
    <t xml:space="preserve">GOODYEAR AUTO SERVICE CENTER [FRS; 32 m] | SUPREME CLEANERS [FRS; 122 m] | A CARING DOCTOR (MINN) DBA BANFIELD PET HOSPITAL #5003 [FRS; 122 m] | WALMART NEIGHBORHOOD MARKET #6177 [FRS; 134 m] | WALGREEN STORE #6552 [FRS; 134 m] | WALGREEN STORE #6552 [CDPHE RCRA; 134 m] | S&amp;J ENTERPRISES DBA YOUR VALET CLEANERS [FRS; 178 m] | PLAZA CLNRS [FRS; 217 m] | CASCADE DRY CLEANERS [FRS; 217 m] | BIRKO COR</t>
  </si>
  <si>
    <t xml:space="preserve">WESTMINSTER OREILLYS WM1 [FRS; 64 m] | MURPHY OIL USA - MURPHY EXPRESS 7199 FED [FRS; 104 m] | MURPHY EXPRESS WESTMINSTER [FRS; 104 m] | ORGANIC NAILS USA [FRS; 152 m] | ASPEN APARTMENT HOMES [FRS; 171 m] | JPMORGAN CHASE BANK, NA [FRS; 217 m] | PIP PRINTING [FRS; 248 m]</t>
  </si>
  <si>
    <t xml:space="preserve">Mighty Muffler</t>
  </si>
  <si>
    <t xml:space="preserve">S03633</t>
  </si>
  <si>
    <t xml:space="preserve">3949 W 72ND AVE</t>
  </si>
  <si>
    <t xml:space="preserve">MILE NEIGH CUSTOM PLATING (1980; SIC 3471) | MILE HIGH PLATING (1983; SIC 3471)</t>
  </si>
  <si>
    <t xml:space="preserve">MILE NEIGH CUSTOM PLATING (1980) | MILE HIGH PLATING (1983)</t>
  </si>
  <si>
    <t xml:space="preserve">PCA3 PARK SHOPS [FRS; 14 m] | Parks Shop [CDPHE CDPHE Brownfield; 69 m]</t>
  </si>
  <si>
    <t xml:space="preserve">PARK SHOPS DEMOLITION [FRS; 14 m]</t>
  </si>
  <si>
    <t xml:space="preserve">PCA3 PARK SHOPS</t>
  </si>
  <si>
    <t xml:space="preserve">CREATIVE AUTO</t>
  </si>
  <si>
    <t xml:space="preserve">S04438</t>
  </si>
  <si>
    <t xml:space="preserve">14800 MONCRIEFF</t>
  </si>
  <si>
    <t xml:space="preserve">SILVER ENGINEERING WORKS INC (1990; SIC 3441,3443,3556)</t>
  </si>
  <si>
    <t xml:space="preserve">SILVER ENGINEERING WORKS» INC. 2241 BULK NYLON WEBBING (1983) | SILVER ENGINEERING WORKS INC (1990)</t>
  </si>
  <si>
    <t xml:space="preserve">Silver Engineering I [CDPHE Voluntary_Cleanup_and_Redevelopment_Program_(VCUP)_new; name match, 21 m] | Silver Engineering III [CDPHE Voluntary_Cleanup_and_Redevelopment_Program_(VCUP)_new; name match, 21 m] | Silver Engineering II [CDPHE Voluntary_Cleanup_and_Redevelopment_Program_(VCUP)_new; name match, 21 m] | SILVER WEIBULL [FRS; 177 m]</t>
  </si>
  <si>
    <t xml:space="preserve">WESTERN INDUSTRIAL CONTRACTORS [FRS; 15 m] | SILVER WEIBULL [TRI; 60 m] | BONAKEMI USA INC. [TRI; 62 m] | YRC FREIGHT DENVER 890 [FRS; 246 m]</t>
  </si>
  <si>
    <t xml:space="preserve">ALL PACKAGING CO - 14806 E 33RD PL [FRS; 231 m]</t>
  </si>
  <si>
    <t xml:space="preserve">BARTON LEASING, INC. [FRS; 177 m] | MEAD WESTVACO DENVER PRINT CENTER [FRS; 192 m]</t>
  </si>
  <si>
    <t xml:space="preserve">Silver Engineering I</t>
  </si>
  <si>
    <t xml:space="preserve">WESTERN INDUSTRIAL CONTRACTORS</t>
  </si>
  <si>
    <t xml:space="preserve">ALL PACKAGING CO - 14806 E 33RD PL</t>
  </si>
  <si>
    <t xml:space="preserve">S04448</t>
  </si>
  <si>
    <t xml:space="preserve">6030 50TH AVE</t>
  </si>
  <si>
    <t xml:space="preserve">GEOREX INDUSTRIES (1983-1988; SIC 3546)</t>
  </si>
  <si>
    <t xml:space="preserve">GEOREX INDUSTRIES (1983)</t>
  </si>
  <si>
    <t xml:space="preserve">LOT @ 5959 EAST 50TH AVENUE [FRS; 131 m] | Chemical Sales/CSC [CDPHE CDPHE Superfund; 196 m] | PRO CLEAN [FRS; 203 m] | Chemical Sales/CSC [CDPHE CDPHE Superfund] (inside site boundary)</t>
  </si>
  <si>
    <t xml:space="preserve">B &amp; M DISTRIBUTING [FRS; 17 m] | U.E. COMPRESSION [FRS; 38 m] | CGG AMERICAN SERVICES INC [FRS; 47 m] | CLEAN PARTS INC [FRS; 94 m] | FLYNN BEC [FRS; 126 m] | MURIEL SWAYZE PROPERTY [FRS; 131 m] | LAKESHORE INC [FRS; 177 m] | SYSTEMATIC TRADE [FRS; 179 m] | THE PILLOW SHOP [FRS; 190 m] | UE COMPRESSION  LLC [CDPHE RCRA; 245 m] | COMMERCE CITY SHOP [CDPHE RCRA; 245 m] | TECHNORESCUE LLC [FRS; 248 m</t>
  </si>
  <si>
    <t xml:space="preserve">PILLOW SHOPPE INC DBA COLLIERS OF COLO [FRS; 197 m] | PURETECH INC [FRS; 237 m]</t>
  </si>
  <si>
    <t xml:space="preserve">LOT @ 5959 EAST 50TH AVENUE</t>
  </si>
  <si>
    <t xml:space="preserve">B &amp; M DISTRIBUTING</t>
  </si>
  <si>
    <t xml:space="preserve">S04449</t>
  </si>
  <si>
    <t xml:space="preserve">3900 E 68TH AVE</t>
  </si>
  <si>
    <t xml:space="preserve">LOPEZ METAL PRODUCTS INC (1983; SIC 3499,3469,3444) | SASHCO SEALANTS INC (1990; SIC 2891)</t>
  </si>
  <si>
    <t xml:space="preserve">LOPEZ METAL PRODUCTS INC (1983) | SASHCO SEALANTS INC (1990)</t>
  </si>
  <si>
    <t xml:space="preserve">METAL STUD FORMING [FRS] (address match)</t>
  </si>
  <si>
    <t xml:space="preserve">SASHCO INC [TRI; name match, 22 m] | SASHCO SEALANTS INC [FRS; name match, 115 m] | SASHCO SEALANTS INC [FRS] (address match) | SASHCO INC [TRI] (address match)</t>
  </si>
  <si>
    <t xml:space="preserve">KARL W SCHMIDT &amp; ASSOC INC [FRS] (address match) | KARL W SCHMIDT &amp; ASSOC INC [CDPHE RCRA] (address match)</t>
  </si>
  <si>
    <t xml:space="preserve">PROTOCAST, INC. [FRS] (address match)</t>
  </si>
  <si>
    <t xml:space="preserve">METAL STUD FORMING</t>
  </si>
  <si>
    <t xml:space="preserve">KARL W SCHMIDT &amp; ASSOC INC</t>
  </si>
  <si>
    <t xml:space="preserve">S04451</t>
  </si>
  <si>
    <t xml:space="preserve">5745 MONACO ST</t>
  </si>
  <si>
    <t xml:space="preserve">ROCKY MOUNTAIN GYM EQUIPMENT CO 3079 EXTRUDED PLASTIC PROFILES» TUBING 3962 OOWN (1983; SIC 3079)</t>
  </si>
  <si>
    <t xml:space="preserve">ROCKY MOUNTAIN GYM EQUIPMENT CO 3079 EXTRUDED PLASTIC PROFILES» TUBING 3962 OOWN (1983) | ROCKY MOUNTAIN GYM EQUIPMENT CO (1990)</t>
  </si>
  <si>
    <t xml:space="preserve">ROCKY MOUNTAIN GYM EQUIPMENT CO INC [FRS; name match, 44 m] | OLYMPIC METALS [FRS; 5 m] | ROCKY MOUNTAIN GYM EQUIPMENT CO INC [FRS] (address match)</t>
  </si>
  <si>
    <t xml:space="preserve">OLYMPIC METALS</t>
  </si>
  <si>
    <t xml:space="preserve">S04453</t>
  </si>
  <si>
    <t xml:space="preserve">5598 MONACO ST</t>
  </si>
  <si>
    <t xml:space="preserve">80037</t>
  </si>
  <si>
    <t xml:space="preserve">CANOMATIC CORPORATION (1983; SIC 3559)</t>
  </si>
  <si>
    <t xml:space="preserve">CANOMATIC CORPORATION (1983) | POLYETHYLENE FOAMS RCL TSUPBLy inc (1988) | FOOTHILLS MILL + SUPPLY INC (1990)</t>
  </si>
  <si>
    <t xml:space="preserve">RESCUE ROOTER LLC [FRS; 1 m]</t>
  </si>
  <si>
    <t xml:space="preserve">3D PIERING &amp; HOME IMPROVEMENT, INC.CN [FRS; 18 m] | CHOICE MANUFACTURING COMPANY, INC [FRS; 18 m] | CMCC SOAP, LLC [FRS; 18 m]</t>
  </si>
  <si>
    <t xml:space="preserve">RESCUE ROOTER LLC</t>
  </si>
  <si>
    <t xml:space="preserve">S04458</t>
  </si>
  <si>
    <t xml:space="preserve">6440 E 50TH AVE</t>
  </si>
  <si>
    <t xml:space="preserve">MFG+ASSURANCE TECHNOLOGIES (1988; SIC 3443,3444,3792)</t>
  </si>
  <si>
    <t xml:space="preserve">ELLIOT=BARRY CO (1983) | MFG+ASSURANCE TECHNOLOGIES (1988)</t>
  </si>
  <si>
    <t xml:space="preserve">Chemical Sales/CSC</t>
  </si>
  <si>
    <t xml:space="preserve">SAFETY-KLEEN 6-052-01 (COMMERCE CITY)</t>
  </si>
  <si>
    <t xml:space="preserve">S04459</t>
  </si>
  <si>
    <t xml:space="preserve">7103 N FEDERAL BLYO</t>
  </si>
  <si>
    <t xml:space="preserve">GLOBE MFG MKTG COs LTD (1983; SIC 2869,3861)</t>
  </si>
  <si>
    <t xml:space="preserve">GLOBE MFG MKTG COs LTD (1983)</t>
  </si>
  <si>
    <t xml:space="preserve">Northgate Place [CDPHE Voluntary_Cleanup_and_Redevelopment_Program_(VCUP)_new; 121 m] | Mighty Muffler [CDPHE Voluntary_Cleanup_and_Redevelopment_Program_(VCUP)_new; 245 m]</t>
  </si>
  <si>
    <t xml:space="preserve">4-WHEEL PARTS [FRS; 125 m] | S&amp;J ENTERPRISES DBA YOUR VALET CLEANERS [FRS; 126 m] | A CARING DOCTOR (MINN) DBA BANFIELD PET HOSPITAL #5003 [CDPHE RCRA; 129 m] | WALMART NEIGHBORHOOD MARKET #6177 [FRS; 204 m] | AUTOZONE #806 [FRS; 223 m]</t>
  </si>
  <si>
    <t xml:space="preserve">PIP PRINTING [FRS; 30 m] | ALTO WESTMINSTER [FRS; 36 m] | WESTMINSTER GARAGE [FRS; 103 m] | METRO AUTOMOTIVE ENTERPRISES INC [FRS; 205 m] | 6945 FEDERAL BLVD DEMO [FRS; 226 m] | MURPHY EXPRESS WESTMINSTER [FRS; 243 m] | MURPHY OIL USA - MURPHY EXPRESS 7199 FED [FRS; 243 m]</t>
  </si>
  <si>
    <t xml:space="preserve">Northgate Place</t>
  </si>
  <si>
    <t xml:space="preserve">4-WHEEL PARTS</t>
  </si>
  <si>
    <t xml:space="preserve">S04462</t>
  </si>
  <si>
    <t xml:space="preserve">200 E 64TH AVE</t>
  </si>
  <si>
    <t xml:space="preserve">BEAR FRAME + AXLE SERVICE CO (1990; SIC 3714) | KAYLNE MANUFACTURING INC (1992; SIC 3714)</t>
  </si>
  <si>
    <t xml:space="preserve">KAYLINE MFG INC S SIMMONS PRESIDENT (1983) | KAYLINE MFG INC (1988) | BEAR FRAME + AXLE SERVICE CO (1990)</t>
  </si>
  <si>
    <t xml:space="preserve">UNITED MINERALS CORPORATION [FRS; 59 m]</t>
  </si>
  <si>
    <t xml:space="preserve">KAYLINE MFG [FRS; name match, 7 m] | KAYLINE MFG [FRS] (address match)</t>
  </si>
  <si>
    <t xml:space="preserve">GRANITE WORLD OF COLORADO LLC [FRS; 7 m] | GRANITE WORLD OF COLORADO LLC [FRS] (address match)</t>
  </si>
  <si>
    <t xml:space="preserve">UNITED MINERALS CORPORATION</t>
  </si>
  <si>
    <t xml:space="preserve">METRO MIX LLC</t>
  </si>
  <si>
    <t xml:space="preserve">KAYLINE MFG</t>
  </si>
  <si>
    <t xml:space="preserve">S04478</t>
  </si>
  <si>
    <t xml:space="preserve">9131 E 96TH AVE</t>
  </si>
  <si>
    <t xml:space="preserve">OIL + SOLVENT PROCESS CO (1983-1990; SIC 2869,2819)</t>
  </si>
  <si>
    <t xml:space="preserve">OIL + SOLVENT PROCESS CO (1983)</t>
  </si>
  <si>
    <t xml:space="preserve">OIL &amp; SOLVENT PROCESS CO CWM [FRS; name match, 136 m] | OIL &amp; SOLVENT PROCESS CO CWM [FRS] (address match)</t>
  </si>
  <si>
    <t xml:space="preserve">VEOLIA ES TECHNICAL SOLUTIONS LLC/ ONYX ENV SERVICES CO [FRS] (address match) | VEOLIA ES TECHNICAL SOLUTIONS LLC [TRI] (address match)</t>
  </si>
  <si>
    <t xml:space="preserve">KERSTEN TRAILER SALES [FRS; 19 m] | VEOLIA ES TECHNICAL SOLUTIONS LLC [CDPHE RCRA] (address match)</t>
  </si>
  <si>
    <t xml:space="preserve">BOSSELMAN TANK &amp; TRAIL - 8999 E 96TH AVE [FRS; 19 m] | WASTE MGMT OF NA [FRS] (address match)</t>
  </si>
  <si>
    <t xml:space="preserve">OIL &amp; SOLVENT PROCESS CO CWM</t>
  </si>
  <si>
    <t xml:space="preserve">VEOLIA ES TECHNICAL SOLUTIONS LLC/ ONYX ENV SERVICES CO</t>
  </si>
  <si>
    <t xml:space="preserve">KERSTEN TRAILER SALES</t>
  </si>
  <si>
    <t xml:space="preserve">S05296</t>
  </si>
  <si>
    <t xml:space="preserve">1891 C CHAMBERS KD</t>
  </si>
  <si>
    <t xml:space="preserve">Chemicals; Primary metals</t>
  </si>
  <si>
    <t xml:space="preserve">PIREPLACE INSERTS METRO PRINTING (1988; SIC 2835,3390)</t>
  </si>
  <si>
    <t xml:space="preserve">PIREPLACE INSERTS METRO PRINTING (1988)</t>
  </si>
  <si>
    <t xml:space="preserve">DUG LAKEWOOD AND AURORA SITES - EAST MIDDLE SCHOOL [FRS; 249 m]</t>
  </si>
  <si>
    <t xml:space="preserve">TRUGREEN CORPORATION [FRS; 79 m] | A-1 CLEANERS [FRS; 165 m] | SCOTT SYSTEM - HELENA ST [FRS; 219 m] | DENVER EAST MACHINERY COMPANY [FRS; 243 m]</t>
  </si>
  <si>
    <t xml:space="preserve">NEW CINGULAR DBA AT&amp;T - CHAMBERS &amp; COLFA [FRS; 79 m]</t>
  </si>
  <si>
    <t xml:space="preserve">DUG LAKEWOOD AND AURORA SITES - EAST MIDDLE SCHOOL</t>
  </si>
  <si>
    <t xml:space="preserve">TRUGREEN CORPORATION</t>
  </si>
  <si>
    <t xml:space="preserve">S05301</t>
  </si>
  <si>
    <t xml:space="preserve">2801 DALLAS</t>
  </si>
  <si>
    <t xml:space="preserve">STANLEY AVIATION CORP (1988; SIC 3728,3089,3732)</t>
  </si>
  <si>
    <t xml:space="preserve">STANLEY AVIATION CORP (1988)</t>
  </si>
  <si>
    <t xml:space="preserve">STANLEY AVIATION CORP [FRS; name match, 20 m] | Stanley Marketplace [CDPHE Institutional_Controls_PROD_local; 134 m] | 25TH AND EMPORIA [FRS; 200 m] | Stanley Marketplace [CDPHE Institutional_Controls_PROD_local] (inside site boundary)</t>
  </si>
  <si>
    <t xml:space="preserve">B &amp; H ENTERPRISES [FRS; 131 m]</t>
  </si>
  <si>
    <t xml:space="preserve">VERIZON WIRELESS - BLUFF LAKE [FRS; 24 m] | STANLEY MARKETPLACE [FRS; 38 m] | EATON AVIATION CORPORATION [FRS; 38 m] | GOTHAM GREENS AURORA [FRS; 52 m] | SILCO OIL CO [FRS; 107 m] | CHONS AUTO BODY INC [FRS; 131 m] | CHONS AUTO BODY INC [FRS; 138 m] | DIVISION ONE CONSTRUCTION [FRS; 144 m] | TAYLORS BODY &amp; FRAME [FRS; 149 m] | A &amp; A GLASS COMPANY [FRS; 178 m] | STANLEY RESIDENTIAL APARTMENTS [FRS;</t>
  </si>
  <si>
    <t xml:space="preserve">STANLEY AVIATION CORP</t>
  </si>
  <si>
    <t xml:space="preserve">B &amp; H ENTERPRISES</t>
  </si>
  <si>
    <t xml:space="preserve">S05517</t>
  </si>
  <si>
    <t xml:space="preserve">5350 NEWPORT ST</t>
  </si>
  <si>
    <t xml:space="preserve">MOUNTED-DRILLS GRIF-FAB CORP (1988; SIC 3317,3321,3494) | GRIF-FAB CORP (1990-1992; SIC 3317,3321,3494)</t>
  </si>
  <si>
    <t xml:space="preserve">MOUNTED-DRILLS GRIF-FAB CORP (1988) | GRIF-FAB CORP (1990)</t>
  </si>
  <si>
    <t xml:space="preserve">GRIF FAB INC. [FRS; name match, 18 m] | Grif-Fab [CDPHE Voluntary_Cleanup_and_Redevelopment_Program_(VCUP)_new; name match, 77 m] | GRIF FAB INC. [FRS] (address match) | Grif-Fab [CDPHE Voluntary_Cleanup_and_Redevelopment_Program_(VCUP)_new] (address match) | Chemical Sales/CSC [CDPHE CDPHE Superfund] (inside site boundary)</t>
  </si>
  <si>
    <t xml:space="preserve">STUDLER WASTE DISPOSAL INC [FRS; 21 m] | HI-PLAINS LEASING INC [FRS; 27 m]</t>
  </si>
  <si>
    <t xml:space="preserve">GRIF FAB INC.</t>
  </si>
  <si>
    <t xml:space="preserve">STUDLER WASTE DISPOSAL INC</t>
  </si>
  <si>
    <t xml:space="preserve">S05520</t>
  </si>
  <si>
    <t xml:space="preserve">6440 E 80TH AVE</t>
  </si>
  <si>
    <t xml:space="preserve">OLYMPIC METAL FABRICATION DIV (1988; SIC 3444,3469,3496)</t>
  </si>
  <si>
    <t xml:space="preserve">OLYMPIC METAL FABRICATION DIV (1988)</t>
  </si>
  <si>
    <t xml:space="preserve">WESTEC DENVER, INC. [FRS; 58 m] | Chemical Sales/CSC [CDPHE CDPHE Superfund] (inside site boundary) | 80TH Avenue Tank Farm [CDPHE Institutional_Controls_PROD_local] (inside site boundary)</t>
  </si>
  <si>
    <t xml:space="preserve">ARCHITECTURAL DESIGN PRECAST CONCRETE, INCORPORATED [FRS; 58 m]</t>
  </si>
  <si>
    <t xml:space="preserve">S05521</t>
  </si>
  <si>
    <t xml:space="preserve">6050 E 58TH ST</t>
  </si>
  <si>
    <t xml:space="preserve">PRIORITY MFG INC (1988-1990; SIC 3444)</t>
  </si>
  <si>
    <t xml:space="preserve">PRIORITY MFG INC (1988)</t>
  </si>
  <si>
    <t xml:space="preserve">LOCTITE (WAS FP CHEMICAL PROD &amp; FEL- PRO [FRS; 36 m] | Dominion freight Line [CDPHE Voluntary_Cleanup_and_Redevelopment_Program_(VCUP)_new; 162 m] | Chemical Sales/CSC [CDPHE CDPHE Superfund] (inside site boundary)</t>
  </si>
  <si>
    <t xml:space="preserve">LOCTITE CORP [TRI; 98 m]</t>
  </si>
  <si>
    <t xml:space="preserve">EXIDE TECHNOLOGIES [FRS; 2 m] | BENTLY ONE COMPANY [FRS; 2 m] | APPLIED INDUSTRIAL FINISHING [FRS; 45 m] | CF MOTORFREIGHT [FRS; 67 m] | AMBIPAR RESPONSE COLORADO INC-DENVER [FRS; 75 m] | SUMMIT WASTE SERVICES [FRS; 100 m] | AMBIPAR RESPONSE COLORADO INC-DENVER  [CDPHE RCRA; 107 m] | ANCON SERVICES - OFFICE [FRS; 154 m] | HERITAGE WINDOW RESTORATION [CDPHE RCRA; 180 m] | EXIDE TECHNOLOGIES [CDPHE </t>
  </si>
  <si>
    <t xml:space="preserve">COLORADO CHEM-PAK INC [FRS; 2 m] | MICROCARE [FRS; 36 m] | UNIVERSAL CHEMICALS &amp; SUPPLIES, INC [FRS; 36 m] | VITAL DEFENSE COMPANY [FRS; 36 m] | CHEMSTATION INTERNATIONAL, INC. [FRS; 45 m] | K&amp;B IMPRESSIONS INC [FRS; 45 m] | DESCO TRUCK REFINISHING [FRS; 75 m] | UNITED SITE SERVICES [FRS; 100 m] | EXCEL TOPS INC [FRS; 156 m] | HERITAGE WINDOW RESTORATION [FRS; 205 m] | ARCA RECYCLING [FRS; 207 m]</t>
  </si>
  <si>
    <t xml:space="preserve">LOCTITE (WAS FP CHEMICAL PROD &amp; FEL- PRO</t>
  </si>
  <si>
    <t xml:space="preserve">LOCTITE CORP</t>
  </si>
  <si>
    <t xml:space="preserve">EXIDE TECHNOLOGIES</t>
  </si>
  <si>
    <t xml:space="preserve">S05527</t>
  </si>
  <si>
    <t xml:space="preserve">6980 E 84TH PL</t>
  </si>
  <si>
    <t xml:space="preserve">TESTS W J WHATLEY INC (1988; SIC 3089,3648)</t>
  </si>
  <si>
    <t xml:space="preserve">TESTS W J WHATLEY INC (1988)</t>
  </si>
  <si>
    <t xml:space="preserve">COLOGRAPHIC INC. [FRS; 134 m] | LEGACY TRUCKING INC [FRS; 196 m]</t>
  </si>
  <si>
    <t xml:space="preserve">G &amp; B TRUCK LEASING, INC. [FRS; 134 m]</t>
  </si>
  <si>
    <t xml:space="preserve">S06093</t>
  </si>
  <si>
    <t xml:space="preserve">2490 FEDERAL HEIGHTS</t>
  </si>
  <si>
    <t xml:space="preserve">TOOLING J+R MACHINE INC (1988; SIC 3069)</t>
  </si>
  <si>
    <t xml:space="preserve">TOOLING J+R MACHINE INC (1988)</t>
  </si>
  <si>
    <t xml:space="preserve">DIAZ DELEON PROPERTY [FRS; 219 m]</t>
  </si>
  <si>
    <t xml:space="preserve">MARTIN'S CLEANERS [FRS; 116 m] | BUILDING RESTORATION SPECIALIST [FRS; 141 m] | SAFEWAY STORE #1248 [FRS; 211 m]</t>
  </si>
  <si>
    <t xml:space="preserve">FEDERAL BLVD PEDESTRIAN IMPROVEMENTS (23RD TO 27TH) [FRS; 14 m] | 7-ELEVEN, INC. - NO 16147 [FRS; 155 m] | SAFEWAY INC. - #1248 [FRS; 162 m]</t>
  </si>
  <si>
    <t xml:space="preserve">MARTIN'S CLEANERS</t>
  </si>
  <si>
    <t xml:space="preserve">S06323</t>
  </si>
  <si>
    <t xml:space="preserve">6800 E 53RD PL</t>
  </si>
  <si>
    <t xml:space="preserve">ALLIED MACHINE SHOP (1990; SIC 3599)</t>
  </si>
  <si>
    <t xml:space="preserve">ALLIED MACHINE SHOP (1990)</t>
  </si>
  <si>
    <t xml:space="preserve">Grif-Fab [CDPHE Voluntary_Cleanup_and_Redevelopment_Program_(VCUP)_new; 6 m] | GRIF FAB INC. [FRS; 64 m] | Chemical Sales/CSC [CDPHE CDPHE Superfund] (inside site boundary)</t>
  </si>
  <si>
    <t xml:space="preserve">Grif-Fab</t>
  </si>
  <si>
    <t xml:space="preserve">S06324</t>
  </si>
  <si>
    <t xml:space="preserve">6100 E 58TH AVE UNIT C</t>
  </si>
  <si>
    <t xml:space="preserve">APPLIED INDUSTRIAL FINISHING INC (1990; SIC 3497,3471,3552) | REXNORD CHEMICAL PRODUCTS INC (1990; SIC 2821)</t>
  </si>
  <si>
    <t xml:space="preserve">APPLIED INDUSTRIAL FINISHING INC (1990) | REXNORD CHEMICAL PRODUCTS INC (1990) | CHEM REXINC (1992)</t>
  </si>
  <si>
    <t xml:space="preserve">LOCTITE (WAS FP CHEMICAL PROD &amp; FEL- PRO [FRS; 19 m] | Chemical Sales/CSC [CDPHE CDPHE Superfund] (inside site boundary)</t>
  </si>
  <si>
    <t xml:space="preserve">LOCTITE CORP [TRI; 42 m]</t>
  </si>
  <si>
    <t xml:space="preserve">APPLIED INDUSTRIAL FINISHING [FRS; name match, 101 m] | CF MOTORFREIGHT [FRS; 11 m] | APPLIED INDUSTRIAL FINISHING [FRS] (address match)</t>
  </si>
  <si>
    <t xml:space="preserve">UNIVERSAL CHEMICALS &amp; SUPPLIES, INC [FRS; 19 m] | VITAL DEFENSE COMPANY [FRS; 19 m] | MICROCARE [FRS; 19 m] | CHEMSTATION INTERNATIONAL, INC. [FRS] (address match)</t>
  </si>
  <si>
    <t xml:space="preserve">CF MOTORFREIGHT</t>
  </si>
  <si>
    <t xml:space="preserve">S06325</t>
  </si>
  <si>
    <t xml:space="preserve">7050 E 54TH PL</t>
  </si>
  <si>
    <t xml:space="preserve">BEARD METAL INC (1990; SIC 3444)</t>
  </si>
  <si>
    <t xml:space="preserve">BEARD METAL INC (1990)</t>
  </si>
  <si>
    <t xml:space="preserve">W J WHATLEY INCORPORATED [FRS; 73 m] | Chemical Sales/CSC [CDPHE CDPHE Superfund] (inside site boundary)</t>
  </si>
  <si>
    <t xml:space="preserve">W.J. WHATLEY INC. [TRI; 30 m]</t>
  </si>
  <si>
    <t xml:space="preserve">MATHESON TRUCK PARTS &amp; REPAIR [CDPHE RCRA; 2 m]</t>
  </si>
  <si>
    <t xml:space="preserve">S06327</t>
  </si>
  <si>
    <t xml:space="preserve">5750 HOLLY ST</t>
  </si>
  <si>
    <t xml:space="preserve">CARTS OF COLORADO INC. (1990; SIC 2599,3411)</t>
  </si>
  <si>
    <t xml:space="preserve">CARTS OF COLORADO INC. (1990)</t>
  </si>
  <si>
    <t xml:space="preserve">CARTS OF CO [FRS; name match, 31 m] | CARTS OF CO [FRS] (address match)</t>
  </si>
  <si>
    <t xml:space="preserve">Johnson Estate</t>
  </si>
  <si>
    <t xml:space="preserve">CARPENTER CO</t>
  </si>
  <si>
    <t xml:space="preserve">CARTS OF CO</t>
  </si>
  <si>
    <t xml:space="preserve">S06328</t>
  </si>
  <si>
    <t xml:space="preserve">5801 BRIGHTON BLVD</t>
  </si>
  <si>
    <t xml:space="preserve">CONOCO INC (1990; SIC 2911,2951)</t>
  </si>
  <si>
    <t xml:space="preserve">CONOCO INC (1990)</t>
  </si>
  <si>
    <t xml:space="preserve">SUNCOR COMMERCE CITY REFINERY - EAST PLANT [FRS] (address match)</t>
  </si>
  <si>
    <t xml:space="preserve">SUNCOR ENERGY COMMERCE CITY REFINERY [TRI] (address match)</t>
  </si>
  <si>
    <t xml:space="preserve">SUNCOR ENERGY (USA) INC - COMMERCE CITY REFINERY [CDPHE RCRA] (address match)</t>
  </si>
  <si>
    <t xml:space="preserve">GEM MOBILE [FRS] (address match) | DENVER REFINERY [FRS] (address match) | DENVER RAIL [FRS] (address match) | DENVER TERMINAL [FRS] (address match) | DENVER WEST [FRS] (address match) | DENVER EAST [FRS] (address match) | GE BETZ, INC. [FRS] (address match) | SCBW SUBSURFACE BARRIER WALL INSTALLATION [FRS] (address match)</t>
  </si>
  <si>
    <t xml:space="preserve">SUNCOR ENERGY (USA) INC EAST PLANT</t>
  </si>
  <si>
    <t xml:space="preserve">S06329</t>
  </si>
  <si>
    <t xml:space="preserve">5311 NIAGRA ST</t>
  </si>
  <si>
    <t xml:space="preserve">D+D STAINLESS INC (1990; SIC 3066)</t>
  </si>
  <si>
    <t xml:space="preserve">D+D STAINLESS INC (1990)</t>
  </si>
  <si>
    <t xml:space="preserve">GRIF FAB INC. [FRS; 117 m] | Grif-Fab [CDPHE Voluntary_Cleanup_and_Redevelopment_Program_(VCUP)_new; 130 m] | SAUNDERS LEASING COMPANY [FRS; 199 m] | Chemical Sales/CSC [CDPHE CDPHE Superfund] (inside site boundary)</t>
  </si>
  <si>
    <t xml:space="preserve">STUDLER WASTE DISPOSAL INC [FRS; 117 m] | HI-PLAINS LEASING INC [FRS; 130 m] | CHASE LUMBER NEWPORT FACILITY [FRS; 178 m] | RYDER TRUCK RENTAL INC [FRS; 199 m] | COMPLETE LEAD SERVICES [FRS; 236 m] | DENVER TRUCK &amp; TRAILER [FRS; 239 m] | POWERSHIFT INCORPORATED [FRS; 241 m]</t>
  </si>
  <si>
    <t xml:space="preserve">ACME TREE SERVICE [CDPHE Solid_Waste_Facilities; 72 m]</t>
  </si>
  <si>
    <t xml:space="preserve">NATL SMELTING &amp; REFINING CO [FRS; 178 m]</t>
  </si>
  <si>
    <t xml:space="preserve">S06331</t>
  </si>
  <si>
    <t xml:space="preserve">4851 FOREST ST</t>
  </si>
  <si>
    <t xml:space="preserve">DUKE MANUFACTURING (1990; SIC 2951,2952)</t>
  </si>
  <si>
    <t xml:space="preserve">DUKE MANUFACTURING (1990)</t>
  </si>
  <si>
    <t xml:space="preserve">THERMO FLUIDS INC [FRS; 25 m]</t>
  </si>
  <si>
    <t xml:space="preserve">THERMO FLUIDS INC [CDPHE RCRA; 15 m]</t>
  </si>
  <si>
    <t xml:space="preserve">THERMO FLUIDS DENVER [FRS; 25 m]</t>
  </si>
  <si>
    <t xml:space="preserve">CHEVRON USA INC DENVER PLANT</t>
  </si>
  <si>
    <t xml:space="preserve">THERMO FLUIDS INC</t>
  </si>
  <si>
    <t xml:space="preserve">S06337</t>
  </si>
  <si>
    <t xml:space="preserve">8120 ROSEMARY ST</t>
  </si>
  <si>
    <t xml:space="preserve">RELIABLE SLING CO (1990; SIC 3496)</t>
  </si>
  <si>
    <t xml:space="preserve">RELIABLE SLING CO (1990)</t>
  </si>
  <si>
    <t xml:space="preserve">S06480</t>
  </si>
  <si>
    <t xml:space="preserve">6565 VINE CT</t>
  </si>
  <si>
    <t xml:space="preserve">REX IRON + MACHINE PRODUCTS CO (1990; SIC 3441,3599)</t>
  </si>
  <si>
    <t xml:space="preserve">REX IRON + MACHINE PRODUCTS CO (1990)</t>
  </si>
  <si>
    <t xml:space="preserve">PUMPCO INC CONCRETE PUMPING CO [FRS; 39 m]</t>
  </si>
  <si>
    <t xml:space="preserve">BROWNING FERRIS INDUSTRIES [CDPHE RCRA; 16 m]</t>
  </si>
  <si>
    <t xml:space="preserve">REX IRON &amp; MACHINE PRODUCTS INC [FRS; name match, 39 m] | REX IRON &amp; MACHINE PRODUCTS INC [FRS] (address match)</t>
  </si>
  <si>
    <t xml:space="preserve">PUMPCO INC CONCRETE PUMPING CO</t>
  </si>
  <si>
    <t xml:space="preserve">BROWNING FERRIS INDUSTRIES</t>
  </si>
  <si>
    <t xml:space="preserve">S06500</t>
  </si>
  <si>
    <t xml:space="preserve">2480 W 70TH AVE</t>
  </si>
  <si>
    <t xml:space="preserve">SUNDSTRAND AVIATION (1990; SIC 3728)</t>
  </si>
  <si>
    <t xml:space="preserve">SUNDSTRAND AVIATION (1990)</t>
  </si>
  <si>
    <t xml:space="preserve">BPI-WESTMINSTER, LLC(OWNER)/ARCADIS (OP) [FRS; 67 m] | BPI-WESTMINSTER, LLC(OWNER)/ARCADIS (OP) [FRS] (address match)</t>
  </si>
  <si>
    <t xml:space="preserve">HAMILTON SUNDSTRAND [TRI; 42 m] | HAMILTON SUNDSTRAND [TRI] (address match)</t>
  </si>
  <si>
    <t xml:space="preserve">BPI-WESTMINSTER/HAMILTON SUNDSTRAND [CDPHE RCRA; 18 m] | VALLEY VIEW MIDDLE SCHOOL [CDPHE RCRA; 34 m] | MILES AUTO SERVICE [CDPHE RCRA; 34 m] | MOUNTAIN STATES TOYOTA/TIM VANBINSBERGEN [CDPHE RCRA; 34 m] | BPI-WESTMINSTER/HAMILTON SUNDSTRAND [CDPHE RCRA] (address match)</t>
  </si>
  <si>
    <t xml:space="preserve">BPI-WESTMINSTER/HAMILTON SUNDSTRAND [FRS] (address match)</t>
  </si>
  <si>
    <t xml:space="preserve">BPI-WESTMINSTER, LLC(OWNER)/ARCADIS (OP)</t>
  </si>
  <si>
    <t xml:space="preserve">HAMILTON SUNDSTRAND</t>
  </si>
  <si>
    <t xml:space="preserve">BPI-WESTMINSTER/HAMILTON SUNDSTRAND</t>
  </si>
  <si>
    <t xml:space="preserve">S06943</t>
  </si>
  <si>
    <t xml:space="preserve">3700 E 56TH AVE</t>
  </si>
  <si>
    <t xml:space="preserve">COLORADO SEAL &amp; STRIPE INC (1992; SIC 2911)</t>
  </si>
  <si>
    <t xml:space="preserve">COLORADO SEAL &amp; STRIPE INC (1992)</t>
  </si>
  <si>
    <t xml:space="preserve">Ferrellgas [CDPHE Voluntary_Cleanup_and_Redevelopment_Program_(VCUP)_new; 56 m]</t>
  </si>
  <si>
    <t xml:space="preserve">COLORADO ASPHALT SERVICES INC-PORT CRUSH [FRS; 9 m] | BRYANT ELECTRIC INC STEMCO DEPT [TRI; 57 m] | COLORADO ASPHALT SERVICES INC-PORT CRUSH [FRS] (address match)</t>
  </si>
  <si>
    <t xml:space="preserve">FERREL GAS [FRS; 19 m]</t>
  </si>
  <si>
    <t xml:space="preserve">COLORADO ASPHALT SERVICES INC [FRS; 9 m]</t>
  </si>
  <si>
    <t xml:space="preserve">Ferrellgas</t>
  </si>
  <si>
    <t xml:space="preserve">COLORADO ASPHALT SERVICES INC-PORT CRUSH</t>
  </si>
  <si>
    <t xml:space="preserve">FERREL GAS</t>
  </si>
  <si>
    <t xml:space="preserve">S06946</t>
  </si>
  <si>
    <t xml:space="preserve">5720 HOLLY ST G</t>
  </si>
  <si>
    <t xml:space="preserve">WEST HILLS INDUSTRIES INC (1992; SIC 3231,3069,3589)</t>
  </si>
  <si>
    <t xml:space="preserve">WEST HILLS INDUSTRIES INC (1992)</t>
  </si>
  <si>
    <t xml:space="preserve">Johnson Estate [CDPHE Voluntary_Cleanup_and_Redevelopment_Program_(VCUP)_new; 166 m] | G.I. Trucking Company [CDPHE Voluntary_Cleanup_and_Redevelopment_Program_(VCUP)_new; 178 m] | FRANZEN AND SONS [FRS; 239 m] | Chemical Sales/CSC [CDPHE CDPHE Superfund] (inside site boundary)</t>
  </si>
  <si>
    <t xml:space="preserve">CARPENTER CO [TRI; 165 m]</t>
  </si>
  <si>
    <t xml:space="preserve">FEDEX FREIGHT [FRS; 10 m] | CARTS OF CO [FRS; 27 m] | CUMMINS ROCKY MOUNTAIN INC [FRS; 49 m] | GOOD PAINT, LLC-METAL FINISHING FACILTY [FRS; 49 m] | FEDEX FREIGHT SDV [FRS; 158 m] | PSC INDUSTRIAL OUTSOURCINING INC - SC [FRS; 244 m] | ADVANCED CHEMICAL TRANSPORT INC DBA ACTENVIRO [FRS; 247 m] | WOODGRAIN INC - COMMERCE CITY [FRS; 248 m] | UNITED STATES FILTER CORP - DEN [FRS; 248 m]</t>
  </si>
  <si>
    <t xml:space="preserve">OLD DOMINION FREIGHT LINE COMMERCE CITY [FRS; 10 m] | N W TRANSPORT SVS [FRS; 10 m] | GEN POWER INC [FRS; 49 m] | GALLAGHER BUSINESS PARK [FRS; 195 m] | 7-ELEVEN - STORE #38170 [FRS; 240 m] | ARCA RECYCLING [FRS; 247 m] | HERITAGE WINDOW RESTORATION [FRS; 248 m]</t>
  </si>
  <si>
    <t xml:space="preserve">FEDEX FREIGHT</t>
  </si>
  <si>
    <t xml:space="preserve">S00004</t>
  </si>
  <si>
    <t xml:space="preserve">2881 S SANTE FE</t>
  </si>
  <si>
    <t xml:space="preserve">AUTOMATED PROCUCTS, INC. (1965; SIC 3581)</t>
  </si>
  <si>
    <t xml:space="preserve">AUTOMATED PROCUCTS, INC. (1965) | BIZZEE BEE MFG. CO. (1965) | CUNSON PLANING MILL (1965) | STAINLESS EQUIPMENT CO. ay E S (1965)</t>
  </si>
  <si>
    <t xml:space="preserve">Custom Windows [CDPHE Voluntary_Cleanup_and_Redevelopment_Program_(VCUP)_new; 77 m]</t>
  </si>
  <si>
    <t xml:space="preserve">DENVER FORMS CO [TRI; 245 m]</t>
  </si>
  <si>
    <t xml:space="preserve">PLASTICS DESIGN &amp; MANUFACTURING [FRS; 39 m] | INSURE FIRE AND WATER RESTORATION [FRS; 56 m] | COLORADO AUTOMOTIVE MACHINE [FRS; 56 m] | SOUTH SANTA FE PARK [FRS; 73 m] | ALL CITY POOLS &amp; SPAS INC [FRS; 88 m] | DATA PACKAGING INCORATED [FRS; 105 m]</t>
  </si>
  <si>
    <t xml:space="preserve">SUNCOR - 2706364 [FRS; 38 m] | S. SANTA FE FLEX WAREHOUSE [FRS; 52 m] | GREAT WHITE BOTTLING INC [FRS; 56 m] | HARTSON ENT INC [FRS; 56 m] | MIBAR (M&amp;L SUPPLY INC) [FRS; 72 m] | ZEROREZ DENVER [FRS; 105 m] | ZEROREZ OF DENVER, INC. [FRS; 105 m] | REBATH OF COLORADO [FRS; 105 m] | TRIAD SERVICE SOLUTIONS [FRS; 105 m] | ARAPAHOE POWER PLANT INTAKE [FRS; 235 m]</t>
  </si>
  <si>
    <t xml:space="preserve">Custom Windows</t>
  </si>
  <si>
    <t xml:space="preserve">DENVER FORMS CO</t>
  </si>
  <si>
    <t xml:space="preserve">PLASTICS DESIGN &amp; MANUFACTURING</t>
  </si>
  <si>
    <t xml:space="preserve">S00035</t>
  </si>
  <si>
    <t xml:space="preserve">5081 S RIO GRANDE</t>
  </si>
  <si>
    <t xml:space="preserve">HUOSON CO (1967; SIC 3791) | HUDSON CO (1968-1970; SIC 3791)</t>
  </si>
  <si>
    <t xml:space="preserve">BEST wOOD PRODUCTS CO. (1965) | HUOSON CO (1967) | HUDSON CO (1968)</t>
  </si>
  <si>
    <t xml:space="preserve">Budka Enterprises [CDPHE Voluntary_Cleanup_and_Redevelopment_Program_(VCUP)_new; 5 m]</t>
  </si>
  <si>
    <t xml:space="preserve">ELECTRON LITTLETON [FRS; 10 m]</t>
  </si>
  <si>
    <t xml:space="preserve">Budka Enterprises</t>
  </si>
  <si>
    <t xml:space="preserve">ELECTRON LITTLETON</t>
  </si>
  <si>
    <t xml:space="preserve">FEDEX EXPRESS - BJCA</t>
  </si>
  <si>
    <t xml:space="preserve">S00043</t>
  </si>
  <si>
    <t xml:space="preserve">4800 E DRY CREEK RD</t>
  </si>
  <si>
    <t xml:space="preserve">HONEYWELL INC, TEST INSTRUMENTS (1990; SIC 3573,3825,3826) | METRUM INFORMATION STORAGE (1992; SIC 3573,3826)</t>
  </si>
  <si>
    <t xml:space="preserve">FEILAND DIVISION, THE (1965) | HONEYWELL INC, TEST INSTRUMENTS (1988) | METRUM INFORMATION STORAGE (1992)</t>
  </si>
  <si>
    <t xml:space="preserve">Alliant Techsystems, Northrop Grumman [CDPHE RCRA_corrective_action; 50 m] | METRUM INC [FRS] (address match)</t>
  </si>
  <si>
    <t xml:space="preserve">METRUM INC [TRI] (address match)</t>
  </si>
  <si>
    <t xml:space="preserve">ALLIANT TECHSYSTEMS INC [CDPHE RCRA] (address match)</t>
  </si>
  <si>
    <t xml:space="preserve">S SUBURBAN TECHNOLOGY CENTER [FRS] (address match) | UNKNOWN [FRS] (address match)</t>
  </si>
  <si>
    <t xml:space="preserve">Alliant Techsystems, Northrop Grumman</t>
  </si>
  <si>
    <t xml:space="preserve">LOCKHEED MARTIN DRY CREEK FACILITY</t>
  </si>
  <si>
    <t xml:space="preserve">S00605</t>
  </si>
  <si>
    <t xml:space="preserve">1655 W GIRARD AVE</t>
  </si>
  <si>
    <t xml:space="preserve">1968;1970;1973;1974;1977;1980;1983;1988;1990</t>
  </si>
  <si>
    <t xml:space="preserve">ROGEWELL MANUFACTURING (1968-1990; SIC 3591,3993) | ROGEWELL MANUFACTURING COMPANY INC 2512 UPHOLSTEED 4OUSE4OLD FURNITURE (1977; SIC 3599) | ROGEWELL MANUFACTURING COMPANY INC (1980; SIC 3599) | REPAIR ROGEWELL MFG CO INC (1988; SIC 3599)</t>
  </si>
  <si>
    <t xml:space="preserve">ROGEWELL MFG CO (1966) | ROGEWELL MANUFACTURING COMPANY INC 2512 UPHOLSTEED 4OUSE4OLD FURNITURE (1977) | ROGEWELL MANUFACTURING COMPANY INC (1980) | REPAIR ROGEWELL MFG CO INC (1988)</t>
  </si>
  <si>
    <t xml:space="preserve">Colorado Foundation Repair [CDPHE Voluntary_Cleanup_and_Redevelopment_Program_(VCUP)_new; 43 m] | Colorado Foundation Repair [CDPHE Voluntary_Cleanup_and_Redevelopment_Program_(VCUP)_new] (address match)</t>
  </si>
  <si>
    <t xml:space="preserve">ROGEWELL MANUFACTURING INCORPORATED [FRS; name match, 46 m]</t>
  </si>
  <si>
    <t xml:space="preserve">Colorado Foundation Repair</t>
  </si>
  <si>
    <t xml:space="preserve">ROGEWELL MANUFACTURING INCORPORATED</t>
  </si>
  <si>
    <t xml:space="preserve">EXPERTS ONLY COLLISION INC</t>
  </si>
  <si>
    <t xml:space="preserve">S00609</t>
  </si>
  <si>
    <t xml:space="preserve">1065 W HAMPDEN</t>
  </si>
  <si>
    <t xml:space="preserve">ENGLEWOOD IRON WORKS (1966-1968; SIC 3441)</t>
  </si>
  <si>
    <t xml:space="preserve">ALOERMAN + POOL TOOL + DIE INC HEATING APP+PLUMBING FIX (1966) | ENGLEWOOD IRON WORKS (1966) | SPEIR STATUARY (1966) | RESINGUARD WESTERN DIVISION, INC (1970)</t>
  </si>
  <si>
    <t xml:space="preserve">HomeBase [CDPHE Voluntary_Cleanup_and_Redevelopment_Program_(VCUP)_new; 35 m]</t>
  </si>
  <si>
    <t xml:space="preserve">HOME CLUB - 52 [FRS; 40 m] | HOME BASE [FRS; 40 m] | MONTGOMERY WARD #1012 [FRS; 64 m]</t>
  </si>
  <si>
    <t xml:space="preserve">1050 W HAMPDEN AVE [FRS; 40 m] | DAVIS COLLISION CENTER.CN [FRS; 64 m]</t>
  </si>
  <si>
    <t xml:space="preserve">HOME CLUB - 52</t>
  </si>
  <si>
    <t xml:space="preserve">S00613</t>
  </si>
  <si>
    <t xml:space="preserve">AUTOMATED PRODUCTS INC 20 To 99 (1966; SIC 3599)</t>
  </si>
  <si>
    <t xml:space="preserve">AUTOMATED PRODUCTS INC 20 To 99 (1966) | DUNSON PLANING MILL (1968) | VENTURI SCRUBER REECE (1988)</t>
  </si>
  <si>
    <t xml:space="preserve">IRON WORKS VILLAGE [FRS; 228 m]</t>
  </si>
  <si>
    <t xml:space="preserve">DENVER FORMS COMPANY [FRS; 193 m] | DENVER FORMS CO [TRI; 205 m]</t>
  </si>
  <si>
    <t xml:space="preserve">NU STEEL SUPPLY INC [FRS; 34 m] | COLORADO SIGN COMPANY [FRS; 133 m] | ATLAS METAL AND IRON CORP [FRS; 228 m] | GENERAL IRON WORKS CO [FRS; 233 m] | THOMAS L BURR PROPERTY [FRS; 238 m]</t>
  </si>
  <si>
    <t xml:space="preserve">FOUNDRY APARTMENTS [FRS; 228 m] | SPECIALTY AUTO FRAME INC. [FRS; 231 m] | CADRE GENERAL CONTRACTORS [FRS; 239 m]</t>
  </si>
  <si>
    <t xml:space="preserve">IRON WORKS VILLAGE</t>
  </si>
  <si>
    <t xml:space="preserve">DENVER FORMS COMPANY</t>
  </si>
  <si>
    <t xml:space="preserve">NU STEEL SUPPLY INC</t>
  </si>
  <si>
    <t xml:space="preserve">S00620</t>
  </si>
  <si>
    <t xml:space="preserve">1401 W STANFORD AVE</t>
  </si>
  <si>
    <t xml:space="preserve">1966;1968;1970;1974;1977;1988;1990</t>
  </si>
  <si>
    <t xml:space="preserve">FIBERSHEEN MFG CORP (1966-1974; SIC 3079) | FIBERSHEEN “FG-DIV OF THEO EFRON MFG CO (1977; SIC 3079) | STRM WINS WASTAREAW-ETIZER (1988; SIC 3535,3537) | FRONT RANGE PLATING INC (1990; SIC 3471) | MASTER PALLETIZER SYSTEMS INC (1990; SIC 3535,3537)</t>
  </si>
  <si>
    <t xml:space="preserve">FIBERSHEEN MFG CORP (1966) | FIBERSHEEN MFG CORP R J HERBERTSON PARTNER (1967) | FIBERSHEEN “FG-DIV OF THEO EFRON MFG CO (1977) | STRM WINS WASTAREAW-ETIZER (1988) | FRONT RANGE PLATING INC (1990) | MASTER PALLETIZER SYSTEMS INC (1990)</t>
  </si>
  <si>
    <t xml:space="preserve">Front Range Plating I [CDPHE Voluntary_Cleanup_and_Redevelopment_Program_(VCUP)_new; name match, 30 m] | Front Range Plating II [CDPHE Voluntary_Cleanup_and_Redevelopment_Program_(VCUP)_new; name match, 30 m] | NAVAJO ENTERPRISES [FRS; 24 m] | Castle Rock Industries, Inc. [CDPHE Voluntary_Cleanup_and_Redevelopment_Program_(VCUP)_new; 41 m]</t>
  </si>
  <si>
    <t xml:space="preserve">FRONT RANGE PLATING INC [FRS; name match, 24 m] | FRONT RANGE INVESTORS INC (DBA FRONT RANGE PLATING) [TRI; name match, 247 m] | WINDSOR INDUSTRIES INC [FRS; 88 m]</t>
  </si>
  <si>
    <t xml:space="preserve">GARMAT USA INC [FRS] (address match) | GARMAT USA LLC [CDPHE RCRA] (address match)</t>
  </si>
  <si>
    <t xml:space="preserve">FRONT RANGE PLATING [FRS; name match, 24 m] | HURST &amp; BURR MECHANICAL [FRS; 27 m]</t>
  </si>
  <si>
    <t xml:space="preserve">NAVAJO ENTERPRISES</t>
  </si>
  <si>
    <t xml:space="preserve">FRONT RANGE PLATING INC</t>
  </si>
  <si>
    <t xml:space="preserve">KARCHER NORTH AMERICA</t>
  </si>
  <si>
    <t xml:space="preserve">S00622</t>
  </si>
  <si>
    <t xml:space="preserve">2905 S FOX</t>
  </si>
  <si>
    <t xml:space="preserve">1966;1968;1970;1973;1974;1977;1983</t>
  </si>
  <si>
    <t xml:space="preserve">GENERAL IRON WORKS CO (1966-1983; SIC 3441)</t>
  </si>
  <si>
    <t xml:space="preserve">FIXTURES INC (1966) | GENERAL IRON WORKS CO (1966)</t>
  </si>
  <si>
    <t xml:space="preserve">General Iron Works III [CDPHE Voluntary_Cleanup_and_Redevelopment_Program_(VCUP)_new; name match, 22 m] | General Iron Works II [CDPHE Voluntary_Cleanup_and_Redevelopment_Program_(VCUP)_new; name match, 22 m] | General Iron Works I [CDPHE Voluntary_Cleanup_and_Redevelopment_Program_(VCUP)_new; name match, 22 m] | IRON WORKS VILLAGE [FRS; 6 m] | Iron Works Village II [CDPHE Voluntary_Cleanup_and_Re</t>
  </si>
  <si>
    <t xml:space="preserve">GENERAL IRON WORKS CO [FRS; name match, 1 m] | ATLAS METAL AND IRON CORP [FRS; 6 m]</t>
  </si>
  <si>
    <t xml:space="preserve">FOUNDRY APARTMENTS [FRS; 6 m] | SPECIALTY AUTO FRAME INC. [FRS; 45 m]</t>
  </si>
  <si>
    <t xml:space="preserve">GENERAL IRON WORKS CO</t>
  </si>
  <si>
    <t xml:space="preserve">S00633</t>
  </si>
  <si>
    <t xml:space="preserve">3734 S LIPAN</t>
  </si>
  <si>
    <t xml:space="preserve">Chemicals; Industrial machinery; Transportation equipment</t>
  </si>
  <si>
    <t xml:space="preserve">1966;1968;1970;1973;1974;1988</t>
  </si>
  <si>
    <t xml:space="preserve">TOOL CO INC, THE (1966; SIC 3549) | CONTINENTAL TRANSMISSIONS + GEAR CO (1968; SIC 3714) | TOOL CO INCe THE (1968; SIC 3544) | PAINT MFG INC (1970-1973; SIC 2851) | PRECISICN PRCCUCTS INC (1974; SIC 3599) | REV MOTORS (1988; SIC 3714)</t>
  </si>
  <si>
    <t xml:space="preserve">TOOL CO INC, THE (1966) | CONTINENTAL TRANSMISSIONS + GEAR CO (1968) | TOOL CO INCe THE (1968) | PAINT MFG INC (1970) | T.H.E. TOOL CO.» INC. (1973) | PRECISICN PRCCUCTS INC (1974) | REV MOTORS (1988) | HIGH COUNTRY CRAFTSMAN (1990)</t>
  </si>
  <si>
    <t xml:space="preserve">Consolidated Steel Services, Inc. [CDPHE Voluntary_Cleanup_and_Redevelopment_Program_(VCUP)_new; 53 m]</t>
  </si>
  <si>
    <t xml:space="preserve">PREFERRED MACHINING [FRS; 102 m]</t>
  </si>
  <si>
    <t xml:space="preserve">HIGH COUNTRY CRAFTSMAN [FRS; name match, 18 m]</t>
  </si>
  <si>
    <t xml:space="preserve">Consolidated Steel Services, Inc.</t>
  </si>
  <si>
    <t xml:space="preserve">PREFERRED MACHINING</t>
  </si>
  <si>
    <t xml:space="preserve">METAL FABRICATORS</t>
  </si>
  <si>
    <t xml:space="preserve">S00635</t>
  </si>
  <si>
    <t xml:space="preserve">3880 S KALAMATH</t>
  </si>
  <si>
    <t xml:space="preserve">1966;1973;1974;1977;1980;1983;1988</t>
  </si>
  <si>
    <t xml:space="preserve">VERTICEL COMPANY, THE (1966; SIC 3532) | TAVCAR TOOL + OIEs INC (1973-1983; SIC 3544) | FENCES, SECURT BENDING PRODUCTS INC (1988; SIC 3542,3993)</t>
  </si>
  <si>
    <t xml:space="preserve">VERTICEL COMPANY, THE (1966) | TAVCAR TOOL + OIEs INC (1973) | FENCES, SECURT BENDING PRODUCTS INC (1988)</t>
  </si>
  <si>
    <t xml:space="preserve">Parker-Hannifin Corp./ Wilkerson Operation [CDPHE Institutional_Controls_PROD_local] (inside site boundary)</t>
  </si>
  <si>
    <t xml:space="preserve">PARKER HANNIFIN CORP WILKERSON [TRI; 67 m]</t>
  </si>
  <si>
    <t xml:space="preserve">CLASSIC COLLISION - ENGLEWOOD 1981  [CDPHE RCRA; 49 m] | STOLLE PREFERRED MACHINING [CDPHE RCRA; 49 m] | BOYD SIGN SYSTEMS LLC [CDPHE RCRA; 49 m] | CLASSIC RESTORATION BY COUNTRY CLUB AUTO [CDPHE RCRA; 49 m]</t>
  </si>
  <si>
    <t xml:space="preserve">RAGSDALE INDUSTRIES, INC. [FRS; 8 m]</t>
  </si>
  <si>
    <t xml:space="preserve">Parker Hannifin Corp/Wilkerson Ops</t>
  </si>
  <si>
    <t xml:space="preserve">PARKER HANNIFIN CORP WILKERSON</t>
  </si>
  <si>
    <t xml:space="preserve">CLASSIC COLLISION - ENGLEWOOD 1981 </t>
  </si>
  <si>
    <t xml:space="preserve">S00636</t>
  </si>
  <si>
    <t xml:space="preserve">3759 S KALAMATH</t>
  </si>
  <si>
    <t xml:space="preserve">1967;1968;1974;1990</t>
  </si>
  <si>
    <t xml:space="preserve">MASTER ELECTRONICS CORP (1967-1968; SIC 3672) | CREATIVE IROK INC (1974; SIC 3446,3449) | JM QUALITY MACHINING (1990; SIC 3499)</t>
  </si>
  <si>
    <t xml:space="preserve"> (1966) | WEAR PREVENTION ALLOYS CO OF COLORADO (1966) | MASTER ELECTRONICS CORP (1967) | CREATIVE IROK INC (1974) | GIBSON GYMNASTIC SUPPLIES INC (1980) | JM QUALITY MACHINING (1990)</t>
  </si>
  <si>
    <t xml:space="preserve">Consolidated Steel Services, Inc. [CDPHE Voluntary_Cleanup_and_Redevelopment_Program_(VCUP)_new; 104 m]</t>
  </si>
  <si>
    <t xml:space="preserve">PREFERRED MACHINING [FRS; 57 m]</t>
  </si>
  <si>
    <t xml:space="preserve">COVERT AUTO BODY INC [FRS; 28 m] | PHIL'S AUTO CLINIC INC [FRS; 55 m]</t>
  </si>
  <si>
    <t xml:space="preserve">LANE VICTORY RACE CARS [FRS; 54 m] | STOLLE MACHINERY CO ENGLEWOOD [FRS; 65 m]</t>
  </si>
  <si>
    <t xml:space="preserve">COVERT AUTO BODY INC</t>
  </si>
  <si>
    <t xml:space="preserve">S00638</t>
  </si>
  <si>
    <t xml:space="preserve">1201 W MANSFIELD</t>
  </si>
  <si>
    <t xml:space="preserve">1966;1973;1974;1983;1988;1990</t>
  </si>
  <si>
    <t xml:space="preserve">WILKERSON CORP (1966-1990; SIC 3729)</t>
  </si>
  <si>
    <t xml:space="preserve">WILKERSON CORP (1966)</t>
  </si>
  <si>
    <t xml:space="preserve">Parker Hannifin Corp/Wilkerson Ops [CDPHE RCRA_corrective_action; name match, 78 m] | Parker-Hannifin Corp./ Wilkerson Operation [CDPHE Institutional_Controls_PROD_local; name match, 143 m] | Parker-Hannifin Corp./ Wilkerson Operation [CDPHE Institutional_Controls_PROD_local] (inside site boundary)</t>
  </si>
  <si>
    <t xml:space="preserve">PARKER HANNIFIN CORPORATION, WILKERSON [FRS; name match, 64 m] | PARKER HANNIFIN CORP WILKERSON [TRI; name match, 68 m]</t>
  </si>
  <si>
    <t xml:space="preserve">PARKER HANNIFIN CORPORATION, WILKERSON</t>
  </si>
  <si>
    <t xml:space="preserve">BOYD SIGN SYSTEMS LLC</t>
  </si>
  <si>
    <t xml:space="preserve">S00639</t>
  </si>
  <si>
    <t xml:space="preserve">5101 S RIO GRANDE ST</t>
  </si>
  <si>
    <t xml:space="preserve">1966;1967;1968;1970;1973;1974;1980;1983;1990;1992</t>
  </si>
  <si>
    <t xml:space="preserve">ELECTRON CORP, THE (1966-1992; SIC 3321) | ELECTRON CORP, THE (1967; SIC 3321,3591) | BLECTRON CORR (1980; SIC 3321,3599) | ELECTRON CORP (1983; SIC 3321,3599)</t>
  </si>
  <si>
    <t xml:space="preserve">ELECTRON CORP, THE (1966) | ELECTRON CORP, THE (1967) | BLECTRON CORR (1980) | ELECTRON CORP (1983)</t>
  </si>
  <si>
    <t xml:space="preserve">Littleton Electron I [CDPHE Voluntary_Cleanup_and_Redevelopment_Program_(VCUP)_new; name match, 133 m] | Littleton Electron II [CDPHE Voluntary_Cleanup_and_Redevelopment_Program_(VCUP)_new; name match, 133 m]</t>
  </si>
  <si>
    <t xml:space="preserve">Littleton Electron I</t>
  </si>
  <si>
    <t xml:space="preserve">S01662</t>
  </si>
  <si>
    <t xml:space="preserve">3910 S KALAMATH</t>
  </si>
  <si>
    <t xml:space="preserve">1966;1967;1968;1970;1973;1974;1977;1980;1983;1990;1992</t>
  </si>
  <si>
    <t xml:space="preserve">FROST ENGINEERING DEV CORP (1966-1974; SIC 3599) | TRUELINE INSTRUMENTS INC (1966; SIC 3559) | BV MACHINE COMPANY, INC (1967-1968; SIC 3591) | coTico INC (1968; SIC 3599) | REMOTE PETROLEUM SYSTEMS, INC (1970-1973; SIC 3586) | UNIVERSAL DYNAMICS OF COLO INC (1973; SIC 3079) | AUTOMATICS LIMITED (1974-1977; SIC 3451,3599) | SIEBERT PRODUCTS INC (1974; SIC 3544,3599,3469) | FROST ENGINEERING DEV CORP (1977-1990; SIC 3429) | OAVIS MANUFACTURING (1980-1992; SIC 3599,3469)</t>
  </si>
  <si>
    <t xml:space="preserve">8 V MACHINE COMPANY MISC MACHINERY (1966) | FROST ENGINEERING DEV CORP (1966) | TRUELINE INSTRUMENTS INC (1966) | BV MACHINE COMPANY, INC (1967) | coTico INC (1968) | REMOTE PETROLEUM SYSTEMS, INC (1970) | UNIVERSAL DYNAMICS OF COLO INC (1973) | AUTOMATICS LIMITED (1974) | SIEBERT PRODUCTS INC (1974) | FEM-GARD INC (1977) | FROST ENGINEERING DEV CORP (1977) | SIEBERT PRODUCTS INC ARTHUR IVANOV PRESIDENT (1977) | OAVIS MANUFACTURING (1980)</t>
  </si>
  <si>
    <t xml:space="preserve">PARKER HANNIFIN CORP WILKERSON [TRI; 111 m] | PARKER HANNIFIN CORPORATION, WILKERSON [FRS; 115 m]</t>
  </si>
  <si>
    <t xml:space="preserve">BOYD SIGN SYSTEMS LLC [CDPHE RCRA; 25 m] | CLASSIC COLLISION - ENGLEWOOD 1981  [CDPHE RCRA; 25 m] | STOLLE PREFERRED MACHINING [CDPHE RCRA; 25 m] | CLASSIC RESTORATION BY COUNTRY CLUB AUTO [CDPHE RCRA; 25 m] | BOYD SIGN SYSTEMS LLC [FRS; 33 m]</t>
  </si>
  <si>
    <t xml:space="preserve">RAGSDALE INDUSTRIES, INC. [FRS; 68 m]</t>
  </si>
  <si>
    <t xml:space="preserve">S03659</t>
  </si>
  <si>
    <t xml:space="preserve">2910 S TEJON</t>
  </si>
  <si>
    <t xml:space="preserve">1966;1970;1973</t>
  </si>
  <si>
    <t xml:space="preserve">GATEWAY SAFETY PRODUCTS (1966-1973; SIC 2899)</t>
  </si>
  <si>
    <t xml:space="preserve">GATEWAY SAFETY PRODUCTS (1966) | ACADEMIC SYSTEMS INC (1980) | NORMAN'S DRAPERY CLEANERS INC (1983) | OPTACRYL INC (1988) | WISHARD + ASSOCIATES INC (1990)</t>
  </si>
  <si>
    <t xml:space="preserve">Coit / Norman's Drapery [CDPHE RCRA_corrective_action; 62 m]</t>
  </si>
  <si>
    <t xml:space="preserve">NORMAN'S DRAPERY CLEANERS (WAS COIT) [FRS; name match, 47 m] | SAFETY-KLEEN SYSTEMS INC - ENGLEWOOD [CDPHE RCRA; 6 m] | LAGADO CORPORATION [FRS; 17 m] | ORALABS INC [FRS; 37 m]</t>
  </si>
  <si>
    <t xml:space="preserve">CASCADE GRAPHICS [FRS; 20 m]</t>
  </si>
  <si>
    <t xml:space="preserve">Coit / Norman's Drapery</t>
  </si>
  <si>
    <t xml:space="preserve">SAFETY-KLEEN SYSTEMS INC - ENGLEWOOD FACILITY</t>
  </si>
  <si>
    <t xml:space="preserve">SAFETY-KLEEN SYSTEMS INC - ENGLEWOOD</t>
  </si>
  <si>
    <t xml:space="preserve">S01312</t>
  </si>
  <si>
    <t xml:space="preserve">2350 DALLAS ST</t>
  </si>
  <si>
    <t xml:space="preserve">1967;1968;1970;1973;1974;1980</t>
  </si>
  <si>
    <t xml:space="preserve">AURORA ORNAMENTAL IRON CC (1967-1974; SIC 1140,3446) | AURORA ORNAMENTAL IRON CO (1980; SIC 3446)</t>
  </si>
  <si>
    <t xml:space="preserve">AURORA ORNAMENTAL IRON CC (1967) | AURORA ORNAMENTAL IRON CO (1980)</t>
  </si>
  <si>
    <t xml:space="preserve">Stanley Marketplace [CDPHE Institutional_Controls_PROD_local] (inside site boundary)</t>
  </si>
  <si>
    <t xml:space="preserve">A &amp; A GLASS COMPANY [FRS; 10 m]</t>
  </si>
  <si>
    <t xml:space="preserve">S01314</t>
  </si>
  <si>
    <t xml:space="preserve">2501 DALLAS</t>
  </si>
  <si>
    <t xml:space="preserve">1967;1968;1970;1973;1974;1980;1983;1990</t>
  </si>
  <si>
    <t xml:space="preserve">PRECISION FABRICATICN SERVICES (1967-1968; SIC 3591,2525) | STANLEY AVIATION CORP (1970-1974; SIC 3729,3599) | STANLEY AVIATION CORP (1980-1990; SIC 3728) | LEGER CORPORATION (1983; SIC 3599)</t>
  </si>
  <si>
    <t xml:space="preserve">PRECISION FABRICATICN SERVICES (1967) | STANLEY AVIATION CORP (1970) | STANLEY AVIATION CORP (1980) | LEGER CORPORATION (1983)</t>
  </si>
  <si>
    <t xml:space="preserve">STANLEY AVIATION CORP [FRS; name match, 45 m] | Stanley Marketplace [CDPHE Institutional_Controls_PROD_local] (inside site boundary)</t>
  </si>
  <si>
    <t xml:space="preserve">GOTHAM GREENS AURORA [FRS; 13 m] | STANLEY MARKETPLACE [FRS; 28 m] | EATON AVIATION CORPORATION [FRS; 28 m]</t>
  </si>
  <si>
    <t xml:space="preserve">S01345</t>
  </si>
  <si>
    <t xml:space="preserve">2899 S SHOSHONE</t>
  </si>
  <si>
    <t xml:space="preserve">1967;1968;1977;1980;1983</t>
  </si>
  <si>
    <t xml:space="preserve">DENVER CONTAINER CORP (1967-1968; SIC 3079,3559) | PERFORMANCE PRODUCTS INC (1977-1980; SIC 3714,3711) | CREST FENCE CO (1980-1983; SIC 3496) | WESTERN RIOGE WOOD PRODUCTS INC (1980; SIC 2491,2431) | SC T SALES INC (1983; SIC 2619,3231,3611)</t>
  </si>
  <si>
    <t xml:space="preserve">DENVER CONTAINER CORP (1967) | KENCRAFT PRODUCTS INC (1974) | PERFORMANCE PRODUCTS INC (1977) | CREST FENCE CO (1980) | EDISON PRESS INC (1980) | WESTERN RIOGE WOOD PRODUCTS INC (1980) | PRECISION GLASS BLOWING (1983) | SC T SALES INC (1983)</t>
  </si>
  <si>
    <t xml:space="preserve">2889 S. Shoshone, LLC [CDPHE Voluntary_Cleanup_and_Redevelopment_Program_(VCUP)_new; 55 m]</t>
  </si>
  <si>
    <t xml:space="preserve">2889 S. Shoshone, LLC</t>
  </si>
  <si>
    <t xml:space="preserve">H D SUPPLY CONSTRUCTION SUPPLY WC0042</t>
  </si>
  <si>
    <t xml:space="preserve">C S GROUP INC</t>
  </si>
  <si>
    <t xml:space="preserve">S01354</t>
  </si>
  <si>
    <t xml:space="preserve">1800 W OXFORD</t>
  </si>
  <si>
    <t xml:space="preserve">1967;1980;1983;1988;1990</t>
  </si>
  <si>
    <t xml:space="preserve">NYCO INC (1967; SIC 3444) | ROCKY MOUNTAIN TOOL-N-MACHINE CO (1980-1990; SIC 3599)</t>
  </si>
  <si>
    <t xml:space="preserve">NYCO INC (1967) | ROCKY MOUNTAIN TOOL-N-MACHINE CO (1980) | UPL INC (1980)</t>
  </si>
  <si>
    <t xml:space="preserve">Chick-A-Fill Restaurant #2284 [CDPHE Voluntary_Cleanup_and_Redevelopment_Program_(VCUP)_new; 35 m]</t>
  </si>
  <si>
    <t xml:space="preserve">BALLAH &amp; ASSOCIATES [FRS; 9 m]</t>
  </si>
  <si>
    <t xml:space="preserve">Chick-A-Fill Restaurant #2284</t>
  </si>
  <si>
    <t xml:space="preserve">BALLAH &amp; ASSOCIATES</t>
  </si>
  <si>
    <t xml:space="preserve">S01355</t>
  </si>
  <si>
    <t xml:space="preserve">2800 S ELATI</t>
  </si>
  <si>
    <t xml:space="preserve">PLASTIC ENGINEERING + MFG CCRP INC (1967; SIC 3079)</t>
  </si>
  <si>
    <t xml:space="preserve">PLASTIC ENGINEERING + MFG CCRP INC (1967) | ROYAL CUSTOM WOOD CRAFT INC (1973) | MARLRICH INDUSTRIES INC 3272 CONCRETE PRODUCTS, NEC 2752 COMMERCEAL PRINTING» LITHOGRAPHIC (1977) | LETTERPRESS EXECUTIVE SIGNS INC (1988) | EXECUTIVE SIGNS INC (1990)</t>
  </si>
  <si>
    <t xml:space="preserve">Iron Works Village II [CDPHE Institutional_Controls_PROD_local] (inside site boundary)</t>
  </si>
  <si>
    <t xml:space="preserve">EXECUTIVE SIGNS INC [FRS; name match, 22 m] | RTD ELATI MAINTENANCE FACILITY [FRS; 7 m]</t>
  </si>
  <si>
    <t xml:space="preserve">Iron Works Village II</t>
  </si>
  <si>
    <t xml:space="preserve">S01356</t>
  </si>
  <si>
    <t xml:space="preserve">4535 S SANTA FE DR</t>
  </si>
  <si>
    <t xml:space="preserve">1967;1970;1973;1974;1980;1983;1988;1990</t>
  </si>
  <si>
    <t xml:space="preserve">RAGSDALE BROS TOOL + DIE INC (1967-1970; SIC 3591) | RAGSDALE BROS INC. (1973-1974; SIC 3591) | RAGSDALE BROS. INC.,01¥ OF BORDEN INT*L (1980-1983; SIC 3542,3599) | LITHOGRAPHIC RAGSDALE BROTHERS (1988; SIC 3542,3599) | RAGSDALE BROTHERS INC (1990; SIC 3542,3599)</t>
  </si>
  <si>
    <t xml:space="preserve">RAGSDALE BROS TOOL + DIE INC (1967) | RAGSDALE BROS INC. (1973) | RAGSDALE BROS. INC.,01¥ OF BORDEN INT*L (1980) | LITHOGRAPHIC RAGSDALE BROTHERS (1988) | RAGSDALE BROTHERS INC (1990)</t>
  </si>
  <si>
    <t xml:space="preserve">Ragsdale Machinery [CDPHE Voluntary_Cleanup_and_Redevelopment_Program_(VCUP)_new; 6 m]</t>
  </si>
  <si>
    <t xml:space="preserve">RAGSDALE MACHINERY OPERATIONS INC [FRS] (address match)</t>
  </si>
  <si>
    <t xml:space="preserve">Ragsdale Machinery</t>
  </si>
  <si>
    <t xml:space="preserve">VERTICAL, INCORPORATED</t>
  </si>
  <si>
    <t xml:space="preserve">RAGSDALE MACHINERY OPERATIONS INC</t>
  </si>
  <si>
    <t xml:space="preserve">S01959</t>
  </si>
  <si>
    <t xml:space="preserve">11380 SMITH RD</t>
  </si>
  <si>
    <t xml:space="preserve">1970;1973</t>
  </si>
  <si>
    <t xml:space="preserve">PRECISION FABRICATION SERVICES (1970; SIC 3591) | DOW CHEMICAL USA EXTRUSION PLANT (1973; SIC 3356)</t>
  </si>
  <si>
    <t xml:space="preserve">PRECISION FABRICATION SERVICES (1970) | DOW CHEMICAL USA EXTRUSION PLANT (1973)</t>
  </si>
  <si>
    <t xml:space="preserve">Smith Road Ventures [CDPHE Voluntary_Cleanup_and_Redevelopment_Program_(VCUP)_new] (address match)</t>
  </si>
  <si>
    <t xml:space="preserve">SMITH ROAD JAIL SITE [CDPHE RCRA; 11 m] | APOLLO SCIENCES [FRS; 33 m]</t>
  </si>
  <si>
    <t xml:space="preserve">HI-TEC PLASTICS INC [FRS] (address match) | HI-TEC PLASTICS RECYCLING INC [FRS] (address match)</t>
  </si>
  <si>
    <t xml:space="preserve">SMITH ROAD JAIL SITE</t>
  </si>
  <si>
    <t xml:space="preserve">S01974</t>
  </si>
  <si>
    <t xml:space="preserve">3294 S ACOMA</t>
  </si>
  <si>
    <t xml:space="preserve">KEM O KLEEN INC (1977; SIC 3589)</t>
  </si>
  <si>
    <t xml:space="preserve">COLORADO PRINTERS (1970) | CREATIVE SIGN + DISPLAY SERVICE (1973) | KEM O KLEEN INC (1977)</t>
  </si>
  <si>
    <t xml:space="preserve">101 W. Floyd, LLC [CDPHE Voluntary_Cleanup_and_Redevelopment_Program_(VCUP)_new; 49 m]</t>
  </si>
  <si>
    <t xml:space="preserve">PARWIT INC-DBA KEM-O-KLEEN INC [FRS; name match, 179 m] | JIM HEIDER [FRS; 19 m]</t>
  </si>
  <si>
    <t xml:space="preserve">101 W. Floyd, LLC</t>
  </si>
  <si>
    <t xml:space="preserve">JIM HEIDER</t>
  </si>
  <si>
    <t xml:space="preserve">S01977</t>
  </si>
  <si>
    <t xml:space="preserve">2627 W OXFORD</t>
  </si>
  <si>
    <t xml:space="preserve">1970;1974;1983;1988;1990</t>
  </si>
  <si>
    <t xml:space="preserve">KLOPPENBERG AND COMPANY NATIONAL CAMERA INC (1970; SIC 3589) | KLCPPENBEKG AND COMPANY (1974-1990; SIC 3589,3444) | PRESSURE MACH KLOPPENBERG+CO (1988; SIC 3444,3585,3589)</t>
  </si>
  <si>
    <t xml:space="preserve">KLOPPENBERG AND COMPANY NATIONAL CAMERA INC (1970) | KLCPPENBEKG AND COMPANY (1974) | PRESSURE MACH KLOPPENBERG+CO (1988)</t>
  </si>
  <si>
    <t xml:space="preserve">KLOPPENBERG &amp; CO [FRS; name match, 30 m]</t>
  </si>
  <si>
    <t xml:space="preserve">KLOPPENBERG &amp; CO [TRI; name match, 160 m]</t>
  </si>
  <si>
    <t xml:space="preserve">KLOPPENBERG &amp; CO [FRS; name match, 30 m] | HOTMIX INC PORTABLE FACILITY [FRS; 5 m]</t>
  </si>
  <si>
    <t xml:space="preserve">KLOPPENBERG &amp; CO</t>
  </si>
  <si>
    <t xml:space="preserve">FLANAGAN READY MIX LTD</t>
  </si>
  <si>
    <t xml:space="preserve">S04538</t>
  </si>
  <si>
    <t xml:space="preserve">2375 S RARITAN</t>
  </si>
  <si>
    <t xml:space="preserve">1970;1973;1974;1977;1983;1988;1990</t>
  </si>
  <si>
    <t xml:space="preserve">ROCKY MOUNTAIN RU! Dit eoit (1970; SIC 3069) | ROCKY MOUNTAIN RUBBER MFG CO (1973-1990; SIC 3069) | ROCKY MOUNTAIN RUBBER MFG CO 2752 COMMERCIAL PRINTINGs LITHOGRAPHIC (1977; SIC 3069) | HULL PRECISION MACHINING (1983; SIC 3599) | SOPTWARE unenBangs'o§ (1988; SIC 3599)</t>
  </si>
  <si>
    <t xml:space="preserve">ROCKY MOUNTAIN RU! Dit eoit (1970) | ROCKY MOUNTAIN RUBBER MFG CO (1973) | ROCKY MOUNTAIN RUBBER MFG CO 2752 COMMERCIAL PRINTINGs LITHOGRAPHIC (1977) | HULL PRECISION MACHINING (1983) | SOPTWARE unenBangs'o§ (1988)</t>
  </si>
  <si>
    <t xml:space="preserve">All Recycling - Remelt Metals [CDPHE Institutional_Controls_PROD_local] (inside site boundary)</t>
  </si>
  <si>
    <t xml:space="preserve">REMELT METALS [FRS; 65 m]</t>
  </si>
  <si>
    <t xml:space="preserve">HULL PRECISION MACHINING INC [FRS; name match, 71 m] | ALL RECYCLING INC [CDPHE RCRA; 26 m]</t>
  </si>
  <si>
    <t xml:space="preserve">REMELT METALS</t>
  </si>
  <si>
    <t xml:space="preserve">ALL RECYCLING INC</t>
  </si>
  <si>
    <t xml:space="preserve">S02186</t>
  </si>
  <si>
    <t xml:space="preserve">15686 BATAVIA</t>
  </si>
  <si>
    <t xml:space="preserve">SUNDOWNER ENTERPRISES (1973-1974; SIC 3792)</t>
  </si>
  <si>
    <t xml:space="preserve">SUNDOWNER ENTERPRISES (1973)</t>
  </si>
  <si>
    <t xml:space="preserve">Fitzsimons Promenade [CDPHE Voluntary_Cleanup_and_Redevelopment_Program_(VCUP)_new; 75 m]</t>
  </si>
  <si>
    <t xml:space="preserve">M&amp;M AUTO RECONDITIONING INC [FRS; 22 m] | ENVIRONMENTAL HEALTH RESEARCH [FRS; 51 m] | ADRIA &amp; ASSOCIATES DBA MAACO COLLISION [FRS; 155 m] | ENVIRO HEALTH RESEARCH &amp; TSTN [FRS; 191 m]</t>
  </si>
  <si>
    <t xml:space="preserve">Curbside Recycling/CRG [CDPHE Solid_Waste_Facilities; 25 m]</t>
  </si>
  <si>
    <t xml:space="preserve">M&amp;M AUTO RECONDITIONING INC [FRS; 22 m]</t>
  </si>
  <si>
    <t xml:space="preserve">S02256</t>
  </si>
  <si>
    <t xml:space="preserve">4675 S WINDERMERE</t>
  </si>
  <si>
    <t xml:space="preserve">ACCUTOUL»s INC (1973-1977; SIC 3599,3544,3769) | ACCUTOOLs INC (1980; SIC 3599,3569,3559)</t>
  </si>
  <si>
    <t xml:space="preserve">ACCUTOUL»s INC (1973) | ACCUTOOLs INC (1980)</t>
  </si>
  <si>
    <t xml:space="preserve">THOMAS PLATING CO INC [FRS; 50 m] | THOMAS PLATING [FRS; 56 m]</t>
  </si>
  <si>
    <t xml:space="preserve">THOMAS PLATING CO INC [FRS; 60 m]</t>
  </si>
  <si>
    <t xml:space="preserve">SPILL INCIDENT 2018-0316 [FRS; 8 m]</t>
  </si>
  <si>
    <t xml:space="preserve">VANTAGE TECHNOLOGY [FRS; 8 m]</t>
  </si>
  <si>
    <t xml:space="preserve">THOMAS PLATING CO INC</t>
  </si>
  <si>
    <t xml:space="preserve">SPILL INCIDENT 2018-0316</t>
  </si>
  <si>
    <t xml:space="preserve">S02262</t>
  </si>
  <si>
    <t xml:space="preserve">2874 S SHOSHONE</t>
  </si>
  <si>
    <t xml:space="preserve">BOB*S DRAPERIES + FURNITURE INSTALLATION (1973; SIC 3079)</t>
  </si>
  <si>
    <t xml:space="preserve">BOB*S DRAPERIES + FURNITURE INSTALLATION (1973)</t>
  </si>
  <si>
    <t xml:space="preserve">2889 S. Shoshone, LLC [CDPHE Voluntary_Cleanup_and_Redevelopment_Program_(VCUP)_new; 4 m] | Coit / Norman's Drapery [CDPHE RCRA_corrective_action; 66 m]</t>
  </si>
  <si>
    <t xml:space="preserve">C S GROUP INC [FRS; 7 m]</t>
  </si>
  <si>
    <t xml:space="preserve">DENVER SANITARY SUPPLY [FRS; 9 m]</t>
  </si>
  <si>
    <t xml:space="preserve">S02271</t>
  </si>
  <si>
    <t xml:space="preserve">2743 S SHOSHONE ST</t>
  </si>
  <si>
    <t xml:space="preserve">DENCOR INC (1980-1983; SIC 3829,3573) | DENVER GRAPHIC» INC (1983; SIC 2751,3079) | ISOLATION DVS EAGLE PRECISION MFG (1988; SIC 3444,3469)</t>
  </si>
  <si>
    <t xml:space="preserve">DENVER GRAPHIC CO (1973) | DENCOR INC (1980) | MICROMEDEX, INC. (1980) | ISOLATION DVS EAGLE PRECISION MFG (1988) | RESIDENTIAL F G CABINET SHOP (1988) | PAUL DE HAEN INTERNATIONAL INC (1990) | FG CABINET SHOP (1990)</t>
  </si>
  <si>
    <t xml:space="preserve">Servpro [CDPHE Voluntary_Cleanup_and_Redevelopment_Program_(VCUP)_new; 82 m]</t>
  </si>
  <si>
    <t xml:space="preserve">MODAPLANE LLC [FRS; 3 m]</t>
  </si>
  <si>
    <t xml:space="preserve">THE SHOP INC [FRS; name match, 113 m] | DENVER GRAPHIC INC [FRS; name match, 225 m]</t>
  </si>
  <si>
    <t xml:space="preserve">Servpro</t>
  </si>
  <si>
    <t xml:space="preserve">FRONT RANGE STONE</t>
  </si>
  <si>
    <t xml:space="preserve">MODAPLANE LLC</t>
  </si>
  <si>
    <t xml:space="preserve">S02272</t>
  </si>
  <si>
    <t xml:space="preserve">1101 W DARTMOUTH</t>
  </si>
  <si>
    <t xml:space="preserve">FIBERGLASSICS» INC (1973-1974; SIC 3079) | TWELFTH DIMENSION “FG CORP (1977; SIC 3751,3732,3861)</t>
  </si>
  <si>
    <t xml:space="preserve">FIBERGLASSICS» INC (1973) | TWELFTH DIMENSION “FG CORP (1977)</t>
  </si>
  <si>
    <t xml:space="preserve">ABANDONED CATHODE RAY TUBES (CRTS) [FRS; 26 m]</t>
  </si>
  <si>
    <t xml:space="preserve">KEOGH &amp; CO [FRS; 26 m] | NYLUND'S COLLISION CENTER [FRS; 27 m] | KEOGH &amp; CO [FRS] (address match)</t>
  </si>
  <si>
    <t xml:space="preserve">ABANDONED CATHODE RAY TUBES (CRTS)</t>
  </si>
  <si>
    <t xml:space="preserve">KEOGH &amp; CO</t>
  </si>
  <si>
    <t xml:space="preserve">S02273</t>
  </si>
  <si>
    <t xml:space="preserve">2957 W HAMPDEN AVE</t>
  </si>
  <si>
    <t xml:space="preserve">G M MACHINIST TOOL + DIE, INC (1973; SIC 3444,3469,3544)</t>
  </si>
  <si>
    <t xml:space="preserve">G M MACHINIST TOOL + DIE, INC (1973)</t>
  </si>
  <si>
    <t xml:space="preserve">Hartung Property [CDPHE Voluntary_Cleanup_and_Redevelopment_Program_(VCUP)_new; 62 m]</t>
  </si>
  <si>
    <t xml:space="preserve">Hartung Property</t>
  </si>
  <si>
    <t xml:space="preserve">BEST TUNE INC</t>
  </si>
  <si>
    <t xml:space="preserve">S02276</t>
  </si>
  <si>
    <t xml:space="preserve">1280 W LEHIGH PL</t>
  </si>
  <si>
    <t xml:space="preserve"> (1973; SIC 3544,3599) | JS TOOL + DIE, INC (1974-1990; SIC 3544,3599) | JS TOOL + OIE, INC (1977-1980; SIC 3544,3599) | ENGLEWOOD - ENGLEWOOD 257 JS TOOL+DIE INC (1988; SIC 3544,3599) | KROHN MILLWORKS (1988; SIC 2431,2541,3010)</t>
  </si>
  <si>
    <t xml:space="preserve"> (1973) | JS TOOL + DIE, INC (1974) | JS TOOL + OIE, INC (1977) | ENGLEWOOD - ENGLEWOOD 257 JS TOOL+DIE INC (1988) | KROHN MILLWORKS (1988)</t>
  </si>
  <si>
    <t xml:space="preserve">Parker-Hannifin Corp./ Wilkerson Operation [CDPHE Institutional_Controls_PROD_local; 68 m] | Parker-Hannifin Corp./ Wilkerson Operation [CDPHE Institutional_Controls_PROD_local] (inside site boundary)</t>
  </si>
  <si>
    <t xml:space="preserve">Parker-Hannifin Corp./ Wilkerson Operation</t>
  </si>
  <si>
    <t xml:space="preserve">BENRAY MARBLE PRODUCTS</t>
  </si>
  <si>
    <t xml:space="preserve">S02282</t>
  </si>
  <si>
    <t xml:space="preserve">2000 W UNION AVE</t>
  </si>
  <si>
    <t xml:space="preserve">NATIONAL CAMERA INC (1973; SIC 3861,3832) | FeVe PIXLEY + ASSOC.INC (1983; SIC 3567) | FINISHES PIXLEY CERIC INC (1988; SIC 3567)</t>
  </si>
  <si>
    <t xml:space="preserve">NATIONAL CAMERA INC (1973) | FeVe PIXLEY + ASSOC.INC (1983) | FINISHES PIXLEY CERIC INC (1988)</t>
  </si>
  <si>
    <t xml:space="preserve">Centennial Park Expansion I [CDPHE Voluntary_Cleanup_and_Redevelopment_Program_(VCUP)_new; 15 m] | Centennial Park Expansion II [CDPHE Voluntary_Cleanup_and_Redevelopment_Program_(VCUP)_new; 15 m]</t>
  </si>
  <si>
    <t xml:space="preserve">21ST CENTURY ENVIRONMENTAL MANAGEMENT OF NEVADA LLC - BLDG F [FRS; 27 m]</t>
  </si>
  <si>
    <t xml:space="preserve">21ST CENTURY ENVIRONMENTAL MANAGEMENT OF NEVADA LLC [FRS; 27 m]</t>
  </si>
  <si>
    <t xml:space="preserve">PSC INDUSTRIAL - THERMAL OXIDIZER #2 [FRS; 11 m] | UNION POWER CONSTRUCTION CO [FRS; 11 m] | PSC INDUSTRIAL - THERMAL OXIDIZER #1 [FRS; 11 m]</t>
  </si>
  <si>
    <t xml:space="preserve">Centennial Park Expansion I</t>
  </si>
  <si>
    <t xml:space="preserve">21ST CENTURY ENVIRONMENTAL MANAGEMENT OF NEVADA LLC - BLDG F</t>
  </si>
  <si>
    <t xml:space="preserve">21ST CENTURY ENVIRONMENTAL MANAGEMENT OF NEVADA LLC</t>
  </si>
  <si>
    <t xml:space="preserve">S02284</t>
  </si>
  <si>
    <t xml:space="preserve">3211 W BEAR CREEK OR</t>
  </si>
  <si>
    <t xml:space="preserve">OAKLEY. TUBE CORP - ILLINOIS (1973-1974; SIC 3317) | GAKLEY TUBE DIV OF GAKLEY INDUSTRIES INC (1980-1983; SIC 3317) | COOLING UNITS SARLEX NDUS PRES (1988; SIC 3317) | OAKLEY TUBE DIVISION (1990; SIC 3317)</t>
  </si>
  <si>
    <t xml:space="preserve">OAKLEY. TUBE CORP - ILLINOIS (1973) | GAKLEY TUBE DIV OF GAKLEY INDUSTRIES INC (1980) | COOLING UNITS SARLEX NDUS PRES (1988) | OAKLEY TUBE DIVISION (1990)</t>
  </si>
  <si>
    <t xml:space="preserve">Oakley Industries [CDPHE Voluntary_Cleanup_and_Redevelopment_Program_(VCUP)_new; name match, 12 m] | Mercury Tube Products [CDPHE RCRA_corrective_action; 55 m]</t>
  </si>
  <si>
    <t xml:space="preserve">OAKLEY INDUSTRIES [TRI; name match, 223 m] | MERCURY TUBE  - 3211 W BEAR CREEK DR [FRS; 35 m]</t>
  </si>
  <si>
    <t xml:space="preserve">Oakley Industries</t>
  </si>
  <si>
    <t xml:space="preserve">AUTO IMAGE</t>
  </si>
  <si>
    <t xml:space="preserve">S02285</t>
  </si>
  <si>
    <t xml:space="preserve">2705 S RARITAN</t>
  </si>
  <si>
    <t xml:space="preserve">PAINT-LACQUER CO (1973-1983; SIC 2851) | DENVER HOLD ENGINEERINGs INC (1983; SIC 3079,3544) | PRESSURE REG PAINT-LACQUER CO (1988; SIC 2851) | KELLTEK PLASTIC (1990; SIC 3000) | T-PLASTECH CORPORATION (1990; SIC 3089)</t>
  </si>
  <si>
    <t xml:space="preserve">PAINT-LACQUER CO (1973) |  (1977) | DENVER HOLD ENGINEERINGs INC (1983) | WEB WORKS INC (1983) | PRESSURE REG PAINT-LACQUER CO (1988) | KELLTEK PLASTIC (1990) | T-PLASTECH CORPORATION (1990)</t>
  </si>
  <si>
    <t xml:space="preserve">S-K Ventures, LLC [CDPHE Voluntary_Cleanup_and_Redevelopment_Program_(VCUP)_new; 10 m]</t>
  </si>
  <si>
    <t xml:space="preserve">PAINT &amp; LACQUER CO [FRS; name match, 42 m] | ROCKY MOUNTAIN RADIOGRAPHICS [FRS; 19 m] | S-K VENTURES LLC [FRS; 42 m]</t>
  </si>
  <si>
    <t xml:space="preserve">T-PLASTECH CORPORATION [FRS; name match, 46 m] | DEL PONTE LANDSCAPING CO [FRS; 19 m] | RARITAN CWT [FRS; 42 m]</t>
  </si>
  <si>
    <t xml:space="preserve">S-K Ventures, LLC</t>
  </si>
  <si>
    <t xml:space="preserve">ROCKY MOUNTAIN RADIOGRAPHICS</t>
  </si>
  <si>
    <t xml:space="preserve">S02289</t>
  </si>
  <si>
    <t xml:space="preserve">2045 W UNION</t>
  </si>
  <si>
    <t xml:space="preserve">ROCKY MOUNTAIN TOOL + MACHINE CO (1973; SIC 3591)</t>
  </si>
  <si>
    <t xml:space="preserve">ROCKY MOUNTAIN TOOL + MACHINE CO (1973)</t>
  </si>
  <si>
    <t xml:space="preserve">Centennial Park Expansion I [CDPHE Voluntary_Cleanup_and_Redevelopment_Program_(VCUP)_new; 50 m] | Centennial Park Expansion II [CDPHE Voluntary_Cleanup_and_Redevelopment_Program_(VCUP)_new; 50 m]</t>
  </si>
  <si>
    <t xml:space="preserve">21ST CENTURY ENVIRONMENTAL MANAGEMENT OF NEVADA LLC - BLDG F [FRS; 35 m]</t>
  </si>
  <si>
    <t xml:space="preserve">21ST CENTURY ENVIRONMENTAL MANAGEMENT OF NEVADA LLC [FRS; 35 m]</t>
  </si>
  <si>
    <t xml:space="preserve">S02294</t>
  </si>
  <si>
    <t xml:space="preserve">4695 S WINDERMERE ST</t>
  </si>
  <si>
    <t xml:space="preserve">1973;1977;1980;1988;1992</t>
  </si>
  <si>
    <t xml:space="preserve">THOMAS PLATING COs INC (1973-1992; SIC 3471,3479)</t>
  </si>
  <si>
    <t xml:space="preserve">THOMAS PLATING COs INC (1973)</t>
  </si>
  <si>
    <t xml:space="preserve">THOMAS PLATING CO INC [FRS; name match, 13 m] | THOMAS PLATING [FRS; name match, 17 m] | THOMAS PLATING CO INC [FRS] (address match)</t>
  </si>
  <si>
    <t xml:space="preserve">THOMAS PLATING CO INC [FRS; name match, 34 m] | THOMAS PLATING CO INC [TRI] (address match)</t>
  </si>
  <si>
    <t xml:space="preserve">MACHINE SHOP [FRS; 19 m] | SPILL INCIDENT 2018-0316 [FRS; 35 m]</t>
  </si>
  <si>
    <t xml:space="preserve">VANTAGE TECHNOLOGY [FRS; 35 m] | DENVER WEST [FRS] (address match)</t>
  </si>
  <si>
    <t xml:space="preserve">MACHINE SHOP</t>
  </si>
  <si>
    <t xml:space="preserve">S02309</t>
  </si>
  <si>
    <t xml:space="preserve">3400 S ZUNI</t>
  </si>
  <si>
    <t xml:space="preserve">ENERGY RESEARCH GROUP (1973-1983; SIC 2992)</t>
  </si>
  <si>
    <t xml:space="preserve">ENERGY RESEARCH GROUP (1973) | COLORADO STAIR CO (1980)</t>
  </si>
  <si>
    <t xml:space="preserve">ASHLAND CHEMICAL CO [FRS; 6 m] | Ashland Chemical [CDPHE RCRA_corrective_action; 38 m]</t>
  </si>
  <si>
    <t xml:space="preserve">ADVANCED CYLINDERS CORP [FRS; 2 m]</t>
  </si>
  <si>
    <t xml:space="preserve">COLORADO STAIR [FRS; name match, 97 m] | MGM SUPPLY COMPANY [FRS; 3 m] | DENVER DRYWALL COMPANY [FRS; 43 m]</t>
  </si>
  <si>
    <t xml:space="preserve">ASHLAND CHEMICAL CO</t>
  </si>
  <si>
    <t xml:space="preserve">ADVANCED CYLINDERS CORP</t>
  </si>
  <si>
    <t xml:space="preserve">S03705</t>
  </si>
  <si>
    <t xml:space="preserve">2720 S TEJON</t>
  </si>
  <si>
    <t xml:space="preserve">Chemicals; Fabricated metals; Industrial machinery; Petroleum refining; Primary metals; Rubber &amp; plastics; Transportation equipment</t>
  </si>
  <si>
    <t xml:space="preserve">1973;1974;1977;1980;1983;1988;1990;1992</t>
  </si>
  <si>
    <t xml:space="preserve">ARROW DISTRIBUTING CO (1973; SIC 2841,2842) | REFFELs J Wy METAL FOUNORY (1973-1990; SIC 3361,3362) | ARRGW CHEMICAL CORP DBA/ARROW CIST CO (1974-1988; SIC 2841,2842) | SKYLINE INDUSTRIES INC (1974-1980; SIC 3479,3999,3499) | TUBE BENDING (1977-1983; SIC 2090,3446,3498) | PROFESSIONAL FABRICATORS (1983-1992; SIC 3599,3079) | SKYLINE INDUSTRIES GTC CORPs OBA (1983; SIC 3999,2753,3499) | NATIONAL SCREENPRINT (1988; SIC 2395,2396,2801) | PREEMS SIONAL (1988; SIC 3089,3599) | ARROW DIST CO (1990; SIC 2842,2861,2899) | PELSUE CO (1990; SIC 3479)</t>
  </si>
  <si>
    <t xml:space="preserve">ARROW DISTRIBUTING CO (1973) | REFFELs J Wy METAL FOUNORY (1973) | THE SHOP (1973) | ARRGW CHEMICAL CORP DBA/ARROW CIST CO (1974) | SKYLINE INDUSTRIES INC (1974) | SHOP INC, T4E 3792 TRAVEL TRAILERS AND CAMPERS (1977) | TUBE BENDING (1977) | THOMAS PRINTING CO (1980) | ACADEMIC SYSTEMS INC (1983) | CUSTOM COVED TOPS (1983) | PROFESSIONAL FABRICATORS (1983) | SKYLINE INDUSTRIES GTC CORPs OBA (1983) | WILSA INC D B A OPTACRYL INC (1983) | GUARDS, SHEETGOODS ACADEMIC SYSTEMS INC (1988) | NATIONAL SCREENPRINT (1988) | PREEMS SIONAL (1988) | ARROW DIST CO (1990) | PELSUE CO (1990)</t>
  </si>
  <si>
    <t xml:space="preserve">Servpro [CDPHE Voluntary_Cleanup_and_Redevelopment_Program_(VCUP)_new; 118 m]</t>
  </si>
  <si>
    <t xml:space="preserve">J.W. REFFEL METALS FOUNDRY INC [FRS; name match, 93 m] | NATIONAL SCREENPRINT CORP [CDPHE RCRA; name match, 196 m] | CHATEAU SHUTTER [FRS; 16 m] | BOYD DESIGN GROUP [FRS; 35 m] | MOTORSPORT INC [FRS; 72 m] | D C CONCRETE [FRS; 90 m] | OVER-LOWE CO INC [FRS; 91 m] | GUARANTY BANK &amp; TRUST CO [FRS; 101 m]</t>
  </si>
  <si>
    <t xml:space="preserve">THE SHOP INC [FRS; name match, 45 m] | ARROW DISTRIBUTING [FRS; name match, 97 m] | HELM CORP [FRS; 19 m] | CREATIVE WOODWORKING INC [FRS; 45 m] | FROST LINE MECHANICAL [FRS; 72 m] | PPD INC COLORWORKS [FRS; 81 m] | CUSTOM MACHINING CORPORATION [FRS; 101 m] | R&amp;R MILLWORK INC [FRS; 101 m]</t>
  </si>
  <si>
    <t xml:space="preserve">CHATEAU SHUTTER</t>
  </si>
  <si>
    <t xml:space="preserve">S02794</t>
  </si>
  <si>
    <t xml:space="preserve">3900 S MARIPOSA</t>
  </si>
  <si>
    <t xml:space="preserve">OGRIC MANUFACTURING CG (1974; SIC 3591,3599) | DORIC MANUFACTURING CO (1980-1983; SIC 3566,3599,3253)</t>
  </si>
  <si>
    <t xml:space="preserve">OGRIC MANUFACTURING CG (1974) | UNITEC INC (1977) | DORIC MANUFACTURING CO (1980) | MOSER PRINTING INC (1980) | MICROCOMPUTER SYSTS MOSER PRINTING INC (1988) | SUNSET PRINTING (1990)</t>
  </si>
  <si>
    <t xml:space="preserve">PARKER HANNIFIN CORPORATION, WILKERSON [FRS; 83 m]</t>
  </si>
  <si>
    <t xml:space="preserve">MOSER PRINTING [FRS; name match, 11 m] | MOSER PRINTING INC [CDPHE RCRA; name match, 90 m] | PORTER AUTOBODY [CDPHE RCRA; 46 m] | MOSER PRINTING INC [CDPHE RCRA] (address match)</t>
  </si>
  <si>
    <t xml:space="preserve">100 PERCENT DRY [FRS; 48 m]</t>
  </si>
  <si>
    <t xml:space="preserve">MOSER PRINTING</t>
  </si>
  <si>
    <t xml:space="preserve">S03207</t>
  </si>
  <si>
    <t xml:space="preserve">2960 S UMATILLA ST</t>
  </si>
  <si>
    <t xml:space="preserve">ANTEE CORPIRATION (1977; SIC 3499) | aCCU-TUBE CO (1980-1990; SIC 3317,3446,3499) | ANTEC CORPORATION (1980; SIC 3498) | B V MACHINE COMPANY, INC (1983; SIC 3599)</t>
  </si>
  <si>
    <t xml:space="preserve">ANTEE CORPIRATION (1977) | aCCU-TUBE CO (1980) | ANTEC CORPORATION (1980) | B V MACHINE COMPANY, INC (1983)</t>
  </si>
  <si>
    <t xml:space="preserve">2960 SOUTH UMATILLA STREET [FRS; 2 m] | 2960 SOUTH UMATILLA STREET [FRS] (address match)</t>
  </si>
  <si>
    <t xml:space="preserve">ACCU TUBE CORPORATION [FRS; name match, 2 m] | PREMIER FURNITURE COMPANY [FRS; 5 m] | STANDLEY CIRCUITS [FRS; 50 m] | ACCU TUBE CORPORATION [FRS] (address match)</t>
  </si>
  <si>
    <t xml:space="preserve">ACCU TUBE CORPORATION</t>
  </si>
  <si>
    <t xml:space="preserve">S03224</t>
  </si>
  <si>
    <t xml:space="preserve">1600 W YALE AVE</t>
  </si>
  <si>
    <t xml:space="preserve">3TLL MOTOR VE4ICLES AND CAR BODIES IMPERIAL METALS IND LTD eee | (1977; SIC 3441) | WESTER TOOL + MACHINE CO (1983-1990; SIC 3469,3544)</t>
  </si>
  <si>
    <t xml:space="preserve">3TLL MOTOR VE4ICLES AND CAR BODIES IMPERIAL METALS IND LTD eee | (1977) | WESTER TOOL + MACHINE CO (1983)</t>
  </si>
  <si>
    <t xml:space="preserve">Genesee-Wester [CDPHE Voluntary_Cleanup_and_Redevelopment_Program_(VCUP)_new; 19 m]</t>
  </si>
  <si>
    <t xml:space="preserve">AMERICAN STAINLESS STEEL CORP [FRS; 45 m] | AMERICAN STAINLESS STEEL CORP [FRS] (address match) | AMERICAN STAINLESS STEEL CORP [TRI] (address match)</t>
  </si>
  <si>
    <t xml:space="preserve">Genesee-Wester</t>
  </si>
  <si>
    <t xml:space="preserve">PRESSWORKS</t>
  </si>
  <si>
    <t xml:space="preserve">S03641</t>
  </si>
  <si>
    <t xml:space="preserve">1495 KINGSTON</t>
  </si>
  <si>
    <t xml:space="preserve">AD-LITE SIGN CO INC (1988; SIC 3993,3844,3599)</t>
  </si>
  <si>
    <t xml:space="preserve">AD-LITE SIGNS (1980)</t>
  </si>
  <si>
    <t xml:space="preserve">FLETCHER PLAZA ENHANCEMENT AREA [FRS; 53 m] | NORTH SIDE OF COLFAX [FRS; 53 m]</t>
  </si>
  <si>
    <t xml:space="preserve">FLETCHER PLAZA ENHANCEMENT AREA</t>
  </si>
  <si>
    <t xml:space="preserve">J M AUTO SERVICE INC</t>
  </si>
  <si>
    <t xml:space="preserve">S03661</t>
  </si>
  <si>
    <t xml:space="preserve">2465 W HAMPDEN AVE</t>
  </si>
  <si>
    <t xml:space="preserve">ACTIGN [RONWORKS (1980-1988; SIC 3446,3442)</t>
  </si>
  <si>
    <t xml:space="preserve">ACTIGN [RONWORKS (1980)</t>
  </si>
  <si>
    <t xml:space="preserve">FLYING SAUCER PROJECT [FRS; 35 m]</t>
  </si>
  <si>
    <t xml:space="preserve">FLYING SAUCER PROJECT</t>
  </si>
  <si>
    <t xml:space="preserve">D&amp;D AUTO BODY INC</t>
  </si>
  <si>
    <t xml:space="preserve">S03665</t>
  </si>
  <si>
    <t xml:space="preserve">3780 S LIPAN ST</t>
  </si>
  <si>
    <t xml:space="preserve">ALE-WEATHER ENDUSTRIES, LNC. (1980-1983; SIC 3442) | BENRAY MARBLE PRODUCTS (1980-1983; SIC 3079) | INDUSTRIAL MACHINING INC (1983; SIC 3599)</t>
  </si>
  <si>
    <t xml:space="preserve">ALE-WEATHER ENDUSTRIES, LNC. (1980) | BENRAY MARBLE PRODUCTS (1980) | INDUSTRIAL MACHINING INC (1983) | BRAND-IT (1988)</t>
  </si>
  <si>
    <t xml:space="preserve">Consolidated Steel Services, Inc. [CDPHE Voluntary_Cleanup_and_Redevelopment_Program_(VCUP)_new; 60 m] | Parker-Hannifin Corp./ Wilkerson Operation [CDPHE Institutional_Controls_PROD_local; 102 m]</t>
  </si>
  <si>
    <t xml:space="preserve">BENRAY MARBLE PRODUCTS [FRS; name match, 31 m]</t>
  </si>
  <si>
    <t xml:space="preserve">BRAND IT CO [FRS; name match, 22 m] | HIGH TECH PLATING [FRS; 13 m]</t>
  </si>
  <si>
    <t xml:space="preserve">S03668</t>
  </si>
  <si>
    <t xml:space="preserve">1630 W EVANS NO D</t>
  </si>
  <si>
    <t xml:space="preserve">DENVER PIPE ¢ TUBE SENDING INC (1980; SIC 3498) | MASTER INSTALLATIONS» INC. (1983; SIC 3442)</t>
  </si>
  <si>
    <t xml:space="preserve">COLORADO CANVAS AWNING (1980) | DENVER PIPE ¢ TUBE SENDING INC (1980) | u $ moRSE CO (1980) | CoxoRrave ICE Co (1980) | MASTER INSTALLATIONS» INC. (1983) | S J MORSE CO (1983) | DESIGN MATERIALS INC. (1990)</t>
  </si>
  <si>
    <t xml:space="preserve">X Marks The Spot [CDPHE Voluntary_Cleanup_and_Redevelopment_Program_(VCUP)_new; 47 m] | Interstate Pattern [CDPHE Voluntary_Cleanup_and_Redevelopment_Program_(VCUP)_new; 204 m] | Interstate Patterns [CDPHE Voluntary_Cleanup_and_Redevelopment_Program_(VCUP)_new; 204 m] | Interstate Patterns [CDPHE Institutional_Controls_PROD_local; 247 m]</t>
  </si>
  <si>
    <t xml:space="preserve">STERLING STAINLESS TUBE [TRI; 98 m]</t>
  </si>
  <si>
    <t xml:space="preserve">BANNER SERVICE [FRS; 26 m] | CLASSIC COLLISION  - 1979 - WEST EVANS AVE [FRS; 30 m] | TECHCYCLE INC [CDPHE RCRA; 96 m] | CLASSIC COLLISION - HIGHLAND SOUTH 1928 [FRS; 108 m] | TECHCYCLE INC [FRS; 164 m] | FEDERAL EXPRESS [FRS; 177 m] | FISOURCE INCORPORATED [FRS; 191 m] | SUMMIT POWDER COATINGS [FRS; 191 m] | CENTENNIAL AUTO &amp; 4X4 INC [FRS; 193 m] | LAMP RECYCLING SOLUTIONS [FRS; 200 m] | AINSWORT</t>
  </si>
  <si>
    <t xml:space="preserve">WANCO INC [FRS; 75 m] | B-COOLTHING OPTOELECTRONICS.INC [FRS; 99 m] | SCOTTS ABRA AUTO BODY AND GLASS [FRS; 108 m] | CHRISTIAN FELLOWSHIP [FRS; 108 m] | COLORADO MARBLE &amp; GRANITE ENGLEWOOD [FRS; 136 m] | FRONT RANGE STONE [FRS; 177 m] | FC - HOMES [FRS; 191 m] | LESCO [FRS; 191 m] | HERITAGE DIE CASTING COMPANY INC [FRS; 200 m] | HIGH TEK TUBE CORP [FRS; 240 m] | CHEMICAL COMPANIES INCORPORATED [F</t>
  </si>
  <si>
    <t xml:space="preserve">X Marks The Spot</t>
  </si>
  <si>
    <t xml:space="preserve">STERLING STAINLESS TUBE</t>
  </si>
  <si>
    <t xml:space="preserve">BANNER SERVICE</t>
  </si>
  <si>
    <t xml:space="preserve">S03678</t>
  </si>
  <si>
    <t xml:space="preserve">2845 S TEJON</t>
  </si>
  <si>
    <t xml:space="preserve">PACKAGING RESEAROH CORPORATION (1980-1983; SIC 3551)</t>
  </si>
  <si>
    <t xml:space="preserve">CusTOM COVEO TOPS (1980) | GROVE KITCHENS (1980) | PACKAGING RESEAROH CORPORATION (1980) | NATIONAL SCREENPRINT (1990)</t>
  </si>
  <si>
    <t xml:space="preserve">Coit / Norman's Drapery [CDPHE RCRA_corrective_action; 78 m]</t>
  </si>
  <si>
    <t xml:space="preserve">SAFETY-KLEEN SYSTEMS INC - ENGLEWOOD FACILITY [FRS; 33 m]</t>
  </si>
  <si>
    <t xml:space="preserve">NATIONAL SCREENPRINT CORP [FRS; name match, 35 m] | SAFETY-KLEEN SYSTEMS INC - ENGLEWOOD [FRS; 33 m] | ASH &amp; WHITE CONSTRUCTION CO [FRS; 50 m]</t>
  </si>
  <si>
    <t xml:space="preserve">ACCURATE WINDOW &amp; DOOR CENTER [FRS; 13 m] | BLUE FLAME COATINGS [FRS; 23 m] | ALPINE ROASTERY, INC. [FRS; 23 m]</t>
  </si>
  <si>
    <t xml:space="preserve">S03682</t>
  </si>
  <si>
    <t xml:space="preserve">3852 S KALAMATH</t>
  </si>
  <si>
    <t xml:space="preserve">JS-THREE INC (1980; SIC 3599) | J-3 INC (1990; SIC 3599)</t>
  </si>
  <si>
    <t xml:space="preserve">JS-THREE INC (1980) | J-3 INC (1990)</t>
  </si>
  <si>
    <t xml:space="preserve">PARKER HANNIFIN CORP WILKERSON [TRI; 72 m]</t>
  </si>
  <si>
    <t xml:space="preserve">CLASSIC RESTORATION BY COUNTRY CLUB AUTO</t>
  </si>
  <si>
    <t xml:space="preserve">S03693</t>
  </si>
  <si>
    <t xml:space="preserve">4431 S SANTA FE DR</t>
  </si>
  <si>
    <t xml:space="preserve">AGE MFG INC (1980; SIC 2491) | LOOM CRAFTY (1980-1983; SIC 2511,3552)</t>
  </si>
  <si>
    <t xml:space="preserve">AGE MFG INC (1980) | LOOM CRAFTY (1980)</t>
  </si>
  <si>
    <t xml:space="preserve">Ragsdale Machinery [CDPHE Voluntary_Cleanup_and_Redevelopment_Program_(VCUP)_new; 53 m]</t>
  </si>
  <si>
    <t xml:space="preserve">PETROLABS INC [FRS] (address match)</t>
  </si>
  <si>
    <t xml:space="preserve">PETRO LABS DUGAN PIT</t>
  </si>
  <si>
    <t xml:space="preserve">S03695</t>
  </si>
  <si>
    <t xml:space="preserve">2045 W AMHERST</t>
  </si>
  <si>
    <t xml:space="preserve">PRGTGOYNE INC (1980; SIC 3599) | PROTODYNE INC (1983-1990; SIC 3599,3541,2599)</t>
  </si>
  <si>
    <t xml:space="preserve">PRGTGOYNE INC (1980) | PROTODYNE INC (1983)</t>
  </si>
  <si>
    <t xml:space="preserve">SAFETY-KLEEN CORP 6-052-02 [FRS; 47 m]</t>
  </si>
  <si>
    <t xml:space="preserve">SAFETY-KLEEN SYSTEMS INC - ENGLEWOOD FACILITY [FRS; 57 m]</t>
  </si>
  <si>
    <t xml:space="preserve">PROTO DYNE [FRS; 4 m]</t>
  </si>
  <si>
    <t xml:space="preserve">ADVANTAGE SCREEN PRINT [FRS; 33 m]</t>
  </si>
  <si>
    <t xml:space="preserve">SAFETY-KLEEN CORP 6-052-02</t>
  </si>
  <si>
    <t xml:space="preserve">PROTO DYNE</t>
  </si>
  <si>
    <t xml:space="preserve">S03698</t>
  </si>
  <si>
    <t xml:space="preserve">3602 3 JASON ST</t>
  </si>
  <si>
    <t xml:space="preserve">ROCKY MOUNTAIN PRO CLEAN INC. (1980; SIC 2842)</t>
  </si>
  <si>
    <t xml:space="preserve">ROCKY MOUNTAIN PRO CLEAN INC. (1980)</t>
  </si>
  <si>
    <t xml:space="preserve">Savio House [CDPHE CDPHE Brownfield; 74 m] | SAVIO HOUSE [FRS; 82 m] | Savio House [CDPHE Voluntary_Cleanup_and_Redevelopment_Program_(VCUP)_new; 95 m]</t>
  </si>
  <si>
    <t xml:space="preserve">HUD CLEANUP ENVIRONET INC [FRS; 110 m] | RUN-NEL ELECTRIC CO [FRS; 243 m]</t>
  </si>
  <si>
    <t xml:space="preserve">S03702</t>
  </si>
  <si>
    <t xml:space="preserve">1400 W DARTMOUTH</t>
  </si>
  <si>
    <t xml:space="preserve">1980;1983;1988;1990;1992</t>
  </si>
  <si>
    <t xml:space="preserve">STERLING STAINLESS TUBE CORP (1980-1992; SIC 3317)</t>
  </si>
  <si>
    <t xml:space="preserve">STERLING STAINLESS TUBE CORP (1980)</t>
  </si>
  <si>
    <t xml:space="preserve">KOEGH &amp; COMPANY [FRS; 32 m] | STERLING STAINLESS TUBE CORP [FRS] (address match)</t>
  </si>
  <si>
    <t xml:space="preserve">STERLING STAINLESS TUBE CORP [FRS; name match, 52 m]</t>
  </si>
  <si>
    <t xml:space="preserve">PRATT &amp; LAMBERT INC [FRS; 38 m]</t>
  </si>
  <si>
    <t xml:space="preserve">C2IMAGING - PRINTING FACILITY [FRS; 4 m] | C2 IMAGING, LLC [FRS; 4 m] | CALIBER BODYWORKS OF CO - ENGLEWOOD 0868 [FRS; 4 m]</t>
  </si>
  <si>
    <t xml:space="preserve">KOEGH &amp; COMPANY</t>
  </si>
  <si>
    <t xml:space="preserve">STERLING STAINLESS TUBE CORP</t>
  </si>
  <si>
    <t xml:space="preserve">PRATT &amp; LAMBERT INC</t>
  </si>
  <si>
    <t xml:space="preserve">S03712</t>
  </si>
  <si>
    <t xml:space="preserve">1208 W MANSFIELD AVE</t>
  </si>
  <si>
    <t xml:space="preserve">WILKERSON CORP (1980; SIC 3569,3494,3567)</t>
  </si>
  <si>
    <t xml:space="preserve">WILKERSON CORP (1980)</t>
  </si>
  <si>
    <t xml:space="preserve">Parker Hannifin Corp/Wilkerson Ops [CDPHE RCRA_corrective_action; name match, 68 m] | Parker-Hannifin Corp./ Wilkerson Operation [CDPHE Institutional_Controls_PROD_local; name match, 131 m] | Parker-Hannifin Corp./ Wilkerson Operation [CDPHE Institutional_Controls_PROD_local] (inside site boundary)</t>
  </si>
  <si>
    <t xml:space="preserve">PARKER HANNIFIN CORPORATION, WILKERSON [FRS; name match, 5 m] | PARKER HANNIFIN CORP WILKERSON [TRI; name match, 78 m]</t>
  </si>
  <si>
    <t xml:space="preserve">CSTM TRADING COMPANY [FRS; 5 m] | OURAY SPORTSWEAR [FRS; 5 m]</t>
  </si>
  <si>
    <t xml:space="preserve">S04525</t>
  </si>
  <si>
    <t xml:space="preserve">2835 SE RARITAN</t>
  </si>
  <si>
    <t xml:space="preserve">‘GULLEY METAL SERVICES INC (1992; SIC 3534) | T-PLASTECH CORPORATION (1992; SIC 3089)</t>
  </si>
  <si>
    <t xml:space="preserve">COLORADO QUALITY KITCHENS (1983) | ‘GULLEY METAL SERVICES INC (1992) | T-PLASTECH CORPORATION (1992)</t>
  </si>
  <si>
    <t xml:space="preserve">Genesee-Wester [CDPHE Voluntary_Cleanup_and_Redevelopment_Program_(VCUP)_new; 121 m] | S-K Ventures, LLC [CDPHE Voluntary_Cleanup_and_Redevelopment_Program_(VCUP)_new; 184 m]</t>
  </si>
  <si>
    <t xml:space="preserve">AMERICAN STAINLESS STEEL CORP [FRS; 115 m]</t>
  </si>
  <si>
    <t xml:space="preserve">PRESSWORKS [FRS; 39 m] | GIBSON INC [FRS; 64 m] | THE PRESSWORKS [CDPHE RCRA; 82 m] | GIBSON INC [CDPHE RCRA; 82 m] | S-K VENTURES LLC [FRS; 163 m] | ROCKY MOUNTAIN RADIOGRAPHICS [FRS; 194 m] | SERVICE UNIFORM RENTAL [FRS; 194 m] | PAINT &amp; LACQUER CO [FRS; 211 m]</t>
  </si>
  <si>
    <t xml:space="preserve">T-PLASTECH CORPORATION [FRS; name match, 213 m] | WEAVER PRINTING [FRS; 39 m] | WEST HARVARD GULCH REHABILITATION [FRS; 60 m] | DENVER GRAPHIC INC [FRS; 146 m] | FRONT RANGE CORVETTE CAMERO [FRS; 147 m] | RARITAN CWT [FRS; 163 m] | SERVICE UNIFORM [FRS; 194 m] | DEL PONTE LANDSCAPING CO [FRS; 201 m] | ROCKY MOUNTAIN RADIOGRAPHIC [FRS; 247 m]</t>
  </si>
  <si>
    <t xml:space="preserve">S04549</t>
  </si>
  <si>
    <t xml:space="preserve">2601 S VALLEJO</t>
  </si>
  <si>
    <t xml:space="preserve">NATIONAL WIRE + STAMPINGs INC (1983; SIC 3496,3469,3493)</t>
  </si>
  <si>
    <t xml:space="preserve">NATIONAL WIRE + STAMPINGs INC (1983)</t>
  </si>
  <si>
    <t xml:space="preserve">SAFETY-KLEEN CORP 6-052-02 [FRS; 230 m]</t>
  </si>
  <si>
    <t xml:space="preserve">NATIONAL WIRE &amp; STAMPING INC DBA ACCELLENT [FRS; 202 m] | NATIONAL WIRE &amp; STAMPING INC DBA ACCELLENT [TRI; 222 m]</t>
  </si>
  <si>
    <t xml:space="preserve">RELIANCE TRUCK &amp; AUTO SERVICE [FRS; 20 m] | MARANATHA CONSTRUCTION CO [FRS; 44 m] | NATKIN [FRS; 47 m] | NATKIN &amp; COMPANY [FRS; 115 m] | GUARANTY BANK &amp; TRUST CO [FRS; 159 m] | BOYD DESIGN GROUP [FRS; 161 m] | R &amp; M COLOUR GRAPHICS INC [FRS; 174 m] | D C CONCRETE [FRS; 175 m] | CHATEAU SHUTTER [FRS; 182 m] | OVER-LOWE CO INC [FRS; 219 m] | BARSCH WOODWORKS [FRS; 224 m] | J.W. REFFEL METALS FOUNDRY</t>
  </si>
  <si>
    <t xml:space="preserve">GS&amp;D PRINTING LTD [FRS; 41 m] | VEOLIA TRANSPORTATION DENVER [FRS; 92 m] | SUNSET PRINTING [FRS; 100 m] | RIVIERA ELECTRIC CNSTR CO [FRS; 120 m] | CUSTOM WINDOW CO. [FRS; 127 m] | R&amp;R MILLWORK INC [FRS; 159 m] | CUSTOM MACHINING CORPORATION [FRS; 159 m] | MCSWAIN METAL FABRICATION, INC. [FRS; 174 m] | WEST HARVARD GULCH DROP STRUCTURE [FRS; 187 m] | LUXURY STONE, INC. [FRS; 202 m] | HELM CORP [FRS</t>
  </si>
  <si>
    <t xml:space="preserve">RELIANCE TRUCK &amp; AUTO SERVICE</t>
  </si>
  <si>
    <t xml:space="preserve">S04564</t>
  </si>
  <si>
    <t xml:space="preserve">1351 WE STANFORD AVE</t>
  </si>
  <si>
    <t xml:space="preserve">WINDSOR INDUSTRIES INC (1983-1992; SIC 3589)</t>
  </si>
  <si>
    <t xml:space="preserve">WINDSOR INDUSTRIES INC (1983)</t>
  </si>
  <si>
    <t xml:space="preserve">Castle Rock Industries, Inc. [CDPHE Voluntary_Cleanup_and_Redevelopment_Program_(VCUP)_new; 9 m] | Front Range Plating II [CDPHE Voluntary_Cleanup_and_Redevelopment_Program_(VCUP)_new; 49 m] | Front Range Plating I [CDPHE Voluntary_Cleanup_and_Redevelopment_Program_(VCUP)_new; 49 m] | NAVAJO ENTERPRISES [FRS; 53 m]</t>
  </si>
  <si>
    <t xml:space="preserve">WINDSOR INDUSTRIES INC [FRS; name match, 40 m] | WINDSOR INDUSTRIES INC [TRI; name match, 184 m] | FRONT RANGE PLATING INC [FRS; 53 m]</t>
  </si>
  <si>
    <t xml:space="preserve">GARMAT USA INC [FRS; 16 m]</t>
  </si>
  <si>
    <t xml:space="preserve">Castle Rock Industries, Inc.</t>
  </si>
  <si>
    <t xml:space="preserve">WINDSOR INDUSTRIES INC</t>
  </si>
  <si>
    <t xml:space="preserve">GARMAT USA INC</t>
  </si>
  <si>
    <t xml:space="preserve">S05534</t>
  </si>
  <si>
    <t xml:space="preserve">2985 S UMATILLA</t>
  </si>
  <si>
    <t xml:space="preserve">A G MACHINING (1988; SIC 3599) | AG MACHINING + INDUSTRIES INC (1990; SIC 3599)</t>
  </si>
  <si>
    <t xml:space="preserve">A G MACHINING (1988) | AG MACHINING + INDUSTRIES INC (1990)</t>
  </si>
  <si>
    <t xml:space="preserve">2960 SOUTH UMATILLA STREET [FRS; 56 m]</t>
  </si>
  <si>
    <t xml:space="preserve">STANDLEY CIRCUITS [CDPHE RCRA; 25 m]</t>
  </si>
  <si>
    <t xml:space="preserve">S05630</t>
  </si>
  <si>
    <t xml:space="preserve">4460 WINDEMERE</t>
  </si>
  <si>
    <t xml:space="preserve">LONE STAR PLYWOOD+DOOR (1988-1990; SIC 2421,2431,2436)</t>
  </si>
  <si>
    <t xml:space="preserve">LONE STAR PLYWOOD+DOOR (1988)</t>
  </si>
  <si>
    <t xml:space="preserve">NAVAJO ENTERPRISES [FRS; 216 m] | Ragsdale Machinery [CDPHE Voluntary_Cleanup_and_Redevelopment_Program_(VCUP)_new; 220 m] | Front Range Plating II [CDPHE Voluntary_Cleanup_and_Redevelopment_Program_(VCUP)_new; 225 m] | Front Range Plating I [CDPHE Voluntary_Cleanup_and_Redevelopment_Program_(VCUP)_new; 225 m] | Castle Rock Industries, Inc. [CDPHE Voluntary_Cleanup_and_Redevelopment_Program_(VCUP)</t>
  </si>
  <si>
    <t xml:space="preserve">FRONT RANGE PLATING INC [FRS; 216 m]</t>
  </si>
  <si>
    <t xml:space="preserve">ANGLE TREE SERVICE [FRS; 86 m] | ABSOLUTE AUTO CARE SERVICE INC [FRS; 98 m] | TIROX INVESTMENTS [FRS; 102 m] | PETRO LABS DUGAN PIT [FRS; 152 m] | GARMAT USA LLC [CDPHE RCRA; 157 m] | KARCHER NORTH AMERICA [CDPHE RCRA; 157 m]</t>
  </si>
  <si>
    <t xml:space="preserve">CHI MANUFACTURING, INC. [FRS; 13 m] | RODGERS MOTORS  INC [FRS; 98 m] | PETROLABS INC [FRS; 103 m] | DUGAN PETROLEUM CO. - CARDLOCK [FRS; 109 m] | GARMAT USA [FRS; 150 m] | NYLUNDS COLLISION CENTER - 4495 S SANTA [FRS; 152 m] | PYNERGY PETROLEUM CO [FRS; 152 m] | SRS DISTRIBUTION [FRS; 178 m] | SVIGEL'S AUTO PARTS [FRS; 178 m] | ENGLEWOOD PONDS [FRS; 201 m] | FRONT RANGE PLATING [FRS; 216 m] | HUR</t>
  </si>
  <si>
    <t xml:space="preserve">ANGLE TREE SERVICE</t>
  </si>
  <si>
    <t xml:space="preserve">S05735</t>
  </si>
  <si>
    <t xml:space="preserve">2875 W OXFORD UNIT 2</t>
  </si>
  <si>
    <t xml:space="preserve">INDUSTRIAL SPECIALTIES MFG INC (1988-1990; SIC 3089,3864,3568) | TASCO LTD (1990; SIC 3699,3575,3559) | TASCO LID (1992; SIC 3699,3575,3659)</t>
  </si>
  <si>
    <t xml:space="preserve">INDUSTRIAL SPECIALTIES MFG INC (1988) | TASCO LTD (1990) | TASCO LID (1992)</t>
  </si>
  <si>
    <t xml:space="preserve">IHC TOWNHOME PROPERTIES [FRS; 34 m]</t>
  </si>
  <si>
    <t xml:space="preserve">COMPLIANCE RECYCLING IND INC [FRS; 12 m]</t>
  </si>
  <si>
    <t xml:space="preserve">COMMUNITY COMPUTER CONNECTION [FRS; 25 m]</t>
  </si>
  <si>
    <t xml:space="preserve">COMPLIANCE RECYCLING IND INC</t>
  </si>
  <si>
    <t xml:space="preserve">S05747</t>
  </si>
  <si>
    <t xml:space="preserve">2812 SHORSHONE</t>
  </si>
  <si>
    <t xml:space="preserve">DRESSINGS FISHING NC” (1988; SIC 2851) | PIONEER METAL FINISHING INC (1990; SIC 3479)</t>
  </si>
  <si>
    <t xml:space="preserve">DRESSINGS FISHING NC” (1988) | PIONEER METAL FINISHING INC (1990)</t>
  </si>
  <si>
    <t xml:space="preserve">2889 S. Shoshone, LLC [CDPHE Voluntary_Cleanup_and_Redevelopment_Program_(VCUP)_new; 120 m] | Coit / Norman's Drapery [CDPHE RCRA_corrective_action; 131 m] | SAFETY-KLEEN CORP 6-052-02 [FRS; 194 m] | Servpro [CDPHE Voluntary_Cleanup_and_Redevelopment_Program_(VCUP)_new; 214 m] | S-K Ventures, LLC [CDPHE Voluntary_Cleanup_and_Redevelopment_Program_(VCUP)_new; 249 m]</t>
  </si>
  <si>
    <t xml:space="preserve">SAFETY-KLEEN SYSTEMS INC - ENGLEWOOD FACILITY [FRS; 100 m] | FRONT RANGE STONE [FRS; 143 m] | H D SUPPLY CONSTRUCTION SUPPLY WC0042 [FRS; 145 m]</t>
  </si>
  <si>
    <t xml:space="preserve">PIONEER METAL FINISHING INC [FRS; name match, 2 m] | SAFETY-KLEEN SYSTEMS INC - ENGLEWOOD [FRS; 100 m] | STANLEY CIRCUIT [FRS; 105 m] | ADX FIRE SYSTEMS INC [FRS; 111 m] | C S GROUP INC [FRS; 116 m] | QUALITY REBUILT ENGINE &amp; MACHINE SHOP [FRS; 117 m] | NATIONAL SCREENPRINT CORP [FRS; 128 m] | MODAPLANE LLC [FRS; 135 m] | ASH &amp; WHITE CONSTRUCTION CO [FRS; 138 m] | PROTO DYNE [FRS; 146 m] | NORMAN'</t>
  </si>
  <si>
    <t xml:space="preserve">PACIFIC TOOL CORP. [FRS; 55 m] | EAGLE &amp; MYSLIK [FRS; 55 m] | CHATEAU SHUTTER DBA AMATO SHUTTER [FRS; 102 m] | BLUEBIRD INTL [FRS; 103 m] | DENVER SANITARY SUPPLY [FRS; 114 m] | ACCURATE WINDOW &amp; DOOR CENTER [FRS; 116 m] | JR WHOLESALE APPLIANCES [FRS; 117 m] | ALPINE ROASTERY, INC. [FRS; 121 m] | BLUE FLAME COATINGS [FRS; 121 m] | PARK RANGE CONSTRUCTION [FRS; 136 m] | FGM-PARALLEL LLC [FRS; 143 </t>
  </si>
  <si>
    <t xml:space="preserve">PIONEER METAL FINISHING INC</t>
  </si>
  <si>
    <t xml:space="preserve">S05763</t>
  </si>
  <si>
    <t xml:space="preserve">2075 W AMHERST AVE</t>
  </si>
  <si>
    <t xml:space="preserve">WALDEIN MFG INC (1988; SIC 3599)</t>
  </si>
  <si>
    <t xml:space="preserve">WALDEIN MFG INC (1988)</t>
  </si>
  <si>
    <t xml:space="preserve">SAFETY-KLEEN CORP 6-052-02 [FRS; 17 m]</t>
  </si>
  <si>
    <t xml:space="preserve">SAFETY-KLEEN SYSTEMS INC - ENGLEWOOD FACILITY [FRS; 83 m]</t>
  </si>
  <si>
    <t xml:space="preserve">BARSCH WOODWORKS [FRS; 29 m] | PROTO DYNE [FRS; 32 m]</t>
  </si>
  <si>
    <t xml:space="preserve">ADVANTAGE SCREEN PRINT [FRS; 4 m]</t>
  </si>
  <si>
    <t xml:space="preserve">BARSCH WOODWORKS</t>
  </si>
  <si>
    <t xml:space="preserve">S06536</t>
  </si>
  <si>
    <t xml:space="preserve">4540 S NAVAJO ST STE 1</t>
  </si>
  <si>
    <t xml:space="preserve">‘COLUMBINE FABRICATORS INC (1992; SIC 3643,3545)</t>
  </si>
  <si>
    <t xml:space="preserve">COLUMBINE FABRICATORS INC (1990)</t>
  </si>
  <si>
    <t xml:space="preserve">Front Range Plating II [CDPHE Voluntary_Cleanup_and_Redevelopment_Program_(VCUP)_new; 46 m] | Front Range Plating I [CDPHE Voluntary_Cleanup_and_Redevelopment_Program_(VCUP)_new; 46 m] | NAVAJO ENTERPRISES [FRS; 49 m]</t>
  </si>
  <si>
    <t xml:space="preserve">FRONT RANGE PLATING INC [FRS; 49 m]</t>
  </si>
  <si>
    <t xml:space="preserve">Front Range Plating II</t>
  </si>
  <si>
    <t xml:space="preserve">GARMAT USA LLC</t>
  </si>
  <si>
    <t xml:space="preserve">S07020</t>
  </si>
  <si>
    <t xml:space="preserve">2495 W HAMPDEN</t>
  </si>
  <si>
    <t xml:space="preserve">80710</t>
  </si>
  <si>
    <t xml:space="preserve">COLORADO DISCOUNT HOBBIES (1992; SIC 2869)</t>
  </si>
  <si>
    <t xml:space="preserve">COLORADO DISCOUNT HOBBIES (1992)</t>
  </si>
  <si>
    <t xml:space="preserve">FLYING SAUCER PROJECT [FRS; 7 m]</t>
  </si>
  <si>
    <t xml:space="preserve">S07022</t>
  </si>
  <si>
    <t xml:space="preserve">2540 RARITAN CIR</t>
  </si>
  <si>
    <t xml:space="preserve">CUSTOM ENGINEERING INC (1992; SIC 3559,3589,3699)</t>
  </si>
  <si>
    <t xml:space="preserve">CUSTOM ENGINEERING INC (1992)</t>
  </si>
  <si>
    <t xml:space="preserve">S-K Ventures, LLC [CDPHE Voluntary_Cleanup_and_Redevelopment_Program_(VCUP)_new; 146 m] | Servpro [CDPHE Voluntary_Cleanup_and_Redevelopment_Program_(VCUP)_new; 185 m] | Genesee-Wester [CDPHE Voluntary_Cleanup_and_Redevelopment_Program_(VCUP)_new; 222 m]</t>
  </si>
  <si>
    <t xml:space="preserve">AMERICAN STAINLESS STEEL CORP [FRS; 198 m]</t>
  </si>
  <si>
    <t xml:space="preserve">THE PRESSWORKS [CDPHE RCRA; 68 m] | GIBSON INC [CDPHE RCRA; 68 m] | GIBSON INC [FRS; 85 m] | SERVICE UNIFORM RENTAL [FRS; 88 m] | PRESSWORKS [FRS; 111 m] | S-K VENTURES LLC [FRS; 114 m] | ROCKY MOUNTAIN RADIOGRAPHICS [FRS; 174 m] | PAINT &amp; LACQUER CO [FRS; 198 m] | MOTORSPORT INC [FRS; 204 m] | CENTENNIAL AUTO &amp; 4X4 INC [CDPHE RCRA; 206 m] | ALPS COLLISION CENTER INC [CDPHE RCRA; 206 m] | ACCESSA </t>
  </si>
  <si>
    <t xml:space="preserve">FRONT RANGE CORVETTE CAMERO [FRS; 21 m] | DENVER GRAPHIC INC [FRS; 40 m] | SERVICE UNIFORM [FRS; 88 m] | WEAVER PRINTING [FRS; 111 m] | RARITAN CWT [FRS; 114 m] | DEL PONTE LANDSCAPING CO [FRS; 155 m] | MINIAT - SEE 005/0503 [FRS; 163 m] | TA PELSUE CO [FRS; 196 m] | PPD INC COLORWORKS [FRS; 198 m] | T-PLASTECH CORPORATION [FRS; 201 m] | WEST HARVARD GULCH REHABILITATION [FRS; 204 m] | FROST LINE </t>
  </si>
  <si>
    <t xml:space="preserve">THE PRESSWORKS</t>
  </si>
  <si>
    <t xml:space="preserve">S00053</t>
  </si>
  <si>
    <t xml:space="preserve">120 NINTH AVE</t>
  </si>
  <si>
    <t xml:space="preserve">1965;1980;1983;1988;1990;1992</t>
  </si>
  <si>
    <t xml:space="preserve">GCULD-NATICNAL BATTERIES, INC. (1965; SIC 3714) | SHERWOOD ENTERPRISES . (1980-1990; SIC 3679,3643) | NATIONAL STEELCRAFTERS OF COLO. INC. (1983; SIC 3433) | VETERINARIANS SHERWOOD ENTERPRISES (1988; SIC 3643,3679,3832) | DATA PURE CORPORATION (1990-1992; SIC 3577)</t>
  </si>
  <si>
    <t xml:space="preserve">GCULD-NATICNAL BATTERIES, INC. (1965) | SHERWOOD ENTERPRISES . (1980) | CABINET SYSTEM INC (1983) | NATIONAL STEELCRAFTERS OF COLO. INC. (1983) | VETERINARIANS SHERWOOD ENTERPRISES (1988) | DATA PURE CORPORATION (1990)</t>
  </si>
  <si>
    <t xml:space="preserve">Sherwood Enterprises [CDPHE Voluntary_Cleanup_and_Redevelopment_Program_(VCUP)_new; name match, 112 m]</t>
  </si>
  <si>
    <t xml:space="preserve">SHERWOOD ENTERPRISES [FRS; name match, 8 m]</t>
  </si>
  <si>
    <t xml:space="preserve">CIRCLE GRAPHICS INC [CDPHE RCRA] (address match)</t>
  </si>
  <si>
    <t xml:space="preserve">PARMA INDUSTRIES [FRS; 29 m]</t>
  </si>
  <si>
    <t xml:space="preserve">Sherwood Enterprises</t>
  </si>
  <si>
    <t xml:space="preserve">SHERWOOD ENTERPRISES</t>
  </si>
  <si>
    <t xml:space="preserve">AUBRY'S AUTOMOTIVE &amp; PARTS</t>
  </si>
  <si>
    <t xml:space="preserve">S00673</t>
  </si>
  <si>
    <t xml:space="preserve">1215 S MAIN</t>
  </si>
  <si>
    <t xml:space="preserve">KANE MFG CO (1966; SIC 3523) | KANE MFG + SUPPLY CO (1967; SIC 3522)</t>
  </si>
  <si>
    <t xml:space="preserve">KANE MFG CO (1966) | KANE MFG + SUPPLY CO (1967)</t>
  </si>
  <si>
    <t xml:space="preserve">Ken Pratt Blvd Extension [CDPHE Voluntary_Cleanup_and_Redevelopment_Program_(VCUP)_new; 64 m] | Harvest Junction I [CDPHE Voluntary_Cleanup_and_Redevelopment_Program_(VCUP)_new; 64 m] | Harvest Junction II [CDPHE Voluntary_Cleanup_and_Redevelopment_Program_(VCUP)_new; 64 m]</t>
  </si>
  <si>
    <t xml:space="preserve">Ken Pratt Blvd Extension</t>
  </si>
  <si>
    <t xml:space="preserve">HORSELESS CARRIAGE</t>
  </si>
  <si>
    <t xml:space="preserve">S00685</t>
  </si>
  <si>
    <t xml:space="preserve">1331 CANNON</t>
  </si>
  <si>
    <t xml:space="preserve">1967;1968;1973;1974;1977;1983</t>
  </si>
  <si>
    <t xml:space="preserve">PYROCHEM CO. (1967-1973; SIC 3722,2899) | NUCLEI ENGINEERING INC (1974-1983; SIC 2899,3559)</t>
  </si>
  <si>
    <t xml:space="preserve">PYROCHEM CO (1966) | NUCLEI ENGINEERING INC (1974) | CYBERMEDIC INC (1980)</t>
  </si>
  <si>
    <t xml:space="preserve">COAL CREEK COLLISION CENTER [FRS; 78 m] | AGGREGATE INDUSTRIES - WCR INC [FRS; 83 m]</t>
  </si>
  <si>
    <t xml:space="preserve">COAL CREEK COLLISION CENTER</t>
  </si>
  <si>
    <t xml:space="preserve">EXPLOSIVE FABRICATORS CORP</t>
  </si>
  <si>
    <t xml:space="preserve">S01373</t>
  </si>
  <si>
    <t xml:space="preserve">3100 PEARL</t>
  </si>
  <si>
    <t xml:space="preserve">BESTOP MFG CO INC (1967-1973; SIC 3714)</t>
  </si>
  <si>
    <t xml:space="preserve">BESTOP MFG CO INC (1967) | BOVLGER LNSTANT PRINTING CENTER (1980)</t>
  </si>
  <si>
    <t xml:space="preserve">RALPH'S REPAIR SERVICE [FRS; 54 m]</t>
  </si>
  <si>
    <t xml:space="preserve">COAL CREEK - ABC AUTOBODY BOULDER [FRS; 64 m] | SHERWIN WILLIAMS AUTOMOTIVE FINISHES [FRS; 64 m] | VOLANT SKI CORPORATION [FRS; 105 m] | BOULDER RADIATOR [FRS; 198 m] | FAGRE OFFICE BUILDING [FRS; 205 m] | COLLISION REPAIR SPECIALISTS [FRS; 207 m] | CIRCULAR TECHNOLOGIES [CDPHE RCRA; 227 m] | CIRCULAR TECHNOLOGIES [FRS; 228 m] | COLORADO VIDEO INCORPORATED [FRS; 229 m] | AMGEN BOULDER INC [FRS; 23</t>
  </si>
  <si>
    <t xml:space="preserve">G&amp;S OIL PRODUCTS INC [FRS; 29 m] | CONTROL SERVICE CENTER [FRS; 105 m] | BARTKUS OIL COMPANY BULK PLANT [FRS; 118 m] | BARTKUS OIL CO [FRS; 118 m] | GOOSE CREEK CHANNEL IMPROVEMENTS [FRS; 136 m] | PEARL ST &amp; 30 ST [FRS; 160 m] | BOULDER COMMONS II [FRS; 160 m] | JUNCTION PLACE BRIDGE AT GOOSE CREEK [FRS; 164 m] | BOULDER SLOUGH MULTI-USE PATH - 30TH ST. TO 3100 PEARL [FRS; 185 m] | PEARL PKWY MULT</t>
  </si>
  <si>
    <t xml:space="preserve">RALPH'S REPAIR SERVICE</t>
  </si>
  <si>
    <t xml:space="preserve">COAL CREEK - ABC AUTOBODY BOULDER</t>
  </si>
  <si>
    <t xml:space="preserve">S01676</t>
  </si>
  <si>
    <t xml:space="preserve">1965 33RD ST</t>
  </si>
  <si>
    <t xml:space="preserve">1970;1980</t>
  </si>
  <si>
    <t xml:space="preserve"> (1970; SIC 3544,2399) | BALL COMPUTER PRODUCTS DIVISION (1980; SIC 3573)</t>
  </si>
  <si>
    <t xml:space="preserve">GERRY DESIGNS INC (1968) |  (1970) | BALL COMPUTER PRODUCTS DIVISION (1980)</t>
  </si>
  <si>
    <t xml:space="preserve">Amgen Office Building [CDPHE Voluntary_Cleanup_and_Redevelopment_Program_(VCUP)_new; 58 m]</t>
  </si>
  <si>
    <t xml:space="preserve">AMGEN INC [TRI; 105 m]</t>
  </si>
  <si>
    <t xml:space="preserve">CROSSROADS BUSINESS PARK [FRS; 43 m]</t>
  </si>
  <si>
    <t xml:space="preserve">Diamond Vogel #721 [CDPHE Solid_Waste_Facilities; 44 m]</t>
  </si>
  <si>
    <t xml:space="preserve">RUDI'S ORGANIC BAKERY, INC. [FRS; 42 m]</t>
  </si>
  <si>
    <t xml:space="preserve">Amgen Office Building</t>
  </si>
  <si>
    <t xml:space="preserve">AMGEN INC</t>
  </si>
  <si>
    <t xml:space="preserve">CROSSROADS BUSINESS PARK</t>
  </si>
  <si>
    <t xml:space="preserve">S02334</t>
  </si>
  <si>
    <t xml:space="preserve">4478 N BROADWAY</t>
  </si>
  <si>
    <t xml:space="preserve">DICK'S RUBBER STAMP SHOP, INC FLUID METERS AND COUNTING DEVICES (1977; SIC 3069)</t>
  </si>
  <si>
    <t xml:space="preserve">OICK*S RUBBER STAMP SHOP, INC (1973) | DICK'S RUBBER STAMP SHOP, INC FLUID METERS AND COUNTING DEVICES (1977) | PACES RY. BBER STAMP (1988) | DICK’S RUBBER STAMP SHOP INC (1990)</t>
  </si>
  <si>
    <t xml:space="preserve">Namaste' Ventures [CDPHE Voluntary_Cleanup_and_Redevelopment_Program_(VCUP)_new; 227 m]</t>
  </si>
  <si>
    <t xml:space="preserve">FOOTHILLS AUTO BODY [FRS; 92 m] | GERRY'S AUTO SERVICE [FRS; 105 m] | ELOS ENVIRONMENTAL AND DISASTER INC [FRS; 112 m] | JMB AUTO REPAIR [FRS; 119 m] | FOOTHILLS AUTO BODY [FRS; 127 m] | NORTH BROADWAY &amp; VIOLET PLUME [FRS; 132 m] | BOULDER MEDICAL CENTER [CDPHE RCRA; 146 m] | SCANDINAVIAN AUTO SERVICE [CDPHE RCRA; 146 m] | LITE CRAFT NEON INC [FRS; 210 m]</t>
  </si>
  <si>
    <t xml:space="preserve">BOULDER TREE COMPANY [FRS; 34 m] | HERSHEY INC - HERSHEYS MARKET [FRS; 70 m] | COYOTE MOTORS [FRS; 72 m] | A-1 IMPORT SERVICE OF BOULDER [FRS; 84 m] | NOBO LIBRARY - BOULDER PUBLIC LIBRARY DISTRICT [FRS; 116 m] | NORTH BOULDER BRANCH LIBRARY [FRS; 117 m] | FLASHBACK VIDEO PRODUCTIONS [FRS; 130 m] | FOURMILE CANYON CREEK [FRS; 132 m] | VIOLET CROSSING DEVELOPMENT [FRS; 132 m] | PONDEROSA COMMUNITY </t>
  </si>
  <si>
    <t xml:space="preserve">Namaste' Ventures</t>
  </si>
  <si>
    <t xml:space="preserve">FOOTHILLS AUTO BODY</t>
  </si>
  <si>
    <t xml:space="preserve">S02342</t>
  </si>
  <si>
    <t xml:space="preserve">4801 N 63RD ST</t>
  </si>
  <si>
    <t xml:space="preserve">HEAD SKI DIVISION (1973; SIC 3021,3949) |  (1974; SIC 3021,3949)</t>
  </si>
  <si>
    <t xml:space="preserve">HEAD SKI DIVISION (1973) |  (1974) | HEAD OLVISION, AMF INC (1980) | HEAD SPORTS INC (1988)</t>
  </si>
  <si>
    <t xml:space="preserve">Head Ski II [CDPHE Voluntary_Cleanup_and_Redevelopment_Program_(VCUP)_new; name match, 57 m] | Head Ski III [CDPHE Voluntary_Cleanup_and_Redevelopment_Program_(VCUP)_new; name match, 57 m] | Head Ski I [CDPHE Voluntary_Cleanup_and_Redevelopment_Program_(VCUP)_new; name match, 57 m] | Head Ski V [CDPHE Voluntary_Cleanup_and_Redevelopment_Program_(VCUP)_new; name match, 57 m] | Head Ski IV [CDPHE Vo</t>
  </si>
  <si>
    <t xml:space="preserve">PROLIGO LLC [TRI; 118 m] | HAUSER INC [TRI; 181 m] | PROLIGO L.L.C. [FRS; 234 m]</t>
  </si>
  <si>
    <t xml:space="preserve">TECOMET GUNBARREL AVE [FRS; 66 m] | TECOMET GUNBARREL AVE [CDPHE RCRA; 69 m] | SAE CIRCUITS COLORADO INC [FRS; 120 m] | EDITAS MEDICINE INC [FRS; 171 m] | USGS GUNBARREL WAREHOUSE [FRS; 200 m] | JW AUTOMATIC MACHINE INC [FRS; 234 m] | PLANNED PRODUCTS LLC [FRS; 234 m] | EXPONENT BOULDER LAB [FRS; 234 m] | HEI INC ADVANCED MEDICAL DIVISION [CDPHE RCRA] (address match)</t>
  </si>
  <si>
    <t xml:space="preserve">SAE CIRCUITS COLORADO [FRS; 49 m] | HABITAT APARTMENTS [FRS; 115 m] | GE MONITORING SOLUTIONS [FRS; 139 m] | BIG ARCHWAY LLC [FRS; 200 m] | ASHER BREWING COMPANY [FRS; 234 m]</t>
  </si>
  <si>
    <t xml:space="preserve">Head Ski II</t>
  </si>
  <si>
    <t xml:space="preserve">PROLIGO LLC</t>
  </si>
  <si>
    <t xml:space="preserve">TECOMET GUNBARREL AVE</t>
  </si>
  <si>
    <t xml:space="preserve">S02359</t>
  </si>
  <si>
    <t xml:space="preserve">2105 30TH ST</t>
  </si>
  <si>
    <t xml:space="preserve">SPARDUN INC (1973; SIC 3544,3591,3679)</t>
  </si>
  <si>
    <t xml:space="preserve">SPARDUN INC (1973) | CANDLE COTTAGE THE (1983)</t>
  </si>
  <si>
    <t xml:space="preserve">Roscoe Development [CDPHE Voluntary_Cleanup_and_Redevelopment_Program_(VCUP)_new; 77 m]</t>
  </si>
  <si>
    <t xml:space="preserve">ADVANTAGE DODGE CHRYSLER PLYMOUTH [FRS; 39 m]</t>
  </si>
  <si>
    <t xml:space="preserve">REVE [FRS; 39 m] | HOLLISTER MOTOR CO [FRS; 39 m]</t>
  </si>
  <si>
    <t xml:space="preserve">Roscoe Development</t>
  </si>
  <si>
    <t xml:space="preserve">ADVANTAGE DODGE CHRYSLER PLYMOUTH</t>
  </si>
  <si>
    <t xml:space="preserve">S02378</t>
  </si>
  <si>
    <t xml:space="preserve">1219 BOWEN CIR</t>
  </si>
  <si>
    <t xml:space="preserve">MID-AMERICA ENGINEERING + FABRICATION CO (1980-1983; SIC 3079)</t>
  </si>
  <si>
    <t xml:space="preserve">THE ALLEN COMPANY INC (1973) | MID-AMERICA ENGINEERING + FABRICATION CO (1980) | CONTRACTING county (1988)</t>
  </si>
  <si>
    <t xml:space="preserve">SOUTH BOWEN INDUSTRIAL PARK [FRS; 20 m]</t>
  </si>
  <si>
    <t xml:space="preserve">SOUTH BOWEN INDUSTRIAL PARK</t>
  </si>
  <si>
    <t xml:space="preserve">PAINT COMPANY INC THE</t>
  </si>
  <si>
    <t xml:space="preserve">S02831</t>
  </si>
  <si>
    <t xml:space="preserve">1756 55TH ST</t>
  </si>
  <si>
    <t xml:space="preserve">Chemicals; Fabricated metals; Industrial machinery; Rubber &amp; plastics; Transportation equipment</t>
  </si>
  <si>
    <t xml:space="preserve">1974;1977;1980;1983;1988;1990;1992</t>
  </si>
  <si>
    <t xml:space="preserve">CLASSIC MANUFACTURING CO (1974-1980; SIC 3792) | STAT ENGINEERING (1977-1980; SIC 3079,3544) | ASPEN RIBBONS INTERNATIONAL (1980; SIC 3955,3079) | CELESTIAL SEASONINGS INC (1980-1988; SIC 2099,2833) | « S A HYDROMEC INC (1980; SIC 3444,3479,3599) | ASPEN RIBBONS INC (1983; SIC 3955,3079) | B+B INDUSTRIES INC (1990-1992; SIC 3469,3599) | UNITED STATES MACHINE CO (1990; SIC 3714) | WESTERN AUTOMATION LABORATORIES INC (1990; SIC 3577,3823,3699)</t>
  </si>
  <si>
    <t xml:space="preserve">CLASSIC MANUFACTURING CO (1974) |  (1974) | STAT ENGINEERING (1977) |  (1977) | ASPEN RIBBONS INTERNATIONAL (1980) | CELESTIAL SEASONINGS INC (1980) | « S A HYDROMEC INC (1980) | ASPEN RIBBONS INC (1983) | DESIGN PRESS» INC (1983) | D.B.A.-BOULDER COUNTY BUSINESS REPORT (1988) | B+B INDUSTRIES INC (1990) | BOULDER BUSINESS INFORMATION INC (1990) | UNITED STATES MACHINE CO (1990) | WESTERN AUTOMATION LABORATORIES INC (1990)</t>
  </si>
  <si>
    <t xml:space="preserve">Flatirons Business Park [CDPHE Voluntary_Cleanup_and_Redevelopment_Program_(VCUP)_new; 72 m] | 5505 Central [CDPHE Voluntary_Cleanup_and_Redevelopment_Program_(VCUP)_new; 86 m] | CordenPharma - Roche/Syntex [CDPHE RCRA_corrective_action; 88 m]</t>
  </si>
  <si>
    <t xml:space="preserve">DESIGN PRESS INC [FRS; name match, 98 m] | NPS CORP [FRS; 7 m] | INSCRIPTA INC [FRS; 87 m]</t>
  </si>
  <si>
    <t xml:space="preserve">CITY OF BOULDER QUIET ZONE PROJECT [FRS; 40 m] | MILNE STATION [FRS; 51 m] | 5505 CENTRAL ELEVATOR [FRS; 84 m] | WESTVIEW PRESS [FRS; 87 m]</t>
  </si>
  <si>
    <t xml:space="preserve">Flatirons Business Park</t>
  </si>
  <si>
    <t xml:space="preserve">NPS CORP</t>
  </si>
  <si>
    <t xml:space="preserve">S03227</t>
  </si>
  <si>
    <t xml:space="preserve">2075 N 55TH ST</t>
  </si>
  <si>
    <t xml:space="preserve">ARAPAHOE CHEMICALS INC (1977-1980; SIC 2869) | SYNTEX CHEMICALS INC (1983-1990; SIC 2669,2833) | BILLING SYSTEMS SYNTEX CHEMICALS INC (1988; SIC 2833,2869,2826)</t>
  </si>
  <si>
    <t xml:space="preserve">ARAPAHOE CHEMICALS INC (1977) | SYNTEX CHEMICALS INC (1983) | BILLING SYSTEMS SYNTEX CHEMICALS INC (1988)</t>
  </si>
  <si>
    <t xml:space="preserve">FLATIRONS COMPANIES PROPERTIES. [FRS; 174 m]</t>
  </si>
  <si>
    <t xml:space="preserve">CORDEN PHARMA COLORADO INC [TRI; 116 m] | CORDEN PHARMA COLORADO INC [TRI] (address match)</t>
  </si>
  <si>
    <t xml:space="preserve">INOTIV BOULDER [FRS; 63 m] | INOTIV BOULDER [CDPHE RCRA; 63 m] | ARCHER DX INC [CDPHE RCRA; 63 m] | ELECTRIC TOBACCONIST [CDPHE RCRA; 63 m] | BP AMOCO [CDPHE RCRA; 63 m] | CORDEN PHARMA COLORADO INC [CDPHE RCRA; 63 m] | INTEGRATED DNA TECHNOLOGIES [CDPHE RCRA; 115 m] | ELECTRIC TOBACCONIST [FRS; 140 m]</t>
  </si>
  <si>
    <t xml:space="preserve">55 AND PEARL BORE [FRS; 37 m] | ARCHER [FRS; 115 m] | WESTERN MOBILE INC [FRS; 163 m] | PEARL SITE [FRS; 174 m] | 18753 US 36 WETLAND MITIGATION COR600 409 [FRS; 174 m]</t>
  </si>
  <si>
    <t xml:space="preserve">FLATIRONS COMPANIES PROPERTIES.</t>
  </si>
  <si>
    <t xml:space="preserve">CORDEN PHARMA COLORADO INC</t>
  </si>
  <si>
    <t xml:space="preserve">INOTIV BOULDER</t>
  </si>
  <si>
    <t xml:space="preserve">S03251</t>
  </si>
  <si>
    <t xml:space="preserve">1301 COURTESY</t>
  </si>
  <si>
    <t xml:space="preserve">1977;1980;1983;1988;1992</t>
  </si>
  <si>
    <t xml:space="preserve">EXPLOSIVE FABRICATORS INC (1977-1992; SIC 3499,3999)</t>
  </si>
  <si>
    <t xml:space="preserve">EXPLOSIVE FABRICATORS INC (1977)</t>
  </si>
  <si>
    <t xml:space="preserve">FORMER EXPLOSIVE FABRICATORS PROPERTY [FRS; name match, 5 m]</t>
  </si>
  <si>
    <t xml:space="preserve">EXPLOSIVE FABRICATORS CORP [CDPHE RCRA; name match, 45 m]</t>
  </si>
  <si>
    <t xml:space="preserve">FORMER EXPLOSIVE FABRICATORS PROPERTY</t>
  </si>
  <si>
    <t xml:space="preserve">S03779</t>
  </si>
  <si>
    <t xml:space="preserve">6367 ARAPAHOE RD</t>
  </si>
  <si>
    <t xml:space="preserve">SCOPE MANUFACTURING INC (1980; SIC 3444) | JONES OPTICAL CO (1988; SIC 2399,3494,3851)</t>
  </si>
  <si>
    <t xml:space="preserve">SCOPE MANUFACTURING INC (1980) | JONES OPTICAL COMPANY (1983) | JONES OF BOULDER (1990)</t>
  </si>
  <si>
    <t xml:space="preserve">Johns 4x4 Center Inc. [CDPHE Voluntary_Cleanup_and_Redevelopment_Program_(VCUP)_new; 34 m] | Johns 4x4 Center Inc. [CDPHE Voluntary_Cleanup_and_Redevelopment_Program_(VCUP)_new] (address match)</t>
  </si>
  <si>
    <t xml:space="preserve">JONES OPTICAL COMPANY [FRS; name match, 24 m] | FLATIRONS DRY CLEANERS [FRS; 16 m]</t>
  </si>
  <si>
    <t xml:space="preserve">THE CLEANERS IN BOULDER, INC. [FRS; 16 m]</t>
  </si>
  <si>
    <t xml:space="preserve">FLATIRONS DRY CLEANERS</t>
  </si>
  <si>
    <t xml:space="preserve">S03789</t>
  </si>
  <si>
    <t xml:space="preserve">5500 CENTRAL AVE</t>
  </si>
  <si>
    <t xml:space="preserve">VAC-TEC SYSTEMS, INC. (1980; SIC 3562,3569,3621) | EICORP (1990; SIC 3572)</t>
  </si>
  <si>
    <t xml:space="preserve">VAC-TEC SYSTEMS, INC. (1980) | WESTVIEW PRESS INC (1980) | EICORP (1990)</t>
  </si>
  <si>
    <t xml:space="preserve">Flatirons Business Park [CDPHE Voluntary_Cleanup_and_Redevelopment_Program_(VCUP)_new] (address match)</t>
  </si>
  <si>
    <t xml:space="preserve">DISPLAYTECH INC [FRS; 4 m] | ANATEL CORP [FRS; 4 m] | ENVEDA BIOSCIENCES [CDPHE RCRA; 7 m] | ENVEDA BIOSCIENCES [FRS; 7 m] | THE WIRELESS ALLIANCE LLC [CDPHE RCRA; 12 m] | TELEVISO CORPORATION [FRS; 12 m] | KBI BIOPHARMA INC [CDPHE RCRA; 12 m] | INOVONICS INC [FRS; 48 m] | HAUSER LABS ENGINEERING DEPT [FRS; 48 m]</t>
  </si>
  <si>
    <t xml:space="preserve">WESTVIEW PRESS [FRS] (address match)</t>
  </si>
  <si>
    <t xml:space="preserve">DISPLAYTECH INC</t>
  </si>
  <si>
    <t xml:space="preserve">S03806</t>
  </si>
  <si>
    <t xml:space="preserve">10302 W BASELINE RO</t>
  </si>
  <si>
    <t xml:space="preserve">NELSONS WELDING SHOP (1980-1992; SIC 3446)</t>
  </si>
  <si>
    <t xml:space="preserve">NELSONS WELDING SHOP (1980) | EQUIPMENT ROVE Sokurs we (1988) | RENEGADE PRESS INC (1990) | WHOLESALE ROLLS + DONUTS INC (1990)</t>
  </si>
  <si>
    <t xml:space="preserve">WAYNE DARLING RESIDENCE [FRS; 33 m]</t>
  </si>
  <si>
    <t xml:space="preserve">WAYNE DARLING RESIDENCE</t>
  </si>
  <si>
    <t xml:space="preserve">S03817</t>
  </si>
  <si>
    <t xml:space="preserve">900 S SUNSET ST</t>
  </si>
  <si>
    <t xml:space="preserve">Loncco + co (1980-1983; SIC 3479,3599)</t>
  </si>
  <si>
    <t xml:space="preserve">Loncco + co (1980)</t>
  </si>
  <si>
    <t xml:space="preserve">LONGCO&amp;CO [FRS; name match, 10 m]</t>
  </si>
  <si>
    <t xml:space="preserve">ADVANCED MICRO DEVICES INC [CDPHE RCRA; 8 m]</t>
  </si>
  <si>
    <t xml:space="preserve">LONGCO&amp;CO</t>
  </si>
  <si>
    <t xml:space="preserve">C-LINE CCC (DBA CENTERLINE CIRCUITS INC)</t>
  </si>
  <si>
    <t xml:space="preserve">ADVANCED MICRO DEVICES INC</t>
  </si>
  <si>
    <t xml:space="preserve">S04581</t>
  </si>
  <si>
    <t xml:space="preserve">1634 N 63RD ST</t>
  </si>
  <si>
    <t xml:space="preserve">NOVAN ENERGY INC. (1983; SIC 3433) | AHS ENERGY SUPPLY (1990; SIC 3433)</t>
  </si>
  <si>
    <t xml:space="preserve">ARISTOCRAFT WOOD PRODUCTS (1983) | NOVAN ENERGY INC. (1983) | AHS ENERGY SUPPLY (1990)</t>
  </si>
  <si>
    <t xml:space="preserve">Johns 4x4 Center Inc. [CDPHE Voluntary_Cleanup_and_Redevelopment_Program_(VCUP)_new; 159 m]</t>
  </si>
  <si>
    <t xml:space="preserve">COMPUTER PRODUCTS TECNETICS [FRS; 88 m]</t>
  </si>
  <si>
    <t xml:space="preserve">BOULDER COUNTY SHERIFF [FRS; 26 m] | CHEMICAL EXCHANGE INDUSTRIES INC [FRS; 97 m] | HAUSER CHEMICAL RESEARCH [FRS; 97 m] | JACOBSEN BROTHERS PAINTING INC [FRS; 105 m] | TRANSMISSION TECHNOLOGIES [FRS; 105 m] | FLATIRON CLEANERS INC [FRS; 105 m] | FLATIRONS DRY CLEANERS [FRS; 116 m] | JONES OPTICAL COMPANY [FRS; 118 m] | FOOTHILLS SURGERY CENTER  [CDPHE RCRA; 211 m] | LETTERHEAD THE [CDPHE RCRA; 21</t>
  </si>
  <si>
    <t xml:space="preserve">Eco-Cycle CHaRM [CDPHE Solid_Waste_Facilities; 228 m] | Blue Star Recyclers - Boulder/BSRB [CDPHE Solid_Waste_Facilities; 228 m]</t>
  </si>
  <si>
    <t xml:space="preserve">C.U. FEEDER LINE [FRS; 26 m] | THE CLEANERS IN BOULDER, INC. [FRS; 116 m] | WESTSOY TOFU PLANT [FRS; 154 m] | NEODATA SERVICES INCORPORATION [FRS; 164 m]</t>
  </si>
  <si>
    <t xml:space="preserve">S04582</t>
  </si>
  <si>
    <t xml:space="preserve">2907 55TH ST</t>
  </si>
  <si>
    <t xml:space="preserve">ASPEN COACH CORP (1983; SIC 3792)</t>
  </si>
  <si>
    <t xml:space="preserve">ASPEN COACH CORP (1983)</t>
  </si>
  <si>
    <t xml:space="preserve">FLATIRONS COMPANIES PROPERTIES. [FRS; 59 m]</t>
  </si>
  <si>
    <t xml:space="preserve">USPS BOULDER VALMONT [FRS; 35 m]</t>
  </si>
  <si>
    <t xml:space="preserve">RYKY, LLC [FRS; 32 m]</t>
  </si>
  <si>
    <t xml:space="preserve">CORDEN PHARMA COLORADO STERLING DRIVE</t>
  </si>
  <si>
    <t xml:space="preserve">USPS BOULDER VALMONT</t>
  </si>
  <si>
    <t xml:space="preserve">S04586</t>
  </si>
  <si>
    <t xml:space="preserve">1535 PEARL ST</t>
  </si>
  <si>
    <t xml:space="preserve">BOULDER DESIGN GROUP (1983; SIC 2511,2515,2431)</t>
  </si>
  <si>
    <t xml:space="preserve">BOULDER DESIGN GROUP (1983)</t>
  </si>
  <si>
    <t xml:space="preserve">Coburn Development II [CDPHE Voluntary_Cleanup_and_Redevelopment_Program_(VCUP)_new; 33 m] | Coburn Development [CDPHE Voluntary_Cleanup_and_Redevelopment_Program_(VCUP)_new; 33 m]</t>
  </si>
  <si>
    <t xml:space="preserve">GOODYEAR TIRE CENTER [FRS; 5 m] | CAGIO/CITY OF BOULDER [FRS; 17 m]</t>
  </si>
  <si>
    <t xml:space="preserve">BOULDER [FRS; name match, 194 m]</t>
  </si>
  <si>
    <t xml:space="preserve">S04656</t>
  </si>
  <si>
    <t xml:space="preserve">725 S BUSCH</t>
  </si>
  <si>
    <t xml:space="preserve">CUSTOM FENCE + SUPPLY INC (1983; SIC 3496)</t>
  </si>
  <si>
    <t xml:space="preserve">CUSTOM FENCE + SUPPLY INC (1983)</t>
  </si>
  <si>
    <t xml:space="preserve">Staodyn Bldg [CDPHE Voluntary_Cleanup_and_Redevelopment_Program_(VCUP)_new; 179 m]</t>
  </si>
  <si>
    <t xml:space="preserve">AVEDON ENGINEERING INC [FRS; 193 m]</t>
  </si>
  <si>
    <t xml:space="preserve">TENSITRON [FRS; 126 m] | STAODYNAMICS INC [FRS; 200 m] | SAFEWAY STORE #1116 [FRS; 211 m] | AVEDON ENGINEERING INC [CDPHE RCRA; 224 m] | GIVES INCORPORATED [CDPHE RCRA; 224 m] | G &amp; S CRUSON ENTERPRISES INC [FRS; 234 m] | GIVES INCORPORATED [FRS; 234 m] | VALLEY NISSAN - SUBARU LLC [FRS; 236 m]</t>
  </si>
  <si>
    <t xml:space="preserve">BRADY OIL CO [FRS; 143 m] | MADELEINE, INC. [FRS; 177 m] | SAFEWAY, INC. - 1116 [FRS; 180 m] | UNIV OF COLORADO HEALTH CENTER LONGMONT [FRS; 191 m]</t>
  </si>
  <si>
    <t xml:space="preserve">Staodyn Bldg</t>
  </si>
  <si>
    <t xml:space="preserve">TENSITRON</t>
  </si>
  <si>
    <t xml:space="preserve">S06742</t>
  </si>
  <si>
    <t xml:space="preserve">20 S SUNSET</t>
  </si>
  <si>
    <t xml:space="preserve">CUSTOM FENCE + SUPPLY INC (1990; SIC 3496)</t>
  </si>
  <si>
    <t xml:space="preserve">CUSTOM FENCE + SUPPLY INC (1990)</t>
  </si>
  <si>
    <t xml:space="preserve">Golden Landfill III [CDPHE Voluntary_Cleanup_and_Redevelopment_Program_(VCUP)_new; 33 m]</t>
  </si>
  <si>
    <t xml:space="preserve">ST VRAIN GREENWAY TRAIL [FRS; 33 m]</t>
  </si>
  <si>
    <t xml:space="preserve">Golden Landfill III</t>
  </si>
  <si>
    <t xml:space="preserve">CALIBER COLLISION CENTER - LONGMONT - BOSTON AVE 0848</t>
  </si>
  <si>
    <t xml:space="preserve">S01688</t>
  </si>
  <si>
    <t xml:space="preserve">2730 INDUSTRIAL LN</t>
  </si>
  <si>
    <t xml:space="preserve">ASSOC MARKETING PROD, AMPCO CHEMICAL DIV (1973; SIC 2899) | @MOVANCE FOAM FLASTICS INC (1980; SIC 3079,2661) | ADVANCE FOAM PLASTICS INC (1983; SIC 3079,2661) | CAREFREE OF COLORADO (1983; SIC 2394,3679,3499)</t>
  </si>
  <si>
    <t xml:space="preserve">SCIENTIFIC ENTERPRISES INC (1968) | ASSOC MARKETING PROD, AMPCO CHEMICAL DIV (1973) | CAREFREE AWNINGS 3599 MACHINERY.» EXCEPT ELECTRICAL, NEC (1974) | @MOVANCE FOAM FLASTICS INC (1980) | TEILHABER MANUFACTURING (1980) | ADVANCE FOAM PLASTICS INC (1983) | CAREFREE OF COLORADO (1983) | ISEB ationaL CORP (1988) | KEY PRODUCTS INC (1990) | EUROPEAN FINISH INC (1990)</t>
  </si>
  <si>
    <t xml:space="preserve">Millenium Property/storage tech cor [CDPHE RCRA_corrective_action; 64 m]</t>
  </si>
  <si>
    <t xml:space="preserve">VISUAL MERCHANDISING, INC. [FRS; 54 m] | WALL TECHNOLOGY INC. [FRS; 56 m] | FUSION SPECIALTIES INC [TRI; 88 m]</t>
  </si>
  <si>
    <t xml:space="preserve">IP SYSTEMS INC [FRS; 45 m] | WESTERN REGION MARKETING INC [FRS; 54 m] | IVION CORPORATION [FRS; 54 m] | STORAGE TECHNOLOGY CORPORATION [FRS; 54 m] | CREATIVE CONTRACT BY D.B.S. [FRS; 54 m] | 2400 INDUSTRIAL [FRS; 54 m]</t>
  </si>
  <si>
    <t xml:space="preserve">EUROPEAN FINISH, INC. [FRS; name match, 3 m] | BROOMFIELD TECH CENTER II [FRS; 54 m]</t>
  </si>
  <si>
    <t xml:space="preserve">IP SYSTEMS INC</t>
  </si>
  <si>
    <t xml:space="preserve">S02369</t>
  </si>
  <si>
    <t xml:space="preserve">2350 W MIDWAY BLVD</t>
  </si>
  <si>
    <t xml:space="preserve">1973;1974;1977;1983;1988;1990</t>
  </si>
  <si>
    <t xml:space="preserve">BURR PRODUCTS INC (1973; SIC 3079) | COLORADO LEISURE PRODUCTS INC (1973; SIC 3469,3443) | ALLEN COMPANY INC 3591 MACHINE SHOPS, JOBBING AND REPAIR (1974; SIC 3599) | T H TOOL + MACHINE INC (1977-1983; SIC 3544) | COLORADO ROLLER + WHEEL (1983; SIC 3499,3069) | ALLAN ROLLER CO INC (1988-1990; SIC 3069,2089,3544) | SUN CHEMICAL CORP (1990; SIC 2893)</t>
  </si>
  <si>
    <t xml:space="preserve">BURR PRODUCTS INC (1973) | COLORADO LEISURE PRODUCTS INC (1973) | ALLEN COMPANY INC 3591 MACHINE SHOPS, JOBBING AND REPAIR (1974) | T H TOOL + MACHINE INC (1977) | COLORADO ROLLER + WHEEL (1983) | ALLAN ROLLER CO INC (1988) | SUN CHEMICAL CORP (1990)</t>
  </si>
  <si>
    <t xml:space="preserve">SUN CHEMICAL CORP [FRS; name match, 155 m]</t>
  </si>
  <si>
    <t xml:space="preserve">ALLAN ROLLER CO INC [FRS; name match, 155 m] | ADVANTAGE COATINGS TECHNOLOGIES [FRS; 22 m] | ADVANTAGE COATINGS TECHNOLOGIES [FRS] (address match)</t>
  </si>
  <si>
    <t xml:space="preserve">D AND D METAL PRODUCTS INCORPORATED</t>
  </si>
  <si>
    <t xml:space="preserve">S02371</t>
  </si>
  <si>
    <t xml:space="preserve">2105 ABBOTT</t>
  </si>
  <si>
    <t xml:space="preserve">DELTA ENGINEERING (1973; SIC 3441,3494,3811)</t>
  </si>
  <si>
    <t xml:space="preserve">DELTA ENGINEERING (1973) | TRIENCC INC (1974)</t>
  </si>
  <si>
    <t xml:space="preserve">Park Plaza Midway [CDPHE Voluntary_Cleanup_and_Redevelopment_Program_(VCUP)_new; 248 m]</t>
  </si>
  <si>
    <t xml:space="preserve">SUN CHEMICAL CORP - GPI DIVISION [FRS; 48 m] | SILL TERHAR MOTORS INCORPORATED [FRS; 91 m] | AERO SUDS [FRS; 223 m] | CENTURY 1 CHEVROLET [FRS; 246 m] | COLORADO COLLISION REPAIR INC [FRS; 247 m] | BESTOP INC [FRS; 247 m]</t>
  </si>
  <si>
    <t xml:space="preserve">SILL-TERHAR MOTORS INC [FRS; 91 m] | CIRCLE K STORE # 2709873 [FRS; 245 m] | 25717 US 287 OPERATIONAL IMPROVEMENTS [FRS; 247 m]</t>
  </si>
  <si>
    <t xml:space="preserve">Park Plaza Midway</t>
  </si>
  <si>
    <t xml:space="preserve">SUN CHEMICAL CORP - GPI DIVISION</t>
  </si>
  <si>
    <t xml:space="preserve">S02835</t>
  </si>
  <si>
    <t xml:space="preserve">452 BURBANK</t>
  </si>
  <si>
    <t xml:space="preserve">DATA RAY CORP (1988; SIC 3671,3801) | STORM PRODUCTS CO (1990; SIC 3629,3544,3496)</t>
  </si>
  <si>
    <t xml:space="preserve"> (1974) | STORM PRODUCTS CO (1977) | FROSTLINE KITS (1983) | DATA RAY CORP (1988)</t>
  </si>
  <si>
    <t xml:space="preserve">SUN CHEMICAL CORP [FRS; 43 m]</t>
  </si>
  <si>
    <t xml:space="preserve">STORM PRODUCTS, CO. [FRS; name match, 62 m] | AMERICAN VARISEAL CORP [FRS; 29 m] | HUNTER DOUGLAS INCORPORATED [FRS; 43 m]</t>
  </si>
  <si>
    <t xml:space="preserve">STORM PRODUCTS CO [FRS; name match, 64 m] | ALLAN ROLLER CO INC [FRS; 43 m]</t>
  </si>
  <si>
    <t xml:space="preserve">AMERICAN VARISEAL CORP</t>
  </si>
  <si>
    <t xml:space="preserve">S03799</t>
  </si>
  <si>
    <t xml:space="preserve">1041 W 120TH AVE</t>
  </si>
  <si>
    <t xml:space="preserve">KNUDSON MFG INC (1980; SIC 3542)</t>
  </si>
  <si>
    <t xml:space="preserve">KNUDSON MFG INC (1980)</t>
  </si>
  <si>
    <t xml:space="preserve">Broomfield VeterinaryHospital [CDPHE Voluntary_Cleanup_and_Redevelopment_Program_(VCUP)_new; 27 m]</t>
  </si>
  <si>
    <t xml:space="preserve">DILLON COMPANIES - #86 FUEL FACILITY [FRS; 39 m]</t>
  </si>
  <si>
    <t xml:space="preserve">Broomfield VeterinaryHospital</t>
  </si>
  <si>
    <t xml:space="preserve">SUNCOR - 2706242</t>
  </si>
  <si>
    <t xml:space="preserve">S05042</t>
  </si>
  <si>
    <t xml:space="preserve">11900 UPHAM ST</t>
  </si>
  <si>
    <t xml:space="preserve">PRICE PRECISION (1990; SIC 3599,3499)</t>
  </si>
  <si>
    <t xml:space="preserve">NORTH VALLEY MACHINE (1983) | PRICE PRECISION (1990)</t>
  </si>
  <si>
    <t xml:space="preserve">CHEMICAL HANDLING [FRS; 214 m]</t>
  </si>
  <si>
    <t xml:space="preserve">PRIVATE RESIDENCE [FRS; 20 m] | BENDING WRENCHES [FRS; 106 m] | PRIVATE RESIDENCE [FRS; 121 m] | PRIVATE RESIDENCE [FRS; 128 m] | CUSTOM INSTRUMENTS [FRS; 151 m] | BROOMFIELD MINI STORAGE [FRS; 152 m] | GO GREEN RECYCLING DBA SUSTAINABILITY [FRS; 214 m] | CLASSIC COLLISION - 2024 - BROOMFIELD [FRS; 235 m] | INTERNATIONAL GOVERNOR SERVICES LLC [CDPHE RCRA; 237 m] | CLASSIC COLLISION - 2024 - BROOMF</t>
  </si>
  <si>
    <t xml:space="preserve">IN MEMORIAM - IN MEMORIAM CREMATORY [FRS; 92 m] | 7-ELEVEN - STORE #38330 [FRS; 100 m] | 7 11 BROOMFIELD [FRS; 121 m] | CONSOLIDATED HARDWOODS, INC. [FRS; 196 m] | CLASSIC COLLISION - 2024 BROOMFIELD [FRS; 235 m] | 120 CONNECTION PROJECT [FRS; 246 m]</t>
  </si>
  <si>
    <t xml:space="preserve">CHEMICAL HANDLING</t>
  </si>
  <si>
    <t xml:space="preserve">PRIVATE RESIDENCE</t>
  </si>
  <si>
    <t xml:space="preserve">S05396</t>
  </si>
  <si>
    <t xml:space="preserve">2005 W MIDWAY BLVD</t>
  </si>
  <si>
    <t xml:space="preserve">FOUR WHEEL CAMPERS (1988; SIC 3792) | WILDERNEST CORPORATION (1990; SIC 3799)</t>
  </si>
  <si>
    <t xml:space="preserve">FOUR WHEEL CAMPERS (1988) | CUSTOMER SUPPORT DATA INC (1990) | WILDERNEST CORPORATION (1990)</t>
  </si>
  <si>
    <t xml:space="preserve">Park Plaza Midway [CDPHE Voluntary_Cleanup_and_Redevelopment_Program_(VCUP)_new; 22 m] | Park Plaza Midway [CDPHE Voluntary_Cleanup_and_Redevelopment_Program_(VCUP)_new] (address match)</t>
  </si>
  <si>
    <t xml:space="preserve">BESTOP INC [FRS; 3 m] | COLORADO COLLISION REPAIR INC [FRS; 3 m] | CENTURY 1 CHEVROLET [FRS; 8 m]</t>
  </si>
  <si>
    <t xml:space="preserve">25717 US 287 OPERATIONAL IMPROVEMENTS [FRS; 7 m]</t>
  </si>
  <si>
    <t xml:space="preserve">BESTOP INC</t>
  </si>
  <si>
    <t xml:space="preserve">S00690</t>
  </si>
  <si>
    <t xml:space="preserve">1614 MINER ST</t>
  </si>
  <si>
    <t xml:space="preserve">IDAHO SPRINGS</t>
  </si>
  <si>
    <t xml:space="preserve">Clear Creek</t>
  </si>
  <si>
    <t xml:space="preserve">80452</t>
  </si>
  <si>
    <t xml:space="preserve">BENSON, HERB MACHINE SHOP (1966-1970; SIC 3599) | IDAHO SPRINGS PLATING CO (1967-1973; SIC 3471)</t>
  </si>
  <si>
    <t xml:space="preserve">BENSON, HERB MACHINE SHOP (1966) | IDAHO SPRINGS PLATING CO (1966) | FRONT RANGE JOURNAL (1983)</t>
  </si>
  <si>
    <t xml:space="preserve">Clear Creek/CCC [CDPHE CDPHE Superfund] (inside site boundary)</t>
  </si>
  <si>
    <t xml:space="preserve">BUFFALO TRAILS GIFT SHOP</t>
  </si>
  <si>
    <t xml:space="preserve">S00692</t>
  </si>
  <si>
    <t xml:space="preserve">1205 MINER ST</t>
  </si>
  <si>
    <t xml:space="preserve">1966;1967;1968;1970</t>
  </si>
  <si>
    <t xml:space="preserve">KEIM*S MACHINE SHOP (1966-1970; SIC 3532)</t>
  </si>
  <si>
    <t xml:space="preserve">KEIM*S MACHINE SHOP (1966)</t>
  </si>
  <si>
    <t xml:space="preserve">WARDROBE CLEANERS [FRS; 17 m]</t>
  </si>
  <si>
    <t xml:space="preserve">WARDROBE CLEANERS</t>
  </si>
  <si>
    <t xml:space="preserve">S01995</t>
  </si>
  <si>
    <t xml:space="preserve">1510 MINER</t>
  </si>
  <si>
    <t xml:space="preserve">FRONT RANGE JCURNAL (1974; SIC 2711,2752,3450)</t>
  </si>
  <si>
    <t xml:space="preserve">FRONT RANGE PUBLISHING CO (1970) | FRONT RANGE JCURNAL (1974) | CLEAR CREEK COURANT (1980) | JOHNSGN NEWSPAPERS INCORPORATED (1980)</t>
  </si>
  <si>
    <t xml:space="preserve">S02851</t>
  </si>
  <si>
    <t xml:space="preserve">521 BRIDGE</t>
  </si>
  <si>
    <t xml:space="preserve">AGRICULTURAL SERVICE CO (1974-1983; SIC 2875,2879,3449) | WGRICULTURAL SERMICE CO (1980; SIC 2875,2879,3449)</t>
  </si>
  <si>
    <t xml:space="preserve">AGRICULTURAL SERVICE CO (1974) | WGRICULTURAL SERMICE CO (1980)</t>
  </si>
  <si>
    <t xml:space="preserve">Alternate Truck Route Project [CDPHE Voluntary_Cleanup_and_Redevelopment_Program_(VCUP)_new; 6 m] | Alternate Truck Route II [CDPHE Voluntary_Cleanup_and_Redevelopment_Program_(VCUP)_new; 6 m]</t>
  </si>
  <si>
    <t xml:space="preserve">AGRICULTURAL SERVICE COMPANY [FRS; name match, 21 m]</t>
  </si>
  <si>
    <t xml:space="preserve">Alternate Truck Route Project</t>
  </si>
  <si>
    <t xml:space="preserve">BLUE FABRICATION INC</t>
  </si>
  <si>
    <t xml:space="preserve">S00016</t>
  </si>
  <si>
    <t xml:space="preserve">75 S PECOS ST</t>
  </si>
  <si>
    <t xml:space="preserve">MARKON INDUSTRIES, INC. (1965; SIC 3471)</t>
  </si>
  <si>
    <t xml:space="preserve">MARKON INDUSTRIES, INC. (1965)</t>
  </si>
  <si>
    <t xml:space="preserve">Denver Radium/DRS [CDPHE CDPHE Superfund] (inside site boundary)</t>
  </si>
  <si>
    <t xml:space="preserve">General chemical II</t>
  </si>
  <si>
    <t xml:space="preserve">BAYAUD DRUMS - ABANDONED DRUMS</t>
  </si>
  <si>
    <t xml:space="preserve">S00062</t>
  </si>
  <si>
    <t xml:space="preserve">1601 WAZEE</t>
  </si>
  <si>
    <t xml:space="preserve">AAAA SPECIALITIES, INC. (1965-1968; SIC 3591)</t>
  </si>
  <si>
    <t xml:space="preserve">AAAA SPECIALITIES, INC. (1965) | FEINEMANN (1965) | ELLIOT-BARRY Cu (1966) | WARNEKE PAPER bOX CO (1966) | KIRK MFG CO INC (1974) | ROCKNOUNT RANCH WEAR MFG CO (1983) | LITHOGRAPHIC WE eoANCH (1988)</t>
  </si>
  <si>
    <t xml:space="preserve">One Union Station [CDPHE Voluntary_Cleanup_and_Redevelopment_Program_(VCUP)_new; 109 m] | Former USPS Terminal Annex II [CDPHE Voluntary_Cleanup_and_Redevelopment_Program_(VCUP)_new; 114 m] | Former USPS Terminal Annex [CDPHE Voluntary_Cleanup_and_Redevelopment_Program_(VCUP)_new; 114 m]</t>
  </si>
  <si>
    <t xml:space="preserve">COMPUTER IMAGING UNLIMITED [FRS; 23 m] | GREAT WESTERN SUGAR BUILDING [FRS; 40 m]</t>
  </si>
  <si>
    <t xml:space="preserve">VALIDUS ENERGY II MIDCON, LLC - ALL FACILITIES [FRS; 40 m] | VALIDUS ENERGY AQUILAS ASSETCO, LLC [FRS; 40 m]</t>
  </si>
  <si>
    <t xml:space="preserve">One Union Station</t>
  </si>
  <si>
    <t xml:space="preserve">COMPUTER IMAGING UNLIMITED</t>
  </si>
  <si>
    <t xml:space="preserve">S00063</t>
  </si>
  <si>
    <t xml:space="preserve">1732 MARION</t>
  </si>
  <si>
    <t xml:space="preserve">A B C FURNACE CO. (1965; SIC 3444)</t>
  </si>
  <si>
    <t xml:space="preserve">A B C FURNACE CO. (1965)</t>
  </si>
  <si>
    <t xml:space="preserve">1780 Marion St. NAD [CDPHE Voluntary_Cleanup_and_Redevelopment_Program_(VCUP)_new; 59 m]</t>
  </si>
  <si>
    <t xml:space="preserve">HEALTH CARE CENTER AT FRANKLIN PARK</t>
  </si>
  <si>
    <t xml:space="preserve">S00066</t>
  </si>
  <si>
    <t xml:space="preserve">4156 MORRISON RD</t>
  </si>
  <si>
    <t xml:space="preserve">A + G INCINERATORS (1965; SIC 3433)</t>
  </si>
  <si>
    <t xml:space="preserve">A + G INCINERATORS (1965)</t>
  </si>
  <si>
    <t xml:space="preserve">4040 Morrison Road Site [CDPHE CDPHE Brownfield; 46 m] | BUCU WEST [FRS; 54 m]</t>
  </si>
  <si>
    <t xml:space="preserve">4040 Morrison Road Site</t>
  </si>
  <si>
    <t xml:space="preserve">RANDY'S AUTO BODY</t>
  </si>
  <si>
    <t xml:space="preserve">S00070</t>
  </si>
  <si>
    <t xml:space="preserve">2950 ARKINS CT</t>
  </si>
  <si>
    <t xml:space="preserve">PANEL CORPORATION OF AMERICA (1974; SIC 2439,3728) | EARTH MINERALS (1980; SIC 2891,2843,2899)</t>
  </si>
  <si>
    <t xml:space="preserve">ACE BCX CO. (1965) | ACE MCLDING + JABS (1965) | ACE MOLDING + JAMBS (1966) | PANEL CORPORATION OF AMERICA (1974) | EARTH MINERALS (1980) | INSOLITE INCORPORATED (1980)</t>
  </si>
  <si>
    <t xml:space="preserve">HPG 2950 Arkins, LLC [CDPHE Voluntary_Cleanup_and_Redevelopment_Program_(VCUP)_new; 67 m] | HPG Arkins Court, LLC II [CDPHE Voluntary_Cleanup_and_Redevelopment_Program_(VCUP)_new; 67 m] | HPG 2950 Arkins, LLC [CDPHE Voluntary_Cleanup_and_Redevelopment_Program_(VCUP)_new] (address match) | HPG Arkins Court, LLC II [CDPHE Voluntary_Cleanup_and_Redevelopment_Program_(VCUP)_new] (address match)</t>
  </si>
  <si>
    <t xml:space="preserve">K&amp;M Plastics [CDPHE Solid_Waste_Facilities; 63 m] | K&amp;M Plastics [CDPHE Solid_Waste_Facilities] (address match)</t>
  </si>
  <si>
    <t xml:space="preserve">XCEL DG AMRP ARKINS CT FROM 31ST TO DENARGO ST. [FRS; 30 m] | REPSCO INCORPORATED [FRS] (address match) | 2950 ARKINS [FRS] (address match)</t>
  </si>
  <si>
    <t xml:space="preserve">HPG 2950 Arkins, LLC</t>
  </si>
  <si>
    <t xml:space="preserve">CALLAHAM FLORIST</t>
  </si>
  <si>
    <t xml:space="preserve">S00071</t>
  </si>
  <si>
    <t xml:space="preserve">5190 CLARKSON ST</t>
  </si>
  <si>
    <t xml:space="preserve">FUTURE PLASTICS (1980; SIC 3079)</t>
  </si>
  <si>
    <t xml:space="preserve">ACE BRUSH MFG. CO. (1965) | ACE BRUSH MFG + SUPPLY CO (1966) | FUTURE PLASTICS (1980)</t>
  </si>
  <si>
    <t xml:space="preserve">Vasquez/VAS [CDPHE CDPHE Superfund] (inside site boundary) | ASARCO GLOBEVILLE [CDPHE CDPHE Superfund] (inside site boundary)</t>
  </si>
  <si>
    <t xml:space="preserve">WASHINGTON STREET CORRIDOR</t>
  </si>
  <si>
    <t xml:space="preserve">ASARCO GLOBE PLANT</t>
  </si>
  <si>
    <t xml:space="preserve">A-DU-WELL AUTO SALVAGE</t>
  </si>
  <si>
    <t xml:space="preserve">S00072</t>
  </si>
  <si>
    <t xml:space="preserve">1409 STOUT</t>
  </si>
  <si>
    <t xml:space="preserve">Primary metals; Rubber &amp; plastics</t>
  </si>
  <si>
    <t xml:space="preserve">ACE-KAUFFMAN RUBBER STAMP # SEAL CO (1970-1973; SIC 3953,3369)</t>
  </si>
  <si>
    <t xml:space="preserve">ACE-KAUFFMAN RUBBER STAMP+SEAL CC. (1965)</t>
  </si>
  <si>
    <t xml:space="preserve">Focus Property Group [CDPHE Voluntary_Cleanup_and_Redevelopment_Program_(VCUP)_new; 8 m]</t>
  </si>
  <si>
    <t xml:space="preserve">J D CAIN COMPANY [FRS; 35 m]</t>
  </si>
  <si>
    <t xml:space="preserve">DOWNTOWN DENVER MARRIOTT [FRS; 10 m] | DOWNTOWN DENVER MARRIOTT [FRS; 12 m]</t>
  </si>
  <si>
    <t xml:space="preserve">Focus Property Group</t>
  </si>
  <si>
    <t xml:space="preserve">S00076</t>
  </si>
  <si>
    <t xml:space="preserve">1114 LARIMER</t>
  </si>
  <si>
    <t xml:space="preserve">ACME SILVER PLATING WORKS (1965; SIC 3471) | REX IRON WORKS CO (1968; SIC 3591)</t>
  </si>
  <si>
    <t xml:space="preserve">ACME SILVER PLATING WORKS (1965) |  (1967) | REX IRON WORKS CO (1968)</t>
  </si>
  <si>
    <t xml:space="preserve">First Year Student Housing (CU Denver) [CDPHE Voluntary_Cleanup_and_Redevelopment_Program_(VCUP)_new; 60 m] | FirstYear Student Housing [CDPHE Voluntary_Cleanup_and_Redevelopment_Program_(VCUP)_new; 60 m]</t>
  </si>
  <si>
    <t xml:space="preserve">CU DENVER FIRST YEAR STUDENT HOUSING [FRS; 37 m]</t>
  </si>
  <si>
    <t xml:space="preserve">IRONWORKS CDOT PROPERTY</t>
  </si>
  <si>
    <t xml:space="preserve">S00082</t>
  </si>
  <si>
    <t xml:space="preserve">2151 LAWRENCE</t>
  </si>
  <si>
    <t xml:space="preserve">ALNSWORTHs WMe INC (1970; SIC 3811,3576) | METAL PHCTO PROCESSING, INC (1974; SIC 3993,3999,3469)</t>
  </si>
  <si>
    <t xml:space="preserve">AINSWORTH, WM.y + SCNS» INC. (1965) | + PUBLISHING CO (1966) | UNION PRINTING * PUBLISHING CO (1967) | ALNSWORTHs WMe INC (1970) |  (1973) | OSSEN, J A, CO 2751 COMMERCIAL (1973) | METAL PHCTO PROCESSING, INC (1974) | METZGER PRINTING # PUBLISHING CO (1974) | QSSENs J Ay CC (1974)</t>
  </si>
  <si>
    <t xml:space="preserve">Lawrence Street Development [CDPHE Voluntary_Cleanup_and_Redevelopment_Program_(VCUP)_new; 17 m]</t>
  </si>
  <si>
    <t xml:space="preserve">BEHRINGER HARVARD 21 LAWRENCE PROJECT [FRS; 7 m]</t>
  </si>
  <si>
    <t xml:space="preserve">SONEFFS MASTER GARAGE</t>
  </si>
  <si>
    <t xml:space="preserve">S00088</t>
  </si>
  <si>
    <t xml:space="preserve">4398 ELATI</t>
  </si>
  <si>
    <t xml:space="preserve">1965;1968;1970;1973;1974;1980;1988</t>
  </si>
  <si>
    <t xml:space="preserve">ALFREC MFG. CO. (1965-1988; SIC 3545)</t>
  </si>
  <si>
    <t xml:space="preserve">ALFREC MFG. CO. (1965)</t>
  </si>
  <si>
    <t xml:space="preserve">Vasquez/VAS [CDPHE CDPHE Superfund] (inside site boundary)</t>
  </si>
  <si>
    <t xml:space="preserve">CVS CAREMARK/US BIOSERVICES 48649 [FRS; 4 m] | AMERISOURCE BERGEN [FRS; 4 m]</t>
  </si>
  <si>
    <t xml:space="preserve">Sterling Consulting Corporation</t>
  </si>
  <si>
    <t xml:space="preserve">CVS CAREMARK/US BIOSERVICES 48649</t>
  </si>
  <si>
    <t xml:space="preserve">S00091</t>
  </si>
  <si>
    <t xml:space="preserve">4495 LOGAN</t>
  </si>
  <si>
    <t xml:space="preserve">ALLIEC HEATING + AIR CONDITIONING (1965; SIC 3444)</t>
  </si>
  <si>
    <t xml:space="preserve">ALLIEC HEATING + AIR CONDITIONING (1965)</t>
  </si>
  <si>
    <t xml:space="preserve">WASHINGTON STREET BROWNFIELDS PROJECT</t>
  </si>
  <si>
    <t xml:space="preserve">HUD CLEANUP MDR CORPORATION</t>
  </si>
  <si>
    <t xml:space="preserve">S00094</t>
  </si>
  <si>
    <t xml:space="preserve">1130 12TH</t>
  </si>
  <si>
    <t xml:space="preserve">Chemicals; Rubber &amp; plastics; Transportation equipment</t>
  </si>
  <si>
    <t xml:space="preserve">CHAPMAN BROS INC (1968-1974; SIC 3714,3621) | INSTANTWHIP-CENVER? INC (1968; SIC 2025,2893,2711)</t>
  </si>
  <si>
    <t xml:space="preserve">AMERICAN CANVAS CO. (1965) | WATT POWER, INC (1965) | COLUMBINE WOOD PRODUCTS INC (1966) | HUNTER CO (1966) | CHAPMAN BROS INC (1968) | INSTANTWHIP-CENVER? INC (1968)</t>
  </si>
  <si>
    <t xml:space="preserve">First Year Student Housing (CU Denver) [CDPHE Voluntary_Cleanup_and_Redevelopment_Program_(VCUP)_new; 2 m] | FirstYear Student Housing [CDPHE Voluntary_Cleanup_and_Redevelopment_Program_(VCUP)_new; 2 m] | WATER STREET CATALYTIC SITE [FRS; 240 m]</t>
  </si>
  <si>
    <t xml:space="preserve">IRONWORKS CDOT PROPERTY [FRS; 162 m] | ATLAS METAL &amp; IRON CORP [CDPHE RCRA; 225 m] | ELITCH GARDENS [CDPHE RCRA; 225 m]</t>
  </si>
  <si>
    <t xml:space="preserve">UNIVERSITY OF COLORADO DENVER [FRS; 5 m] | CU DENVER FIRST YEAR STUDENT HOUSING [FRS; 63 m] | SPEER &amp; LARIMER - METRO [FRS; 118 m] | KAIROI BELL TOWER [FRS; 203 m] | 670 LAWRENCE ST. [FRS; 210 m] | LOCATED IN THE CORNER OF 10TH AND WALNUT AT THE EDGE OF ATHLETIC FLD [FRS; 211 m] | 10 ST PEDESTRIAN CORRIDOR PH III [FRS; 238 m]</t>
  </si>
  <si>
    <t xml:space="preserve">S00101</t>
  </si>
  <si>
    <t xml:space="preserve">1590 BRYANT</t>
  </si>
  <si>
    <t xml:space="preserve">AMERICAN PRODUCTS PICKLE CO (1966; SIC 3441)</t>
  </si>
  <si>
    <t xml:space="preserve">AMERICAN PROOLCTS PICKLE CO. (1965) | AMERICAN PRODUCTS PICKLE CO (1966) | POTATO SPECIALTIES INC (1970)</t>
  </si>
  <si>
    <t xml:space="preserve">Opus 19th and Clay II [CDPHE Voluntary_Cleanup_and_Redevelopment_Program_(VCUP)_new; 15 m] | Red Lodge Development, LLC [CDPHE Voluntary_Cleanup_and_Redevelopment_Program_(VCUP)_new; 237 m]</t>
  </si>
  <si>
    <t xml:space="preserve">RYDER TRUCK RENTAL [CDPHE RCRA; 58 m] | METECH RECYCLING INC [CDPHE RCRA; 234 m] | HENSLEY BATTERY &amp; ELECTRIC [FRS; 235 m]</t>
  </si>
  <si>
    <t xml:space="preserve">19TH AND CLAY [FRS; 103 m]</t>
  </si>
  <si>
    <t xml:space="preserve">Opus 19th and Clay II</t>
  </si>
  <si>
    <t xml:space="preserve">RYDER TRUCK RENTAL</t>
  </si>
  <si>
    <t xml:space="preserve">S00102</t>
  </si>
  <si>
    <t xml:space="preserve">495 E 51ST AVE</t>
  </si>
  <si>
    <t xml:space="preserve">1965;1980;1990</t>
  </si>
  <si>
    <t xml:space="preserve">AMERICAN SMELTING + REFINING CO. (1965; SIC 3339) | WSARCO INC . (1980-1990; SIC 3339)</t>
  </si>
  <si>
    <t xml:space="preserve">AMERICAN SMELTING + REFINING CO. (1965) | WSARCO INC . (1980)</t>
  </si>
  <si>
    <t xml:space="preserve">ASARCO GLOBE PLANT [FRS; name match, 68 m] | Asarco Globe/ASA [CDPHE Institutional_Controls_PROD_local; name match, 232 m] | ASARCO GLOBE PLANT [FRS] (address match) | Vasquez/VAS [CDPHE CDPHE Superfund] (inside site boundary) | ASARCO GLOBEVILLE [CDPHE CDPHE Superfund] (inside site boundary) | Asarco Globe/ASA [CDPHE Institutional_Controls_PROD_local] (inside site boundary)</t>
  </si>
  <si>
    <t xml:space="preserve">GO/DAN INDUSTRIES [TRI; 66 m] | ASARCO GLOBE PLANT [TRI] (address match)</t>
  </si>
  <si>
    <t xml:space="preserve">BULLOCKS EXPRESS TRANSPORTATION INC [FRS; 17 m] | OVERLAND TRUCK REPAIR INC [FRS; 17 m] | GLOBEVILLE I LLC [CDPHE RCRA; 28 m] | GLOBEVILLE I LLC [CDPHE RCRA] (address match)</t>
  </si>
  <si>
    <t xml:space="preserve">DEERWOODS REAL ESTATE MGMT LLC [FRS; 17 m]</t>
  </si>
  <si>
    <t xml:space="preserve">GO/DAN INDUSTRIES</t>
  </si>
  <si>
    <t xml:space="preserve">BULLOCKS EXPRESS TRANSPORTATION INC</t>
  </si>
  <si>
    <t xml:space="preserve">S00103</t>
  </si>
  <si>
    <t xml:space="preserve">4245 FOX SI</t>
  </si>
  <si>
    <t xml:space="preserve">1965;1966;1967;1968;1970;1973;1974;1977;1980;1983;1988;1990</t>
  </si>
  <si>
    <t xml:space="preserve">AMERICAN STEEL + IRON WORKS (1965-1988; SIC 3441) | A-RITE MFG CO (1973-1977; SIC 3544) | H + L TAG LIFT CORP (1973-1974; SIC 3714) | CONTAINER GRAPHICS CoRP (1980-1990; SIC 3544)</t>
  </si>
  <si>
    <t xml:space="preserve">AMERICAN STEEL + IRON WORKS (1965) | TEWELL'S PRINTING + LITHCCRAPFING CO (1968) | A-RITE MFG CO (1973) | H + L TAG LIFT CORP (1973) | CONTAINER GRAPHICS CoRP (1980)</t>
  </si>
  <si>
    <t xml:space="preserve">Fox Iron Works [CDPHE Voluntary_Cleanup_and_Redevelopment_Program_(VCUP)_new; 6 m] | Fox Iron Works II [CDPHE Voluntary_Cleanup_and_Redevelopment_Program_(VCUP)_new; 6 m] | Vasquez/VAS [CDPHE CDPHE Superfund] (inside site boundary)</t>
  </si>
  <si>
    <t xml:space="preserve">CENTRAL DENVER IRON WORKS, INC [FRS; 9 m]</t>
  </si>
  <si>
    <t xml:space="preserve">Fox Iron Works</t>
  </si>
  <si>
    <t xml:space="preserve">CENTRAL DENVER IRON WORKS, INC</t>
  </si>
  <si>
    <t xml:space="preserve">S00106</t>
  </si>
  <si>
    <t xml:space="preserve">1590 WE 12TH</t>
  </si>
  <si>
    <t xml:space="preserve">APACHE RUBBER (1965; SIC 3069)</t>
  </si>
  <si>
    <t xml:space="preserve">APACHE RUBBER (1965) | MOBILE PREMIX CONCRETE INC (1983)</t>
  </si>
  <si>
    <t xml:space="preserve">WESTERN MOBILE NORTHERN INC [FRS; 24 m]</t>
  </si>
  <si>
    <t xml:space="preserve">MARTIN MARIETTA MTRLS - QUIVAS [FRS; 75 m] | SMYRNA READY MIX CONCRETE LLC - QUIVAS READY MIX [TRI; 89 m]</t>
  </si>
  <si>
    <t xml:space="preserve">DENVER WATER - WESTSIDE [FRS; 8 m] | LAFARGE REGIONAL QA/QC LAB [FRS; 26 m]</t>
  </si>
  <si>
    <t xml:space="preserve">DENVER WATER - WESTSIDE COMPLEX [FRS; 8 m] | TRUMBULL TOWN OF-TREATMENT PLANT [FRS; 8 m] | DENVER WATER CAMPUS [FRS; 8 m] | 1201-1245 QUIVAS STREET DEMOLITION [FRS; 15 m] | LAFARGE WEST, INC. [FRS; 24 m]</t>
  </si>
  <si>
    <t xml:space="preserve">WESTERN MOBILE NORTHERN INC</t>
  </si>
  <si>
    <t xml:space="preserve">MARTIN MARIETTA MTRLS - QUIVAS</t>
  </si>
  <si>
    <t xml:space="preserve">DENVER WATER - WESTSIDE</t>
  </si>
  <si>
    <t xml:space="preserve">S00107</t>
  </si>
  <si>
    <t xml:space="preserve">4280 COLUMBINE</t>
  </si>
  <si>
    <t xml:space="preserve">C O C CRAFTSMEN (1983; SIC 3964,3499) | SANCHEZ INTERNATIONAL (1983; SIC 3964,2387,3079)</t>
  </si>
  <si>
    <t xml:space="preserve">ARCHWAY COOKIE CO. OF CCLORADG (1965) | SCHNEIDER CUOKIE COs, INC. (1965) | SANCHEZ INTERNATIONAL INC (1980) | C O C CRAFTSMEN (1983)</t>
  </si>
  <si>
    <t xml:space="preserve">EMPIRE PD1</t>
  </si>
  <si>
    <t xml:space="preserve">S00110</t>
  </si>
  <si>
    <t xml:space="preserve">194 W DAKOTA AVE</t>
  </si>
  <si>
    <t xml:space="preserve">1965;1983;1988;1990;1992</t>
  </si>
  <si>
    <t xml:space="preserve">ARROW MFG. CO. (1965; SIC 3542) | TOOLS FOR BENDINGs INC (1983-1992; SIC 3498,3471,2899) | DENVER PIPE+TUBE BENDING INC (1988; SIC 3498,2711) | DENVER PATTERN WORKS INC (1992; SIC 3544,3999,3498)</t>
  </si>
  <si>
    <t xml:space="preserve">ARROW MFG. CO. (1965) | TOOLS FOR BENDINGs INC (1983) | DENVER PIPE+TUBE BENDING INC (1988) | TFB MACHINE DIVISION © (1990) | DENVER PATTERN WORKS INC (1992)</t>
  </si>
  <si>
    <t xml:space="preserve">DAKOTA AMMONIA [FRS] (address match)</t>
  </si>
  <si>
    <t xml:space="preserve">TOOLS FOR BENDING INCORPORATED [FRS; name match, 1 m] | TOOLS FOR BENDING [CDPHE RCRA; name match, 97 m] | TOOLS FOR BENDING INCORPORATED [FRS] (address match) | TOOLS FOR BENDING [CDPHE RCRA] (address match)</t>
  </si>
  <si>
    <t xml:space="preserve">TOOLS FOR BENDING INC [FRS; name match, 1 m] | TOOLS FOR BENDING INC [FRS] (address match)</t>
  </si>
  <si>
    <t xml:space="preserve">Alta Alameda Station</t>
  </si>
  <si>
    <t xml:space="preserve">S00115</t>
  </si>
  <si>
    <t xml:space="preserve">2433 CURTIS</t>
  </si>
  <si>
    <t xml:space="preserve">ATLAS CASE INC (1988; SIC 3161,2891,3543)</t>
  </si>
  <si>
    <t xml:space="preserve">ATLAS LUGGAGE CO. (1965) | COLORADO TRUNK + CASE (1983) | ATLAS CASE INC (1988)</t>
  </si>
  <si>
    <t xml:space="preserve">TEMPLE EMANUEL [FRS; 24 m]</t>
  </si>
  <si>
    <t xml:space="preserve">TEMPLE EMANUEL</t>
  </si>
  <si>
    <t xml:space="preserve">GREYHOUND LINES INC</t>
  </si>
  <si>
    <t xml:space="preserve">S00116</t>
  </si>
  <si>
    <t xml:space="preserve">2763 BLAKE</t>
  </si>
  <si>
    <t xml:space="preserve">1965;1968;1970;1973;1974;1977;1980;1983;1990</t>
  </si>
  <si>
    <t xml:space="preserve">ATLAS PATTERN + MODEL WCRKS (1965-1990; SIC 3585)</t>
  </si>
  <si>
    <t xml:space="preserve">ATLAS PATTERN + MODEL WCRKS (1965)</t>
  </si>
  <si>
    <t xml:space="preserve">Formativ Site II [CDPHE Voluntary_Cleanup_and_Redevelopment_Program_(VCUP)_new; 11 m] | Formative Site II [CDPHE Voluntary_Cleanup_and_Redevelopment_Program_(VCUP)_new; 39 m] | Formativ Site [CDPHE Voluntary_Cleanup_and_Redevelopment_Program_(VCUP)_new; 39 m] | 2763 Blake Street [CDPHE Institutional_Controls_PROD_local; 40 m] | Blake Street Condominiums [CDPHE Voluntary_Cleanup_and_Redevelopment_P</t>
  </si>
  <si>
    <t xml:space="preserve">A. R. WILFLEY AND SONS, INC. [FRS; 4 m]</t>
  </si>
  <si>
    <t xml:space="preserve">A R WILFLEY AND SONS INC [FRS; 35 m]</t>
  </si>
  <si>
    <t xml:space="preserve">LOT 28 [FRS; 4 m]</t>
  </si>
  <si>
    <t xml:space="preserve">Formativ Site II</t>
  </si>
  <si>
    <t xml:space="preserve">A. R. WILFLEY AND SONS, INC.</t>
  </si>
  <si>
    <t xml:space="preserve">A R WILFLEY AND SONS INC</t>
  </si>
  <si>
    <t xml:space="preserve">S00119</t>
  </si>
  <si>
    <t xml:space="preserve">1331 W EVANS AVE</t>
  </si>
  <si>
    <t xml:space="preserve">Chemicals; Fabricated metals; Industrial machinery; Petroleum refining; Primary metals</t>
  </si>
  <si>
    <t xml:space="preserve">1965;1966;1970;1973;1974;1980;1983;1988;1990;1992</t>
  </si>
  <si>
    <t xml:space="preserve">AUTOLENE LUBRICANTS CQ. (1965; SIC 2992) | PROTEX INDUSTRIES INC (1966-1988; SIC 2899) | CARD CORPORATION (1980-1983; SIC 3532,3325) | PENN-DIXIE STEEL CORP (1980; SIC 3449,3441) | BRGTEX INDUSTRIES INC (1980; SIC 2843,3829) | D.B.A. SHEET METAL MANUPACTURING (1988; SIC 3444) | NORSAIRE SYSTEMS (1988-1990; SIC 3585) | HERCULES INDUSTRIES INC (1990-1992; SIC 3444)</t>
  </si>
  <si>
    <t xml:space="preserve">AUTOLENE LUBRICANTS CQ. (1965) | PROTEX INDUSTRIES INC (1966) | CARD CORPORATION (1980) | PENN-DIXIE STEEL CORP (1980) | BRGTEX INDUSTRIES INC (1980) | UPL INC (1983) | D.B.A. SHEET METAL MANUPACTURING (1988) | NORSAIRE SYSTEMS (1988) | HERCULES INDUSTRIES INC (1990)</t>
  </si>
  <si>
    <t xml:space="preserve">PROTEX INDUSTRIES INCORPORATED [FRS; name match, 31 m] | PROTEX INDUSTRIES INCORPORATED [FRS] (address match)</t>
  </si>
  <si>
    <t xml:space="preserve">HERCULES INDUSTRIES WAREHOUSE [FRS; name match, 12 m] | BLUE FLAME SERVICES, LLC [FRS; 31 m] | BLUE FLAME SERVICES, LLC [FRS] (address match)</t>
  </si>
  <si>
    <t xml:space="preserve">PROTEX INDUSTRIES INCORPORATED</t>
  </si>
  <si>
    <t xml:space="preserve">GLIDDEN COMPANY DBA ICI PAINTS</t>
  </si>
  <si>
    <t xml:space="preserve">S00121</t>
  </si>
  <si>
    <t xml:space="preserve">2770 WE COLFAX</t>
  </si>
  <si>
    <t xml:space="preserve">BARGER-KNIGHT MFG CORP (1968-1970; SIC 3931,3451)</t>
  </si>
  <si>
    <t xml:space="preserve">BARGER-KNIGHT MFG. CORP. (1965) | STAR BREAD COQ. (1965) | STAR BREAD CO (1968)</t>
  </si>
  <si>
    <t xml:space="preserve">FEDERAL BLVD. BROWNFIELDS PROJECT [FRS; 3 m]</t>
  </si>
  <si>
    <t xml:space="preserve">FEDERAL BLVD. BROWNFIELDS PROJECT</t>
  </si>
  <si>
    <t xml:space="preserve">VISION GRAPHICS INC</t>
  </si>
  <si>
    <t xml:space="preserve">S00129</t>
  </si>
  <si>
    <t xml:space="preserve">2510 S WABASH</t>
  </si>
  <si>
    <t xml:space="preserve">BROADWAY SHEET METAL WORKS (1965; SIC 3444)</t>
  </si>
  <si>
    <t xml:space="preserve">BROADWAY SHEET METAL WORKS (1965)</t>
  </si>
  <si>
    <t xml:space="preserve">Propsect Village [CDPHE Voluntary_Cleanup_and_Redevelopment_Program_(VCUP)_new; 51 m]</t>
  </si>
  <si>
    <t xml:space="preserve">YALE AND WABASH BRIDGE AT CHERRY CREEK [FRS; 16 m] | CHERRY CREEK SAND [FRS; 33 m]</t>
  </si>
  <si>
    <t xml:space="preserve">Propsect Village</t>
  </si>
  <si>
    <t xml:space="preserve">S00131</t>
  </si>
  <si>
    <t xml:space="preserve">869 S BROADWAY</t>
  </si>
  <si>
    <t xml:space="preserve">1965;1967;1968;1974;1977</t>
  </si>
  <si>
    <t xml:space="preserve">BURKHARDT, Es, STEEL CO. (1965; SIC 3441) | BURKHARDT STEEL CO (1967-1977; SIC 3441)</t>
  </si>
  <si>
    <t xml:space="preserve">BURKHARDT, Es, STEEL CO. (1965) | BURKHARDT STEEL CO (1966)</t>
  </si>
  <si>
    <t xml:space="preserve">Gates Rubber: Kentucky Ave #9 [CDPHE Voluntary_Cleanup_and_Redevelopment_Program_(VCUP)_new; 24 m]</t>
  </si>
  <si>
    <t xml:space="preserve">THE GATES RUBBER COMPANY [FRS; 89 m] | GATES RUBBER CO AUTO BATTERY [FRS; 89 m]</t>
  </si>
  <si>
    <t xml:space="preserve">RTD - BURKHARDT STORAGE FACILITY [FRS; 4 m] | NEBRASKALAND TIRE INC DBA COLORADOLAND TIRE [FRS; 15 m] | RTD - BURKHARDT STORAGE FACILITY [FRS] (address match)</t>
  </si>
  <si>
    <t xml:space="preserve">Gates Rubber: Kentucky Ave #9</t>
  </si>
  <si>
    <t xml:space="preserve">THE GATES RUBBER COMPANY</t>
  </si>
  <si>
    <t xml:space="preserve">RTD - BURKHARDT STORAGE FACILITY</t>
  </si>
  <si>
    <t xml:space="preserve">S00135</t>
  </si>
  <si>
    <t xml:space="preserve">500 E 45 AVE</t>
  </si>
  <si>
    <t xml:space="preserve">1966;1967;1968;1973;1974;1977;1980;1983;1988</t>
  </si>
  <si>
    <t xml:space="preserve">CANJAR RIFLE ACCESSORIES (1966-1968; SIC 3484) | MH CANJAR CO (1973-1980; SIC 3484) | CANJARs M HCO (1983; SIC 3484) | DENVER - DENVER 205 MH CANJAR CO (1988; SIC 3484)</t>
  </si>
  <si>
    <t xml:space="preserve">CANJAR, Me He (1965) | CANJAR RIFLE ACCESSORIES (1966) | CANJAR MFG CC (1970) | CANJARs M HCO (1983) | DENVER - DENVER 205 MH CANJAR CO (1988)</t>
  </si>
  <si>
    <t xml:space="preserve">S00139</t>
  </si>
  <si>
    <t xml:space="preserve">1418 WAZEE ST</t>
  </si>
  <si>
    <t xml:space="preserve">CUSTOM DESIGN UPHOLSTERY INC (1973; SIC 2512,3591)</t>
  </si>
  <si>
    <t xml:space="preserve">CENTRAL WUOD PRODUCTS (1965) | VCLKER, WILLIAM + CO. (1965) | *CUSTOM DESIGN UPHOLSTERY INC (1966) | EVERGREEN SPECIALTY CO, THE (1968) | EVERGREEN SPECIALTY CO. (1973) | L + R FURNITURE + CABINET WORKS (1973) | CONTINENTAL CABINET COMPANY (1974) | L + R FURNITURE FRAME CO (1974) | D OWNER (1977)</t>
  </si>
  <si>
    <t xml:space="preserve">DENVER POTASSIUM CYANIDE [FRS; 60 m]</t>
  </si>
  <si>
    <t xml:space="preserve">MILL MAN STEEL FACILITY-31099 OLD HOCKLEY RD, MAGNOLIA [FRS; 19 m] | BEAR PEAK COOPER LLC [FRS; 42 m]</t>
  </si>
  <si>
    <t xml:space="preserve">DENVER POTASSIUM CYANIDE</t>
  </si>
  <si>
    <t xml:space="preserve">S00155</t>
  </si>
  <si>
    <t xml:space="preserve">4501 FOX ST</t>
  </si>
  <si>
    <t xml:space="preserve">DENVER BRICK + PIPE CO (1973-1974; SIC 3079,3251,3259)</t>
  </si>
  <si>
    <t xml:space="preserve">CENVER BRICK + PIPE CO. (1965) | DENVER BRICK + PIPE CO (1970)</t>
  </si>
  <si>
    <t xml:space="preserve">Fox Iron Works II</t>
  </si>
  <si>
    <t xml:space="preserve">S00156</t>
  </si>
  <si>
    <t xml:space="preserve">678 49TH</t>
  </si>
  <si>
    <t xml:space="preserve">DENVER BUCKLE (1965; SIC 3564)</t>
  </si>
  <si>
    <t xml:space="preserve">DENVER BUCKLE (1965)</t>
  </si>
  <si>
    <t xml:space="preserve">GO DAN IND [FRS; 223 m]</t>
  </si>
  <si>
    <t xml:space="preserve">MANNYS WELDING SHOP LTD [FRS; 69 m] | DENVER SCRAP METAL RECYCLING [FRS; 81 m] | PAN GLO CO [FRS; 155 m] | LEONARD JOSEPH CO THE [FRS; 198 m] | CHEMICAL SPECIALTIES [FRS; 228 m]</t>
  </si>
  <si>
    <t xml:space="preserve">Compost Colorado [CDPHE Solid_Waste_Facilities; 234 m]</t>
  </si>
  <si>
    <t xml:space="preserve">NORTH METRO REINFORCEMENT [FRS; 29 m] | JIMMY BOYS AUTO BODY [FRS; 46 m] | GRANITE AND MARBLE DESIGNS LLC [FRS; 54 m] | 49TH &amp; WASHINGTON DEWATERING BORE [FRS; 82 m] | MUSTANGS &amp; RODS, INC. [FRS; 126 m] | GLOBEVILLE AFFORDABLE [FRS; 134 m] | UNIVERSAL DIAPER SERVICE INC [FRS; 155 m] | DOTI 48TH AVE. OUTFALL &amp; BETTY CRAM DR BRIDGE [FRS; 169 m] | SUPERIOR FARMS [FRS; 198 m] | MOUNTAIN MEADOW LAMB CO</t>
  </si>
  <si>
    <t xml:space="preserve">GO DAN IND</t>
  </si>
  <si>
    <t xml:space="preserve">MANNYS WELDING SHOP LTD</t>
  </si>
  <si>
    <t xml:space="preserve">S00158</t>
  </si>
  <si>
    <t xml:space="preserve">4444 YORK</t>
  </si>
  <si>
    <t xml:space="preserve">1965;1968;1970;1973;1974;1983</t>
  </si>
  <si>
    <t xml:space="preserve">CENVER ROLL CCRRUGATING CO. (1965; SIC 3554) | ACME MACHINERY + SUPPLY CC» INC (1968-1973; SIC 3522) | WOEBER AUTO BODY + MFG CO (1973; SIC 3714) | DENVER ROLL CORRUGATING (1974; SIC 3523) | NOTEBOOKS INC. (1983; SIC 3079)</t>
  </si>
  <si>
    <t xml:space="preserve">CENVER DUAL MIXED CONCRETE (1965) | CENVER ROLL CCRRUGATING CO. (1965) | ACME MACHINERY + SUPPLY CC» INC (1968) | WOEBER AUTO BODY + MFG CO (1973) | DENVER ROLL CORRUGATING (1974) | NOTEBOOKS INC. (1983)</t>
  </si>
  <si>
    <t xml:space="preserve">NESTLE - PURINA PETCARE CO [FRS; 53 m] | NESTLE PURINA PETCARE COMPANY - YORK ST [FRS; 58 m] | NESTLE PURINA PETCARE CO [TRI; 96 m]</t>
  </si>
  <si>
    <t xml:space="preserve">V&amp;J OIL</t>
  </si>
  <si>
    <t xml:space="preserve">NESTLE - PURINA PETCARE CO</t>
  </si>
  <si>
    <t xml:space="preserve">ACME PRECISION INDUSTRIES</t>
  </si>
  <si>
    <t xml:space="preserve">S00165</t>
  </si>
  <si>
    <t xml:space="preserve">2130 S PLATTE RIVER DR</t>
  </si>
  <si>
    <t xml:space="preserve">1968;1970;1977;1990</t>
  </si>
  <si>
    <t xml:space="preserve">JOLA TOOL CO, INC (1968-1970; SIC 3544) | IDEA CORPORATION (1977; SIC 2891,2449) | MICROGRAPHIC TECHNOLOGY INC (1990; SIC 3861)</t>
  </si>
  <si>
    <t xml:space="preserve">CINGERSON PRESS (1965) | JOLA TOOL CO, INC (1968) | B + B ELECTRONIC PRODUCTS, INC (1968) | IDEA CORPCRATION (1974) | IDEA CORPORATION (1977) | TIMBERLINE ARTISTS PUBLISHING INC (1977) | TIMBERLINE ARTISTS D.B.A.-DINGERSON PRESS (1988) | MICROGRAPHIC TECHNOLOGY INC (1990)</t>
  </si>
  <si>
    <t xml:space="preserve">EVANS CATALYTIC SITE [FRS; 52 m]</t>
  </si>
  <si>
    <t xml:space="preserve">ABLYSS LLC - UPHOLSTRY AND REFINISHING [FRS; 30 m] | CLASSIC COLLISION - HIGHLAND SOUTH 1928  [CDPHE RCRA; 45 m] | PLATINUM AUTO BODY INC [CDPHE RCRA; 45 m] | SHERWIN-WILLIAMS #4386 [CDPHE RCRA; 45 m] | PPG ARCHITECTURAL FINISHES INC PPG PAINTS STORE #8028 [CDPHE RCRA; 45 m] | ABLYSS LLC - UPHOLSTRY AND REFINISHING [FRS] (address match)</t>
  </si>
  <si>
    <t xml:space="preserve">AMERICA WEST PRINTING CORP [FRS; 30 m] | AMERICA WEST PRINTING CORP [FRS] (address match)</t>
  </si>
  <si>
    <t xml:space="preserve">EVANS CATALYTIC SITE</t>
  </si>
  <si>
    <t xml:space="preserve">ABLYSS LLC - UPHOLSTRY AND REFINISHING</t>
  </si>
  <si>
    <t xml:space="preserve">S00174</t>
  </si>
  <si>
    <t xml:space="preserve">919 DECATUR</t>
  </si>
  <si>
    <t xml:space="preserve">CYNAMIC BALANCING CENTER 3429 El EZE MCP CO. (1965; SIC 3591) | M-W ENTERPRISES (1967-1968; SIC 3591)</t>
  </si>
  <si>
    <t xml:space="preserve">CYNAMIC BALANCING CENTER 3429 El EZE MCP CO. (1965) | M-W ENTERPRISES (1967)</t>
  </si>
  <si>
    <t xml:space="preserve">DECATUR WAREHOUSE [FRS; 32 m]</t>
  </si>
  <si>
    <t xml:space="preserve">BLUE STAR RECYCLERS DENVER [FRS; 32 m]</t>
  </si>
  <si>
    <t xml:space="preserve">BLUE STAR RECYCLERS - Denver [CDPHE Solid_Waste_Facilities; 70 m]</t>
  </si>
  <si>
    <t xml:space="preserve">DECATUR WAREHOUSE</t>
  </si>
  <si>
    <t xml:space="preserve">BLUE STAR RECYCLERS DENVER</t>
  </si>
  <si>
    <t xml:space="preserve">S00175</t>
  </si>
  <si>
    <t xml:space="preserve">2257 CURTIS</t>
  </si>
  <si>
    <t xml:space="preserve">J + J WELDING (1968; SIC 3591)</t>
  </si>
  <si>
    <t xml:space="preserve">E. 8. PHOTCCOMPOSITION CO. 3079 El FRP PRODUCTS (1965) | J + J WELDING (1968)</t>
  </si>
  <si>
    <t xml:space="preserve">WALNUT AUTO BODY [FRS; 4 m] | COLMINN-X INC [FRS; 26 m]</t>
  </si>
  <si>
    <t xml:space="preserve">KENS REPRODUCTIONS INC [FRS; 11 m]</t>
  </si>
  <si>
    <t xml:space="preserve">WALNUT AUTO BODY</t>
  </si>
  <si>
    <t xml:space="preserve">S00180</t>
  </si>
  <si>
    <t xml:space="preserve">4806 YORK</t>
  </si>
  <si>
    <t xml:space="preserve">1965;1968;1973;1974;1980;1983;1988;1990</t>
  </si>
  <si>
    <t xml:space="preserve">EATCN METAL PRODUCTS 2751 El FETTER PRINTING CORP. (1965; SIC 3443) | EATON METAL FRODUCTS CO,. TRUCO DIVISION (1968; SIC 3441) | EATON METAL PRODUCTS CO (1973-1990; SIC 3441,3443,3499) | BASBU CHS TAS (1988; SIC 3441,3443,3499)</t>
  </si>
  <si>
    <t xml:space="preserve">EATCN METAL PRODUCTS 2751 El FETTER PRINTING CORP. (1965) | EATON METAL FRODUCTS CO,. TRUCO DIVISION (1968) | EATON METAL PRODUCTS CO (1973) | BASBU CHS TAS (1988)</t>
  </si>
  <si>
    <t xml:space="preserve">GESC AT 4765 YORK STREET [FRS; 64 m] | Kabin II [CDPHE Voluntary_Cleanup_and_Redevelopment_Program_(VCUP)_new; 68 m] | Flight Building #2 [CDPHE Voluntary_Cleanup_and_Redevelopment_Program_(VCUP)_new; 68 m] | 38TH and Huron Development [CDPHE Voluntary_Cleanup_and_Redevelopment_Program_(VCUP)_new; 68 m] | Fox Station 1 [CDPHE Voluntary_Cleanup_and_Redevelopment_Program_(VCUP)_new; 68 m] | Fox Nort</t>
  </si>
  <si>
    <t xml:space="preserve">EATON METAL PRODUCTS CO INC [TRI; name match, 44 m] | EATON METAL PRODUCTS CO [FRS; name match, 107 m]</t>
  </si>
  <si>
    <t xml:space="preserve">GESC AT 4765 YORK STREET</t>
  </si>
  <si>
    <t xml:space="preserve">EATON METAL PRODUCTS CO INC</t>
  </si>
  <si>
    <t xml:space="preserve">MORGAN CORPORATION</t>
  </si>
  <si>
    <t xml:space="preserve">S00183</t>
  </si>
  <si>
    <t xml:space="preserve">4901 RACE 1735 LAWRENCE</t>
  </si>
  <si>
    <t xml:space="preserve">ELDER TRAILER + BOCY, INC. 2229 E€2 FISHBACK MFG. CO. (1965; SIC 3527)</t>
  </si>
  <si>
    <t xml:space="preserve">ELDER TRAILER + BOCY, INC. 2229 E€2 FISHBACK MFG. CO. (1965)</t>
  </si>
  <si>
    <t xml:space="preserve">51st &amp; Brighton LLc [CDPHE Institutional_Controls_PROD_local; 107 m] | Vasquez/VAS [CDPHE CDPHE Superfund] (inside site boundary) | 51st &amp; Brighton LLc [CDPHE Institutional_Controls_PROD_local] (inside site boundary)</t>
  </si>
  <si>
    <t xml:space="preserve">BASALITE CONCRETE PRODUCTS [FRS; 26 m] | BASALITE CONCRETE PRODUCTS [FRS; 105 m] | RED SEAL SNACKS [TRI; 130 m]</t>
  </si>
  <si>
    <t xml:space="preserve">RUSH TRUCK CENTERS OF COLORADO [FRS; 50 m] | WEBB CRANE INC [FRS; 213 m]</t>
  </si>
  <si>
    <t xml:space="preserve">CORESITE REAL ESTATE DE3 - CORESITE DE3 [FRS; 69 m] | BASALITE CONCRETE PRODUCTS [FRS; 105 m] | ROCKY MOUNTAIN COLBY PIPE [FRS; 167 m] | CRUSHER AUTO &amp; TRUCK SALVAGE [FRS; 195 m] | 48TH + RACE [FRS; 247 m]</t>
  </si>
  <si>
    <t xml:space="preserve">51st &amp; Brighton LLc</t>
  </si>
  <si>
    <t xml:space="preserve">BASALITE CONCRETE PRODUCTS</t>
  </si>
  <si>
    <t xml:space="preserve">RUSH TRUCK CENTERS OF COLORADO</t>
  </si>
  <si>
    <t xml:space="preserve">S00186</t>
  </si>
  <si>
    <t xml:space="preserve">4238 YORK</t>
  </si>
  <si>
    <t xml:space="preserve">FRANKLIN, G. Me, SERUM CO. (1965; SIC 2831)</t>
  </si>
  <si>
    <t xml:space="preserve">FRANKLIN, G. Me, SERUM CO. (1965)</t>
  </si>
  <si>
    <t xml:space="preserve">ASSOCIATED BATTERY SUPPLY OF CO [FRS; 12 m]</t>
  </si>
  <si>
    <t xml:space="preserve">B + B PALLET COMPANY [FRS; 12 m]</t>
  </si>
  <si>
    <t xml:space="preserve">ESB INC</t>
  </si>
  <si>
    <t xml:space="preserve">ASSOCIATED BATTERY SUPPLY OF CO</t>
  </si>
  <si>
    <t xml:space="preserve">S00190</t>
  </si>
  <si>
    <t xml:space="preserve">1221 CALIFORNIA</t>
  </si>
  <si>
    <t xml:space="preserve">DAUMANN-HEFNER PRINTING CO DL TOMLIN GEN MGR (1967; SIC 3591)</t>
  </si>
  <si>
    <t xml:space="preserve">FREY, RAY Fey CO. (1965) | KNIGHT PRINTING + STATIONERY CO. (1965) | WESTERN NEMS PRINTERS+PUBLISHERS (1965) | KNIGHT PRINTING CO (1966) | LYNN PRESS INC, THE (1966) | DAUMANN-HEFNER PRINTING CO DL TOMLIN GEN MGR (1967) | DAUMANN-HEFNER PRINTING CO (1968) | PETERSON PRINT = WESTERN NEWS (1974) | BROWER» AL FOR PRINTING (1977)</t>
  </si>
  <si>
    <t xml:space="preserve">Focus Property Group [CDPHE Voluntary_Cleanup_and_Redevelopment_Program_(VCUP)_new; 110 m]</t>
  </si>
  <si>
    <t xml:space="preserve">COLORADO CONVENTION CTR [FRS; 4 m] | J D CAIN COMPANY [FRS; 105 m] | DENVER POST INC [FRS; 154 m] | DENVER CHILLED WATER [CDPHE RCRA; 169 m] | US WEST COMMUNICATIONS [CDPHE RCRA; 177 m] | UNIVERSITY OF COLORADO - DENVER [CDPHE RCRA; 177 m] | COLORADO CONVENTION CENTER [CDPHE RCRA; 177 m] | PUBLIC SERVICE CO. [FRS; 196 m] | AT&amp;T DENVER NO 3 [FRS; 215 m] | US WEST COMMUNICATIONS [FRS; 215 m] | ROBER</t>
  </si>
  <si>
    <t xml:space="preserve">DOWNTOWN DENVER MARRIOTT [FRS; 101 m] | EMBASSY SUITES [FRS; 103 m] | VTOL [FRS; 104 m] | BLOCK 162 [FRS; 145 m] | 675 15 ST [FRS; 145 m] | HYATT REGENCY [FRS; 154 m] | TELEPORT COMMUNICATIONSAMERICA - AT&amp;T [FRS; 215 m] | CITY &amp; COUNTY OF DENVER [FRS; 217 m] | CROWNE PLAZA DENVER [FRS; 228 m] | CITY AND COUNTY OF DENVER - DPAC [FRS; 228 m] | EGOS [FRS; 241 m]</t>
  </si>
  <si>
    <t xml:space="preserve">COLORADO CONVENTION CTR</t>
  </si>
  <si>
    <t xml:space="preserve">S00191</t>
  </si>
  <si>
    <t xml:space="preserve">3500 WYNKOOP</t>
  </si>
  <si>
    <t xml:space="preserve">FULTON-DENVER CO. (1965-1970; SIC 3079) | SAWDUST CO INC (1970-1973; SIC 2842)</t>
  </si>
  <si>
    <t xml:space="preserve">FULTON-DENVER CO. (1965) | AMERICAN PLASTIC CONVERTORS (1966) | SAWDUST CO INC (1966) | RIBBONS FULTON-DENVER CO (1988) | FULTON-DENVER CO (1990)</t>
  </si>
  <si>
    <t xml:space="preserve">FULTON DENVER COMPANY [FRS; name match, 73 m]</t>
  </si>
  <si>
    <t xml:space="preserve">RiNo TOD, LLC</t>
  </si>
  <si>
    <t xml:space="preserve">FULTON DENVER COMPANY</t>
  </si>
  <si>
    <t xml:space="preserve">S00192</t>
  </si>
  <si>
    <t xml:space="preserve">2907 HURON</t>
  </si>
  <si>
    <t xml:space="preserve">1965;1967;1968;1970;1974;1977;1980;1983;1990</t>
  </si>
  <si>
    <t xml:space="preserve">GAGNON PLATING + MFG. CC. (1965; SIC 3471) | PLATING + MFG CO (1967; SIC 3999,3471) | PARADE PACKACING MATERIALS CO (1968-1990; SIC 3079)</t>
  </si>
  <si>
    <t xml:space="preserve">GAGNON PLATING + MFG. CC. (1965) | PLATING + MFG CO (1967) | PARADE PACKACING MATERIALS CO (1968)</t>
  </si>
  <si>
    <t xml:space="preserve">Parade Packaging [CDPHE Voluntary_Cleanup_and_Redevelopment_Program_(VCUP)_new; name match, 16 m] | Inca 29 Phase 2 Parcel [CDPHE Voluntary_Cleanup_and_Redevelopment_Program_(VCUP)_new; 16 m]</t>
  </si>
  <si>
    <t xml:space="preserve">PARADE PACKAGING MATERIALS CO [FRS; name match, 84 m]</t>
  </si>
  <si>
    <t xml:space="preserve">Inca 29 Phase 2 Parcel</t>
  </si>
  <si>
    <t xml:space="preserve">PROSPECT PARK PROPERTIES</t>
  </si>
  <si>
    <t xml:space="preserve">S00193</t>
  </si>
  <si>
    <t xml:space="preserve">1322 BLAKE</t>
  </si>
  <si>
    <t xml:space="preserve">Industrial machinery; Primary metals; Rubber &amp; plastics</t>
  </si>
  <si>
    <t xml:space="preserve">1965;1966;1967;1968;1970;1973;1974</t>
  </si>
  <si>
    <t xml:space="preserve">GAIR + BINCERUP MACHINE SHOP CO. (1965-1974; SIC 3591) | WESTERN BRONZE BRASS FOUNDRY (1965-1974; SIC 3369) | MIUNE MFG CO (1970; SIC 3955,3079) | BRONZE + BRASS FOUNDRY SPEER BLVD AT (1970; SIC 3369) | Be eet pa ciean ames (1973; SIC 3565) | MARUGGe FRANK Py PATTERN WORKS (1974; SIC 3565)</t>
  </si>
  <si>
    <t xml:space="preserve">GAIR + BINCERUP MACHINE SHOP CO. (1965) | WESTERN BRONZE BRASS FOUNDRY (1965) | EMPIRE CASKET CO (1966) | MARUGG, FRANK P (1966) | MILNE MFG CO (1967) | CUSTOM TAPE + LABEL CO (1968) | MIUNE MFG CO (1970) | BRONZE + BRASS FOUNDRY SPEER BLVD AT (1970) | Be eet pa ciean ames (1973) | MARUGGe FRANK Py PATTERN WORKS (1974)</t>
  </si>
  <si>
    <t xml:space="preserve">DENVER POTASSIUM CYANIDE [FRS; 78 m]</t>
  </si>
  <si>
    <t xml:space="preserve">DENVER MACHINE SHOP [FRS; name match, 161 m]</t>
  </si>
  <si>
    <t xml:space="preserve">UCD WELLNESS CENTER [FRS; 29 m]</t>
  </si>
  <si>
    <t xml:space="preserve">S00194</t>
  </si>
  <si>
    <t xml:space="preserve">2017 W 38TH AVE</t>
  </si>
  <si>
    <t xml:space="preserve">1965;1966;1968;1970;1974;1977</t>
  </si>
  <si>
    <t xml:space="preserve">GALLO BROTHERS HEATING + TIN SHOP (1965-1977; SIC 3444) | GALLO BROTHERS HEATING + TIN SHUP (1966; SIC 3441)</t>
  </si>
  <si>
    <t xml:space="preserve">GALLO BROTHERS HEATING + TIN SHOP (1965) | GALLO BROTHERS HEATING + TIN SHUP (1966)</t>
  </si>
  <si>
    <t xml:space="preserve">Ace Cash Express [CDPHE Voluntary_Cleanup_and_Redevelopment_Program_(VCUP)_new; 36 m]</t>
  </si>
  <si>
    <t xml:space="preserve">Ace Cash Express</t>
  </si>
  <si>
    <t xml:space="preserve">LEPRINO</t>
  </si>
  <si>
    <t xml:space="preserve">S00196</t>
  </si>
  <si>
    <t xml:space="preserve">158 FILMORE</t>
  </si>
  <si>
    <t xml:space="preserve">GAYLORD CONTAINER OIV. CROWN ZELLERB (1965; SIC 2853)</t>
  </si>
  <si>
    <t xml:space="preserve">GAYLORD CONTAINER OIV. CROWN ZELLERB (1965)</t>
  </si>
  <si>
    <t xml:space="preserve">1st Bank [CDPHE Voluntary_Cleanup_and_Redevelopment_Program_(VCUP)_new; 224 m] | Ist Bank II [CDPHE Voluntary_Cleanup_and_Redevelopment_Program_(VCUP)_new; 224 m]</t>
  </si>
  <si>
    <t xml:space="preserve">AMAZON.COM SERVICES LLC JDE2 [FRS; 123 m] | AMAZON.COM SERVICES LLC JDE2 [CDPHE RCRA; 142 m] | GOFORWARD INC DBA FORWARD [CDPHE RCRA; 210 m] | GOFORWARD INC DBA FORWARD [FRS; 214 m] | NORDSTROM INC 037 [FRS; 225 m] | SAFEWAY STORE #100 [FRS; 228 m] | RITE AID #6162/RITE AID CORP [FRS; 228 m]</t>
  </si>
  <si>
    <t xml:space="preserve">201 FILLMORE [FRS; 81 m] | EXOFFICIO [FRS; 82 m] | SWB 201 FILLMORE [FRS; 93 m] | CHERRY CREEK SHOPPING CENTER N ANCHOR PAD RE-DEVELOPMENT [FRS; 107 m] | PRIMA EXPLORATION, INC. [FRS; 152 m] | CIVICA CHERRY CREEK OFFICE BLDG [FRS; 152 m] | SFUZZI VII DENVER INC [FRS; 155 m] | CHERRY CREEK SHOPPING CENTER [FRS; 155 m] | AMCAP CLAYTON LLC [FRS; 178 m] | 299 MILWAUKEE [FRS; 179 m] | FOURSTAR REALTY A</t>
  </si>
  <si>
    <t xml:space="preserve">1st Bank</t>
  </si>
  <si>
    <t xml:space="preserve">AMAZON.COM SERVICES LLC JDE2</t>
  </si>
  <si>
    <t xml:space="preserve">S00222</t>
  </si>
  <si>
    <t xml:space="preserve">4601 MONACO BLVD</t>
  </si>
  <si>
    <t xml:space="preserve">THARCO CONTAINERS (1967; SIC 2653,3079)</t>
  </si>
  <si>
    <t xml:space="preserve">FUERNER BOXES, INC. (1965) | THARCO CONTAINERS (1967) | DENVER REEL + PALLET CC (1974) | DIPLOMA MILL THE (1983) | D.B.A.-UNITED STATES FOIL PRINTING (1988) | ROCKY MTN EMBOSSING (1990)</t>
  </si>
  <si>
    <t xml:space="preserve">ACME MANUFACTURING COMPANY INC [FRS; 78 m]</t>
  </si>
  <si>
    <t xml:space="preserve">VEOLIA ES TECHNICAL SOLUTIONS - DENVER ROCK ISLAND [FRS; 47 m]</t>
  </si>
  <si>
    <t xml:space="preserve">DENVER REEL &amp; PALLET CO [FRS; name match, 8 m] | ROCKY MOUNTAIN EMBOSSING [FRS; name match, 55 m] | DENVER ROCK ISLAND [FRS; 33 m] | ROCKY MOUNTAIN TRANSLOAD - DRI [FRS; 47 m] | ROCKY MTN TRANSLOAD - DENVER ROCK ISLAND [FRS; 47 m]</t>
  </si>
  <si>
    <t xml:space="preserve">ACME MANUFACTURING COMPANY INC</t>
  </si>
  <si>
    <t xml:space="preserve">VEOLIA ES TECHNICAL SOLUTIONS - DENVER ROCK ISLAND</t>
  </si>
  <si>
    <t xml:space="preserve">S00233</t>
  </si>
  <si>
    <t xml:space="preserve">1615 WE 12TH</t>
  </si>
  <si>
    <t xml:space="preserve">8 + C METALS PRODUCTS (1974-1990; SIC 3551)</t>
  </si>
  <si>
    <t xml:space="preserve">INSTANWHIP-DENVER (1965) | *j) J M MFG CO 6825-1591 (1966) | J JM MFG CO (1968) | 8 + C METALS PRODUCTS (1974)</t>
  </si>
  <si>
    <t xml:space="preserve">S00239</t>
  </si>
  <si>
    <t xml:space="preserve">2851 LARIMER</t>
  </si>
  <si>
    <t xml:space="preserve">1965;1966;1967;1968</t>
  </si>
  <si>
    <t xml:space="preserve">KINZBACH MACHINE SHOP (1965-1966; SIC 3591) | "COX, TOLBERT G, SHEET METAL (1966-1968; SIC 3441)</t>
  </si>
  <si>
    <t xml:space="preserve">KINZBACH MACHINE SHOP (1965) | "COX, TOLBERT G, SHEET METAL (1966) | EASTWOOD PRINTING CO 1250 BROADWAY (1970) | EASTWOOD PRINTING CO (1973) | A A SIGNS INC (1977) | SCOTTS INSTANT PRINTING CO (1980) | TYPE~TRONICS, INC. (1980) | TYPE-TRONICS INC (1988)</t>
  </si>
  <si>
    <t xml:space="preserve">Total Longterm Care [CDPHE Voluntary_Cleanup_and_Redevelopment_Program_(VCUP)_new; 55 m]</t>
  </si>
  <si>
    <t xml:space="preserve">EASTWOOD PRINTING &amp; PUBLISHING CO [FRS; name match, 245 m] | ACME SANITARY SUPPLY COMPANY [FRS; 18 m] | ESCOSIA STEELE SERVICES INC [FRS; 18 m]</t>
  </si>
  <si>
    <t xml:space="preserve">Total Longterm Care</t>
  </si>
  <si>
    <t xml:space="preserve">AAA PLATING INC</t>
  </si>
  <si>
    <t xml:space="preserve">ACME SANITARY SUPPLY COMPANY</t>
  </si>
  <si>
    <t xml:space="preserve">S00241</t>
  </si>
  <si>
    <t xml:space="preserve">2250 S TEJON</t>
  </si>
  <si>
    <t xml:space="preserve">KLOPPENBERG + CO. (1965; SIC 3441)</t>
  </si>
  <si>
    <t xml:space="preserve">KLOPPENBERG + CO. (1965) | MATTOCKS PRINTING CO. (1965)</t>
  </si>
  <si>
    <t xml:space="preserve">X Marks The Spot [CDPHE Voluntary_Cleanup_and_Redevelopment_Program_(VCUP)_new; 155 m]</t>
  </si>
  <si>
    <t xml:space="preserve">STERLING STAINLESS TUBE [TRI; 249 m]</t>
  </si>
  <si>
    <t xml:space="preserve">CLASSIC COLLISION - HIGHLAND SOUTH 1928 [FRS; 93 m] | SHELL OIL PRODUCTS US - SAP-120121 [CDPHE RCRA; 111 m] | KWIK KOPY PRINTING #759 [CDPHE RCRA; 111 m] | CLASSIC COLLISION  - 1979 - WEST EVANS AVE [FRS; 171 m] | KWIK KOPY PRINTING #759 [FRS; 176 m] | BANNER SERVICE [FRS; 227 m] | CIRCLE K STORE # 2709898 [FRS; 238 m]</t>
  </si>
  <si>
    <t xml:space="preserve">CIRCLE K STORES - CORNER STORE #691 [FRS; 38 m] | SCOTTS ABRA AUTO BODY AND GLASS [FRS; 93 m] | CHRISTIAN FELLOWSHIP [FRS; 93 m] | TEJON AND ASBURY PARK [FRS; 153 m] | PARK &amp; SUN INC. [FRS; 157 m] | GROVE CUSTOM KITCHENS [FRS; 157 m] | COLORADO MARBLE &amp; GRANITE ENGLEWOOD [FRS; 164 m]</t>
  </si>
  <si>
    <t xml:space="preserve">CLASSIC COLLISION - HIGHLAND SOUTH 1928</t>
  </si>
  <si>
    <t xml:space="preserve">S00251</t>
  </si>
  <si>
    <t xml:space="preserve">1415 LARIMER</t>
  </si>
  <si>
    <t xml:space="preserve">1965;1974</t>
  </si>
  <si>
    <t xml:space="preserve">LITTLE JOE MFG. co. (1965; SIC 3549) | GUSTERMANN SILVERSMITHS (1974; SIC 3961,3911,3544)</t>
  </si>
  <si>
    <t xml:space="preserve">LITTLE JOE MFG. co. (1965) | MUELLER, FRED, SADCLES + RANCHWEAR (1965) | COFFMAN, H Jy MFG CO (1966) | GUSTERMANN SILVERSMITHS (1973) | AURARIA PRINTING ¢ STATIONERY (1977) | LETTERPRESS THE SHIRT STORY LTD (1988) | THE TYPEHOUSE (1990)</t>
  </si>
  <si>
    <t xml:space="preserve">CU Denver; Dravo Bldg [CDPHE Voluntary_Cleanup_and_Redevelopment_Program_(VCUP)_new; 69 m]</t>
  </si>
  <si>
    <t xml:space="preserve">CREST DISTRIBUTION [FRS; 64 m]</t>
  </si>
  <si>
    <t xml:space="preserve">CREST DISTRIBUTION</t>
  </si>
  <si>
    <t xml:space="preserve">S00256</t>
  </si>
  <si>
    <t xml:space="preserve">1345 10TH</t>
  </si>
  <si>
    <t xml:space="preserve">1965;1966</t>
  </si>
  <si>
    <t xml:space="preserve">MARPLE*S WELDING + MACHINE SHOP (1965-1966; SIC 3591)</t>
  </si>
  <si>
    <t xml:space="preserve">MARPLE*S WELDING + MACHINE SHOP (1965) | CENTRAL DISPLAYS INC (1966) | PRINTING, LITHCGRAPHIC (1968) | TIVOLI BREWING CO (1968)</t>
  </si>
  <si>
    <t xml:space="preserve">WATER STREET CATALYTIC SITE [FRS; 72 m]</t>
  </si>
  <si>
    <t xml:space="preserve">S00258</t>
  </si>
  <si>
    <t xml:space="preserve">2075 BRYANT</t>
  </si>
  <si>
    <t xml:space="preserve">hci se ica eee (1973; SIC 3272,2899)</t>
  </si>
  <si>
    <t xml:space="preserve">MARTINA, Je Bay MOSAIC CO. (1965) | MARTINA, J By MCSAIC CO 3369 NCNFERROUS (1968) | hci se ica eee (1973)</t>
  </si>
  <si>
    <t xml:space="preserve">Red Lodge Development, LLC [CDPHE Voluntary_Cleanup_and_Redevelopment_Program_(VCUP)_new; 32 m]</t>
  </si>
  <si>
    <t xml:space="preserve">HENSLEY BATTERY &amp; ELECTRIC [FRS; 33 m]</t>
  </si>
  <si>
    <t xml:space="preserve">Red Lodge Development, LLC</t>
  </si>
  <si>
    <t xml:space="preserve">HENSLEY BATTERY &amp; ELECTRIC</t>
  </si>
  <si>
    <t xml:space="preserve">S00262</t>
  </si>
  <si>
    <t xml:space="preserve">3860 GALAPAGO</t>
  </si>
  <si>
    <t xml:space="preserve">MCBRICE IRON WORKS (1965; SIC 3441)</t>
  </si>
  <si>
    <t xml:space="preserve">MCBRICE IRON WORKS (1965)</t>
  </si>
  <si>
    <t xml:space="preserve">POWER RENTAL EQUIPMENT [FRS; 27 m]</t>
  </si>
  <si>
    <t xml:space="preserve">BRANNAN SAND &amp; GRAVEL [FRS; 2 m] | BRODERICK WOOD PROD SUPERFUND [FRS; 36 m]</t>
  </si>
  <si>
    <t xml:space="preserve">38th and Huron Development II</t>
  </si>
  <si>
    <t xml:space="preserve">POWER RENTAL EQUIPMENT</t>
  </si>
  <si>
    <t xml:space="preserve">S00270</t>
  </si>
  <si>
    <t xml:space="preserve">4751 FOX</t>
  </si>
  <si>
    <t xml:space="preserve">1965;1966;1967;1968;1974;1980;1983;1990;1992</t>
  </si>
  <si>
    <t xml:space="preserve">METAL CRAFT WELDING + FABRICATING CO (1965; SIC 3441) | METALCRAFT WELOING + FABRICATING CO (1966-1983; SIC 3441) | METALCRAFT hELCING + FABRICATING CO (1968; SIC 3591,3443) | METALCRAFT CUSTOM FABRICATING CO (1990-1992; SIC 3443,3498,3599)</t>
  </si>
  <si>
    <t xml:space="preserve">METAL CRAFT WELDING + FABRICATING CO (1965) | METALCRAFT WELOING + FABRICATING CO (1966) | METALCRAFT hELCING + FABRICATING CO (1968) | LABEL ART — DENVER (1974) | METALCRAFT CUSTOM FABRICATING CO (1990)</t>
  </si>
  <si>
    <t xml:space="preserve">CLEAN  HARBORS ENVIRONMENTAL SERVICES IN [FRS; 2 m] | COLORADO FRAME &amp; SUSPENSION INC [FRS; 58 m]</t>
  </si>
  <si>
    <t xml:space="preserve">GREEN SOL CHEMICAL CORPORATE OFFICE [FRS; 2 m] | GREEN SOLUTION CHEMICAL [FRS; 2 m] | ELECTRONIC RECYCLERS DENVER [FRS; 27 m] | WESTECH MECHANICAL [FRS; 58 m]</t>
  </si>
  <si>
    <t xml:space="preserve">CLEAN  HARBORS ENVIRONMENTAL SERVICES IN</t>
  </si>
  <si>
    <t xml:space="preserve">S00272</t>
  </si>
  <si>
    <t xml:space="preserve">1400 W EVANS</t>
  </si>
  <si>
    <t xml:space="preserve">1965;1977;1980;1983</t>
  </si>
  <si>
    <t xml:space="preserve">FCRSE BROTHERS MACHINERY CO. (1965; SIC 3559) | ASPENGLAS (1977-1983; SIC 3079)</t>
  </si>
  <si>
    <t xml:space="preserve">FCRSE BROTHERS MACHINERY CO. (1965) | ASPENGLAS (1977)</t>
  </si>
  <si>
    <t xml:space="preserve">PROTEX INDUSTRIES INCORPORATED [FRS; 60 m]</t>
  </si>
  <si>
    <t xml:space="preserve">DEL NORTE BREWING CO [FRS; 23 m]</t>
  </si>
  <si>
    <t xml:space="preserve">SHERWIN-WILLIAMS #4386</t>
  </si>
  <si>
    <t xml:space="preserve">S00277</t>
  </si>
  <si>
    <t xml:space="preserve">2166 15TH</t>
  </si>
  <si>
    <t xml:space="preserve">MOUNTAIN STATES MATTRESS MFG. CO. (1965; SIC 2815)</t>
  </si>
  <si>
    <t xml:space="preserve">MOUNTAIN STATES MATTRESS MFG. CO. (1965)</t>
  </si>
  <si>
    <t xml:space="preserve">Central Platte Valley: Archstone Communities [CDPHE Voluntary_Cleanup_and_Redevelopment_Program_(VCUP)_new; 34 m]</t>
  </si>
  <si>
    <t xml:space="preserve">Central Platte Valley: Archstone Communities</t>
  </si>
  <si>
    <t xml:space="preserve">CARPET BROKERS INTERNATIONAL</t>
  </si>
  <si>
    <t xml:space="preserve">S00281</t>
  </si>
  <si>
    <t xml:space="preserve">1450 5TH</t>
  </si>
  <si>
    <t xml:space="preserve">1965;1967;1974;1983;1990</t>
  </si>
  <si>
    <t xml:space="preserve">NIL.CYLINDER GAS,DIV.OF CHEMETRON CO (1965; SIC 2813) | CYLINOER GAS DIV (1967; SIC 2813) | CHEMETRON CORP, NATIONAL CYLINDER CAS OIV (1974; SIC 2813) | LIQUID AIR INC» INDUSTRIAL GASES DIV (1983; SIC 2813) | LIQUID AIR CORP, BULK GASES (1990; SIC 2813)</t>
  </si>
  <si>
    <t xml:space="preserve">NIL.CYLINDER GAS,DIV.OF CHEMETRON CO (1965) | CYLINOER GAS DIV (1967) | CHEMETRON CORP, NATIONAL CYLINDER CAS OIV (1974) | ee W Ay CO INC (1977) | PS C PRINTING (1977) | LIQUID AIR INC» INDUSTRIAL GASES DIV (1983) | LIQUID AIR CORP, BULK GASES (1990)</t>
  </si>
  <si>
    <t xml:space="preserve">5th Street Parking Garage [CDPHE Voluntary_Cleanup_and_Redevelopment_Program_(VCUP)_new; 6 m] | 5th Street Parking Garage II [CDPHE Voluntary_Cleanup_and_Redevelopment_Program_(VCUP)_new; 6 m]</t>
  </si>
  <si>
    <t xml:space="preserve">RTD CPV SPUR CONSTRUCTION [FRS; 30 m]</t>
  </si>
  <si>
    <t xml:space="preserve">LIQUID AIR INC IND GASES DIV [FRS; name match, 30 m]</t>
  </si>
  <si>
    <t xml:space="preserve">5th Street Parking Garage</t>
  </si>
  <si>
    <t xml:space="preserve">ATLAS METAL &amp; IRON CORP</t>
  </si>
  <si>
    <t xml:space="preserve">RTD CPV SPUR CONSTRUCTION</t>
  </si>
  <si>
    <t xml:space="preserve">S00286</t>
  </si>
  <si>
    <t xml:space="preserve">2306 CHAMPA</t>
  </si>
  <si>
    <t xml:space="preserve">1965;1977</t>
  </si>
  <si>
    <t xml:space="preserve">NORCEN LABCRATORIES (1965; SIC 2821) | LEYBA'S RUBBER STAMP + SEAL CO 2099 FOOD PREPARATIINSs NEC (1977; SIC 3069)</t>
  </si>
  <si>
    <t xml:space="preserve">NORCEN LABCRATORIES (1965) | LEYBA'S RUBBER STAMP + SEAL CO (1974) | LEYBA'S RUBBER STAMP + SEAL CO 2099 FOOD PREPARATIINSs NEC (1977)</t>
  </si>
  <si>
    <t xml:space="preserve">COLMINN-X INC</t>
  </si>
  <si>
    <t xml:space="preserve">S00287</t>
  </si>
  <si>
    <t xml:space="preserve">999 TEJON</t>
  </si>
  <si>
    <t xml:space="preserve">1965;1973;1974;1977;1980;1983</t>
  </si>
  <si>
    <t xml:space="preserve">NORTH COAST MFG. CCRP. (1965; SIC 3423) | WESTERN SIGN MFG INC (1973-1974; SIC 3469,3993,3493) | DORSEY-MC SOMB INC (1977; SIC 3551) | THERMO TECH INCORPORATED (1977-1980; SIC 3599,3769) | DORSEY-NC COMB INC (1980-1983; SIC 3551)</t>
  </si>
  <si>
    <t xml:space="preserve">NORTH COAST MFG. CCRP. (1965) | WESTERN STATES MFG CO INC (1966) | WESTERN SIGN MFG INC (1973) | DORSEY-MC SOMB INC (1977) | THERMO TECH INCORPORATED (1977) | DORSEY-NC COMB INC (1980)</t>
  </si>
  <si>
    <t xml:space="preserve">G &amp; K SERVICES, INC. - OLD VALLEJO SITE</t>
  </si>
  <si>
    <t xml:space="preserve">S00298</t>
  </si>
  <si>
    <t xml:space="preserve">707 E 50TH</t>
  </si>
  <si>
    <t xml:space="preserve">PLAT PACKING CO. (1965; SIC 2811)</t>
  </si>
  <si>
    <t xml:space="preserve">PLAT PACKING CO. (1965) | GENIE BEEF INC (1990)</t>
  </si>
  <si>
    <t xml:space="preserve">GO DAN IND [FRS; 63 m]</t>
  </si>
  <si>
    <t xml:space="preserve">5100 Clarkson LLC</t>
  </si>
  <si>
    <t xml:space="preserve">DENVER SCRAP METAL RECYCLING</t>
  </si>
  <si>
    <t xml:space="preserve">S00299</t>
  </si>
  <si>
    <t xml:space="preserve">1642 PLATTE ST</t>
  </si>
  <si>
    <t xml:space="preserve">1965;1966;1967;1968;1970;1973;1980;1983;1990</t>
  </si>
  <si>
    <t xml:space="preserve">PLATTE ANCHOR BOLT COMPANY (1965-1990; SIC 3452) | SECURITY HEATING CO. (1965; SIC 3444) | PLATTE ANCHCR BOLT CCHPANY (1967; SIC 3452) | TINIT MFG CC INC (1967-1968; SIC 2899) | PLATTE ANCHCR BOLT COMPAKY (1968; SIC 3452) | TINIT MFG CO INC (1970; SIC 2899)</t>
  </si>
  <si>
    <t xml:space="preserve">PLATTE ANCHOR BOLT COMPANY (1965) | SECURITY HEATING CO. (1965) | PLATTE ANCHCR BOLT CCHPANY (1967) | TINIT MFG CC INC (1967) | Law + SONS CASKET CC (1968) | PLATTE ANCHCR BOLT COMPAKY (1968) | TINIT MFG CO INC (1970) |  (1977)</t>
  </si>
  <si>
    <t xml:space="preserve">Anchor Bolt Facility [CDPHE Voluntary_Cleanup_and_Redevelopment_Program_(VCUP)_new; 28 m] | Anchor Bolt Facility [CDPHE Voluntary_Cleanup_and_Redevelopment_Program_(VCUP)_new; 30 m] | PLATTE STREET BROWNFIELDS PROJECT [FRS; 87 m]</t>
  </si>
  <si>
    <t xml:space="preserve">PLATTE ANCHOR BOLT CO [CDPHE RCRA; name match, 24 m] | PLATTE ANCHOR BOLT CO [FRS; name match, 30 m] | PAUL JEIINEK [FRS; 7 m] | REI [CDPHE RCRA; 24 m] | PAUL JEIINEK [FRS] (address match)</t>
  </si>
  <si>
    <t xml:space="preserve">UPI PLATTE [FRS; 2 m] | GALVANIZE 2.0 [FRS; 30 m]</t>
  </si>
  <si>
    <t xml:space="preserve">S00303</t>
  </si>
  <si>
    <t xml:space="preserve">4400 YORK</t>
  </si>
  <si>
    <t xml:space="preserve">1965;1973;1974;1977;1988</t>
  </si>
  <si>
    <t xml:space="preserve">PRECISION ENGINEERING CC. OF COLO. (1965; SIC 3591) | PRECISION ENGINEERING CO (1973-1974; SIC 3471) | ACME PRECISION INOUSTRIES (1977; SIC 3532,3841,3599) | ASHER EAE ISION (1988; SIC 3441)</t>
  </si>
  <si>
    <t xml:space="preserve">PRECISION ENGINEERING CC. OF COLO. (1965) | PRECISION ENGINEERING CO (1973) | ACME PRECISION INOUSTRIES (1977) | ASHER EAE ISION (1988)</t>
  </si>
  <si>
    <t xml:space="preserve">ACME PRECISION INDUSTRIES [FRS; name match, 31 m]</t>
  </si>
  <si>
    <t xml:space="preserve">EXDO Management</t>
  </si>
  <si>
    <t xml:space="preserve">S00304</t>
  </si>
  <si>
    <t xml:space="preserve">2669 LARIMER</t>
  </si>
  <si>
    <t xml:space="preserve">PRECISION FOUNURIES INC (1966-1970; SIC 3369) | DENVER METAL FINISHING CO (1968; SIC 3471)</t>
  </si>
  <si>
    <t xml:space="preserve">PRECISION FOUNDRIES, INC. (1965) | DENVER METAL FINISHING CO (1968) | EASTWCOO PRINTING CC (1968)</t>
  </si>
  <si>
    <t xml:space="preserve">Denver Center Theatre [CDPHE Voluntary_Cleanup_and_Redevelopment_Program_(VCUP)_new; 86 m]</t>
  </si>
  <si>
    <t xml:space="preserve">VOLUNTEERS OF AMERICA NSD DIV [FRS; 6 m]</t>
  </si>
  <si>
    <t xml:space="preserve">F &amp; B AUTO BODY [FRS; 23 m]</t>
  </si>
  <si>
    <t xml:space="preserve">Denver Center Theatre</t>
  </si>
  <si>
    <t xml:space="preserve">VOLUNTEERS OF AMERICA NSD DIV</t>
  </si>
  <si>
    <t xml:space="preserve">S00305</t>
  </si>
  <si>
    <t xml:space="preserve">2230 S DELAWARE ST</t>
  </si>
  <si>
    <t xml:space="preserve">Chemicals; Fabricated metals; Industrial machinery; Primary metals; Rubber &amp; plastics; Transportation equipment</t>
  </si>
  <si>
    <t xml:space="preserve">1965;1966;1967;1968;1970;1973;1974;1977;1980;1983;1988;1990;1992</t>
  </si>
  <si>
    <t xml:space="preserve">LAURIENTI, WALLACE R. (1965; SIC 3544) | POWER ENGINEERING CO. (1965-1974; SIC 3471) | LAURIENTI MFG CO (1966-1992; SIC 3423) | PROTECTO WRAP CO (1967-1990; SIC 2899) | MOR-ARE TRUNNION SERVICE INC (1980; SIC 3568,3532,3531) | STICKERS LAURIENI MFG CO INC (1988; SIC 3083,3497,3544) | PROTECTO WRAP CO (1988; SIC 2295,2851) | ROBINSON MFG CO (1988-1990; SIC 3443,3599) | AUTOMOTIVE PARTS EXCHANGE (1990; SIC 3714)</t>
  </si>
  <si>
    <t xml:space="preserve">LAURIENTI, WALLACE R. (1965) | POWER ENGINEERING CO. (1965) | PROTECTO WRAP CO. (1965) | LAURIENTI MFG CO (1966) | MOR-ARE TRUNNION SERVICE INC (1980) | STICKERS LAURIENI MFG CO INC (1988) | PROTECTO WRAP CO (1988) | ROBINSON MFG CO (1988) | AUTOMOTIVE PARTS EXCHANGE (1990)</t>
  </si>
  <si>
    <t xml:space="preserve">Former Power Engineering [CDPHE Voluntary_Cleanup_and_Redevelopment_Program_(VCUP)_new; name match, 29 m]</t>
  </si>
  <si>
    <t xml:space="preserve">PROTECTO WRAP CO [FRS; name match, 51 m] | PROTECTO WRAP CO [TRI; name match, 166 m]</t>
  </si>
  <si>
    <t xml:space="preserve">POWER ENGINEERING COMPANY 2220 [FRS; name match, 47 m]</t>
  </si>
  <si>
    <t xml:space="preserve">S00308</t>
  </si>
  <si>
    <t xml:space="preserve">4210 TENNYSON</t>
  </si>
  <si>
    <t xml:space="preserve">CUIST FURNITURE CO. (1965; SIC 2812)</t>
  </si>
  <si>
    <t xml:space="preserve">CUIST FURNITURE CO. (1965) | QUIST FURNITURE CO (1966) | WRIGHT*S INC (1968) | MACE MANUFACTURING (1973) | WESTERN NECKWEAR MFG. CO. INC. (1980) | PROGRESSIVE PRODUCTS ENC (1980)</t>
  </si>
  <si>
    <t xml:space="preserve">4144 Tennyson [CDPHE Voluntary_Cleanup_and_Redevelopment_Program_(VCUP)_new; 89 m]</t>
  </si>
  <si>
    <t xml:space="preserve">ROCKY MOUNTAIN DRIVELINE [FRS; 16 m] | ROCKY MOUNTAIN DRIVELINE [FRS] (address match)</t>
  </si>
  <si>
    <t xml:space="preserve">39 AND TENNYSON APARTMENTS [FRS; 25 m]</t>
  </si>
  <si>
    <t xml:space="preserve">4144 Tennyson</t>
  </si>
  <si>
    <t xml:space="preserve">ROCKY MOUNTAIN DRIVELINE</t>
  </si>
  <si>
    <t xml:space="preserve">S00325</t>
  </si>
  <si>
    <t xml:space="preserve">291 S LIPAN</t>
  </si>
  <si>
    <t xml:space="preserve">SCHMICT BROS.«, METAL FABRICATION (1965; SIC 3441)</t>
  </si>
  <si>
    <t xml:space="preserve">SCHMICT BROS.«, METAL FABRICATION (1965)</t>
  </si>
  <si>
    <t xml:space="preserve">ALAMEDA CATALYTIC SITE [FRS; 77 m] | Domenico Property [CDPHE Voluntary_Cleanup_and_Redevelopment_Program_(VCUP)_new; 160 m]</t>
  </si>
  <si>
    <t xml:space="preserve">BEST CAR BUYS [FRS; 5 m] | HATCH GRINDING [FRS; 39 m] | CAPITOL COLOR IMAGING INC [CDPHE RCRA; 58 m] | DIESELS ONLY [CDPHE RCRA; 58 m] | CONOCOPHILLIPS # 27490 [CDPHE RCRA; 58 m] | DUFFY CRANE &amp; HAULING, INC [FRS; 187 m] | PLOCHER PAINTING &amp; DECORATING INC [FRS; 200 m]</t>
  </si>
  <si>
    <t xml:space="preserve">DENVER COLORADO 7 ELEVEN [FRS; 5 m] | 7-ELEVEN - STORE #38180 [FRS; 5 m] | SOUTH PLATTE RIVER DRIVE IMPROVEMENTS, VIRGINIA AVE TO BAYAUD AVE [FRS; 76 m] | LIPAN POND IMPROVEMENTS [FRS; 111 m] | SIERRA'S OF COLORADO [FRS; 111 m] | I-25 AND ALAMEDA AVE PROJECT [FRS; 112 m] | A-B PETROLEUM #19 [FRS; 126 m] | AB PETROLEUM INC NO 19 [FRS; 126 m] | 21556-ALAMEDA BRIDGE OVER S PLATTE RVR [FRS; 132 m] | A</t>
  </si>
  <si>
    <t xml:space="preserve">ALAMEDA CATALYTIC SITE</t>
  </si>
  <si>
    <t xml:space="preserve">BEST CAR BUYS</t>
  </si>
  <si>
    <t xml:space="preserve">S00327</t>
  </si>
  <si>
    <t xml:space="preserve">2985 INCA</t>
  </si>
  <si>
    <t xml:space="preserve">1965;1966;1968;1970;1973;1983</t>
  </si>
  <si>
    <t xml:space="preserve">SCREW MACHINE PRODUCTS CO. (1965; SIC 3451) | SCREW MACHINE PRODUCTS CO (1966-1983; SIC 3423)</t>
  </si>
  <si>
    <t xml:space="preserve">SCREW MACHINE PRODUCTS CO. (1965) | SCREW MACHINE PRODUCTS CO (1966)</t>
  </si>
  <si>
    <t xml:space="preserve">Prospect Place Parcel [CDPHE Voluntary_Cleanup_and_Redevelopment_Program_(VCUP)_new; 57 m] | WARE DEL [FRS] (address match)</t>
  </si>
  <si>
    <t xml:space="preserve">BENEDICT LOFTS [FRS; 39 m]</t>
  </si>
  <si>
    <t xml:space="preserve">Prospect Place Parcel</t>
  </si>
  <si>
    <t xml:space="preserve">GARDNER TOOLS INC</t>
  </si>
  <si>
    <t xml:space="preserve">S00328</t>
  </si>
  <si>
    <t xml:space="preserve">4990 ACOMA</t>
  </si>
  <si>
    <t xml:space="preserve">1968;1980;1990</t>
  </si>
  <si>
    <t xml:space="preserve">SECHRIST, ALEERT, MFG CO (1968; SIC 3642,3564,2841) | @ POM ST. REGIS OLVISION (1980; SIC 3569,3535,3537) | PACKAGING SYSTEMS INTERNATIONAL INC (1990; SIC 3535,3537,3569)</t>
  </si>
  <si>
    <t xml:space="preserve">SECHRISTs ALBERT, MFG. CO. (1965) | KEENE CORP - SECHRIST LIGHTING DIV (1973) | FABRICS 1 (1977) | @ POM ST. REGIS OLVISION (1980) | PACKAGING SYSTEMS INTERNATIONAL INC (1988)</t>
  </si>
  <si>
    <t xml:space="preserve">PACKAGING SYSTEMS INTERNATIONAL [FRS; name match, 83 m]</t>
  </si>
  <si>
    <t xml:space="preserve">LARADON URBAN FARM</t>
  </si>
  <si>
    <t xml:space="preserve">ELECTRIC EQUIPMENT &amp; ENGINEERING</t>
  </si>
  <si>
    <t xml:space="preserve">S00330</t>
  </si>
  <si>
    <t xml:space="preserve">1115 7TH</t>
  </si>
  <si>
    <t xml:space="preserve">SERVICE SUPPLY CO. (1965-1973; SIC 2842)</t>
  </si>
  <si>
    <t xml:space="preserve">SERVICE SUPPLY CO. (1965) | OIL PROCUCERS CHEMICAL CORP (1967) | BRANO-IT CO (1968) | BRANC-IT CECAL CO (1974)</t>
  </si>
  <si>
    <t xml:space="preserve">Community College of Denver [CDPHE Voluntary_Cleanup_and_Redevelopment_Program_(VCUP)_new; 20 m]</t>
  </si>
  <si>
    <t xml:space="preserve">DENVER &amp; RIO GRANDE WESTERN RAILROAD</t>
  </si>
  <si>
    <t xml:space="preserve">S00332</t>
  </si>
  <si>
    <t xml:space="preserve">855 BROADWAY</t>
  </si>
  <si>
    <t xml:space="preserve">1965;1966;1967;1968;1970;1973;1974;1983</t>
  </si>
  <si>
    <t xml:space="preserve">SHATTUCK, S. We, CHEMICAL CO. (1965; SIC 2899) | ADAM'S RETOUCHING MACHINE CO (1966-1983; SIC 3861)</t>
  </si>
  <si>
    <t xml:space="preserve">SHATTUCK, S. We, CHEMICAL CO. (1965) | SPALTER BECCING + UPHOLSTERY CO. (1965) | ADAM'S RETOUCHING MACHINE CO (1966) | SPALTER BEDDING + LPHCLSTERY CC INC (1968) | ADAMS RETOJCHING MACHINE CO 3599 MACHINERY. EXCEPT ELECTRICAL, NEC GARY F BORS SALES MG? (1977) | COLORADO FIBER CENTER INC (1980) | STOP + GO PRINTING INC (1983) | SIGNAL GRAPHICS PRINTING (1990)</t>
  </si>
  <si>
    <t xml:space="preserve">BBVA Compass Bank [CDPHE Voluntary_Cleanup_and_Redevelopment_Program_(VCUP)_new; 68 m]</t>
  </si>
  <si>
    <t xml:space="preserve">KUMPF MOTOR CAR CO [FRS; 27 m]</t>
  </si>
  <si>
    <t xml:space="preserve">SIGNAL GRAPHICS PRINTING [FRS; name match, 3 m] | 8 AVE AND BROADWAY [FRS; 19 m] | AMLI 8TH AND BROADWAY [FRS; 30 m]</t>
  </si>
  <si>
    <t xml:space="preserve">KUMPF MOTOR CAR CO</t>
  </si>
  <si>
    <t xml:space="preserve">S00333</t>
  </si>
  <si>
    <t xml:space="preserve">1535 WW 13TH AVE</t>
  </si>
  <si>
    <t xml:space="preserve">1965;1983</t>
  </si>
  <si>
    <t xml:space="preserve">SHERWCOD SOLVENTS INC (1965; SIC 2819) | UNION CHEMICALS DIV-UNION OIL CO OF CAL (1983; SIC 2869)</t>
  </si>
  <si>
    <t xml:space="preserve">SHERWCOD SOLVENTS INC (1965) |  (1973) | UNION CHEMICALS DIV-UNION OIL CO OF CAL (1983)</t>
  </si>
  <si>
    <t xml:space="preserve">Denver Toluene; Parcel 3 [CDPHE Voluntary_Cleanup_and_Redevelopment_Program_(VCUP)_new; 29 m] | Denver Toluene II [CDPHE Voluntary_Cleanup_and_Redevelopment_Program_(VCUP)_new; 29 m] | Denver Toluene: Parcel 2 [CDPHE Voluntary_Cleanup_and_Redevelopment_Program_(VCUP)_new; 29 m] | Denver Toluene; Parcel 6 [CDPHE Voluntary_Cleanup_and_Redevelopment_Program_(VCUP)_new; 29 m] | Denver Toluene: Parcel </t>
  </si>
  <si>
    <t xml:space="preserve">UNION CHEMICAL DIV UNION OIL OF CA [FRS; name match, 61 m]</t>
  </si>
  <si>
    <t xml:space="preserve">Denver Toluene; Parcel 3</t>
  </si>
  <si>
    <t xml:space="preserve">SMYRNA READY MIX CONCRETE LLC - QUIVAS READY MIX</t>
  </si>
  <si>
    <t xml:space="preserve">UNION OIL COMPANY OF CALIFORNIA</t>
  </si>
  <si>
    <t xml:space="preserve">S00334</t>
  </si>
  <si>
    <t xml:space="preserve">1050 S BROADWAY</t>
  </si>
  <si>
    <t xml:space="preserve">Primary batteries; Storage batteries</t>
  </si>
  <si>
    <t xml:space="preserve">1968;1974;1980;1988</t>
  </si>
  <si>
    <t xml:space="preserve">SAMSCNITE CCRP (1968; SIC 3161,2514,3541) | GATES ENERGY PRODUCTS INC (1974-1980; SIC 3692) | BASBLERE NE (1988; SIC 3691,3052,3069)</t>
  </si>
  <si>
    <t xml:space="preserve">SHWAYCER BROTHERS, INC. (1965) | SAMSCNITE CCRP (1968) | GATES ENERGY PRODUCTS INC (1974) | BASBLERE NE (1988)</t>
  </si>
  <si>
    <t xml:space="preserve">Gates Building #47 II [CDPHE Voluntary_Cleanup_and_Redevelopment_Program_(VCUP)_new; 16 m] | Gates Building #47 II [CDPHE Voluntary_Cleanup_and_Redevelopment_Program_(VCUP)_new] (address match)</t>
  </si>
  <si>
    <t xml:space="preserve">GATES CORP [TRI; name match, 78 m] | GATES RUBBER MED BLDG [FRS; 16 m] | GATES RUBBER CO AUTO BATTERY [TRI; 78 m] | OPTIMA BATTERIES INC [TRI; 78 m] | GATES RUBBER MED BLDG [FRS] (address match) | GATES ENERGY PRODS INC DENVER CO [TRI] (address match)</t>
  </si>
  <si>
    <t xml:space="preserve">SOUTH BROADWAY AT MISSISSIPPI AVE [FRS; 12 m]</t>
  </si>
  <si>
    <t xml:space="preserve">Gates Building #47 II</t>
  </si>
  <si>
    <t xml:space="preserve">GATES RUBBER MED BLDG</t>
  </si>
  <si>
    <t xml:space="preserve">BROADWAY STATION PARTNERS LLC</t>
  </si>
  <si>
    <t xml:space="preserve">S00340</t>
  </si>
  <si>
    <t xml:space="preserve">827 14TH</t>
  </si>
  <si>
    <t xml:space="preserve">DENVER MARKING PRODUCTS (1970; SIC 3953,3479)</t>
  </si>
  <si>
    <t xml:space="preserve">SMITH, WM. Jes RUBBER STAMPS” (1965) | DENVER MARKING PRODUCTS (1970)</t>
  </si>
  <si>
    <t xml:space="preserve">Focus Property Group [CDPHE Voluntary_Cleanup_and_Redevelopment_Program_(VCUP)_new; 28 m]</t>
  </si>
  <si>
    <t xml:space="preserve">J D CAIN COMPANY [FRS; 37 m]</t>
  </si>
  <si>
    <t xml:space="preserve">DOWNTOWN DENVER MARRIOTT [FRS; 30 m]</t>
  </si>
  <si>
    <t xml:space="preserve">S00341</t>
  </si>
  <si>
    <t xml:space="preserve">1240 UMATILLA ST</t>
  </si>
  <si>
    <t xml:space="preserve">SNAPPY PANELS INC. (1965; SIC 2841) | PANEL DIVIDERS CO (1966-1968; SIC 3441) | PANEL DIVIDERS CC (1967; SIC 3446)</t>
  </si>
  <si>
    <t xml:space="preserve">SNAPPY PANELS INC. (1965) | PANEL DIVIDERS CO (1966) | PANEL DIVIDERS CC (1967) | FIRST IMPRESSION THE (1980)</t>
  </si>
  <si>
    <t xml:space="preserve">Multi-Contractor Site</t>
  </si>
  <si>
    <t xml:space="preserve">CTL/THOMPSON INC - ASPHALT DIVISION</t>
  </si>
  <si>
    <t xml:space="preserve">S00343</t>
  </si>
  <si>
    <t xml:space="preserve">424 JASON</t>
  </si>
  <si>
    <t xml:space="preserve">SCRCEN MFG. (1965; SIC 3441)</t>
  </si>
  <si>
    <t xml:space="preserve">SCRCEN MFG. (1965)</t>
  </si>
  <si>
    <t xml:space="preserve">Domenico Property [CDPHE Voluntary_Cleanup_and_Redevelopment_Program_(VCUP)_new; 249 m]</t>
  </si>
  <si>
    <t xml:space="preserve">SEALANT SYSTEMS OF COLORADO [FRS; 82 m] | MIBAR [FRS; 175 m] | DENVER AUTOMOTIVE &amp; DIESEL COLLEGE [FRS; 191 m] | S &amp; S ANODIZING INC [FRS; 194 m] | MORRISON METAL FINISHING CORPORATION [FRS; 194 m] | FUSE, INC. - PRINTING [FRS; 201 m] | PLOCHER PAINTING &amp; DECORATING INC [FRS; 228 m] | DUFFY CRANE &amp; HAULING, INC [FRS; 235 m] | MECHANICAL PRODUCTS INC [FRS; 245 m]</t>
  </si>
  <si>
    <t xml:space="preserve">I25 AND SANTA FE BRIDGES [FRS; 62 m] | PROCTOR PRODUCTIONS [FRS; 62 m] | I-25 BRIDGES OVER SANTA FE DR [FRS; 200 m] | I-25 AND SANTA FE BRIDGES [FRS; 200 m] | I 25 AND SANTA FE PROJECTS [FRS; 200 m] | OMNI PRO [FRS; 221 m] | VIVAX PRO PAINTING [FRS; 221 m]</t>
  </si>
  <si>
    <t xml:space="preserve">SEALANT SYSTEMS OF COLORADO</t>
  </si>
  <si>
    <t xml:space="preserve">S00346</t>
  </si>
  <si>
    <t xml:space="preserve">5040 ACOMA</t>
  </si>
  <si>
    <t xml:space="preserve">1965;1974;1977;1980;1983;1988</t>
  </si>
  <si>
    <t xml:space="preserve">SPINN-ART MANLFACTLRING CO. (1965; SIC 3549) | SPINN-ART MANUFACTURING CC INC (1974-1983; SIC 3469,3496) | SPINN-ART MANUFACTURING CO INC O E PROVOST PRESIDENT (1977; SIC 3469,3496,3471) | ELECTRICAL SPINN-ART MFG CO INC (1988; SIC 3469,3471,3496)</t>
  </si>
  <si>
    <t xml:space="preserve">SPINN-ART MANLFACTLRING CO. (1965) | SPINN-ART MANUFACTURING CC INC (1974) | SPINN-ART MANUFACTURING CO INC O E PROVOST PRESIDENT (1977) | ARECRAFTER CUSTOM PROOUCTS (1980) | ELECTRICAL SPINN-ART MFG CO INC (1988)</t>
  </si>
  <si>
    <t xml:space="preserve">CONDIT EXHIBITS</t>
  </si>
  <si>
    <t xml:space="preserve">S00349</t>
  </si>
  <si>
    <t xml:space="preserve">5070 STEELE ST</t>
  </si>
  <si>
    <t xml:space="preserve">STANCC MANUFACTURING CO. (1965; SIC 2811)</t>
  </si>
  <si>
    <t xml:space="preserve">STANCC MANUFACTURING CO. (1965)</t>
  </si>
  <si>
    <t xml:space="preserve">RYDER TRUCK RENTAL INC</t>
  </si>
  <si>
    <t xml:space="preserve">S00352</t>
  </si>
  <si>
    <t xml:space="preserve">3975 YORK</t>
  </si>
  <si>
    <t xml:space="preserve">1965;1968;1974;1980;1983;1988;1990</t>
  </si>
  <si>
    <t xml:space="preserve">STAYPUT CLAMP + COUPLING CO. (1965; SIC 3429) | STAYPLT CLAMP + COLPLING CO (1968-1983; SIC 3429) | STAYPUT CLAMP # COUPLING CO (1974; SIC 3429) | DIXON VALVE+COUPLING (1988-1990; SIC 3429)</t>
  </si>
  <si>
    <t xml:space="preserve">STAYPUT CLAMP + COUPLING CO. (1965) | STAYPLT CLAMP + COLPLING CO (1968) | STAYPUT CLAMP # COUPLING CO (1974) | DIXON VALVE+COUPLING (1988)</t>
  </si>
  <si>
    <t xml:space="preserve">Vitro America [CDPHE Voluntary_Cleanup_and_Redevelopment_Program_(VCUP)_new; 30 m] | Sunbelt Rentals [CDPHE Voluntary_Cleanup_and_Redevelopment_Program_(VCUP)_new; 53 m] | Vasquez/VAS [CDPHE CDPHE Superfund] (inside site boundary)</t>
  </si>
  <si>
    <t xml:space="preserve">Vitro America</t>
  </si>
  <si>
    <t xml:space="preserve">CITY &amp; COUNTY OF DENVER</t>
  </si>
  <si>
    <t xml:space="preserve">S00363</t>
  </si>
  <si>
    <t xml:space="preserve">4555 BRIGHTON BLVD</t>
  </si>
  <si>
    <t xml:space="preserve">WAGNER, C R MACHINE CORP. (1965; SIC 3591)</t>
  </si>
  <si>
    <t xml:space="preserve">WAGNER, C R MACHINE CORP. (1965)</t>
  </si>
  <si>
    <t xml:space="preserve">GESC AT 4640 BRIGHTON BOULEVARD [FRS; 24 m] | GESC AT 4652 N BRIGHTON BOULEVARD [FRS; 27 m] | GESC AT 4670 BRIGHTON BOULEVARD [FRS; 69 m] | VB/I-70 BRIGHTON BOULEVARD [FRS; 86 m] | GESC AT 4684 BRIGHTON BOULEVARD [FRS; 88 m] | Vasquez/VAS [CDPHE CDPHE Superfund] (inside site boundary)</t>
  </si>
  <si>
    <t xml:space="preserve">NATIONAL WESTERN CENTER AREA 1 DEMOLITION [FRS; 81 m] | FOSSIL FUELS, LLC [FRS; 99 m] | SEJ ASSET MGMT - SEJ #27492 [FRS; 121 m] | 4701 BRIGHTON BLVD DEMOLITION [FRS; 128 m] | NATIONAL WESTERN CENTER AREA 2 DEMOLITION [FRS; 142 m] | NATIONAL WESTERN CENTER AREA 3 DEMOLITION [FRS; 153 m]</t>
  </si>
  <si>
    <t xml:space="preserve">GESC AT 4640 BRIGHTON BOULEVARD</t>
  </si>
  <si>
    <t xml:space="preserve">S00373</t>
  </si>
  <si>
    <t xml:space="preserve">2600 E 40TH</t>
  </si>
  <si>
    <t xml:space="preserve">WESTERN FOUNDRIES, INC. (1965; SIC 3321)</t>
  </si>
  <si>
    <t xml:space="preserve">WESTERN FOUNDRIES, INC. (1965) | NATIONAL BISCUIT CO (1967) | NATLONAL SISCULT CO C A ALIFE OWNER (1970)</t>
  </si>
  <si>
    <t xml:space="preserve">WESTERN ELEC [FRS; 28 m] | Vasquez/VAS [CDPHE CDPHE Superfund] (inside site boundary)</t>
  </si>
  <si>
    <t xml:space="preserve">PUBLIC SERVICE (NORTH SUBSTATION) [FRS; 6 m] | AT&amp;T [FRS; 11 m] | AT&amp;T INFORMATION SYSTEM [FRS; 28 m]</t>
  </si>
  <si>
    <t xml:space="preserve">NORT FEEDER 1433 AND 1434 (DE) [FRS; 6 m]</t>
  </si>
  <si>
    <t xml:space="preserve">WESTERN ELEC</t>
  </si>
  <si>
    <t xml:space="preserve">PUBLIC SERVICE (NORTH SUBSTATION)</t>
  </si>
  <si>
    <t xml:space="preserve">S00378</t>
  </si>
  <si>
    <t xml:space="preserve">4201 GALAPAGO</t>
  </si>
  <si>
    <t xml:space="preserve">WESTERN BATTERY + SUPPLY CO (1966-1967; SIC 3599)</t>
  </si>
  <si>
    <t xml:space="preserve">WESTRIC BATTERY + SUPPLY CO. (1965)</t>
  </si>
  <si>
    <t xml:space="preserve">Fox Iron Works [CDPHE Voluntary_Cleanup_and_Redevelopment_Program_(VCUP)_new; 114 m] | Fox Iron Works II [CDPHE Voluntary_Cleanup_and_Redevelopment_Program_(VCUP)_new; 114 m] | Vasquez/VAS [CDPHE CDPHE Superfund] (inside site boundary)</t>
  </si>
  <si>
    <t xml:space="preserve">BRANNAN SAND &amp; GRAVEL CO [FRS; 34 m] | CENTRAL DENVER IRON WORKS, INC [FRS; 124 m] | METAL TREATING RESEARCH CO [FRS; 143 m] | EASTERN ELEC APPARATUS REPAIR CO [FRS; 143 m] | BRANNAN SAND &amp; GRAVEL [FRS; 173 m] | G.J. CORPORATION [FRS; 220 m] | AD LIGHT GROUP [FRS; 228 m] | MATTHEWS INTERNATIONAL CORP [FRS; 233 m]</t>
  </si>
  <si>
    <t xml:space="preserve">FOX IRON WORKS [FRS; 39 m] | COLORADO MASTER BUILDERS AND ARCHITECTS [FRS; 211 m] | BRANNAN SAND &amp; GRAVEL - PORT CELLULOSE [FRS; 213 m] | VB I70 OPERABLE UNIT 2 REMOVAL ACTION [FRS; 215 m] | EAGLE ENVIRONMENTAL - PORTABLE GENERATOR [FRS; 217 m] | ALLIED REPROGRAPHICS INC [FRS; 233 m] | 4040 FOX STREET [FRS; 234 m] | MAJESTIC LITHO [FRS; 236 m] | IOTA APARTMENTS OWNER LLC [FRS; 244 m]</t>
  </si>
  <si>
    <t xml:space="preserve">BRANNAN SAND &amp; GRAVEL CO</t>
  </si>
  <si>
    <t xml:space="preserve">S00389</t>
  </si>
  <si>
    <t xml:space="preserve">601 E 48TH</t>
  </si>
  <si>
    <t xml:space="preserve">YORKER + SONS (1965-1980; SIC 3079) | DISPLAYS YORKER+SONS INC (1988; SIC 3089)</t>
  </si>
  <si>
    <t xml:space="preserve">YORKER + SONS (1965) | DISPLAYS YORKER+SONS INC (1988)</t>
  </si>
  <si>
    <t xml:space="preserve">YORKER &amp; SONS INC [FRS; name match, 25 m]</t>
  </si>
  <si>
    <t xml:space="preserve">CHEMICAL SPECIALTIES</t>
  </si>
  <si>
    <t xml:space="preserve">S00414</t>
  </si>
  <si>
    <t xml:space="preserve">4894 MORRISON RD</t>
  </si>
  <si>
    <t xml:space="preserve">BERNE MACHINE SHOP (1965; SIC 3591) | BERNE MACHINE SHOP (1968-1970; SIC 3591)</t>
  </si>
  <si>
    <t xml:space="preserve">BERNE MACHINE SHOP (1965) | BERNE MACHINE SHOP (1968)</t>
  </si>
  <si>
    <t xml:space="preserve">MORRISON ROAD PROJECT [FRS; 69 m]</t>
  </si>
  <si>
    <t xml:space="preserve">MORRISON ROAD PROJECT</t>
  </si>
  <si>
    <t xml:space="preserve">S00830</t>
  </si>
  <si>
    <t xml:space="preserve">3500 LARIMER</t>
  </si>
  <si>
    <t xml:space="preserve">1965;1966;1967;1968;1970;1973;1974;1980;1983;1988;1990;1992</t>
  </si>
  <si>
    <t xml:space="preserve">ALMQUIST MACHINE SFOP (1965-1970; SIC 3591) | GOLDBERG BROTHERS MFG CO (1966-1980; SIC 3411) |  (1970; SIC 3861) | FRANK SCHERER + SON INCORPORATED (1980-1990; SIC 3444) | MFG UNLIMITED INC (1988-1990; SIC 3569) | ‘SCHERER METALS INC (1992; SIC 3444,3446)</t>
  </si>
  <si>
    <t xml:space="preserve">A-ABILITY MATTRESS CO. (1965) | ALMQUIST MACHINE SFOP (1965) | RAFU SHOYU CO. a (1965) | GOLDBERG BROTHERS MFG CO (1966) | RAFU SHOYU CC (1968) |  (1970) | ORIENTAL FOODS INC Seale 016 PUBLISHING CO NEW YORK NY 3499 FABRICATED METAL PRODUCTS, NEC (1973) | ORIENTAL FIODS INC (1977) | FRANK SCHERER + SON INCORPORATED (1980) | MFG UNLIMITED INC (1988) | ‘SCHERER METALS INC (1992)</t>
  </si>
  <si>
    <t xml:space="preserve">3454 Walnut Street [CDPHE Voluntary_Cleanup_and_Redevelopment_Program_(VCUP)_new; 84 m]</t>
  </si>
  <si>
    <t xml:space="preserve">MACHINE DESIGN SERVICE INC [FRS; 42 m] | GOLDBERG BROS MFG [FRS; 42 m]</t>
  </si>
  <si>
    <t xml:space="preserve">THE SBJ GROUP INC. [FRS; 28 m]</t>
  </si>
  <si>
    <t xml:space="preserve">3454 Walnut Street</t>
  </si>
  <si>
    <t xml:space="preserve">MACHINE DESIGN SERVICE INC</t>
  </si>
  <si>
    <t xml:space="preserve">S01413</t>
  </si>
  <si>
    <t xml:space="preserve">946 SANTA FE</t>
  </si>
  <si>
    <t xml:space="preserve">STANLEY'S PLASTICS (1965-1983; SIC 3079) | COLORADO BRASS FOUNDRY CO (1967-1973; SIC 3369,3251) | INDUSTRIAL HARD CHRCKE PLATING CO (1967-1990; SIC 3471) | COLORADO BRASS FOUNDRY CC (1974; SIC 3369) | &amp;1 SPINNING SHOP (1980-1990; SIC 3469)</t>
  </si>
  <si>
    <t xml:space="preserve">STANLEY'S PLASTICS (1965) | INDUSTRIAL HARO CHROME PLATING co (1966) | COLORADO BRASS FOUNDRY CO (1967) | COLORADO BRASS FOUNDRY CC (1974) | &amp;1 SPINNING SHOP (1980) | CHERRY. CREEK ENTERPRISES INC (1980)</t>
  </si>
  <si>
    <t xml:space="preserve">INDUSTRIAL CHROME PLATING [FRS; name match, 4 m]</t>
  </si>
  <si>
    <t xml:space="preserve">TEXTILE EMPORIUM INC [FRS; 9 m] | SNYDER AUTOWORKS INC [CDPHE RCRA; 55 m] | CLES SEXTON/PHOTOBITION [CDPHE RCRA; 55 m] | SHERWIN-WILLIAMS #707409 [CDPHE RCRA; 55 m]</t>
  </si>
  <si>
    <t xml:space="preserve">BASEMENTS AND BEYOND [FRS; 8 m] | SCHEIB EARL AUTO PAINTING NO 426 [FRS; 9 m] | GOLDEN SQUEEGEE.CN [FRS; 9 m] | ADAMS ARTISTIC FINISHES [FRS; 45 m]</t>
  </si>
  <si>
    <t xml:space="preserve">S01479</t>
  </si>
  <si>
    <t xml:space="preserve">2535 WALNUT</t>
  </si>
  <si>
    <t xml:space="preserve">1965;1966;1968;1970;1973;1974;1992</t>
  </si>
  <si>
    <t xml:space="preserve">ASBESTOS ROOFING cc. (1965; SIC 3444) | METAL INDUSTRIES INC ALUMINUM SCREEN OIV (1966; SIC 3441) | FABRICATORS INC (1968; SIC 3079) | MCORE, BENJAMIN, + CO (1968-1973; SIC 2851) | STYRO MATERIALS CO (1974; SIC 3079) | BENJAMIN MOORE + CO (1992; SIC 2851)</t>
  </si>
  <si>
    <t xml:space="preserve">ASBESTOS ROOFING cc. (1965) | METAL INDUSTRIES INC ALUMINUM SCREEN OIV (1966) | MOORE» BENJAMIN + CC (1967) | FABRICATORS INC (1968) | STYRO MATERIALS CO (1974) | FOX CABINET SHOP (1980) | GEM WIPENG KATERIAL CO (1980) | EQUIPMENT BENJAMIN MOORE+CO (1988) | BENJAMIN MOORE + CO (1992)</t>
  </si>
  <si>
    <t xml:space="preserve">BENJAMIN MOORE &amp; CO [FRS; name match, 4 m] | Benjamin Moore Paint [CDPHE Voluntary_Cleanup_and_Redevelopment_Program_(VCUP)_new; name match, 18 m]</t>
  </si>
  <si>
    <t xml:space="preserve">SHERMAN &amp; HOWARD WAREHOUSE [FRS; 61 m]</t>
  </si>
  <si>
    <t xml:space="preserve">BENJAMIN MOORE &amp; CO</t>
  </si>
  <si>
    <t xml:space="preserve">S02419</t>
  </si>
  <si>
    <t xml:space="preserve">020 E 43RD</t>
  </si>
  <si>
    <t xml:space="preserve">1966;1980;1983</t>
  </si>
  <si>
    <t xml:space="preserve">PERFECTION TIP CO (1966; SIC 3449) | BRANSON AIRCRAFT CORP (1980-1983; SIC 3728,2531) | ALL PACKAGING COs» INC (1983; SIC 2651,2645,3993)</t>
  </si>
  <si>
    <t xml:space="preserve">VERNOR*S GINGER ALE BCTTLING CO. (1965) | PERFECTION TIP CO (1966) | COLUMBINE BEVERAGE CU (1967) | CENTRAL WCOD PRODUCTS CO (1973) | BRANSON AIRCRAFT CORP (1980) | K WD OOGORS AND MILLWORK INC (1980) | ALL PACKAGING COs» INC (1983) | K WD DOORS AND MILLWORK INC F A TYRONE PRESIDENT (1983) | DESIGN PACKAGING CONCEPTS (1988) | IMPERIAL SLEEP PRODUCTS (1988) | INVENTORY AUDITORS INC (1992)</t>
  </si>
  <si>
    <t xml:space="preserve">GEMINI POOLS INC [FRS; 57 m] | EASTERN ELECTRIC APPARATUS [CDPHE RCRA; 59 m] | FLUID AIR SYSTEM INC [FRS; 97 m]</t>
  </si>
  <si>
    <t xml:space="preserve">BACKER ROD MFG. [FRS; 86 m]</t>
  </si>
  <si>
    <t xml:space="preserve">GEMINI POOLS INC</t>
  </si>
  <si>
    <t xml:space="preserve">S02985</t>
  </si>
  <si>
    <t xml:space="preserve">2620 LARIMER ST</t>
  </si>
  <si>
    <t xml:space="preserve">1965;1988</t>
  </si>
  <si>
    <t xml:space="preserve">P. 0. Q. METAL FINISHERS, INC. (1965; SIC 3471) | AMEN PACKAGING INC (1988; SIC 2655,3089,3411)</t>
  </si>
  <si>
    <t xml:space="preserve">P. 0. Q. METAL FINISHERS, INC. (1965) | TRIPLE R PRODUCTS OF COLORADO INC (1974) | LA POPULAR TORTILLA + TAMALE SHOP (1977) | AMEN PACKAGING INC (1988)</t>
  </si>
  <si>
    <t xml:space="preserve">Denver Center Theatre [CDPHE Voluntary_Cleanup_and_Redevelopment_Program_(VCUP)_new; 3 m] | ULC BRUNETTI LOFTS [FRS; 33 m]</t>
  </si>
  <si>
    <t xml:space="preserve">S03910</t>
  </si>
  <si>
    <t xml:space="preserve">2486 W 2ND AVE</t>
  </si>
  <si>
    <t xml:space="preserve">1966;1967;1968;1970;1973;1974;1983;1992</t>
  </si>
  <si>
    <t xml:space="preserve">NEUTRONICS INTERNATIONAL INC (1966; SIC 3679) | crc Inc (1967; SIC 3441,3444,3446) | MICRONICS INDUSTRIES, INC (1967-1968; SIC 3613,3471) | MK B INDUSTRIES INC (1970; SIC 3567) | A-L PLATING CORP (1973; SIC 3471) | JER coer (1973; SIC 2842,2841,3079) | STANDARD MFG CO (1973; SIC 3079) | COMPUTER IMAGE CORP (1974-1983; SIC 3573,3999) | JET-X CORP (1974; SIC 2842,2841,3079) | AMERICAN REPROGRAPHICS INC (1992; SIC 2789,3479)</t>
  </si>
  <si>
    <t xml:space="preserve">MARKWCOD PROD. CO. (1965) | RACIO SPECIALISTS CO. (1965) | LANNING BROTHERS PRINTING CO (1966) | NEUTRONICS INTERNATIONAL INC (1966) |  (1966) | crc Inc (1967) | MICRONICS INDUSTRIES, INC (1967) | BAPTIST PUBLICATIONS, INC (1968) | MICRO COMMUNICATIONS CO (1968) | SHURTENDA STEAKS INC (1968) | MK B INDUSTRIES INC (1970) | A-L PLATING CORP (1973) |  (1973) | JER coer (1973) | STANDARD MFG CO (1973) | COMPUTER IMAGE CORP (1974) | JET-X CORP (1974) | BALE SLINOS OF COLORADO (1980) | EARTH ONE MFG.CO. (1980) | AMERICAN PRINTING CO (1980) | BALI BLINDS OF COLORADO (1983) | MULTI“LIST/MCGRAW-HILL (1983) | BABBUCHE WOOP (1988) | SPECIAL TECHNIQUES (1988) | TUDOR HOUSE PRESS (1988) | EARTH 1 WOOD PRODUCTS (1990) | INTERROBANG (1990) | RAYMOND ENTERPRISES INC (1990) | AMERICAN REPROGRAPHICS INC (1992)</t>
  </si>
  <si>
    <t xml:space="preserve">The Lighting Agency [CDPHE Voluntary_Cleanup_and_Redevelopment_Program_(VCUP)_new; 153 m]</t>
  </si>
  <si>
    <t xml:space="preserve">POSITIVE PRINTER THE [FRS; 11 m] | MILE HI MECHANICAL INC [FRS; 18 m] | DVH COMPANY INC [FRS; 27 m] | PRC REALTY SYSTEMS [FRS; 85 m] | CORE LABORATORIES [FRS; 85 m] | ECO-DYNE SYSTEM INC [FRS; 122 m] | COLORADO VALUE LINE [FRS; 142 m] | APEX DIE &amp; BOX COMPANY [FRS; 147 m]</t>
  </si>
  <si>
    <t xml:space="preserve">INTERROBANC DBA TUDOR HOUSE PRESS [FRS; name match, 27 m] | PRECISION GRAPHICS INC [FRS; 13 m] | ABC DIE COMPANY [FRS; 18 m] | DRAKE IND INC [FRS; 27 m] | KING SOOPERS PRINT SHOP [FRS; 85 m] | PIC PLASTICS [FRS; 142 m]</t>
  </si>
  <si>
    <t xml:space="preserve">The Lighting Agency</t>
  </si>
  <si>
    <t xml:space="preserve">VISTA-PRO AUTOMOTIVE LLC</t>
  </si>
  <si>
    <t xml:space="preserve">POSITIVE PRINTER THE</t>
  </si>
  <si>
    <t xml:space="preserve">S03952</t>
  </si>
  <si>
    <t xml:space="preserve">120 YUMA</t>
  </si>
  <si>
    <t xml:space="preserve">1968;1980;1983;1988;1990</t>
  </si>
  <si>
    <t xml:space="preserve">PARK DISPLAY MANUFACTURING CORP (1968; SIC 3079) | “AER FILTER SALES ¢ SERVICE ~ DENVER, INC (1980-1983; SIC 3564) | INTERNATIONAL VENDING MACHINES INC (1983; SIC 3565) | MARSHALL MFG CO (1983-1990; SIC 3469,3599,3411) | DENTISTS MARSHALL MFG CO (1988; SIC 3411,3469,3899)</t>
  </si>
  <si>
    <t xml:space="preserve">ROCKY MOUNTAIN RESEARCH, INC. (1965) | COLOR WRAP OF COLORADO (1966) | PARK DISPLAY MANUFACTURING CORP (1968) | “AER FILTER SALES ¢ SERVICE ~ DENVER, INC (1980) | ANTERNATIONAE VENDING MACHINES INC (1980) | WC REKE ENC OBA MC DONALOS BAKERY (1980) | MARSHALL MFG CO (1983) | MC REKI INC DBA MC DONALDS BAKERY (1983) | DENTISTS MARSHALL MFG CO (1988) | DIE-CUTTING, BINDER MCKEKI INCORPORATED (1988) | MCKEK!I INCORPORATED (1990)</t>
  </si>
  <si>
    <t xml:space="preserve">The Lighting Agency [CDPHE Voluntary_Cleanup_and_Redevelopment_Program_(VCUP)_new; 80 m]</t>
  </si>
  <si>
    <t xml:space="preserve">KING SOOPERS BAKERY PLANT [FRS; 119 m]</t>
  </si>
  <si>
    <t xml:space="preserve">KING SOOPERS 835 [CDPHE RCRA; 58 m] | APEX DIE &amp; BOX COMPANY [CDPHE RCRA; 58 m]</t>
  </si>
  <si>
    <t xml:space="preserve">KING SOOPERS BAKERY PLANT</t>
  </si>
  <si>
    <t xml:space="preserve">KING SOOPERS 835</t>
  </si>
  <si>
    <t xml:space="preserve">S05555</t>
  </si>
  <si>
    <t xml:space="preserve">3560 WALNUT</t>
  </si>
  <si>
    <t xml:space="preserve">1965;1966;1967;1974;1988;1990</t>
  </si>
  <si>
    <t xml:space="preserve">NIEDERHUT CARRIAGE CO. (1965-1967; SIC 3713) | ATLAS INTERNATIONAL INC CHEMICAL DIVISICN (1974; SIC 2899,2851,2842) | ASPHALT PRODUCTS OIL CORP (1988; SIC 3479) | ASPHALT PRODUCTS OIL CORP (1990; SIC 3479)</t>
  </si>
  <si>
    <t xml:space="preserve">NIEDERHUT CARRIAGE CO. (1965) | ATLAS INTERNATIONAL INC CHEMICAL DIVISICN (1974) | ASPHALT PRODUCTS OIL CORP (1988) | MACHINE HARDWOOD ORIGINALS (1988) | BOB HOWE+CO (1988) | ASPHALT PRODUCTS OIL CORP (1990) | VICTOR MARBLE COMPANY (1990)</t>
  </si>
  <si>
    <t xml:space="preserve">3454 Walnut Street [CDPHE Voluntary_Cleanup_and_Redevelopment_Program_(VCUP)_new; 86 m] | Hub RiNo [CDPHE Voluntary_Cleanup_and_Redevelopment_Program_(VCUP)_new; 90 m] | 3500 Blake Street Owners LLC II [CDPHE Voluntary_Cleanup_and_Redevelopment_Program_(VCUP)_new; 112 m]</t>
  </si>
  <si>
    <t xml:space="preserve">WHITE CAP CONSTRUCTION SUPPLY (WC0041) [FRS; 103 m]</t>
  </si>
  <si>
    <t xml:space="preserve">STONE CRAFTERS, INC. DBA VICTOR MARBLE [FRS; name match, 125 m] | T3 RINO [FRS; 83 m] | 3500 BLAKE [FRS; 83 m] | 35 AND WALNUT [FRS; 87 m]</t>
  </si>
  <si>
    <t xml:space="preserve">GOLDBERG BROS MFG</t>
  </si>
  <si>
    <t xml:space="preserve">S00580</t>
  </si>
  <si>
    <t xml:space="preserve">5350 SHERMAN</t>
  </si>
  <si>
    <t xml:space="preserve">1966;1988</t>
  </si>
  <si>
    <t xml:space="preserve">BENNETT CHEMICAL CO (1966; SIC 3441) | KOLD KING INC (1988; SIC 3561,3599,2851)</t>
  </si>
  <si>
    <t xml:space="preserve">BENNETT CHEMICAL CO (1966) | KOLD KING INC (1988)</t>
  </si>
  <si>
    <t xml:space="preserve">ASARCO GLOBEVILLE [CDPHE CDPHE Superfund] (inside site boundary)</t>
  </si>
  <si>
    <t xml:space="preserve">HELLER</t>
  </si>
  <si>
    <t xml:space="preserve">RESCO INC</t>
  </si>
  <si>
    <t xml:space="preserve">S00581</t>
  </si>
  <si>
    <t xml:space="preserve">5301 N BANNOCK</t>
  </si>
  <si>
    <t xml:space="preserve">1968;1973;1980;1983;1988;1990;1992</t>
  </si>
  <si>
    <t xml:space="preserve">COLORADO BITUMULS INC (1968-1980; SIC 2911) | COBITCO INC (1983-1990; SIC 2952) | CORT COINC (1992; SIC 2951,3564)</t>
  </si>
  <si>
    <t xml:space="preserve">COLORADO BITUMULS INC (1966) | COBITCO INC (1983) | CORT COINC (1992)</t>
  </si>
  <si>
    <t xml:space="preserve">Mattress King [CDPHE Voluntary_Cleanup_and_Redevelopment_Program_(VCUP)_new; 64 m] | Matress King II [CDPHE Voluntary_Cleanup_and_Redevelopment_Program_(VCUP)_new; 64 m] | Matress King III [CDPHE Voluntary_Cleanup_and_Redevelopment_Program_(VCUP)_new; 64 m] | Mattress King [CDPHE Institutional_Controls_PROD_local; 119 m] | United Drywall I [CDPHE Voluntary_Cleanup_and_Redevelopment_Program_(VCUP)_</t>
  </si>
  <si>
    <t xml:space="preserve">COBITCO, INC. [FRS; name match, 60 m] | COBITCO INC [TRI; name match, 90 m] | OWENS CORNING - TRUMBULL ASPHALT PLANT [FRS; 158 m]</t>
  </si>
  <si>
    <t xml:space="preserve">COLORADO DEPT OF TRANSPORTATION [FRS; 3 m] | KARMA CHAMELEON [FRS; 161 m] | J &amp; A'S PAINTING SERVICE [FRS; 199 m] | JOHNS MOBILE WASH INC [FRS; 214 m] | CDOT PROJ # IRD E 25-2-242 [FRS; 221 m] | ALPHA INSULATION &amp; WATERPROOFING INC [FRS; 221 m]</t>
  </si>
  <si>
    <t xml:space="preserve">MATRESS FIRM BANNOCK ST [FRS; 60 m] | OWENS CORNING TRUMBULL ASPHALT [FRS; 132 m] | ACCENT WINDOWS PRODUCTS INC [FRS; 203 m] | GORMAN LARADON PHASE III (THE STELLA) [FRS; 236 m] | MADRONS BLASTING PAINTING &amp; 4X4 REPAIR [FRS; 246 m]</t>
  </si>
  <si>
    <t xml:space="preserve">Mattress King</t>
  </si>
  <si>
    <t xml:space="preserve">COBITCO, INC.</t>
  </si>
  <si>
    <t xml:space="preserve">S00584</t>
  </si>
  <si>
    <t xml:space="preserve">5350 WASHINGTON ST</t>
  </si>
  <si>
    <t xml:space="preserve">1966;1983;1990</t>
  </si>
  <si>
    <t xml:space="preserve">GLOBE PRODUCTS CO (1966; SIC 3599) | NUTECH CHEMICAL CORP (1983; SIC 2842) | NUTECH ENVIRONMENTAL CORP (1990; SIC 2842,3999)</t>
  </si>
  <si>
    <t xml:space="preserve">DENVER RENDERING CO (1966) | GLOBE PRODUCTS CO (1966) | SA + Jy INC (1973) | DENVER RECYCLING COMPANY (1974) | NUTECH CHEMICAL CORP (1983) | NUTECH ENVIRONMENTAL CORP (1990)</t>
  </si>
  <si>
    <t xml:space="preserve">ASARCO GLOBEVILLE [CDPHE CDPHE Superfund] (inside site boundary) | Asarco Globe/ASA [CDPHE Institutional_Controls_PROD_local] (inside site boundary)</t>
  </si>
  <si>
    <t xml:space="preserve">NUTECH ENVIRONMENTAL CORP [FRS; name match, 205 m]</t>
  </si>
  <si>
    <t xml:space="preserve">FRONTIER WASTE TRANSFER  LLC [FRS] (address match) | WASHINGTON ST TRANSFER STATION [FRS] (address match)</t>
  </si>
  <si>
    <t xml:space="preserve">ASARCO GLOBEVILLE</t>
  </si>
  <si>
    <t xml:space="preserve">CORVETTE CONNECTION</t>
  </si>
  <si>
    <t xml:space="preserve">S00587</t>
  </si>
  <si>
    <t xml:space="preserve">5995 WASHINGTON</t>
  </si>
  <si>
    <t xml:space="preserve">1966;1967;1968;1970;1973;1974;1980;1983</t>
  </si>
  <si>
    <t xml:space="preserve">FARMERS TOOL + SUPPLY CORP (1966; SIC 3599) | TIMPTE OIVISION OF THE OHIO BRASS COMPANY (1966; SIC 3714) | FT S coRP (1967; SIC 3591) | fF T S CORP (1968; SIC 3591) | TIMPTE, INC (1968-1983; SIC 3715,3713) | FT S CoRP (1970; SIC 3451,3791,3799) | CHAPARRAL INDUSTRIES INC (1973-1980; SIC 3799,3751,3792) | ARMCO RECREATICNAL PRCD INC-CHAPAREAL CIV (1974; SIC 3494,3544,3769)</t>
  </si>
  <si>
    <t xml:space="preserve">FARMERS TOOL + SUPPLY CORP (1966) | TIMPTE OIVISION OF THE OHIO BRASS COMPANY (1966) | FT S coRP (1967) | fF T S CORP (1968) | TIMPTE, INC (1968) | FT S CoRP (1970) | CHAPARRAL INDUSTRIES INC (1973) | ARMCO RECREATICNAL PRCD INC-CHAPAREAL CIV (1974)</t>
  </si>
  <si>
    <t xml:space="preserve">TIMPTE INC [FRS; name match, 29 m] | Cryenco II [CDPHE Voluntary_Cleanup_and_Redevelopment_Program_(VCUP)_new; 8 m] | Cryenco I [CDPHE Voluntary_Cleanup_and_Redevelopment_Program_(VCUP)_new; 8 m]</t>
  </si>
  <si>
    <t xml:space="preserve">CHART INC DENVER [FRS; 5 m] | CHART INC DENVER [TRI; 55 m]</t>
  </si>
  <si>
    <t xml:space="preserve">DOD DCASMA DENVER/CHAPARRAL IND [FRS; name match, 84 m] | PROVISION INC [FRS; 5 m] | WESTERN AERO REPAIR INC [FRS; 5 m] | DP MEDIA NETWORK - THE DENVER POST [FRS; 29 m] | CHART DENVER WEST PLANT [FRS; 29 m]</t>
  </si>
  <si>
    <t xml:space="preserve">CHART STORAGE SYSTEMS - DENVER, INC [FRS; 5 m] | DENVER POST [FRS; 29 m]</t>
  </si>
  <si>
    <t xml:space="preserve">Cryenco II</t>
  </si>
  <si>
    <t xml:space="preserve">CHART INC DENVER</t>
  </si>
  <si>
    <t xml:space="preserve">PROVISION INC</t>
  </si>
  <si>
    <t xml:space="preserve">S00700</t>
  </si>
  <si>
    <t xml:space="preserve">4200 MILWAUKEE</t>
  </si>
  <si>
    <t xml:space="preserve">1966;1968;1970;1973;1974;1980;1983;1988;1990;1992</t>
  </si>
  <si>
    <t xml:space="preserve">ACME DIE + TOOL CO (1966-1990; SIC 3369) | A-KORN ROLLER INC OF COLORADO (1988-1992; SIC 2754,2893,3847) | EQUIPMENT ACME TOOL+MFG CO (1988; SIC 3469,3544)</t>
  </si>
  <si>
    <t xml:space="preserve">ACME DIE + TOOL CO (1966) | ACME CIE + Toct co (1967) |  (1977) | A-KORN ROLLER INC OF COLORADO (1988) | EQUIPMENT ACME TOOL+MFG CO (1988)</t>
  </si>
  <si>
    <t xml:space="preserve">A-KORN ROLLER INC (RELOCATED TO 0311145) [FRS; name match, 10 m] | IMPERIAL SLEEP PADS OF COLORADO [FRS; 4 m] | PRO WOODWORKING [FRS; 4 m]</t>
  </si>
  <si>
    <t xml:space="preserve">Denver Metal Finishing</t>
  </si>
  <si>
    <t xml:space="preserve">DENVER METAL FINISHING</t>
  </si>
  <si>
    <t xml:space="preserve">FINISHING SPECIALITIES INC</t>
  </si>
  <si>
    <t xml:space="preserve">S00701</t>
  </si>
  <si>
    <t xml:space="preserve">2819 LARIMER</t>
  </si>
  <si>
    <t xml:space="preserve">1968;1973;1974;1988;1990</t>
  </si>
  <si>
    <t xml:space="preserve">ACME SANITARY SUPPLY CO (1968-1974; SIC 2841,2842,3471) | AgMae ut RY (1988; SIC 2841,2842) | HUNTINGTON LABORATORIES ie (1990; SIC 2841)</t>
  </si>
  <si>
    <t xml:space="preserve">ACME SANITARY SUPPLY CO (1966) | ACME SANITARY SUPPLY CO 2514 METAL HOUSEHOLO FURNITURE (1977) | AgMae ut RY (1988) | METALS PEERLESS PRESS INC (1988) | HUNTINGTON LABORATORIES ie (1990)</t>
  </si>
  <si>
    <t xml:space="preserve">Total Longterm Care [CDPHE Voluntary_Cleanup_and_Redevelopment_Program_(VCUP)_new; 6 m]</t>
  </si>
  <si>
    <t xml:space="preserve">ACME SANITARY SUPPLY COMPANY [FRS; name match, 40 m] | VOLUNTEERS OF AMERICA NSD DIV [CDPHE RCRA; 16 m] | APCNA HOLDINGS LLC [CDPHE RCRA; 16 m] | ESCOSIA STEELE SERVICES INC [FRS; 40 m]</t>
  </si>
  <si>
    <t xml:space="preserve">CARL MATTSON PROPERTY #13 [FRS; 7 m]</t>
  </si>
  <si>
    <t xml:space="preserve">S00707</t>
  </si>
  <si>
    <t xml:space="preserve">39 S KALAMATH</t>
  </si>
  <si>
    <t xml:space="preserve">SAFE N READY TUOL CO (1966; SIC 3423) | ALAMEDA ORNAMENTAL IRON ; (1967-1968; SIC 3444,3591,2015)</t>
  </si>
  <si>
    <t xml:space="preserve">ALAMEDA ORNAMENTAL IRON (1966) | SAFE N READY TUOL CO (1966)</t>
  </si>
  <si>
    <t xml:space="preserve">50 S. Kalamath [CDPHE Voluntary_Cleanup_and_Redevelopment_Program_(VCUP)_new; 30 m] | 50 S. Kalamath II [CDPHE Voluntary_Cleanup_and_Redevelopment_Program_(VCUP)_new; 30 m]</t>
  </si>
  <si>
    <t xml:space="preserve">MAY D &amp; F DEPT STORE CO [FRS; 25 m]</t>
  </si>
  <si>
    <t xml:space="preserve">MAY D &amp; F DEPT STORE CO</t>
  </si>
  <si>
    <t xml:space="preserve">S00708</t>
  </si>
  <si>
    <t xml:space="preserve">1295 S JASON</t>
  </si>
  <si>
    <t xml:space="preserve">ALL COLOR RATIO CO (1980; SIC 3448,3446) | COUNTED THREAD (1988; SIC 3305)</t>
  </si>
  <si>
    <t xml:space="preserve">ALAMEDA PRESS (1966) | ALAMEDA PRESS-COPYQUICK (1973) | @-ALL COLOR RATIO CO (1980) | + STAIRS BRAM RSpyquick inc (1988) | COUNTED THREAD (1988) | A-CANVAS AWNING INC (1990)</t>
  </si>
  <si>
    <t xml:space="preserve">COLORADO MARBLE AND GRANITE [FRS; 40 m]</t>
  </si>
  <si>
    <t xml:space="preserve">CREST AUTO BODY_&amp; SERVICE INC</t>
  </si>
  <si>
    <t xml:space="preserve">S00718</t>
  </si>
  <si>
    <t xml:space="preserve">3560 WYNKOOP ST</t>
  </si>
  <si>
    <t xml:space="preserve">WATERSAVER COMPANY INC H_H WALLOWE2, JR PRESIDENT (1977; SIC 3599) | H_H WALLOWE%» JR (1977; SIC 3599)</t>
  </si>
  <si>
    <t xml:space="preserve">ARROW BAG CO OF COLORADO (1966) | WATERSAVER COMPANY INC H_H WALLOWE2, JR PRESIDENT (1977) | H_H WALLOWE%» JR (1977)</t>
  </si>
  <si>
    <t xml:space="preserve">FULTON DENVER COMPANY [FRS; 17 m] | BLACK DIAMOND WASTE SYSTEM INC [FRS; 27 m]</t>
  </si>
  <si>
    <t xml:space="preserve">AIR VAC SERVICES [FRS; 27 m]</t>
  </si>
  <si>
    <t xml:space="preserve">Warehouse Building UST</t>
  </si>
  <si>
    <t xml:space="preserve">S00719</t>
  </si>
  <si>
    <t xml:space="preserve">ARROW MFG CO (1966-1970; SIC 3523) | ARROW MFu CO (1968; SIC 3531,3548) | CEG CORP 0/8/A ARROW MFG CO (1973; SIC 3531,3537)</t>
  </si>
  <si>
    <t xml:space="preserve">ARROW MFG CO (1966) | ARROW MFu CO (1968) | CEG CORP 0/8/A ARROW MFG CO (1973)</t>
  </si>
  <si>
    <t xml:space="preserve">UPSHER-SMITH LABORATORIES [FRS; 214 m]</t>
  </si>
  <si>
    <t xml:space="preserve">TOOLS FOR BENDING [CDPHE RCRA; 0 m] | TOOLS FOR BENDING INCORPORATED [FRS; 96 m] | FRED AND SIE'S AUTO BODY [CDPHE RCRA; 202 m] | DENVER DIGITAL IMAGING CENTER [FRS; 207 m] | KMART 7303 [FRS; 217 m] | TOOLS FOR BENDING INCORPORATED [FRS] (address match) | TOOLS FOR BENDING [CDPHE RCRA] (address match)</t>
  </si>
  <si>
    <t xml:space="preserve">BIG R CONSTRUCTION [FRS; 41 m] | TOOLS FOR BENDING INC [FRS; 96 m] | 7-ELEVEN - STORE #23899 [FRS; 204 m] | NATURAL GROCERS [FRS; 213 m] | PDG DESIGN DISTRICT [FRS; 217 m] | ALAMEDA STATION VILLAGE [FRS; 227 m] | TOOLS FOR BENDING INC [FRS] (address match)</t>
  </si>
  <si>
    <t xml:space="preserve">TOOLS FOR BENDING</t>
  </si>
  <si>
    <t xml:space="preserve">S00725</t>
  </si>
  <si>
    <t xml:space="preserve">1242 11TH</t>
  </si>
  <si>
    <t xml:space="preserve">B+ C METALS PRODUCTS (1966; SIC 3559) | 8B + C METALS PRODUCTS (1968-1973; SIC 3551) | DONALD PATTERN WORKS (1970-1973; SIC 3565)</t>
  </si>
  <si>
    <t xml:space="preserve">B+ C METALS PRODUCTS (1966) | *CROUSE-WILLIAMS + co (1966) | 8B + C METALS PRODUCTS (1968) | DONALD PATTERN WORKS (1970)</t>
  </si>
  <si>
    <t xml:space="preserve">WATER STREET CATALYTIC SITE [FRS; 119 m] | First Year Student Housing (CU Denver) [CDPHE Voluntary_Cleanup_and_Redevelopment_Program_(VCUP)_new; 204 m] | FirstYear Student Housing [CDPHE Voluntary_Cleanup_and_Redevelopment_Program_(VCUP)_new; 204 m]</t>
  </si>
  <si>
    <t xml:space="preserve">UNIVERSITY OF COLORADO DENVER [FRS; 177 m] | METROPOLITAN STATE COLLEGE [FRS; 177 m] | IRONWORKS CDOT PROPERTY [FRS; 180 m]</t>
  </si>
  <si>
    <t xml:space="preserve">AURARIA LIBRARY RENOVATION [FRS; 79 m] | 10 ST PEDESTRIAN CORRIDOR PH III [FRS; 112 m] | AURARIA SCIENCE BUILDING [FRS; 159 m] | AURARIA HIGHER EDUCATION CENT [FRS; 177 m] | METROPOLITAN STATE COLLEGE AU [FRS; 177 m] | UNIVERSITY OF COLORADO DENVER [FRS; 205 m] | CU DENVER FIRST YEAR STUDENT HOUSING [FRS; 216 m] | AURARIA HIGHER EDUCATION CENTER [FRS; 235 m]</t>
  </si>
  <si>
    <t xml:space="preserve">S00726</t>
  </si>
  <si>
    <t xml:space="preserve">4799 DAHLIA</t>
  </si>
  <si>
    <t xml:space="preserve">1966;1970;1973;1974;1980;1983;1988;1990</t>
  </si>
  <si>
    <t xml:space="preserve">BAND-IT COMPANY (1966-1990; SIC 3423) | BAND~IT DIVESTONsHOUDAILUE IND INC (1980; SIC 3496,3429,3494) | SAMD=IT DIVISION, HOUDAILLE IND INC (1983; SIC 3496,3429)</t>
  </si>
  <si>
    <t xml:space="preserve">BAND-IT COMPANY (1966) | BAND~IT DIVESTONsHOUDAILUE IND INC (1980) | SAMD=IT DIVISION, HOUDAILLE IND INC (1983)</t>
  </si>
  <si>
    <t xml:space="preserve">Band-It [CDPHE Voluntary_Cleanup_and_Redevelopment_Program_(VCUP)_new; name match, 10 m] | Denver Wholesale Florist [CDPHE Voluntary_Cleanup_and_Redevelopment_Program_(VCUP)_new; 8 m] | Band-It [CDPHE Voluntary_Cleanup_and_Redevelopment_Program_(VCUP)_new] (address match) | Sand Creek/SND [CDPHE CDPHE Superfund] (inside site boundary)</t>
  </si>
  <si>
    <t xml:space="preserve">BAND-IT/IDEX, INC - BAND-IT [FRS; name match, 74 m]</t>
  </si>
  <si>
    <t xml:space="preserve">BAND-IT/IDEX INC [CDPHE RCRA; name match, 227 m]</t>
  </si>
  <si>
    <t xml:space="preserve">Denver Wholesale Florist</t>
  </si>
  <si>
    <t xml:space="preserve">BAND-IT/IDEX, INC - BAND-IT</t>
  </si>
  <si>
    <t xml:space="preserve">DENVER WHOLESALE FLORISTS</t>
  </si>
  <si>
    <t xml:space="preserve">S00729</t>
  </si>
  <si>
    <t xml:space="preserve">3610 BRIGHTON</t>
  </si>
  <si>
    <t xml:space="preserve">1966;1967;1968;1970;1977;1980;1983;1988</t>
  </si>
  <si>
    <t xml:space="preserve">BARONE INC (1966-1970; SIC 3441) | AUL*S CUSTOM GRINDING SERVICE INC (1966-1988; SIC 3599) | GAIR + BINDERUP MACHINE SHOP CO (1977-1980; SIC 3599) | 4 J MACHINING CO (1983; SIC 3499,3449)</t>
  </si>
  <si>
    <t xml:space="preserve">BARONE INC (1966) | AUL*S CUSTOM GRINDING SERVICE INC (1966) | GAIR + BINDERUP MACHINE SHOP CO (1977) | 4 J MACHINING CO (1983) | C6 OF DENVER ONS (1988)</t>
  </si>
  <si>
    <t xml:space="preserve">BRIGHTON BLVD. BROWNFIELD PROJECT [FRS; 45 m] | Collegiate Peaks Bank [CDPHE Voluntary_Cleanup_and_Redevelopment_Program_(VCUP)_new; 78 m] | Vasquez/VAS [CDPHE CDPHE Superfund] (inside site boundary)</t>
  </si>
  <si>
    <t xml:space="preserve">PAULS CUSTOM GRINDING SERVICE INC [FRS; name match, 17 m] | CITY AND COUNTY OF DENVER [FRS; 16 m] | ROCKY MOUNTAIN REMANUFACTURERS [FRS; 22 m]</t>
  </si>
  <si>
    <t xml:space="preserve">REVOLUTION 360 [FRS; 16 m] | REVOLUTION 360 [FRS; 36 m]</t>
  </si>
  <si>
    <t xml:space="preserve">BRIGHTON BLVD. BROWNFIELD PROJECT</t>
  </si>
  <si>
    <t xml:space="preserve">ARDENT MILLS</t>
  </si>
  <si>
    <t xml:space="preserve">CITY AND COUNTY OF DENVER</t>
  </si>
  <si>
    <t xml:space="preserve">S00735</t>
  </si>
  <si>
    <t xml:space="preserve">3201 BRIGHTON BLVD</t>
  </si>
  <si>
    <t xml:space="preserve">BENNETT, A Hy CO (1966; SIC 3079)</t>
  </si>
  <si>
    <t xml:space="preserve">BENNETT, A Hy CO (1966) | READY MIXED CONCRETE CO 3964 NEEDLES, PINS + SIMILAR NOTIONS (1970) | READY MIXED CONCRETE CO (1973) | LEE-BONA MILLWORK INC (1974)</t>
  </si>
  <si>
    <t xml:space="preserve">RiNo Center II [CDPHE Voluntary_Cleanup_and_Redevelopment_Program_(VCUP)_new; 35 m]</t>
  </si>
  <si>
    <t xml:space="preserve">BROADSTONE RINO DENVER [FRS; 8 m]</t>
  </si>
  <si>
    <t xml:space="preserve">RiNo Center II</t>
  </si>
  <si>
    <t xml:space="preserve">ROCKY MOUNTAIN INTL TRUCK INC</t>
  </si>
  <si>
    <t xml:space="preserve">S00739</t>
  </si>
  <si>
    <t xml:space="preserve">1515 JASMINE</t>
  </si>
  <si>
    <t xml:space="preserve">1966;1970</t>
  </si>
  <si>
    <t xml:space="preserve">BLACKWELL ELECTRONIC LABS INC (1966-1970; SIC 3599)</t>
  </si>
  <si>
    <t xml:space="preserve">BLACKWELL ELECTRONIC LABS INC (1966)</t>
  </si>
  <si>
    <t xml:space="preserve">BOK Financial [CDPHE Voluntary_Cleanup_and_Redevelopment_Program_(VCUP)_new; 54 m] | BOK Financial II [CDPHE Voluntary_Cleanup_and_Redevelopment_Program_(VCUP)_new; 54 m] | IVY STREET BROWNFIELD SITE [FRS; 70 m] | KEARNEY &amp; COLFAX [FRS; 73 m]</t>
  </si>
  <si>
    <t xml:space="preserve">BOK Financial</t>
  </si>
  <si>
    <t xml:space="preserve">EMPIRE OLDSMOBILE INCORPORATED</t>
  </si>
  <si>
    <t xml:space="preserve">S00742</t>
  </si>
  <si>
    <t xml:space="preserve">4800 BRIGHTON BLVD</t>
  </si>
  <si>
    <t xml:space="preserve">1967;1968;1970;1973;1974;1980;1983;1988;1990</t>
  </si>
  <si>
    <t xml:space="preserve">GRANNAN SAND + GRAVEL CO (1967-1990; SIC 2951) | BRANNAN SAND + GRAVEL CO (1968; SIC 2951)</t>
  </si>
  <si>
    <t xml:space="preserve">BRANNAN SAND + GRAVEL CO (1966) | *CUDAHY PACKING CU (1966) | BRANNAN SAND + GRAVEL CO (1968) | BAR-S FOODS (1988)</t>
  </si>
  <si>
    <t xml:space="preserve">OLD LANDFILL SITE [FRS; 2 m] | Vasquez/VAS [CDPHE CDPHE Superfund] (inside site boundary)</t>
  </si>
  <si>
    <t xml:space="preserve">READY MIXED CONCRETE - PLANT 6 [TRI; 46 m] | READY MIXED CONCRETE CO - PLANT 1 [TRI; 46 m]</t>
  </si>
  <si>
    <t xml:space="preserve">BAR S FOODS CO [FRS; name match, 2 m]</t>
  </si>
  <si>
    <t xml:space="preserve">BRANNAN SAND &amp; GRAVEL (HAZEMAG CRUSHER) [FRS; name match, 37 m] | NATIONAL WESTERN CENTER T2 03 AREA 3 DEMOLITION [FRS; 37 m] | NATIONAL WESTERN CENTER T2 03 AREA 3 DEMOLITION [FRS] (address match)</t>
  </si>
  <si>
    <t xml:space="preserve">OLD LANDFILL SITE</t>
  </si>
  <si>
    <t xml:space="preserve">READY MIXED CONCRETE - PLANT 6</t>
  </si>
  <si>
    <t xml:space="preserve">BAR S FOODS CO</t>
  </si>
  <si>
    <t xml:space="preserve">S00744</t>
  </si>
  <si>
    <t xml:space="preserve">3655 BRIGHTON BLVD</t>
  </si>
  <si>
    <t xml:space="preserve">BRUHN CO INC (1966-1970; SIC 3714)</t>
  </si>
  <si>
    <t xml:space="preserve">BRUHN CO INC (1966) | MILE-HI SERVICE + SUPPLY CO (1974) | SE¥-00 (1980) | BEV-CcO (1983)</t>
  </si>
  <si>
    <t xml:space="preserve">Collegiate Peaks Bank [CDPHE Voluntary_Cleanup_and_Redevelopment_Program_(VCUP)_new; 10 m] | BRIGHTON BLVD. BROWNFIELD PROJECT [FRS; 48 m] | Collegiate Peaks Bank [CDPHE Voluntary_Cleanup_and_Redevelopment_Program_(VCUP)_new] (address match) | Vasquez/VAS [CDPHE CDPHE Superfund] (inside site boundary)</t>
  </si>
  <si>
    <t xml:space="preserve">INDUSTRIAL MOTORS + MACHINING [FRS; 20 m]</t>
  </si>
  <si>
    <t xml:space="preserve">Collegiate Peaks Bank</t>
  </si>
  <si>
    <t xml:space="preserve">PREMIER COLLISION CENTER, INC.</t>
  </si>
  <si>
    <t xml:space="preserve">S00751</t>
  </si>
  <si>
    <t xml:space="preserve">5000 CLARKSON</t>
  </si>
  <si>
    <t xml:space="preserve">DANIEL RADIATION CORP (1990; SIC 3433)</t>
  </si>
  <si>
    <t xml:space="preserve">CAPITOL PACKING CO (1966) | *CARDINAL MEAT CO (1966) | UNITED PACKING CO (1970) | UNITED PACKING CO (1974) | DANIEL RADIATION CORP (1990) | MEGGISON ENTERPRISES INC (1992)</t>
  </si>
  <si>
    <t xml:space="preserve">GO DAN IND [FRS; 26 m] | PROLIANCE INTERNATIONAL INC [TRI; 59 m] | TRANSPRO INC [FRS; 112 m] | GO/DAN INDUSTRIES [TRI] (address match)</t>
  </si>
  <si>
    <t xml:space="preserve">SUPERIOR FARMS [FRS; 41 m] | MOUNTAIN MEADOW LAMB CORPORATION [FRS; 41 m] | CASTLE ROCK MEATS INC. - DENVER [FRS; 45 m] | FRONTIERE NATURAL MEATS, LLC [FRS; 49 m]</t>
  </si>
  <si>
    <t xml:space="preserve">S00753</t>
  </si>
  <si>
    <t xml:space="preserve">2501 W 16TH AVE</t>
  </si>
  <si>
    <t xml:space="preserve">80201</t>
  </si>
  <si>
    <t xml:space="preserve">1966;1967;1968;1973;1974;1977;1980</t>
  </si>
  <si>
    <t xml:space="preserve">CARD, C S IRON WORKS CO, THE (1966; SIC 3321) | CARD, C S$ IRON WORKS CO» THE (1967; SIC 3532,3321) | CARD CORPORATION (1968-1977; SIC 3321,3532,3323) | HERON POMA CO (1974; SIC 3538) | INSECO INC (1980; SIC 3443,3498,3599)</t>
  </si>
  <si>
    <t xml:space="preserve">CARD, C S IRON WORKS CO, THE (1966) | CARD, C S$ IRON WORKS CO» THE (1967) | CARD CORPORATION (1968) | HERCN POMA CO PRINTING, LITHOGRAPHIC 2352 HATS AND CAPS, EXCEPT MILLINERY (1973) | HERON POMA CO (1974) | INSECO INC (1980)</t>
  </si>
  <si>
    <t xml:space="preserve">Anchor Bolt Facility [CDPHE Voluntary_Cleanup_and_Redevelopment_Program_(VCUP)_new; 174 m] | Anchor Bolt Facility [CDPHE Voluntary_Cleanup_and_Redevelopment_Program_(VCUP)_new; 183 m] | PLATTE STREET BROWNFIELDS PROJECT [FRS; 206 m]</t>
  </si>
  <si>
    <t xml:space="preserve">T&amp;R ENGRAVING [FRS; 171 m]</t>
  </si>
  <si>
    <t xml:space="preserve">REI [CDPHE RCRA; 149 m] | PLATTE ANCHOR BOLT CO [CDPHE RCRA; 149 m] | PAUL JEIINEK [FRS; 154 m] | PLATTE ANCHOR BOLT CO [FRS; 170 m] | IMAGESYSTEMS INC [FRS; 227 m] | T &amp; R ENGRAVING INC [CDPHE RCRA; 239 m]</t>
  </si>
  <si>
    <t xml:space="preserve">MODERA LOHI [FRS; 79 m] | CITY AND COUNTY OF DENVER PARKS RECREATI [FRS; 147 m] | I-25 SB: 20TH ST TO SPEER BLVD. OPERATIONAL IMPROVEMENTS [FRS; 147 m] | UPI PLATTE [FRS; 155 m] | GALVANIZE 2.0 [FRS; 170 m] | 2420 17 ST LAB [FRS; 176 m] | LOHI CITY VIEW APARTMENTS [FRS; 185 m] | BPX PERMIAN MIDSTREAM BUSINESS UNIT [FRS; 206 m] | 1701 PLATTE OFFICE BUILDING [FRS; 206 m] | 1700 PLATTE ST [FRS; 206 m</t>
  </si>
  <si>
    <t xml:space="preserve">REI</t>
  </si>
  <si>
    <t xml:space="preserve">S00754</t>
  </si>
  <si>
    <t xml:space="preserve">3940 W COLFAX</t>
  </si>
  <si>
    <t xml:space="preserve">CEARA PRODUCTS INC (1966-1968; SIC 2899)</t>
  </si>
  <si>
    <t xml:space="preserve">CEARA PRODUCTS INC (1966) | PAPER*S PASTRY PLACE (1966) | CITY PARK-BROOKRIDGE (1967) | fF «+R meat CO (1980)</t>
  </si>
  <si>
    <t xml:space="preserve">PERRY I [FRS; 75 m] | Block 9/Perry I-IV, II [CDPHE Voluntary_Cleanup_and_Redevelopment_Program_(VCUP)_new; 80 m] | Block 9/Perry 1-IV [CDPHE Voluntary_Cleanup_and_Redevelopment_Program_(VCUP)_new; 80 m]</t>
  </si>
  <si>
    <t xml:space="preserve">FRITTS REALTY LLC [FRS; 55 m]</t>
  </si>
  <si>
    <t xml:space="preserve">PERRY I</t>
  </si>
  <si>
    <t xml:space="preserve">U S DRUG ENFORCEMENT ADMIN</t>
  </si>
  <si>
    <t xml:space="preserve">S00760</t>
  </si>
  <si>
    <t xml:space="preserve">4190 MADISON ST</t>
  </si>
  <si>
    <t xml:space="preserve">CHANEY PLASTIC MOLDING CO (1966; SIC 3714) | CHANEY PLASTIC MOLDING Co HJ COFFMAN PARTNER (1967; SIC 3079) | GOLOBERG BROTFERS INC, PLASTICS DIV (1968; SIC 3079) | M-W ENTERPRISES (1970-1974; SIC 3591,3714) | MARK WILLIAMS ENTERPRISES INC (1980-1983; SIC 3714,3599,3498)</t>
  </si>
  <si>
    <t xml:space="preserve">CHANEY PLASTIC MOLDING CO (1966) | CHANEY PLASTIC MOLDING Co HJ COFFMAN PARTNER (1967) | GOLOBERG BROTFERS INC, PLASTICS DIV (1968) | M-W ENTERPRISES (1970) | MARK WILLIAMS ENTERPRISES INC (1980) | WODEN WOODS INC (1983)</t>
  </si>
  <si>
    <t xml:space="preserve">WODEN WOODS INC [FRS; name match, 35 m] | WODEN WOODS INC [FRS] (address match) | WODEN WOODS INC [CDPHE RCRA] (address match)</t>
  </si>
  <si>
    <t xml:space="preserve">WODEN WOODS INC</t>
  </si>
  <si>
    <t xml:space="preserve">S00788</t>
  </si>
  <si>
    <t xml:space="preserve">3120 BLAKE</t>
  </si>
  <si>
    <t xml:space="preserve">COWBOY METAL PRODUCTS INC (1992; SIC 3444,3429,3792)</t>
  </si>
  <si>
    <t xml:space="preserve">CRAIGHEAD, JOHN R, CO INC (1966) | BUSINESS CARD JOHN R CRAIGHEAD CO (1988) | COWBOY METAL PRODUCTS INC (1992)</t>
  </si>
  <si>
    <t xml:space="preserve">Brick Plant II [CDPHE Voluntary_Cleanup_and_Redevelopment_Program_(VCUP)_new; 16 m] | Brick Plant I [CDPHE Voluntary_Cleanup_and_Redevelopment_Program_(VCUP)_new; 16 m] | Village Flats [CDPHE Voluntary_Cleanup_and_Redevelopment_Program_(VCUP)_new; 40 m]</t>
  </si>
  <si>
    <t xml:space="preserve">Brick Plant II</t>
  </si>
  <si>
    <t xml:space="preserve">STEW JACKSON ENTERPRISES</t>
  </si>
  <si>
    <t xml:space="preserve">S00789</t>
  </si>
  <si>
    <t xml:space="preserve">1298 S KALAMATH</t>
  </si>
  <si>
    <t xml:space="preserve">ASPEN DESIGN+MFG CO (1988; SIC 2822,2542,3877)</t>
  </si>
  <si>
    <t xml:space="preserve">CREATIVE ILLUMINATION INC (1966) | ASPEN MFG CO (1970) |  (1977) | ASPEN DESIGN + MANUFACTURING (1983)</t>
  </si>
  <si>
    <t xml:space="preserve">ELECTRO-MECHANICAL PRODUCTS INC [FRS; 20 m]</t>
  </si>
  <si>
    <t xml:space="preserve">TITAN LABELS INC [FRS; 38 m]</t>
  </si>
  <si>
    <t xml:space="preserve">1400 S. Lipan</t>
  </si>
  <si>
    <t xml:space="preserve">TITAN LABELS INC</t>
  </si>
  <si>
    <t xml:space="preserve">S00807</t>
  </si>
  <si>
    <t xml:space="preserve">40 W 49TH AVE</t>
  </si>
  <si>
    <t xml:space="preserve">ELECTRIC EQUIPMENT + ENGINEERING CO (1966; SIC 3566)</t>
  </si>
  <si>
    <t xml:space="preserve">ELECTRIC EQUIPMENT + ENGINEERING CO (1966)</t>
  </si>
  <si>
    <t xml:space="preserve">ELECTRIC EQUIPMENT &amp; ENGINEERING [FRS; name match, 41 m] | ELECTRIC EQUIPMENT &amp; ENGINEERING [FRS] (address match) | ELECTRIC EQUIPMENT &amp; ENGINEERING [TRI] (address match)</t>
  </si>
  <si>
    <t xml:space="preserve">ELECTRIC EQUIPMENT &amp; ENGINEERING [CDPHE RCRA; name match, 5 m] | ELECTRIC EQUIPMENT &amp; ENGINEERING [CDPHE RCRA] (address match)</t>
  </si>
  <si>
    <t xml:space="preserve">Gaines Family II</t>
  </si>
  <si>
    <t xml:space="preserve">S00808</t>
  </si>
  <si>
    <t xml:space="preserve">4120 YORK</t>
  </si>
  <si>
    <t xml:space="preserve">FLECTRIC STORAGE BATTERY CO (1966-1968; SIC 3449)</t>
  </si>
  <si>
    <t xml:space="preserve">FLECTRIC STORAGE BATTERY CO (1966)</t>
  </si>
  <si>
    <t xml:space="preserve">Exide Batteries I [CDPHE Voluntary_Cleanup_and_Redevelopment_Program_(VCUP)_new; 14 m] | Exide Batteries II [CDPHE Voluntary_Cleanup_and_Redevelopment_Program_(VCUP)_new; 14 m] | ESB INC [FRS; 14 m] | Exide Batteries I [CDPHE Voluntary_Cleanup_and_Redevelopment_Program_(VCUP)_new] (address match) | Exide Batteries II [CDPHE Voluntary_Cleanup_and_Redevelopment_Program_(VCUP)_new] (address match) | </t>
  </si>
  <si>
    <t xml:space="preserve">EXIDE TECHNOLOGIES CORPORATION-CLEANUP SPILL [FRS; 14 m]</t>
  </si>
  <si>
    <t xml:space="preserve">Exide Batteries I</t>
  </si>
  <si>
    <t xml:space="preserve">EXIDE TECHNOLOGIES CORPORATION-CLEANUP SPILL</t>
  </si>
  <si>
    <t xml:space="preserve">S00815</t>
  </si>
  <si>
    <t xml:space="preserve">4040 E LOUISIANA</t>
  </si>
  <si>
    <t xml:space="preserve">FRONTIER REFINING (1966-1968; SIC 2911)</t>
  </si>
  <si>
    <t xml:space="preserve">FRONTIER REFINING (1966)</t>
  </si>
  <si>
    <t xml:space="preserve">HARBERT HOUSE [FRS; 44 m]</t>
  </si>
  <si>
    <t xml:space="preserve">HARBERT HOUSE</t>
  </si>
  <si>
    <t xml:space="preserve">HATCH AUTO BODY</t>
  </si>
  <si>
    <t xml:space="preserve">S00817</t>
  </si>
  <si>
    <t xml:space="preserve">1223 QUIVAS ST</t>
  </si>
  <si>
    <t xml:space="preserve">1966;1967;1968;1970;1974;1983;1988;1990</t>
  </si>
  <si>
    <t xml:space="preserve">COLORADO COUPERAGE woRKS (1966-1970; SIC 3449) | MASTER MANUFACTURERS INC (1974-1990; SIC 3469,3429)</t>
  </si>
  <si>
    <t xml:space="preserve">COLORADO COUPERAGE woRKS (1966) | G + L GRANITE CO (1966) | MASTER MANUFACTURERS INC (1974) | ERICKSON MONUMENTS (1983) | ERICKSON MONUMENTS (1988)</t>
  </si>
  <si>
    <t xml:space="preserve">WESTERN MOBILE NORTHERN INC [FRS; 73 m] | Denver Radium/DRS [CDPHE CDPHE Superfund] (inside site boundary)</t>
  </si>
  <si>
    <t xml:space="preserve">QUARRY PARTNERS, LLC [FRS; 41 m] | 1201-1245 QUIVAS STREET DEMOLITION [FRS; 51 m]</t>
  </si>
  <si>
    <t xml:space="preserve">S00818</t>
  </si>
  <si>
    <t xml:space="preserve">3938 WYNKOOP</t>
  </si>
  <si>
    <t xml:space="preserve">1966;1968;1970;1974</t>
  </si>
  <si>
    <t xml:space="preserve">GARDNER-DENVER CO, DENVER DIVISION (1966-1970; SIC 3532) | ALLIED STEEL CC (1974; SIC 3441)</t>
  </si>
  <si>
    <t xml:space="preserve">GARDNER-DENVER CO, DENVER DIVISION (1966) | ALLIED STEEL CC (1974)</t>
  </si>
  <si>
    <t xml:space="preserve">Wynkoop - Parcel B [CDPHE Voluntary_Cleanup_and_Redevelopment_Program_(VCUP)_new; 75 m] | 3901 Wynkoop St. [CDPHE Institutional_Controls_PROD_local; 96 m] | 3901 Wynkoop St. [CDPHE Institutional_Controls_PROD_local] (inside site boundary) | Vasquez/VAS [CDPHE CDPHE Superfund] (inside site boundary)</t>
  </si>
  <si>
    <t xml:space="preserve">PEPSI COLA BOTTLING CO [FRS; 86 m] | PEPSI BOTTLING GROUP [TRI; 108 m]</t>
  </si>
  <si>
    <t xml:space="preserve">GARDNER DENVER FACILITY [FRS; name match, 68 m]</t>
  </si>
  <si>
    <t xml:space="preserve">3901 WYNKOOP [FRS; 22 m] | AMERICAN ROCKY MOUNTAINEER 36 ST YARD [FRS; 46 m]</t>
  </si>
  <si>
    <t xml:space="preserve">Wynkoop - Parcel B</t>
  </si>
  <si>
    <t xml:space="preserve">PEPSI COLA BOTTLING CO</t>
  </si>
  <si>
    <t xml:space="preserve">GARDNER DENVER FACILITY</t>
  </si>
  <si>
    <t xml:space="preserve">S00819</t>
  </si>
  <si>
    <t xml:space="preserve">2901 INCA</t>
  </si>
  <si>
    <t xml:space="preserve">1966;1968;1970;1974;1977;1980;1990</t>
  </si>
  <si>
    <t xml:space="preserve">GARDNER TOULS CORP (1966-1990; SIC 3599) | DENVER PRECISION PRODUCTS (1974-1977; SIC 3451)</t>
  </si>
  <si>
    <t xml:space="preserve">GARDNER TOULS CORP (1966) | AVE (1968) | MILE HI FURNITURE CO (1970) | DENVER PRECISION PRODUCTS (1974)</t>
  </si>
  <si>
    <t xml:space="preserve">Prospect Place Parcel [CDPHE Voluntary_Cleanup_and_Redevelopment_Program_(VCUP)_new; 15 m] | Prospect Place [CDPHE Voluntary_Cleanup_and_Redevelopment_Program_(VCUP)_new; 29 m]</t>
  </si>
  <si>
    <t xml:space="preserve">GARDNER TOOLS INC [FRS; name match, 0 m]</t>
  </si>
  <si>
    <t xml:space="preserve">20 AVE AND CHESTNUT ST [FRS; name match, 231 m]</t>
  </si>
  <si>
    <t xml:space="preserve">S00821</t>
  </si>
  <si>
    <t xml:space="preserve">999 S BROADWAY</t>
  </si>
  <si>
    <t xml:space="preserve">1966;1967;1970;1974;1977;1980;1990</t>
  </si>
  <si>
    <t xml:space="preserve">GATES RUBBER CU, THE (1966; SIC 3011) | GATES RUBBER CO, THE (1967-1980; SIC 3069,3011,3499) | GATES RUBBER CO. THE 2761 MANIFILO BUSINESS FORMS (1977; SIC 3069) | THE GATES RUBBER CO (1990; SIC 3052,3069)</t>
  </si>
  <si>
    <t xml:space="preserve">GATES RUBBER CU, THE (1966) | GATES RUBBER CO, THE (1967) | GATES RUBBER CO. THE 2761 MANIFILO BUSINESS FORMS (1977) | THE GATES RUBBER CO (1990)</t>
  </si>
  <si>
    <t xml:space="preserve">Gates Rubber Facility Unit 47 [CDPHE Voluntary_Cleanup_and_Redevelopment_Program_(VCUP)_new; name match, 14 m] | Gates Rubber: Kentucky Ave #9 [CDPHE Voluntary_Cleanup_and_Redevelopment_Program_(VCUP)_new; name match, 180 m] | Gates Rubber Co - Creamery Parcel 5 [CDPHE CDPHE Brownfield; name match, 188 m] | Gates Rubber: Creamery Parcel II (#5) [CDPHE Voluntary_Cleanup_and_Redevelopment_Program_(V</t>
  </si>
  <si>
    <t xml:space="preserve">GATES RUBBER CO AUTO BATTERY [FRS; name match, 115 m] | THE GATES RUBBER COMPANY [FRS; name match, 115 m] | GATES RUBBER MED BLDG [FRS; name match, 130 m] | GATES RUBBER CO AUTO BATTERY [TRI; name match, 169 m] | GATES CORP [TRI; name match, 169 m]</t>
  </si>
  <si>
    <t xml:space="preserve">BROADWAY STATION PARTNERS LLC [FRS; 7 m] | BROADWAY STATION PARTNERS LLC [FRS] (address match) | BROADWAY STATION PARTNERS LLC [CDPHE RCRA] (address match)</t>
  </si>
  <si>
    <t xml:space="preserve">GATES RUBBER CO [FRS; name match, 72 m] | GATES RUBBER FACTORY DEMO [FRS; name match, 221 m]</t>
  </si>
  <si>
    <t xml:space="preserve">Gates Rubber Facility Unit 47</t>
  </si>
  <si>
    <t xml:space="preserve">GATES RUBBER CO AUTO BATTERY</t>
  </si>
  <si>
    <t xml:space="preserve">S00822</t>
  </si>
  <si>
    <t xml:space="preserve">8250 E 40TH AVE</t>
  </si>
  <si>
    <t xml:space="preserve">1977;1983;1992</t>
  </si>
  <si>
    <t xml:space="preserve">ARDCO CORP (1977-1992; SIC 3069)</t>
  </si>
  <si>
    <t xml:space="preserve">GAYSTONE PRODUCTS CO INC (1966) |  (1974) | ARDCO CORP (1977)</t>
  </si>
  <si>
    <t xml:space="preserve">ARDCO CORP [FRS; name match, 72 m] | ARDCO CORP [FRS] (address match)</t>
  </si>
  <si>
    <t xml:space="preserve">ARDCO CORP [TRI; name match, 47 m] | ARDCO CORP [TRI] (address match)</t>
  </si>
  <si>
    <t xml:space="preserve">QUALITY LININGS COMPANY INC [CDPHE RCRA] (address match)</t>
  </si>
  <si>
    <t xml:space="preserve">QUALITY LININGS &amp; PAINTING [FRS] (address match)</t>
  </si>
  <si>
    <t xml:space="preserve">AVIATION INDUSTRIAL SUPPLY</t>
  </si>
  <si>
    <t xml:space="preserve">S00842</t>
  </si>
  <si>
    <t xml:space="preserve">3434 E 43RD AVE</t>
  </si>
  <si>
    <t xml:space="preserve">1966;1968;1980;1983;1990</t>
  </si>
  <si>
    <t xml:space="preserve">H + H WELDING (1966-1968; SIC 3441) | EHUTRONMENTAL ENBERPRISES INC (1980; SIC 3433) | ENVIRONMENTAL ENTERPRISES INC (1983-1990; SIC 3433)</t>
  </si>
  <si>
    <t xml:space="preserve">H + H WELDING (1966) | EHUTRONMENTAL ENBERPRISES INC (1980) | ENVIRONMENTAL ENTERPRISES INC (1983)</t>
  </si>
  <si>
    <t xml:space="preserve">ENVIRONMENTAL ENTERPRISES INC [FRS; name match, 17 m] | NATIONAL TRANSMISSION [FRS; 17 m] | NATIONAL TRANSMISSION [FRS] (address match) | NATIONAL TRANSMISSION INC [CDPHE RCRA] (address match)</t>
  </si>
  <si>
    <t xml:space="preserve">KBP COIL COATERS INC - 3600 E 44TH AVE</t>
  </si>
  <si>
    <t xml:space="preserve">ENVIRONMENTAL ENTERPRISES INC</t>
  </si>
  <si>
    <t xml:space="preserve">S00858</t>
  </si>
  <si>
    <t xml:space="preserve">3853 WALNUT ST</t>
  </si>
  <si>
    <t xml:space="preserve">1966;1967;1968;1970;1977;1980;1988;1990</t>
  </si>
  <si>
    <t xml:space="preserve">HUBART METAL PRODUCTS CO (1966-1990; SIC 3566) | HUBART METAL PRODUCTS CC (1968; SIC 3714,3591,3613) | BROADENS” (1988; SIC 3449,3499,3536)</t>
  </si>
  <si>
    <t xml:space="preserve">HUBART METAL PRODUCTS CO (1966) | HUBART METAL PRODUCTS CC (1968) | ALLEN, R.oH. COW 3728 AIRCRAFT EQUIPMENT, NEC (1974) | BROADENS” (1988)</t>
  </si>
  <si>
    <t xml:space="preserve">38th and Blake St. II</t>
  </si>
  <si>
    <t xml:space="preserve">AURARIA PARKING STRUCTURE</t>
  </si>
  <si>
    <t xml:space="preserve">S00859</t>
  </si>
  <si>
    <t xml:space="preserve">4427 GAYLORD</t>
  </si>
  <si>
    <t xml:space="preserve">HUBERT MFG CO (1966; SIC 3599) | WILLIAM D BURCHETT EMP-1 To 9 (1977; SIC 3599)</t>
  </si>
  <si>
    <t xml:space="preserve">HUBERT MFG CO (1966) | KNUDSEN PRINTING CO (1966) | KNUDSEN PRINTING CC KH TREISEN PRES (1968) | WILLIAM D BURCHETT EMP-1 To 9 (1977)</t>
  </si>
  <si>
    <t xml:space="preserve">NESTLE PURINA PETCARE COMPANY - YORK ST</t>
  </si>
  <si>
    <t xml:space="preserve">DO MORE RECYCLING</t>
  </si>
  <si>
    <t xml:space="preserve">S00867</t>
  </si>
  <si>
    <t xml:space="preserve">4940 E ASBURY AVE</t>
  </si>
  <si>
    <t xml:space="preserve">INDUSTRIAL TEXIILES CO-SKYLINE ENG (1966-1968; SIC 3079)</t>
  </si>
  <si>
    <t xml:space="preserve">INDUSTRIAL TEXIILES CO-SKYLINE ENG (1966)</t>
  </si>
  <si>
    <t xml:space="preserve">Elder Auto [CDPHE Voluntary_Cleanup_and_Redevelopment_Program_(VCUP)_new; 20 m] | Elder Auto [CDPHE Voluntary_Cleanup_and_Redevelopment_Program_(VCUP)_new] (address match)</t>
  </si>
  <si>
    <t xml:space="preserve">Elder Auto</t>
  </si>
  <si>
    <t xml:space="preserve">ENTENMANNS OROWEAT FOODS COMPANY</t>
  </si>
  <si>
    <t xml:space="preserve">US EPA CLEANUP (FIT)</t>
  </si>
  <si>
    <t xml:space="preserve">S00874</t>
  </si>
  <si>
    <t xml:space="preserve">13 13TH AVE</t>
  </si>
  <si>
    <t xml:space="preserve">JOBBERS SERVICE INC (1966-1968; SIC 3714) | JOBBERS SERVICE INC 2782 BLANKBOCKS, LOCSE LEAF BINDERS (1967; SIC 3714)</t>
  </si>
  <si>
    <t xml:space="preserve">JOBBERS SERVICE INC (1966) | JOBBERS SERVICE INC 2782 BLANKBOCKS, LOCSE LEAF BINDERS (1967)</t>
  </si>
  <si>
    <t xml:space="preserve">NORTHSIDE TREATMENT PLANT [FRS; 108 m] | Populus Site II [CDPHE Voluntary_Cleanup_and_Redevelopment_Program_(VCUP)_new; 171 m] | Populus Site [CDPHE Voluntary_Cleanup_and_Redevelopment_Program_(VCUP)_new; 171 m] | DENVER FIREWORKS DISPOSAL [FRS; 231 m] | VALLEJO FIREWORKS [FRS; 243 m] | HOLLY STREET FIREWORKS [FRS; 243 m]</t>
  </si>
  <si>
    <t xml:space="preserve">US DEPARTMENT OF THE TREASURY US MINT - DENVER FACILITY [FRS; 53 m] | RMO INC [TRI; 193 m]</t>
  </si>
  <si>
    <t xml:space="preserve">UNITED STATES MINT - DENVER [FRS; 53 m] | ROCKY MOUNTAIN NEWS [FRS; 53 m] | CITY AND COUNTY OF DENVER [FRS; 134 m] | A&amp;K AUTO WORKS INC [FRS; 142 m] | CITY AND COUNTY OF DENVER [CDPHE RCRA; 147 m] | DENVER ART MUSEUM - ANNEX BLDG [FRS; 166 m] | DENVER PUBLIC SCHOOLS [FRS; 172 m] | DENVER POLICE CRIME LAB [CDPHE RCRA; 218 m] | DELAWARE PARKS MAINTENANCE SHOP [FRS; 223 m] | DENVER POLICE CRIME LAB [</t>
  </si>
  <si>
    <t xml:space="preserve">UNITED STATES MINT [FRS; 53 m] | VAN CISE SIMONET DETENTION CTR [FRS; 57 m] | CITY &amp; COUNTY OF DENVER - VAN CISE [FRS; 57 m] | AT&amp;T WIRELESS CAPITOL HILL [FRS; 103 m] | CITY AND COUNTY BUILDING [FRS; 134 m] | HOTCHKISS INCORPORATED [FRS; 149 m] | CITY &amp; COUNTY OF DENVER - COURTHOUSE [FRS; 153 m] | 225 W. COLFAX AVE. [FRS; 188 m] | FOX AND COLFAX- EMBREY [FRS; 200 m] | FOX AND COLFAX-EMBREY [FRS; 2</t>
  </si>
  <si>
    <t xml:space="preserve">NORTHSIDE TREATMENT PLANT</t>
  </si>
  <si>
    <t xml:space="preserve">US DEPARTMENT OF THE TREASURY US MINT - DENVER FACILITY</t>
  </si>
  <si>
    <t xml:space="preserve">UNITED STATES MINT - DENVER</t>
  </si>
  <si>
    <t xml:space="preserve">S00875</t>
  </si>
  <si>
    <t xml:space="preserve">1733 MARKET</t>
  </si>
  <si>
    <t xml:space="preserve">JOHNSON, ELMER Sy SHEET METAL (1966-1974; SIC 3441)</t>
  </si>
  <si>
    <t xml:space="preserve">JOHNSON, ELMER Sy SHEET METAL (1966) | TWO BROTHERS DESIGNS (1980)</t>
  </si>
  <si>
    <t xml:space="preserve">RTD East Corridor Union Station to DIA [CDPHE Voluntary_Cleanup_and_Redevelopment_Program_(VCUP)_new; 55 m] | MSE Structures [CDPHE Voluntary_Cleanup_and_Redevelopment_Program_(VCUP)_new; 55 m] | Huron Street Redevelopment Project [CDPHE Voluntary_Cleanup_and_Redevelopment_Program_(VCUP)_new; 55 m] | 17th Street Apartments [CDPHE Voluntary_Cleanup_and_Redevelopment_Program_(VCUP)_new; 55 m] | Cent</t>
  </si>
  <si>
    <t xml:space="preserve">UT22197-04625  15-28-8-17 [FRS; 53 m]</t>
  </si>
  <si>
    <t xml:space="preserve">RTD East Corridor Union Station to DIA</t>
  </si>
  <si>
    <t xml:space="preserve">OMNIVEST PUBLISHING INC</t>
  </si>
  <si>
    <t xml:space="preserve">S00886</t>
  </si>
  <si>
    <t xml:space="preserve">800 WATER</t>
  </si>
  <si>
    <t xml:space="preserve">1966;1968;1970;1973;1974;1980</t>
  </si>
  <si>
    <t xml:space="preserve">KWAL PAINTS INC (1966; SIC 2851) | SCIENTIFIC SuPPLY CO (1966-1968; SIC 2841) | FIC SUPPLY CO (1970; SIC 2841) | JOURGENSEN PAINT MFG CO (1973; SIC 2851,2899) | KWAL PAINTS INC (1973-1974; SIC 2851) | FoVe PEXLEY + ASSOC.INC (1980; SIC 3567)</t>
  </si>
  <si>
    <t xml:space="preserve">KWAL PAINTS INC (1966) | SCIENTIFIC SuPPLY CO (1966) | FIC SUPPLY CO (1970) | JOURGENSEN PAINT MFG CO (1973) | KWAL PAINTS INC (1973) | FoVe PEXLEY + ASSOC.INC (1980)</t>
  </si>
  <si>
    <t xml:space="preserve">Ocean Journey Aquarium II [CDPHE Voluntary_Cleanup_and_Redevelopment_Program_(VCUP)_new; 96 m] | Ocean Journey Aquarium I [CDPHE Voluntary_Cleanup_and_Redevelopment_Program_(VCUP)_new; 96 m]</t>
  </si>
  <si>
    <t xml:space="preserve">Ocean Journey Aquarium II</t>
  </si>
  <si>
    <t xml:space="preserve">COLORADO OCEAN JOURNEY</t>
  </si>
  <si>
    <t xml:space="preserve">S00891</t>
  </si>
  <si>
    <t xml:space="preserve">3062 FOX</t>
  </si>
  <si>
    <t xml:space="preserve">1966;1968;1970;1974;1980;1983;1990;1992</t>
  </si>
  <si>
    <t xml:space="preserve">LEE soap co (1966-1992; SIC 2841)</t>
  </si>
  <si>
    <t xml:space="preserve">LEE soap co (1966) |  (1967)</t>
  </si>
  <si>
    <t xml:space="preserve">Goody Coal Company [CDPHE Voluntary_Cleanup_and_Redevelopment_Program_(VCUP)_new; 242 m]</t>
  </si>
  <si>
    <t xml:space="preserve">SOUTH PLATTE RIVER PARKS MAINTENANCE DIST [FRS; 110 m] | BNSF RAILWAY COMPANY/SUNCOR ENERGY [FRS; 185 m] | ARNED LIFT TRUCKSERVICE INC [FRS; 247 m]</t>
  </si>
  <si>
    <t xml:space="preserve">BURLINGTON NORTHERN RR [FRS; 185 m] | BURLINGTON NORTHERN RAILROAD [FRS; 206 m]</t>
  </si>
  <si>
    <t xml:space="preserve">Goody Coal Company</t>
  </si>
  <si>
    <t xml:space="preserve">SOUTH PLATTE RIVER PARKS MAINTENANCE DIST</t>
  </si>
  <si>
    <t xml:space="preserve">S00894</t>
  </si>
  <si>
    <t xml:space="preserve">1830 S BANNOCK</t>
  </si>
  <si>
    <t xml:space="preserve">SHATTUCK, S Ws CHEMICAL CO (1970-1980; SIC 2819) | ELECTROHYGIENICS INC (1973; SIC 3611,3589) | PERRY TOOL + CIE CO (1974; SIC 3544) | R JR CIRCUTS (1983; SIC 3679)</t>
  </si>
  <si>
    <t xml:space="preserve">LEIMAN-BRUCE INC (1966) | SHATTUCK, S Ws CHEMICAL CO (1970) | ELECTROHYGIENICS INC (1973) | CARPENTER SHOP THE (1974) | PERRY TOOL + CIE CO (1974) | R JR CIRCUTS (1983)</t>
  </si>
  <si>
    <t xml:space="preserve">SW SHATTUCK CHEMICAL CO INC [FRS; name match, 41 m] | Denver Radium/DRS [CDPHE CDPHE Superfund] (inside site boundary)</t>
  </si>
  <si>
    <t xml:space="preserve">RJR CIRCUITS INC [TRI; name match, 9 m] | RJR CIRCUITS INC [FRS; name match, 35 m]</t>
  </si>
  <si>
    <t xml:space="preserve">ENCORE EVANS STATION APARTMENTS [FRS; 41 m]</t>
  </si>
  <si>
    <t xml:space="preserve">SW SHATTUCK CHEMICAL CO INC</t>
  </si>
  <si>
    <t xml:space="preserve">RJR CIRCUITS INC</t>
  </si>
  <si>
    <t xml:space="preserve">TOPPERSCOT INC</t>
  </si>
  <si>
    <t xml:space="preserve">S00895</t>
  </si>
  <si>
    <t xml:space="preserve">4200 MADISON</t>
  </si>
  <si>
    <t xml:space="preserve">LEONARD MOLD # DIE WORKS (1966; SIC 3559)</t>
  </si>
  <si>
    <t xml:space="preserve">LEONARD MOLD # DIE WORKS (1966)</t>
  </si>
  <si>
    <t xml:space="preserve">SELZEE INC [FRS; 120 m] | REGION 8 ENVIRO LLC [CDPHE RCRA; 173 m] | REGION 8 EVIRO LLC [FRS; 174 m] | MYKU BIOSCIENCES LLC [FRS; 217 m] | WODEN WOODS INC [FRS; 223 m]</t>
  </si>
  <si>
    <t xml:space="preserve">HERITAGE WINDOW RESTORATION LLC [FRS; 178 m] | 39 AVE GREENWAY AND PARK HILL DETENTION [FRS; 205 m]</t>
  </si>
  <si>
    <t xml:space="preserve">SELZEE INC</t>
  </si>
  <si>
    <t xml:space="preserve">S00898</t>
  </si>
  <si>
    <t xml:space="preserve">1224 WALNUT</t>
  </si>
  <si>
    <t xml:space="preserve">METALIZING SPECIALTIES CO (1967-1968; SIC 3471)</t>
  </si>
  <si>
    <t xml:space="preserve">LINCOLN ELECTRIC CO (1966) | METALIZING SPECIALTIES Cu (1966)</t>
  </si>
  <si>
    <t xml:space="preserve">Pepsi Center [CDPHE Voluntary_Cleanup_and_Redevelopment_Program_(VCUP)_new; 170 m] | Pepsi Center [CDPHE Voluntary_Cleanup_and_Redevelopment_Program_(VCUP)_new; 177 m]</t>
  </si>
  <si>
    <t xml:space="preserve">ATLAS METAL &amp; IRON CORP [CDPHE RCRA; 46 m] | ELITCH GARDENS [CDPHE RCRA; 46 m] | IRONWORKS CDOT PROPERTY [FRS; 156 m] | TIVOLI BREWERY AND TAPHOUSE [FRS; 161 m] | SOUTHERN PACIFIC TRANSPORTATION [FRS; 176 m] | METROPOLITAN STATE UNIVERSITY OF DENVER [FRS; 178 m] | METROPOLITAN STATE UNIVERSITY OF DENVER [CDPHE RCRA; 178 m]</t>
  </si>
  <si>
    <t xml:space="preserve">LOCATED IN THE CORNER OF 10TH AND WALNUT AT THE EDGE OF ATHLETIC FLD [FRS; 66 m] | AURARIA TIVOLI QUAD [FRS; 161 m] | AURARIA MSU MIXED USE [FRS; 179 m] | CU DENVER FIRST YEAR STUDENT HOUSING [FRS; 196 m] | METRO STATE HOTEL &amp; HOSPITALITY LEARNING CENTER [FRS; 215 m] | VERIZON WIRELESS - 921 CHOPPER CIRCLE [FRS; 243 m]</t>
  </si>
  <si>
    <t xml:space="preserve">S00899</t>
  </si>
  <si>
    <t xml:space="preserve">4309 ELATI</t>
  </si>
  <si>
    <t xml:space="preserve">LINDQUIST, STAN, AUTO PARTS INC (1966-1968; SIC 3714) | AUTO PARTS + (1973; SIC 3714)</t>
  </si>
  <si>
    <t xml:space="preserve">LINDQUIST, STAN, AUTO PARTS INC (1966) | AUTO PARTS + (1973)</t>
  </si>
  <si>
    <t xml:space="preserve">MAJESTIC LITHO [FRS; 31 m]</t>
  </si>
  <si>
    <t xml:space="preserve">G.J. CORPORATION</t>
  </si>
  <si>
    <t xml:space="preserve">S00900</t>
  </si>
  <si>
    <t xml:space="preserve">1850 MARKET</t>
  </si>
  <si>
    <t xml:space="preserve">RELIABLE SLING CO (1977-1980; SIC 3496)</t>
  </si>
  <si>
    <t xml:space="preserve">LINDSTROM PRINTING + LITHOGRAPHY (1966) | RELIABLE SLING CO (1977)</t>
  </si>
  <si>
    <t xml:space="preserve">18th and Market LLC [CDPHE Voluntary_Cleanup_and_Redevelopment_Program_(VCUP)_new; 49 m]</t>
  </si>
  <si>
    <t xml:space="preserve">18 AND MARKET ST PROJECT [FRS; 25 m] | THE FITZGERALD [FRS; 25 m] | 1800 MARKET [FRS; 28 m]</t>
  </si>
  <si>
    <t xml:space="preserve">S00901</t>
  </si>
  <si>
    <t xml:space="preserve">3410 BRIGHTON BLVD</t>
  </si>
  <si>
    <t xml:space="preserve">1966;1968;1970;1974;1980;1983;1988;1990</t>
  </si>
  <si>
    <t xml:space="preserve">LONGERO INC (1966-1990; SIC 3599) | CUSTOMART INDUSTRIES, INC. (1980; SIC 3999,3079,3299)</t>
  </si>
  <si>
    <t xml:space="preserve">LONGERO INC (1966) | CUSTOMART INDUSTRIES, INC. (1980) | HAZEN-QUINN PROCESS EQUIPMENT CO (1983)</t>
  </si>
  <si>
    <t xml:space="preserve">RIVER NORTH CATALYTIC SITE [FRS; 14 m] | The Source Hotel II [CDPHE Voluntary_Cleanup_and_Redevelopment_Program_(VCUP)_new; 90 m] | The Source Hotel [CDPHE Voluntary_Cleanup_and_Redevelopment_Program_(VCUP)_new; 90 m]</t>
  </si>
  <si>
    <t xml:space="preserve">HAZEN QUINN PROCESS EQUIPMENT [FRS; name match, 10 m] | CENTRAL FOREIGN AUTO PARTS [FRS; 14 m] | MILLENNIUM AUTO BODY INC [FRS; 17 m] | MILLENNIUM AUTO BODY INC [FRS] (address match)</t>
  </si>
  <si>
    <t xml:space="preserve">RIVER NORTH CATALYTIC SITE</t>
  </si>
  <si>
    <t xml:space="preserve">HAZEN QUINN PROCESS EQUIPMENT</t>
  </si>
  <si>
    <t xml:space="preserve">S00904</t>
  </si>
  <si>
    <t xml:space="preserve">2263 7TH</t>
  </si>
  <si>
    <t xml:space="preserve">LUXUREST FURNITURE MFG CO (1966-1970; SIC 3079) | PACKAGE CREATORS INC (1974; SIC 2651,2652,3079)</t>
  </si>
  <si>
    <t xml:space="preserve">LUXUREST FURNITURE MFG CO (1966) | PACKAGE CREATORS INC D DAVIDSON PRES (1973) | PACKAGE CREATORS INC (1974) | CREFERION WOGOWORK INC (1980)</t>
  </si>
  <si>
    <t xml:space="preserve">Ocean Journey Aquarium II [CDPHE Voluntary_Cleanup_and_Redevelopment_Program_(VCUP)_new; 21 m] | Ocean Journey Aquarium I [CDPHE Voluntary_Cleanup_and_Redevelopment_Program_(VCUP)_new; 21 m] | Children's Museum of denver II [CDPHE Voluntary_Cleanup_and_Redevelopment_Program_(VCUP)_new; 146 m] | Childrens Museum of Denver [CDPHE Voluntary_Cleanup_and_Redevelopment_Program_(VCUP)_new; 146 m] | THE C</t>
  </si>
  <si>
    <t xml:space="preserve">COLORADO OCEAN JOURNEY [FRS; 26 m] | DENVER PKS RECREATION DEPT (FORESTRY DIV [FRS; 223 m] | COLORADO OCEAN JOURNEY [CDPHE RCRA; 224 m]</t>
  </si>
  <si>
    <t xml:space="preserve">DOWNTOWN AQUARIUM [FRS; 26 m] | METRO CONSTRUCTION [FRS; 244 m]</t>
  </si>
  <si>
    <t xml:space="preserve">S00907</t>
  </si>
  <si>
    <t xml:space="preserve">5100 RACE</t>
  </si>
  <si>
    <t xml:space="preserve">MAORON MFG CO INC (1966; SIC 3559) | MADRON MFG CC INC (1967; SIC 3551,3559)</t>
  </si>
  <si>
    <t xml:space="preserve">MAORON MFG CO INC (1966) | MADRON MFG CC INC (1967)</t>
  </si>
  <si>
    <t xml:space="preserve">CMB FLEET SERVICE [FRS; 37 m]</t>
  </si>
  <si>
    <t xml:space="preserve">CMB FLEET SERVICE</t>
  </si>
  <si>
    <t xml:space="preserve">S00910</t>
  </si>
  <si>
    <t xml:space="preserve">1600 WYNKOOP</t>
  </si>
  <si>
    <t xml:space="preserve">1968;1970;1973;1974</t>
  </si>
  <si>
    <t xml:space="preserve">MAJESTIC WAX CO (1968-1974; SIC 2842,2392,3442)</t>
  </si>
  <si>
    <t xml:space="preserve">MAJESTIC WAX CU (1966)</t>
  </si>
  <si>
    <t xml:space="preserve">Former USPS Terminal Annex [CDPHE Voluntary_Cleanup_and_Redevelopment_Program_(VCUP)_new; 10 m] | Former USPS Terminal Annex II [CDPHE Voluntary_Cleanup_and_Redevelopment_Program_(VCUP)_new; 10 m] | One Union Station [CDPHE Voluntary_Cleanup_and_Redevelopment_Program_(VCUP)_new; 27 m]</t>
  </si>
  <si>
    <t xml:space="preserve">ANTERO RESOURCES PRODUCTION FACILITIES [FRS; 19 m] | ANTERO MIDSTREAM COMPRESSOR STATIONS [FRS; 19 m] | ANTERO MIDSTREAM LLC- 160 BASIN [FRS; 19 m]</t>
  </si>
  <si>
    <t xml:space="preserve">Former USPS Terminal Annex</t>
  </si>
  <si>
    <t xml:space="preserve">RTD DENVER UNION TERMINAL</t>
  </si>
  <si>
    <t xml:space="preserve">S00913</t>
  </si>
  <si>
    <t xml:space="preserve">2044 BROADWAY</t>
  </si>
  <si>
    <t xml:space="preserve">VARNISHESs LACCUERS, ETC (1968; SIC 2851)</t>
  </si>
  <si>
    <t xml:space="preserve">MARTIN SIGN CO (1966) | VARNISHESs LACCUERS, ETC (1968)</t>
  </si>
  <si>
    <t xml:space="preserve">2007 Broadway LLC [CDPHE Voluntary_Cleanup_and_Redevelopment_Program_(VCUP)_new; 19 m]</t>
  </si>
  <si>
    <t xml:space="preserve">GOODYEAR AUTO SERVICE CENTER [FRS; 12 m]</t>
  </si>
  <si>
    <t xml:space="preserve">S00919</t>
  </si>
  <si>
    <t xml:space="preserve">1800 W COLFAX</t>
  </si>
  <si>
    <t xml:space="preserve">1966;1973;1974;1980;1983;1990</t>
  </si>
  <si>
    <t xml:space="preserve">MC CLURE HEATING CO (1966; SIC 3441) | MURPHY SCALE + EQUIPMENT CC (1973-1974; SIC 3576) | MURPHY-CARDINAL SCALE OF COLORADG (1980-1990; SIC 3576)</t>
  </si>
  <si>
    <t xml:space="preserve">MC CLURE HEATING CO (1966) | MURPHY SCALE + EQUIPMENT CO (1967) | MURPHY-CARDINAL SCALE OF COLORADG (1980)</t>
  </si>
  <si>
    <t xml:space="preserve">CDOT Colfax ROW - II [CDPHE Voluntary_Cleanup_and_Redevelopment_Program_(VCUP)_new; 46 m]</t>
  </si>
  <si>
    <t xml:space="preserve">ALL RECYCLING SOLUTIONS [CDPHE Solid_Waste_Facilities; 12 m]</t>
  </si>
  <si>
    <t xml:space="preserve">AMERICAN ORGANIC PRODUCTS [FRS; 28 m]</t>
  </si>
  <si>
    <t xml:space="preserve">REGIONAL TRANSPORTATION DISTRICT/GOODPASTER</t>
  </si>
  <si>
    <t xml:space="preserve">S00922</t>
  </si>
  <si>
    <t xml:space="preserve">2027 W COLFAX</t>
  </si>
  <si>
    <t xml:space="preserve">Chemicals; Industrial machinery; Primary metals; Rubber &amp; plastics; Transportation equipment</t>
  </si>
  <si>
    <t xml:space="preserve">1966;1967;1968;1973;1974;1977;1980;1983</t>
  </si>
  <si>
    <t xml:space="preserve">MC PHERSON CORP (1966-1974; SIC 3369) | CAPITOL INSULATION COy INC (1967-1980; SIC 3296,2872) | ALLIEO FIBERGLASS CO (1974; SIC 3079,3591,2794) | CONTINENTAL CONVERTORS INC (1983; SIC 3621,3714,3569)</t>
  </si>
  <si>
    <t xml:space="preserve">MC PHERSON CORP (1966) | CAPITOL INSULATION COy INC (1967) | STUSKA ENGINEERING CO (1973) | ALLIEO FIBERGLASS CO (1974) | FIBERGLASS WORKSHOP ENC (1977) | CONTINENTAL CONVERTORS INC (1983)</t>
  </si>
  <si>
    <t xml:space="preserve">CDOT Colfax ROW - II [CDPHE Voluntary_Cleanup_and_Redevelopment_Program_(VCUP)_new; 87 m] | 1801 W. Colfax [CDPHE Voluntary_Cleanup_and_Redevelopment_Program_(VCUP)_new; 140 m] | 1801 W. Colfax II [CDPHE Voluntary_Cleanup_and_Redevelopment_Program_(VCUP)_new; 140 m]</t>
  </si>
  <si>
    <t xml:space="preserve">REGIONAL TRANSPORTATION DISTRICT/GOODPASTER [FRS; 83 m] | THE CLEANING GUYS LLC DBA CG ENVIRONMENTAL [FRS; 133 m] | DAKOTA DRILLING [FRS; 163 m] | PENHALL CORP [FRS; 176 m] | SINCLAIR AND VALENTINE CO INC [FRS; 213 m]</t>
  </si>
  <si>
    <t xml:space="preserve">ALL RECYCLING SOLUTIONS [CDPHE Solid_Waste_Facilities; 33 m]</t>
  </si>
  <si>
    <t xml:space="preserve">AMERICAN ORGANIC PRODUCTS [FRS; 14 m]</t>
  </si>
  <si>
    <t xml:space="preserve">S00925</t>
  </si>
  <si>
    <t xml:space="preserve">4110 FOX</t>
  </si>
  <si>
    <t xml:space="preserve">1966;1968;1974;1980;1983;1988</t>
  </si>
  <si>
    <t xml:space="preserve">METAL TREATING + RESEAKCH CO (1966-1983; SIC 3399) | MEP Mane +RESEARCH C (1988; SIC 3599)</t>
  </si>
  <si>
    <t xml:space="preserve">METAL TREATING + RESEAKCH CO (1966) |  (1973) | MEP Mane +RESEARCH C (1988)</t>
  </si>
  <si>
    <t xml:space="preserve">METAL TREATING RESEARCH CO [FRS; name match, 24 m] | BRANNAN SAND &amp; GRAVEL [FRS; 16 m]</t>
  </si>
  <si>
    <t xml:space="preserve">BRANNAN SAND &amp; GRAVEL</t>
  </si>
  <si>
    <t xml:space="preserve">S00935</t>
  </si>
  <si>
    <t xml:space="preserve">3660 E 40TH AVE</t>
  </si>
  <si>
    <t xml:space="preserve">1970;1973;1990</t>
  </si>
  <si>
    <t xml:space="preserve">ORBITRONICS INC (1970-1973; SIC 3662,3679) | YOUNG ELECTRIC SIGN CO (1990; SIC 3993,3599)</t>
  </si>
  <si>
    <t xml:space="preserve">ORSITRONICS INC (1966) | YOUNG ELECTRIC SIGN CO (1990) | YESCO (1992)</t>
  </si>
  <si>
    <t xml:space="preserve">REGION 8 ENVIRO LLC [CDPHE RCRA; 36 m] | REGION 8 EVIRO LLC [FRS; 38 m] | REGION 8 EVIRO LLC [FRS] (address match) | REGION 8 ENVIRO LLC [CDPHE RCRA] (address match)</t>
  </si>
  <si>
    <t xml:space="preserve">REGION 8 ENVIRO LLC</t>
  </si>
  <si>
    <t xml:space="preserve">S00941</t>
  </si>
  <si>
    <t xml:space="preserve">210 WYANDOT</t>
  </si>
  <si>
    <t xml:space="preserve">1966;1968;1970;1980;1983</t>
  </si>
  <si>
    <t xml:space="preserve">SCOTT*S LIQUID GOLD INC (1966-1970; SIC 2841) | PLASTRONICS INC (1968-1970; SIC 2842) | 2 C &amp; PRECISION TOOL * MELB INC (1980-1983; SIC 3544,3079,3599) | POSTIQUE OF COLORADO (1980; SIC 3589,2542)</t>
  </si>
  <si>
    <t xml:space="preserve">PARAGON REPRODUCTIUNS INC (1966) | SCOTT*S LIQUID GOLD INC (1966) | PLASTRONICS INC (1968) | 2 C &amp; PRECISION TOOL * MELB INC (1980) | POSTIQUE OF COLORADO (1980) | SERVICE PRINTING (1980) | AMERICAN BOOK MFG (1988) | CAM COMP SYSTEM AUTOMATED BINDING CO (1988) | AUTOMATED BINDING CO (1990)</t>
  </si>
  <si>
    <t xml:space="preserve">The Lighting Agency [CDPHE Voluntary_Cleanup_and_Redevelopment_Program_(VCUP)_new; 102 m]</t>
  </si>
  <si>
    <t xml:space="preserve">TOOLS INC [FRS; 14 m] | RAINBOW REBUILDERS INC [FRS; 26 m] | TOOLS INC [CDPHE RCRA; 77 m]</t>
  </si>
  <si>
    <t xml:space="preserve">COLORADO COMFORT PRODUCTS [FRS; 24 m]</t>
  </si>
  <si>
    <t xml:space="preserve">TOOLS INC</t>
  </si>
  <si>
    <t xml:space="preserve">S00942</t>
  </si>
  <si>
    <t xml:space="preserve">1400 DELGANY</t>
  </si>
  <si>
    <t xml:space="preserve">1966;1967;1968;1970;1974;1980;1983;1988</t>
  </si>
  <si>
    <t xml:space="preserve">*PEARCE ORILL STEEL CORP (1966-1970; SIC 3532) | LOUIES LITTLE FORGE (1974-1988; SIC 3462,3532) | BOUIES LLTTILE FORGE (1980; SIC 3462,3423)</t>
  </si>
  <si>
    <t xml:space="preserve">*PEARCE ORILL STEEL CORP (1966) | LOUIES LITTLE FORGE (1974) | BOUIES LLTTILE FORGE (1980)</t>
  </si>
  <si>
    <t xml:space="preserve">Delgany Apartments II [CDPHE Voluntary_Cleanup_and_Redevelopment_Program_(VCUP)_new; 66 m]</t>
  </si>
  <si>
    <t xml:space="preserve">Delgany Apartments II</t>
  </si>
  <si>
    <t xml:space="preserve">S00945</t>
  </si>
  <si>
    <t xml:space="preserve">4460 MADISON</t>
  </si>
  <si>
    <t xml:space="preserve">PEERLESS PRODUCTS INC (1966; SIC 3441)</t>
  </si>
  <si>
    <t xml:space="preserve">PEERLESS PRODUCTS INC (1966)</t>
  </si>
  <si>
    <t xml:space="preserve">WODEN WOODS INC [CDPHE RCRA; 16 m] | MANNA PRO PARTNERS L.P. [CDPHE RCRA; 16 m]</t>
  </si>
  <si>
    <t xml:space="preserve">S00954</t>
  </si>
  <si>
    <t xml:space="preserve">1500 W 12TH</t>
  </si>
  <si>
    <t xml:space="preserve">1967;1974</t>
  </si>
  <si>
    <t xml:space="preserve">PRE-MIX CONCRETE CO INC (1967; SIC 3273,2976) | MONARCH SHEET METAL MFG CO (1974; SIC 3444)</t>
  </si>
  <si>
    <t xml:space="preserve">PRE-MIX CONCRETE CO INC (1966) | MOBILE PREMIX CONCRETE: INC (1974) | MONARCH SHEET METAL MFG CO (1974)</t>
  </si>
  <si>
    <t xml:space="preserve">WESTERN MOBILE NORTHERN INC [FRS; 72 m]</t>
  </si>
  <si>
    <t xml:space="preserve">SMYRNA READY MIX CONCRETE LLC - QUIVAS READY MIX [TRI; 71 m]</t>
  </si>
  <si>
    <t xml:space="preserve">HULL PROPERTIES LLC [FRS; 18 m]</t>
  </si>
  <si>
    <t xml:space="preserve">HULL PROPERTIES LLC</t>
  </si>
  <si>
    <t xml:space="preserve">S00959</t>
  </si>
  <si>
    <t xml:space="preserve">5101 FRANKLIN ST</t>
  </si>
  <si>
    <t xml:space="preserve">RACE COURT FERTILIZER (1966-1968; SIC 2879)</t>
  </si>
  <si>
    <t xml:space="preserve">RACE COURT FERTILIZER (1966)</t>
  </si>
  <si>
    <t xml:space="preserve">Calwest Industrial [CDPHE Voluntary_Cleanup_and_Redevelopment_Program_(VCUP)_new; 48 m] | Vasquez/VAS [CDPHE CDPHE Superfund] (inside site boundary)</t>
  </si>
  <si>
    <t xml:space="preserve">BEYOND BROADWAY, LLC [FRS; 5 m] | NATIONAL WESTERN CENTER T2 02 AREA 3 DEMOLITION [FRS; 21 m]</t>
  </si>
  <si>
    <t xml:space="preserve">Calwest Industrial</t>
  </si>
  <si>
    <t xml:space="preserve">CRYSTAL PACKAGING INC</t>
  </si>
  <si>
    <t xml:space="preserve">D &amp; K CHEROKEE SERVICE &amp; REPAIR</t>
  </si>
  <si>
    <t xml:space="preserve">S00960</t>
  </si>
  <si>
    <t xml:space="preserve">2480 W 4TH NO 9</t>
  </si>
  <si>
    <t xml:space="preserve">DALE MANUFACTURING CO» INC (1973-1983; SIC 3079,3842)</t>
  </si>
  <si>
    <t xml:space="preserve">RADIO SPECIALISTS co (1966) | DALE MANUFACTURING CO» INC (1973) | DALE MANUFACTURING COs INC (1974)</t>
  </si>
  <si>
    <t xml:space="preserve">Bryant Street Quad [CDPHE Voluntary_Cleanup_and_Redevelopment_Program_(VCUP)_new; 60 m]</t>
  </si>
  <si>
    <t xml:space="preserve">VISTA-PRO AUTOMOTIVE LLC [FRS; 60 m] | NRG RELIABILTY - ZIEGENFELDER [FRS; 77 m]</t>
  </si>
  <si>
    <t xml:space="preserve">Bryant Street Quad</t>
  </si>
  <si>
    <t xml:space="preserve">ACCU-TUBE, LLC</t>
  </si>
  <si>
    <t xml:space="preserve">S00969</t>
  </si>
  <si>
    <t xml:space="preserve">1887 W EVANS</t>
  </si>
  <si>
    <t xml:space="preserve">ROCKY MOUNTAIN RUBBER MFG CO (1966; SIC 3069)</t>
  </si>
  <si>
    <t xml:space="preserve">ROCKY MOUNTAIN RUBBER MFG CO (1966)</t>
  </si>
  <si>
    <t xml:space="preserve">X Marks The Spot [CDPHE Voluntary_Cleanup_and_Redevelopment_Program_(VCUP)_new; 41 m]</t>
  </si>
  <si>
    <t xml:space="preserve">CLASSIC COLLISION - HIGHLAND SOUTH 1928 [FRS; 20 m]</t>
  </si>
  <si>
    <t xml:space="preserve">CHRISTIAN FELLOWSHIP [FRS; 20 m] | SCOTTS ABRA AUTO BODY AND GLASS [FRS; 20 m]</t>
  </si>
  <si>
    <t xml:space="preserve">S00971</t>
  </si>
  <si>
    <t xml:space="preserve">4320 FOX</t>
  </si>
  <si>
    <t xml:space="preserve">1966;1970;1980</t>
  </si>
  <si>
    <t xml:space="preserve">ROGERS, V Fy PLASTICS (1966-1970; SIC 3079) | ROGERS PLASTIC MOLDING (1980; SIC 3079,3728)</t>
  </si>
  <si>
    <t xml:space="preserve">ROGERS, V Fy PLASTICS (1966) | ROGERS PLASTIC MOLDING (1980)</t>
  </si>
  <si>
    <t xml:space="preserve">EASTERN ELEC APPARATUS REPAIR CO</t>
  </si>
  <si>
    <t xml:space="preserve">S00979</t>
  </si>
  <si>
    <t xml:space="preserve">5010 COOK</t>
  </si>
  <si>
    <t xml:space="preserve">1970;1977;1983;1988;1990;1992</t>
  </si>
  <si>
    <t xml:space="preserve">ROCKY MOUNTAIN SHEET METAL CO INC (1970; SIC 3444,3564) | ROCKY MOUNTAIN AIR CONDITIONING CO 3079 MISCELLANEOUS PLASTICS PRODUCTS (1977; SIC 3444) | ROCKY MOUNTAIN AIR CONDITIONING CO 3589 SERVICE INDUSTRY MACHINERY, NEC (1977; SIC 3433) | Rem PRODUCTS + RKY MTN SHEET METAL INC (1983; SIC 3433,3444) | RoW PRODUCTS * RKY ATN SHEET METAL INC (1983; SIC 3933,3444) | FABRIC GARMENTS CUSTOM METAL MFG INC (1988; SIC 3441,3494,3499) | CUSTOM METAL MANUFACTURING INC (1990-1992; SIC 3441,3494,3499)</t>
  </si>
  <si>
    <t xml:space="preserve">*SUPERTOR DIE PRODUCTS BAKERY PRODUCTS (1966) | ROCKY MOUNTAIN SHEET METAL CO INC (1970) |  (1974) | ROCKY MOUNTAIN AIR CONDITIONING CO 3079 MISCELLANEOUS PLASTICS PRODUCTS (1977) | ROCKY MOUNTAIN AIR CONDITIONING CO 3589 SERVICE INDUSTRY MACHINERY, NEC (1977) | Rem PRODUCTS + RKY MTN SHEET METAL INC (1983) | RoW PRODUCTS * RKY ATN SHEET METAL INC (1983) | BLENDER PRODUCTS INC D.B.A.-.R M PRODUCTS (1988) | FABRIC GARMENTS CUSTOM METAL MFG INC (1988) | BLENDER PRODUCTS INC (1990) | CUSTOM METAL MANUFACTURING INC (1990)</t>
  </si>
  <si>
    <t xml:space="preserve">CUSTOM METALS MANUFACTURING [FRS; name match, 12 m]</t>
  </si>
  <si>
    <t xml:space="preserve">CUSTOM METALS MANUFACTURING</t>
  </si>
  <si>
    <t xml:space="preserve">S00980</t>
  </si>
  <si>
    <t xml:space="preserve">4242 ELIZABETH</t>
  </si>
  <si>
    <t xml:space="preserve">1968;1983;1988;1990</t>
  </si>
  <si>
    <t xml:space="preserve">SUPERIOR FOOLS INC (1968; SIC 2933,2099) | ACTION HFG SYSTEMS INC (1983-1990; SIC 3499) | LABELS PRT + MPG ACTION MFG SYSTEMS (1988; SIC 3499)</t>
  </si>
  <si>
    <t xml:space="preserve">SUPERIOR HONEY + OLIVE CO MISC FABRIC METAL PROD (1966) | SUPERIOR FOOLS INC (1968) | ACTION HFG SYSTEMS INC (1983) | LABELS PRT + MPG ACTION MFG SYSTEMS (1988)</t>
  </si>
  <si>
    <t xml:space="preserve">EMPIRE PD1 [FRS; 2 m]</t>
  </si>
  <si>
    <t xml:space="preserve">ABC ROOFING COMPANY</t>
  </si>
  <si>
    <t xml:space="preserve">S00981</t>
  </si>
  <si>
    <t xml:space="preserve">2482 W 2ND AVE</t>
  </si>
  <si>
    <t xml:space="preserve">APEX DIE AND BOX CC (1968-1983; SIC 2645,2651,3544) | SUPERTRON CORPORATICN (1968; SIC 3586) | cEeet co (1973; SIC 3079,2851) | CEEL CO (1974-1977; SIC 3079,2851) | PIC PLASTICS (1988-1990; SIC 2891)</t>
  </si>
  <si>
    <t xml:space="preserve">APEX DIE AND Bux CO (1966) | GENERAL DECALS INC (1966) | COMMERCIAL PRINTING (1966) | GENERAL MARKING SYSTEMS -INC (1967) | SUPERTRON CORPORATICN (1968) | cEeet co (1973) |  (1974) | CEEL CO (1974) | PIC PLASTICS (1988)</t>
  </si>
  <si>
    <t xml:space="preserve">The Lighting Agency [CDPHE Voluntary_Cleanup_and_Redevelopment_Program_(VCUP)_new; 86 m]</t>
  </si>
  <si>
    <t xml:space="preserve">APEX DIE &amp; BOX COMPANY [FRS; name match, 16 m] | APEX DIE &amp; BOX COMPANY [CDPHE RCRA; name match, 107 m] | COLORADO VALUE LINE [FRS; 2 m] | LABLYTIC LLC [FRS; 55 m]</t>
  </si>
  <si>
    <t xml:space="preserve">PIC PLASTICS [FRS; name match, 2 m]</t>
  </si>
  <si>
    <t xml:space="preserve">COLORADO VALUE LINE</t>
  </si>
  <si>
    <t xml:space="preserve">S00986</t>
  </si>
  <si>
    <t xml:space="preserve">3609 WYNKOOP</t>
  </si>
  <si>
    <t xml:space="preserve">1966;1967;1968;1970;1974;1977;1980;1983</t>
  </si>
  <si>
    <t xml:space="preserve">UNITED STEEL + IRON WORKS (1966-1983; SIC 3441)</t>
  </si>
  <si>
    <t xml:space="preserve">UNITED STEEL + IRON WORKS (1966)</t>
  </si>
  <si>
    <t xml:space="preserve">BLACK DIAMOND WASTE SYSTEM INC [FRS; 39 m]</t>
  </si>
  <si>
    <t xml:space="preserve">AIR VAC SERVICES [FRS; 39 m]</t>
  </si>
  <si>
    <t xml:space="preserve">BLACK DIAMOND WASTE SYSTEM INC</t>
  </si>
  <si>
    <t xml:space="preserve">S00995</t>
  </si>
  <si>
    <t xml:space="preserve">2000 E 40TH</t>
  </si>
  <si>
    <t xml:space="preserve">WESTERN FOUNDRIES INC (1966; SIC 3369)</t>
  </si>
  <si>
    <t xml:space="preserve">WESTERN FOUNDRIES INC (1966) | AK=SAR-BEN PRINTING (1983)</t>
  </si>
  <si>
    <t xml:space="preserve">BOB ANDERSON EXCAVATING &amp; WRECKING [FRS; 17 m]</t>
  </si>
  <si>
    <t xml:space="preserve">BOB ANDERSON EXCAVATING &amp; WRECKING</t>
  </si>
  <si>
    <t xml:space="preserve">S00997</t>
  </si>
  <si>
    <t xml:space="preserve">111 S NAVAJO</t>
  </si>
  <si>
    <t xml:space="preserve">WESTERN MINERAL PRODUCTS CO (1966; SIC 3714)</t>
  </si>
  <si>
    <t xml:space="preserve">WESTERN MINERAL PRODUCTS CO (1966) | ZONOLITE DIVISION (1977) | WR GRACE + CO, CONSTRUCTION PROD (1990)</t>
  </si>
  <si>
    <t xml:space="preserve">CENTRAL PLATTECAMPUS/GENERAL CHEMICAL [FRS; 20 m] | 2077 FIREWORK [FRS; 20 m] | JULY1 FIREWORKS [FRS; 20 m] | WESTERN MINERALS DENVER PLANT [FRS; 28 m] | ADM Denver Terminal [CDPHE Institutional_Controls_PROD_local; 45 m] | WESTERN MINERALS DENVER PLANT [FRS] (address match) | ADM Denver Terminal [CDPHE Institutional_Controls_PROD_local] (inside site boundary) | Denver Radium/DRS [CDPHE CDPHE Supe</t>
  </si>
  <si>
    <t xml:space="preserve">GENERAL CHEMICAL CORPORATION [FRS; 20 m] | W R GRACE &amp; CO [FRS; 28 m]</t>
  </si>
  <si>
    <t xml:space="preserve">CITY &amp; COUNTY OF DENER - CENTRAL PLATTE [FRS; 20 m] | GENERAL CHEMICAL LLC [FRS; 20 m] | ARCHER DANIELS MIDLAND COMPANY [FRS; 28 m] | A D M SWEETENER TERMINAL [FRS; 28 m]</t>
  </si>
  <si>
    <t xml:space="preserve">CENTRAL PLATTECAMPUS/GENERAL CHEMICAL</t>
  </si>
  <si>
    <t xml:space="preserve">GENERAL CHEMICAL CORPORATION</t>
  </si>
  <si>
    <t xml:space="preserve">S00999</t>
  </si>
  <si>
    <t xml:space="preserve">3850 OLIVE</t>
  </si>
  <si>
    <t xml:space="preserve">1966;1968;1973;1980;1983;1988;1990</t>
  </si>
  <si>
    <t xml:space="preserve">WHITTAKER CORPORATI ON POWER SOURCES DIV (1966; SIC 3599) | WHITTAKER CORPORATION POWER SCURCES CIV (1968; SIC 3691,3569) | YARDNEY ELECTRIC CORPORATION (1973-1983; SIC 3692) | REELS YARDNEY CORP (1988; SIC 3692) | WHITTAKER POWER STORAGE SYSTEMS (1990; SIC 3692)</t>
  </si>
  <si>
    <t xml:space="preserve">WHITTAKER CORPORATI ON POWER SOURCES DIV (1966) | WHITTAKER CORPORATION POWER SCURCES CIV (1968) | YARDNEY ELECTRIC CORPORATION (1973) | REELS YARDNEY CORP (1988) | WHITTAKER POWER STORAGE SYSTEMS (1990) | WHITTAKER TECHNICAL PRODUCTS INC (1992)</t>
  </si>
  <si>
    <t xml:space="preserve">Yardney / Whitaker [CDPHE RCRA_corrective_action; 48 m]</t>
  </si>
  <si>
    <t xml:space="preserve">WHITTAKER POWER STORAGE SYSTEMS [TRI; name match, 30 m] | WHITTAKER POWER STORAGE SYSTEMS [FRS; name match, 31 m]</t>
  </si>
  <si>
    <t xml:space="preserve">FORMER WHITTAKER TECHNICAL PRODUCTS INC [CDPHE RCRA; name match, 22 m]</t>
  </si>
  <si>
    <t xml:space="preserve">FORMER WHITTAKER TECHNICAL PRODUCTS INC</t>
  </si>
  <si>
    <t xml:space="preserve">S01001</t>
  </si>
  <si>
    <t xml:space="preserve">3901 YORK</t>
  </si>
  <si>
    <t xml:space="preserve">ACME FOAM INDUSTRIES INC (1990; SIC 3086)</t>
  </si>
  <si>
    <t xml:space="preserve">WOEHRMYER PRINTING CO (1966) | ACME FOAM INDUSTRIES INC (1990)</t>
  </si>
  <si>
    <t xml:space="preserve">Lighthouse Writers Workshop [CDPHE Voluntary_Cleanup_and_Redevelopment_Program_(VCUP)_new; 24 m] | Vasquez/VAS [CDPHE CDPHE Superfund] (inside site boundary)</t>
  </si>
  <si>
    <t xml:space="preserve">CITY &amp; COUNTY OF DENVER [FRS; 30 m]</t>
  </si>
  <si>
    <t xml:space="preserve">GENERAL BUILDING MATERIALS [FRS; 20 m] | P2P AREA 3 DEMOLITION [FRS; 30 m]</t>
  </si>
  <si>
    <t xml:space="preserve">Lighthouse Writers Workshop</t>
  </si>
  <si>
    <t xml:space="preserve">DENVER COCA-COLA BOTTLING CO</t>
  </si>
  <si>
    <t xml:space="preserve">S01002</t>
  </si>
  <si>
    <t xml:space="preserve">5400 MONROE</t>
  </si>
  <si>
    <t xml:space="preserve">WOODBURY CHEMICAL CO (1966-1970; SIC 2899) | TECHNE CORPORATION (1973; SIC 2873,2899,2874)</t>
  </si>
  <si>
    <t xml:space="preserve">WOODBURY CHEMICAL CO (1966) | TECHNE CORPORATION (1973)</t>
  </si>
  <si>
    <t xml:space="preserve">WOODBURY CHEMICAL CO. [FRS; name match, 50 m] | Woodbury Chemical/WDB [CDPHE CDPHE Superfund; name match, 209 m] | Woodbury Chemical/WDB [CDPHE CDPHE Superfund] (inside site boundary)</t>
  </si>
  <si>
    <t xml:space="preserve">WOODBURY CHEMICAL CO SUPERFUND SITE [FRS; name match, 32 m] | CENTRAL BODY &amp; TRUCK REPAIR SAWAYA BODY [FRS; 31 m] | ASPEN WASTE SERVICES AND DISPOSAL LLC [CDPHE RCRA; 137 m] | DRAN V SILER PRINTING CO [CDPHE RCRA; 137 m] | BOOT HILL USED PICK-UP PARTS [FRS; 197 m] | CUSTOM TAPE AND LABEL CO. [CDPHE RCRA; 199 m] | TRULIEVE- DENVER [CDPHE RCRA; 199 m] | TRULIEVE- DENVER [FRS; 199 m] | H &amp; R AUTO SAL</t>
  </si>
  <si>
    <t xml:space="preserve">MONROE PARTNERS TRANSFER STATION [FRS; 48 m] | OLD YELLER AUTO [FRS; 95 m] | BONE YARD [FRS; 187 m] | H&amp;H DENVER [FRS; 189 m] | GALAXY AUTO RECYCLING [FRS; 244 m] | GALAXY AUTO RECYCLE AND REPAIR [FRS; 244 m]</t>
  </si>
  <si>
    <t xml:space="preserve">WOODBURY CHEMICAL CO.</t>
  </si>
  <si>
    <t xml:space="preserve">CENTRAL BODY &amp; TRUCK REPAIR SAWAYA BODY</t>
  </si>
  <si>
    <t xml:space="preserve">S01720</t>
  </si>
  <si>
    <t xml:space="preserve">125 W 12TH</t>
  </si>
  <si>
    <t xml:space="preserve">WESTERN SPRING SERVICE INC (1966; SIC 3714) | CORK SPECIALTY CO (1968; SIC 2499,2844)</t>
  </si>
  <si>
    <t xml:space="preserve">WESTERN SPRING SERVICE INC (1966) | CORK SPECIALTY CO (1968) | THOMAS PUBLICATIONS (1973) | CLEAR CREEK GRAPHICS (1988)</t>
  </si>
  <si>
    <t xml:space="preserve">CLYFFORD STILL MUSEUM [FRS; 77 m]</t>
  </si>
  <si>
    <t xml:space="preserve">CENTRAL RADIATOR KING [FRS; 51 m]</t>
  </si>
  <si>
    <t xml:space="preserve">CORNERSTONE APARTMENT SERVICES [FRS; 23 m] | KIRKLAND MUSEUM OF FINE AND DECORATIVE ART [FRS; 56 m]</t>
  </si>
  <si>
    <t xml:space="preserve">S01811</t>
  </si>
  <si>
    <t xml:space="preserve">1762 BLAKE</t>
  </si>
  <si>
    <t xml:space="preserve">1967;1968;1973;1974;1980;1983</t>
  </si>
  <si>
    <t xml:space="preserve">EMIGH, GEORGE F, PATTERN WORKS 2C87 FLAVORING EXTRACTS + SyRUPS N EC (1967; SIC 3565) | EMIGHs GEORGE Fy PATTERN WORKS (1968-1973; SIC 3565) | STEBBINS MFG + SUPPLY CO (1968-1974; SIC 3821,3582) | SURE SPRAY MFG CO (1973; SIC 3563,3999) | OMNI ENGINEERENG-STEBBINS MFG + SUPP CO (1980-1983; SIC 3582) | SURE SPRAY REG CO (1980; SIC 3582)</t>
  </si>
  <si>
    <t xml:space="preserve">EMIGH, GEORGE F, PATTERN WORKS (1966) | EMIGH, GEORGE F, PATTERN WORKS 2C87 FLAVORING EXTRACTS + SyRUPS N EC (1967) | STEBBINS MFG + SUPPLY CO (1968) | CUSTOM ART WALLDECOR INC (1973) | SURE SPRAY MFG CO (1973) | INDUSTRIAL SUPPLY CO (1974) | OMNI ENGINEERENG-STEBBINS MFG + SUPP CO (1980) | SURE SPRAY REG CO (1980) | ORIGINAL PUBLICATIONS INC (1990)</t>
  </si>
  <si>
    <t xml:space="preserve">RTD East Corridor Union Station to DIA [CDPHE Voluntary_Cleanup_and_Redevelopment_Program_(VCUP)_new; 58 m] | Mutual of Omaha [CDPHE Voluntary_Cleanup_and_Redevelopment_Program_(VCUP)_new; 58 m] | Central Platte Valley Dev.(A) [CDPHE Voluntary_Cleanup_and_Redevelopment_Program_(VCUP)_new; 58 m] | Trillium Parcels I [CDPHE Voluntary_Cleanup_and_Redevelopment_Program_(VCUP)_new; 58 m] | Central Plat</t>
  </si>
  <si>
    <t xml:space="preserve">1755 BLAKE STREET [FRS; 35 m]</t>
  </si>
  <si>
    <t xml:space="preserve">CAIN T-SQUARE</t>
  </si>
  <si>
    <t xml:space="preserve">S05579</t>
  </si>
  <si>
    <t xml:space="preserve">90 S SANTA FE</t>
  </si>
  <si>
    <t xml:space="preserve">LITHOGRAPHIC CONRESCO INC (1988; SIC 3449) | CONRESCO INC (1990; SIC 3449)</t>
  </si>
  <si>
    <t xml:space="preserve">SEAL INOUSTRIES (1966) | LITHOGRAPHIC CONRESCO INC (1988) | BMD (1990) | BMD BUILDING MATERIALS DISTRIBUTORS (1990) | CONRESCO INC (1990)</t>
  </si>
  <si>
    <t xml:space="preserve">50-80 S Santa Fe Drive [CDPHE Voluntary_Cleanup_and_Redevelopment_Program_(VCUP)_new; 58 m]</t>
  </si>
  <si>
    <t xml:space="preserve">US MIX CO. [FRS; 8 m] | PUBLIC SERVICE CO OF COLORADO [FRS; 20 m]</t>
  </si>
  <si>
    <t xml:space="preserve">U.S. MIX PRODUCTS COMPANY [FRS; 8 m] | PSCO - BARTERS LOT B [FRS; 48 m] | CALLISTO CORPORATION DBA OFFICE SCAPES [FRS; 50 m]</t>
  </si>
  <si>
    <t xml:space="preserve">DENVER WATER MAINS PROJECT 934 INSTALLATION [FRS; 13 m] | CONTEMPORARY METAL FURNISHINGS, INC. [FRS; 50 m] | GERDAU REINFORCING STEEL DENVER [FRS; 61 m]</t>
  </si>
  <si>
    <t xml:space="preserve">U.S. MIX PRODUCTS COMPANY</t>
  </si>
  <si>
    <t xml:space="preserve">S01403</t>
  </si>
  <si>
    <t xml:space="preserve">2401 E 40TH AVE</t>
  </si>
  <si>
    <t xml:space="preserve">1968;1970;1974;1980;1983;1990</t>
  </si>
  <si>
    <t xml:space="preserve">DENVER FIRE CLAY CO (1968; SIC 3255,3567) | GARNETT # CC (1968; SIC 3531) | DFC CORP (1970; SIC 3255,3567) | BACKER RCD MFG + SUPPLY CO (1974; SIC 3079) | CONTINENTAL CRANE CO (1980-1983; SIC 3536) | HARDING GLASS INOUSTRIES (1980-1990; SIC 3442)</t>
  </si>
  <si>
    <t xml:space="preserve">ACCURATE GASKET + PACKING CORP (1967) | DENVER FIRE CLAY CO (1968) | GARNETT # CC (1968) | ACCURATE GASKET + PACKING CORP (1970) | DFC CORP (1970) | BAKER ELECTRICAL INSTR CO (1973) | BACKER RCD MFG + SUPPLY CO (1974) | THERMOGLAS INC (1974) |  (1977) | CONTINENTAL CRANE CO (1980) | HARDING GLASS INOUSTRIES (1980)</t>
  </si>
  <si>
    <t xml:space="preserve">Plateau Supply I [CDPHE Voluntary_Cleanup_and_Redevelopment_Program_(VCUP)_new; 25 m] | Plateau Supply II [CDPHE Voluntary_Cleanup_and_Redevelopment_Program_(VCUP)_new; 25 m] | Vitro America [CDPHE Voluntary_Cleanup_and_Redevelopment_Program_(VCUP)_new; 87 m] | ABC ROOFING COMPANY [FRS] (address match) | Plateau Supply I [CDPHE Voluntary_Cleanup_and_Redevelopment_Program_(VCUP)_new] (address match</t>
  </si>
  <si>
    <t xml:space="preserve">PLATEAU SUPPLY CO [FRS; 29 m] | PLATEAU SUPPLY CO [FRS] (address match)</t>
  </si>
  <si>
    <t xml:space="preserve">FOREIGN USED AUTO PARTS INC [FRS; 30 m]</t>
  </si>
  <si>
    <t xml:space="preserve">Plateau Supply I</t>
  </si>
  <si>
    <t xml:space="preserve">PLATEAU SUPPLY CO</t>
  </si>
  <si>
    <t xml:space="preserve">S01407</t>
  </si>
  <si>
    <t xml:space="preserve">1271 W BAYAUD</t>
  </si>
  <si>
    <t xml:space="preserve">1967;1970;1990</t>
  </si>
  <si>
    <t xml:space="preserve">ALLIED CHEMICAL CORP, INOLSTRIAL CHEM DIV (1967-1970; SIC 2899) | GENERAL CHEMICAL CORP (1990; SIC 2819)</t>
  </si>
  <si>
    <t xml:space="preserve">ALLIED CHEMICAL CORP, INOLSTRIAL CHEM DIV (1967) | ALLIED CHEMCIAL CO OF ALLIED CORP (1983) | GENERAL CHEMICAL CORP (1990)</t>
  </si>
  <si>
    <t xml:space="preserve">General chemical II [CDPHE Voluntary_Cleanup_and_Redevelopment_Program_(VCUP)_new; name match, 6 m] | General Chemical Tax Credit [CDPHE Voluntary_Cleanup_and_Redevelopment_Program_(VCUP)_new; name match, 6 m] | General Chemical [CDPHE Voluntary_Cleanup_and_Redevelopment_Program_(VCUP)_new; name match, 6 m] | CENTRAL PLATTECAMPUS/GENERAL CHEMICAL [FRS; name match, 130 m] | General Chemical [CDPHE </t>
  </si>
  <si>
    <t xml:space="preserve">GENERAL CHEMICAL CORPORATION [FRS; name match, 130 m]</t>
  </si>
  <si>
    <t xml:space="preserve">GENERAL CHEMICAL LLC [FRS; name match, 130 m]</t>
  </si>
  <si>
    <t xml:space="preserve">SAFETY KLEEN SYSTEMS INCORPORATED</t>
  </si>
  <si>
    <t xml:space="preserve">S01408</t>
  </si>
  <si>
    <t xml:space="preserve">3838 WYNKOOP</t>
  </si>
  <si>
    <t xml:space="preserve">1967;1968;1970;1980</t>
  </si>
  <si>
    <t xml:space="preserve">ALLIED STEEL CO (1967-1980; SIC 3441)</t>
  </si>
  <si>
    <t xml:space="preserve">ALLIED STEEL CO (1967) |  (1973)</t>
  </si>
  <si>
    <t xml:space="preserve">PEPSI BOTTLING GROUP [TRI; 86 m]</t>
  </si>
  <si>
    <t xml:space="preserve">Wynkoop Parking lots</t>
  </si>
  <si>
    <t xml:space="preserve">PEPSI BOTTLING GROUP</t>
  </si>
  <si>
    <t xml:space="preserve">S01415</t>
  </si>
  <si>
    <t xml:space="preserve">1670 PLATTE</t>
  </si>
  <si>
    <t xml:space="preserve">COLORADO MANUFACTURING CO (1967-1970; SIC 3591)</t>
  </si>
  <si>
    <t xml:space="preserve">COLORADO MANUFACTURING CO (1967)</t>
  </si>
  <si>
    <t xml:space="preserve">Anchor Bolt Facility [CDPHE Voluntary_Cleanup_and_Redevelopment_Program_(VCUP)_new; 18 m] | Anchor Bolt Facility [CDPHE Voluntary_Cleanup_and_Redevelopment_Program_(VCUP)_new; 28 m] | PLATTE STREET BROWNFIELDS PROJECT [FRS; 41 m]</t>
  </si>
  <si>
    <t xml:space="preserve">PLATTE ANCHOR BOLT CO [FRS; 14 m]</t>
  </si>
  <si>
    <t xml:space="preserve">GALVANIZE 2.0 [FRS; 14 m]</t>
  </si>
  <si>
    <t xml:space="preserve">PLATTE ANCHOR BOLT CO</t>
  </si>
  <si>
    <t xml:space="preserve">S01425</t>
  </si>
  <si>
    <t xml:space="preserve">4955 BANNOCK ST</t>
  </si>
  <si>
    <t xml:space="preserve">1967;1968;1988;1990;1992</t>
  </si>
  <si>
    <t xml:space="preserve">CRYOGENIC ENGINEERING CO (1967-1968; SIC 3679) | JOHN CLARK INC (1988-1992; SIC 3531,3532,3743)</t>
  </si>
  <si>
    <t xml:space="preserve">CRYOGENIC ENGINEERING CO (1967) | SOHN CLARK INC (JCI) 2751 TICKETS» SPECIAL NUMBERED PRINTING (1983) | JOHN CLARK INC (1988)</t>
  </si>
  <si>
    <t xml:space="preserve">Gaines Family [CDPHE Voluntary_Cleanup_and_Redevelopment_Program_(VCUP)_new] (address match) | Vasquez/VAS [CDPHE CDPHE Superfund] (inside site boundary)</t>
  </si>
  <si>
    <t xml:space="preserve">JOHN CLARK INC [FRS; name match, 213 m] | COLORADO DEPARTMENT OF TRANSPORTATION CONSTRUCTION PROJECT NHDA025-2(255) [FRS; 11 m]</t>
  </si>
  <si>
    <t xml:space="preserve">Gaines Family</t>
  </si>
  <si>
    <t xml:space="preserve">COLORADO DEPARTMENT OF TRANSPORTATION CONSTRUCTION PROJECT NHDA025-2(255)</t>
  </si>
  <si>
    <t xml:space="preserve">S01431</t>
  </si>
  <si>
    <t xml:space="preserve">3765 BLAKE ST</t>
  </si>
  <si>
    <t xml:space="preserve">1967;1968;1973;1974;1977;1980;1983;1990;1992</t>
  </si>
  <si>
    <t xml:space="preserve">DENVER METALWORKING (1967-1968; SIC 3555,2026) | WESTERN STEEL + BOILER CO (1973-1992; SIC 3441,3443,3229) | CUSTOM FOOD EQUIPMENT FAGRICATORS ING (1980; SIC 2599,3431,3551) | ENERGY RESOURCES ASSOCIATES INC (1983; SIC 3567,3441,3599)</t>
  </si>
  <si>
    <t xml:space="preserve">DENVER METALWORKING (1967) | WESTERN STEEL + BOILER CO (1973) | GEM WIPING MATERIAL CO (1974) | CUSTOM FOOD EQUIPMENT FAGRICATORS ING (1980) | ENERGY RESOURCES ASSOCIATES INC (1983)</t>
  </si>
  <si>
    <t xml:space="preserve">38th and Blake Street [CDPHE Voluntary_Cleanup_and_Redevelopment_Program_(VCUP)_new; 11 m] | BLAKE TOD [FRS; 72 m] | Vasquez/VAS [CDPHE CDPHE Superfund] (inside site boundary)</t>
  </si>
  <si>
    <t xml:space="preserve">THE FOUNDRY @ 38TH + BLAKE [FRS; 7 m] | WORLD TRADE CENTER [FRS; 39 m]</t>
  </si>
  <si>
    <t xml:space="preserve">38th and Blake Street</t>
  </si>
  <si>
    <t xml:space="preserve">DENVER TRUCK PARTS</t>
  </si>
  <si>
    <t xml:space="preserve">S01434</t>
  </si>
  <si>
    <t xml:space="preserve">3434 BRIGHTON BLVD</t>
  </si>
  <si>
    <t xml:space="preserve">1968;1970;1974;1977;1980;1983;1990;1992</t>
  </si>
  <si>
    <t xml:space="preserve">DENVER SPRING SERVICE MFG CC INC (1968-1992; SIC 3493) | ROCKY MOUNTAIN RETINNING CO ENC. (1980; SIC 3479)</t>
  </si>
  <si>
    <t xml:space="preserve">2721 (1967) | DENVER SPRING SERVICE MFG CC INC (1968) | MILLER PRESS INC (1974) | ROCKY MOUNTAIN RETINNING CO ENC. (1980) | MILLER PRESS INC (1988)</t>
  </si>
  <si>
    <t xml:space="preserve">RIVER NORTH CATALYTIC SITE [FRS; 32 m]</t>
  </si>
  <si>
    <t xml:space="preserve">ROCKY MOUNTAIN RETINNING COMPANY [FRS; name match, 69 m] | MILLENNIUM AUTO BODY INC [FRS; 28 m] | CENTRAL FOREIGN AUTO PARTS [FRS; 32 m] | HAZEN QUINN PROCESS EQUIPMENT [FRS; 55 m]</t>
  </si>
  <si>
    <t xml:space="preserve">MILLER PRESS INC [FRS; name match, 44 m]</t>
  </si>
  <si>
    <t xml:space="preserve">MILLENNIUM AUTO BODY INC</t>
  </si>
  <si>
    <t xml:space="preserve">S01436</t>
  </si>
  <si>
    <t xml:space="preserve">1227 17TH</t>
  </si>
  <si>
    <t xml:space="preserve">EZE MOP CO (1968; SIC 3589,2392,3991)</t>
  </si>
  <si>
    <t xml:space="preserve">EZE MOP CO (1967)</t>
  </si>
  <si>
    <t xml:space="preserve">TESORO HIGH PLAINS PIPELINE CO. [FRS; 21 m]</t>
  </si>
  <si>
    <t xml:space="preserve">CROWHEART ENERGY (WAMSUTTER SOUTH EVAPORATION BASIN) [FRS; 21 m]</t>
  </si>
  <si>
    <t xml:space="preserve">MOBIL OFFICE DENVER [FRS; 21 m] | TABOR GROUP LIMITED TABOR CENTER [FRS; 24 m]</t>
  </si>
  <si>
    <t xml:space="preserve">PUBLIC SVC CO OF COLORADO [FRS; 21 m] | COORS BREWING COMPANY [FRS; 21 m] | XCEL ENERGY, INC. [FRS; 21 m] | FOX CO [FRS; 24 m] | ENERGY FUELS NUCLEAR INC(PIGEON MINE) [FRS; 24 m] | MECO IV, LLC [FRS; 24 m] | STERLING ENERGY INVESTMENTS - COLORADO FACILTIES [FRS; 24 m] | PARK 17 [FRS; 29 m]</t>
  </si>
  <si>
    <t xml:space="preserve">TESORO HIGH PLAINS PIPELINE CO.</t>
  </si>
  <si>
    <t xml:space="preserve">MOBIL OFFICE DENVER</t>
  </si>
  <si>
    <t xml:space="preserve">S01441</t>
  </si>
  <si>
    <t xml:space="preserve">345 DELAWARE ST REAR</t>
  </si>
  <si>
    <t xml:space="preserve">GASSER MFG CO (1968-1970; SIC 3499)</t>
  </si>
  <si>
    <t xml:space="preserve">GASSER MFG CO (1967)</t>
  </si>
  <si>
    <t xml:space="preserve">Alameda Station Light Rail Transit Plaza [CDPHE Voluntary_Cleanup_and_Redevelopment_Program_(VCUP)_new; 205 m]</t>
  </si>
  <si>
    <t xml:space="preserve">EGAN PRINTING CO INC [CDPHE RCRA; 209 m]</t>
  </si>
  <si>
    <t xml:space="preserve">ROCKET PRINTING CO [FRS; 112 m] | FAIRMONT K-8 SCHOOL [FRS; 146 m]</t>
  </si>
  <si>
    <t xml:space="preserve">S01445</t>
  </si>
  <si>
    <t xml:space="preserve">4483 N WASHINGTON</t>
  </si>
  <si>
    <t xml:space="preserve">HANDLEY MFG co T HILB ve (1967; SIC 2818)</t>
  </si>
  <si>
    <t xml:space="preserve">HANDLEY MFG co T HILB ve (1967) | HANCLEY MFG CO (1968)</t>
  </si>
  <si>
    <t xml:space="preserve">WASHINGTON STREET BROWNFIELDS PROJECT [FRS; 34 m] | PEARL STREET BROWNFIELDS PROJECT [FRS; 180 m] | Vasquez/VAS [CDPHE CDPHE Superfund] (inside site boundary) | ASARCO GLOBEVILLE [CDPHE CDPHE Superfund] (inside site boundary)</t>
  </si>
  <si>
    <t xml:space="preserve">READY MIXED CONCRETE CO - PLANT 1 [FRS; 211 m]</t>
  </si>
  <si>
    <t xml:space="preserve">CAM SERVICES [FRS; 34 m] | HUD CLEANUP MDR CORPORATION [FRS; 215 m] | HUD CLEANUP FRONT RANGE ASBESTOS REMOVAL [FRS; 220 m]</t>
  </si>
  <si>
    <t xml:space="preserve">STORQUEST E 45 AVE SELF STORAGE [FRS; 34 m] | DAWN INDUSTRIES [FRS; 94 m] | NORTH METRO REINFORCEMENT PROJECT DENVER [FRS; 97 m] | ON-CALL STRUCTURAL&amp;SAFETY REPS [FRS; 244 m]</t>
  </si>
  <si>
    <t xml:space="preserve">READY MIXED CONCRETE CO - PLANT 1</t>
  </si>
  <si>
    <t xml:space="preserve">CAM SERVICES</t>
  </si>
  <si>
    <t xml:space="preserve">S01458</t>
  </si>
  <si>
    <t xml:space="preserve">8270 E EVANS AVE</t>
  </si>
  <si>
    <t xml:space="preserve">MAJESTIC BUILDING PRUCUCTS CO INC (1967; SIC 3442,3281)</t>
  </si>
  <si>
    <t xml:space="preserve">MAJESTIC BUILDING PRUCUCTS CO INC (1967)</t>
  </si>
  <si>
    <t xml:space="preserve">2115 S. Valentia II [CDPHE Voluntary_Cleanup_and_Redevelopment_Program_(VCUP)_new; 211 m] | 2115 S. Valentia [CDPHE Voluntary_Cleanup_and_Redevelopment_Program_(VCUP)_new; 211 m]</t>
  </si>
  <si>
    <t xml:space="preserve">THE GREEN MONSTER RECYCLING [CDPHE RCRA; 201 m] | FOTO FAST INCORPORATED [FRS; 214 m] | SNOWS  CONCRETE FORMING INC [FRS; 229 m] | JAMES HEAVY EQUIPMENT [FRS; 238 m] | BODYWORKS BY MMI [FRS; 242 m]</t>
  </si>
  <si>
    <t xml:space="preserve">Rozco LLC dba Genesis Electronics Recycling of CO [CDPHE Solid_Waste_Facilities; 236 m]</t>
  </si>
  <si>
    <t xml:space="preserve">NUBUILT RESTORATION AND CONSTRUCTION [FRS; 204 m] | BARKEN CRITTERS [FRS; 206 m] | GENESEE PRESS [FRS; 214 m] | SWINGLE TREE COMPANY [FRS; 229 m] | PERKY-PET PRODUCTS CO [FRS; 242 m]</t>
  </si>
  <si>
    <t xml:space="preserve">2115 S. Valentia II</t>
  </si>
  <si>
    <t xml:space="preserve">THE GREEN MONSTER RECYCLING</t>
  </si>
  <si>
    <t xml:space="preserve">S01460</t>
  </si>
  <si>
    <t xml:space="preserve">118 S PECOS</t>
  </si>
  <si>
    <t xml:space="preserve">1967;1970;1973;1974;1983</t>
  </si>
  <si>
    <t xml:space="preserve">MALLOW PLATING + MFG 3272-—« MISC CONCRETE PRODUCTS (1967; SIC 3471) | MALLOW PLATING # MFG WORKS (1970-1983; SIC 1035)</t>
  </si>
  <si>
    <t xml:space="preserve">MALLOW PLATING + MFG 3272-—« MISC CONCRETE PRODUCTS (1967) | MALLOW PLATING # MFG WORKS (1970)</t>
  </si>
  <si>
    <t xml:space="preserve">MALLOW PLATING WORKS INC [FRS; name match, 14 m] | Denver Radium/DRS [CDPHE CDPHE Superfund] (inside site boundary)</t>
  </si>
  <si>
    <t xml:space="preserve">BAYAUD DRUMS - ABANDONED DRUMS [FRS; 16 m] | SAFETY KLEEN SYSTEMS INCORPORATED [FRS; 34 m]</t>
  </si>
  <si>
    <t xml:space="preserve">S01469</t>
  </si>
  <si>
    <t xml:space="preserve">3890 N RACE</t>
  </si>
  <si>
    <t xml:space="preserve">MINE * SMELTER SUPPLY CO (1967; SIC 3532,3535)</t>
  </si>
  <si>
    <t xml:space="preserve">MINE * SMELTER SUPPLY CO (1967)</t>
  </si>
  <si>
    <t xml:space="preserve">SCREW MACHINE PRODUCTS CO [FRS; 40 m]</t>
  </si>
  <si>
    <t xml:space="preserve">P2P AREA 2 DEMOLITION [FRS; 177 m] | P2P AREA 1 DEMOLITION [FRS; 225 m]</t>
  </si>
  <si>
    <t xml:space="preserve">SCREW MACHINE PRODUCTS CO</t>
  </si>
  <si>
    <t xml:space="preserve">S01487</t>
  </si>
  <si>
    <t xml:space="preserve">1844 LARIMER</t>
  </si>
  <si>
    <t xml:space="preserve">NATIONAL SANITARY SUPPLY CO (1967; SIC 2842)</t>
  </si>
  <si>
    <t xml:space="preserve">NATIONAL SANITARY SUPPLY CO (1967)</t>
  </si>
  <si>
    <t xml:space="preserve">SUNSET PARK APARTMENTS [FRS; 6 m]</t>
  </si>
  <si>
    <t xml:space="preserve">GOOCH PARTNERS, LLC [FRS; 21 m] | XCEL ENERGY HAYDEN STATION-MICROFILTRATION PLANT [FRS; 21 m] | XCEL ENERGY COMANCHE PLANT-COMANCHE SWTP01 [FRS; 21 m] | 1800 LARIMER LLC [FRS; 21 m] | XCEL ENERGY (GEORGETOWN HYDROELECTRIC PROJECT) [FRS; 21 m] | PUBLIC SERVICE COMPANY OF COLORADO [FRS; 21 m]</t>
  </si>
  <si>
    <t xml:space="preserve">S01490</t>
  </si>
  <si>
    <t xml:space="preserve">1122 9TH</t>
  </si>
  <si>
    <t xml:space="preserve">EVERSMAN MFG CO INC (1973; SIC 3523)</t>
  </si>
  <si>
    <t xml:space="preserve">OBENCEAIN PRINTING CC (1967) | ALLIED PRINTING PLATES JW CLARK PRES (1973) | EVERSMAN MFG CO INC (1973)</t>
  </si>
  <si>
    <t xml:space="preserve">Community College of Denver II [CDPHE Voluntary_Cleanup_and_Redevelopment_Program_(VCUP)_new; 169 m] | Wellington Apartments [CDPHE Voluntary_Cleanup_and_Redevelopment_Program_(VCUP)_new; 201 m]</t>
  </si>
  <si>
    <t xml:space="preserve">FORMER ROCKY MOUNTAIN ORTHODONTICS / FOX AND COLFAX DEN LLC [CDPHE RCRA; 103 m] | DENVER NEWSPAPER AGENCY [CDPHE RCRA; 103 m] | CCD-HMS [CDPHE RCRA; 103 m] | SHELL OIL PRODUCTS US - SERVICE STATION [CDPHE RCRA; 103 m] | UNITED STATES MINT - DENVER [CDPHE RCRA; 103 m] | CIRCLE K STORE # 2709900 [FRS; 105 m] | DENVER HOUSING AUTHORITY [FRS; 145 m] | CCD-HMS [FRS; 160 m] | DENVER &amp; RIO GRANDE WESTERN</t>
  </si>
  <si>
    <t xml:space="preserve">MSU DENVER – DAY HEALTH INSTITUTE [FRS; 27 m] | 10 ST PEDESTRIAN CORRIDOR PH I AND II [FRS; 123 m] | AURARIA HIGHER EDUCATION CENTER [FRS; 165 m] | AURARIA HIGHER EDUCATION CENT [FRS; 166 m] | AURARIA HIGHER EDUCATION CENT [FRS; 243 m] | METROPOLITAN STATE COLLEGE AU [FRS; 243 m]</t>
  </si>
  <si>
    <t xml:space="preserve">Community College of Denver II</t>
  </si>
  <si>
    <t xml:space="preserve">FORMER ROCKY MOUNTAIN ORTHODONTICS / FOX AND COLFAX DEN LLC</t>
  </si>
  <si>
    <t xml:space="preserve">S01493</t>
  </si>
  <si>
    <t xml:space="preserve">1338 S JASON</t>
  </si>
  <si>
    <t xml:space="preserve">OVER-LOWE CO INC (1967; SIC 3642,3714)</t>
  </si>
  <si>
    <t xml:space="preserve">OVER-LOWE CO INC (1967) | AFERICAN TARGET CO (1974) | CENTAM CORPORATION (1974) | i cies (1977)</t>
  </si>
  <si>
    <t xml:space="preserve">BOTANACOR LABORATORIES [FRS; 4 m]</t>
  </si>
  <si>
    <t xml:space="preserve">FPG COLORADO, LLC - JASON STREET [FRS; 15 m]</t>
  </si>
  <si>
    <t xml:space="preserve">BOTANACOR LABORATORIES</t>
  </si>
  <si>
    <t xml:space="preserve">S01496</t>
  </si>
  <si>
    <t xml:space="preserve">2121 W 10TH AVE</t>
  </si>
  <si>
    <t xml:space="preserve">PEERLESS PRODUCTS INC (1967; SIC 3442,3446)</t>
  </si>
  <si>
    <t xml:space="preserve">PEERLESS PRODUCTS INC (1967) | COMMANDER BCARD MFG CO (1968)</t>
  </si>
  <si>
    <t xml:space="preserve">Katzson Brothers [CDPHE RCRA_corrective_action; 58 m] | Cintas/G&amp;K [CDPHE RCRA_corrective_action; 62 m] | Denver Radium/DRS [CDPHE CDPHE Superfund] (inside site boundary)</t>
  </si>
  <si>
    <t xml:space="preserve">G &amp; K SERVICES, INC. - OLD VALLEJO SITE [FRS; 43 m] | KATZSON BROTHERS INCORPORATED [FRS; 49 m]</t>
  </si>
  <si>
    <t xml:space="preserve">S01501</t>
  </si>
  <si>
    <t xml:space="preserve">2088 S HURON ST</t>
  </si>
  <si>
    <t xml:space="preserve">1967;1973;1974;1980;1988;1990</t>
  </si>
  <si>
    <t xml:space="preserve">PLASTIC CONTAINER CORP (1967; SIC 3079) | COAST TO COAST MFG CO (1973-1974; SIC 3431,3079) | D L S MANUFACTURING INC (1974; SIC 3079,3469,3479) | FRONT RANGE SPRAY PAINTING INC (1980-1990; SIC 3479,3599,2751)</t>
  </si>
  <si>
    <t xml:space="preserve">PLASTIC CONTAINER CORP (1967) | COAST TO COAST MFG CO (1973) | D L S MANUFACTURING INC (1974) | FRONT RANGE SPRAY PAINTING INC (1980)</t>
  </si>
  <si>
    <t xml:space="preserve">EVANS CATALYTIC SITE [FRS; 22 m]</t>
  </si>
  <si>
    <t xml:space="preserve">FRONT RANGE SPRAY PAINTING INC [FRS; name match, 14 m] | PPG ARCHITECTURAL FINISHES INC PPG PAINTS STORE #8028 [CDPHE RCRA; 26 m] | SHERWIN-WILLIAMS #4386 [CDPHE RCRA; 26 m] | CLASSIC COLLISION - HIGHLAND SOUTH 1928  [CDPHE RCRA; 26 m] | PLATINUM AUTO BODY INC [CDPHE RCRA; 26 m] | FRONT RANGE SPRAY PAINTING INC [FRS] (address match)</t>
  </si>
  <si>
    <t xml:space="preserve">PASQUINELS LANDING PARK [FRS; 22 m] | SMOKE RANCH [FRS; 33 m]</t>
  </si>
  <si>
    <t xml:space="preserve">FRONT RANGE SPRAY PAINTING INC</t>
  </si>
  <si>
    <t xml:space="preserve">S01515</t>
  </si>
  <si>
    <t xml:space="preserve">1516 CLAY</t>
  </si>
  <si>
    <t xml:space="preserve">PERMA-GRAPHIGS INC (1980-1983; SIC 3999,3079) | PLASTILAM (1980; SIC 3079,3999,3993)</t>
  </si>
  <si>
    <t xml:space="preserve">SUNSHINE CURTAINS INC (1967) | RUST SALES CC (1968) |  (1973) | V W PRINTING (1974) | PERMA-GRAPHICS INC (1977) | PLASTILAM (1980) | SHEL LUS FAST PRINTING SERVICES (1980)</t>
  </si>
  <si>
    <t xml:space="preserve">Opus 19th and Clay II [CDPHE Voluntary_Cleanup_and_Redevelopment_Program_(VCUP)_new; 174 m] | Red Lodge Development, LLC [CDPHE Voluntary_Cleanup_and_Redevelopment_Program_(VCUP)_new; 180 m]</t>
  </si>
  <si>
    <t xml:space="preserve">THE UROLOGY CENTER OF COLORADO [FRS; 104 m] | UROLOGY SURGERY CENTER OF COLORADO [CDPHE RCRA; 104 m] | THE UROLOGY CENTER OF COLORADO [CDPHE RCRA; 126 m] | HENSLEY BATTERY &amp; ELECTRIC [FRS; 182 m] | RYDER TRUCK RENTAL [CDPHE RCRA; 221 m] | CITY &amp; COUNTY OF DENVER - POLICE DIST 4 [FRS; 236 m] | RESERVOIRS ENVIRONMENTAL SERVICES INC. [FRS; 241 m]</t>
  </si>
  <si>
    <t xml:space="preserve">19TH AND CLAY [FRS; 70 m] | VERIZON WIRELESS - MILE HIGH NORTH [FRS; 117 m]</t>
  </si>
  <si>
    <t xml:space="preserve">THE UROLOGY CENTER OF COLORADO</t>
  </si>
  <si>
    <t xml:space="preserve">S01516</t>
  </si>
  <si>
    <t xml:space="preserve">1400 S LIPAN</t>
  </si>
  <si>
    <t xml:space="preserve">1967;1968;1970;1973;1990</t>
  </si>
  <si>
    <t xml:space="preserve">4415 (1967; SIC 3599) | THERMO TECH INCORPCRATED (1968-1970; SIC 3599,3429) | THERMO TECH INCORPORATED (1973; SIC 3769,3599) | AUTO CHLOR SYSTEMS (1990; SIC 2841)</t>
  </si>
  <si>
    <t xml:space="preserve">4415 (1967) | THERMO TECH INCORPCRATED (1968) | THERMO TECH INCORPORATED (1973) | AUTO CHLOR SYSTEMS (1990)</t>
  </si>
  <si>
    <t xml:space="preserve">1400 S. Lipan [CDPHE Voluntary_Cleanup_and_Redevelopment_Program_(VCUP)_new; 9 m]</t>
  </si>
  <si>
    <t xml:space="preserve">CHERRY CREEK COLLISION INC [FRS; 20 m] | LANGE GRAPHICS INC [FRS; 27 m]</t>
  </si>
  <si>
    <t xml:space="preserve">AUTO CHLOR SYSTEM OF DENVER, INCORPORATED [FRS; name match, 26 m] | CHERRY CREEK COLLISION INC [FRS; 21 m] | PENGUIN STUDIO PRESS, INC. [FRS; 26 m]</t>
  </si>
  <si>
    <t xml:space="preserve">CHERRY CREEK COLLISION INC</t>
  </si>
  <si>
    <t xml:space="preserve">S01522</t>
  </si>
  <si>
    <t xml:space="preserve">3722 CHESTNUT PL</t>
  </si>
  <si>
    <t xml:space="preserve">TRIPLE $ INDUSTRIES INC (1967; SIC 3714)</t>
  </si>
  <si>
    <t xml:space="preserve">TRIPLE $ INDUSTRIES INC (1967)</t>
  </si>
  <si>
    <t xml:space="preserve">ARKINS COURT PRIVATE RESIDENCE</t>
  </si>
  <si>
    <t xml:space="preserve">DENVER LIMON BURLINGTON TRANSFER CO</t>
  </si>
  <si>
    <t xml:space="preserve">S01526</t>
  </si>
  <si>
    <t xml:space="preserve">4969 COLORACO BLVD</t>
  </si>
  <si>
    <t xml:space="preserve">WESTERN SLING COeDIV MFG*$ WAREHGUSE CO. (1980; SIC 3743,3496,3493) | DUR“D-WAL INC.» COLO DIV (1983; SIC 3496) | WESTERN SLING CO (1983; SIC 3743,3496) | SIGNS BULSING PRdbUcrs (1988; SIC 3444,3542) | DUR-O-WAL INC COLORADO (1990; SIC 3496)</t>
  </si>
  <si>
    <t xml:space="preserve">WESTERN BAKERS SUPPLY CO (1967) | KIMTRUSS CORP (1973) | GENERAL CUSHION NORTH (1980) | WESTERN SLING COeDIV MFG*$ WAREHGUSE CO. (1980) | WIKCa NORD PRODUCTS (1980) | DUR“D-WAL INC.» COLO DIV (1983) | WESTERN SLING CO (1983) | STEPHANY’S CHOCOLATES (1988) | SIGNS BULSING PRdbUcrs (1988) | DUR-O-WAL INC COLORADO (1990)</t>
  </si>
  <si>
    <t xml:space="preserve">GATES STEEL CO [FRS; 236 m] | Sand Creek/SND [CDPHE CDPHE Superfund] (inside site boundary)</t>
  </si>
  <si>
    <t xml:space="preserve">TESLA BODY REPAIR [FRS; 7 m] | J K CONCEPTS INC [CDPHE RCRA; 7 m] | TESLA BODY REPAIR [CDPHE RCRA; 7 m] | MIDWEST MOTOR EXPRESS [FRS; 26 m] | CGC DIESEL &amp; TRUCK REPAIR [FRS; 105 m] | DENVER TRUCK SALES [FRS; 143 m] | LEND LEASE TRUCK SITE [FRS; 180 m] | PENSKE TRUCK LEASING CO LP [FRS; 217 m] | THE WASHOP [FRS; 230 m] | DOW CHEMICAL CO DOWELL DIV [FRS; 236 m]</t>
  </si>
  <si>
    <t xml:space="preserve">WAREHOUSE SPECIALISTS, INC. [FRS; 39 m] | AMERICAN WAREHOUSE [FRS; 39 m] | PHM SAFE DENVER WAREHOUSE [FRS; 143 m] | A&amp;E TIRE [FRS; 193 m] | CONOCO INC. [FRS; 236 m]</t>
  </si>
  <si>
    <t xml:space="preserve">TESLA BODY REPAIR</t>
  </si>
  <si>
    <t xml:space="preserve">S01528</t>
  </si>
  <si>
    <t xml:space="preserve">301 S CHEROKEE</t>
  </si>
  <si>
    <t xml:space="preserve">1967;1968;1973;1974;1977;1980;1983;1988</t>
  </si>
  <si>
    <t xml:space="preserve">WESTERN RESEARCH LABORATORIES INC WILLIAMS REFINING CO (1967-1980; SIC 2911) | PHARMACEUTICAL BASICS» INCe (1983; SIC 2834) | EQUIPMENT BRORM AG, UTICAL (1988; SIC 2834)</t>
  </si>
  <si>
    <t xml:space="preserve">WESTERN RESEARCH LABORATORIES INC WILLIAMS REFINING CO (1967) | BAXA CORPORATION (1983) | PHARMACEUTICAL BASICS» INCe (1983) | EQUIPMENT BRORM AG, UTICAL (1988)</t>
  </si>
  <si>
    <t xml:space="preserve">Alta Alameda Station [CDPHE Voluntary_Cleanup_and_Redevelopment_Program_(VCUP)_new; 1 m]</t>
  </si>
  <si>
    <t xml:space="preserve">KOK OIL CO INC [FRS; 22 m]</t>
  </si>
  <si>
    <t xml:space="preserve">ACCUTANK TESTING CORPORATION</t>
  </si>
  <si>
    <t xml:space="preserve">S01701</t>
  </si>
  <si>
    <t xml:space="preserve">3510 BRIGHTON BLVD C216</t>
  </si>
  <si>
    <t xml:space="preserve">APACHE BUMPER (1968-1970; SIC 3714,3791)</t>
  </si>
  <si>
    <t xml:space="preserve">APACHE BUMPER (1968)</t>
  </si>
  <si>
    <t xml:space="preserve">INTERSTATE BATTERIES [FRS; 15 m] | ROCKY MOUNTAIN RETINNING COMPANY [FRS; 34 m]</t>
  </si>
  <si>
    <t xml:space="preserve">Great Divide Brewing Co/GDB [CDPHE Solid_Waste_Facilities; 70 m]</t>
  </si>
  <si>
    <t xml:space="preserve">CATALYST DIGITAL HEALTH COLLABORATIVE [FRS; 2 m] | GREAT DIVIDE BREWING CO [FRS; 23 m]</t>
  </si>
  <si>
    <t xml:space="preserve">ATLAS METALS &amp; IRON CORP PROCESSING</t>
  </si>
  <si>
    <t xml:space="preserve">INTERSTATE BATTERIES</t>
  </si>
  <si>
    <t xml:space="preserve">S01704</t>
  </si>
  <si>
    <t xml:space="preserve">3330 E 54TH</t>
  </si>
  <si>
    <t xml:space="preserve">AUTO TRUCK SPRING SERVICE (1968; SIC 3493)</t>
  </si>
  <si>
    <t xml:space="preserve">AUTO TRUCK SPRING SERVICE (1968) | Q=BOND CORP. OF AMERICAs THE (1983)</t>
  </si>
  <si>
    <t xml:space="preserve">Woodbury Chemical/WDB [CDPHE CDPHE Superfund] (inside site boundary)</t>
  </si>
  <si>
    <t xml:space="preserve">Woodbury Chemical/WDB</t>
  </si>
  <si>
    <t xml:space="preserve">H &amp; R AUTO SALVAGE</t>
  </si>
  <si>
    <t xml:space="preserve">S01707</t>
  </si>
  <si>
    <t xml:space="preserve">4747 HOLLY ST</t>
  </si>
  <si>
    <t xml:space="preserve">1968;1970;1973;1974;1988;1990;1992</t>
  </si>
  <si>
    <t xml:space="preserve">COLORADC PAINT CO (1968-1992; SIC 2851) | BANNER MFG CO INC (1973-1974; SIC 2899) | MARBLE WINDOW SILL COLORADO PAINT CO (1988; SIC 2851)</t>
  </si>
  <si>
    <t xml:space="preserve">BANNER MFG CO INC (1968) | COLORADC PAINT CO (1968) | COUNTER TOPS In (1980) | MARBLE WINDOW SILL COLORADO PAINT CO (1988)</t>
  </si>
  <si>
    <t xml:space="preserve">COLORADO PAINT CO - 4747 HOLLY STREET [FRS; name match, 47 m] | COLORADO PAINT CO - 4747 HOLLY STREET [FRS] (address match)</t>
  </si>
  <si>
    <t xml:space="preserve">COLORADO PAINT CO [TRI; name match, 47 m] | COLORADO PAINT CO [TRI] (address match)</t>
  </si>
  <si>
    <t xml:space="preserve">GNB INCORPORATED [FRS; 5 m]</t>
  </si>
  <si>
    <t xml:space="preserve">SWARCO AMERICA [FRS; 45 m] | SWARCO AMERICA [FRS] (address match)</t>
  </si>
  <si>
    <t xml:space="preserve">COLORADO PAINT CO</t>
  </si>
  <si>
    <t xml:space="preserve">GNB INCORPORATED</t>
  </si>
  <si>
    <t xml:space="preserve">S01709</t>
  </si>
  <si>
    <t xml:space="preserve">1447 STOUT</t>
  </si>
  <si>
    <t xml:space="preserve">BAYERS MFG CC (1968; SIC 3585,2752)</t>
  </si>
  <si>
    <t xml:space="preserve">BAYERS MFG CC (1968)</t>
  </si>
  <si>
    <t xml:space="preserve">Focus Property Group [CDPHE Voluntary_Cleanup_and_Redevelopment_Program_(VCUP)_new; 51 m]</t>
  </si>
  <si>
    <t xml:space="preserve">EMBASSY SUITES [FRS; 21 m]</t>
  </si>
  <si>
    <t xml:space="preserve">S01724</t>
  </si>
  <si>
    <t xml:space="preserve">1632 E 47TH</t>
  </si>
  <si>
    <t xml:space="preserve">OEMCO INC (1968-1974; SIC 2834) | OILED TYMPAN SUPREME CHEMICAL (1988; SIC 2841,2842)</t>
  </si>
  <si>
    <t xml:space="preserve">OEMCO INC (1968) | OILED TYMPAN SUPREME CHEMICAL (1988)</t>
  </si>
  <si>
    <t xml:space="preserve">NATIONAL WESTERN CENTER AREA 2 DEMOLITION [FRS; 33 m]</t>
  </si>
  <si>
    <t xml:space="preserve">VB/I-70 BRIGHTON BOULEVARD</t>
  </si>
  <si>
    <t xml:space="preserve">NATIONAL WESTERN CENTER SYEC S STOCKYARDS AND PRIVATE STORM SEWER IMPROVEMENTS</t>
  </si>
  <si>
    <t xml:space="preserve">S01735</t>
  </si>
  <si>
    <t xml:space="preserve">3845 FOREST</t>
  </si>
  <si>
    <t xml:space="preserve">TELEDYNE DENSCO (1990; SIC 3843,3451,3069)</t>
  </si>
  <si>
    <t xml:space="preserve">DENVER TAPE PRINTING CO (1968) | TELEDYNE DENSCO (1988) | WEST TAPE+LABEL CO (1988)</t>
  </si>
  <si>
    <t xml:space="preserve">FOREST STREET [FRS; 5 m]</t>
  </si>
  <si>
    <t xml:space="preserve">WEST TAPE &amp; LABEL [FRS; name match, 25 m] | VOGO CABINETS LLC [FRS; 5 m]</t>
  </si>
  <si>
    <t xml:space="preserve">WEST TAPE &amp; LABEL [FRS; name match, 25 m] | JOHN-PHILLIP'S PRINTING INC [FRS; 5 m] | COLORADO CHEMICAL COMPANY [FRS; 26 m]</t>
  </si>
  <si>
    <t xml:space="preserve">FOREST STREET</t>
  </si>
  <si>
    <t xml:space="preserve">SAFEWAY MILK PLANT</t>
  </si>
  <si>
    <t xml:space="preserve">VOGO CABINETS LLC</t>
  </si>
  <si>
    <t xml:space="preserve">S01741</t>
  </si>
  <si>
    <t xml:space="preserve">1820 S ACOMA</t>
  </si>
  <si>
    <t xml:space="preserve">1968;1988;1990</t>
  </si>
  <si>
    <t xml:space="preserve">EAGLE CUSTOM COACH FFE CO (1968; SIC 3791) | DORIC MFG CO (1988-1990; SIC 3566,3599)</t>
  </si>
  <si>
    <t xml:space="preserve">EAGLE CUSTOM COACH FFE CO (1968) | INTERNATIONAL HOOK AND TACKLE (1974) | FRANTZ ORDERLY PRODUCTS INC (1977) | DORIC MFG CO (1988) | TOPPERSCOT INC (1988)</t>
  </si>
  <si>
    <t xml:space="preserve">RJR CIRCUITS INC [TRI; 109 m] | RJR CIRCUITS INC [FRS; 114 m]</t>
  </si>
  <si>
    <t xml:space="preserve">TOPPERSCOT INC [FRS; name match, 31 m] | ALSCO DENVER INDUSTRIAL [FRS; 68 m] | CHRISTON STOLLE GRINDING INC [FRS; 73 m]</t>
  </si>
  <si>
    <t xml:space="preserve">FUNERAL DIRECTOR'S SERVICE, LLC [FRS; 60 m] | ALSCO DENVER INDUSTRIAL [FRS; 68 m] | STEINER CORP (EQUIPMENT REMOVED IN 1991) [FRS; 68 m]</t>
  </si>
  <si>
    <t xml:space="preserve">S01743</t>
  </si>
  <si>
    <t xml:space="preserve">4800 RACE ST</t>
  </si>
  <si>
    <t xml:space="preserve">ELDER TRAILER + ECDY INC (1968; SIC 3799)</t>
  </si>
  <si>
    <t xml:space="preserve">ELDER TRAILER + ECDY INC (1968)</t>
  </si>
  <si>
    <t xml:space="preserve">WEBB CRANE INC [FRS; 24 m] | WEBB CRANE INC [FRS] (address match)</t>
  </si>
  <si>
    <t xml:space="preserve">GESC - 4709 RACE STREET</t>
  </si>
  <si>
    <t xml:space="preserve">RED SEAL SNACKS</t>
  </si>
  <si>
    <t xml:space="preserve">WEBB CRANE INC</t>
  </si>
  <si>
    <t xml:space="preserve">S01744</t>
  </si>
  <si>
    <t xml:space="preserve">3560 CHESTNUT PL</t>
  </si>
  <si>
    <t xml:space="preserve">1968;1990</t>
  </si>
  <si>
    <t xml:space="preserve">EPCON COMPANY (1968; SIC 3593) | ANTIQUE AUTOMOTIVE ENGINEERING INC (1990; SIC 3714)</t>
  </si>
  <si>
    <t xml:space="preserve">EPCON COMPANY (1968) | ARTCRAFT SIGN COMPANY (1980) | ANTIQUE AUTOMOTIVE ENGINEERING INC (1990)</t>
  </si>
  <si>
    <t xml:space="preserve">CHESTNUT LOFTS [FRS; 7 m] | ULC CHESNUT LOFTS [FRS; 31 m] | Atlas Metal &amp; Iron [CDPHE Voluntary_Cleanup_and_Redevelopment_Program_(VCUP)_new; 42 m] | Vasquez/VAS [CDPHE CDPHE Superfund] (inside site boundary)</t>
  </si>
  <si>
    <t xml:space="preserve">ATLAS METALS &amp; IRON CORP PROCESSING [FRS; 41 m]</t>
  </si>
  <si>
    <t xml:space="preserve">BERT'S MODEL A FORD CENTER [FRS] (address match)</t>
  </si>
  <si>
    <t xml:space="preserve">CHESTNUT LOFTS</t>
  </si>
  <si>
    <t xml:space="preserve">POLICE FLEET SERVICE CENTER</t>
  </si>
  <si>
    <t xml:space="preserve">S01745</t>
  </si>
  <si>
    <t xml:space="preserve">5907 LIPAN</t>
  </si>
  <si>
    <t xml:space="preserve">ESSCC PRODUCTS INC (1968; SIC 2511,2514,3444)</t>
  </si>
  <si>
    <t xml:space="preserve">ESSCC PRODUCTS INC (1968)</t>
  </si>
  <si>
    <t xml:space="preserve">BRODERICK WOOD PRODUCTS CO [FRS; 121 m] | Broderick/BRD [CDPHE Institutional_Controls_PROD_local; 190 m] | Broderick/BRD [CDPHE Institutional_Controls_PROD_local] (inside site boundary) | Broderick/BRD [CDPHE CDPHE Superfund] (inside site boundary)</t>
  </si>
  <si>
    <t xml:space="preserve">SMITH SYSTEMS DENVER [FRS; 216 m]</t>
  </si>
  <si>
    <t xml:space="preserve">BRANNAN SAND &amp; GRAVEL CO - 5880 LIPAN ST [FRS; 182 m]</t>
  </si>
  <si>
    <t xml:space="preserve">BRODERICK WOOD PRODUCTS CO</t>
  </si>
  <si>
    <t xml:space="preserve">SMITH SYSTEMS DENVER</t>
  </si>
  <si>
    <t xml:space="preserve">S01746</t>
  </si>
  <si>
    <t xml:space="preserve">4360 VINE</t>
  </si>
  <si>
    <t xml:space="preserve">OCIMFG (1988; SIC 3443,3586) | OCI MANUFACTURING (1990; SIC 3443,3586)</t>
  </si>
  <si>
    <t xml:space="preserve">FEDERAL PLANING MILL (1968) | FEDERAL PLANING MILE (1970) | OCIMFG (1988) | OCI MANUFACTURING (1990)</t>
  </si>
  <si>
    <t xml:space="preserve">OCI MFG. [FRS; name match, 30 m] | S + S GARAGE [FRS; 3 m] | THANOS, INC. [FRS; 30 m] | A TOUCH OF CLASS COLLISION [FRS; 30 m] | OCI MFG. [FRS] (address match)</t>
  </si>
  <si>
    <t xml:space="preserve">Nestle Purina Truck Parking Lot II</t>
  </si>
  <si>
    <t xml:space="preserve">S01747</t>
  </si>
  <si>
    <t xml:space="preserve">1415 WEWATTA ST</t>
  </si>
  <si>
    <t xml:space="preserve">FIXTURES OF DENVER, INC 3591 MACHINE SHOPS, JOBBING AND REPAIR (1973; SIC 3599)</t>
  </si>
  <si>
    <t xml:space="preserve">FIXTURES OF CENVER (1968) | FIXTURES OF DENVER, INC 3591 MACHINE SHOPS, JOBBING AND REPAIR (1973)</t>
  </si>
  <si>
    <t xml:space="preserve">Postal Parking Lot II [CDPHE Voluntary_Cleanup_and_Redevelopment_Program_(VCUP)_new; 44 m] | Postal Parking Lot [CDPHE Voluntary_Cleanup_and_Redevelopment_Program_(VCUP)_new; 44 m]</t>
  </si>
  <si>
    <t xml:space="preserve">NEW ELITCH GARDENS</t>
  </si>
  <si>
    <t xml:space="preserve">S01766</t>
  </si>
  <si>
    <t xml:space="preserve">1475 S LIPAN</t>
  </si>
  <si>
    <t xml:space="preserve">JO BUD, INC (1968; SIC 3791)</t>
  </si>
  <si>
    <t xml:space="preserve">JO BUD, INC (1968)</t>
  </si>
  <si>
    <t xml:space="preserve">1440 S. Lipan [CDPHE Voluntary_Cleanup_and_Redevelopment_Program_(VCUP)_new; 68 m]</t>
  </si>
  <si>
    <t xml:space="preserve">1440 S. Lipan</t>
  </si>
  <si>
    <t xml:space="preserve">FLOG AZ, LLC</t>
  </si>
  <si>
    <t xml:space="preserve">S01767</t>
  </si>
  <si>
    <t xml:space="preserve">1835 BRYANT E201</t>
  </si>
  <si>
    <t xml:space="preserve">K C CONSTRUCTION SUPPLY CO, INC (1968-1973; SIC 3444)</t>
  </si>
  <si>
    <t xml:space="preserve">K C CONSTRUCTION SUPPLY CO, INC (1968)</t>
  </si>
  <si>
    <t xml:space="preserve">Opus 19th and Clay II [CDPHE Voluntary_Cleanup_and_Redevelopment_Program_(VCUP)_new; 53 m]</t>
  </si>
  <si>
    <t xml:space="preserve">S01778</t>
  </si>
  <si>
    <t xml:space="preserve">3801 RACE</t>
  </si>
  <si>
    <t xml:space="preserve">1968;1970;1973;1980;1983;1992</t>
  </si>
  <si>
    <t xml:space="preserve">MINE 6 SHES ree e 2 (1968; SIC 3532) | MINE ¢ SMELTER SUPPLY CO (1970; SIC 3532) | MS I INDUSTRIES, INC. (1973; SIC 3532) | MINE + SMELTER OLVESION (1980; SIC 3532,3494,3811) | MOUNTAIN STEEL ¢ SUPPLY COMPANY (1980-1992; SIC 3441) | MINE ¢ SMELTER DIVISION (1983; SIC 3532,3494,3611)</t>
  </si>
  <si>
    <t xml:space="preserve">MINE 6 SHES ree e 2 (1968) | FEDERAL ENVELOPE CO (1970) | MINE ¢ SMELTER SUPPLY CO (1970) | MS I INDUSTRIES, INC. (1973) | MINE + SMELTER (1977) | ote (1977) | MINE + SMELTER OLVESION (1980) | MOUNTAIN STEEL ¢ SUPPLY COMPANY (1980) | WARNEKE RAPER BOX CO (1980) | MINE ¢ SMELTER DIVISION (1983) | PERFECTION TiP CO. (1992)</t>
  </si>
  <si>
    <t xml:space="preserve">SCREW MACHINE PRODUCTS CO [FRS; 35 m]</t>
  </si>
  <si>
    <t xml:space="preserve">Clara Brown Commons</t>
  </si>
  <si>
    <t xml:space="preserve">S01782</t>
  </si>
  <si>
    <t xml:space="preserve">3020 E 43RD AVE</t>
  </si>
  <si>
    <t xml:space="preserve">1968;1970;1974;1983;1988</t>
  </si>
  <si>
    <t xml:space="preserve">PERFECTION TIP CC (1968-1974; SIC 3499,3442) | ASSOCIATED ENGINEERING + MFG (1983; SIC 3589) | STEAM WAY INTERNATIONAL INC (1988; SIC 3582,3889)</t>
  </si>
  <si>
    <t xml:space="preserve">PERFECTION TIP CC (1968) | ASSOCIATED ENGINEERING + HFG (1980) | STEAM WAY INTERNATIONAL INC (1988)</t>
  </si>
  <si>
    <t xml:space="preserve">FINISHING SPECIALITIES INC [FRS] (address match)</t>
  </si>
  <si>
    <t xml:space="preserve">S01785</t>
  </si>
  <si>
    <t xml:space="preserve">3600 45TH EC21</t>
  </si>
  <si>
    <t xml:space="preserve">PROFESSIONAL PAINTS INC (1968; SIC 2851,3561,3991)</t>
  </si>
  <si>
    <t xml:space="preserve">PROFESSIONAL PAINTS INC (1968)</t>
  </si>
  <si>
    <t xml:space="preserve">Singer Shopping Center 44th &amp; Meade [CDPHE RCRA_corrective_action; 170 m]</t>
  </si>
  <si>
    <t xml:space="preserve">SINGER CLEANERS [FRS; 193 m] | SINGER CLEANERS [CDPHE RCRA; 195 m]</t>
  </si>
  <si>
    <t xml:space="preserve">LAURA M GAYTON RES. [FRS; 62 m] | GAS 4 LESS [FRS; 186 m] | YBK ENTERPRISES - SINGER DRY CLEANERS [FRS; 197 m] | SAFEWAY INC. - 244 [FRS; 203 m] | PESTER MARKETING - ALTA CONVIENCE 6012 [FRS; 222 m]</t>
  </si>
  <si>
    <t xml:space="preserve">Singer Shopping Center 44th &amp; Meade</t>
  </si>
  <si>
    <t xml:space="preserve">SINGER CLEANERS</t>
  </si>
  <si>
    <t xml:space="preserve">S01789</t>
  </si>
  <si>
    <t xml:space="preserve">5800 JEWELL AVE</t>
  </si>
  <si>
    <t xml:space="preserve">RKEOFIELC GUN SICGKT CC (1968; SIC 3484) | REDFIELD CO.» DIV OF QUTDOOR SPORTS INC (1973; SIC 3484)</t>
  </si>
  <si>
    <t xml:space="preserve">RKEOFIELC GUN SICGKT CC (1968) | REDFIELD GUN SLGHT CO RL RIEDEL PRES (1970) | REDFIELD CO.» DIV OF QUTDOOR SPORTS INC (1973) | REDFIELD CO.» OfV OF OUTDOOR SPORTS INC HERBERT BEICH PRES (1974)</t>
  </si>
  <si>
    <t xml:space="preserve">POLKA DOT CLNRS [FRS; 103 m] | Redfield/ BG Retail [CDPHE RCRA_corrective_action; 200 m]</t>
  </si>
  <si>
    <t xml:space="preserve">BG RETAIL - REDFIELD RIFLE SCOPES BLDG [FRS; 243 m]</t>
  </si>
  <si>
    <t xml:space="preserve">COLORADO DEPT OF HIGHWAYS [FRS; 114 m] | BG RETAIL LLC [CDPHE RCRA; 169 m] | ADDISON  AUTO  REPAIR  &amp;  BODY  SHOP [FRS; 213 m] | COLO DEPT OF TRANSPORTATION [FRS; 213 m]</t>
  </si>
  <si>
    <t xml:space="preserve">FOX MANAGEMENT COMPANY [FRS; 27 m] | CF ALTITUDE - ALTA # 6013 [FRS; 131 m] | EVANS AND HOLLY RESIDENTIAL DEVELOPMENT [FRS; 213 m] | 5405 E BAILS DR [FRS; 220 m]</t>
  </si>
  <si>
    <t xml:space="preserve">POLKA DOT CLNRS</t>
  </si>
  <si>
    <t xml:space="preserve">BG RETAIL - REDFIELD RIFLE SCOPES BLDG</t>
  </si>
  <si>
    <t xml:space="preserve">COLORADO DEPT OF HIGHWAYS</t>
  </si>
  <si>
    <t xml:space="preserve">S01794</t>
  </si>
  <si>
    <t xml:space="preserve">15 TEJON</t>
  </si>
  <si>
    <t xml:space="preserve">ROLON TIRE CFAIN CORP (1968; SIC 3496)</t>
  </si>
  <si>
    <t xml:space="preserve">ROLON TIRE CFAIN CORP (1968)</t>
  </si>
  <si>
    <t xml:space="preserve">SOUTH TEJON LANDFILL [FRS; 27 m]</t>
  </si>
  <si>
    <t xml:space="preserve">KING SOOPERS/CITY MARKET [FRS; 26 m] | PREMIER ENGINES INC [FRS; 27 m]</t>
  </si>
  <si>
    <t xml:space="preserve">SOUTH TEJON LANDFILL</t>
  </si>
  <si>
    <t xml:space="preserve">KING SOOPERS/CITY MARKET</t>
  </si>
  <si>
    <t xml:space="preserve">S01798</t>
  </si>
  <si>
    <t xml:space="preserve">5205 STEELE ST</t>
  </si>
  <si>
    <t xml:space="preserve">SARGENT WESTERNs INC (1968; SIC 3433,3564,3441)</t>
  </si>
  <si>
    <t xml:space="preserve">SARGENT WESTERNs INC (1968)</t>
  </si>
  <si>
    <t xml:space="preserve">PROSPECT AUTO TOWING [FRS; 14 m] | TOP SHOP INC. [FRS; 23 m]</t>
  </si>
  <si>
    <t xml:space="preserve">S01805</t>
  </si>
  <si>
    <t xml:space="preserve">3601 W COLFAX</t>
  </si>
  <si>
    <t xml:space="preserve">1968;1970;1973;1974;1977</t>
  </si>
  <si>
    <t xml:space="preserve">SMITH METAL &amp;CRKERS INC (1968; SIC 3444) | SMITH METAL WORKERS INC (1970; SIC 3444) | COPPER-GLO FIREPLACE CO (1973-1977; SIC 3433)</t>
  </si>
  <si>
    <t xml:space="preserve">SMITH METAL &amp;CRKERS INC (1968) | SMITH METAL WORKERS INC (1970) | COPPER-GLO FIREPLACE CO (1973)</t>
  </si>
  <si>
    <t xml:space="preserve">LOWELL AND COLFAX [FRS; 28 m]</t>
  </si>
  <si>
    <t xml:space="preserve">COPPER-GLO FIREPLACE &amp; IRONWORKS [FRS; name match, 20 m]</t>
  </si>
  <si>
    <t xml:space="preserve">S01809</t>
  </si>
  <si>
    <t xml:space="preserve">3609 WAZEE</t>
  </si>
  <si>
    <t xml:space="preserve">STANDARD METAL FABRICATING CO (1968; SIC 3444)</t>
  </si>
  <si>
    <t xml:space="preserve">STANDARD METAL FABRICATING CO (1968)</t>
  </si>
  <si>
    <t xml:space="preserve">RiNo TOD, LLC II [CDPHE Voluntary_Cleanup_and_Redevelopment_Program_(VCUP)_new; 66 m] | Warehouse Building UST [CDPHE Voluntary_Cleanup_and_Redevelopment_Program_(VCUP)_new; 66 m] | RiNo TOD, LLC [CDPHE Voluntary_Cleanup_and_Redevelopment_Program_(VCUP)_new; 66 m] | Vasquez/VAS [CDPHE CDPHE Superfund] (inside site boundary)</t>
  </si>
  <si>
    <t xml:space="preserve">A-ACME AUTO RECYCLING [FRS; 35 m]</t>
  </si>
  <si>
    <t xml:space="preserve">RiNo TOD, LLC II</t>
  </si>
  <si>
    <t xml:space="preserve">S01812</t>
  </si>
  <si>
    <t xml:space="preserve">3264 LARIMER</t>
  </si>
  <si>
    <t xml:space="preserve">VINER MANUFACTURING SYSTEMS INC (1974; SIC 3444,3446)</t>
  </si>
  <si>
    <t xml:space="preserve">STOLL MANUFACTURING CO (1968) | VINER MANUFACTURING SYSTEMS INC (1974)</t>
  </si>
  <si>
    <t xml:space="preserve">3235 Larimer [CDPHE Voluntary_Cleanup_and_Redevelopment_Program_(VCUP)_new; 28 m] | 3235 Larimer [CDPHE Voluntary_Cleanup_and_Redevelopment_Program_(VCUP)_new; 41 m]</t>
  </si>
  <si>
    <t xml:space="preserve">S01817</t>
  </si>
  <si>
    <t xml:space="preserve">156 TEJON</t>
  </si>
  <si>
    <t xml:space="preserve">1968;1970;1973;1974;1980;1983;1990</t>
  </si>
  <si>
    <t xml:space="preserve">SUPERIOR TOUx + MACRINERY (1968; SIC 3544) | WESTERN METAL PRCCUCTS CC (1968-1990; SIC 3714,3561,3694) | ROLON TIRE CHAIN CORP (1970-1974; SIC 3481) | MET FAB INC (1974; SIC 3599)</t>
  </si>
  <si>
    <t xml:space="preserve">SUPERIOR TOUx + MACRINERY (1968) | WESTERN METAL PRCCUCTS CC (1968) | ROLON TIRE CHAIN CORP (1970) | MET FAB INC (1974)</t>
  </si>
  <si>
    <t xml:space="preserve">General Chemical Corporation [CDPHE Institutional_Controls_PROD_local] (inside site boundary)</t>
  </si>
  <si>
    <t xml:space="preserve">General Chemical Corporation</t>
  </si>
  <si>
    <t xml:space="preserve">KING SOOPERS - MAINTENANCE</t>
  </si>
  <si>
    <t xml:space="preserve">S01818</t>
  </si>
  <si>
    <t xml:space="preserve">6300 STAPLETCN SCUTF CR</t>
  </si>
  <si>
    <t xml:space="preserve">SARGENT IND = SWEENY DIVISION (1983; SIC 3423,3629)</t>
  </si>
  <si>
    <t xml:space="preserve">SWEENEY, B Ky MFG CC (1968) | SARGENT IND = SWEENY DIVISION (1983)</t>
  </si>
  <si>
    <t xml:space="preserve">General Motors Building [CDPHE Voluntary_Cleanup_and_Redevelopment_Program_(VCUP)_new; 222 m]</t>
  </si>
  <si>
    <t xml:space="preserve">SAFEWAY BEVERAGE PLANT DENVER [FRS; 105 m] | US GREENFIBER LLC [FRS; 232 m]</t>
  </si>
  <si>
    <t xml:space="preserve">SARGENT INDUSTRIES INC [FRS; name match, 38 m] | HILTI DISTRIBUTION CENTER - DENVER [FRS; 110 m] | HUGHES DELIVERY SERVICE INC [FRS; 145 m] | SAFEWAY BEVERAGE PLANT 8277 [CDPHE RCRA; 157 m] | JOHN DEERE PARTS DIST CENTER [FRS; 168 m] | VEOLIA ES TECHNICAL SOLUTIONS LLC [CDPHE RCRA; 208 m] | GOODWILL INDUSTRIES OF DENVER [FRS; 218 m] | 4355 KEARNEY ST LLC [FRS; 218 m] | DECORATIVE &amp; COATING SYSTEMS</t>
  </si>
  <si>
    <t xml:space="preserve">ENVIRONMENTAL MATERIALS, LLC [FRS; 7 m] | FREMAN DECORATING CO. [FRS; 38 m] | ENVIRONMENTAL STONEWORKS [FRS; 38 m] | ENVIRONMENTAL MATERIALS LLC [FRS; 38 m] | ARCLIN SURFACES LLC [FRS; 232 m] | DARALCO INC [FRS; 232 m] | CLASSIC DOORWAYS [FRS; 234 m] | DECORATIVE &amp; COATING SYSTEMS INC [FRS; 234 m]</t>
  </si>
  <si>
    <t xml:space="preserve">General Motors Building</t>
  </si>
  <si>
    <t xml:space="preserve">SAFEWAY BEVERAGE PLANT DENVER</t>
  </si>
  <si>
    <t xml:space="preserve">SARGENT INDUSTRIES INC</t>
  </si>
  <si>
    <t xml:space="preserve">S01836</t>
  </si>
  <si>
    <t xml:space="preserve">4758 BROADWAY</t>
  </si>
  <si>
    <t xml:space="preserve">WORTHINGTON CORP (1968; SIC 3561) | WORTHINGTGN CORP (1970; SIC 3561) | WORTHINGTON CORP (1973; SIC 3561)</t>
  </si>
  <si>
    <t xml:space="preserve">WORTHINGTON CORP (1968) | WORTHINGTGN CORP (1970) | WORTHINGTON CORP (1973)</t>
  </si>
  <si>
    <t xml:space="preserve">SALVATION ARMY ARC THE [FRS; 4 m]</t>
  </si>
  <si>
    <t xml:space="preserve">SALVATION ARMY ARC THE</t>
  </si>
  <si>
    <t xml:space="preserve">S01889</t>
  </si>
  <si>
    <t xml:space="preserve">7530 W 16TH</t>
  </si>
  <si>
    <t xml:space="preserve">1968;1977</t>
  </si>
  <si>
    <t xml:space="preserve">REED SPEAKER CO (1968; SIC 3651,2831) | UNIQUE COSMETICS INC (1977; SIC 2844)</t>
  </si>
  <si>
    <t xml:space="preserve">REED SPEAKER CO (1968) | REED SPEAKER CO (1970) | UNIQUE INDUSTRIES INC (1974) | UNIQUE COSMETICS INC (1977)</t>
  </si>
  <si>
    <t xml:space="preserve">Christopher Dodge; (N. Parcel) [CDPHE Voluntary_Cleanup_and_Redevelopment_Program_(VCUP)_new; 201 m] | McVey Investments, LLC [CDPHE Voluntary_Cleanup_and_Redevelopment_Program_(VCUP)_new; 222 m] | Christopher Dodge II [CDPHE Voluntary_Cleanup_and_Redevelopment_Program_(VCUP)_new; 222 m]</t>
  </si>
  <si>
    <t xml:space="preserve">HARMONY POINTE NURSING CENTER [FRS; 100 m] | MSD AUTOMOTIVE INC  DBA MERRILL AXLE AND WHEEL SERVICE [FRS; 132 m] | CNB ASSET CORPORATION [FRS; 216 m] | CHRISTOPHER DODGE INC [FRS; 216 m]</t>
  </si>
  <si>
    <t xml:space="preserve">SILCO OIL CO [FRS; 216 m] | EQUILON ENTERPRISES LLC [FRS; 222 m] | ALL STATES CREMATION SER INC [FRS; 243 m]</t>
  </si>
  <si>
    <t xml:space="preserve">Christopher Dodge; (N. Parcel)</t>
  </si>
  <si>
    <t xml:space="preserve">HARMONY POINTE NURSING CENTER</t>
  </si>
  <si>
    <t xml:space="preserve">S01966</t>
  </si>
  <si>
    <t xml:space="preserve">5641 N WASHINGTON ST</t>
  </si>
  <si>
    <t xml:space="preserve">MEIER + FRANK MERCHANDISE CO (1974-1990; SIC 3961,3471,3369) | METER + FRANK MERCHANOLSE CO (1980; SIC 3961,3499,2396)</t>
  </si>
  <si>
    <t xml:space="preserve">MELER # FRANK MERCHANDISE CO (1970) | METER + FRANK MERCHANOLSE CO (1980)</t>
  </si>
  <si>
    <t xml:space="preserve">MEIER-FRANK MERCH'D [FRS; 26 m] | CARL AINSWORTH INC [FRS; 58 m] | GREAT BIG COLOR [FRS; 78 m] | ALLWIRE INC [FRS; 102 m] | IRON WOMAN CONSTRUCTION &amp; ENVIRONMENTAL [FRS; 136 m] | DIAMOND SHAMROCK - COLO DIV [FRS; 189 m] | SERCK SERVICES INC DBA SERCK HEAT EXCHANGE [FRS; 198 m] | PROVISION INC [CDPHE RCRA; 210 m] | ESSEX GROUP -ESSEX BROWNELL [CDPHE RCRA; 210 m] | LIFESPAN RECYCLING CO INC [CDPHE R</t>
  </si>
  <si>
    <t xml:space="preserve">EBUILDING SERVICES (SPERRY PROPERTIES) [FRS; 8 m] | RECYCLED MATERIALS - PORTABLE GENERATOR [FRS; 136 m] | RECRETE - TAYLOR LOT (POD #4) [FRS; 136 m] | AGGREGATE INDUSTRIES - WCR, INC.-HMA PLT [FRS; 136 m] | AGGREGATE INDUSTRIES - STAPLETON RM [FRS; 136 m] | GOLDEN CONCRETE (HAGENATOR CBP) [FRS; 136 m] | WESTERN MEAT [FRS; 177 m] | ALL PHASE COATINGS LLC. [FRS; 230 m] | MOUNTAIN STEEL &amp; SUPPLY COM</t>
  </si>
  <si>
    <t xml:space="preserve">MEIER-FRANK MERCH'D</t>
  </si>
  <si>
    <t xml:space="preserve">S01997</t>
  </si>
  <si>
    <t xml:space="preserve">1420 18TH ST</t>
  </si>
  <si>
    <t xml:space="preserve">A AND A STEREGTYPE (1970; SIC 3555)</t>
  </si>
  <si>
    <t xml:space="preserve">A AND A STEREGTYPE (1970)</t>
  </si>
  <si>
    <t xml:space="preserve">18th and Market LLC [CDPHE Voluntary_Cleanup_and_Redevelopment_Program_(VCUP)_new; 39 m]</t>
  </si>
  <si>
    <t xml:space="preserve">S02014</t>
  </si>
  <si>
    <t xml:space="preserve">3100 E 43RD AVE</t>
  </si>
  <si>
    <t xml:space="preserve">1970;1973;1974;1977;1980;1983;1988;1990;1992</t>
  </si>
  <si>
    <t xml:space="preserve">DENVER METAL FINISHING CO (1970-1992; SIC 3471) | DENVER METAL FINISHING CO 2452 PREFABRICATED WOOD BLILDINGS (1973; SIC 3479) | PINISHINS' ESS” (1988; SIC 3471,3479) | RICHLERAY CORP (1990; SIC 3471)</t>
  </si>
  <si>
    <t xml:space="preserve">DENVER METAL FINISHING CO (1970) | DENVER METAL FINISHING CO 2452 PREFABRICATED WOOD BLILDINGS (1973) | PINISHINS' ESS” (1988) | RICHLERAY CORP (1990)</t>
  </si>
  <si>
    <t xml:space="preserve">DENVER METAL FINISHING [FRS; name match, 36 m] | Denver Metal Finishing [CDPHE RCRA_corrective_action; name match, 50 m] | DENVER METAL FINISHING [FRS] (address match) | Vasquez/VAS [CDPHE CDPHE Superfund] (inside site boundary)</t>
  </si>
  <si>
    <t xml:space="preserve">DENVER METAL FINISHING [TRI; name match, 47 m] | DENVER METAL FINISHING [TRI] (address match)</t>
  </si>
  <si>
    <t xml:space="preserve">FINISHING SPECIALITIES INC [FRS; 21 m] | DENVER METAL FINISHING [CDPHE RCRA] (address match)</t>
  </si>
  <si>
    <t xml:space="preserve">RICHLERAY CORP. [FRS; name match, 36 m] | RICHLERAY CORP. [FRS] (address match)</t>
  </si>
  <si>
    <t xml:space="preserve">S02015</t>
  </si>
  <si>
    <t xml:space="preserve">3500 BLAKE ST</t>
  </si>
  <si>
    <t xml:space="preserve">1970;1973;1974;1977;1980</t>
  </si>
  <si>
    <t xml:space="preserve">DENVER METALWORKING (1970-1980; SIC 3591,3544) | DENVER METALWORKING INC J _&amp; DINGERSON PRES (1973; SIC 3591,3544)</t>
  </si>
  <si>
    <t xml:space="preserve">DENVER METALWORKING (1970) | DENVER METALWORKING INC J _&amp; DINGERSON PRES (1973)</t>
  </si>
  <si>
    <t xml:space="preserve">3500 Blake Street Owners LLC II [CDPHE Voluntary_Cleanup_and_Redevelopment_Program_(VCUP)_new; 11 m]</t>
  </si>
  <si>
    <t xml:space="preserve">WHITE CAP CONSTRUCTION SUPPLY (WC0041) [FRS; 66 m]</t>
  </si>
  <si>
    <t xml:space="preserve">3500 BLAKE [FRS] (address match) | T3 RINO [FRS] (address match)</t>
  </si>
  <si>
    <t xml:space="preserve">WALNUT ST WOODWORKS INC</t>
  </si>
  <si>
    <t xml:space="preserve">S02022</t>
  </si>
  <si>
    <t xml:space="preserve">1900 W 12TH AVE</t>
  </si>
  <si>
    <t xml:space="preserve">1970;1977;1980;1983;1988;1990;1992</t>
  </si>
  <si>
    <t xml:space="preserve">FLAME SPRAY INC (1970-1992; SIC 3479) | CONTINENTAL ELEVATOR COMPANY (1980; SIC 3334) | ELEVATOR TECHNOLOGY INC (1983; SIC 3534) | + $ SERVICE INC PRESIDENT (1983; SIC 3479) | F+S SERVICE INC (1988; SIC 3479,3599)</t>
  </si>
  <si>
    <t xml:space="preserve">FLAME SPRAY INC (1970) | CONTINENTAL ELEVATOR COMPANY (1980) | ELEVATOR TECHNOLOGY INC (1983) | + $ SERVICE INC PRESIDENT (1983) | F+S SERVICE INC (1988)</t>
  </si>
  <si>
    <t xml:space="preserve">ATLAS METAL &amp; IRON CORP [FRS; 109 m]</t>
  </si>
  <si>
    <t xml:space="preserve">FLAME SPRAY INC [FRS; name match, 57 m] | FLAME SPRAY INC [FRS] (address match) | FLAME SPRAY INC [CDPHE RCRA] (address match)</t>
  </si>
  <si>
    <t xml:space="preserve">Atlas Metal &amp; Iron Corp</t>
  </si>
  <si>
    <t xml:space="preserve">FLAME SPRAY INC</t>
  </si>
  <si>
    <t xml:space="preserve">S02024</t>
  </si>
  <si>
    <t xml:space="preserve">401 W 43RD AVE</t>
  </si>
  <si>
    <t xml:space="preserve">1970;1977;1980;1988;1990;1992</t>
  </si>
  <si>
    <t xml:space="preserve">FOX» LOUIS S- SHEET METAL CO (1970-1992; SIC 3444) | RUE SES SHEET (1988; SIC 3444)</t>
  </si>
  <si>
    <t xml:space="preserve">FOX» LOUIS S- SHEET METAL CO (1970) | RUE SES SHEET (1988)</t>
  </si>
  <si>
    <t xml:space="preserve">S02050</t>
  </si>
  <si>
    <t xml:space="preserve">1622 S BANNOCK</t>
  </si>
  <si>
    <t xml:space="preserve">PERRY TOOL ¢ OLE CO (1970; SIC 3544)</t>
  </si>
  <si>
    <t xml:space="preserve">PERRY TOOL ¢ OLE CO (1970)</t>
  </si>
  <si>
    <t xml:space="preserve">HOLCIM WCR INC BANNOCK READY MIX PLANT [TRI; 33 m] | HOLCIM-WCR INC - BANNOCK [FRS; 68 m]</t>
  </si>
  <si>
    <t xml:space="preserve">AMERICAN TUBE TECHNOLOGY [FRS; 31 m] | ARTCRAFT SIGN CO. [FRS; 149 m] | DENVER PUBLIC SCHOOLS [FRS; 163 m] | DEPENDABLE CLEANERS [FRS; 202 m] | TPI PETROLEUM INC  #4083 [FRS; 202 m] | PAUL EIDE PROPERTY [FRS; 205 m]</t>
  </si>
  <si>
    <t xml:space="preserve">NCS Acoma [CDPHE Solid_Waste_Facilities; 123 m]</t>
  </si>
  <si>
    <t xml:space="preserve">TAGHAVI - SANTA FE GAS EXPRESS [FRS; 190 m] | W. IOWA AVE UNDERPASS SIDEWALK IMPROVEMENTS [FRS; 199 m] | SOUTH PLATTE GREENWAY ACCESS SIDEWALK IMPROVEMENTS [FRS; 212 m] | SOUTH PLATTE GREENWAY ACCESS SIDEWALK IMPROVEMENTS [FRS; 223 m] | W IOWA AVE UNDERPASS SIDEWALK IMPROVEMENTS [FRS; 242 m]</t>
  </si>
  <si>
    <t xml:space="preserve">HOLCIM WCR INC BANNOCK READY MIX PLANT</t>
  </si>
  <si>
    <t xml:space="preserve">AMERICAN TUBE TECHNOLOGY</t>
  </si>
  <si>
    <t xml:space="preserve">S02061</t>
  </si>
  <si>
    <t xml:space="preserve">8000 E 40TH AVE</t>
  </si>
  <si>
    <t xml:space="preserve">GOLDBERG BROTHERS MFG CO (1988-1992; SIC 3089,3363,3444)</t>
  </si>
  <si>
    <t xml:space="preserve">SMITH-BROOKS PRINTING CO (1970) | JEPPESEN + CO (1974) | ‘\ASPEN SKIWEAR, INC. (1977) | JEPPESEN SANDERSON, 3NC (1977) | ASPEN SKIWEARs INC. (1983) | GOLDBERG BROTHERS MFG CO (1988)</t>
  </si>
  <si>
    <t xml:space="preserve">Goldberg / 8000 E. 40th [CDPHE RCRA_corrective_action; 58 m]</t>
  </si>
  <si>
    <t xml:space="preserve">GOLDBERG BROTHERS INCORPORATED [FRS; name match, 5 m] | GOLDBERG BROTHERS INC [CDPHE RCRA; name match, 17 m] | FINISHING PROFESSIONALS LLC [CDPHE RCRA; 38 m] | QUALITY LININGS COMPANY INC [CDPHE RCRA; 38 m] | GOLDBERG BROTHERS INCORPORATED [FRS] (address match) | GOLDBERG BROTHERS INC [CDPHE RCRA] (address match)</t>
  </si>
  <si>
    <t xml:space="preserve">Goldberg / 8000 E. 40th</t>
  </si>
  <si>
    <t xml:space="preserve">FINTECH INC</t>
  </si>
  <si>
    <t xml:space="preserve">GOLDBERG BROTHERS INCORPORATED</t>
  </si>
  <si>
    <t xml:space="preserve">S02064</t>
  </si>
  <si>
    <t xml:space="preserve">5060 ACOMA</t>
  </si>
  <si>
    <t xml:space="preserve">1970;1977;1980;1983;1988</t>
  </si>
  <si>
    <t xml:space="preserve">TOOLING SPECIALTIES INC (1970; SIC 3544,3079) | T PRODUCTS coRP (1977-1980; SIC 3544,3079) | T-PLASTECH CORP. (1980; SIC 3544) | T-PLASTECH CORP. (1983-1988; SIC 3544,3079,3964)</t>
  </si>
  <si>
    <t xml:space="preserve">TOOLING SPECIALTIES INC (1970) | T PRODUCTS coRP (1977) | T-PLASTECH CORP. (1980) | T-PLASTECH CORP. (1983)</t>
  </si>
  <si>
    <t xml:space="preserve">S02067</t>
  </si>
  <si>
    <t xml:space="preserve">3043 WALNUT ST</t>
  </si>
  <si>
    <t xml:space="preserve">1970;1974;1980;1983;1988</t>
  </si>
  <si>
    <t xml:space="preserve">UNIVERSAL CHEMICAL + SUPPLIES INC (1970-1988; SIC 2899)</t>
  </si>
  <si>
    <t xml:space="preserve">UNIVERSAL CHEMICAL + SUPPLIES INC (1970)</t>
  </si>
  <si>
    <t xml:space="preserve">Universal Chemical [CDPHE Voluntary_Cleanup_and_Redevelopment_Program_(VCUP)_new; name match, 15 m] | Universal Chemical [CDPHE Voluntary_Cleanup_and_Redevelopment_Program_(VCUP)_new] (address match)</t>
  </si>
  <si>
    <t xml:space="preserve">UNIVERSAL CHEMICAL AND SUPPLIES CO [FRS; name match, 42 m] | UNIVERSAL CHEMICAL AND SUPPLIES CO [FRS] (address match)</t>
  </si>
  <si>
    <t xml:space="preserve">COTTRELL, LTD [FRS] (address match) | 3043 WALNUT [FRS] (address match)</t>
  </si>
  <si>
    <t xml:space="preserve">S02222</t>
  </si>
  <si>
    <t xml:space="preserve">5945 BROADWAY</t>
  </si>
  <si>
    <t xml:space="preserve">COLORADO CONTAINER CORP (1983; SIC 2653,3079)</t>
  </si>
  <si>
    <t xml:space="preserve">COLORADO CONTAINER CORP (1973)</t>
  </si>
  <si>
    <t xml:space="preserve">Briggs Building [CDPHE Voluntary_Cleanup_and_Redevelopment_Program_(VCUP)_new; 14 m]</t>
  </si>
  <si>
    <t xml:space="preserve">WR GRACE &amp; CO CONN GRACE CONSTRUCTION PRODUCTS [FRS; 37 m] | WR GRACE &amp; CO CONN GRACE CONSTRUCTION PRODUCTS [TRI; 88 m]</t>
  </si>
  <si>
    <t xml:space="preserve">BRONCORP MFG CO INC [FRS; 15 m]</t>
  </si>
  <si>
    <t xml:space="preserve">ALSIDE SUPPLY CENTER 157 - SOUTH DENVER [FRS; 14 m]</t>
  </si>
  <si>
    <t xml:space="preserve">Briggs Building</t>
  </si>
  <si>
    <t xml:space="preserve">WR GRACE &amp; CO CONN GRACE CONSTRUCTION PRODUCTS</t>
  </si>
  <si>
    <t xml:space="preserve">BRONCORP MFG CO INC</t>
  </si>
  <si>
    <t xml:space="preserve">S02223</t>
  </si>
  <si>
    <t xml:space="preserve">5975 N BROADWAY</t>
  </si>
  <si>
    <t xml:space="preserve">OENELCOR, INC (1973; SIC 3573,3823,3825) | REICHERT EQUIPMENT INC (1974; SIC 3551)</t>
  </si>
  <si>
    <t xml:space="preserve">OENELCOR, INC (1973) | REICHERT EQUIPMENT INC (1974) | AUNT MARTHA FOODS IVC (1977)</t>
  </si>
  <si>
    <t xml:space="preserve">Briggs Building [CDPHE Voluntary_Cleanup_and_Redevelopment_Program_(VCUP)_new; 83 m] | Commercial Bldg [CDPHE Voluntary_Cleanup_and_Redevelopment_Program_(VCUP)_new; 201 m]</t>
  </si>
  <si>
    <t xml:space="preserve">WR GRACE &amp; CO CONN GRACE CONSTRUCTION PRODUCTS [FRS; 111 m] | BRANNAN WEST PLANT [FRS; 141 m] | WR GRACE &amp; CO CONN GRACE CONSTRUCTION PRODUCTS [TRI; 156 m] | WELLS CONCRETE (ARCHITECTURAL PLANT) [TRI; 192 m] | WELLS CONCRETE - ARCHITECTURAL PLANT [FRS; 237 m]</t>
  </si>
  <si>
    <t xml:space="preserve">BRONCORP MFG CO INC [FRS; 89 m] | COLO DIV OF WILDLIFE DENVER HQ [FRS; 102 m] | CDOT STORM SEWER REPLACEMENT [FRS; 102 m] | ARC THRIFT STORES WAREHOUSE [FRS; 114 m] | LARSON DISTRIBUTING CO INC [FRS; 117 m] | SILCO DISTRIBUTING DBA ADDITIVES INC [FRS; 142 m] | SILCO DISTRIBUTING CO-DENVER [FRS; 155 m] | ABF FREIGHT SYSTEMS INC. [FRS; 237 m] | CLEARESULT CONSULTING - DENVER [FRS; 242 m] | RYAN-MURP</t>
  </si>
  <si>
    <t xml:space="preserve">ALSIDE SUPPLY CENTER 157 - SOUTH DENVER [FRS; 60 m] | CDPW [FRS; 102 m] | BRANNAN READY MIX - BRANNAN MIDTOWN [FRS; 141 m] | PLANT 75 [FRS; 220 m] | ARCHITECTURAL PLANT [FRS; 237 m] | K&amp;A CONSTRUCTION COMPANY [FRS; 242 m] | RHINEHART OIL - BROADWAY CARDLOCK [FRS; 242 m]</t>
  </si>
  <si>
    <t xml:space="preserve">S02231</t>
  </si>
  <si>
    <t xml:space="preserve">5201 BANNOCK ST</t>
  </si>
  <si>
    <t xml:space="preserve">1973;1974;1988;1990</t>
  </si>
  <si>
    <t xml:space="preserve">TRUMBULL ASPHALT CO OF DELAWARE (1973-1974; SIC 2952) | CONVERTERS TRUMBULL (1988; SIC 2952) | TRUMBULL (1990; SIC 2952)</t>
  </si>
  <si>
    <t xml:space="preserve">TRUMBULL ASPHALT CO OF DELAWARE (1973) | CONVERTERS TRUMBULL (1988) | TRUMBULL (1990)</t>
  </si>
  <si>
    <t xml:space="preserve">OWENS CORNING - TRUMBULL ASPHALT PLANT [FRS; name match, 42 m] | OWENS CORNING ROOFING &amp; ASPHALT LLC [TRI] (address match)</t>
  </si>
  <si>
    <t xml:space="preserve">OWENS CORNING TRUMBULL ASPHALT [FRS; name match, 68 m] | OWENS CORNING TRUMBULL ASPHALT [FRS] (address match)</t>
  </si>
  <si>
    <t xml:space="preserve">Colorado Trade Center - Parcel #1</t>
  </si>
  <si>
    <t xml:space="preserve">OWENS CORNING - TRUMBULL ASPHALT PLANT</t>
  </si>
  <si>
    <t xml:space="preserve">ALPHA INSULATION &amp; WATERPROOFING INC</t>
  </si>
  <si>
    <t xml:space="preserve">S02394</t>
  </si>
  <si>
    <t xml:space="preserve">3012 HURON</t>
  </si>
  <si>
    <t xml:space="preserve">80762</t>
  </si>
  <si>
    <t xml:space="preserve">AAAA SPECIALTIES INC (1973-1990; SIC 3496,3591,3714)</t>
  </si>
  <si>
    <t xml:space="preserve">AAAA SPECIALTIES INC (1973) | CROWN PRINTING INC (1973) | HIGH COUNTRY PRINTING (1974) | L + R BINDERY (1977) | DAVIS GRAPHICS (1980) | LO SLOON*S #RESS, INC (1980) | DEPENDABLE PRINTERS (1983) | LOU BLOOM'S PRESS» INC (1983) | L+R BINDERY (1988)</t>
  </si>
  <si>
    <t xml:space="preserve">AAAA SPECIALTIES [FRS; name match, 110 m] | Denver Property I and II, #2 [CDPHE Voluntary_Cleanup_and_Redevelopment_Program_(VCUP)_new; 13 m]</t>
  </si>
  <si>
    <t xml:space="preserve">AMOCO PRODUCTION COMPANY [FRS; 9 m] | PARADE PACKAGING MATERIALS CO [FRS; 31 m]</t>
  </si>
  <si>
    <t xml:space="preserve">Denver Property I and II, #2</t>
  </si>
  <si>
    <t xml:space="preserve">AMOCO PRODUCTION COMPANY</t>
  </si>
  <si>
    <t xml:space="preserve">S02397</t>
  </si>
  <si>
    <t xml:space="preserve">3954 WILLIAMS</t>
  </si>
  <si>
    <t xml:space="preserve">1973;1974;1980;1983</t>
  </si>
  <si>
    <t xml:space="preserve">ACME FOUNDRY (1973-1983; SIC 3369)</t>
  </si>
  <si>
    <t xml:space="preserve">ACME FOUNDRY (1973) | BUTLER FIXTURE + MFG CO (1983) | RECORD CONVERSIO BUTLER FIXTURE CO (1988)</t>
  </si>
  <si>
    <t xml:space="preserve">BUTLER FIXTURE COMPANY [FRS; name match, 20 m]</t>
  </si>
  <si>
    <t xml:space="preserve">ACME FOUNDRY INC [FRS; name match, 33 m]</t>
  </si>
  <si>
    <t xml:space="preserve">BUTLER FIXTURE COMPANY</t>
  </si>
  <si>
    <t xml:space="preserve">S02408</t>
  </si>
  <si>
    <t xml:space="preserve">2625 W COLFAX AVE</t>
  </si>
  <si>
    <t xml:space="preserve">AUSTIN HEATING + SUPPLY CO (1973; SIC 3433,3444)</t>
  </si>
  <si>
    <t xml:space="preserve">AUSTIN HEATING + SUPPLY CO (1973)</t>
  </si>
  <si>
    <t xml:space="preserve">SUN VALLEY DHA W COLFAX PARCEL [FRS; 74 m]</t>
  </si>
  <si>
    <t xml:space="preserve">SUN VALLEY DHA W COLFAX PARCEL</t>
  </si>
  <si>
    <t xml:space="preserve">S02409</t>
  </si>
  <si>
    <t xml:space="preserve">4900 CLARKSON</t>
  </si>
  <si>
    <t xml:space="preserve">MOUNTAIN MEADOW LAMB CORP. (1988; SIC 2011,3431)</t>
  </si>
  <si>
    <t xml:space="preserve">AVERCH PACKING CO (1973) | DENVER LAMB CO (1980) | LITHOGRAPHIC DENVER LAMB CO (1988) | MOUNTAIN MEADOW LAMB CORP. (1988)</t>
  </si>
  <si>
    <t xml:space="preserve">MOUNTAIN MEADOW LAMB CORPORATION [FRS; name match, 174 m]</t>
  </si>
  <si>
    <t xml:space="preserve">S02425</t>
  </si>
  <si>
    <t xml:space="preserve">4233 THOMPSON CT</t>
  </si>
  <si>
    <t xml:space="preserve">CLARETI-MCCOY INC (1973; SIC 2842)</t>
  </si>
  <si>
    <t xml:space="preserve">CLARETI-MCCOY INC (1973) | CHAVEZ CHILI FCODS (1974)</t>
  </si>
  <si>
    <t xml:space="preserve">GESC AT 4151 FILLMORE STREET</t>
  </si>
  <si>
    <t xml:space="preserve">EMERSON WOODWORKS INC</t>
  </si>
  <si>
    <t xml:space="preserve">S02446</t>
  </si>
  <si>
    <t xml:space="preserve">4426 VINE ST</t>
  </si>
  <si>
    <t xml:space="preserve">MINE SYSTEMS INC (1974-1983; SIC 3532,3743) | ELECFRO-HYORALICS CO (1980-1983; SIC 3532)</t>
  </si>
  <si>
    <t xml:space="preserve">ELECTRO-HYDRALICS CO (1973) | MINE SYSTEMS INC (1974)</t>
  </si>
  <si>
    <t xml:space="preserve">S02448</t>
  </si>
  <si>
    <t xml:space="preserve">1155 W 5TH AVE</t>
  </si>
  <si>
    <t xml:space="preserve">ESSCO PRODUCTS INC (1973-1988; SIC 2541,2542,3442)</t>
  </si>
  <si>
    <t xml:space="preserve">ESSCO PRODUCTS INC (1973) | ENVIRONMENTAL STONE PRODUCTS INC (1983) | MOUNTAIN STONE CO (1983) | PACESETTER DESIGNS (1988)</t>
  </si>
  <si>
    <t xml:space="preserve">Trinsic Acquisition Company, LLC II [CDPHE Voluntary_Cleanup_and_Redevelopment_Program_(VCUP)_new; 13 m] | Trinsic Acquisition Company, LLC [CDPHE Voluntary_Cleanup_and_Redevelopment_Program_(VCUP)_new; 13 m] | 500 N. Lipan Street, Denver [CDPHE Institutional_Controls_PROD_local; 58 m] | 500 N. Lipan Street, Denver [CDPHE Institutional_Controls_PROD_local; 69 m] | Denver Radium/DRS [CDPHE CDPHE Su</t>
  </si>
  <si>
    <t xml:space="preserve">PACESETTER DESIGNS INCORPORATED [FRS; name match, 28 m]</t>
  </si>
  <si>
    <t xml:space="preserve">MILE HI BODY SHOP, INC  -- XA [FRS; 43 m]</t>
  </si>
  <si>
    <t xml:space="preserve">AURA SANTA FE [FRS; 21 m] | NAMASTE SOLAR ELECTRIC [FRS; 48 m]</t>
  </si>
  <si>
    <t xml:space="preserve">Trinsic Acquisition Company, LLC II</t>
  </si>
  <si>
    <t xml:space="preserve">MILE HI BODY SHOP, INC  -- XA</t>
  </si>
  <si>
    <t xml:space="preserve">S02449</t>
  </si>
  <si>
    <t xml:space="preserve">1910 S CHEROKEE</t>
  </si>
  <si>
    <t xml:space="preserve">1974;1980;1983;1988</t>
  </si>
  <si>
    <t xml:space="preserve">CUSTOM STAINLESS (1974-1988; SIC 3589)</t>
  </si>
  <si>
    <t xml:space="preserve">FDR PRINTING + PUBLISHING CO (1973) | CUSTOM STAINLESS (1974) | CENTURY GRAPHICS LTO (1980) | REDYSTICK PRODUCTS DIV (1990)</t>
  </si>
  <si>
    <t xml:space="preserve">CENTURY GRAPHICS LTD [FRS; name match, 9 m]</t>
  </si>
  <si>
    <t xml:space="preserve">PLASTICS DESIGN &amp; MFG INC</t>
  </si>
  <si>
    <t xml:space="preserve">S02478</t>
  </si>
  <si>
    <t xml:space="preserve">2525 S DELAWARE</t>
  </si>
  <si>
    <t xml:space="preserve">POWER ENGINEERING CO (1980-1990; SIC 3599) | POWERENGINEERING CO (1992; SIC 3714,3568,3312)</t>
  </si>
  <si>
    <t xml:space="preserve">MARCOR HOUSING SYSTEMS INC (1973) | PACEMAKER CORP (1974) | POWER ENGINEERING CO (1980) | INDEPENDENT SIGN CO INC (1990) | POWERENGINEERING CO (1992)</t>
  </si>
  <si>
    <t xml:space="preserve">Power Engineering [CDPHE RCRA_corrective_action; name match, 103 m]</t>
  </si>
  <si>
    <t xml:space="preserve">POWER ENGINEERING [FRS; name match, 116 m]</t>
  </si>
  <si>
    <t xml:space="preserve">POWER ENGINEERING CO [CDPHE RCRA; name match, 31 m] | DBTL DBA COLORADO SIGNS [FRS; 11 m]</t>
  </si>
  <si>
    <t xml:space="preserve">INDEPENDENT SIGN CO INC [FRS; name match, 11 m] | DBTL CAPITAL CORP [FRS; 11 m]</t>
  </si>
  <si>
    <t xml:space="preserve">Power Engineering</t>
  </si>
  <si>
    <t xml:space="preserve">DBTL DBA COLORADO SIGNS</t>
  </si>
  <si>
    <t xml:space="preserve">S02494</t>
  </si>
  <si>
    <t xml:space="preserve">3055 E 52ND AVE</t>
  </si>
  <si>
    <t xml:space="preserve">1973;1974;1980</t>
  </si>
  <si>
    <t xml:space="preserve">PRECISION FOUNDRIES INC (1973-1974; SIC 3369) | ORSITRONEICS INC (1980; SIC 3662,3679)</t>
  </si>
  <si>
    <t xml:space="preserve">PRECISION FOUNDRIES INC (1973) | DIETER BOOKBINDING CO INC (1974) | ORSITRONEICS INC (1980)</t>
  </si>
  <si>
    <t xml:space="preserve">SCOTLAND YARD BRITISH CARS LTD [FRS; 12 m] | HOME DEPOT RENTAL #2971 [FRS; 12 m]</t>
  </si>
  <si>
    <t xml:space="preserve">SCOTLAND YARD BRITISH CARS LTD</t>
  </si>
  <si>
    <t xml:space="preserve">S02501</t>
  </si>
  <si>
    <t xml:space="preserve">4333 VINE ST</t>
  </si>
  <si>
    <t xml:space="preserve">SMG CORPORATION (1973; SIC 3449) | METAL STUD FORMING CORP (1974; SIC 3449,3444)</t>
  </si>
  <si>
    <t xml:space="preserve">SMG CORPORATION (1973) | METAL STUD FORMING CORP (1974)</t>
  </si>
  <si>
    <t xml:space="preserve">S + S GARAGE [FRS; 33 m]</t>
  </si>
  <si>
    <t xml:space="preserve">S02507</t>
  </si>
  <si>
    <t xml:space="preserve">4880 HAVANA</t>
  </si>
  <si>
    <t xml:space="preserve">1973;1983;1990</t>
  </si>
  <si>
    <t xml:space="preserve">SCOTT*S LIQUID GOLD INC (1973-1990; SIC 2842)</t>
  </si>
  <si>
    <t xml:space="preserve">SCOTT*S LIQUID GOLD INC (1973)</t>
  </si>
  <si>
    <t xml:space="preserve">Stapleton Business Ctr (C1) [CDPHE Voluntary_Cleanup_and_Redevelopment_Program_(VCUP)_new; 42 m] | Stapleton Business Ctr (B4) [CDPHE Voluntary_Cleanup_and_Redevelopment_Program_(VCUP)_new; 42 m]</t>
  </si>
  <si>
    <t xml:space="preserve">SCOTT'S LIQUID GOLD INC [TRI; name match, 73 m]</t>
  </si>
  <si>
    <t xml:space="preserve">Stapleton Business Ctr (C1)</t>
  </si>
  <si>
    <t xml:space="preserve">US EPA CLEANUP (E HAVANA &amp; 49)</t>
  </si>
  <si>
    <t xml:space="preserve">S02529</t>
  </si>
  <si>
    <t xml:space="preserve">3495 E 42ND AVE</t>
  </si>
  <si>
    <t xml:space="preserve">1973;1974;1990</t>
  </si>
  <si>
    <t xml:space="preserve">WESTERN RUBBER + SUPPLY» INC. (1973-1974; SIC 3069) | C-D WHEEL CO (1990; SIC 3714)</t>
  </si>
  <si>
    <t xml:space="preserve">WESTERN RUBBER + SUPPLY» INC. (1973) | C-D WHEEL CO (1990)</t>
  </si>
  <si>
    <t xml:space="preserve">WODEN WOODS INC [FRS; 18 m] | COLORADO FRAME &amp; SUSPENSION INC [FRS; 36 m] | GFL ENVIRONMENTAL SERVICES USA INC [FRS; 40 m]</t>
  </si>
  <si>
    <t xml:space="preserve">GFL ENVIRONMENTAL - DENVER FACILITY [FRS; 40 m]</t>
  </si>
  <si>
    <t xml:space="preserve">S02533</t>
  </si>
  <si>
    <t xml:space="preserve">5280 BROADWAY</t>
  </si>
  <si>
    <t xml:space="preserve">SOLAR CNTRL SYS DENISON TOOL CO INC (1988; SIC 3544,3599)</t>
  </si>
  <si>
    <t xml:space="preserve">WRIGHT MFG CO (1973) | SOLAR CNTRL SYS DENISON TOOL CO INC (1988) | INDEPENDENT PRESS INC (1990)</t>
  </si>
  <si>
    <t xml:space="preserve">LARADON URBAN FARM [FRS; 199 m] | Colorado Trade Center - Parcel #1 [CDPHE Voluntary_Cleanup_and_Redevelopment_Program_(VCUP)_new; 215 m] | Vasquez/VAS [CDPHE CDPHE Superfund] (inside site boundary) | ASARCO GLOBEVILLE [CDPHE CDPHE Superfund] (inside site boundary)</t>
  </si>
  <si>
    <t xml:space="preserve">OWENS CORNING - TRUMBULL ASPHALT PLANT [FRS; 131 m] | COBITCO, INC. [FRS; 175 m]</t>
  </si>
  <si>
    <t xml:space="preserve">ALPHA INSULATION &amp; WATERPROOFING INC [FRS; 1 m] | CDOT PROJ # IRD E 25-2-242 [FRS; 1 m] | BORDEN INC [FRS; 99 m] | JOHNS MOBILE WASH INC [FRS; 150 m] | CCH GLENARM/LINCOLN, INC./GLENA [CDPHE RCRA; 184 m] | GARDEN PLACE ELEMENTARY SCHOOL [CDPHE RCRA; 184 m] | J &amp; A'S PAINTING SERVICE [FRS; 192 m] | COLORADO DEPT OF TRANSPORTATION [FRS; 222 m]</t>
  </si>
  <si>
    <t xml:space="preserve">GORMAN LARADON PHASE III (THE STELLA) [FRS; 18 m] | LARADON CAMPUS [FRS; 137 m] | LARADON HALL-ADMINISTRATION AND SCHOOL [FRS; 137 m] | OWENS CORNING TRUMBULL ASPHALT [FRS; 138 m] | GORMAN AND COMPANY LARADON HOMES [FRS; 162 m] | ACCENT WINDOWS PRODUCTS INC [FRS; 176 m] | REX OIL CO INC [FRS; 203 m] | ACH FOAM TECHNOLOGIES [FRS; 214 m]</t>
  </si>
  <si>
    <t xml:space="preserve">S02534</t>
  </si>
  <si>
    <t xml:space="preserve">4134 GARFIELD</t>
  </si>
  <si>
    <t xml:space="preserve">YARTER-TEK CORPORATION (1974; SIC 3471,2899,3823) | MID AMERICA PLATING (1980; SIC 3471) | RHINO PRODUCTS CORP (1988-1990; SIC 2396,2752,3429)</t>
  </si>
  <si>
    <t xml:space="preserve">YARTER-TEK CORPORATION (1973) | MID AMERICA PLATING (1980) | RHINO PRODUCTS CORP (1988)</t>
  </si>
  <si>
    <t xml:space="preserve">MID AMERICA PLATING CO [FRS; name match, 44 m]</t>
  </si>
  <si>
    <t xml:space="preserve">MID AMERICA PLATING CO</t>
  </si>
  <si>
    <t xml:space="preserve">S03275</t>
  </si>
  <si>
    <t xml:space="preserve">505 W 40TH AVE</t>
  </si>
  <si>
    <t xml:space="preserve">RUBBER INCORPORATED (1983-1990; SIC 2691,3559)</t>
  </si>
  <si>
    <t xml:space="preserve">FIRE ALERT COMPANY FRANCIS ASSOCIATES ORDNANCE CO (1973) | CENTURION GRAPHIC (1977) | RUBBER INCORPORATED (1983)</t>
  </si>
  <si>
    <t xml:space="preserve">COLORADO CANNABIS COMPANY [CDPHE RCRA; 31 m] | COLORADO CANNABIS COMPANY [FRS; 31 m] | NCS-DENVER CO-8979 [CDPHE RCRA; 45 m] | R&amp;E AUTO BODY [FRS; 46 m] | NCS-DENVER CO-8979 [FRS; 51 m]</t>
  </si>
  <si>
    <t xml:space="preserve">RUBBER INC. [FRS; name match, 28 m] | METRO PAINT SUPPLIES [FRS; 51 m]</t>
  </si>
  <si>
    <t xml:space="preserve">COLORADO CANNABIS COMPANY</t>
  </si>
  <si>
    <t xml:space="preserve">S02773</t>
  </si>
  <si>
    <t xml:space="preserve">6001 WASHINGTON</t>
  </si>
  <si>
    <t xml:space="preserve">MILE-HI METAL FOUNDRY INC (1974-1990; SIC 3361,3362) | DRINKING WATER YOUNBRY ING” (1988; SIC 3471)</t>
  </si>
  <si>
    <t xml:space="preserve">MILE-HI METAL FOUNDRY INC (1974) |  (1983) | DRINKING WATER YOUNBRY ING” (1988)</t>
  </si>
  <si>
    <t xml:space="preserve">Cryenco II [CDPHE Voluntary_Cleanup_and_Redevelopment_Program_(VCUP)_new; 51 m] | Cryenco I [CDPHE Voluntary_Cleanup_and_Redevelopment_Program_(VCUP)_new; 51 m] | Northwest Pipe Company [CDPHE Voluntary_Cleanup_and_Redevelopment_Program_(VCUP)_new; 61 m]</t>
  </si>
  <si>
    <t xml:space="preserve">CHART INC DENVER [TRI; 50 m] | CHART INC DENVER [FRS; 52 m]</t>
  </si>
  <si>
    <t xml:space="preserve">MILE HI METAL FOUNDRY [FRS; name match, 17 m]</t>
  </si>
  <si>
    <t xml:space="preserve">S02857</t>
  </si>
  <si>
    <t xml:space="preserve">339 SANTA FE ORIVE</t>
  </si>
  <si>
    <t xml:space="preserve">ALERT POLISHING AND PLATING INC (1974-1983; SIC 3471) | IMPERIAL TUB ENCLOSURE CO (1988; SIC 3088) | ALERT POLISHING + PLATING INC (1990; SIC 3471) | AMERICAN ROOFING SHEET METAL CO (1990; SIC 3444)</t>
  </si>
  <si>
    <t xml:space="preserve">ALERT POLISHING AND PLATING INC (1974) | TRON POT BAKERY (1974) | PFANNENSTLEL CESIGNS iNC (1974) | 2099 (1977) | COLOR GRAPHICS (1980) | GC CUSTOM CABINETS ¢ FURNITURE (1980) | SANTA FE PRINT SHOP (1980) | IMPERIAL TUB ENCLOSURE CO (1988) | ALERT POLISHING + PLATING INC (1990) | AMERICAN ROOFING SHEET METAL CO (1990)</t>
  </si>
  <si>
    <t xml:space="preserve">345 Santa Fe Drive II [CDPHE Voluntary_Cleanup_and_Redevelopment_Program_(VCUP)_new; 11 m] | 345 S. Santa Fe Drive [CDPHE Voluntary_Cleanup_and_Redevelopment_Program_(VCUP)_new; 11 m]</t>
  </si>
  <si>
    <t xml:space="preserve">ALERT POLISHING &amp; PLATING [FRS; name match, 23 m] | PLATTE RIVER ART SERVICES INC [FRS; 27 m]</t>
  </si>
  <si>
    <t xml:space="preserve">COLOR GRAPHIX INC [FRS; name match, 3 m] | SOUTHLAND 7 11 NO 27620 [FRS; 44 m]</t>
  </si>
  <si>
    <t xml:space="preserve">S02862</t>
  </si>
  <si>
    <t xml:space="preserve">6054 W 38TH AVE</t>
  </si>
  <si>
    <t xml:space="preserve">AUTO DETAIL SUPPLY (1974; SIC 2841,2842)</t>
  </si>
  <si>
    <t xml:space="preserve">AUTO DETAIL SUPPLY (1974)</t>
  </si>
  <si>
    <t xml:space="preserve">RIDGE AUTOMOTIVE [FRS; 37 m] | Wheatridge Park [CDPHE Voluntary_Cleanup_and_Redevelopment_Program_(VCUP)_new; 218 m] | 6230 W. 38TH AVENUE [FRS; 238 m] | 5725 W. 38TH AVENUE [FRS; 247 m]</t>
  </si>
  <si>
    <t xml:space="preserve">THE REHABILITATION CENTER AT SANDALWOOD [FRS; 63 m] | TINACO [FRS; 156 m]</t>
  </si>
  <si>
    <t xml:space="preserve">7-ELEVEN, INC. STORE #36492 [FRS; 2 m] | DISCOUNT AUTO REPAIR [FRS; 37 m] | WHEAT RIDGE MIXED-USE DEVELOPMENT [FRS; 63 m] | L AND L COINS APARTMENTS [FRS; 185 m]</t>
  </si>
  <si>
    <t xml:space="preserve">RIDGE AUTOMOTIVE</t>
  </si>
  <si>
    <t xml:space="preserve">THE REHABILITATION CENTER AT SANDALWOOD</t>
  </si>
  <si>
    <t xml:space="preserve">S02867</t>
  </si>
  <si>
    <t xml:space="preserve">3943 BLAKE</t>
  </si>
  <si>
    <t xml:space="preserve">C F PRUDUCTS CO (1974; SIC 3634,3631,3444) | ARGUS SYSTEMS» INC. (1980-1990; SIC 3573,3599,3728) | VECTOR CORP LTD (1983; SIC 3573,3728)</t>
  </si>
  <si>
    <t xml:space="preserve">C F PRUDUCTS CO (1974) | ARGUS SYSTEMS» INC. (1980) | MARGARET SCOTT STUDIOS INC (1980) | VECTOR CORP LTD (1983)</t>
  </si>
  <si>
    <t xml:space="preserve">RMS Development II [CDPHE Voluntary_Cleanup_and_Redevelopment_Program_(VCUP)_new; 33 m] | RMS Development [CDPHE Voluntary_Cleanup_and_Redevelopment_Program_(VCUP)_new; 62 m] | Vasquez/VAS [CDPHE CDPHE Superfund] (inside site boundary)</t>
  </si>
  <si>
    <t xml:space="preserve">EMPIRE EXPRESS [FRS; 41 m]</t>
  </si>
  <si>
    <t xml:space="preserve">40TH &amp; BLAKE [FRS; 41 m]</t>
  </si>
  <si>
    <t xml:space="preserve">RMS Development II</t>
  </si>
  <si>
    <t xml:space="preserve">EMPIRE EXPRESS</t>
  </si>
  <si>
    <t xml:space="preserve">S02874</t>
  </si>
  <si>
    <t xml:space="preserve">4890 KINGSTON</t>
  </si>
  <si>
    <t xml:space="preserve">COLE MANUFACTURING CCRP (1974; SIC 3599,3714,2752)</t>
  </si>
  <si>
    <t xml:space="preserve">COLE MANUFACTURING CCRP (1974)</t>
  </si>
  <si>
    <t xml:space="preserve">KINGSTON STREET FIRE [FRS; 2 m]</t>
  </si>
  <si>
    <t xml:space="preserve">COLE MFG CORP [FRS; name match, 248 m]</t>
  </si>
  <si>
    <t xml:space="preserve">TRIMAX LOCKS [FRS; 13 m]</t>
  </si>
  <si>
    <t xml:space="preserve">KINGSTON STREET FIRE</t>
  </si>
  <si>
    <t xml:space="preserve">CARGILL HEALTH &amp; FOOD TECHS</t>
  </si>
  <si>
    <t xml:space="preserve">AMERICAN MAIL-WELL ENVELOPE</t>
  </si>
  <si>
    <t xml:space="preserve">S02876</t>
  </si>
  <si>
    <t xml:space="preserve">5818 COLFAX AVE</t>
  </si>
  <si>
    <t xml:space="preserve">COLORADO GEOLOGICAL INDUSTRIES IAC (1974; SIC 3915,3546)</t>
  </si>
  <si>
    <t xml:space="preserve">COLORADO GEOLOGICAL INDUSTRIES IAC (1974)</t>
  </si>
  <si>
    <t xml:space="preserve">IVY STREET BROWNFIELD SITE [FRS; 75 m] | BOK Financial [CDPHE Voluntary_Cleanup_and_Redevelopment_Program_(VCUP)_new; 82 m] | BOK Financial II [CDPHE Voluntary_Cleanup_and_Redevelopment_Program_(VCUP)_new; 82 m] | KEARNEY &amp; COLFAX [FRS; 197 m]</t>
  </si>
  <si>
    <t xml:space="preserve">DENVER AUTO BODY &amp; PAINT INC [FRS; 116 m]</t>
  </si>
  <si>
    <t xml:space="preserve">SIR SPEEDY INSTANT PRINT [FRS; 36 m] | STARBUCKS COLFAX AND IVY [FRS; 64 m] | THERMOGRAPHIC PRODUCTS INC [FRS; 89 m]</t>
  </si>
  <si>
    <t xml:space="preserve">IVY STREET BROWNFIELD SITE</t>
  </si>
  <si>
    <t xml:space="preserve">DENVER AUTO BODY &amp; PAINT INC</t>
  </si>
  <si>
    <t xml:space="preserve">S02878</t>
  </si>
  <si>
    <t xml:space="preserve">3333 E 52ND AVE</t>
  </si>
  <si>
    <t xml:space="preserve">Petroleum refining; Rubber &amp; plastics</t>
  </si>
  <si>
    <t xml:space="preserve">ATHALON PRODUCTS. LTO. (1980; SIC 2999,2399) | ‘COLORADO RUBBER SUPPLY CO. (1992; SIC 3089,3081,3197)</t>
  </si>
  <si>
    <t xml:space="preserve">COLORAUO TENT + AWNING CO (1974) | ATHALON PRIOUCTS (1977) | ‘COLORADO RUBBER SUPPLY CO. (1992)</t>
  </si>
  <si>
    <t xml:space="preserve">J K CONCEPTS INC [FRS; 44 m] | J K CONCEPTS INC [FRS] (address match) | J K CONCEPTS INC [CDPHE RCRA] (address match)</t>
  </si>
  <si>
    <t xml:space="preserve">JK CONCEPTS - 3333 E 52ND AVE [FRS; 44 m] | JK CONCEPTS - 3333 E 52ND AVE [FRS] (address match)</t>
  </si>
  <si>
    <t xml:space="preserve">S02882</t>
  </si>
  <si>
    <t xml:space="preserve">1300 40TH ST</t>
  </si>
  <si>
    <t xml:space="preserve">1974;1977;1983;1988;1990</t>
  </si>
  <si>
    <t xml:space="preserve">CONTINENTAL PLASTICS INDUSTRIES INC (1974-1990; SIC 3079) | BLASS Busters (1988; SIC 3089)</t>
  </si>
  <si>
    <t xml:space="preserve">CONTINENTAL PLASTICS INDUSTRIES INC (1974) | BLASS Busters (1988)</t>
  </si>
  <si>
    <t xml:space="preserve">NEW TECH MACHINERY [FRS; 30 m] | NEW TECH MACHINERY [FRS] (address match)</t>
  </si>
  <si>
    <t xml:space="preserve">MILE HI EXPRESS [FRS; 0 m] | MILE HI EXPRESS, INC. [FRS; 19 m] | NOVEL RINO [FRS; 27 m]</t>
  </si>
  <si>
    <t xml:space="preserve">NEW TECH MACHINERY</t>
  </si>
  <si>
    <t xml:space="preserve">S02886</t>
  </si>
  <si>
    <t xml:space="preserve">3641 EUDORA WAY</t>
  </si>
  <si>
    <t xml:space="preserve">CYCLO MANUFACTURING CO (1974; SIC 2842,3549,3079)</t>
  </si>
  <si>
    <t xml:space="preserve">CYCLO MANUFACTURING CO (1974)</t>
  </si>
  <si>
    <t xml:space="preserve">Dahlia Square II [CDPHE Voluntary_Cleanup_and_Redevelopment_Program_(VCUP)_new; 248 m] | Dahlia Square [CDPHE Voluntary_Cleanup_and_Redevelopment_Program_(VCUP)_new; 248 m] | Dahlia Square III [CDPHE Voluntary_Cleanup_and_Redevelopment_Program_(VCUP)_new; 248 m]</t>
  </si>
  <si>
    <t xml:space="preserve">HUD CLEANUP FRONT RANGE ASBESTOS REMOVAL [FRS; 98 m] | POLAR ICE [FRS; 208 m] | CLARKS PETROLEUM PRODUCTS [FRS; 208 m]</t>
  </si>
  <si>
    <t xml:space="preserve">POLIDORI MEAT PROCESSORS [FRS; 202 m] | POLAR REFRIGERATION [FRS; 208 m] | CUSTOM GRANITE INTERIORS, LLC [FRS; 228 m]</t>
  </si>
  <si>
    <t xml:space="preserve">Dahlia Square II</t>
  </si>
  <si>
    <t xml:space="preserve">S02890</t>
  </si>
  <si>
    <t xml:space="preserve">750 W 39TH AVE</t>
  </si>
  <si>
    <t xml:space="preserve">DELTECH INC (1974-1990; SIC 3567) | DELTECH ENC (1980; SIC 3567) | ANALYTICAL, THERMAL DELTECH INC (1988; SIC 3567)</t>
  </si>
  <si>
    <t xml:space="preserve">DELTECH INC (1974) | DELTECH ENC (1980) | ANALYTICAL, THERMAL DELTECH INC (1988)</t>
  </si>
  <si>
    <t xml:space="preserve">POWER RENTAL EQUIPMENT [FRS; 12 m]</t>
  </si>
  <si>
    <t xml:space="preserve">BRANNAN SAND &amp; GRAVEL [FRS; 35 m]</t>
  </si>
  <si>
    <t xml:space="preserve">S02891</t>
  </si>
  <si>
    <t xml:space="preserve">4935 PEARL ST</t>
  </si>
  <si>
    <t xml:space="preserve">‘ROCKY MOUNTAIN WOODCRAFTERS 3444 SHEET METAL WORK (1983; SIC 3444) | DENVER GASKET + PACKING (1990; SIC 3053,2499,3086)</t>
  </si>
  <si>
    <t xml:space="preserve">DENVER GASKET ¢# PACKING (1974) | OENVER GASKET + PACKENG (1977) | ‘ROCKY MOUNTAIN WOODCRAFTERS 3444 SHEET METAL WORK (1983)</t>
  </si>
  <si>
    <t xml:space="preserve">PAN GLO CO [FRS; 29 m]</t>
  </si>
  <si>
    <t xml:space="preserve">UNIVERSAL DIAPER SERVICE INC [FRS; 29 m]</t>
  </si>
  <si>
    <t xml:space="preserve">PAN GLO CO</t>
  </si>
  <si>
    <t xml:space="preserve">S02897</t>
  </si>
  <si>
    <t xml:space="preserve">1600 E 36TH AVE</t>
  </si>
  <si>
    <t xml:space="preserve">DIVERSIFIED MANUFACTURERS CORP (1974; SIC 3573)</t>
  </si>
  <si>
    <t xml:space="preserve">DIVERSIFIED MANUFACTURERS CORP (1974)</t>
  </si>
  <si>
    <t xml:space="preserve">PHILLIPS CENTER [FRS; 66 m] | DENVER URBAN GARDENS AT WYATT ACADEMY [FRS; 68 m] | Vasquez/VAS [CDPHE CDPHE Superfund] (inside site boundary)</t>
  </si>
  <si>
    <t xml:space="preserve">PHILLIPS CENTER</t>
  </si>
  <si>
    <t xml:space="preserve">CHRISTINE SANCHEZ RESIDENCE</t>
  </si>
  <si>
    <t xml:space="preserve">S02902</t>
  </si>
  <si>
    <t xml:space="preserve">1550 W EVANS BLDG 3 UT R80223</t>
  </si>
  <si>
    <t xml:space="preserve">PLASTECS DESIGN AND MFG INC (1980-1983; SIC 3079) | THERMOCON ENOUSTRIES INC (1980; SIC 3563,3589,3561) | ENERSAVER PRODUCTS INC (1983; SIC 3354,3531) | PEARLS HIGH-TEK TUBE CORP (1988-1990; SIC 3317)</t>
  </si>
  <si>
    <t xml:space="preserve">ECONOMY INSTANT PRINTING INC (1974) | X L PRINTING INC (1974) | ECONOMY INSTANT PRINTING INC 3842 SURGICAL (1977) | AMERICAN DYNAMICS INC (1980) | PLASTECS DESIGN AND MFG INC (1980) | THERMOCON ENOUSTRIES INC (1980) | ENERSAVER PRODUCTS INC (1983) | CPI SPORTWEAR INC (1988) | PEARLS HIGH-TEK TUBE CORP (1988)</t>
  </si>
  <si>
    <t xml:space="preserve">Cardenas Property [CDPHE Voluntary_Cleanup_and_Redevelopment_Program_(VCUP)_new; 63 m]</t>
  </si>
  <si>
    <t xml:space="preserve">HIGH TEK TUBE CORP [FRS; name match, 25 m] | CART WORKS COMPANY, INC. [FRS; 25 m] | CHEMICAL COMPANIES INCORPORATED [FRS; 25 m]</t>
  </si>
  <si>
    <t xml:space="preserve">Cardenas Property</t>
  </si>
  <si>
    <t xml:space="preserve">S02906</t>
  </si>
  <si>
    <t xml:space="preserve">1727 E 39TH</t>
  </si>
  <si>
    <t xml:space="preserve">GARDNER-DENVER CO, DENVER DIVISION (1974; SIC 3532) | GARDNER-DENVER CO DENVER DIVISIIN (1977; SIC 3531,3532) | GARONER-DENVER COOPER IND. (1980; SIC 3531,3532) | CARO ORILL STEEL CORPORATION (1983-1988; SIC 3545,3312,3398) | x NGI NS AND CONSULTING CONT (1988; SIC 3831,3532,3835) | CARD EQUIPMENT CO (1990-1992; SIC 3531,3532,3535) | NATIONAL ENGINEERING + CONSULTING, (1992; SIC 3531,3532)</t>
  </si>
  <si>
    <t xml:space="preserve">GARDNER-DENVER CO, DENVER DIVISION (1974) | GARDNER-DENVER CO DENVER DIVISIIN (1977) | GARONER-DENVER COOPER IND. (1980) | CARO ORILL STEEL CORPORATION (1983) | x NGI NS AND CONSULTING CONT (1988) | CARD EQUIPMENT CO (1990) | NATIONAL ENGINEERING + CONSULTING, (1992)</t>
  </si>
  <si>
    <t xml:space="preserve">MENTOR CORP_(WAS GARDENER-DENVER CO) [FRS; 11 m]</t>
  </si>
  <si>
    <t xml:space="preserve">S02907</t>
  </si>
  <si>
    <t xml:space="preserve">4000 BLAKE</t>
  </si>
  <si>
    <t xml:space="preserve">GENERAL METAL FINISHING (1974; SIC 3471)</t>
  </si>
  <si>
    <t xml:space="preserve">GENERAL METAL FINISHING (1974)</t>
  </si>
  <si>
    <t xml:space="preserve">RMS Development II [CDPHE Voluntary_Cleanup_and_Redevelopment_Program_(VCUP)_new; 61 m] | Vasquez/VAS [CDPHE CDPHE Superfund] (inside site boundary)</t>
  </si>
  <si>
    <t xml:space="preserve">P2P AREA 4 DEMOLITION [FRS; 2 m] | GWS RESIDENTIAL [FRS; 15 m]</t>
  </si>
  <si>
    <t xml:space="preserve">ARDENT MILLS LLC</t>
  </si>
  <si>
    <t xml:space="preserve">S02909</t>
  </si>
  <si>
    <t xml:space="preserve">5050 FOX BUILDING Q</t>
  </si>
  <si>
    <t xml:space="preserve">GULF CCAST WIRE ROPE INC (1974-1980; SIC 3496)</t>
  </si>
  <si>
    <t xml:space="preserve">GULF CCAST WIRE ROPE INC (1974)</t>
  </si>
  <si>
    <t xml:space="preserve">REVOLUTION RECYCLING INC [FRS; 5 m] | AMEN PACKAGING INC [CDPHE RCRA; 38 m] | COLORADO FRAME &amp; SUSPENSION INC [CDPHE RCRA; 38 m] | FORMER VENTA SAVEWAY NO 22 [CDPHE RCRA; 38 m] | ROCKY MOUNTAIN OIL COMPANY [CDPHE RCRA; 38 m] | RYDER TRUCK RENTAL, INC. [CDPHE RCRA; 38 m] | BINGHAM CO [FRS; 40 m] | COMPUTER &amp; ELECTRONICS RECYCLING LLC [FRS; 41 m] | CCS SUPPLY INC [FRS; 87 m] | RECOVERY OPTIONS INC O</t>
  </si>
  <si>
    <t xml:space="preserve">DMD STAINLESS FABRICATORS [FRS; 5 m] | SAMUEL BINGHAM CO.CN [FRS; 41 m] | US WEST INC [FRS; 124 m]</t>
  </si>
  <si>
    <t xml:space="preserve">REVOLUTION RECYCLING INC</t>
  </si>
  <si>
    <t xml:space="preserve">S02910</t>
  </si>
  <si>
    <t xml:space="preserve">801 E 17TH AVE</t>
  </si>
  <si>
    <t xml:space="preserve">1974;1990</t>
  </si>
  <si>
    <t xml:space="preserve">HAULMORE CORPCRATION (1974; SIC 3792) | CHAE MARKETING CORP (1990; SIC 2844)</t>
  </si>
  <si>
    <t xml:space="preserve">HAULMORE CORPCRATION (1974) | CHAE MARKETING CORP (1990)</t>
  </si>
  <si>
    <t xml:space="preserve">777 17th Ave, LLC [CDPHE Voluntary_Cleanup_and_Redevelopment_Program_(VCUP)_new; 21 m]</t>
  </si>
  <si>
    <t xml:space="preserve">17TH AND CLARKSON APARTMENTS [FRS; 26 m]</t>
  </si>
  <si>
    <t xml:space="preserve">777 17th Ave, LLC</t>
  </si>
  <si>
    <t xml:space="preserve">UPTOWN CARE CENTER</t>
  </si>
  <si>
    <t xml:space="preserve">S02913</t>
  </si>
  <si>
    <t xml:space="preserve">1805 W IRVINGTCN PL</t>
  </si>
  <si>
    <t xml:space="preserve">HUTSON INDUSTRIES INC (1974-1977; SIC 2851)</t>
  </si>
  <si>
    <t xml:space="preserve">HUTSON INDUSTRIES INC (1974)</t>
  </si>
  <si>
    <t xml:space="preserve">General Chemical Corporation [CDPHE Institutional_Controls_PROD_local; 177 m] | SOUTH TEJON LANDFILL [FRS; 187 m]</t>
  </si>
  <si>
    <t xml:space="preserve">DIESELS ONLY II [FRS; 98 m] | LAIDLAW TRANSIT COMPANY [FRS; 168 m] | MAYFLOWER CONTRACT SVC INC [FRS; 168 m] | PREMIER ENGINES INC [FRS; 187 m] | KING SOOPERS/CITY MARKET [FRS; 194 m] | KING SOOPERS - MAINTENANCE [FRS; 201 m]</t>
  </si>
  <si>
    <t xml:space="preserve">MV TRANSPORTATION INC [FRS; 98 m] | MV TRANSPORTATION INC [FRS; 168 m]</t>
  </si>
  <si>
    <t xml:space="preserve">DIESELS ONLY II</t>
  </si>
  <si>
    <t xml:space="preserve">S02916</t>
  </si>
  <si>
    <t xml:space="preserve">3532 FRANKLIN ST</t>
  </si>
  <si>
    <t xml:space="preserve">INNERPAK ENC (1974; SIC 3589) | DIVERSIFIED MANUFACTURERS CORP (1977; SIC 3573)</t>
  </si>
  <si>
    <t xml:space="preserve">INNERPAK ENC (1974) | DIVERSIFIED MANUFACTURERS CORP (1977)</t>
  </si>
  <si>
    <t xml:space="preserve">PHILLIPS CENTER [FRS; 23 m] | PHILLIPS CENTER [FRS] (address match) | Vasquez/VAS [CDPHE CDPHE Superfund] (inside site boundary)</t>
  </si>
  <si>
    <t xml:space="preserve">S02920</t>
  </si>
  <si>
    <t xml:space="preserve">3501 WAZEE ST</t>
  </si>
  <si>
    <t xml:space="preserve">J + J WELDING (1974; SIC 3441,3591) | 3 4 3 WELOING (1980; SIC 3441,3599) | J J METAL FABRICATORS (1983-1988; SIC 3441,3599)</t>
  </si>
  <si>
    <t xml:space="preserve">J + J WELDING (1974) | 3 4 3 WELOING (1980) | J J METAL FABRICATORS (1983)</t>
  </si>
  <si>
    <t xml:space="preserve">Warehouse Building UST [CDPHE Voluntary_Cleanup_and_Redevelopment_Program_(VCUP)_new] (address match) | RiNo TOD, LLC [CDPHE Voluntary_Cleanup_and_Redevelopment_Program_(VCUP)_new] (address match) | RiNo TOD, LLC II [CDPHE Voluntary_Cleanup_and_Redevelopment_Program_(VCUP)_new] (address match) | Vasquez/VAS [CDPHE CDPHE Superfund] (inside site boundary)</t>
  </si>
  <si>
    <t xml:space="preserve">MOUNTAIN CEMENT CO [FRS; 18 m]</t>
  </si>
  <si>
    <t xml:space="preserve">S02921</t>
  </si>
  <si>
    <t xml:space="preserve">2651 E 52ND AVE</t>
  </si>
  <si>
    <t xml:space="preserve">JEFFCO STEEL FABRICATORS INC (1974; SIC 3441) | RESEARCH-COTTRELL FABRICATORS INC (1977; SIC 3441,3443)</t>
  </si>
  <si>
    <t xml:space="preserve">JEFFCO STEEL FABRICATORS INC (1974) | RESEARCH-COTTRELL FABRICATORS INC (1977)</t>
  </si>
  <si>
    <t xml:space="preserve">AMERICAN INDUSTRIAL CORP [FRS; 5 m] | CHEVYTRUCK PARTS LLC [FRS; 37 m]</t>
  </si>
  <si>
    <t xml:space="preserve">VULCAN MATERIALS CO CHEM DIV [FRS; 5 m] | POZZOLANIC [FRS; 21 m]</t>
  </si>
  <si>
    <t xml:space="preserve">Brothers Excavating LLC</t>
  </si>
  <si>
    <t xml:space="preserve">AMERICAN INDUSTRIAL CORP</t>
  </si>
  <si>
    <t xml:space="preserve">S02927</t>
  </si>
  <si>
    <t xml:space="preserve">931 W 9TH AVE</t>
  </si>
  <si>
    <t xml:space="preserve">LEISURE RESEARCH INC (1980; SIC 3949,3599)</t>
  </si>
  <si>
    <t xml:space="preserve">LEISURE RESEARCH INC (1974) | GOLDEN SQUEEGEE PRODUCTION (1990) | TEXTILE IMPORIUM (1992)</t>
  </si>
  <si>
    <t xml:space="preserve">INDUSTRIAL CHROME PLATING [FRS; 46 m]</t>
  </si>
  <si>
    <t xml:space="preserve">TEXTILE EMPORIUM INC [FRS; name match, 40 m]</t>
  </si>
  <si>
    <t xml:space="preserve">GOLDEN SQUEEGEE.CN [FRS; name match, 40 m] | SCHEIB EARL AUTO PAINTING NO 426 [FRS; 40 m]</t>
  </si>
  <si>
    <t xml:space="preserve">S02932</t>
  </si>
  <si>
    <t xml:space="preserve">3600 N RACE</t>
  </si>
  <si>
    <t xml:space="preserve">MS I INDUSTRIES, INC. (1974; SIC 3532)</t>
  </si>
  <si>
    <t xml:space="preserve">MS I INDUSTRIES, INC. (1974)</t>
  </si>
  <si>
    <t xml:space="preserve">JOE MAYFIELD RESIDENCE [FRS; 83 m] | HURD RESIDENCE [FRS; 184 m] | ROBERT TAYLOR RES. [FRS; 216 m] | ROBERT TAYLOR RES. [FRS; 226 m]</t>
  </si>
  <si>
    <t xml:space="preserve">S02934</t>
  </si>
  <si>
    <t xml:space="preserve">4256 ELATI</t>
  </si>
  <si>
    <t xml:space="preserve">ALEX MANUFAC TURING (1980; SIC 3599) | ALEX MANUFACTURING (1983-1988; SIC 3599)</t>
  </si>
  <si>
    <t xml:space="preserve">MAJESTIC MULTIGRAPHERS (1974) | ALEX MANUFAC TURING (1980) | ALEX MANUFACTURING (1983) | MAJESTIC LITHO (1983)</t>
  </si>
  <si>
    <t xml:space="preserve">G.J. CORPORATION [FRS; 3 m]</t>
  </si>
  <si>
    <t xml:space="preserve">MAJESTIC LITHO [FRS; name match, 41 m] | COLORADO MASTER BUILDERS AND ARCHITECTS [FRS; 27 m]</t>
  </si>
  <si>
    <t xml:space="preserve">S02937</t>
  </si>
  <si>
    <t xml:space="preserve">1855 12TH AVE</t>
  </si>
  <si>
    <t xml:space="preserve">METAL INDUSTRIES INC ALUMINUM SCREEN DIV (1974; SIC 3442)</t>
  </si>
  <si>
    <t xml:space="preserve">METAL INDUSTRIES INC ALUMINUM SCREEN DIV (1974)</t>
  </si>
  <si>
    <t xml:space="preserve">DENVER POTASSIUM CYANIDE [FRS; 172 m] | Wewatta Parking Lots III [CDPHE Voluntary_Cleanup_and_Redevelopment_Program_(VCUP)_new; 221 m] | Postal Parking Lot II [CDPHE Voluntary_Cleanup_and_Redevelopment_Program_(VCUP)_new; 242 m] | Postal Parking Lot [CDPHE Voluntary_Cleanup_and_Redevelopment_Program_(VCUP)_new; 242 m]</t>
  </si>
  <si>
    <t xml:space="preserve">NEW ELITCH GARDENS [FRS; 166 m] | CHEMICAL WASTE MGT INC DBA WASTE TRANS [FRS; 166 m] | CARGILL INC [FRS; 166 m]</t>
  </si>
  <si>
    <t xml:space="preserve">ON EDGE OF GRASS ATHLETIC FIELD NEAR AURARIA PARKING LOT  R  [FRS; 73 m] | METRO STATE HOTEL &amp; HOSPITALITY LEARNING CENTER [FRS; 104 m] | UCD WELLNESS CENTER [FRS; 115 m] | AURARIA MSU MIXED USE [FRS; 131 m] | 1401 WYNKOOP PARKING GARAGE [FRS; 166 m] | NW SIDE OF FIREHOUSE #6 ALONG BLAKE ST. ON SE SIDE OF BLAKE [FRS; 214 m] | SW SIDE OF FIREHOUSE #6 AT SPEER &amp; AURARIA (NE SIDE OF SPEER) [FRS; 214 </t>
  </si>
  <si>
    <t xml:space="preserve">S02939</t>
  </si>
  <si>
    <t xml:space="preserve">5075 COOK</t>
  </si>
  <si>
    <t xml:space="preserve">1974;1977;1983;1990;1992</t>
  </si>
  <si>
    <t xml:space="preserve">MIC WEST SPRING SERVICE + FFG LTC (1974-1992; SIC 3493,3452)</t>
  </si>
  <si>
    <t xml:space="preserve">MIC WEST SPRING SERVICE + FFG LTC (1974)</t>
  </si>
  <si>
    <t xml:space="preserve">S02943</t>
  </si>
  <si>
    <t xml:space="preserve">4905 WASHINGTON</t>
  </si>
  <si>
    <t xml:space="preserve">STARBUCK KUSTOM BOATS + PRODUCTS (1974; SIC 3711,3714,3732)</t>
  </si>
  <si>
    <t xml:space="preserve">MILE HIGH AUTC ELECTRIC INC (1974) | STARBUCK KUSTOM BOATS + PRODUCTS (1974) | H ¢ H WOOD SPECIALTIES INC (1980) | PRODUCTS BEC AGTO (1988)</t>
  </si>
  <si>
    <t xml:space="preserve">NORTH METRO REINFORCEMENT [FRS; 5 m] | JIMMY BOYS AUTO BODY [FRS; 39 m]</t>
  </si>
  <si>
    <t xml:space="preserve">S02950</t>
  </si>
  <si>
    <t xml:space="preserve">2050 S PECOS</t>
  </si>
  <si>
    <t xml:space="preserve">NASSCO CHEMICAL CO (1974; SIC 2842) | DENVER INSTRUMENT CO-AINSWORTH DLV (1977-1983; SIC 3811,3576)</t>
  </si>
  <si>
    <t xml:space="preserve">NASSCO CHEMICAL CO (1974) | DENVER INSTRUMENT CO-AINSWORTH DLV (1977)</t>
  </si>
  <si>
    <t xml:space="preserve">Interstate Patterns [CDPHE Institutional_Controls_PROD_local; 23 m] | Interstate Patterns [CDPHE Institutional_Controls_PROD_local] (inside site boundary)</t>
  </si>
  <si>
    <t xml:space="preserve">AINSWORTH PRODUCTS INC [FRS; name match, 79 m] | AINSWORTH PRODUCTS INC [FRS] (address match)</t>
  </si>
  <si>
    <t xml:space="preserve">HERITAGE DIE CASTING [FRS] (address match)</t>
  </si>
  <si>
    <t xml:space="preserve">Interstate Patterns</t>
  </si>
  <si>
    <t xml:space="preserve">AINSWORTH PRODUCTS INC</t>
  </si>
  <si>
    <t xml:space="preserve">S02963</t>
  </si>
  <si>
    <t xml:space="preserve">8300 E 40TH</t>
  </si>
  <si>
    <t xml:space="preserve">PRO MACH CO (1974; SIC 3444,3599,3591)</t>
  </si>
  <si>
    <t xml:space="preserve">PRO MACH CO (1974)</t>
  </si>
  <si>
    <t xml:space="preserve">ARDCO CORP [FRS; 30 m]</t>
  </si>
  <si>
    <t xml:space="preserve">ARDCO CORP [TRI; 40 m]</t>
  </si>
  <si>
    <t xml:space="preserve">MITHCON CORPORATION [FRS; 161 m] | THAN/HARCROS/ELEMNTIS [CDPHE RCRA; 175 m] | COLORADO LABEL AND PACKAGING [CDPHE RCRA; 175 m] | VISSER PRECISION CAST [CDPHE RCRA; 175 m] | AVIATION INDUSTRIAL SUPPLY [FRS; 193 m]</t>
  </si>
  <si>
    <t xml:space="preserve">QUALITY LININGS &amp; PAINTING [FRS; 30 m] | J W DUFF AIRCRAFT [FRS; 85 m] | B&amp;B RV INC [FRS; 85 m] | FASTRACKS EAST CORRIDOR PROJECT SEGMENT 2 [FRS; 203 m] | ENNIS OF COLORADO [FRS; 213 m] | SAND CREEK CLEANUP P2 [FRS; 234 m] | SAND CREEK PARALLEL INTERCEPTOR [FRS; 239 m]</t>
  </si>
  <si>
    <t xml:space="preserve">S02989</t>
  </si>
  <si>
    <t xml:space="preserve">2711 W COLFAX AVE</t>
  </si>
  <si>
    <t xml:space="preserve">® MW LASS (1980; SIC 2844)</t>
  </si>
  <si>
    <t xml:space="preserve">U.S. MEAT CO (1974) | ANDERSON BONELESS BEEF CO (1977) | COLUMBINE MEAT PACKING INC (1977) | ® MW LASS (1980) | REaoY FOODS INC (1980)</t>
  </si>
  <si>
    <t xml:space="preserve">FEDERAL BLVD. BROWNFIELDS PROJECT [FRS; 76 m]</t>
  </si>
  <si>
    <t xml:space="preserve">S02990</t>
  </si>
  <si>
    <t xml:space="preserve">1506 KEARNEY</t>
  </si>
  <si>
    <t xml:space="preserve">SIGNS BY PAUL (1990; SIC 2759,3089)</t>
  </si>
  <si>
    <t xml:space="preserve">UNIVERSAL DUPLICATING +*PRINTING (1974) | SIGNS BY PAUL (1990)</t>
  </si>
  <si>
    <t xml:space="preserve">KEARNEY &amp; COLFAX [FRS; 43 m]</t>
  </si>
  <si>
    <t xml:space="preserve">KEARNEY &amp; COLFAX</t>
  </si>
  <si>
    <t xml:space="preserve">S02994</t>
  </si>
  <si>
    <t xml:space="preserve">2326 CHAMPA</t>
  </si>
  <si>
    <t xml:space="preserve">MANUFACTURING INDUSTRIES, NEC (1977; SIC 3079)</t>
  </si>
  <si>
    <t xml:space="preserve">WANDEL» J» PRESS (1974) | MANUFACTURING INDUSTRIES, NEC (1977)</t>
  </si>
  <si>
    <t xml:space="preserve">S03257</t>
  </si>
  <si>
    <t xml:space="preserve">2811 W 9TH AVE</t>
  </si>
  <si>
    <t xml:space="preserve">ACCUTRONICS DESIGW + MFG CO (1977; SIC 3599)</t>
  </si>
  <si>
    <t xml:space="preserve">ACCUTRONICS DESIGW + MFG CO (1977) | GORDON SIGN COMPANY (1992)</t>
  </si>
  <si>
    <t xml:space="preserve">DECATUR WAREHOUSE [FRS; 75 m]</t>
  </si>
  <si>
    <t xml:space="preserve">VISUAL PRODUCTS CORP. DBA GORDON SIGN [FRS; name match, 123 m]</t>
  </si>
  <si>
    <t xml:space="preserve">WEIR GULCH REACH W1 [FRS; 2 m] | TRANSAMERICA SANITARY PRODUCTS [FRS; 40 m] | REX OIL [FRS; 42 m] | WEIR GULCH REACH W1 [FRS] (address match)</t>
  </si>
  <si>
    <t xml:space="preserve">S03258</t>
  </si>
  <si>
    <t xml:space="preserve">5515 WASHINGTON ST</t>
  </si>
  <si>
    <t xml:space="preserve">WCE BRUSH MFG ¢ SUPPLY CO (1980; SIC 2991)</t>
  </si>
  <si>
    <t xml:space="preserve">ACE BRUSH MFG + SUPPLY CO (1977) | WCE BRUSH MFG ¢ SUPPLY CO (1980)</t>
  </si>
  <si>
    <t xml:space="preserve">ENGINES ETC [FRS; 30 m]</t>
  </si>
  <si>
    <t xml:space="preserve">WASHINGTON ST PHASE IV WIDENING [FRS; 28 m] | ENCOAT [FRS; 30 m] | VALDEZ FLOORING &amp; GRANITE [FRS; 30 m] | ENGINEERED COATING APPLICATION AND TECHN [FRS; 30 m]</t>
  </si>
  <si>
    <t xml:space="preserve">Serck Denver Radiator</t>
  </si>
  <si>
    <t xml:space="preserve">ENGINES ETC</t>
  </si>
  <si>
    <t xml:space="preserve">S03262</t>
  </si>
  <si>
    <t xml:space="preserve">3198 N SPEER BLVD</t>
  </si>
  <si>
    <t xml:space="preserve">AMERICAN PENNANT MFG CO (1980-1983; SIC 2399,2329,2339) | AMERICAN PENNANT MFG CO (1988; SIC 2326,2399,3499)</t>
  </si>
  <si>
    <t xml:space="preserve">AMMERICAN PENNANT MFG&amp; CO (1977) | AMERICAN PENNANT MFG CO (1988)</t>
  </si>
  <si>
    <t xml:space="preserve">Speer North [CDPHE Voluntary_Cleanup_and_Redevelopment_Program_(VCUP)_new; 29 m] | Speer North [CDPHE Voluntary_Cleanup_and_Redevelopment_Program_(VCUP)_new] (address match)</t>
  </si>
  <si>
    <t xml:space="preserve">Speer North</t>
  </si>
  <si>
    <t xml:space="preserve">S03268</t>
  </si>
  <si>
    <t xml:space="preserve">1255 S KALAMATH</t>
  </si>
  <si>
    <t xml:space="preserve">CHROME CONCEPTS INC 1 PLATING AND POLISHING 2253 KNIT OUTERWEAR MILLS (1977; SIC 3471) | ALPINE MONUMENT CO (1988; SIC 3272,3471)</t>
  </si>
  <si>
    <t xml:space="preserve">ASH-CRAFT CuSTOM FURNITURE CO (1977) | CHROME CONCEPTS INC 1 PLATING AND POLISHING 2253 KNIT OUTERWEAR MILLS (1977) | ALPINE MONUMENT COMPANY (1983) | SOBA Grane INC (1988) | COLORADO MARBLE + GRANITE INC (1990)</t>
  </si>
  <si>
    <t xml:space="preserve">ELECTRO-MECHANICAL PRODUCTS INC [FRS; 106 m]</t>
  </si>
  <si>
    <t xml:space="preserve">HONDA MENDERS [FRS; 33 m]</t>
  </si>
  <si>
    <t xml:space="preserve">COLORADO MARBLE AND GRANITE [FRS; name match, 110 m]</t>
  </si>
  <si>
    <t xml:space="preserve">HONDA MENDERS</t>
  </si>
  <si>
    <t xml:space="preserve">S03269</t>
  </si>
  <si>
    <t xml:space="preserve">4450 CHEROKEE</t>
  </si>
  <si>
    <t xml:space="preserve">1977;1980;1983;1988</t>
  </si>
  <si>
    <t xml:space="preserve">AUTO DETAIL SUPPLY (1977-1983; SIC 2841,2842) | LITHOGRAPHIC AUTO DETAIL SUPPLY (1988; SIC 2841,2842)</t>
  </si>
  <si>
    <t xml:space="preserve">AUTO DETAIL SUPPLY (1977) | LITHOGRAPHIC AUTO DETAIL SUPPLY (1988)</t>
  </si>
  <si>
    <t xml:space="preserve">ENVIRONMENTAL DEMOLITION INC</t>
  </si>
  <si>
    <t xml:space="preserve">S03277</t>
  </si>
  <si>
    <t xml:space="preserve">5025 DAHLIA ST</t>
  </si>
  <si>
    <t xml:space="preserve">CHAD MANUFACTURING CORP (1977; SIC 3469,3961,3362)</t>
  </si>
  <si>
    <t xml:space="preserve">CHAD MANUFACTURING CORP (1977)</t>
  </si>
  <si>
    <t xml:space="preserve">CHEMTRADE SOLUTIONS INC.</t>
  </si>
  <si>
    <t xml:space="preserve">SPEARS MFG.COMPANY</t>
  </si>
  <si>
    <t xml:space="preserve">S03295</t>
  </si>
  <si>
    <t xml:space="preserve">2065 S OSAGE ST</t>
  </si>
  <si>
    <t xml:space="preserve">FORM-RITE OF DENVER INC (1980-1990; SIC 3079)</t>
  </si>
  <si>
    <t xml:space="preserve">FORM-RITE OF DENVER BNC (1977)</t>
  </si>
  <si>
    <t xml:space="preserve">Cardenas Property [CDPHE Voluntary_Cleanup_and_Redevelopment_Program_(VCUP)_new; 22 m] | CCoD; Fleet Maintenance Facility [CDPHE Voluntary_Cleanup_and_Redevelopment_Program_(VCUP)_new; 51 m]</t>
  </si>
  <si>
    <t xml:space="preserve">CCOD; FLEET MAINTENANCE FACILITY</t>
  </si>
  <si>
    <t xml:space="preserve">S03317</t>
  </si>
  <si>
    <t xml:space="preserve">3905 NIAGARA</t>
  </si>
  <si>
    <t xml:space="preserve">DENVER PRECISION WELDING (1988-1992; SIC 3444,3448)</t>
  </si>
  <si>
    <t xml:space="preserve">PEGGED OAK, THE (1977) | GARTNER GRAPHICS (1980) | DENVER PRECISION WELDING (1988)</t>
  </si>
  <si>
    <t xml:space="preserve">Esquire Fabricare [CDPHE RCRA_corrective_action; 82 m]</t>
  </si>
  <si>
    <t xml:space="preserve">TAYLOR FUNERAL &amp; CREMATION - 3900 NIAGRA [FRS; 3 m] | SUBA PERFORMANCE [FRS; 4 m] | AFFORDABLE CREMATORY [FRS; 5 m] | COLORADO FUNERAL SERVICES [FRS; 34 m]</t>
  </si>
  <si>
    <t xml:space="preserve">Esquire Fabricare</t>
  </si>
  <si>
    <t xml:space="preserve">STEWART AXLE &amp; FRAME SVC INC</t>
  </si>
  <si>
    <t xml:space="preserve">S03330</t>
  </si>
  <si>
    <t xml:space="preserve">2600 WALNUT</t>
  </si>
  <si>
    <t xml:space="preserve">AMEN PACKAGING INC (1983; SIC 3411,3079,2655)</t>
  </si>
  <si>
    <t xml:space="preserve"> (1977) | CUSTOM CORNED BEEF INC (1980) | AMEN PACKAGING INC (1983)</t>
  </si>
  <si>
    <t xml:space="preserve">ULC BRUNETTI LOFTS [FRS; 72 m]</t>
  </si>
  <si>
    <t xml:space="preserve">PAINT GENIUS INC [FRS; 9 m]</t>
  </si>
  <si>
    <t xml:space="preserve">S03337</t>
  </si>
  <si>
    <t xml:space="preserve">1064 S SANTA FE DR</t>
  </si>
  <si>
    <t xml:space="preserve">DENVER LOCKER COs» INC (1983; SIC 3569,2542)</t>
  </si>
  <si>
    <t xml:space="preserve">TRI-LITE INC (1977) | DENVER LOCKER COs» INC (1983)</t>
  </si>
  <si>
    <t xml:space="preserve">GATES RUBBER: WELLFIELD PARCEL [FRS; 43 m]</t>
  </si>
  <si>
    <t xml:space="preserve">AGGREGATE INDUSTRIES - WCR INC. SANTA FE READY MIX PLANT [TRI; 78 m]</t>
  </si>
  <si>
    <t xml:space="preserve">GATES RUBBER: WELLFIELD PARCEL</t>
  </si>
  <si>
    <t xml:space="preserve">AGGREGATE INDUSTRIES - WCR INC. SANTA FE READY MIX PLANT</t>
  </si>
  <si>
    <t xml:space="preserve">METRON INSTRUMENTS INC</t>
  </si>
  <si>
    <t xml:space="preserve">S03339</t>
  </si>
  <si>
    <t xml:space="preserve">3943 WALNUT ST</t>
  </si>
  <si>
    <t xml:space="preserve">UNIVERSAL CHEMICAL + SUPPLIES INC (1977; SIC 2899)</t>
  </si>
  <si>
    <t xml:space="preserve">UNIVERSAL CHEMICAL + SUPPLIES INC (1977)</t>
  </si>
  <si>
    <t xml:space="preserve">S03347</t>
  </si>
  <si>
    <t xml:space="preserve">601 48TH</t>
  </si>
  <si>
    <t xml:space="preserve">YORKER # SONS INC (1977-1983; SIC 3079)</t>
  </si>
  <si>
    <t xml:space="preserve">YORKER # SONS INC (1977)</t>
  </si>
  <si>
    <t xml:space="preserve">FINELINE [FRS; 34 m]</t>
  </si>
  <si>
    <t xml:space="preserve">FINELINE</t>
  </si>
  <si>
    <t xml:space="preserve">S03599</t>
  </si>
  <si>
    <t xml:space="preserve">595 E 56TH AVE</t>
  </si>
  <si>
    <t xml:space="preserve">BLESWOODS INC (1980; SIC 3069,2999) | ELLSWOODS INC (1983-1990; SIC 3069,3999)</t>
  </si>
  <si>
    <t xml:space="preserve">BLESWOODS INC (1980) | ELLSWOODS INC (1983)</t>
  </si>
  <si>
    <t xml:space="preserve">IRON WOMAN CONSTRUCTION &amp; ENVIRONMENTAL [FRS; 2 m]</t>
  </si>
  <si>
    <t xml:space="preserve">AGGREGATE INDUSTRIES - WCR, INC.-HMA PLT [FRS; 2 m] | GOLDEN CONCRETE (HAGENATOR CBP) [FRS; 2 m] | RECRETE - TAYLOR LOT (POD #4) [FRS; 2 m] | AGGREGATE INDUSTRIES - STAPLETON RM [FRS; 2 m] | RECYCLED MATERIALS - PORTABLE GENERATOR [FRS; 2 m]</t>
  </si>
  <si>
    <t xml:space="preserve">IRON WOMAN CONSTRUCTION &amp; ENVIRONMENTAL</t>
  </si>
  <si>
    <t xml:space="preserve">S03616</t>
  </si>
  <si>
    <t xml:space="preserve">5891 MARION DR</t>
  </si>
  <si>
    <t xml:space="preserve">SOLAR SPECIALTIES INC (1980; SIC 3433)</t>
  </si>
  <si>
    <t xml:space="preserve">SOLAR SPECIALTIES INC (1980)</t>
  </si>
  <si>
    <t xml:space="preserve">CHAMPA COLLISION [FRS; 14 m] | RICKENBAUGH COLLISION REPAIR - NORTH [FRS; 15 m]</t>
  </si>
  <si>
    <t xml:space="preserve">C W ELABORATIONS [FRS] (address match)</t>
  </si>
  <si>
    <t xml:space="preserve">CLASSIC METALS</t>
  </si>
  <si>
    <t xml:space="preserve">CHAMPA COLLISION</t>
  </si>
  <si>
    <t xml:space="preserve">S03657</t>
  </si>
  <si>
    <t xml:space="preserve">2045 S VALENTIA ST</t>
  </si>
  <si>
    <t xml:space="preserve">LAWRENCE TOOL COMPANY (1980-1983; SIC 3079,3079) | A A A BOLT + MACHINE CO (1983; SIC 3452)</t>
  </si>
  <si>
    <t xml:space="preserve">LAWRENCE TOOL COMPANY (1980) | CABENETPAK KITCHENS OF COLORADO (1980) | LANG SIGN SYSTEMS INC (1980) | A A A BOLT + MACHINE CO (1983)</t>
  </si>
  <si>
    <t xml:space="preserve">2115 S. Valentia II [CDPHE Voluntary_Cleanup_and_Redevelopment_Program_(VCUP)_new; 64 m] | 2115 S. Valentia [CDPHE Voluntary_Cleanup_and_Redevelopment_Program_(VCUP)_new; 64 m]</t>
  </si>
  <si>
    <t xml:space="preserve">THE GREEN MONSTER RECYCLING [CDPHE RCRA; 29 m]</t>
  </si>
  <si>
    <t xml:space="preserve">LAWRENCE TOOL CO [FRS; name match, 128 m] | NUBUILT RESTORATION AND CONSTRUCTION [FRS; 6 m] | BARKEN CRITTERS [FRS; 20 m] | CARPET PLUS INCORPORATED [FRS] (address match)</t>
  </si>
  <si>
    <t xml:space="preserve">S03846</t>
  </si>
  <si>
    <t xml:space="preserve">4245 MORRISON RD</t>
  </si>
  <si>
    <t xml:space="preserve">ALP CORP (1980; SIC 3471,3479,3914) | CORP (1983; SIC 3471,3479,3914)</t>
  </si>
  <si>
    <t xml:space="preserve">ALP CORP (1980) | CORP (1983)</t>
  </si>
  <si>
    <t xml:space="preserve">Rocky Mountain Imports II [CDPHE Voluntary_Cleanup_and_Redevelopment_Program_(VCUP)_new; 52 m] | Rocky Mountain Imports I [CDPHE Voluntary_Cleanup_and_Redevelopment_Program_(VCUP)_new; 52 m] | MORRISON ROAD CLEANUP [FRS; 68 m]</t>
  </si>
  <si>
    <t xml:space="preserve">MORRISON METAL FININSHING CORP [FRS; 15 m]</t>
  </si>
  <si>
    <t xml:space="preserve">MORRISON METAL FINISHING CORP (MACT ONLY [FRS; 3 m] | MORRISON METAL FINISHING CORP (MACT ONLY [FRS] (address match)</t>
  </si>
  <si>
    <t xml:space="preserve">Rocky Mountain Imports II</t>
  </si>
  <si>
    <t xml:space="preserve">MORRISON METAL FININSHING CORP</t>
  </si>
  <si>
    <t xml:space="preserve">S03847</t>
  </si>
  <si>
    <t xml:space="preserve">4355 MONACO ST</t>
  </si>
  <si>
    <t xml:space="preserve">WLPALRE, INC. (1980; SIC 3589,3564,3559) | DECORATIVE+COATING SYSTEMS (1988-1990; SIC 2851,3479,1301)</t>
  </si>
  <si>
    <t xml:space="preserve">WLPALRE, INC. (1980) | DECORATIVE+COATING SYSTEMS (1988)</t>
  </si>
  <si>
    <t xml:space="preserve">FRONTIER AERO STRUCTURES [FRS; 56 m]</t>
  </si>
  <si>
    <t xml:space="preserve">DECORATIVE &amp; COATING SYSTEMS INCORPORATED [FRS; name match, 97 m]</t>
  </si>
  <si>
    <t xml:space="preserve">DECORATIVE &amp; COATING SYSTEMS INC [FRS; name match, 97 m] | DH PACE [FRS; 13 m] | DECORATIVE &amp; COATING SYSTEMS INC [FRS] (address match)</t>
  </si>
  <si>
    <t xml:space="preserve">DECORATIVE &amp; COATING SYSTEMS INCORPORATED</t>
  </si>
  <si>
    <t xml:space="preserve">S03850</t>
  </si>
  <si>
    <t xml:space="preserve">1230 9TH ST</t>
  </si>
  <si>
    <t xml:space="preserve">AMEN PACKAGING INC (1980; SIC 3411,2655) | EVERSMAN MFG CO INC (1980; SIC 3523) | PIONEER FIXTURE CO (1988; SIC 2434,2531,2541)</t>
  </si>
  <si>
    <t xml:space="preserve">AMEN PACKAGING INC (1980) | EVERSMAN MFG CO INC (1980) | PIONEER FIXTURE CO (1988)</t>
  </si>
  <si>
    <t xml:space="preserve">WATER STREET CATALYTIC SITE [FRS; 168 m]</t>
  </si>
  <si>
    <t xml:space="preserve">IRONWORKS CDOT PROPERTY [FRS; 166 m] | ATLAS METAL &amp; IRON CORP [CDPHE RCRA; 218 m] | ELITCH GARDENS [CDPHE RCRA; 218 m] | AURARIA HIGHER EDUCATION CENTER [CDPHE RCRA; 230 m] | UNIVERSITY OF COLORADO - DENVER [CDPHE RCRA; 230 m] | UNIVERSITY OF COLORADO - DENVER [FRS; 239 m] | METROPOLITAN STATE UNIVERSITY OF DENVER [FRS; 247 m] | METROPOLITAN STATE UNIVERSITY OF DENVER [CDPHE RCRA; 247 m]</t>
  </si>
  <si>
    <t xml:space="preserve">AURARIA HIGHER EDUCATION CTR [FRS; 144 m] | 10 ST PEDESTRIAN CORRIDOR PH III [FRS; 176 m] | LOCATED IN THE CORNER OF 10TH AND WALNUT AT THE EDGE OF ATHLETIC FLD [FRS; 233 m]</t>
  </si>
  <si>
    <t xml:space="preserve">S03866</t>
  </si>
  <si>
    <t xml:space="preserve">750 W 48TH AVE</t>
  </si>
  <si>
    <t xml:space="preserve">FOR COMPUTING Sa PCHINE+ ENGINEERING (1988; SIC 3469) | TB MACHINE + ENGINEERING (1990-1992; SIC 3469)</t>
  </si>
  <si>
    <t xml:space="preserve">CARSON CONCRETE CASTENG CO ENC (1980) | FOR COMPUTING Sa PCHINE+ ENGINEERING (1988) | TB MACHINE + ENGINEERING (1990)</t>
  </si>
  <si>
    <t xml:space="preserve">AAA WATERPROFFING INCORPORATED [FRS] (address match) | AAA WATERPROFFING INCORPORATED [CDPHE RCRA] (address match)</t>
  </si>
  <si>
    <t xml:space="preserve">UNION PACIFIC RAILROAD - NORTH YARD</t>
  </si>
  <si>
    <t xml:space="preserve">S03868</t>
  </si>
  <si>
    <t xml:space="preserve">2533 19TH ST</t>
  </si>
  <si>
    <t xml:space="preserve"/>
  </si>
  <si>
    <t xml:space="preserve">FRANCIS ASSOCIATES ORDINANCE CO (1992; SIC 2892;3483)</t>
  </si>
  <si>
    <t xml:space="preserve">G@LORACO HOT TUB COMPANY (1980) | HENDERSON MILLS INC (1980) | FRANCIS ASSOCIATES ORDINANCE CO (1992)</t>
  </si>
  <si>
    <t xml:space="preserve">1880 Little Raven [CDPHE Voluntary_Cleanup_and_Redevelopment_Program_(VCUP)_new; 221 m] | Parkside Apartments [CDPHE Voluntary_Cleanup_and_Redevelopment_Program_(VCUP)_new; 221 m]</t>
  </si>
  <si>
    <t xml:space="preserve">FINELINE SIGNS/GRAPHICS/PRINTING [FRS; 220 m] | US BANK CPC [CDPHE RCRA; 231 m]</t>
  </si>
  <si>
    <t xml:space="preserve">HOLLAND PARKSIDE [FRS; 219 m] | PARKSIDE APARTMENTS [FRS; 219 m]</t>
  </si>
  <si>
    <t xml:space="preserve">S03875</t>
  </si>
  <si>
    <t xml:space="preserve">2120 DELGANEY</t>
  </si>
  <si>
    <t xml:space="preserve">COLORAOD COOPERAGE WORKS (1980; SIC 3412,2655)</t>
  </si>
  <si>
    <t xml:space="preserve">COLORAOD COOPERAGE WORKS (1980)</t>
  </si>
  <si>
    <t xml:space="preserve">KAMINSKY BARREL CO [FRS; 40 m] | Denver Barrel &amp; Drum I [CDPHE Voluntary_Cleanup_and_Redevelopment_Program_(VCUP)_new; 44 m] | Delgany Street Lot II [CDPHE Voluntary_Cleanup_and_Redevelopment_Program_(VCUP)_new; 44 m] | Denver Barrel  &amp; Drum II [CDPHE Voluntary_Cleanup_and_Redevelopment_Program_(VCUP)_new; 44 m] | Delgany Street Lot [CDPHE Voluntary_Cleanup_and_Redevelopment_Program_(VCUP)_new; 44</t>
  </si>
  <si>
    <t xml:space="preserve">PROSPECT PARK PROPERTIES [FRS; 78 m] | GARDNER TOOLS INC [FRS; 157 m] | PARADE PACKAGING MATERIALS CO [FRS; 172 m] | KIEWIT  WESTERN CO [FRS; 201 m] | AMOCO PRODUCTION COMPANY [FRS; 213 m] | KING SOOPERS 115 [FRS; 215 m] | KING SOOPERS 115 [CDPHE RCRA; 218 m]</t>
  </si>
  <si>
    <t xml:space="preserve">NATIONAL RR PASSENGER CORP - DENVER STN [FRS; 43 m] | 29 AND HURON APARTMENTS [FRS; 138 m] | 16 CHESTNUT DENVER OFFICE BUILDING [FRS; 144 m] | STOR-ALL STORAGE [FRS; 170 m] | HILTON GARDEN INN DENVER [FRS; 201 m] | BENEDICT LOFTS [FRS; 232 m]</t>
  </si>
  <si>
    <t xml:space="preserve">KAMINSKY BARREL CO</t>
  </si>
  <si>
    <t xml:space="preserve">S03897</t>
  </si>
  <si>
    <t xml:space="preserve">4780 HOLLY</t>
  </si>
  <si>
    <t xml:space="preserve">DENDORCO (1980; SIC 2431,3442,3429) | PACIFIC INTERSTATE CORP (1980; SIC 3079)</t>
  </si>
  <si>
    <t xml:space="preserve">DENDORCO (1980) | PACIFIC INTERSTATE CORP (1980)</t>
  </si>
  <si>
    <t xml:space="preserve">48TH AND HOLLY STREETS LANDFILL [FRS; 56 m]</t>
  </si>
  <si>
    <t xml:space="preserve">COLORADO PAINT CO [TRI; 93 m]</t>
  </si>
  <si>
    <t xml:space="preserve">48TH AND HOLLY STREETS LANDFILL</t>
  </si>
  <si>
    <t xml:space="preserve">S03905</t>
  </si>
  <si>
    <t xml:space="preserve">101 WALNUT ST</t>
  </si>
  <si>
    <t xml:space="preserve">DERT MAGNET INCORPORATED (1980-1983; SIC 2842)</t>
  </si>
  <si>
    <t xml:space="preserve">DERT MAGNET INCORPORATED (1980)</t>
  </si>
  <si>
    <t xml:space="preserve">Atlas Metals III [CDPHE Voluntary_Cleanup_and_Redevelopment_Program_(VCUP)_new; 47 m] | Atlas Metals II [CDPHE Voluntary_Cleanup_and_Redevelopment_Program_(VCUP)_new; 47 m] | Atlas Metals I [CDPHE Voluntary_Cleanup_and_Redevelopment_Program_(VCUP)_new; 113 m] | 5th Street Parking Garage II [CDPHE Voluntary_Cleanup_and_Redevelopment_Program_(VCUP)_new; 218 m] | 5th Street Parking Garage [CDPHE Volu</t>
  </si>
  <si>
    <t xml:space="preserve">ATLAS METAL &amp; IRON CORP [FRS; 82 m]</t>
  </si>
  <si>
    <t xml:space="preserve">DIRT MAGNET INC [FRS; name match, 211 m] | NEW ELITCH GARDENS, LTD [FRS; 14 m] | ATLAS METAL &amp; IRON CORP [FRS; 82 m] | RTD CPV SPUR CONSTRUCTION [FRS; 226 m]</t>
  </si>
  <si>
    <t xml:space="preserve">16212 BRONCO ARCH BRIDGE [FRS; 220 m] | I-25 BRONCO ARCH BRIDGE REPLACEMENT [FRS; 220 m] | LIQUID AIR INC IND GASES DIV [FRS; 226 m] | AMERICAN TOWER CORP - AURARIA #302457 [FRS; 242 m] | MEOW WOLF [FRS; 242 m]</t>
  </si>
  <si>
    <t xml:space="preserve">Atlas Metals III</t>
  </si>
  <si>
    <t xml:space="preserve">NEW ELITCH GARDENS, LTD</t>
  </si>
  <si>
    <t xml:space="preserve">S03955</t>
  </si>
  <si>
    <t xml:space="preserve">333 W 48TH</t>
  </si>
  <si>
    <t xml:space="preserve">JARVIS CLARK INC (1980; SIC 3532,3532,3743)</t>
  </si>
  <si>
    <t xml:space="preserve">JARVIS CLARK INC (1980)</t>
  </si>
  <si>
    <t xml:space="preserve">Gaines Family [CDPHE Voluntary_Cleanup_and_Redevelopment_Program_(VCUP)_new; 79 m] | ARGO SMELTER [FRS; 82 m] | Gaines Family II [CDPHE Voluntary_Cleanup_and_Redevelopment_Program_(VCUP)_new; 209 m] | Vasquez/VAS [CDPHE CDPHE Superfund] (inside site boundary)</t>
  </si>
  <si>
    <t xml:space="preserve">ELECTRIC EQUIPMENT &amp; ENGINEERING [FRS; 215 m]</t>
  </si>
  <si>
    <t xml:space="preserve">COLORADO DEPARTMENT OF TRANSPORTATION CONSTRUCTION PROJECT NHDA025-2(255) [FRS; 136 m] | JOHN CLARK INC [FRS; 196 m] | VASQUEZ BLVD/INTERSTATE 70 SUPERFUND SITE OPERABLE UNIT 3 [FRS; 213 m] | SHORELINE COMPRESSION INC [CDPHE RCRA; 213 m] | IDEATIONS INC [CDPHE RCRA; 213 m] | VASQUEZ BLVD/INTERSTATE 70 SUPERFUND SITE OPERABLE UNIT 3 [CDPHE RCRA; 213 m] | ROCLA CONCRETE TIE INC [CDPHE RCRA; 213 m] |</t>
  </si>
  <si>
    <t xml:space="preserve">PEABERRY COFFEE LTD [FRS; 238 m]</t>
  </si>
  <si>
    <t xml:space="preserve">S03957</t>
  </si>
  <si>
    <t xml:space="preserve">1901 S BANNOCK</t>
  </si>
  <si>
    <t xml:space="preserve">ZOMAS BROTHERS INC (1980; SIC 2842,3299)</t>
  </si>
  <si>
    <t xml:space="preserve">ZOMAS BROTHERS INC (1980) | JONAS BROTHERS INC RL OLSEN CHAIRMAN (1983)</t>
  </si>
  <si>
    <t xml:space="preserve">JONAS BROTHERS INC [FRS; name match, 22 m] | JONAS BROTHERS INC [FRS] (address match)</t>
  </si>
  <si>
    <t xml:space="preserve">JONAS BROTHERS INC</t>
  </si>
  <si>
    <t xml:space="preserve">S03973</t>
  </si>
  <si>
    <t xml:space="preserve">4422 CHEROKEE</t>
  </si>
  <si>
    <t xml:space="preserve">MAGHINE RESEARCH (1980-1990; SIC 3452,3544) | WINDOWWELL COVERS, MACHINE RESEARCH INC (1988; SIC 3452,3498,3533)</t>
  </si>
  <si>
    <t xml:space="preserve">MAGHINE RESEARCH (1980) | WINDOWWELL COVERS, MACHINE RESEARCH INC (1988)</t>
  </si>
  <si>
    <t xml:space="preserve">Sterling Consulting Corporation [CDPHE Voluntary_Cleanup_and_Redevelopment_Program_(VCUP)_new; 24 m] | CHEROKEE STREET PRINT SHOP WASTES [FRS; 24 m] | Vasquez/VAS [CDPHE CDPHE Superfund] (inside site boundary)</t>
  </si>
  <si>
    <t xml:space="preserve">AMERISOURCEBERGEN DRUG CORPORATION - DENVER CO</t>
  </si>
  <si>
    <t xml:space="preserve">S03983</t>
  </si>
  <si>
    <t xml:space="preserve">9501 47TH AVE</t>
  </si>
  <si>
    <t xml:space="preserve">METAL INBUSTRIES INC ALUMINUM SCREEN DIV (1980; SIC 3442)</t>
  </si>
  <si>
    <t xml:space="preserve">METAL INBUSTRIES INC ALUMINUM SCREEN DIV (1980)</t>
  </si>
  <si>
    <t xml:space="preserve">Stapleton Business Ctr; C5 [CDPHE Voluntary_Cleanup_and_Redevelopment_Program_(VCUP)_new; 125 m]</t>
  </si>
  <si>
    <t xml:space="preserve">COLORADO TIMBERLINE [FRS; 150 m] | ESSENDANT DENVER [CDPHE RCRA; 234 m] | ESSENDANT DENVER [FRS; 234 m]</t>
  </si>
  <si>
    <t xml:space="preserve">NORTHFIELD CENTRAL PARK PHASE 2 [FRS; 123 m] | CARETEK INC [FRS; 150 m]</t>
  </si>
  <si>
    <t xml:space="preserve">Stapleton Business Ctr; C5</t>
  </si>
  <si>
    <t xml:space="preserve">COLORADO TIMBERLINE</t>
  </si>
  <si>
    <t xml:space="preserve">S04000</t>
  </si>
  <si>
    <t xml:space="preserve">1339 OSAGE ST</t>
  </si>
  <si>
    <t xml:space="preserve">PNUEMATICS UNLIMITED, EOLAR DIVISION (1980; SIC 3599,3446,3542)</t>
  </si>
  <si>
    <t xml:space="preserve">PNUEMATICS UNLIMITED, EOLAR DIVISION (1980)</t>
  </si>
  <si>
    <t xml:space="preserve">GSW Ventures, LLC [CDPHE Voluntary_Cleanup_and_Redevelopment_Program_(VCUP)_new; 41 m] | 1305 Osage St, Denver [CDPHE Institutional_Controls_PROD_local; 42 m] | DTCB [CDPHE Institutional_Controls_PROD_local; 62 m] | 1305 Osage St, Denver [CDPHE Institutional_Controls_PROD_local] (inside site boundary) | DTCB [CDPHE Institutional_Controls_PROD_local] (inside site boundary)</t>
  </si>
  <si>
    <t xml:space="preserve">J-8 EQUIPMENT CO [FRS; 30 m]</t>
  </si>
  <si>
    <t xml:space="preserve">GSW Ventures, LLC</t>
  </si>
  <si>
    <t xml:space="preserve">J-8 EQUIPMENT CO</t>
  </si>
  <si>
    <t xml:space="preserve">S04010</t>
  </si>
  <si>
    <t xml:space="preserve">3511 E 41ST</t>
  </si>
  <si>
    <t xml:space="preserve">PARK-A-BIKE SYSTEMS INC. (1990; SIC 3599)</t>
  </si>
  <si>
    <t xml:space="preserve">RAINBOW PRESS LTD. THE (1980) | PARK-A-BIKE SYSTEMS (1988)</t>
  </si>
  <si>
    <t xml:space="preserve">SELZEE INC [FRS; 25 m]</t>
  </si>
  <si>
    <t xml:space="preserve">S04025</t>
  </si>
  <si>
    <t xml:space="preserve">1717 S ACOMA</t>
  </si>
  <si>
    <t xml:space="preserve">SACHS-LAWLOR CO (1980-1990; SIC 3469,3953)</t>
  </si>
  <si>
    <t xml:space="preserve">SACHS-LAWLOR CO (1980)</t>
  </si>
  <si>
    <t xml:space="preserve">ARTCRAFT SIGN CO. [FRS] (address match)</t>
  </si>
  <si>
    <t xml:space="preserve">NCS Acoma [CDPHE Solid_Waste_Facilities; 74 m]</t>
  </si>
  <si>
    <t xml:space="preserve">HOLCIM-WCR INC - BANNOCK</t>
  </si>
  <si>
    <t xml:space="preserve">S04027</t>
  </si>
  <si>
    <t xml:space="preserve">1630 35TH ST</t>
  </si>
  <si>
    <t xml:space="preserve">SAMOUST PRODUCTS CO (1980-1983; SIC 2842,2421) | GLSON/MORTON ASSOCIATES D B A SAWDUST PR (1983; SIC 2842,2499,3999) | SAWDUST PRODUCTS INC D.B.A.-OLSON CO INC (1988; SIC 2499,2842,3999)</t>
  </si>
  <si>
    <t xml:space="preserve">SAMOUST PRODUCTS CO (1980) | GLSON/MORTON ASSOCIATES D B A SAWDUST PR (1983) | SAWDUST PRODUCTS INC D.B.A.-OLSON CO INC (1988)</t>
  </si>
  <si>
    <t xml:space="preserve">MOUNTAIN CEMENT CO [FRS; 13 m] | MOUNTAIN CEMENT CO [FRS] (address match)</t>
  </si>
  <si>
    <t xml:space="preserve">S04037</t>
  </si>
  <si>
    <t xml:space="preserve">4500 CHERRY CREEK OR</t>
  </si>
  <si>
    <t xml:space="preserve">STEARNS-ROGER MANUFACTURERS INC (1980; SIC 3569)</t>
  </si>
  <si>
    <t xml:space="preserve">STEARNS-ROGER MANUFACTURERS INC (1980)</t>
  </si>
  <si>
    <t xml:space="preserve">CDPHE MERCURY [FRS; 58 m]</t>
  </si>
  <si>
    <t xml:space="preserve">S04043</t>
  </si>
  <si>
    <t xml:space="preserve">3960 HIGH ST</t>
  </si>
  <si>
    <t xml:space="preserve">TALENT ENTERPRISE INC (1980-1990; SIC 3079,3599,3531) | SANILOGICAL CORPORATION (1983; SIC 3589)</t>
  </si>
  <si>
    <t xml:space="preserve">TALENT ENTERPRISE INC (1980) | SANILOGICAL CORPORATION (1983) | AMBER WIPING RAG CO &lt; (1990)</t>
  </si>
  <si>
    <t xml:space="preserve">TALENT ENTERPRISE INC [FRS; name match, 24 m] | TALENT ENTERPRISE INC [FRS] (address match)</t>
  </si>
  <si>
    <t xml:space="preserve">TALENT ENTERPRISE INC</t>
  </si>
  <si>
    <t xml:space="preserve">S04044</t>
  </si>
  <si>
    <t xml:space="preserve">4748 ELAT ST NO 10</t>
  </si>
  <si>
    <t xml:space="preserve">TB MACHINE ¢ ENGINEERING (1980; SIC 3599)</t>
  </si>
  <si>
    <t xml:space="preserve">TB MACHINE ¢ ENGINEERING (1980)</t>
  </si>
  <si>
    <t xml:space="preserve">ARGO SMELTER [FRS; 174 m] | Gaines Family [CDPHE Voluntary_Cleanup_and_Redevelopment_Program_(VCUP)_new; 220 m] | Vasquez/VAS [CDPHE CDPHE Superfund] (inside site boundary)</t>
  </si>
  <si>
    <t xml:space="preserve">WM CURBSIDE [FRS; 1 m] | R &amp; E AUTO BODY INC [CDPHE RCRA; 4 m] | VASQUEZ BLVD/INTERSTATE 70 SUPERFUND SITE OPERABLE UNIT 3 [FRS; 112 m] | VASQUEZ BLVD/INTERSTATE 70 SUPERFUND SITE OPERABLE UNIT 3 [CDPHE RCRA; 112 m] | SHORELINE COMPRESSION INC [CDPHE RCRA; 112 m] | ROCLA CONCRETE TIE INC [CDPHE RCRA; 112 m] | IDEATIONS INC [CDPHE RCRA; 112 m] | AAA WATERPROFFING INCORPORATED [CDPHE RCRA; 112 m] | </t>
  </si>
  <si>
    <t xml:space="preserve">PEABERRY COFFEE LTD [FRS; 1 m] | DENVER WATER BOARD NEW POTABLE PIPE SUPERCHLORINATION [FRS; 123 m] | ELECTRONIC RECYCLERS DENVER [FRS; 133 m] | GREEN SOL CHEMICAL CORPORATE OFFICE [FRS; 141 m] | GREEN SOLUTION CHEMICAL [FRS; 141 m] | WESTECH MECHANICAL [FRS; 151 m]</t>
  </si>
  <si>
    <t xml:space="preserve">ARGO SMELTER</t>
  </si>
  <si>
    <t xml:space="preserve">WM CURBSIDE</t>
  </si>
  <si>
    <t xml:space="preserve">S04047</t>
  </si>
  <si>
    <t xml:space="preserve">5975 N WASHINGTON</t>
  </si>
  <si>
    <t xml:space="preserve">THOMASON PIPE ¢ STEEL CO (1980-1988; SIC 3317,3443)</t>
  </si>
  <si>
    <t xml:space="preserve">THOMASON PIPE ¢ STEEL CO (1980)</t>
  </si>
  <si>
    <t xml:space="preserve">TIMPTE INC [FRS; 13 m] | Cryenco I [CDPHE Voluntary_Cleanup_and_Redevelopment_Program_(VCUP)_new; 50 m] | Cryenco II [CDPHE Voluntary_Cleanup_and_Redevelopment_Program_(VCUP)_new; 50 m] | Northwest Pipe Company [CDPHE Voluntary_Cleanup_and_Redevelopment_Program_(VCUP)_new; 162 m]</t>
  </si>
  <si>
    <t xml:space="preserve">CHART INC DENVER [FRS; 48 m] | CHART INC DENVER [TRI; 88 m]</t>
  </si>
  <si>
    <t xml:space="preserve">KEBAR LLC [FRS; 6 m] | DP MEDIA NETWORK - THE DENVER POST [FRS; 13 m] | CHART DENVER WEST PLANT [FRS; 13 m] | DOD DCASMA DENVER/CHAPARRAL IND [FRS; 41 m] | ARAMSCO INC [FRS; 41 m] | WESTERN AERO REPAIR INC [FRS; 48 m] | PROVISION INC [FRS; 48 m] | AUTO PAINT SUPPLY [FRS; 59 m] | ARAMSCO INC [CDPHE RCRA; 78 m] | WESTERN AERO REPAIR INC [CDPHE RCRA; 94 m] | JT'S AUTO BODY INC [FRS; 135 m] | UNITED W</t>
  </si>
  <si>
    <t xml:space="preserve">DENVER POST [FRS; 13 m] | CHART STORAGE SYSTEMS - DENVER, INC [FRS; 48 m] | MILE HI METAL FOUNDRY [FRS; 119 m] | PIVOT DENVER (DENVER MERCHANDISE MART REDEVELOPMENT) [FRS; 236 m]</t>
  </si>
  <si>
    <t xml:space="preserve">TIMPTE INC</t>
  </si>
  <si>
    <t xml:space="preserve">KEBAR LLC</t>
  </si>
  <si>
    <t xml:space="preserve">S04052</t>
  </si>
  <si>
    <t xml:space="preserve">4211 STEELE</t>
  </si>
  <si>
    <t xml:space="preserve">US CONTAINER CORP (1980; SIC 2448,2441,3531)</t>
  </si>
  <si>
    <t xml:space="preserve">US CONTAINER CORP (1980) | SAFEWAY STORES INC ICE CREAM (1990)</t>
  </si>
  <si>
    <t xml:space="preserve">GFL ENVORNMENTAL [FRS; 19 m]</t>
  </si>
  <si>
    <t xml:space="preserve">GENUINE PARTS COMPANY-NORTHEAST SHOP</t>
  </si>
  <si>
    <t xml:space="preserve">S04452</t>
  </si>
  <si>
    <t xml:space="preserve">9760 11 WHEELING ST</t>
  </si>
  <si>
    <t xml:space="preserve">BS + E PLASTICS INC (1983; SIC 3079)</t>
  </si>
  <si>
    <t xml:space="preserve">BS + E PLASTICS INC (1983)</t>
  </si>
  <si>
    <t xml:space="preserve">Stanley Aviation Residential Parcels [CDPHE Voluntary_Cleanup_and_Redevelopment_Program_(VCUP)_new; 217 m] | Stanley Aviation Marketplace [CDPHE Voluntary_Cleanup_and_Redevelopment_Program_(VCUP)_new; 217 m] | Stanley Marketplace II [CDPHE Voluntary_Cleanup_and_Redevelopment_Program_(VCUP)_new; 217 m] | Stanley Aviation Residential II [CDPHE Voluntary_Cleanup_and_Redevelopment_Program_(VCUP)_new; </t>
  </si>
  <si>
    <t xml:space="preserve">CLASSIC COLLISION - 1977 - EAST COLFAX [CDPHE RCRA; 199 m] | JABIL HEALTHCARE [CDPHE RCRA; 199 m] | LOWRY-DAYTON LAUNDROMAT [FRS; 225 m]</t>
  </si>
  <si>
    <t xml:space="preserve">TONY ORNSBY RESIDENCE [FRS; 65 m] | FALCON APARTMENTS [FRS; 94 m] | 1000 DAYTON APARTMENTS [FRS; 181 m]</t>
  </si>
  <si>
    <t xml:space="preserve">Stanley Aviation Residential Parcels</t>
  </si>
  <si>
    <t xml:space="preserve">CLASSIC COLLISION - 1977 - EAST COLFAX</t>
  </si>
  <si>
    <t xml:space="preserve">S04457</t>
  </si>
  <si>
    <t xml:space="preserve">1301 E 58TH UNIT D0</t>
  </si>
  <si>
    <t xml:space="preserve">DEL©CO STAINLESS INC (1983-1990; SIC 3441) | WALKER TRUCK BODIES (1990; SIC 3799,3792,3715)</t>
  </si>
  <si>
    <t xml:space="preserve">DEL©CO STAINLESS INC (1983) | WALKER TRUCK BODIES (1990)</t>
  </si>
  <si>
    <t xml:space="preserve">CLASSIC METALS [FRS; 34 m]</t>
  </si>
  <si>
    <t xml:space="preserve">JIMS REPAIR [FRS; 1 m] | FREELANCE AUTOBODY AND PAINT [FRS; 1 m] | LOFINGS AUTO BODY [FRS; 1 m] | DENVER ELECTRIC MOTOR [FRS; 14 m]</t>
  </si>
  <si>
    <t xml:space="preserve">S04509</t>
  </si>
  <si>
    <t xml:space="preserve">2075 S VALENTIA</t>
  </si>
  <si>
    <t xml:space="preserve">H M WARREN CO. (1983; SIC 3861) | LANE MANUFACTURING INC. (1990; SIC 3523,3841)</t>
  </si>
  <si>
    <t xml:space="preserve">H M WARREN CO. (1983) | LANE MANUFACTURING INC. (1990)</t>
  </si>
  <si>
    <t xml:space="preserve">2115 S. Valentia II [CDPHE Voluntary_Cleanup_and_Redevelopment_Program_(VCUP)_new; 14 m] | 2115 S. Valentia [CDPHE Voluntary_Cleanup_and_Redevelopment_Program_(VCUP)_new; 14 m]</t>
  </si>
  <si>
    <t xml:space="preserve">THE GREEN MONSTER RECYCLING [CDPHE RCRA; 21 m]</t>
  </si>
  <si>
    <t xml:space="preserve">S04512</t>
  </si>
  <si>
    <t xml:space="preserve">3041 SEKRAMERIA ST</t>
  </si>
  <si>
    <t xml:space="preserve">NOW DEVICES INC. (1983; SIC 3622,3714,3674)</t>
  </si>
  <si>
    <t xml:space="preserve">NOW DEVICES INC. (1983)</t>
  </si>
  <si>
    <t xml:space="preserve">COUCH [FRS; 224 m]</t>
  </si>
  <si>
    <t xml:space="preserve">GOODWILL INDUSTRIES OF DENVER [CDPHE RCRA; 114 m]</t>
  </si>
  <si>
    <t xml:space="preserve">DPS HALLETT [FRS; 242 m]</t>
  </si>
  <si>
    <t xml:space="preserve">COUCH</t>
  </si>
  <si>
    <t xml:space="preserve">GOODWILL INDUSTRIES OF DENVER</t>
  </si>
  <si>
    <t xml:space="preserve">S04716</t>
  </si>
  <si>
    <t xml:space="preserve">5400 LINCOLN</t>
  </si>
  <si>
    <t xml:space="preserve">B.OeSeSe COMPOSTS INC. (1983-1988; SIC 2875)</t>
  </si>
  <si>
    <t xml:space="preserve">B.OeSeSe COMPOSTS INC. (1983)</t>
  </si>
  <si>
    <t xml:space="preserve">United Drywall II [CDPHE Voluntary_Cleanup_and_Redevelopment_Program_(VCUP)_new; 8 m] | United Drywall I [CDPHE Voluntary_Cleanup_and_Redevelopment_Program_(VCUP)_new; 8 m] | ASARCO GLOBEVILLE [CDPHE CDPHE Superfund] (inside site boundary)</t>
  </si>
  <si>
    <t xml:space="preserve">United Drywall II</t>
  </si>
  <si>
    <t xml:space="preserve">KARMA CHAMELEON</t>
  </si>
  <si>
    <t xml:space="preserve">S04719</t>
  </si>
  <si>
    <t xml:space="preserve">3911 INCA ST</t>
  </si>
  <si>
    <t xml:space="preserve">BILT RITE METAL PRODUCTS (1983; SIC 2514,2599,3444)</t>
  </si>
  <si>
    <t xml:space="preserve">BILT RITE METAL PRODUCTS (1983)</t>
  </si>
  <si>
    <t xml:space="preserve">TEXACO USA A DIVISION OF TEXACO INC</t>
  </si>
  <si>
    <t xml:space="preserve">38TH &amp; INCA STREET</t>
  </si>
  <si>
    <t xml:space="preserve">S04726</t>
  </si>
  <si>
    <t xml:space="preserve">4770 FOREST ST</t>
  </si>
  <si>
    <t xml:space="preserve">CARPENTER COes Es Re (1983; SIC 3079)</t>
  </si>
  <si>
    <t xml:space="preserve">CARPENTER COes Es Re (1983)</t>
  </si>
  <si>
    <t xml:space="preserve">CHEVRON USA INC DENVER PLANT [FRS; 65 m]</t>
  </si>
  <si>
    <t xml:space="preserve">ROOF DEPOT [FRS; 19 m]</t>
  </si>
  <si>
    <t xml:space="preserve">ROOF DEPOT</t>
  </si>
  <si>
    <t xml:space="preserve">S04727</t>
  </si>
  <si>
    <t xml:space="preserve">2145 S PLATTE RIV OR</t>
  </si>
  <si>
    <t xml:space="preserve">CENTENNIAL GLASS (1983; SIC 3442)</t>
  </si>
  <si>
    <t xml:space="preserve">CENTENNIAL GLASS (1983)</t>
  </si>
  <si>
    <t xml:space="preserve">EVANS CATALYTIC SITE [FRS; 134 m]</t>
  </si>
  <si>
    <t xml:space="preserve">J D GRANT INCORPORATED [FRS; 172 m]</t>
  </si>
  <si>
    <t xml:space="preserve">DIP IN  STRIP [FRS; 10 m] | ABLYSS LLC - UPHOLSTRY AND REFINISHING [FRS; 74 m] | BILL BENSON AND ASSOCIATES [FRS; 97 m] | A-C TRANMISSION CENTER SO INC [FRS; 115 m] | DIAMOND PAINT &amp; AUTOBODY [FRS; 117 m] | CLASSIC COLLISION - HIGHLAND SOUTH 1928  [CDPHE RCRA; 122 m] | PLATINUM AUTO BODY INC [CDPHE RCRA; 122 m] | PPG ARCHITECTURAL FINISHES INC PPG PAINTS STORE #8028 [CDPHE RCRA; 122 m] | SHERWIN-W</t>
  </si>
  <si>
    <t xml:space="preserve">BEACON PRINTING INC [FRS; 28 m] | AMERICA WEST PRINTING CORP [FRS; 74 m] | THE TURBO PRESS [FRS; 88 m] | OPTIKEM INTL [FRS; 111 m] | GRAVINA SIDING &amp; WINDOWS [FRS; 115 m] | PASQUINELS LANDING PARK [FRS; 134 m] | QUIKTRIP 4220 [FRS; 151 m] | SMOKE RANCH [FRS; 152 m] | BLUE RIBBON AUTO BODY, INC. [FRS; 193 m] | ABLE SIGN CO INC [FRS; 196 m] | CANADY CONSTRUCTION [FRS; 216 m] | INSTALL APPROX 1800 FT</t>
  </si>
  <si>
    <t xml:space="preserve">J D GRANT INCORPORATED</t>
  </si>
  <si>
    <t xml:space="preserve">DIP IN  STRIP</t>
  </si>
  <si>
    <t xml:space="preserve">S04741</t>
  </si>
  <si>
    <t xml:space="preserve">5000 E COLFAX</t>
  </si>
  <si>
    <t xml:space="preserve">CONDOR FABRICATING INC. (1983; SIC 3442,3799)</t>
  </si>
  <si>
    <t xml:space="preserve">CONDOR FABRICATING INC. (1983)</t>
  </si>
  <si>
    <t xml:space="preserve">5010 E. Colfax, LLC [CDPHE Voluntary_Cleanup_and_Redevelopment_Program_(VCUP)_new; 16 m]</t>
  </si>
  <si>
    <t xml:space="preserve">DENVER AUTOBODY &amp; PAINT INC [FRS; 26 m]</t>
  </si>
  <si>
    <t xml:space="preserve">5010 E. Colfax, LLC</t>
  </si>
  <si>
    <t xml:space="preserve">DENVER AUTOBODY &amp; PAINT INC</t>
  </si>
  <si>
    <t xml:space="preserve">S04742</t>
  </si>
  <si>
    <t xml:space="preserve">2750 BLAKE ST</t>
  </si>
  <si>
    <t xml:space="preserve">CONVEYING INDUSTRIES INC (1983; SIC 3559,3535) | ABUSES inc (1988; SIC 3538,3559)</t>
  </si>
  <si>
    <t xml:space="preserve">CONVEYING INDUSTRIES INC (1983) | ABUSES inc (1988)</t>
  </si>
  <si>
    <t xml:space="preserve">Blake Street Condominiums [CDPHE Voluntary_Cleanup_and_Redevelopment_Program_(VCUP)_new; 22 m] | Formative Site II [CDPHE Voluntary_Cleanup_and_Redevelopment_Program_(VCUP)_new; 33 m] | Formativ Site [CDPHE Voluntary_Cleanup_and_Redevelopment_Program_(VCUP)_new; 33 m] | 2763 Blake Street [CDPHE Institutional_Controls_PROD_local; 70 m] | Blake Street Condominiums [CDPHE Voluntary_Cleanup_and_Redeve</t>
  </si>
  <si>
    <t xml:space="preserve">A. R. WILFLEY AND SONS, INC. [FRS; 68 m]</t>
  </si>
  <si>
    <t xml:space="preserve">A R WILFLEY AND SONS INC [FRS; 37 m] | A R WILFLEY AND SONS INC [FRS] (address match)</t>
  </si>
  <si>
    <t xml:space="preserve">Blake Street Condominiums</t>
  </si>
  <si>
    <t xml:space="preserve">S04743</t>
  </si>
  <si>
    <t xml:space="preserve">4877 NATIONAL WESTERN DR</t>
  </si>
  <si>
    <t xml:space="preserve">PUBLISHERS COUNTER TOPS LM (1988; SIC 2841) | MID AMERICA PLATING INC (1990; SIC 3471)</t>
  </si>
  <si>
    <t xml:space="preserve">COUNTER TOPS I-M (1983) | PUBLISHERS COUNTER TOPS LM (1988) | MID AMERICA PLATING INC (1990)</t>
  </si>
  <si>
    <t xml:space="preserve">PEPCOL MANUFACTURING CO [TRI; 27 m] | MID AMERICA PLATING [FRS] (address match) | MID AMERICA PLATING INC [TRI] (address match)</t>
  </si>
  <si>
    <t xml:space="preserve">LE MOUTON OFFICE PARK &amp; WAREHOUSE [FRS] (address match)</t>
  </si>
  <si>
    <t xml:space="preserve">NATIONAL WESTERN DEMOLITION PACKAGE 4 AREA 1 [FRS] (address match) | NWC 3.06 [FRS] (address match)</t>
  </si>
  <si>
    <t xml:space="preserve">PEPCOL MANUFACTURING CO</t>
  </si>
  <si>
    <t xml:space="preserve">HELLER &amp; KATZ</t>
  </si>
  <si>
    <t xml:space="preserve">S04745</t>
  </si>
  <si>
    <t xml:space="preserve">1801 W 13TH AVE</t>
  </si>
  <si>
    <t xml:space="preserve">DENVER BULLETS INC. (1983-1990; SIC 3482)</t>
  </si>
  <si>
    <t xml:space="preserve">DENVER BULLETS INC. (1983)</t>
  </si>
  <si>
    <t xml:space="preserve">Multi-Contractos, Inc.  II [CDPHE Voluntary_Cleanup_and_Redevelopment_Program_(VCUP)_new; 16 m] | Multi-Contractor Site [CDPHE Voluntary_Cleanup_and_Redevelopment_Program_(VCUP)_new; 16 m]</t>
  </si>
  <si>
    <t xml:space="preserve">Multi-Contractos, Inc.  II</t>
  </si>
  <si>
    <t xml:space="preserve">CAROLYN B SAMUALS PROPERTY</t>
  </si>
  <si>
    <t xml:space="preserve">S04773</t>
  </si>
  <si>
    <t xml:space="preserve">3915 HIGH ST</t>
  </si>
  <si>
    <t xml:space="preserve">KOOL VENT AWNING CO (1983-1992; SIC 3444,3231,2591)</t>
  </si>
  <si>
    <t xml:space="preserve">KOOL VENT AWNING CO (1983)</t>
  </si>
  <si>
    <t xml:space="preserve">P2P AREA 1 DEMOLITION [FRS; 29 m]</t>
  </si>
  <si>
    <t xml:space="preserve">S04796</t>
  </si>
  <si>
    <t xml:space="preserve">1410 S SANTA FE DR</t>
  </si>
  <si>
    <t xml:space="preserve">MONARCH SHOWER DOOR INC (1983; SIC 3231,3431,2514)</t>
  </si>
  <si>
    <t xml:space="preserve">MONARCH SHOWER DOOR INC (1983)</t>
  </si>
  <si>
    <t xml:space="preserve">Foothills Lighting [CDPHE Voluntary_Cleanup_and_Redevelopment_Program_(VCUP)_new; 28 m]</t>
  </si>
  <si>
    <t xml:space="preserve">LUNDQUIST PARTNERS LLC [FRS; 36 m]</t>
  </si>
  <si>
    <t xml:space="preserve">LUNDQUIST PARTNERS LLC</t>
  </si>
  <si>
    <t xml:space="preserve">S04808</t>
  </si>
  <si>
    <t xml:space="preserve">3001 BRIGHTON BLVD</t>
  </si>
  <si>
    <t xml:space="preserve">PAUL*S CUSTOM GRINDING SERVICE (1983; SIC 3519)</t>
  </si>
  <si>
    <t xml:space="preserve">PAUL*S CUSTOM GRINDING SERVICE (1983)</t>
  </si>
  <si>
    <t xml:space="preserve">Industry Denver II [CDPHE Voluntary_Cleanup_and_Redevelopment_Program_(VCUP)_new; 21 m] | The Edison [CDPHE Voluntary_Cleanup_and_Redevelopment_Program_(VCUP)_new; 44 m] | 2900 Brighton Blvd. [CDPHE Voluntary_Cleanup_and_Redevelopment_Program_(VCUP)_new; 58 m] | USHAN Brighton Property Owner, LLC [CDPHE Voluntary_Cleanup_and_Redevelopment_Program_(VCUP)_new; 58 m] | Industry Denver II [CDPHE Volun</t>
  </si>
  <si>
    <t xml:space="preserve">INDUSTRY APARTMENTS [FRS; 33 m] | PRESCIENT CO., INC. [FRS; 33 m] | HRM ENTERPRISES INC [FRS; 33 m] | GET ON THE GO CONVENIENCE [FRS; 33 m] | INDUSTRY PH 3 OFFICE AND PARKING GARAGE [FRS] (address match)</t>
  </si>
  <si>
    <t xml:space="preserve">Industry Denver II</t>
  </si>
  <si>
    <t xml:space="preserve">METRO TAXI INCORPORATED</t>
  </si>
  <si>
    <t xml:space="preserve">S04810</t>
  </si>
  <si>
    <t xml:space="preserve">5131 RACE CT</t>
  </si>
  <si>
    <t xml:space="preserve">PLASTMOLD INC (1983-1990; SIC 3079) | FRYE COPY SYSTEMS (1988; SIC 3089,3955,3500) | OMEGA MOLD INC (1988-1990; SIC 3089) | NER DATA PRODUCTS (1990; SIC 3089,3955)</t>
  </si>
  <si>
    <t xml:space="preserve">PLASTMOLD INC (1983) | FRYE COPY SYSTEMS (1988) | OMEGA MOLD INC (1988) | NER DATA PRODUCTS (1990)</t>
  </si>
  <si>
    <t xml:space="preserve">NER DATA PRODUCTS INC [TRI; name match, 91 m] | NER DATA PRODUCTS INC [FRS; name match, 120 m] | CINTAS CORP NO. 2 [FRS; 15 m] | COLORADO PREMIUM RACE COURT [FRS; 78 m]</t>
  </si>
  <si>
    <t xml:space="preserve">NATIONAL WESTERN CENTER [FRS; 9 m] | CINTAS CORPORATION NO. 2 [FRS; 15 m] | NATIONAL WESTERN CENTER T2 03 AREA 2 DEMOLITION [FRS] (address match)</t>
  </si>
  <si>
    <t xml:space="preserve">CINTAS CORP NO. 2</t>
  </si>
  <si>
    <t xml:space="preserve">ROCKY MOUNTAIN PIPE</t>
  </si>
  <si>
    <t xml:space="preserve">S04832</t>
  </si>
  <si>
    <t xml:space="preserve">4295 INCA ST</t>
  </si>
  <si>
    <t xml:space="preserve">SATURN INDUSTRIES LTD (1983-1988; SIC 3444)</t>
  </si>
  <si>
    <t xml:space="preserve">SATURN INDUSTRIES LTD (1983)</t>
  </si>
  <si>
    <t xml:space="preserve">DENVER BEER COMPANY</t>
  </si>
  <si>
    <t xml:space="preserve">CRUISIN CUISINE</t>
  </si>
  <si>
    <t xml:space="preserve">S04841</t>
  </si>
  <si>
    <t xml:space="preserve">3300 E 43RD AVE</t>
  </si>
  <si>
    <t xml:space="preserve">SLOANS TRANSMISSION PARTS INC (1983-1990; SIC 3714)</t>
  </si>
  <si>
    <t xml:space="preserve">SLOANS TRANSMISSION PARTS INC (1983)</t>
  </si>
  <si>
    <t xml:space="preserve">GENUINE PARTS COMPANY-NORTHEAST SHOP [FRS; 29 m]</t>
  </si>
  <si>
    <t xml:space="preserve">TOP SHOP INC. [FRS; 24 m]</t>
  </si>
  <si>
    <t xml:space="preserve">S04844</t>
  </si>
  <si>
    <t xml:space="preserve">3115 E 40TH AVE 2</t>
  </si>
  <si>
    <t xml:space="preserve">80208</t>
  </si>
  <si>
    <t xml:space="preserve">SERVICES SPECTROGRAPHICS INC (1988; SIC 2675,2752,3577)</t>
  </si>
  <si>
    <t xml:space="preserve">SPECTROGRAPHICSs INC. (1983) | SERVICES SPECTROGRAPHICS INC (1988) | JP GRAPHICS (1990) | LANGE GRAPHICS INC (1990)</t>
  </si>
  <si>
    <t xml:space="preserve">NABISCO BRANDS INC [FRS; 11 m]</t>
  </si>
  <si>
    <t xml:space="preserve">ABEGG PRINTING CO [FRS; 38 m]</t>
  </si>
  <si>
    <t xml:space="preserve">NABISCO BRANDS INC</t>
  </si>
  <si>
    <t xml:space="preserve">S04852</t>
  </si>
  <si>
    <t xml:space="preserve">4785 ELATI ST 19</t>
  </si>
  <si>
    <t xml:space="preserve">T B MACHINE + ENGINEERING (1983; SIC 3469)</t>
  </si>
  <si>
    <t xml:space="preserve">T B MACHINE + ENGINEERING (1983)</t>
  </si>
  <si>
    <t xml:space="preserve">R &amp; E AUTO BODY INC</t>
  </si>
  <si>
    <t xml:space="preserve">S04855</t>
  </si>
  <si>
    <t xml:space="preserve">6701 STAPLETON DR</t>
  </si>
  <si>
    <t xml:space="preserve">THERMO TECH INCORPORATED (1983-1990; SIC 3494)</t>
  </si>
  <si>
    <t xml:space="preserve">THERMO TECH INCORPORATED (1983)</t>
  </si>
  <si>
    <t xml:space="preserve">PASSPORT FOODS [FRS; 5 m] | ABUNDANT FOODS LLC [FRS; 5 m]</t>
  </si>
  <si>
    <t xml:space="preserve">3M BUSINESS PRODUCTS SALES CENTER</t>
  </si>
  <si>
    <t xml:space="preserve">S05535</t>
  </si>
  <si>
    <t xml:space="preserve">4248 MORRISON RD</t>
  </si>
  <si>
    <t xml:space="preserve">A-L-P CHROME SHOP (1988; SIC 3471,3479,3751)</t>
  </si>
  <si>
    <t xml:space="preserve">A-L-P CHROME SHOP (1988)</t>
  </si>
  <si>
    <t xml:space="preserve">Rocky Mountain Imports II [CDPHE Voluntary_Cleanup_and_Redevelopment_Program_(VCUP)_new; 25 m] | Rocky Mountain Imports I [CDPHE Voluntary_Cleanup_and_Redevelopment_Program_(VCUP)_new; 25 m]</t>
  </si>
  <si>
    <t xml:space="preserve">CALIBER BODYWORKS  - WEST DENVER 0804 [FRS; 14 m] | KAHNS AUTO WRECKING [FRS; 25 m] | A&amp;A VICS AUTO [FRS; 25 m]</t>
  </si>
  <si>
    <t xml:space="preserve">CALIBER BODYWORKS  - WEST DENVER 0804</t>
  </si>
  <si>
    <t xml:space="preserve">S05536</t>
  </si>
  <si>
    <t xml:space="preserve">1221 E 56TH AVE</t>
  </si>
  <si>
    <t xml:space="preserve">ACCENT WINDOW PRODUCTS INC (1988-1992; SIC 3231,3442)</t>
  </si>
  <si>
    <t xml:space="preserve">ACCENT WINDOW PRODUCTS INC (1988)</t>
  </si>
  <si>
    <t xml:space="preserve">1 ACCENT WINDOWS [FRS; name match, 186 m]</t>
  </si>
  <si>
    <t xml:space="preserve">ACCENT WINDOW INC [FRS; name match, 51 m] | ACCENT WINDOW INC [FRS; name match, 81 m] | ACCENT WINDOW INC [FRS] (address match)</t>
  </si>
  <si>
    <t xml:space="preserve">1 ACCENT WINDOWS</t>
  </si>
  <si>
    <t xml:space="preserve">S05539</t>
  </si>
  <si>
    <t xml:space="preserve">5250 N SHERMAN ST</t>
  </si>
  <si>
    <t xml:space="preserve">BEXSNGE BOM (1988; SIC 2679,3089,3296) | ADVANCE FOAM PLASTICS INC (1990; SIC 2679,3089,3296)</t>
  </si>
  <si>
    <t xml:space="preserve">BEXSNGE BOM (1988) | ADVANCE FOAM PLASTICS INC (1990)</t>
  </si>
  <si>
    <t xml:space="preserve">BORDEN INC [FRS; 107 m] | JOHNS MOBILE WASH INC [FRS; 125 m] | J &amp; A'S PAINTING SERVICE [FRS; 162 m] | RESCO INC [FRS; 163 m] | ALLIED BUILDING PRODUCTS CORP [FRS; 163 m] | CDOT PROJ # IRD E 25-2-242 [FRS; 204 m] | ALPHA INSULATION &amp; WATERPROOFING INC [FRS; 204 m] | CCH GLENARM/LINCOLN, INC./GLENA [CDPHE RCRA; 217 m] | GARDEN PLACE ELEMENTARY SCHOOL [CDPHE RCRA; 217 m]</t>
  </si>
  <si>
    <t xml:space="preserve">ACH FOAM TECHNOLOGIES [FRS; 37 m] | ATLAS MOLDED PRODUCTS [FRS; 65 m] | ACCENT WINDOWS PRODUCTS INC [FRS; 147 m] | LARADON CAMPUS [FRS; 167 m] | LARADON HALL-ADMINISTRATION AND SCHOOL [FRS; 167 m] | GORMAN LARADON PHASE III (THE STELLA) [FRS; 208 m] | NORTH METRO LINE SEGMENT 1 [FRS; 220 m] | ATLAS MOLDED PRODUCTS [FRS] (address match)</t>
  </si>
  <si>
    <t xml:space="preserve">BORDEN INC</t>
  </si>
  <si>
    <t xml:space="preserve">S05553</t>
  </si>
  <si>
    <t xml:space="preserve">8200 E PACIFIC PL</t>
  </si>
  <si>
    <t xml:space="preserve">ARCHITECTURAL SIGNS (1988-1990; SIC 3363,3449,3499)</t>
  </si>
  <si>
    <t xml:space="preserve">ARCHITECTURAL SIGNS (1988) | RLM BUILDING CO INC (1990)</t>
  </si>
  <si>
    <t xml:space="preserve">SILVER ANVIL ENGINEERING CORP [FRS; 54 m]</t>
  </si>
  <si>
    <t xml:space="preserve">Rozco LLC dba Genesis Electronics Recycling of CO [CDPHE Solid_Waste_Facilities; 14 m]</t>
  </si>
  <si>
    <t xml:space="preserve">SILVER ANVIL ENGINEERING CORP</t>
  </si>
  <si>
    <t xml:space="preserve">S05554</t>
  </si>
  <si>
    <t xml:space="preserve">1111 W EXPOSITION AVE</t>
  </si>
  <si>
    <t xml:space="preserve">ARCTURUS SKYLIGHTS (1988-1990; SIC 3089)</t>
  </si>
  <si>
    <t xml:space="preserve">ARCTURUS SKYLIGHTS (1988)</t>
  </si>
  <si>
    <t xml:space="preserve">728 S. Lipan [CDPHE Voluntary_Cleanup_and_Redevelopment_Program_(VCUP)_new; 55 m]</t>
  </si>
  <si>
    <t xml:space="preserve">S05562</t>
  </si>
  <si>
    <t xml:space="preserve">1660 LINCOLN STE1680</t>
  </si>
  <si>
    <t xml:space="preserve">80264</t>
  </si>
  <si>
    <t xml:space="preserve">BENTEK (1988; SIC 2741,3480)</t>
  </si>
  <si>
    <t xml:space="preserve">BENTEK (1988) | KERN PRESS INC (1988) | SEISMOGRAPHY SENIOR EDITION (1988) | SENIOR EDITION (1990)</t>
  </si>
  <si>
    <t xml:space="preserve">Lincoln Center [CDPHE Voluntary_Cleanup_and_Redevelopment_Program_(VCUP)_new; 7 m]</t>
  </si>
  <si>
    <t xml:space="preserve">KERN PRESS DBA COPY BOY PRINTING [FRS; name match, 28 m] | SENIOR EDITION (OUT OF BUSINESS 12/1995) [FRS; name match, 28 m] | PICEANCE BASIN - REG 7 &amp; OOOO REPORTING [FRS; 28 m]</t>
  </si>
  <si>
    <t xml:space="preserve">Lincoln Center</t>
  </si>
  <si>
    <t xml:space="preserve">TEXACO TRUCKING INC.</t>
  </si>
  <si>
    <t xml:space="preserve">S05563</t>
  </si>
  <si>
    <t xml:space="preserve">881 E 57TH AVE</t>
  </si>
  <si>
    <t xml:space="preserve">BEV-CO (1988-1990; SIC 2087,2813,3889)</t>
  </si>
  <si>
    <t xml:space="preserve">BEV-CO (1988)</t>
  </si>
  <si>
    <t xml:space="preserve">IRON WOMAN CONSTRUCTION &amp; ENVIRONMENTAL SERVICES LLC [FRS; 17 m] | BENSONS ROLL-OFF [FRS; 17 m] | ENVIRONMENTAL RESOURCE TECHNOLOGIES LLC [FRS; 17 m]</t>
  </si>
  <si>
    <t xml:space="preserve">MOUNTAIN STEEL &amp; SUPPLY COMPANY [FRS; 17 m] | ALL PHASE COATINGS LLC. [FRS; 17 m]</t>
  </si>
  <si>
    <t xml:space="preserve">IRON WOMAN CONSTRUCTION &amp; ENVIRONMENTAL SERVICES LLC</t>
  </si>
  <si>
    <t xml:space="preserve">S05570</t>
  </si>
  <si>
    <t xml:space="preserve">4701 DAHLIA ST</t>
  </si>
  <si>
    <t xml:space="preserve">CHEMICAL+METAL INDUSTRIES INC (1988-1992; SIC 2819)</t>
  </si>
  <si>
    <t xml:space="preserve">CHEMICAL+METAL INDUSTRIES INC (1988)</t>
  </si>
  <si>
    <t xml:space="preserve">Chemical &amp; Metal Industries [CDPHE Voluntary_Cleanup_and_Redevelopment_Program_(VCUP)_new; name match, 21 m]</t>
  </si>
  <si>
    <t xml:space="preserve">CHEMICAL &amp; METAL INDUSTRIES INC [FRS; name match, 45 m] | CHEMICAL &amp; METAL INDUSTRIES INC [TRI; name match, 67 m] | CHEMICAL &amp; METAL INDUSTRIES INC [FRS] (address match) | CHEMICAL &amp; METAL INDUSTRIES INC [TRI] (address match)</t>
  </si>
  <si>
    <t xml:space="preserve">BAND-IT/IDEX INC [CDPHE RCRA; 4 m] | PETROCHEM INSULATION  [CDPHE RCRA; 4 m] | PATTERSON LOGISTICS SERVICES INC [CDPHE RCRA; 4 m] | SUNSHINE SUPPLY - DENVER CO  [CDPHE RCRA; 4 m] | PATTERSON LOGISTICS SERVICES INC [FRS; 4 m] | 3M ADVERTISING [FRS; 28 m]</t>
  </si>
  <si>
    <t xml:space="preserve">AD LITE SIGN CO. ...XA [FRS; 28 m]</t>
  </si>
  <si>
    <t xml:space="preserve">CHEMICAL &amp; METAL INDUSTRIES INC</t>
  </si>
  <si>
    <t xml:space="preserve">BAND-IT/IDEX INC</t>
  </si>
  <si>
    <t xml:space="preserve">S05583</t>
  </si>
  <si>
    <t xml:space="preserve">4435 INCA</t>
  </si>
  <si>
    <t xml:space="preserve">D+R HEAD+CASTING SERVICE INC (1988; SIC 3714,2065) | D+R HEAD + CASTING SERVICE INC (1990; SIC 3443)</t>
  </si>
  <si>
    <t xml:space="preserve">D+R HEAD+CASTING SERVICE INC (1988) | D+R HEAD + CASTING SERVICE INC (1990)</t>
  </si>
  <si>
    <t xml:space="preserve">D &amp; R HEAD &amp; CASTING SERVICE [FRS; name match, 9 m] | D &amp; R HEAD &amp; CASTING SERVICE [FRS] (address match)</t>
  </si>
  <si>
    <t xml:space="preserve">D &amp; R HEAD &amp; CASTING SERVICE</t>
  </si>
  <si>
    <t xml:space="preserve">S05591</t>
  </si>
  <si>
    <t xml:space="preserve">3845 MORRISON RD</t>
  </si>
  <si>
    <t xml:space="preserve">E+W MACHINE INC (1988; SIC 3714)</t>
  </si>
  <si>
    <t xml:space="preserve">E+W MACHINE INC (1988)</t>
  </si>
  <si>
    <t xml:space="preserve">ULC MORRISON RD DENVER [FRS; 33 m] | EL MERENDERO - EVENT CENTER [FRS; 40 m] | EL MERENDERO - VACANT LOT [FRS; 53 m] | Westwood Food Hub Site [CDPHE CDPHE Brownfield; 62 m]</t>
  </si>
  <si>
    <t xml:space="preserve">COLORADO CUSTOM AUTO BODY [FRS; 37 m]</t>
  </si>
  <si>
    <t xml:space="preserve">ULC MORRISON RD DENVER</t>
  </si>
  <si>
    <t xml:space="preserve">ENGINES UNLIMITED</t>
  </si>
  <si>
    <t xml:space="preserve">S05599</t>
  </si>
  <si>
    <t xml:space="preserve">5830 DOWNING UNIT D</t>
  </si>
  <si>
    <t xml:space="preserve">Primary batteries</t>
  </si>
  <si>
    <t xml:space="preserve">LITHOGRAPHIC 4 AXIS MACHINING (1988; SIC 3499) | PRECIOUS METALS H+H HEAT TREATING (1988; SIC 3269,3692,3822) | 4 AXIS MACHINING (1990; SIC 3599)</t>
  </si>
  <si>
    <t xml:space="preserve">LITHOGRAPHIC 4 AXIS MACHINING (1988) | PRECIOUS METALS H+H HEAT TREATING (1988) | 4 AXIS MACHINING (1990)</t>
  </si>
  <si>
    <t xml:space="preserve">52 AND EMERSON WATER QUALITY FACILITY AKA HERON POND [FRS; 39 m]</t>
  </si>
  <si>
    <t xml:space="preserve">RICKENBAUGH COLLISION REPAIR - NORTH</t>
  </si>
  <si>
    <t xml:space="preserve">S05601</t>
  </si>
  <si>
    <t xml:space="preserve">321 W 45TH AVE</t>
  </si>
  <si>
    <t xml:space="preserve">DENVER - DENVER 217 SRMBING Weta” (1988; SIC 3469,3844,3599) | FRONTIER METAL STAMPING INC (1990; SIC 3469,3544,3589)</t>
  </si>
  <si>
    <t xml:space="preserve">DENVER - DENVER 217 SRMBING Weta” (1988) | FRONTIER METAL STAMPING INC (1990)</t>
  </si>
  <si>
    <t xml:space="preserve">ENVIRONMENTAL DEMOLITION INC [FRS; 17 m] | REVOLUTION CLEANERS [FRS; 36 m] | ENVIRONMENTAL DEMOLITION INC [FRS] (address match)</t>
  </si>
  <si>
    <t xml:space="preserve">S05614</t>
  </si>
  <si>
    <t xml:space="preserve">4150 FOX ST UNIT A 2</t>
  </si>
  <si>
    <t xml:space="preserve">INNOVATIVE ELECTRONICS+COMPUTI (1988-1990; SIC 3571,3572,3677)</t>
  </si>
  <si>
    <t xml:space="preserve">INNOVATIVE ELECTRONICS+COMPUTI (1988)</t>
  </si>
  <si>
    <t xml:space="preserve">METAL TREATING RESEARCH CO [FRS; 32 m]</t>
  </si>
  <si>
    <t xml:space="preserve">METAL TREATING RESEARCH CO</t>
  </si>
  <si>
    <t xml:space="preserve">S05619</t>
  </si>
  <si>
    <t xml:space="preserve">5930 MARION DR</t>
  </si>
  <si>
    <t xml:space="preserve">KME CASE+MILLWORK (1988; SIC 2431,2841)</t>
  </si>
  <si>
    <t xml:space="preserve">KME CASE+MILLWORK (1988)</t>
  </si>
  <si>
    <t xml:space="preserve">KME CASE &amp; MILLWORK INC [FRS; name match, 4 m] | KME CASE &amp; MILLWORK INC [FRS] (address match)</t>
  </si>
  <si>
    <t xml:space="preserve">C W ELABORATIONS [FRS; 12 m]</t>
  </si>
  <si>
    <t xml:space="preserve">KME CASE &amp; MILLWORK INC</t>
  </si>
  <si>
    <t xml:space="preserve">S05638</t>
  </si>
  <si>
    <t xml:space="preserve">711 CHEROKEE</t>
  </si>
  <si>
    <t xml:space="preserve">WINDOWS METAL SALES MFG CORP (1988; SIC 3444)</t>
  </si>
  <si>
    <t xml:space="preserve">WINDOWS METAL SALES MFG CORP (1988)</t>
  </si>
  <si>
    <t xml:space="preserve">Alameda Station Light Rail Transit Plaza [CDPHE Voluntary_Cleanup_and_Redevelopment_Program_(VCUP)_new; 246 m]</t>
  </si>
  <si>
    <t xml:space="preserve">BROWNE BROTHERS PAINTING &amp; DECORATING INC [FRS; 64 m] | DENVER CENTER FOR INTERNATIONAL STUDIES [CDPHE RCRA; 140 m] | DENVER HEALTH &amp; HOSPITAL AUTHORITY [CDPHE RCRA; 148 m] | DENVER HEALTH &amp; HOSPITAL AUTHORITY - OUTPATIENT MEDICAL CENTER [FRS; 169 m] | CITY &amp; COUNTY - DENVER POLICE ADMIN BLDG [CDPHE RCRA; 174 m] | DENVER HEALTH &amp; HOSPITAL AUTHORITY - OUTPATIENT MEDICAL CENTER [CDPHE RCRA; 224 m] |</t>
  </si>
  <si>
    <t xml:space="preserve">THYRIA WILSON RESIDENCE [FRS; 76 m] | DENVER HEALTH OUTPATIENT MEDICAL CENTER [FRS; 169 m] | PAULINE MARTINEZ RESIDENCE [FRS; 185 m] | THE FORD [FRS; 218 m] | DPS BAKER [FRS; 235 m] | DENVER HEALTH &amp; HOSPITAL AUTHORITY MS4 [FRS; 236 m]</t>
  </si>
  <si>
    <t xml:space="preserve">BROWNE BROTHERS PAINTING &amp; DECORATING INC</t>
  </si>
  <si>
    <t xml:space="preserve">S05639</t>
  </si>
  <si>
    <t xml:space="preserve">1051 5 PLATTE RIV DR</t>
  </si>
  <si>
    <t xml:space="preserve">Chemicals; Industrial machinery; Rubber &amp; plastics; Transportation equipment</t>
  </si>
  <si>
    <t xml:space="preserve">METRON INSTRUMENTS (1988; SIC 3566,3714,3829) | RAINS-FLO MFG INC (1988; SIC 2819,3053,3569)</t>
  </si>
  <si>
    <t xml:space="preserve">METRON INSTRUMENTS (1988) | RAINS-FLO MFG INC (1988)</t>
  </si>
  <si>
    <t xml:space="preserve">1801 W. Colfax [CDPHE Voluntary_Cleanup_and_Redevelopment_Program_(VCUP)_new; 161 m] | 1801 W. Colfax II [CDPHE Voluntary_Cleanup_and_Redevelopment_Program_(VCUP)_new; 161 m] | CDOT Colfax ROW - II [CDPHE Voluntary_Cleanup_and_Redevelopment_Program_(VCUP)_new; 208 m] | Community College of Denver [CDPHE Voluntary_Cleanup_and_Redevelopment_Program_(VCUP)_new; 245 m]</t>
  </si>
  <si>
    <t xml:space="preserve">EVERSMAN MANUFACTURING COMPANY NUMBER [FRS; 131 m] | REGIONAL TRANSPORTATION DISTRICT/GOODPASTER [FRS; 215 m] | AURARIA HIGHER EDUCATION CENTER [FRS; 232 m] | SINCLAIR AND VALENTINE CO INC [FRS; 239 m]</t>
  </si>
  <si>
    <t xml:space="preserve">COLORADO COLD STORAGE [FRS; 58 m] | METRO SPORTS COMPLEX [FRS; 168 m] | AURARIA CAMPUS -SAFETY CENTER [FRS; 187 m]</t>
  </si>
  <si>
    <t xml:space="preserve">1801 W. Colfax</t>
  </si>
  <si>
    <t xml:space="preserve">EVERSMAN MANUFACTURING COMPANY NUMBER</t>
  </si>
  <si>
    <t xml:space="preserve">S05673</t>
  </si>
  <si>
    <t xml:space="preserve">3818 LARIMER ST</t>
  </si>
  <si>
    <t xml:space="preserve">ELECTRICAL FRANK SCHERER+SON (1988; SIC 3449)</t>
  </si>
  <si>
    <t xml:space="preserve">ELECTRICAL FRANK SCHERER+SON (1988)</t>
  </si>
  <si>
    <t xml:space="preserve">Sharing and Caring Ministries Inc. [CDPHE Voluntary_Cleanup_and_Redevelopment_Program_(VCUP)_new; 42 m] | Hub RiNo [CDPHE Voluntary_Cleanup_and_Redevelopment_Program_(VCUP)_new; 105 m] | 3454 Walnut Street [CDPHE Voluntary_Cleanup_and_Redevelopment_Program_(VCUP)_new; 177 m] | 3500 Blake Street Owners LLC II [CDPHE Voluntary_Cleanup_and_Redevelopment_Program_(VCUP)_new; 241 m] | Vasquez/VAS [CDPHE</t>
  </si>
  <si>
    <t xml:space="preserve">WHITE CAP CONSTRUCTION SUPPLY (WC0041) [FRS; 218 m]</t>
  </si>
  <si>
    <t xml:space="preserve">MACHINE DESIGN SERVICE INC [FRS; 79 m] | GOLDBERG BROS MFG [FRS; 79 m] | TWIN STAR ENERGY #2 [FRS; 173 m] | C &amp; M REBUILDERS INC [FRS; 217 m] | WALNUT ST WOODWORKS INC [FRS; 218 m] | DENVER TRUCK PARTS [FRS; 244 m]</t>
  </si>
  <si>
    <t xml:space="preserve">37TH + DOWNING [FRS; 79 m] | THE SBJ GROUP INC. [FRS; 93 m] | HUB RINO STATION [FRS; 104 m] | WA LANG CO INC [FRS; 115 m] | 35 AND WALNUT [FRS; 197 m] | 3500 BLAKE [FRS; 207 m] | T3 RINO [FRS; 207 m] | CASTANEDA PAINTING INC [FRS; 211 m] | WHITE CAP #41 [FRS; 223 m] | 3750, 3760, 3770 WALNUT STREET [FRS; 224 m] | STONE CRAFTERS, INC. [FRS; 231 m] | STONE CRAFTERS, INC. DBA VICTOR MARBLE [FRS; 231 </t>
  </si>
  <si>
    <t xml:space="preserve">Sharing and Caring Ministries Inc.</t>
  </si>
  <si>
    <t xml:space="preserve">S05694</t>
  </si>
  <si>
    <t xml:space="preserve">5869 N BROADWAY 1</t>
  </si>
  <si>
    <t xml:space="preserve">WAHPETON CANVAS CO INC (1990; SIC 2394,3792,3799)</t>
  </si>
  <si>
    <t xml:space="preserve">WAHPETON CANVAS CO (1988)</t>
  </si>
  <si>
    <t xml:space="preserve">Commercial Bldg [CDPHE Voluntary_Cleanup_and_Redevelopment_Program_(VCUP)_new; 24 m] | Briggs Building [CDPHE Voluntary_Cleanup_and_Redevelopment_Program_(VCUP)_new; 139 m]</t>
  </si>
  <si>
    <t xml:space="preserve">WR GRACE &amp; CO CONN GRACE CONSTRUCTION PRODUCTS [TRI; 83 m] | WR GRACE &amp; CO CONN GRACE CONSTRUCTION PRODUCTS [FRS; 110 m] | ZIMMERMAN METALS INC [FRS; 205 m]</t>
  </si>
  <si>
    <t xml:space="preserve">ABF FREIGHT SYSTEMS INC. [FRS; 16 m] | CLEARESULT CONSULTING - DENVER [FRS; 20 m] | RYAN-MURPHY INCORPORATED [FRS; 25 m] | CLEARESULT CONSULTING - DENVER [CDPHE RCRA; 33 m] | SILCO DISTRIBUTING CO-DENVER [FRS; 66 m] | SILCO DISTRIBUTING DBA ADDITIVES INC [FRS; 78 m] | LARSON DISTRIBUTING CO INC [FRS; 104 m] | ARC THRIFT STORES WAREHOUSE [FRS; 107 m] | BRONCORP MFG CO INC [FRS; 132 m] | TOTAL PETRO</t>
  </si>
  <si>
    <t xml:space="preserve">AMERICAN EXTERIORS LLC [FRS; 145 m] | ALSIDE SUPPLY CENTER 157 - SOUTH DENVER [FRS; 161 m] | MAVERIK BROADWAY &amp; 58TH [FRS; 175 m] | CENTERCORE DISTRIBUTION CENTER [FRS; 235 m]</t>
  </si>
  <si>
    <t xml:space="preserve">Commercial Bldg</t>
  </si>
  <si>
    <t xml:space="preserve">ABF FREIGHT SYSTEMS INC.</t>
  </si>
  <si>
    <t xml:space="preserve">S05695</t>
  </si>
  <si>
    <t xml:space="preserve">5001 DAHLIA ST</t>
  </si>
  <si>
    <t xml:space="preserve">WARREN FLUID POWER (1988-1990; SIC 3613,3714)</t>
  </si>
  <si>
    <t xml:space="preserve">WARREN FLUID POWER (1988)</t>
  </si>
  <si>
    <t xml:space="preserve">S06355</t>
  </si>
  <si>
    <t xml:space="preserve">4399 DELAWARE ST</t>
  </si>
  <si>
    <t xml:space="preserve">ACCUTOOL (1990; SIC 3728,3999)</t>
  </si>
  <si>
    <t xml:space="preserve">ACCUTOOL (1990)</t>
  </si>
  <si>
    <t xml:space="preserve">S06387</t>
  </si>
  <si>
    <t xml:space="preserve">5585 E 47TH ST</t>
  </si>
  <si>
    <t xml:space="preserve">ER CARPENTER CO (1990-1992; SIC 3086,3089,3082)</t>
  </si>
  <si>
    <t xml:space="preserve">ER CARPENTER CO (1990)</t>
  </si>
  <si>
    <t xml:space="preserve">COLORADO PAINT CO - 4747 HOLLY STREET [FRS; 144 m]</t>
  </si>
  <si>
    <t xml:space="preserve">CARPENTER COMPANY INC [FRS; name match, 5 m] | FIRESTONE BUILDING PRODUCTS CO [FRS; 49 m] | EFI POLYMERS [FRS; 120 m] | COLORADO PAINT CO [TRI; 149 m]</t>
  </si>
  <si>
    <t xml:space="preserve">COOPER LIGHTING INC [FRS; 54 m] | ARISTOKRAFT DIST CTR #27 [FRS; 54 m] | GNB INCORPORATED [FRS; 195 m] | WICKES CONTRACTOR SUPPLY [FRS; 224 m] | RECOVERY OPTIONS OF COLORADO [FRS; 224 m] | CUTTING EDGE RECYCLING [CDPHE RCRA; 224 m] | CUTTING EDGE RECYCLING [FRS; 224 m] | BLAKE'S REMANUFACTURING [CDPHE RCRA; 224 m] | RECOVERY OPTIONS OF COLORADO [CDPHE RCRA; 224 m] | FAGAN IRON &amp; METAL CORP [FRS; 2</t>
  </si>
  <si>
    <t xml:space="preserve">CARPENTER COMPANY INC [FRS; name match, 5 m] | SWARCO AMERICA [FRS; 145 m] | INNOVATIONS MANUFACTURING INC [FRS; 228 m]</t>
  </si>
  <si>
    <t xml:space="preserve">COOPER LIGHTING INC</t>
  </si>
  <si>
    <t xml:space="preserve">S06389</t>
  </si>
  <si>
    <t xml:space="preserve">1853 S ACOMA</t>
  </si>
  <si>
    <t xml:space="preserve">CHRISTON GRINDING CO (1990; SIC 3411) | CHRISION STOLLE GRINDING CO (1992; SIC 3411)</t>
  </si>
  <si>
    <t xml:space="preserve">CHRISTON GRINDING CO (1990) | CHRISION STOLLE GRINDING CO (1992)</t>
  </si>
  <si>
    <t xml:space="preserve">RJR CIRCUITS INC [FRS; 97 m]</t>
  </si>
  <si>
    <t xml:space="preserve">CHRISTON STOLLE GRINDING INC [FRS; name match, 5 m] | ALSCO DENVER INDUSTRIAL [FRS; 1 m] | TOPPERSCOT INC [FRS; 37 m]</t>
  </si>
  <si>
    <t xml:space="preserve">STEINER CORP (EQUIPMENT REMOVED IN 1991) [FRS; 1 m] | ALSCO DENVER INDUSTRIAL [FRS; 1 m] | FUNERAL DIRECTOR'S SERVICE, LLC [FRS; 8 m] | PRIME NOW LLC - ZDE7 [FRS; 22 m] | JONES CUSTOM BUILDERS INC. [FRS; 33 m]</t>
  </si>
  <si>
    <t xml:space="preserve">ALSCO DENVER INDUSTRIAL</t>
  </si>
  <si>
    <t xml:space="preserve">S06398</t>
  </si>
  <si>
    <t xml:space="preserve">5885 STAPLETON DR N</t>
  </si>
  <si>
    <t xml:space="preserve">COLUMBINE STATE GRAPHICS INC (1990; SIC 2752,2759,3497)</t>
  </si>
  <si>
    <t xml:space="preserve">COLUMBINE STATE GRAPHICS INC (1990)</t>
  </si>
  <si>
    <t xml:space="preserve">Fagan Iron and Metal Works [CDPHE Voluntary_Cleanup_and_Redevelopment_Program_(VCUP)_new; 65 m] | Chemical Sales/CSC [CDPHE CDPHE Superfund] (inside site boundary)</t>
  </si>
  <si>
    <t xml:space="preserve">TRUCK PARTS SPECIALISTS [FRS; 30 m] | PROCOAT SYSTEMS INC [FRS; 31 m]</t>
  </si>
  <si>
    <t xml:space="preserve">TRUCK PARTS SPECIALISTS</t>
  </si>
  <si>
    <t xml:space="preserve">S06424</t>
  </si>
  <si>
    <t xml:space="preserve">4120 GLOBEVILLE RD</t>
  </si>
  <si>
    <t xml:space="preserve">HINCKLEY SCHMITT (1990; SIC 2086,2899)</t>
  </si>
  <si>
    <t xml:space="preserve">HINCKLEY SCHMITT (1990)</t>
  </si>
  <si>
    <t xml:space="preserve">COLORADO PETROLEUM, INC [FRS; 31 m]</t>
  </si>
  <si>
    <t xml:space="preserve">COLORADO PETROLEUM, INC</t>
  </si>
  <si>
    <t xml:space="preserve">R2 STEWARDSHIP</t>
  </si>
  <si>
    <t xml:space="preserve">S06438</t>
  </si>
  <si>
    <t xml:space="preserve">1286 S VALENTIA ST</t>
  </si>
  <si>
    <t xml:space="preserve">LILY OF COLORADO (1990; SIC 2844)</t>
  </si>
  <si>
    <t xml:space="preserve">LILY OF COLORADO (1990)</t>
  </si>
  <si>
    <t xml:space="preserve">TOWN AND COUNTRY CLEANERS [CDPHE Institutional_Controls_PROD_local] (inside site boundary)</t>
  </si>
  <si>
    <t xml:space="preserve">JH Cleaners/Town &amp; Country</t>
  </si>
  <si>
    <t xml:space="preserve">TOWN AND COUNTRY CLEANERS </t>
  </si>
  <si>
    <t xml:space="preserve">S06454</t>
  </si>
  <si>
    <t xml:space="preserve">4785 LEYDEN ST</t>
  </si>
  <si>
    <t xml:space="preserve">MORGAN-WIGHTMAN SUPPLY CO (1990; SIC 2431,3442,3448)</t>
  </si>
  <si>
    <t xml:space="preserve">MORGAN-WIGHTMAN SUPPLY CO (1990)</t>
  </si>
  <si>
    <t xml:space="preserve">Chemical Sales/CSC [CDPHE Institutional_Controls_PROD_local] (inside site boundary) | Chemical Sales/CSC [CDPHE CDPHE Superfund] (inside site boundary)</t>
  </si>
  <si>
    <t xml:space="preserve">HD SUPPLY WATERWORKS LEYDEN ST [FRS; 32 m]</t>
  </si>
  <si>
    <t xml:space="preserve">Wonderful Waste [CDPHE Solid_Waste_Facilities; 71 m]</t>
  </si>
  <si>
    <t xml:space="preserve">COLORADO RUBBER AND SUPPLY [FRS; 20 m] | OKON, INC. [FRS; 20 m] | SHEFFIELD METALS, INTERNATIONAL [FRS; 31 m]</t>
  </si>
  <si>
    <t xml:space="preserve">HD SUPPLY WATERWORKS LEYDEN ST</t>
  </si>
  <si>
    <t xml:space="preserve">S06456</t>
  </si>
  <si>
    <t xml:space="preserve">4850 STEELE</t>
  </si>
  <si>
    <t xml:space="preserve">MORSE INDUSTRIAL CORP, GEARING (1990; SIC 3566)</t>
  </si>
  <si>
    <t xml:space="preserve">MORSE INDUSTRIAL CORP, GEARING (1990)</t>
  </si>
  <si>
    <t xml:space="preserve">Emerson Power Transmission [CDPHE Voluntary_Cleanup_and_Redevelopment_Program_(VCUP)_new; 51 m] | Vasquez/VAS [CDPHE CDPHE Superfund] (inside site boundary)</t>
  </si>
  <si>
    <t xml:space="preserve">Emerson Power Transmission</t>
  </si>
  <si>
    <t xml:space="preserve">WABASH NATIONAL TRAILER CENTERS</t>
  </si>
  <si>
    <t xml:space="preserve">S06504</t>
  </si>
  <si>
    <t xml:space="preserve">6030 N WASHINGTON</t>
  </si>
  <si>
    <t xml:space="preserve">THOMPSON PIPE + STEEL CO (1990; SIC 3317,3444,3498)</t>
  </si>
  <si>
    <t xml:space="preserve">THOMPSON PIPE + STEEL CO (1990)</t>
  </si>
  <si>
    <t xml:space="preserve">Northwest Pipe Company [CDPHE Voluntary_Cleanup_and_Redevelopment_Program_(VCUP)_new; 6 m] | Cryenco II [CDPHE Voluntary_Cleanup_and_Redevelopment_Program_(VCUP)_new; 113 m] | Cryenco I [CDPHE Voluntary_Cleanup_and_Redevelopment_Program_(VCUP)_new; 113 m] | TIMPTE INC [FRS; 149 m]</t>
  </si>
  <si>
    <t xml:space="preserve">CHART INC DENVER [TRI; 97 m] | NORTHWEST PIPE CO. [FRS; 99 m] | CHART INC DENVER [FRS; 113 m]</t>
  </si>
  <si>
    <t xml:space="preserve">UNITED WATER COPELAND [FRS; 84 m] | AMAZON.COM SERVICES LLC - SCO1 [FRS; 85 m] | PROVISION INC [FRS; 113 m] | WESTERN AERO REPAIR INC [FRS; 113 m] | WESTERN AERO REPAIR INC [CDPHE RCRA; 115 m] | SIGNS WEST [FRS; 141 m] | CHART DENVER WEST PLANT [FRS; 149 m] | DP MEDIA NETWORK - THE DENVER POST [FRS; 149 m] | KEBAR LLC [FRS; 169 m] | DOD DCASMA DENVER/CHAPARRAL IND [FRS; 203 m] | ARAMSCO INC [FRS; </t>
  </si>
  <si>
    <t xml:space="preserve">MILE HI METAL FOUNDRY [FRS; 43 m] | PARK CENTRAL [FRS; 99 m] | CHART STORAGE SYSTEMS - DENVER, INC [FRS; 113 m] | TOUCHSTONE GRANITE AND MARBLE [FRS; 141 m] | DENVER POST [FRS; 149 m]</t>
  </si>
  <si>
    <t xml:space="preserve">Northwest Pipe Company</t>
  </si>
  <si>
    <t xml:space="preserve">UNITED WATER COPELAND</t>
  </si>
  <si>
    <t xml:space="preserve">S06510</t>
  </si>
  <si>
    <t xml:space="preserve">3650 E 41ST AVE</t>
  </si>
  <si>
    <t xml:space="preserve">UNIVERSAL PLASTICS INC (1990; SIC 3089) | WESTERN DIE AND FORM (1990; SIC 2675,3089)</t>
  </si>
  <si>
    <t xml:space="preserve">UNIVERSAL PLASTICS INC (1990) | WESTERN DIE AND FORM (1990) | WESTERN DIE CUT CONTRACTORS INS (1992)</t>
  </si>
  <si>
    <t xml:space="preserve">S06974</t>
  </si>
  <si>
    <t xml:space="preserve">4055 WALNUT ST</t>
  </si>
  <si>
    <t xml:space="preserve">(GENERAL WELDING SUPPLY COMPANY (1992; SIC 3431)</t>
  </si>
  <si>
    <t xml:space="preserve">(GENERAL WELDING SUPPLY COMPANY (1992)</t>
  </si>
  <si>
    <t xml:space="preserve">S06991</t>
  </si>
  <si>
    <t xml:space="preserve">4795 LEYDEN ST</t>
  </si>
  <si>
    <t xml:space="preserve">MORGAN-WIGHTMAN SUPPLY CO (1992; SIC 2431,3442,3448)</t>
  </si>
  <si>
    <t xml:space="preserve">MORGAN-WIGHTMAN SUPPLY CO (1992)</t>
  </si>
  <si>
    <t xml:space="preserve">Chemical Sales/CSC [CDPHE Institutional_Controls_PROD_local] (inside site boundary) | Sand Creek/SND [CDPHE Institutional_Controls_PROD_local] (inside site boundary) | Chemical Sales/CSC [CDPHE CDPHE Superfund] (inside site boundary) | Sand Creek/SND [CDPHE CDPHE Superfund] (inside site boundary)</t>
  </si>
  <si>
    <t xml:space="preserve">SHEFFIELD METALS, INTERNATIONAL [FRS; 14 m]</t>
  </si>
  <si>
    <t xml:space="preserve">S07006</t>
  </si>
  <si>
    <t xml:space="preserve">1390 CHEROKEE ST</t>
  </si>
  <si>
    <t xml:space="preserve">TOMA PIPE &amp; SUPPLY INC. (1992; SIC 3463)</t>
  </si>
  <si>
    <t xml:space="preserve">TOMA PIPE &amp; SUPPLY INC. (1992)</t>
  </si>
  <si>
    <t xml:space="preserve">DENVER FIREWORKS DISPOSAL [FRS; 2 m]</t>
  </si>
  <si>
    <t xml:space="preserve">DENVER POLICE CRIME LAB [FRS; 1 m] | CITY &amp; COUNTY - DENVER POLICE ADMIN BLDG [FRS; 2 m]</t>
  </si>
  <si>
    <t xml:space="preserve">CITY OF DENVER - DENVER POLICE CRIME LAB [FRS; 1 m] | DENVER POLICE DEPT CRIME LAB [FRS; 1 m]</t>
  </si>
  <si>
    <t xml:space="preserve">DENVER POLICE CRIME LAB</t>
  </si>
  <si>
    <t xml:space="preserve">S07008</t>
  </si>
  <si>
    <t xml:space="preserve">4200 JACKSON</t>
  </si>
  <si>
    <t xml:space="preserve">UNIVERSAL PLASTICS INC (1992; SIC 3079)</t>
  </si>
  <si>
    <t xml:space="preserve">UNIVERSAL PLASTICS INC (1992)</t>
  </si>
  <si>
    <t xml:space="preserve">ARTWAY NORTH [FRS; 234 m] | Vasquez/VAS [CDPHE CDPHE Superfund] (inside site boundary)</t>
  </si>
  <si>
    <t xml:space="preserve">PRINE SOURCE CORPORATION [FRS; 45 m] | MID AMERICA PLATING CO [FRS; 106 m] | MYKU BIOSCIENCES LLC [CDPHE RCRA; 145 m] | COLORADO CORRECTIONAL INDUSTRIES [FRS; 176 m] | MYKU BIOSCIENCES LLC [FRS; 197 m] | REGION 8 EVIRO LLC [FRS; 219 m] | REGION 8 ENVIRO LLC [CDPHE RCRA; 222 m]</t>
  </si>
  <si>
    <t xml:space="preserve">PARK HILL VILLAGE WEST [FRS; 92 m] | CHEMSTATION [FRS; 108 m] | DIAMOND SHAMROCK NO 646 [FRS; 194 m] | ALL WEST PET SUPPLY COMPANY [FRS; 212 m] | HERITAGE WINDOW RESTORATION LLC [FRS; 217 m] | PYNERGY, LLC - 4001 COLORADO BLVD [FRS; 221 m] | PARK HILL VILLAGE BUILDING A [FRS; 239 m] | RENAISSANCE AT NORTH COLORADO STATION [FRS; 239 m]</t>
  </si>
  <si>
    <t xml:space="preserve">ARTWAY NORTH</t>
  </si>
  <si>
    <t xml:space="preserve">PRINE SOURCE CORPORATION</t>
  </si>
  <si>
    <t xml:space="preserve">S03353</t>
  </si>
  <si>
    <t xml:space="preserve">7011 TITAN ROD</t>
  </si>
  <si>
    <t xml:space="preserve">1977;1983;1990;1992</t>
  </si>
  <si>
    <t xml:space="preserve">ZIMKOR INDUSTRIES INC (1977-1992; SIC 3312,3398)</t>
  </si>
  <si>
    <t xml:space="preserve">ZIMKOR INDUSTRIES INC (1977)</t>
  </si>
  <si>
    <t xml:space="preserve">SANTA FE SULFUR RESIDUE FIRE [FRS; 97 m] | SHATTUCK CHEMICAL COMPANY [FRS; 148 m]</t>
  </si>
  <si>
    <t xml:space="preserve">ZIMKOR INDUSTRIES INCORPORATED [FRS; name match, 31 m] | ZIMKOR IND INC [TRI; name match, 73 m]</t>
  </si>
  <si>
    <t xml:space="preserve">SAVAGE SERVICES CORP - TRANSLOADING [FRS; 15 m]</t>
  </si>
  <si>
    <t xml:space="preserve">BNSF BIG LIFT AUTO UNLOADING [FRS; 15 m] | SAVAGE INDUSTRIES, INC. [FRS; 15 m] | SAVAGE SERVICES CORP - TRANSLOADING [FRS; 15 m] | BURLINGTON NORTHERN SANTA FE RR [FRS; 15 m] | BNSF (FORMER SUBURBAN PROPANE) [FRS; 15 m] | LAFARGE DBA LAFARGE WEST - BIG LIFT [FRS; 100 m] | STERLING RANCH UTILITY WORK [FRS; 151 m] | PROTO CONST &amp; PAV [FRS; 213 m]</t>
  </si>
  <si>
    <t xml:space="preserve">SANTA FE SULFUR RESIDUE FIRE</t>
  </si>
  <si>
    <t xml:space="preserve">SAVAGE SERVICES CORP - TRANSLOADING</t>
  </si>
  <si>
    <t xml:space="preserve">S06524</t>
  </si>
  <si>
    <t xml:space="preserve">725 CHAMBERS AVE</t>
  </si>
  <si>
    <t xml:space="preserve">EAGLE</t>
  </si>
  <si>
    <t xml:space="preserve">81631</t>
  </si>
  <si>
    <t xml:space="preserve">ROCKY MTN CASTING INC (1990; SIC 3321,3369)</t>
  </si>
  <si>
    <t xml:space="preserve">ROCKY MTN CASTING INC (1990)</t>
  </si>
  <si>
    <t xml:space="preserve">EAGLE PICRIC ACID [FRS] (address match)</t>
  </si>
  <si>
    <t xml:space="preserve">CODEL [FRS] (address match)</t>
  </si>
  <si>
    <t xml:space="preserve">EAGLE PICRIC ACID</t>
  </si>
  <si>
    <t xml:space="preserve">CODEL</t>
  </si>
  <si>
    <t xml:space="preserve">S01021</t>
  </si>
  <si>
    <t xml:space="preserve">425 E FILLMORE ST</t>
  </si>
  <si>
    <t xml:space="preserve"> (1966; SIC 3444)</t>
  </si>
  <si>
    <t xml:space="preserve"> (1966) | LITTON DATA SYSTEMS (1977)</t>
  </si>
  <si>
    <t xml:space="preserve">Litton Systems [CDPHE Voluntary_Cleanup_and_Redevelopment_Program_(VCUP)_new; name match, 4 m] | Litton Data Systems Facilities, II [CDPHE Voluntary_Cleanup_and_Redevelopment_Program_(VCUP)_new; name match, 37 m] | Litton Data Systems II [CDPHE Voluntary_Cleanup_and_Redevelopment_Program_(VCUP)_new; name match, 37 m] | Litton Systems:  Building A [CDPHE Voluntary_Cleanup_and_Redevelopment_Program_</t>
  </si>
  <si>
    <t xml:space="preserve">LITTON DATA SYS [FRS; name match, 65 m] | BRUNNER &amp; LAY INC TIMKEN ROCK BIT DIV [TRI; 84 m] | LITTON DATA SYS [FRS] (address match) | LITTON DATA SYSTEMS [TRI] (address match)</t>
  </si>
  <si>
    <t xml:space="preserve">DANIELS COLOR  AND  COLLISION [FRS] (address match)</t>
  </si>
  <si>
    <t xml:space="preserve">ADVANTAGE MANUFACTURING [FRS; 1 m]</t>
  </si>
  <si>
    <t xml:space="preserve">Litton Systems</t>
  </si>
  <si>
    <t xml:space="preserve">LITTON DATA SYS</t>
  </si>
  <si>
    <t xml:space="preserve">NORTHROP GRUMMAN SYSTEMS CORPORATION</t>
  </si>
  <si>
    <t xml:space="preserve">S01029</t>
  </si>
  <si>
    <t xml:space="preserve">9 CUCHARRAS</t>
  </si>
  <si>
    <t xml:space="preserve">80902</t>
  </si>
  <si>
    <t xml:space="preserve">GLASER WELDING WORKS (1968; SIC 3446,3591)</t>
  </si>
  <si>
    <t xml:space="preserve">GLASER WELOING WORKS (1966) | Ee INC (1967) | CIMINO, JCEs SIGN CO (1973)</t>
  </si>
  <si>
    <t xml:space="preserve">Sierra Madre Site II [CDPHE Voluntary_Cleanup_and_Redevelopment_Program_(VCUP)_new; 165 m] | Sierra Madre &amp; Cucharras Underground Detention [CDPHE Institutional_Controls_PROD_local; 180 m]</t>
  </si>
  <si>
    <t xml:space="preserve">COLORADO SPRINGS SUN NEWSPAPER [FRS; 180 m] | CITY OF COLORADO SPRINGS - PARKING SYSTEM [FRS; 183 m] | USPS VEHICLE MAINT FACILITY [FRS; 196 m] | CUSHMAN  AND WAKEFIELD OF COLORADO INC [FRS; 222 m]</t>
  </si>
  <si>
    <t xml:space="preserve">US OLYMPICS MUSEUM [FRS; 148 m] | EL PASO BOARD OF COUNTY COMMISSIONERS [FRS; 151 m] | PEAK TIRE [FRS; 164 m] | OLD CHRISSY FOWLER LUMBER COMPLEX [FRS; 179 m] | USPS COLORADO SPRINGS VMF [FRS; 196 m] | SIMPSON &amp; CO (A DIVISION OF CARNATION) [FRS; 202 m] | COLORADO SPRINGS UTILITIES [FRS; 214 m] | VERMIJO / SIERRA MADRE [FRS; 218 m] | PROJECT RODEO [FRS; 227 m] | HANDYMAN CONNECTION [FRS; 232 m] | </t>
  </si>
  <si>
    <t xml:space="preserve">Sierra Madre Site II</t>
  </si>
  <si>
    <t xml:space="preserve">COLORADO SPRINGS SUN NEWSPAPER</t>
  </si>
  <si>
    <t xml:space="preserve">S01065</t>
  </si>
  <si>
    <t xml:space="preserve">410 E FILLMORE</t>
  </si>
  <si>
    <t xml:space="preserve">WHITE MFG CO (1966; SIC 3369)</t>
  </si>
  <si>
    <t xml:space="preserve">WHITE MFG CO (1966) | WHITE MFG CO FRANCES C GRAHAM PUBLR (1973) | CEBAR CHEST INC.&gt; THE (1980)</t>
  </si>
  <si>
    <t xml:space="preserve">Litton Data Systems Facilities, II [CDPHE Voluntary_Cleanup_and_Redevelopment_Program_(VCUP)_new; 11 m] | Litton Data Systems II [CDPHE Voluntary_Cleanup_and_Redevelopment_Program_(VCUP)_new; 11 m] | Litton Systems:  Building A [CDPHE Voluntary_Cleanup_and_Redevelopment_Program_(VCUP)_new; 11 m] | Litton Systems [CDPHE Voluntary_Cleanup_and_Redevelopment_Program_(VCUP)_new; 48 m]</t>
  </si>
  <si>
    <t xml:space="preserve">BRUNNER &amp; LAY INC TIMKEN ROCK BIT DIV [TRI; 47 m] | BRUNNER &amp; LAY INC [FRS; 74 m]</t>
  </si>
  <si>
    <t xml:space="preserve">AUTO LOVERS [FRS; 2 m] | NORTHROP GRUMMAN SYSTEMS CORPORATION [FRS; 3 m]</t>
  </si>
  <si>
    <t xml:space="preserve">EXPRESS AUTO BODY [FRS; 2 m] | EXPRESS AUTO BODY [FRS] (address match)</t>
  </si>
  <si>
    <t xml:space="preserve">Litton Data Systems Facilities, II</t>
  </si>
  <si>
    <t xml:space="preserve">BRUNNER &amp; LAY INC TIMKEN ROCK BIT DIV</t>
  </si>
  <si>
    <t xml:space="preserve">AUTO LOVERS</t>
  </si>
  <si>
    <t xml:space="preserve">S01544</t>
  </si>
  <si>
    <t xml:space="preserve">529 S 31ST ST</t>
  </si>
  <si>
    <t xml:space="preserve">1967;1970;1973</t>
  </si>
  <si>
    <t xml:space="preserve">PRATHER» Ey WELDING + FABRICATING (1967-1973; SIC 3591) | PROTO-SHOP INDUSTRIES» INC (1970; SIC 3591,3641)</t>
  </si>
  <si>
    <t xml:space="preserve">PRATHER» Ey WELDING + FABRICATING (1967) | PROTO-SHOP INDUSTRIES» INC (1970)</t>
  </si>
  <si>
    <t xml:space="preserve">Midland Greens; Lot 2 [CDPHE Voluntary_Cleanup_and_Redevelopment_Program_(VCUP)_new; 60 m]</t>
  </si>
  <si>
    <t xml:space="preserve">Midland Greens; Lot 2</t>
  </si>
  <si>
    <t xml:space="preserve">WESTERN SERVICES INCORP</t>
  </si>
  <si>
    <t xml:space="preserve">S01546</t>
  </si>
  <si>
    <t xml:space="preserve">3110 N STONE AVE</t>
  </si>
  <si>
    <t xml:space="preserve">1967;1992</t>
  </si>
  <si>
    <t xml:space="preserve">SOLID CARBONIC CC (1967; SIC 2813,3107) | SKYLINE ELECTRONICS INC (1992; SIC 3993,3089,3952)</t>
  </si>
  <si>
    <t xml:space="preserve">SOLID CARBONIC CC (1967) | X-@ GRAPHICS (1980) | INTERMOUNTAIN COLOR (1988) | SKYLINE ELECTRONICS INC (1992)</t>
  </si>
  <si>
    <t xml:space="preserve">El Paso Engineering Fac. [CDPHE Voluntary_Cleanup_and_Redevelopment_Program_(VCUP)_new; 52 m]</t>
  </si>
  <si>
    <t xml:space="preserve">SEARS REPAIR SERVICE [FRS; 32 m]</t>
  </si>
  <si>
    <t xml:space="preserve">AMI IND</t>
  </si>
  <si>
    <t xml:space="preserve">S01548</t>
  </si>
  <si>
    <t xml:space="preserve">311 S 9TH ST</t>
  </si>
  <si>
    <t xml:space="preserve">WEISS INCUSTRIES INC (1968; SIC 3461,3591)</t>
  </si>
  <si>
    <t xml:space="preserve">WEISS INDUSTRIES (1967)</t>
  </si>
  <si>
    <t xml:space="preserve">Junction on 8th Street [CDPHE Institutional_Controls_PROD_local; 236 m]</t>
  </si>
  <si>
    <t xml:space="preserve">AUTOZONE #814 [FRS; 118 m] | GREASE MONKEY [FRS; 144 m] | DANIELS MOTORS INC [FRS; 212 m]</t>
  </si>
  <si>
    <t xml:space="preserve">A-1 TRANSMISSION &amp; PARTS CO [FRS; 17 m] | CONCRETE CORING COMPANY [FRS; 125 m] | 8TH STREET OVER FOUNTAIN CREEK BRIDGE WIDENING [FRS; 191 m] | JUNCTION ON 8TH, LLC [FRS; 194 m] | DANIELS CHEVROLET BODY SHOP [FRS; 212 m] | GARNER RV RESORT &amp; STORAGE [FRS; 226 m]</t>
  </si>
  <si>
    <t xml:space="preserve">Junction on 8th Street</t>
  </si>
  <si>
    <t xml:space="preserve">AUTOZONE #814</t>
  </si>
  <si>
    <t xml:space="preserve">S01839</t>
  </si>
  <si>
    <t xml:space="preserve">3200 N NEVADA</t>
  </si>
  <si>
    <t xml:space="preserve">80991</t>
  </si>
  <si>
    <t xml:space="preserve">1968;1974;1977;1980;1983;1988;1990</t>
  </si>
  <si>
    <t xml:space="preserve">AIRCRAFT MECFANICS INC (1968-1974; SIC 3729,3679) | AMI LNDUSTRIES INC (1977-1983; SIC 2531,3728) | A MI INDUSTRIES (1988-1990; SIC 2531,3728,3761)</t>
  </si>
  <si>
    <t xml:space="preserve">AIRCRAFT MECFANICS INC (1968) | AMI LNDUSTRIES INC (1977) | A MI INDUSTRIES (1988)</t>
  </si>
  <si>
    <t xml:space="preserve">AMI - Nevada Ave. [CDPHE Voluntary_Cleanup_and_Redevelopment_Program_(VCUP)_new; name match, 7 m]</t>
  </si>
  <si>
    <t xml:space="preserve">AMI IND [FRS; name match, 10 m] | AMI INDUSTRIES INC [TRI; name match, 68 m]</t>
  </si>
  <si>
    <t xml:space="preserve">A BETTER SELF STORAGE [FRS; 10 m] | DANIELS MOTORS INC [FRS; 10 m] | A BETTER SELF STORAGE [FRS] (address match)</t>
  </si>
  <si>
    <t xml:space="preserve">AMI - Nevada Ave.</t>
  </si>
  <si>
    <t xml:space="preserve">A BETTER SELF STORAGE</t>
  </si>
  <si>
    <t xml:space="preserve">S01840</t>
  </si>
  <si>
    <t xml:space="preserve">2905 MORRISON</t>
  </si>
  <si>
    <t xml:space="preserve">AUGUSTIN MFG CO (1968; SIC 3553)</t>
  </si>
  <si>
    <t xml:space="preserve">AUGUSTIN MFG CO (1968) | WESTERN SERVICES INC (1983)</t>
  </si>
  <si>
    <t xml:space="preserve">Gaubatz Property [CDPHE Voluntary_Cleanup_and_Redevelopment_Program_(VCUP)_new; 18 m]</t>
  </si>
  <si>
    <t xml:space="preserve">WESTERN SERVICES INCORP [FRS; name match, 14 m]</t>
  </si>
  <si>
    <t xml:space="preserve">WESTERN SERVICE FURNITURE [FRS; 15 m] | COBB MECHANICAL [FRS; 28 m]</t>
  </si>
  <si>
    <t xml:space="preserve">S01843</t>
  </si>
  <si>
    <t xml:space="preserve">604 S 29TH ST</t>
  </si>
  <si>
    <t xml:space="preserve">WESTERN ALAIN BUCKLES ING (1980; SIC 3964,3466) | WESTERN FLAIR BUCKLES INC (1983; SIC 3964,3466)</t>
  </si>
  <si>
    <t xml:space="preserve">BARTLETT'S CABINET + BUILCING CC (1968) | 8 8 CABINET SHOP, INC (1973) | 8 B ENTERPRISES INC (1977) | WESTERN ALAIN BUCKLES ING (1980) | B B CABNETS + COUNTER TOPS INC (1983) | WESTERN FLAIR BUCKLES INC (1983)</t>
  </si>
  <si>
    <t xml:space="preserve">Gaubatz Property [CDPHE Voluntary_Cleanup_and_Redevelopment_Program_(VCUP)_new; 78 m]</t>
  </si>
  <si>
    <t xml:space="preserve">RHINEHART OIL CO [FRS; 9 m] | WESTSIDERS GARAGE [FRS; 37 m]</t>
  </si>
  <si>
    <t xml:space="preserve">PRO MACHINE &amp; ENGINEERING, INC [FRS; 12 m] | DC'S CONSIGNMENT [FRS; 24 m] | CUSTOM AUTO BODY [FRS; 35 m] | BNI AUTO ELECTRIC [FRS; 35 m] | WEST SIDE BODY SHOP [FRS; 35 m] | ALLIED FABRICATION, LLC (FORMER BROOKS RACING ENGINES) [FRS; 40 m]</t>
  </si>
  <si>
    <t xml:space="preserve">RHINEHART OIL CO</t>
  </si>
  <si>
    <t xml:space="preserve">S01856</t>
  </si>
  <si>
    <t xml:space="preserve">3107 N STONE</t>
  </si>
  <si>
    <t xml:space="preserve">CIRCUIT BOARD SPEAR ENGINEERING CO (1988; SIC 3089,3952,3993) | SPEAR ENGINEERING CO (1990; SIC 3089,3952,3993)</t>
  </si>
  <si>
    <t xml:space="preserve">2751) «COML PRINTING EXCEPT LITHOGRAPHIC SPEAR ENGINEERING CO (1968) | SPEAR ENGINEERING CO (1970) | CIRCUIT BOARD SPEAR ENGINEERING CO (1988)</t>
  </si>
  <si>
    <t xml:space="preserve">El Paso Engineering Fac. [CDPHE Voluntary_Cleanup_and_Redevelopment_Program_(VCUP)_new; 29 m]</t>
  </si>
  <si>
    <t xml:space="preserve">MAXCOR MANUFACTURING INC</t>
  </si>
  <si>
    <t xml:space="preserve">COWEN TRANSFER &amp; STORAGE CO</t>
  </si>
  <si>
    <t xml:space="preserve">S02077</t>
  </si>
  <si>
    <t xml:space="preserve">4230 N NEVADA</t>
  </si>
  <si>
    <t xml:space="preserve">1970;1973;1977;1980;1983;1990</t>
  </si>
  <si>
    <t xml:space="preserve">COLORADG SPRINGS MACHINE CORP (1970; SIC 3591,3544,3461) | COLORADO SPRINGS MACHINE CCRP (1973-1980; SIC 3469,3544,3542) | MAXCOR MANUFACTURING (1983-1990; SIC 3599,3544,3569)</t>
  </si>
  <si>
    <t xml:space="preserve">COLORADG SPRINGS MACHINE CORP (1970) | COLORADO SPRINGS MACHINE CCRP (1973) |  (1973) | MAXCOR MANUFACTURING (1983)</t>
  </si>
  <si>
    <t xml:space="preserve">Qualtek Manufactruring [CDPHE Voluntary_Cleanup_and_Redevelopment_Program_(VCUP)_new; 20 m]</t>
  </si>
  <si>
    <t xml:space="preserve">MHC TRUCK LEASING [FRS; 16 m]</t>
  </si>
  <si>
    <t xml:space="preserve">MAXCOR MANUFACTURING [FRS; name match, 102 m] | QUALTEK MFG., INC. (WAS MINCO &amp; MAXCOR) [FRS; name match, 102 m] | MINCO MFG [FRS] (address match)</t>
  </si>
  <si>
    <t xml:space="preserve">Qualtek Manufactruring</t>
  </si>
  <si>
    <t xml:space="preserve">MHC TRUCK LEASING</t>
  </si>
  <si>
    <t xml:space="preserve">S02565</t>
  </si>
  <si>
    <t xml:space="preserve">1485 GARDEN OF THE GODS</t>
  </si>
  <si>
    <t xml:space="preserve">KAMAN INSTRUMENTATION CORP (1990; SIC 3821,3272,3446)</t>
  </si>
  <si>
    <t xml:space="preserve">MAYTRONICS INC (1973) | KAMAN INSTRUMENTATION CORP (1990)</t>
  </si>
  <si>
    <t xml:space="preserve">Goodwill of Colorado Springs [CDPHE Voluntary_Cleanup_and_Redevelopment_Program_(VCUP)_new; 45 m] | MOSTEK CORP [FRS; 174 m]</t>
  </si>
  <si>
    <t xml:space="preserve">INTEL CORP (F23) [FRS; 174 m] | INTEL CORP (F23) [TRI; 224 m] | FRONTGRADE COLORADO SPRINGS LLC [TRI; 241 m]</t>
  </si>
  <si>
    <t xml:space="preserve">ITT  INDUSTRIES [FRS; 20 m] | SAFETRAN TRAFFIC SYS INC [FRS; 44 m] | ITT INDUSTRIES SYSTEMS DIVISION [FRS; 90 m] | DROPPING OFF NOW LLC [CDPHE RCRA; 209 m]</t>
  </si>
  <si>
    <t xml:space="preserve">KUM AND GO STORE 690 [FRS; 7 m] | TOMMY'S EXPRESS GARDEN OF THE GODS [FRS; 117 m] | R E MONKS CONST CO [FRS; 174 m]</t>
  </si>
  <si>
    <t xml:space="preserve">Goodwill of Colorado Springs</t>
  </si>
  <si>
    <t xml:space="preserve">INTEL CORP (F23)</t>
  </si>
  <si>
    <t xml:space="preserve">ITT  INDUSTRIES</t>
  </si>
  <si>
    <t xml:space="preserve">S02579</t>
  </si>
  <si>
    <t xml:space="preserve">4755 FORGE ROD</t>
  </si>
  <si>
    <t xml:space="preserve">THOMAS METAL FINISHING INC (1973-1977; SIC 3471,3479)</t>
  </si>
  <si>
    <t xml:space="preserve">THOMAS METAL FINISHING INC (1973)</t>
  </si>
  <si>
    <t xml:space="preserve">WESTERN FORGE CORP [FRS; 112 m] | RBM Plating &amp; Painting [CDPHE Voluntary_Cleanup_and_Redevelopment_Program_(VCUP)_new; 180 m]</t>
  </si>
  <si>
    <t xml:space="preserve">RBM PRECISION METAL PRODUCTS [FRS; 181 m] | WESTERN FORGE CORP [TRI; 224 m]</t>
  </si>
  <si>
    <t xml:space="preserve">CUMMINS ROCKY MOUNTAIN LLC [FRS; 36 m] | CUSTOM ENVIRONMENTAL SERVICES [FRS; 36 m] | HARLOFF MANUFACTURING CO [FRS; 108 m] | DYSAN CORP [FRS; 123 m] | WESTERN FORGE CORPORTAION [FRS; 147 m] | PYXANT LABS INC [CDPHE RCRA; 147 m] | CUMMINS ROCKY MOUNTAIN LLC [CDPHE RCRA; 147 m] | FAIRCHILD SEMICONDUCTOR INC [CDPHE RCRA; 147 m] | FITTJE BROTHERS PRINTING [FRS; 154 m] | CALIBER BODYWORKS OF COLORADO I</t>
  </si>
  <si>
    <t xml:space="preserve">RJL DESIGNS LLC [FRS; 126 m] | DCS6 [FRS; 148 m] | KITCHEN TUNE-UP [FRS; 165 m] | CALIBER COLLISION CENTERS - COLO SPRINGS [FRS; 181 m] | AMAZON.COM SERVICES LLC DCS6 [FRS; 205 m]</t>
  </si>
  <si>
    <t xml:space="preserve">WESTERN FORGE CORP</t>
  </si>
  <si>
    <t xml:space="preserve">RBM PRECISION METAL PRODUCTS</t>
  </si>
  <si>
    <t xml:space="preserve">CUMMINS ROCKY MOUNTAIN LLC</t>
  </si>
  <si>
    <t xml:space="preserve">S03363</t>
  </si>
  <si>
    <t xml:space="preserve">502 S CORONA</t>
  </si>
  <si>
    <t xml:space="preserve">C + S INDUSTRIES (1977; SIC 3751)</t>
  </si>
  <si>
    <t xml:space="preserve">C + S INDUSTRIES (1977)</t>
  </si>
  <si>
    <t xml:space="preserve">Elan Rio Grande II [CDPHE Voluntary_Cleanup_and_Redevelopment_Program_(VCUP)_new; 204 m]</t>
  </si>
  <si>
    <t xml:space="preserve">INDIVIDUAL DYNAMICS DBA WAHSATCH RECYCLING DEPOT [FRS; 191 m] | SECRETARY OF HOUSING &amp; URBAN DEV [FRS; 230 m]</t>
  </si>
  <si>
    <t xml:space="preserve">Individual Dynamics dba Wahsatch Recycling Depot/WRD [CDPHE Solid_Waste_Facilities; 185 m]</t>
  </si>
  <si>
    <t xml:space="preserve">A B C USED PARTS [FRS; 186 m] | ELAN RIO GRANDE APARTMENTS [FRS; 241 m]</t>
  </si>
  <si>
    <t xml:space="preserve">S03367</t>
  </si>
  <si>
    <t xml:space="preserve">4030 CLEARVIEW LOOP</t>
  </si>
  <si>
    <t xml:space="preserve">80911</t>
  </si>
  <si>
    <t xml:space="preserve">CLOER WL INDUSTRIES (1977; SIC 3599) | NK MFG (1980-1983; SIC 3599)</t>
  </si>
  <si>
    <t xml:space="preserve">CLOER WL INDUSTRIES (1977) | NK MFG (1980) | SAV*A~PALLET (1983) | SECURITY SAV-A-PALLET (1988)</t>
  </si>
  <si>
    <t xml:space="preserve">Eagle Picher Industries/EPI [CDPHE Institutional_Controls_PROD_local] (inside site boundary)</t>
  </si>
  <si>
    <t xml:space="preserve">EAGLE-PICHER TECHNOLOGIES LLC [TRI; 87 m]</t>
  </si>
  <si>
    <t xml:space="preserve">EAGLE-PICHER INDUSTRIES INC [FRS; 13 m]</t>
  </si>
  <si>
    <t xml:space="preserve">PIKES PEAK SOLAR GARDEN 1 LLC CSG [FRS; 39 m]</t>
  </si>
  <si>
    <t xml:space="preserve">Eagle Picher Industries/EPI</t>
  </si>
  <si>
    <t xml:space="preserve">EAGLE-PICHER TECHNOLOGIES LLC</t>
  </si>
  <si>
    <t xml:space="preserve">EAGLE-PICHER INDUSTRIES INC</t>
  </si>
  <si>
    <t xml:space="preserve">S03390</t>
  </si>
  <si>
    <t xml:space="preserve">333 CONEJOS</t>
  </si>
  <si>
    <t xml:space="preserve">WALKER TRUSS INC (1988; SIC 2439,3011)</t>
  </si>
  <si>
    <t xml:space="preserve">WALKER TRUSS INC (1977)</t>
  </si>
  <si>
    <t xml:space="preserve">Colorado Springs Manufactured Gas Plant [CDPHE Voluntary_Cleanup_and_Redevelopment_Program_(VCUP)_new; 69 m]</t>
  </si>
  <si>
    <t xml:space="preserve">CITY OF COLORADO SPRINGS - FORMER MANUFACTURED GAS PLANT SITE [FRS; 36 m]</t>
  </si>
  <si>
    <t xml:space="preserve">Colorado Springs Manufactured Gas Plant</t>
  </si>
  <si>
    <t xml:space="preserve">CITY OF COLORADO SPRINGS - FORMER MANUFACTURED GAS PLANT SITE</t>
  </si>
  <si>
    <t xml:space="preserve">S03394</t>
  </si>
  <si>
    <t xml:space="preserve">4607 FORGE RD</t>
  </si>
  <si>
    <t xml:space="preserve">WESTERN FORGE CORP (1977-1990; SIC 3423)</t>
  </si>
  <si>
    <t xml:space="preserve">WESTERN FORGE CORP (1977)</t>
  </si>
  <si>
    <t xml:space="preserve">WESTERN FORGE CORP [FRS; name match, 122 m] | WESTERN FORGE CORP [FRS] (address match)</t>
  </si>
  <si>
    <t xml:space="preserve">WESTERN FORGE CORP [TRI; name match, 212 m] | DIGITAL EQUIPMENT [FRS; 31 m] | WESTERN FORGE CORP [TRI] (address match)</t>
  </si>
  <si>
    <t xml:space="preserve">WESTERN FORGE CORPORTAION [FRS; name match, 87 m] | PYXANT LABS INC [FRS; 3 m] | L-3 COMMUNICATIONS - APPLIED TECHNOLOGIES [FRS; 3 m] | AMAZON.COM SERVICES LLC - DCS6 [CDPHE RCRA] (address match)</t>
  </si>
  <si>
    <t xml:space="preserve">DCS6 [FRS] (address match) | AMAZON.COM SERVICES LLC DCS6 [FRS] (address match)</t>
  </si>
  <si>
    <t xml:space="preserve">DIGITAL EQUIPMENT</t>
  </si>
  <si>
    <t xml:space="preserve">PYXANT LABS INC</t>
  </si>
  <si>
    <t xml:space="preserve">S04946</t>
  </si>
  <si>
    <t xml:space="preserve">3911 SINTON RD</t>
  </si>
  <si>
    <t xml:space="preserve">MAX CORPORATION (1983-1990; SIC 3559,3861)</t>
  </si>
  <si>
    <t xml:space="preserve">MAX CORPORATION (1983) | 1D GRAPHICS INC (1990)</t>
  </si>
  <si>
    <t xml:space="preserve">Phil Long Ford [CDPHE Voluntary_Cleanup_and_Redevelopment_Program_(VCUP)_new; 68 m]</t>
  </si>
  <si>
    <t xml:space="preserve">PHIL LONG FORD - PREP CENTER [FRS; 34 m]</t>
  </si>
  <si>
    <t xml:space="preserve">Phil Long Ford</t>
  </si>
  <si>
    <t xml:space="preserve">SINTON DAIRY FOODS CO LLC</t>
  </si>
  <si>
    <t xml:space="preserve">PHIL LONG FORD - PREP CENTER</t>
  </si>
  <si>
    <t xml:space="preserve">S04952</t>
  </si>
  <si>
    <t xml:space="preserve">4385 NORTHPARK OR</t>
  </si>
  <si>
    <t xml:space="preserve">ERVITE MANUFACTURING (1990; SIC 3679,3499,3643)</t>
  </si>
  <si>
    <t xml:space="preserve">NORTHPARK MILLWORK LTD (1983) | SPORTSWEAR ERVITE MANUFACTURING (1988) | PRUE ARE: MILLWORK (1988) | ERVITE MANUFACTURING (1990)</t>
  </si>
  <si>
    <t xml:space="preserve">Drive Train Industries II [CDPHE Voluntary_Cleanup_and_Redevelopment_Program_(VCUP)_new; 32 m] | Drive Train Industries [CDPHE Voluntary_Cleanup_and_Redevelopment_Program_(VCUP)_new; 32 m]</t>
  </si>
  <si>
    <t xml:space="preserve">DRIVE TRAIN IND [FRS; 7 m] | INDUSTRIAL LABORATORIES-CIS [FRS; 14 m] | INDUSTRIAL LABORATORIES-CIS [CDPHE RCRA; 34 m]</t>
  </si>
  <si>
    <t xml:space="preserve">REDDY ICE - COLORADO SPRINGS [FRS; 26 m]</t>
  </si>
  <si>
    <t xml:space="preserve">Drive Train Industries II</t>
  </si>
  <si>
    <t xml:space="preserve">DRIVE TRAIN IND</t>
  </si>
  <si>
    <t xml:space="preserve">S04978</t>
  </si>
  <si>
    <t xml:space="preserve">3 ASSEMBLY CT</t>
  </si>
  <si>
    <t xml:space="preserve">BONANZA SOIL PRODUCTS INC (1983; SIC 2875) | HYPONEX COLORADO (1988-1990; SIC 2875)</t>
  </si>
  <si>
    <t xml:space="preserve">BONANZA SOIL PRODUCTS INC (1983) | HYPONEX COLORADO (1988)</t>
  </si>
  <si>
    <t xml:space="preserve">SCOTT COMPANY [FRS; 9 m] | SCOTT COMPANY [FRS] (address match)</t>
  </si>
  <si>
    <t xml:space="preserve">SCOTT'S COMPANY - HYPONEX CORP #1023 [FRS; name match, 9 m] | SCOTT'S COMPANY - HYPONEX CORP #1023 [FRS] (address match)</t>
  </si>
  <si>
    <t xml:space="preserve">SCOTT COMPANY</t>
  </si>
  <si>
    <t xml:space="preserve">DATA GENERAL</t>
  </si>
  <si>
    <t xml:space="preserve">S05417</t>
  </si>
  <si>
    <t xml:space="preserve">2025 BOTT AVE</t>
  </si>
  <si>
    <t xml:space="preserve">A A A STEEL FABRICATORS (1988; SIC 3441,3446,3448)</t>
  </si>
  <si>
    <t xml:space="preserve">A A A STEEL FABRICATORS (1988)</t>
  </si>
  <si>
    <t xml:space="preserve">Burger Works Colorado, LLC [CDPHE Voluntary_Cleanup_and_Redevelopment_Program_(VCUP)_new; 30 m]</t>
  </si>
  <si>
    <t xml:space="preserve">ADVANCE AUTO PARTS #6462 [FRS; 35 m]</t>
  </si>
  <si>
    <t xml:space="preserve">7-ELEVEN, INC. - NO 13079 [FRS; 31 m] | TEXACO SERVICE STATION [FRS; 35 m]</t>
  </si>
  <si>
    <t xml:space="preserve">Burger Works Colorado, LLC</t>
  </si>
  <si>
    <t xml:space="preserve">ADVANCE AUTO PARTS #6462</t>
  </si>
  <si>
    <t xml:space="preserve">S05419</t>
  </si>
  <si>
    <t xml:space="preserve">2745 E LAS VEGAS ST</t>
  </si>
  <si>
    <t xml:space="preserve">J D ADAMS CULVERT CO (1988; SIC 3317,3441,3462)</t>
  </si>
  <si>
    <t xml:space="preserve">J D ADAMS CULVERT CO (1988)</t>
  </si>
  <si>
    <t xml:space="preserve">El Paso County Criminal Justice Center [CDPHE Voluntary_Cleanup_and_Redevelopment_Program_(VCUP)_new; 45 m]</t>
  </si>
  <si>
    <t xml:space="preserve">Colorado Industrial Recycling [CDPHE Solid_Waste_Facilities; 60 m]</t>
  </si>
  <si>
    <t xml:space="preserve">SAND CREEK MULTI USE TRAIL [FRS; 31 m]</t>
  </si>
  <si>
    <t xml:space="preserve">El Paso County Criminal Justice Center</t>
  </si>
  <si>
    <t xml:space="preserve">COLORADO INDUSTRIAL RECYCLING</t>
  </si>
  <si>
    <t xml:space="preserve">S05424</t>
  </si>
  <si>
    <t xml:space="preserve">150 B ENTERPRISE</t>
  </si>
  <si>
    <t xml:space="preserve">BAR NONE (1988-1990; SIC 3599,3728)</t>
  </si>
  <si>
    <t xml:space="preserve">BAR NONE (1988)</t>
  </si>
  <si>
    <t xml:space="preserve">United Technologies: Petroleum [CDPHE Voluntary_Cleanup_and_Redevelopment_Program_(VCUP)_new; 169 m]</t>
  </si>
  <si>
    <t xml:space="preserve">INDUSTRIAL PRINTERS OF COLO INC [CDPHE RCRA; 81 m] | INDUSTRIAL PRINTERS OF COLO INC [FRS; 140 m] | CLASSIC COLLISION - 2048 - GARDEN [CDPHE RCRA; 159 m] | SPRINGS TRUCK CENTER [FRS; 207 m] | BARDECOLHOLDING DBA [FRS; 208 m]</t>
  </si>
  <si>
    <t xml:space="preserve">COLORADO TRANSMISSIONS [FRS; 85 m] | WINDOW WORLD [FRS; 178 m] | MAACO AUTO BODY [FRS; 243 m] | PIKEVIEW RESERVOIR [FRS; 248 m]</t>
  </si>
  <si>
    <t xml:space="preserve">United Technologies: Petroleum</t>
  </si>
  <si>
    <t xml:space="preserve">INDUSTRIAL PRINTERS OF COLO INC</t>
  </si>
  <si>
    <t xml:space="preserve">S05427</t>
  </si>
  <si>
    <t xml:space="preserve">1300 W FILLMORE ST</t>
  </si>
  <si>
    <t xml:space="preserve">BRODERICK+GIBBONS (1988-1990; SIC 2911)</t>
  </si>
  <si>
    <t xml:space="preserve">BRODERICK+GIBBONS (1988)</t>
  </si>
  <si>
    <t xml:space="preserve">Martin Marietta Asphalt Plant [CDPHE Voluntary_Cleanup_and_Redevelopment_Program_(VCUP)_new] (address match)</t>
  </si>
  <si>
    <t xml:space="preserve">LAFARGE WEST, INC. [FRS] (address match) | LAFARGE FILLMORE ASPHALT [TRI] (address match)</t>
  </si>
  <si>
    <t xml:space="preserve">FILLMORE STRAUS ASPHALT [FRS; 18 m] | MARTIN MARIETTA MTRLS - FILLMORE [FRS; 18 m] | MARTIN MARIETTA MTRLS - FILLMORE [FRS] (address match) | CRESTONE AT FILLMORE EAST APARTMENTS [FRS] (address match)</t>
  </si>
  <si>
    <t xml:space="preserve">Martin Marietta Asphalt Plant</t>
  </si>
  <si>
    <t xml:space="preserve">LAFARGE WEST, INC.</t>
  </si>
  <si>
    <t xml:space="preserve">KING SOOPERS 133</t>
  </si>
  <si>
    <t xml:space="preserve">S05444</t>
  </si>
  <si>
    <t xml:space="preserve">1682 S 21ST ST</t>
  </si>
  <si>
    <t xml:space="preserve">BJD ENGRAVING (1990; SIC 3479,3999)</t>
  </si>
  <si>
    <t xml:space="preserve">THE DRAPERY WORKS (1988) | BJD ENGRAVING (1990)</t>
  </si>
  <si>
    <t xml:space="preserve">Gold Hill Mesa - SW Corner [CDPHE Voluntary_Cleanup_and_Redevelopment_Program_(VCUP)_new; 54 m]</t>
  </si>
  <si>
    <t xml:space="preserve">Gold Hill Mesa - SW Corner</t>
  </si>
  <si>
    <t xml:space="preserve">S06256</t>
  </si>
  <si>
    <t xml:space="preserve">333 E FILLMORE</t>
  </si>
  <si>
    <t xml:space="preserve">BRUNNER + LAY INC (1990; SIC 3532)</t>
  </si>
  <si>
    <t xml:space="preserve">BRUNNER + LAY INC (1990)</t>
  </si>
  <si>
    <t xml:space="preserve">Timken Facility [CDPHE Voluntary_Cleanup_and_Redevelopment_Program_(VCUP)_new] (address match)</t>
  </si>
  <si>
    <t xml:space="preserve">Timken Facility</t>
  </si>
  <si>
    <t xml:space="preserve">WALGREENS #3584</t>
  </si>
  <si>
    <t xml:space="preserve">S06274</t>
  </si>
  <si>
    <t xml:space="preserve">2285 BUSCH</t>
  </si>
  <si>
    <t xml:space="preserve">FALCON LABORATORIES INC (1990; SIC 2819) | VULCAN SYSTEMS INC (1990; SIC 3728,3944)</t>
  </si>
  <si>
    <t xml:space="preserve">FALCON LABORATORIES INC (1990) | VULCAN SYSTEMS INC (1990)</t>
  </si>
  <si>
    <t xml:space="preserve">VULCAN SYSTEMS [FRS; name match, 190 m]</t>
  </si>
  <si>
    <t xml:space="preserve">TRIPLE A STUCCO [FRS; 24 m]</t>
  </si>
  <si>
    <t xml:space="preserve">VULCAN SYSTEMS</t>
  </si>
  <si>
    <t xml:space="preserve">COLORADO SPRINGS POLICE DEPT</t>
  </si>
  <si>
    <t xml:space="preserve">S06310</t>
  </si>
  <si>
    <t xml:space="preserve">309 SUNSET RD</t>
  </si>
  <si>
    <t xml:space="preserve">SUNSET MACHINE COMPANY (1990; SIC 3599)</t>
  </si>
  <si>
    <t xml:space="preserve">SUNSET MACHINE COMPANY (1990)</t>
  </si>
  <si>
    <t xml:space="preserve">NOB HILL CLEANERS [FRS; 40 m]</t>
  </si>
  <si>
    <t xml:space="preserve">JJF CO [FRS; 27 m]</t>
  </si>
  <si>
    <t xml:space="preserve">ACTION SIGNS</t>
  </si>
  <si>
    <t xml:space="preserve">S01070</t>
  </si>
  <si>
    <t xml:space="preserve">118 N 3RD</t>
  </si>
  <si>
    <t xml:space="preserve">FREMONT COUNTY SUN (1973; SIC 2711,3499,2026)</t>
  </si>
  <si>
    <t xml:space="preserve">CANON CITY SUN (1966) | FREMONT COUNTY SUN (1973) | SKYLINE LOCKER SERVICE INC (1974) | SUN PUBLICATIONS INC (1974) | CANON CITY SHOPPER (1992)</t>
  </si>
  <si>
    <t xml:space="preserve">CLOCKTOWER [FRS; 34 m] | NEW METHOD LAUNDRY &amp; CLEANERS [FRS; 66 m] | New Method (Canon City) [CDPHE RCRA_corrective_action; 71 m]</t>
  </si>
  <si>
    <t xml:space="preserve">LOUIS ORNELAS GARAGE [FRS; 22 m]</t>
  </si>
  <si>
    <t xml:space="preserve">CLOCKTOWER</t>
  </si>
  <si>
    <t xml:space="preserve">LOUIS ORNELAS GARAGE</t>
  </si>
  <si>
    <t xml:space="preserve">S02121</t>
  </si>
  <si>
    <t xml:space="preserve">115 E FRONT ST</t>
  </si>
  <si>
    <t xml:space="preserve">1970;1974;1977;1980;1983;1990</t>
  </si>
  <si>
    <t xml:space="preserve">FOX MACHINE SHOP (1970-1990; SIC 3591,3498)</t>
  </si>
  <si>
    <t xml:space="preserve">FLORENCE CITIZEN (1970) | FOX MACHINE SHOP (1970) | FLORENCE CITIZEN 2024 1CE CREAM AND FROZEN DESSERTS (1973) | LAYTON ORGANS INC (1974) | UAYTON ORGANS INC (1980) | ROVAL MARBLE (1992)</t>
  </si>
  <si>
    <t xml:space="preserve">FLORENCE BREWING CO [FRS; 34 m]</t>
  </si>
  <si>
    <t xml:space="preserve">ROYAL MARBLE, LLC [FRS; name match, 50 m]</t>
  </si>
  <si>
    <t xml:space="preserve">FLORENCE BREWING CO</t>
  </si>
  <si>
    <t xml:space="preserve">S02591</t>
  </si>
  <si>
    <t xml:space="preserve">413 MAIN ST</t>
  </si>
  <si>
    <t xml:space="preserve">ROYAL GORGE PLASTICS (1973; SIC 2751,3079,3993)</t>
  </si>
  <si>
    <t xml:space="preserve">ROYAL GORGE PLASTICS (1973) | LASTING IMPRESSIONS (1988) | BRUCE BELL + ASSOCIATES INC (1990)</t>
  </si>
  <si>
    <t xml:space="preserve">NEW METHOD LAUNDRY &amp; CLEANERS [FRS; 78 m] | New Method (Canon City) [CDPHE RCRA_corrective_action; 81 m]</t>
  </si>
  <si>
    <t xml:space="preserve">NEW METHOD LAUNDRY &amp; CLEANERS</t>
  </si>
  <si>
    <t xml:space="preserve">S03033</t>
  </si>
  <si>
    <t xml:space="preserve">320 MACON AVE</t>
  </si>
  <si>
    <t xml:space="preserve">CANON IRON WORKS (1974-1988; SIC 3446) | CANON [RGN WERKS (1980; SIC 3466)</t>
  </si>
  <si>
    <t xml:space="preserve">CANON IRON WORKS (1974) | CANON [RGN WERKS (1980)</t>
  </si>
  <si>
    <t xml:space="preserve">NEW METHOD LAUNDRY (PARKING) [FRS; 29 m]</t>
  </si>
  <si>
    <t xml:space="preserve">NEW METHOD LAUNDRY (PARKING)</t>
  </si>
  <si>
    <t xml:space="preserve">S04141</t>
  </si>
  <si>
    <t xml:space="preserve">1722 LOCUST ST</t>
  </si>
  <si>
    <t xml:space="preserve">INDUSTRIAL MACHINE + MANUFACTURING (1980; SIC 3523,3599)</t>
  </si>
  <si>
    <t xml:space="preserve">INDUSTRIAL MACHINE + MANUFACTURING (1980)</t>
  </si>
  <si>
    <t xml:space="preserve">Colorado Legacy Land LLC* [CDPHE CDPHE Superfund] (inside site boundary)</t>
  </si>
  <si>
    <t xml:space="preserve">THE TRANSMISSION CENTER [FRS; 22 m]</t>
  </si>
  <si>
    <t xml:space="preserve">S04986</t>
  </si>
  <si>
    <t xml:space="preserve">1711 LOCUST ST</t>
  </si>
  <si>
    <t xml:space="preserve">COLO ROD WEEDER INC (1983; SIC 3523,3599,3949) | IM+M EXERCISE EQUIPMENT INC (1990; SIC 3528,3949)</t>
  </si>
  <si>
    <t xml:space="preserve">COLO ROD WEEDER INC (1983) | IM+M EXERCISE EQUIPMENT INC (1990)</t>
  </si>
  <si>
    <t xml:space="preserve">THE TRANSMISSION CENTER [FRS] (address match)</t>
  </si>
  <si>
    <t xml:space="preserve">S05404</t>
  </si>
  <si>
    <t xml:space="preserve">0502 FREMONT CO RD68</t>
  </si>
  <si>
    <t xml:space="preserve">MONITOR EQUIP COTTER CORP (1988; SIC 2819) | COTTER CORP (1992; SIC 2819)</t>
  </si>
  <si>
    <t xml:space="preserve">MONITOR EQUIP COTTER CORP (1988) | COTTER CORP (1992)</t>
  </si>
  <si>
    <t xml:space="preserve">ST JOSEPH MANOR [FRS; 64 m] | FLORENCE MUNICIPAL CENTER [FRS; 64 m] | Florence Municipal Center [CDPHE CDPHE Brownfield; 92 m]</t>
  </si>
  <si>
    <t xml:space="preserve">YEVOLI COBBLESTONE - BEEDLE [FRS; 2 m] | ST JOSEPH'S HOSPITAL [FRS; 64 m] | CF ALTITUDE - ALTA #6329 [FRS; 154 m] | PESTER MARKETING COMPANY [FRS; 154 m] | FLORENCE SCHOOL DISTRICT RE-2J [FRS; 245 m]</t>
  </si>
  <si>
    <t xml:space="preserve">ST JOSEPH MANOR</t>
  </si>
  <si>
    <t xml:space="preserve">S01079</t>
  </si>
  <si>
    <t xml:space="preserve">102 S MAIN</t>
  </si>
  <si>
    <t xml:space="preserve">GUNNISON HAROWARE (1970; SIC 3949,3444,3079)</t>
  </si>
  <si>
    <t xml:space="preserve">GUNNISON HARDWARE (1966) | GUNNISCN FHARCHARE (1967) | COUNTY (1973)</t>
  </si>
  <si>
    <t xml:space="preserve">WESTERN HORIZON RESORTS, INC. [FRS; 22 m]</t>
  </si>
  <si>
    <t xml:space="preserve">WESTERN HORIZON RESORTS, INC.</t>
  </si>
  <si>
    <t xml:space="preserve">JOHN ROBERTS MOTOR WORKS</t>
  </si>
  <si>
    <t xml:space="preserve">S00397</t>
  </si>
  <si>
    <t xml:space="preserve">517 MAIN ST</t>
  </si>
  <si>
    <t xml:space="preserve">LA VETA</t>
  </si>
  <si>
    <t xml:space="preserve">RICHMADE INDUSTRIES (1965; SIC 3549)</t>
  </si>
  <si>
    <t xml:space="preserve">CONSOLIDATED PUBLISHING CO. (1965) | RICHMADE INDUSTRIES (1965)</t>
  </si>
  <si>
    <t xml:space="preserve">LA VETA SCHOOL HOUSE [FRS; 115 m] | La Veta School House [CDPHE CDPHE Brownfield; 147 m]</t>
  </si>
  <si>
    <t xml:space="preserve">LA VETA SCHOOL HOUSE</t>
  </si>
  <si>
    <t xml:space="preserve">S02123</t>
  </si>
  <si>
    <t xml:space="preserve">123 HOOPER ST</t>
  </si>
  <si>
    <t xml:space="preserve">HUERFANG ENTERPRISES (1970; SIC 3662,3432,2421)</t>
  </si>
  <si>
    <t xml:space="preserve">HUERFANG ENTERPRISES (1970)</t>
  </si>
  <si>
    <t xml:space="preserve">WALSENBURG ASBESTOS SITE [FRS; 124 m]</t>
  </si>
  <si>
    <t xml:space="preserve">LOAF N JUG INC NO 3 [FRS; 168 m] | UNITED COUNTRY BUTTE VALLEY REALTY [FRS; 209 m]</t>
  </si>
  <si>
    <t xml:space="preserve">S00415</t>
  </si>
  <si>
    <t xml:space="preserve">4565 INDIANA ST</t>
  </si>
  <si>
    <t xml:space="preserve">BOISE CASCADE CORP (1990; SIC 3089,2653) | BOISE CASCADE CONTAINERS (1990; SIC 2653,3086)</t>
  </si>
  <si>
    <t xml:space="preserve">BOISE CASCACE CORP (1965) | BOISE CASCADE CONTAINERS (1970) | BOISE CASCADE CONTAINERS (1990)</t>
  </si>
  <si>
    <t xml:space="preserve">HAZEN RESEARCH INC [FRS; 13 m] | Hazen Research [CDPHE RCRA_corrective_action; 52 m]</t>
  </si>
  <si>
    <t xml:space="preserve">ANACONDA NICKEL LTD [FRS; 13 m] | MONEO METALS LTD [FRS; 13 m] | CRI METAL PRODUCTS [FRS; 13 m] | PHELPS DODGE CORPORATION [FRS; 13 m] | MCCLELLAND AFB [FRS; 13 m] | PURON CORP [FRS; 13 m] | ROYAL GOLD INC [FRS; 13 m] | TECHLAW, INC. [FRS; 13 m] | MITSUI &amp; CO (USA) INC [FRS; 13 m] | INTERNATIONAL CURATOR [FRS; 13 m] | MERCK &amp; CO., INC. [FRS; 13 m] | E I DUPONT DE NEMOURS [FRS; 13 m] | LANGLEY AIR </t>
  </si>
  <si>
    <t xml:space="preserve">4630 INDIANA STREET [FRS; 26 m] | INTERNATIONAL PAPER-CORRUGATED BOX PLANT [FRS] (address match)</t>
  </si>
  <si>
    <t xml:space="preserve">HAZEN RESEARCH INC</t>
  </si>
  <si>
    <t xml:space="preserve">ANACONDA NICKEL LTD</t>
  </si>
  <si>
    <t xml:space="preserve">S01095</t>
  </si>
  <si>
    <t xml:space="preserve">6611 W 58TH PL</t>
  </si>
  <si>
    <t xml:space="preserve">1966;1973;1977;1980;1983;1990</t>
  </si>
  <si>
    <t xml:space="preserve">THORO PRODUCTS CO (1966-1990; SIC 2841) | ALPINE ENTERPRISES INC (1977; SIC 3599)</t>
  </si>
  <si>
    <t xml:space="preserve">THORO PRODUCTS CO (1966) | ALPINE ENTERPRISES INC (1977)</t>
  </si>
  <si>
    <t xml:space="preserve">Twins Inn Thoro [CDPHE Institutional_Controls_PROD_local; name match, 170 m] | 5891 Nolan, Arvada LLC [CDPHE Voluntary_Cleanup_and_Redevelopment_Program_(VCUP)_new; 156 m] | HANSEN CONTAINER ARVADA [FRS; 216 m]</t>
  </si>
  <si>
    <t xml:space="preserve">THORO PRODUCTS CO [FRS; name match, 57 m] | THE DOW CHEMICAL COMPANY [CDPHE RCRA; 44 m] | GENERAL IMAGING TECH [FRS; 111 m] | TWINS IN PRP GROUP [FRS; 151 m] | BFN INDUSTRIES, LLC [FRS; 178 m] | RINEHART LABORATORIES INC [FRS; 199 m] | SPECIALTY COATINGS [FRS; 204 m] | SWISHER INTERNATIONAL [FRS; 207 m] | GENERAL IMAGING TECHNOLOGY USA [FRS; 209 m] | RMCAT ENVIRONMENTAL SERVICES INC [FRS; 212 m] |</t>
  </si>
  <si>
    <t xml:space="preserve">RFI INDUSTRIES INC [FRS; 178 m] | KRESCO IND COATINGS [FRS; 178 m] | RIBBON TECHNOLOGY.CN [FRS; 204 m] | MACHINE MASTER, INC. [FRS; 210 m] | STIMACK CONSTRUCTION COMPANY [FRS; 212 m] | COMFORTZONE SECURITY STORM DOORS [FRS; 222 m] | HILL PETROLEUM - HILL PETROLEUM - [FRS; 235 m]</t>
  </si>
  <si>
    <t xml:space="preserve">5891 Nolan, Arvada LLC</t>
  </si>
  <si>
    <t xml:space="preserve">THE DOW CHEMICAL COMPANY</t>
  </si>
  <si>
    <t xml:space="preserve">S01098</t>
  </si>
  <si>
    <t xml:space="preserve">1240 HARLAN ST</t>
  </si>
  <si>
    <t xml:space="preserve">AMERICAN JET SPRAY INDUSTRIES INC (1966-1974; SIC 3441) | LAWN SPECIALIST CO INC (1973-1974; SIC 2875)</t>
  </si>
  <si>
    <t xml:space="preserve">AMERICAN JET SPRAY INDUSTRIES INC (1966) | LAWN SPECIALIST CO INC (1973)</t>
  </si>
  <si>
    <t xml:space="preserve">1240 Harlan Street, AAD Disposal [CDPHE RCRA_corrective_action; 58 m]</t>
  </si>
  <si>
    <t xml:space="preserve">COLORADO CAR WORKS [FRS; 37 m] | 1240 HARLAN LLC [FRS; 37 m]</t>
  </si>
  <si>
    <t xml:space="preserve">SUPERIOR ENGINES [FRS; 37 m] | SUPERIOR ENGINES [FRS] (address match)</t>
  </si>
  <si>
    <t xml:space="preserve">S01114</t>
  </si>
  <si>
    <t xml:space="preserve">600 9TH ST</t>
  </si>
  <si>
    <t xml:space="preserve">COORS PORCELAIN CO (1966; SIC 3599)</t>
  </si>
  <si>
    <t xml:space="preserve">COORS PORCELAIN CO (1966)</t>
  </si>
  <si>
    <t xml:space="preserve">Coors Tek [CDPHE Voluntary_Cleanup_and_Redevelopment_Program_(VCUP)_new; 59 m] | COORSTEK [FRS; 66 m] | COORSTEK [FRS] (address match) | Coors Tek [CDPHE Voluntary_Cleanup_and_Redevelopment_Program_(VCUP)_new] (address match) | Coors Tek II [CDPHE Voluntary_Cleanup_and_Redevelopment_Program_(VCUP)_new] (address match)</t>
  </si>
  <si>
    <t xml:space="preserve">COORSTEK [TRI] (address match)</t>
  </si>
  <si>
    <t xml:space="preserve">NINTH STREET [FRS; 22 m]</t>
  </si>
  <si>
    <t xml:space="preserve">Coors Tek</t>
  </si>
  <si>
    <t xml:space="preserve">SAFEWAY STORE #322</t>
  </si>
  <si>
    <t xml:space="preserve">S01123</t>
  </si>
  <si>
    <t xml:space="preserve">6000 W 13TH</t>
  </si>
  <si>
    <t xml:space="preserve">1967;1968;1974;1977;1990;1992</t>
  </si>
  <si>
    <t xml:space="preserve">BETTER BILT COOR CO OF COLORADO (1967-1977; SIC 2431,3429) | BETTER BILT CCCR CC CF CCLORADG (1968; SIC 2431,3425) | OKON INC (1974-1992; SIC 2899)</t>
  </si>
  <si>
    <t xml:space="preserve">BETTER BILT DOUR- CO OF COLORADO (1966) | BETTER BILT COOR CO OF COLORADO (1967) | BETTER BILT CCCR CC CF CCLORADG (1968) | OKON INC (1974)</t>
  </si>
  <si>
    <t xml:space="preserve">POLICE PROPERTY STORAGE [FRS; 40 m]</t>
  </si>
  <si>
    <t xml:space="preserve">OKON INC [TRI; name match, 42 m] | OKON INC [FRS; name match, 51 m]</t>
  </si>
  <si>
    <t xml:space="preserve">PARADISE AUTO BODY [FRS; 3 m]</t>
  </si>
  <si>
    <t xml:space="preserve">HARLAN STREET BOX CULVERT AND ASSOCIATED CHANNEL IMPROVEMENTS [FRS; 1 m]</t>
  </si>
  <si>
    <t xml:space="preserve">POLICE PROPERTY STORAGE</t>
  </si>
  <si>
    <t xml:space="preserve">PARADISE AUTO BODY</t>
  </si>
  <si>
    <t xml:space="preserve">S01567</t>
  </si>
  <si>
    <t xml:space="preserve">00 9TH ST</t>
  </si>
  <si>
    <t xml:space="preserve">COORS PORCELAIN co (1967; SIC 3269,3079)</t>
  </si>
  <si>
    <t xml:space="preserve">COORS PORCELAIN co (1967)</t>
  </si>
  <si>
    <t xml:space="preserve">Coors Tek II [CDPHE Voluntary_Cleanup_and_Redevelopment_Program_(VCUP)_new; 226 m] | Coors Tek [CDPHE Voluntary_Cleanup_and_Redevelopment_Program_(VCUP)_new; 234 m]</t>
  </si>
  <si>
    <t xml:space="preserve">E L HAYNER [FRS; 110 m] | REX OIL CO [FRS; 111 m] | THE INTEGER GROUP [FRS; 118 m] | COORS BREWING COMPANY [FRS; 153 m] | MOLSON COORS BREWING COMPANY [FRS; 155 m]</t>
  </si>
  <si>
    <t xml:space="preserve">RHINEHART OIL GOLDEN BULK PLANT [FRS; 111 m] | MILLERCOORS, LLC [FRS; 118 m] | COG 311 (DEMO) [FRS; 134 m] | ARNOLD CONSTRUCTION [FRS; 229 m] | MMI ETOH INC [FRS; 246 m]</t>
  </si>
  <si>
    <t xml:space="preserve">Coors Tek II</t>
  </si>
  <si>
    <t xml:space="preserve">E L HAYNER</t>
  </si>
  <si>
    <t xml:space="preserve">S01571</t>
  </si>
  <si>
    <t xml:space="preserve">4525 INDIANA ST</t>
  </si>
  <si>
    <t xml:space="preserve">1967;1973;1990;1992</t>
  </si>
  <si>
    <t xml:space="preserve">JEFFCO MANUFACTURING INC (1967; SIC 3411) | CONTINENTAL RHENIUM CORP (1973; SIC 2819) | BALL CORPORATION PACKAGING PRODUCTS (1990-1992; SIC 3411,3466)</t>
  </si>
  <si>
    <t xml:space="preserve">JEFFCO MANUFACTURING INC (1967) | CONTINENTAL RHENIUM CORP (1973) | STOPPERS, TILE COULOMETRICS INC (1988) | BALL CORPORATION PACKAGING PRODUCTS (1990)</t>
  </si>
  <si>
    <t xml:space="preserve">Ball Metal Container [CDPHE Voluntary_Cleanup_and_Redevelopment_Program_(VCUP)_new; 21 m]</t>
  </si>
  <si>
    <t xml:space="preserve">BALL METAL BEVERAGE CONTAINER CORPORATION [FRS] (address match) | BALL METAL BEVERAGE CONTAINER CORP [TRI] (address match)</t>
  </si>
  <si>
    <t xml:space="preserve">BALL METAL BEVERAGE CONTAINER CORP [CDPHE RCRA] (address match)</t>
  </si>
  <si>
    <t xml:space="preserve">Ball Metal Container</t>
  </si>
  <si>
    <t xml:space="preserve">S01574</t>
  </si>
  <si>
    <t xml:space="preserve">1250 SIMMS BCSOL</t>
  </si>
  <si>
    <t xml:space="preserve">QUALITY METAL PRODUCTS TNC (1967; SIC 3433,3444) | QUALITY METAL PRODUCTS INC (1973; SIC 3444)</t>
  </si>
  <si>
    <t xml:space="preserve">QUALITY METAL PRODUCTS TNC (1967) | QUALITY METAL PRODUCTS INC (1973)</t>
  </si>
  <si>
    <t xml:space="preserve">QUALITY METALS [FRS; name match, 27 m] | Quality Metal Product [CDPHE RCRA_corrective_action; name match, 83 m]</t>
  </si>
  <si>
    <t xml:space="preserve">QUALITY METAL PRODUCTS INC [TRI; name match, 148 m] | QUALITY METAL PRODUCTS INC. [FRS; name match, 216 m]</t>
  </si>
  <si>
    <t xml:space="preserve">MCCONNELL ASPHALT COATINGS INC [FRS; 24 m]</t>
  </si>
  <si>
    <t xml:space="preserve">QUALITY METALS</t>
  </si>
  <si>
    <t xml:space="preserve">QUALITY METAL PRODUCTS INC</t>
  </si>
  <si>
    <t xml:space="preserve">MCCONNELL ASPHALT COATINGS INC</t>
  </si>
  <si>
    <t xml:space="preserve">S01577</t>
  </si>
  <si>
    <t xml:space="preserve">6090 W 13TH AVE</t>
  </si>
  <si>
    <t xml:space="preserve">1967;1968;1973;1977;1980;1983</t>
  </si>
  <si>
    <t xml:space="preserve">0-C REINFORCEC PLASTICS (1967-1968; SIC 3079,3259) | D-C REINFORCED PLASTICS (1973-1983; SIC 3079,3544)</t>
  </si>
  <si>
    <t xml:space="preserve">0-C REINFORCEC PLASTICS (1967) | D-C REINFORCED PLASTICS (1973)</t>
  </si>
  <si>
    <t xml:space="preserve">LAMAR STATION CROSSING [FRS; 58 m]</t>
  </si>
  <si>
    <t xml:space="preserve">OKON INC [FRS; 37 m]</t>
  </si>
  <si>
    <t xml:space="preserve">R-L MANUFACTURING [FRS; 2 m] | R-L MANUFACTURING [FRS] (address match)</t>
  </si>
  <si>
    <t xml:space="preserve">LAMAR STATION CROSSING</t>
  </si>
  <si>
    <t xml:space="preserve">R-L MANUFACTURING</t>
  </si>
  <si>
    <t xml:space="preserve">S01580</t>
  </si>
  <si>
    <t xml:space="preserve">4880 MARSHALL</t>
  </si>
  <si>
    <t xml:space="preserve">1968;1973;1977;1980</t>
  </si>
  <si>
    <t xml:space="preserve">CCLSGN SIGN CO INC (1968; SIC 3593) | NORTHWEST HEATING + SHEET METAL (1973-1980; SIC 3444)</t>
  </si>
  <si>
    <t xml:space="preserve"> (1967) | CCLSGN SIGN CO INC (1968) | NORTHWEST HEATING + SHEET METAL (1973) | SIGN CENTER (1973)</t>
  </si>
  <si>
    <t xml:space="preserve">4900 MARSHAL GREEN DYE [FRS; 65 m] | 4949 MARSHALL [FRS; 93 m]</t>
  </si>
  <si>
    <t xml:space="preserve">PURE MAINTENANCE OF COLORADO LLC [FRS; 17 m] | CARLSON START UP WHEAT RIDGE [FRS; 31 m] | CARLSON MARSHALL STREET STORAGE [FRS; 31 m]</t>
  </si>
  <si>
    <t xml:space="preserve">4900 MARSHAL GREEN DYE</t>
  </si>
  <si>
    <t xml:space="preserve">WHEATRIDGE SANITATION DISTRICT</t>
  </si>
  <si>
    <t xml:space="preserve">S01869</t>
  </si>
  <si>
    <t xml:space="preserve">3685 MARSHALL</t>
  </si>
  <si>
    <t xml:space="preserve">STONE PAINTS + CFEMICALS (1968; SIC 2851)</t>
  </si>
  <si>
    <t xml:space="preserve">STONE PAINTS + CFEMICALS (1968)</t>
  </si>
  <si>
    <t xml:space="preserve">6455 W. 38TH AVENUE [FRS; 157 m] | Founders Park (aka Wheat Ridge DDT) [CDPHE CDPHE Brownfield; 220 m] | Wheatridge Park [CDPHE Institutional_Controls_PROD_local; 228 m]</t>
  </si>
  <si>
    <t xml:space="preserve">CHRISTOPHER HOUSE REHABILITATION AND CARE [FRS; 233 m]</t>
  </si>
  <si>
    <t xml:space="preserve">MARSHALL MANOR [FRS; 163 m] | HIGHLANDS SOUTH INC RENOVATION PH II [FRS; 174 m]</t>
  </si>
  <si>
    <t xml:space="preserve">6455 W. 38TH AVENUE</t>
  </si>
  <si>
    <t xml:space="preserve">CHRISTOPHER HOUSE REHABILITATION AND CARE</t>
  </si>
  <si>
    <t xml:space="preserve">S01892</t>
  </si>
  <si>
    <t xml:space="preserve">12280 W 50TH PL C033</t>
  </si>
  <si>
    <t xml:space="preserve">APACHE STEEL CORP (1968-1990; SIC 3446)</t>
  </si>
  <si>
    <t xml:space="preserve">APACHE STEEL CORP (1968)</t>
  </si>
  <si>
    <t xml:space="preserve">ALPINE MATERIALS [FRS; 151 m]</t>
  </si>
  <si>
    <t xml:space="preserve">ALL STAR AUTO BODY [FRS; 109 m] | MUNCHIANDO TRUCKING COMPANY [FRS; 151 m] | HERSHEY CORP/JOLLY RANCHER [FRS; 158 m] | SKYLINE LABS INC [FRS; 158 m] | SKYLINE LABS INC [CDPHE RCRA; 199 m] | EDA INSTRUMENTS INC [FRS; 218 m] | ITN ENERGY SYSTEM, INC. [FRS; 224 m] | CKY INCORPORATED [FRS; 230 m] | METALS TREATMENT TECHNOLOGIES [FRS; 231 m] | LOCKHEED MARTIN ASTRONAUTICS [FRS; 231 m]</t>
  </si>
  <si>
    <t xml:space="preserve">JOHNS CUSTOM CARS [FRS; 151 m] | THE RIDGE AT WARD STATION [FRS; 158 m] | HERSHEY FOODS, INC. [FRS; 158 m] | SPECIALTY PRODUCTS FOR CLEANING, INC [FRS; 158 m] | CERTAPRO PAINTERS OF LAKEWOOD, GOLDEN AND EVERGREEN [FRS; 204 m] | DCM SCIENCE LABORATORY INC. [FRS; 217 m] | OLSON INSTRUMENTS, INC. [FRS; 224 m] | GLASSTECH SOLAR INC [FRS; 231 m] | CF ALTITUDE - ALTA CONVIENCE 1243 [FRS; 248 m]</t>
  </si>
  <si>
    <t xml:space="preserve">ALPINE MATERIALS</t>
  </si>
  <si>
    <t xml:space="preserve">ALL STAR AUTO BODY</t>
  </si>
  <si>
    <t xml:space="preserve">S01895</t>
  </si>
  <si>
    <t xml:space="preserve">3920 ZEPHYR ST</t>
  </si>
  <si>
    <t xml:space="preserve">RCOFING EQUIPMENT INC (1968; SIC 3589)</t>
  </si>
  <si>
    <t xml:space="preserve">RCOFING EQUIPMENT INC (1968)</t>
  </si>
  <si>
    <t xml:space="preserve">GO FORD [FRS; 183 m] | 3900 WADSWORTH [FRS; 249 m]</t>
  </si>
  <si>
    <t xml:space="preserve">COSMOPROF #86131 [CDPHE RCRA; 149 m] | SAFEWAY STORE #1479 [FRS; 248 m] | JIFFY LUBE - #1001 [FRS; 249 m]</t>
  </si>
  <si>
    <t xml:space="preserve">DONALD PAUL QUILLEN DBA DENVER PAINT COMPANY [FRS; 230 m]</t>
  </si>
  <si>
    <t xml:space="preserve">GO FORD</t>
  </si>
  <si>
    <t xml:space="preserve">COSMOPROF #86131</t>
  </si>
  <si>
    <t xml:space="preserve">S02133</t>
  </si>
  <si>
    <t xml:space="preserve">5224 W 25TH AVE</t>
  </si>
  <si>
    <t xml:space="preserve">SMEE, WL CO (1970; SIC 3479,3461,3544) | SHEE, WC» CO (1973; SIC 3479,3544) | SMEE» W Le CO Y: (1974; SIC 3479,3544) | SMEE. WL,» 20 MARTIN A BAUER INTNL EMp-1 To 9 KANSAS CITY STAR KANSAS CITY MO (1977; SIC 3479)</t>
  </si>
  <si>
    <t xml:space="preserve">TRU-FIT DRAPERY SALES + SERVICE (1970) | SMEE, WL CO (1970) | SHEE, WC» CO (1973) | TRU-FIt DRAPERY SALES + SERVICE (1973) | TRU FIT SLIP COVER DRAPERY CO (1974) | SMEE» W Le CO Y: (1974) | SMEE. WL,» 20 MARTIN A BAUER INTNL EMp-1 To 9 KANSAS CITY STAR KANSAS CITY MO (1977) | SMEEe Wte CO (1980) | TRU FIT DRAPERY CO (1983) | SMEEs W Ls CO (1983) | WLSMEE CO (1990)</t>
  </si>
  <si>
    <t xml:space="preserve">DP Assets, LLC [CDPHE Voluntary_Cleanup_and_Redevelopment_Program_(VCUP)_new; 43 m]</t>
  </si>
  <si>
    <t xml:space="preserve">DP Assets, LLC</t>
  </si>
  <si>
    <t xml:space="preserve">FORMER AMOCO STATION</t>
  </si>
  <si>
    <t xml:space="preserve">S02464</t>
  </si>
  <si>
    <t xml:space="preserve">1290 HARLAN</t>
  </si>
  <si>
    <t xml:space="preserve">pp elbees (1973; SIC 3792) | MORSE BROS MACHINERY CO (1980; SIC 3811,3532)</t>
  </si>
  <si>
    <t xml:space="preserve">pp elbees (1973) | MORSE BROS MACHINERY CO (1980)</t>
  </si>
  <si>
    <t xml:space="preserve">POLICE PROPERTY STORAGE [FRS; 13 m] | 1240 Harlan Street, AAD Disposal [CDPHE RCRA_corrective_action; 34 m]</t>
  </si>
  <si>
    <t xml:space="preserve">OKON INC [TRI; 45 m] | OKON INC [FRS; 76 m]</t>
  </si>
  <si>
    <t xml:space="preserve">ADREAM MACHINE PRODUCTS, INCORPORATED [FRS; 13 m] | COLORADO CAR WORKS [FRS; 38 m] | 1240 HARLAN LLC [FRS; 38 m]</t>
  </si>
  <si>
    <t xml:space="preserve">SUPERIOR ENGINES [FRS; 38 m]</t>
  </si>
  <si>
    <t xml:space="preserve">ADREAM MACHINE PRODUCTS, INCORPORATED</t>
  </si>
  <si>
    <t xml:space="preserve">S02600</t>
  </si>
  <si>
    <t xml:space="preserve">6725 W 58TH PL</t>
  </si>
  <si>
    <t xml:space="preserve">1973;1983;1990;1992</t>
  </si>
  <si>
    <t xml:space="preserve">ROCKY MOUNTAIN CONTAINER corp (1973; SIC 3412) | COLO=MART INDUSTRIES INC (1983; SIC 3079,3599,2751) | LAYTON DENVER DRUM CO (1983; SIC 3412) | MC BRIDE SHEET METAL + CARRIGES (1983; SIC 3444) | MCBRIDE SHEET METAL + CARRIAGES (1990-1992; SIC 3443,3444,3499)</t>
  </si>
  <si>
    <t xml:space="preserve">ROCKY MOUNTAIN CONTAINER corp (1973) | COLO=MART INDUSTRIES INC (1983) | LAYTON DENVER DRUM CO (1983) | MC BRIDE SHEET METAL + CARRIGES (1983) | MCBRIDE SHEET METAL + CARRIAGES (1990) | RIBBON TECHNOLOGY CORP (1990)</t>
  </si>
  <si>
    <t xml:space="preserve">HANSEN CONTAINER ARVADA [FRS; 13 m] | HANSEN CONTAINER ARVADA [FRS] (address match)</t>
  </si>
  <si>
    <t xml:space="preserve">LAYTON DENVER DRUM CO [FRS; name match, 13 m] | SPECIALTY COATINGS [FRS; 4 m] | SWISHER INTERNATIONAL [FRS; 5 m] | GENERAL IMAGING TECHNOLOGY USA [FRS; 6 m] | BFN INDUSTRIES, LLC [FRS; 37 m] | LAYTON DENVER DRUM CO [FRS] (address match)</t>
  </si>
  <si>
    <t xml:space="preserve">RIBBON TECHNOLOGY.CN [FRS; name match, 4 m] | COMFORTZONE SECURITY STORM DOORS [FRS; 19 m] | RFI INDUSTRIES INC [FRS; 37 m] | KRESCO IND COATINGS [FRS; 37 m]</t>
  </si>
  <si>
    <t xml:space="preserve">HANSEN CONTAINER ARVADA</t>
  </si>
  <si>
    <t xml:space="preserve">SPECIALTY COATINGS</t>
  </si>
  <si>
    <t xml:space="preserve">S02616</t>
  </si>
  <si>
    <t xml:space="preserve">1020 WASHINGTON</t>
  </si>
  <si>
    <t xml:space="preserve">HALLCO INC (1973; SIC 3546,3622,3648)</t>
  </si>
  <si>
    <t xml:space="preserve">HALLCO INC (1973)</t>
  </si>
  <si>
    <t xml:space="preserve">Golden Ford II [CDPHE Voluntary_Cleanup_and_Redevelopment_Program_(VCUP)_new; 21 m] | Golden Ford I [CDPHE Voluntary_Cleanup_and_Redevelopment_Program_(VCUP)_new; 21 m]</t>
  </si>
  <si>
    <t xml:space="preserve">Golden Ford II</t>
  </si>
  <si>
    <t xml:space="preserve">S02638</t>
  </si>
  <si>
    <t xml:space="preserve">7200 W 38TH AVE</t>
  </si>
  <si>
    <t xml:space="preserve">DE BELL MACHINE PRODUCTS (1974; SIC 3451) | DE BELL MACHINE PRODUCTS (1980; SIC 3451)</t>
  </si>
  <si>
    <t xml:space="preserve">SHERRIE LYNN PRINTERS (1973) | DE BELL MACHINE PRODUCTS (1974) | DE BELL MACHINE PRODUCTS (1980)</t>
  </si>
  <si>
    <t xml:space="preserve">KATALUMA CHAI CO. [FRS; 63 m]</t>
  </si>
  <si>
    <t xml:space="preserve">EDGEWATER TYPEWRITER [FRS; 18 m]</t>
  </si>
  <si>
    <t xml:space="preserve">KATALUMA CHAI CO.</t>
  </si>
  <si>
    <t xml:space="preserve">EDGEWATER TYPEWRITER</t>
  </si>
  <si>
    <t xml:space="preserve">S02770</t>
  </si>
  <si>
    <t xml:space="preserve">4711 W 58TH AVE</t>
  </si>
  <si>
    <t xml:space="preserve">INDUSTRIAL CHEMICALS CORP (1974-1983; SIC 2869,2851,2819)</t>
  </si>
  <si>
    <t xml:space="preserve">INDUSTRIAL CHEMICALS CORP (1974)</t>
  </si>
  <si>
    <t xml:space="preserve">Brenntag, Industrial Chemicals Corp [CDPHE RCRA_corrective_action; name match, 150 m] | 4420 W. 58th Ave., Arvada [CDPHE Institutional_Controls_PROD_local] (inside site boundary)</t>
  </si>
  <si>
    <t xml:space="preserve">INDUSTRIAL CHEMICALS CORP [FRS; name match, 60 m] | INDUSTRIAL CHEMICALS CORP [FRS; name match, 106 m] | INDUSTRIAL CHEMICALS CORP [TRI; name match, 127 m] | INDUSTRIAL CHEMICALS CORP [FRS] (address match) | INDUSTRIAL CHEMICALS CORP [TRI] (address match)</t>
  </si>
  <si>
    <t xml:space="preserve">GEVO INC [FRS; 9 m] | BRENNTAG PACIFIC LLC [CDPHE RCRA] (address match)</t>
  </si>
  <si>
    <t xml:space="preserve">4710 W 58 AVE [FRS; 6 m]</t>
  </si>
  <si>
    <t xml:space="preserve">Brenntag, Industrial Chemicals Corp</t>
  </si>
  <si>
    <t xml:space="preserve">INDUSTRIAL CHEMICALS CORP</t>
  </si>
  <si>
    <t xml:space="preserve">GEVO INC</t>
  </si>
  <si>
    <t xml:space="preserve">S02955</t>
  </si>
  <si>
    <t xml:space="preserve">930 W 6TH AVE</t>
  </si>
  <si>
    <t xml:space="preserve">PANDA VEHICLES (1974; SIC 3711)</t>
  </si>
  <si>
    <t xml:space="preserve">PANDA VEHICLES (1974)</t>
  </si>
  <si>
    <t xml:space="preserve">INCA COMMONS [FRS; 111 m] | 500 N. Lipan Street, Denver [CDPHE Institutional_Controls_PROD_local; 221 m]</t>
  </si>
  <si>
    <t xml:space="preserve">SHERWIN-WILLIAMS #707409 [FRS; 103 m] | CINTAS CORP [FRS; 105 m] | MISS JENNY'S INC [FRS; 200 m] | S &amp; W PAINTING &amp; DECORATING [FRS; 220 m]</t>
  </si>
  <si>
    <t xml:space="preserve">Sherwin-Williams #7409 [CDPHE Solid_Waste_Facilities; 103 m]</t>
  </si>
  <si>
    <t xml:space="preserve">AB PETROLEUM INC NO 22 [FRS; 64 m] | AURA SANTA FE [FRS; 75 m] | BOLD DESIGNS [FRS; 88 m] | STORQUEST [FRS; 108 m] | WHEELHOUSE CONSTRUCTION [FRS; 116 m] | SURVIVAL FROG [FRS; 135 m] | GILLIAN MACCUNE RESIDENCE [FRS; 136 m] | BILL'S NORESIDE CONSTRUCTION [FRS; 136 m] | FOREST ST BUILDERS [FRS; 159 m] | C2 RENOVATIONS [FRS; 180 m] | INTERMOUNTAIN COLOR DENVER [FRS; 219 m]</t>
  </si>
  <si>
    <t xml:space="preserve">SHERWIN-WILLIAMS #707409</t>
  </si>
  <si>
    <t xml:space="preserve">S03064</t>
  </si>
  <si>
    <t xml:space="preserve">457 WADSWORTH BLVD</t>
  </si>
  <si>
    <t xml:space="preserve">A + © SERVICE CO (1974-1977; SIC 3442,3442)</t>
  </si>
  <si>
    <t xml:space="preserve">A + © SERVICE CO (1974)</t>
  </si>
  <si>
    <t xml:space="preserve">495 WADS PHASE I ESA [FRS; 60 m]</t>
  </si>
  <si>
    <t xml:space="preserve">WALMART SUPERCENTER #4284 [FRS; 32 m]</t>
  </si>
  <si>
    <t xml:space="preserve">495 WADS PHASE I ESA</t>
  </si>
  <si>
    <t xml:space="preserve">WALMART SUPERCENTER #4284</t>
  </si>
  <si>
    <t xml:space="preserve">S03083</t>
  </si>
  <si>
    <t xml:space="preserve">6261 W 13TH</t>
  </si>
  <si>
    <t xml:space="preserve">LIFE-TIME INC (1974; SIC 3496,3523,3446)</t>
  </si>
  <si>
    <t xml:space="preserve">LIFE-TIME INC (1974)</t>
  </si>
  <si>
    <t xml:space="preserve">Lamar Station Filing II [CDPHE Voluntary_Cleanup_and_Redevelopment_Program_(VCUP)_new; 43 m] | Lamar Crossing Station II [CDPHE Voluntary_Cleanup_and_Redevelopment_Program_(VCUP)_new; 43 m] | Lamar Station Crossing - Phase II [CDPHE Voluntary_Cleanup_and_Redevelopment_Program_(VCUP)_new; 43 m] | 6190 W 13TH AVE [FRS; 70 m]</t>
  </si>
  <si>
    <t xml:space="preserve">Lamar Station Filing II</t>
  </si>
  <si>
    <t xml:space="preserve">LAKEWOOD BRICK &amp; TILE CO.</t>
  </si>
  <si>
    <t xml:space="preserve">S03172</t>
  </si>
  <si>
    <t xml:space="preserve">596 SHERIDAN BLVD</t>
  </si>
  <si>
    <t xml:space="preserve">FABRICATION SPECIALTIES INC (1977; SIC 3441,3599,3079)</t>
  </si>
  <si>
    <t xml:space="preserve">FABRICATION SPECIALTIES INC (1977)</t>
  </si>
  <si>
    <t xml:space="preserve">SHERIDAN PCB DRUM SITE [FRS; 20 m] | Flair Cleaners [CDPHE Voluntary_Cleanup_and_Redevelopment_Program_(VCUP)_new; 181 m]</t>
  </si>
  <si>
    <t xml:space="preserve">FLAIR CLEANERS AND LAUNDRY [FRS; 109 m] | RE-CO BATTERY COMPANY INCORPORATED [FRS; 109 m] | ELTEX ENVIORNMENTAL SERVICES [FRS; 151 m] | DAVIS LABORATORIES [FRS; 151 m] | BLAIR LABELING SYSTEMS INC [FRS; 151 m] | WESTERN TESTING LABORATORIES INCORPORATED [FRS; 188 m]</t>
  </si>
  <si>
    <t xml:space="preserve">CIRCLE K STORE NO 3119 [FRS; 109 m] | SHERIDAN SIDEWALK PROJECT 6 AVE TO 10 AVE [FRS; 129 m] | SHERIDAN BRIDGE REPLACEMENT FBR 066A 49 [FRS; 149 m] | BRIDGE REPLACEMENT 6TH OVER SHERIDAN (FBR-006A-49) [FRS; 174 m] | RUSHTON CREMATION SERVICES INC [FRS; 185 m] | AT&amp;T WIRELESS EDGEMONT [FRS; 242 m]</t>
  </si>
  <si>
    <t xml:space="preserve">SHERIDAN PCB DRUM SITE</t>
  </si>
  <si>
    <t xml:space="preserve">FLAIR CLEANERS AND LAUNDRY</t>
  </si>
  <si>
    <t xml:space="preserve">S03431</t>
  </si>
  <si>
    <t xml:space="preserve">16047 W 4TH AVE</t>
  </si>
  <si>
    <t xml:space="preserve">MOUNTAIN CHEMICALS INC (1980; SIC 2899) | SHADE TREE ENGINEERING + MACHINE INC. (1980; SIC 3714)</t>
  </si>
  <si>
    <t xml:space="preserve">LOVE LIGHT CREATIONS (1977) | MOUNTAIN CHEMICALS INC (1980) | SHADE TREE ENGINEERING + MACHINE INC. (1980) | CLOSET ORGANIZERS» THE BY CLOSET MAGICIAN (1983) | ACACIA WOODWORKING (1990)</t>
  </si>
  <si>
    <t xml:space="preserve">MOUNTAIN CHEMICALS INC [FRS; name match, 85 m]</t>
  </si>
  <si>
    <t xml:space="preserve">MOUNTAIN CHEMICALS INC</t>
  </si>
  <si>
    <t xml:space="preserve">RS/RSR</t>
  </si>
  <si>
    <t xml:space="preserve">S04194</t>
  </si>
  <si>
    <t xml:space="preserve">12860 W CEDAR DR</t>
  </si>
  <si>
    <t xml:space="preserve">CASTLE ENGINEERING CO. (1980-1983; SIC 3559,3544) | SASH ENGINEERING (1988; SIC 3544,3559) | CAST DIES DIEMATICS INC (1988; SIC 3469,3541,3544)</t>
  </si>
  <si>
    <t xml:space="preserve">CASTLE ENGINEERING CO. (1980) | CEDAR PARK CUSTOM PRINTING (1983) | SASH ENGINEERING (1988) | CAST DIES DIEMATICS INC (1988) | CERAMED (1990)</t>
  </si>
  <si>
    <t xml:space="preserve">DENVER URBAN GARDENS AT GREEN MOUNTAIN UNITED METHODIST CHURCH [FRS; 71 m]</t>
  </si>
  <si>
    <t xml:space="preserve">BONDAR-CLEGG, INC. [FRS; 29 m]</t>
  </si>
  <si>
    <t xml:space="preserve">CERAMED CORP [FRS; name match, 59 m] | INNOTEK DENTAL CORP [FRS] (address match)</t>
  </si>
  <si>
    <t xml:space="preserve">S04195</t>
  </si>
  <si>
    <t xml:space="preserve">17755 W 32ND AVE</t>
  </si>
  <si>
    <t xml:space="preserve">COORS CONTAINER COMPANY (1980; SIC 3411,3222) | COORS COs ADOLPHs CONTAINER OPERATIONS (1983; SIC 3411,3221,2652)</t>
  </si>
  <si>
    <t xml:space="preserve">COORS CONTAINER COMPANY (1980) | COORS COs ADOLPHs CONTAINER OPERATIONS (1983)</t>
  </si>
  <si>
    <t xml:space="preserve">ROCKY MOUNTAIN METAL CONTAINER [FRS] (address match)</t>
  </si>
  <si>
    <t xml:space="preserve">ROCKY MOUNTAIN METAL CONTAINER [TRI] (address match)</t>
  </si>
  <si>
    <t xml:space="preserve">ROCKY MOUNTAIN METAL CONTAINER [CDPHE RCRA] (address match)</t>
  </si>
  <si>
    <t xml:space="preserve">RMMC- WASTE WATER TREATMENT BUILDING [FRS] (address match)</t>
  </si>
  <si>
    <t xml:space="preserve">COORSTEK, ELECTRONIC PRODUCTS GROUP</t>
  </si>
  <si>
    <t xml:space="preserve">COORSTEK INC - CLEAR CREEK VALLEY PLANT</t>
  </si>
  <si>
    <t xml:space="preserve">S04200</t>
  </si>
  <si>
    <t xml:space="preserve">15744 W 6 AVE</t>
  </si>
  <si>
    <t xml:space="preserve">CREATIVE PRODUCTIONS INC (1988; SIC 2842) | SOUTHWEST TOOLING INC (1990; SIC 3544)</t>
  </si>
  <si>
    <t xml:space="preserve">SAMS JAMS (1980) | COMMUNICATION INDUSTRIES INC (1983) | PRESS ON LABEL CO (1983) | CREATIVE PRODUCTIONS INC (1988) | GRAM’S FOODS INC (1988) | SOUTHWEST TOOLING (1988) | MAJESTIC RIBBON CORPORATION (1990) | DATA WORD PRODUCTS: (1992)</t>
  </si>
  <si>
    <t xml:space="preserve">INTERSTATE WAREHOUSE PARK [FRS; 201 m]</t>
  </si>
  <si>
    <t xml:space="preserve">PRESS ON LABEL CO.CN [FRS; name match, 93 m] | CENTENNIAL EQUIP CO INC [FRS; 101 m] | SILVER ANVIL ENGINEERING CORPORATION [FRS; 108 m] | COLLECTORS EDGE [FRS; 108 m] | HANS MANN - OWNER [FRS; 154 m] | WORLD ENVIRONMENTAL REMEDIATION [FRS; 160 m] | POWDER COATING SPECIALITIES - PCS [FRS; 174 m] | POWDER COATING SPECIALTIES INC [CDPHE RCRA; 180 m] | GOLDEN AUTO BODY [FRS; 208 m] | COLORADO ELECTRIC</t>
  </si>
  <si>
    <t xml:space="preserve">SILVER ANVIL ENGINEERING CORPORATION [FRS; 108 m] | COOPERHEAT [FRS; 200 m]</t>
  </si>
  <si>
    <t xml:space="preserve">INTERSTATE WAREHOUSE PARK</t>
  </si>
  <si>
    <t xml:space="preserve">PRESS ON LABEL CO.CN</t>
  </si>
  <si>
    <t xml:space="preserve">S04226</t>
  </si>
  <si>
    <t xml:space="preserve">11500 W 13TH AVE</t>
  </si>
  <si>
    <t xml:space="preserve">QUALITY METAL PRODUCTS ENC (1980-1990; SIC 3444)</t>
  </si>
  <si>
    <t xml:space="preserve">QUALITY METAL PRODUCTS ENC (1980)</t>
  </si>
  <si>
    <t xml:space="preserve">Quality Metal Product [CDPHE RCRA_corrective_action; name match, 119 m] | QUALITY METALS [FRS; name match, 189 m]</t>
  </si>
  <si>
    <t xml:space="preserve">QUALITY METAL PRODUCTS INC [TRI; name match, 43 m] | QUALITY METAL PRODUCTS INC. [FRS; name match, 53 m] | QUALITY METAL PRODUCTS INC. [FRS] (address match) | QUALITY METAL PRODUCTS INC [TRI] (address match)</t>
  </si>
  <si>
    <t xml:space="preserve">REGIONAL TRANSPORTATION DIST-13TH&amp;QUAIL [FRS; 30 m]</t>
  </si>
  <si>
    <t xml:space="preserve">Quality Metal Product</t>
  </si>
  <si>
    <t xml:space="preserve">REGIONAL TRANSPORTATION DIST-13TH&amp;QUAIL</t>
  </si>
  <si>
    <t xml:space="preserve">S04230</t>
  </si>
  <si>
    <t xml:space="preserve">65 SHERIDAN 8LVO</t>
  </si>
  <si>
    <t xml:space="preserve">STADIA CGLO CORP (1980; SIC 3955,2641,2893)</t>
  </si>
  <si>
    <t xml:space="preserve">STADIA CGLO CORP (1980)</t>
  </si>
  <si>
    <t xml:space="preserve">Fleur de Lis Apartments [CDPHE Voluntary_Cleanup_and_Redevelopment_Program_(VCUP)_new; 155 m]</t>
  </si>
  <si>
    <t xml:space="preserve">BETHANY NURSING &amp; REHAB CENTER LLC [FRS; 171 m] | FAMILY DOLLAR #6120 [FRS; 187 m]</t>
  </si>
  <si>
    <t xml:space="preserve">SEJ ASSET MGMT - 7-ELEVEN #26137 [FRS; 54 m] | AZTEC REAL ESTATE [FRS; 92 m] | BENTON ST POND RETROFIT [FRS; 198 m]</t>
  </si>
  <si>
    <t xml:space="preserve">Fleur de Lis Apartments</t>
  </si>
  <si>
    <t xml:space="preserve">BETHANY NURSING &amp; REHAB CENTER LLC</t>
  </si>
  <si>
    <t xml:space="preserve">S05022</t>
  </si>
  <si>
    <t xml:space="preserve">5201 W 56TH AVE</t>
  </si>
  <si>
    <t xml:space="preserve">HARTWELL FABRICATION CO (1983; SIC 3079)</t>
  </si>
  <si>
    <t xml:space="preserve">HARTWELL FABRICATION CO (1983)</t>
  </si>
  <si>
    <t xml:space="preserve">UNK [FRS; 38 m] | TWINS INN [FRS] (address match)</t>
  </si>
  <si>
    <t xml:space="preserve">READY MIXED CONCRETE PLANT 11 [FRS; 93 m]</t>
  </si>
  <si>
    <t xml:space="preserve">NATIONS BANK  CO411001 [FRS; 31 m]</t>
  </si>
  <si>
    <t xml:space="preserve">UNK</t>
  </si>
  <si>
    <t xml:space="preserve">READY MIXED CONCRETE PLANT 11</t>
  </si>
  <si>
    <t xml:space="preserve">NATIONS BANK  CO411001</t>
  </si>
  <si>
    <t xml:space="preserve">S05046</t>
  </si>
  <si>
    <t xml:space="preserve">12470 WE CEDAR ORS</t>
  </si>
  <si>
    <t xml:space="preserve">COMPACTION SPECIALIST INCe (1983; SIC 3531,3568)</t>
  </si>
  <si>
    <t xml:space="preserve">COMPACTION SPECIALIST INCe (1983)</t>
  </si>
  <si>
    <t xml:space="preserve">DENVER URBAN GARDENS AT GREEN MOUNTAIN UNITED METHODIST CHURCH [FRS; 193 m]</t>
  </si>
  <si>
    <t xml:space="preserve">GERBER COLLISION &amp; GLASS [CDPHE RCRA; 34 m] | BRISTLECONE SHOOTING [CDPHE RCRA; 34 m] | WORLD COMPASS COLLISION &amp; REFINISHING [CDPHE RCRA; 34 m] | MARTIN'S AUTOWORKS INC [FRS; 89 m] | WESTERN PANEL CORP [FRS; 116 m] | CARS COLLISION CENTER 20 [FRS; 119 m] | WORLD COMPASS COLLISION &amp; REFINISHING [FRS; 153 m] | EDCON INC [FRS; 187 m] | ZOETIS REFERENCE LABORATORIES [FRS; 205 m] | COORS BIOMEDICAL CO</t>
  </si>
  <si>
    <t xml:space="preserve">HIMMELMAN CONSTRUCTION [FRS; 59 m] | NORANDA EXPLORATION INC. [FRS; 69 m] | ROCKY MT BANDAG    (DELETED) [FRS; 89 m] | ALL COUNTY SUMMIT [FRS; 100 m] | BUILD3 [FRS; 100 m] | CERAMED CORP [FRS; 205 m] | INNOTEK DENTAL CORP [FRS; 205 m] | CONSOLIDATED CONSTRUCTION MANAGEMENT LLC [FRS; 205 m] | 1ST ELECTRIC CONTRATORS INC [FRS; 235 m]</t>
  </si>
  <si>
    <t xml:space="preserve">GERBER COLLISION &amp; GLASS</t>
  </si>
  <si>
    <t xml:space="preserve">S05094</t>
  </si>
  <si>
    <t xml:space="preserve">6425 W 44TH AVE</t>
  </si>
  <si>
    <t xml:space="preserve">E=Z CORNER MARKERS (1983; SIC 3079)</t>
  </si>
  <si>
    <t xml:space="preserve">E=Z CORNER MARKERS (1983)</t>
  </si>
  <si>
    <t xml:space="preserve">COMMERCIAL PROPERTIES ON 6405 WEST 44TH [FRS; 33 m]</t>
  </si>
  <si>
    <t xml:space="preserve">GRASSROOTS CONSTRUCTION [FRS; 15 m]</t>
  </si>
  <si>
    <t xml:space="preserve">COMMERCIAL PROPERTIES ON 6405 WEST 44TH</t>
  </si>
  <si>
    <t xml:space="preserve">CST METRO LLC DBA CORNER STORE #4148</t>
  </si>
  <si>
    <t xml:space="preserve">S05097</t>
  </si>
  <si>
    <t xml:space="preserve">4950 IRIS ST</t>
  </si>
  <si>
    <t xml:space="preserve">HIERATH * ANDREWS CORPORATION (1983; SIC 3559)</t>
  </si>
  <si>
    <t xml:space="preserve">HIERATH * ANDREWS CORPORATION (1983) | WHEAT RIDGE - WHEAT RIDGE 331 HIERATH+ANDREWS CORP (1988)</t>
  </si>
  <si>
    <t xml:space="preserve">ROCKY MOUNTAIN BANK NOTE [FRS; 55 m]</t>
  </si>
  <si>
    <t xml:space="preserve">ENVIRONMENTAL RESOURCE TECHNOLOGIES LLC [CDPHE RCRA; 5 m] | CUSTOM ENVELOPE CORPORATION [CDPHE RCRA; 5 m] | CHEM ASSAY INC [FRS; 17 m] | REGION 8 ENVIRO LLC [FRS; 23 m] | PRECAMBRIAN EXPLORATION INC [FRS; 34 m]</t>
  </si>
  <si>
    <t xml:space="preserve">ENVIRONMENTAL RESOURCE TECHNOLOGIES LLC</t>
  </si>
  <si>
    <t xml:space="preserve">S05174</t>
  </si>
  <si>
    <t xml:space="preserve">352 29 RD</t>
  </si>
  <si>
    <t xml:space="preserve">DIAMOND STOCK SADDLE CO. (1983; SIC 3199,3429)</t>
  </si>
  <si>
    <t xml:space="preserve">DIAMOND STOCK SADDLE CO. (1983)</t>
  </si>
  <si>
    <t xml:space="preserve">Markel Homes [CDPHE Voluntary_Cleanup_and_Redevelopment_Program_(VCUP)_new; 240 m] | Laundry Services, Inc. [CDPHE RCRA_corrective_action; 246 m] | 2915 Welton Development, LLC [CDPHE Voluntary_Cleanup_and_Redevelopment_Program_(VCUP)_new; 246 m]</t>
  </si>
  <si>
    <t xml:space="preserve">DENVER MOTOR VEHICLE MAIN OFFICE [FRS; 62 m] | CCH GLENARM/LINCOLN INC [CDPHE RCRA; 109 m] | KINDRED HOSPITAL - DENVER SOUTH [FRS; 177 m] | LAUNDRY SVCS INC [FRS; 216 m]</t>
  </si>
  <si>
    <t xml:space="preserve">CARL MATTSON PROPERTY #11 [FRS; 129 m] | MARION STREET SYSTEM PHASE II [FRS; 171 m] | LEE RESIDENCE [FRS; 177 m]</t>
  </si>
  <si>
    <t xml:space="preserve">Markel Homes</t>
  </si>
  <si>
    <t xml:space="preserve">DENVER MOTOR VEHICLE MAIN OFFICE</t>
  </si>
  <si>
    <t xml:space="preserve">S05287</t>
  </si>
  <si>
    <t xml:space="preserve">4972 SHERIDAN BLVD</t>
  </si>
  <si>
    <t xml:space="preserve">BEKELE (1988; SIC 3089,3479,3982)</t>
  </si>
  <si>
    <t xml:space="preserve">BEKELE (1988)</t>
  </si>
  <si>
    <t xml:space="preserve">SHERIDAN DUMP [FRS; 1 m]</t>
  </si>
  <si>
    <t xml:space="preserve">CONSTRUCTION SITE [FRS; 1 m]</t>
  </si>
  <si>
    <t xml:space="preserve">5200 SHERIDAN BLVD [FRS; 79 m] | SHERIDAN MOBILE HOME PARK [FRS; 202 m]</t>
  </si>
  <si>
    <t xml:space="preserve">SHERIDAN DUMP</t>
  </si>
  <si>
    <t xml:space="preserve">CONSTRUCTION SITE</t>
  </si>
  <si>
    <t xml:space="preserve">S05289</t>
  </si>
  <si>
    <t xml:space="preserve">1418 NEWLAND WAY</t>
  </si>
  <si>
    <t xml:space="preserve">CROUTONS J M FABRICATION INC (1988; SIC 3499,3863,2752)</t>
  </si>
  <si>
    <t xml:space="preserve">CROUTONS J M FABRICATION INC (1988)</t>
  </si>
  <si>
    <t xml:space="preserve">Key Bank Branch Facility [CDPHE Voluntary_Cleanup_and_Redevelopment_Program_(VCUP)_new; 178 m] | Oppenheimer Trust [CDPHE Voluntary_Cleanup_and_Redevelopment_Program_(VCUP)_new; 248 m]</t>
  </si>
  <si>
    <t xml:space="preserve">MR TUX [FRS; 181 m] | BOBS AUTO BODY &amp; PAINT [FRS; 203 m] | FAMILY DOLLAR #2804 [FRS; 205 m] | ADAMS FINE FURNITURE AND CABINETRY [FRS; 210 m] | MAG CO TRANSMISSION [FRS; 232 m] | SHARON DRY CLEANERS.CN [FRS; 247 m]</t>
  </si>
  <si>
    <t xml:space="preserve">NORTH DRY GULCH CP2 [FRS; 76 m] | GERBER COLLISION -6700 COLFAX [FRS; 179 m] | REALTY ONE, INC. [FRS; 202 m] | LAMAR KENDALL APARTMENTS [FRS; 203 m] | T&amp;G PLUS 6, LLC [FRS; 210 m] | PIERCE ST. [FRS; 220 m] | LAMAR STREET EARTHWORK [FRS; 232 m]</t>
  </si>
  <si>
    <t xml:space="preserve">MR TUX</t>
  </si>
  <si>
    <t xml:space="preserve">S05828</t>
  </si>
  <si>
    <t xml:space="preserve">1313 WASHINGTON AVE</t>
  </si>
  <si>
    <t xml:space="preserve">BENEDICT NUCLEAR PHARMACEUTICALS (1988-1990; SIC 2834)</t>
  </si>
  <si>
    <t xml:space="preserve">BENEDICT NUCLEAR PHARMACEUTICALS (1988)</t>
  </si>
  <si>
    <t xml:space="preserve">DRY CLEANERS SITE [FRS; 69 m]</t>
  </si>
  <si>
    <t xml:space="preserve">WOODYS WOOD FIRED PIZZA [FRS; 17 m]</t>
  </si>
  <si>
    <t xml:space="preserve">DRY CLEANERS SITE</t>
  </si>
  <si>
    <t xml:space="preserve">13TH AND FORD STREET SITE</t>
  </si>
  <si>
    <t xml:space="preserve">S05918</t>
  </si>
  <si>
    <t xml:space="preserve">11875 W 13TH AVE</t>
  </si>
  <si>
    <t xml:space="preserve">CONVEYORS WEST CORP (1988; SIC 3535)</t>
  </si>
  <si>
    <t xml:space="preserve">CONVEYORS WEST CORP (1988)</t>
  </si>
  <si>
    <t xml:space="preserve">QUALITY METALS [FRS; 125 m] | Quality Metal Product [CDPHE RCRA_corrective_action; 133 m]</t>
  </si>
  <si>
    <t xml:space="preserve">QUALITY METAL PRODUCTS INC [TRI; 97 m] | QUALITY METAL PRODUCTS INC. [FRS; 191 m]</t>
  </si>
  <si>
    <t xml:space="preserve">CORE INTERNATIONAL/LES NELSON [FRS; 70 m] | MCCONNELL ASPHALT COATINGS INC [FRS; 73 m] | GW STARBUCK &amp; COMPANY [FRS; 139 m] | REGIONAL TRANSPORTATION DIST-13TH&amp;QUAIL [FRS; 169 m] | AUTOBODY &amp; PAINT SPECIALISTS [FRS; 206 m] | DAVIS LABORATORIES [FRS; 206 m] | WR ROCKY II DBA PRO-TECH POWDER COATING [FRS; 221 m]</t>
  </si>
  <si>
    <t xml:space="preserve">FPG COLORADO - LAKEWOOD CREMATORY [FRS; 65 m] | NORWIGEN INDUSTRY CO LTD [FRS; 125 m] | RTD WEST CORRIDOR LIGHT RAIL [FRS; 234 m]</t>
  </si>
  <si>
    <t xml:space="preserve">CORE INTERNATIONAL/LES NELSON</t>
  </si>
  <si>
    <t xml:space="preserve">S07034</t>
  </si>
  <si>
    <t xml:space="preserve">33180 US HWY 40</t>
  </si>
  <si>
    <t xml:space="preserve">BELLWETHER MACHINES INC (1992; SIC 3532,3569,3825)</t>
  </si>
  <si>
    <t xml:space="preserve">BELLWETHER MACHINES INC (1992)</t>
  </si>
  <si>
    <t xml:space="preserve">S07074</t>
  </si>
  <si>
    <t xml:space="preserve">7610 W COLFAX AVE</t>
  </si>
  <si>
    <t xml:space="preserve">FURS BY ROCHELLE LID (1992; SIC 2371,3556,3600)</t>
  </si>
  <si>
    <t xml:space="preserve">FURS BY ROCHELLE LID (1992)</t>
  </si>
  <si>
    <t xml:space="preserve">McVey Investments, LLC [CDPHE Voluntary_Cleanup_and_Redevelopment_Program_(VCUP)_new; 54 m] | Christopher Dodge II [CDPHE Voluntary_Cleanup_and_Redevelopment_Program_(VCUP)_new; 54 m]</t>
  </si>
  <si>
    <t xml:space="preserve">CNB ASSET CORPORATION [FRS; 16 m] | ROTWEILER TRANSMISSIONS / ENG [FRS; 38 m]</t>
  </si>
  <si>
    <t xml:space="preserve">McVey Investments, LLC</t>
  </si>
  <si>
    <t xml:space="preserve">CNB ASSET CORPORATION</t>
  </si>
  <si>
    <t xml:space="preserve">S03731</t>
  </si>
  <si>
    <t xml:space="preserve">302 MILL ST ETR2Z2</t>
  </si>
  <si>
    <t xml:space="preserve">MARTIN'S BOOT AND SADDLE (1983; SIC 3199,3429,3172)</t>
  </si>
  <si>
    <t xml:space="preserve">DESIGN ILI (1980) | DESIGN III (1983) | MARTIN'S BOOT AND SADDLE (1983) | SUNFLAKE CORP (1983)</t>
  </si>
  <si>
    <t xml:space="preserve">Bayfield Open Space Site [CDPHE CDPHE Brownfield; 105 m]</t>
  </si>
  <si>
    <t xml:space="preserve">SOUTH BAYFIELD PIPELINE RELOCATION [FRS; 21 m] | WESTERN SELECT [FRS; 147 m] | M &amp; R DURANGO [FRS; 246 m]</t>
  </si>
  <si>
    <t xml:space="preserve">Bayfield Open Space Site</t>
  </si>
  <si>
    <t xml:space="preserve">S00434</t>
  </si>
  <si>
    <t xml:space="preserve">2303 W EIGHTH ST</t>
  </si>
  <si>
    <t xml:space="preserve">1966;1973;1980;1983;1988;1990;1992</t>
  </si>
  <si>
    <t xml:space="preserve">SCIENTIFIC ELECTRONIC PRODUCTS INC (1966; SIC 3679) | COLORADO CRYSTAL CORP (1973-1992; SIC 3679) | GOLORADO CRYSTAL CORP (1980; SIC 3679) | GOVELANO INDUSTRIES INC (1980; SIC 2879,2048,3993)</t>
  </si>
  <si>
    <t xml:space="preserve">SCIENTIFIC RACIO PROD. INC. (1965) | SCIENTIFIC ELECTRONIC PRODUCTS INC (1966) | SCIENTIFIC ie (1967) | COLORADO CRYSTAL CORP (1973) | COLORADO CRYSTAL Core 3469 METAL STAMPING, NEC (1977) | GOLORADO CRYSTAL CORP (1980) | GOVELANO INDUSTRIES INC (1980)</t>
  </si>
  <si>
    <t xml:space="preserve">Colorado Crystal, AKA Northrup Gruman [CDPHE RCRA_corrective_action; name match, 50 m] | Colorado Crystal Corporation [CDPHE Institutional_Controls_PROD_local; name match, 117 m] | Bidwell Property [CDPHE Voluntary_Cleanup_and_Redevelopment_Program_(VCUP)_new; 67 m] | Colorado Crystal Corporation [CDPHE Institutional_Controls_PROD_local] (inside site boundary)</t>
  </si>
  <si>
    <t xml:space="preserve">COLORADO CRYSTAL CORPORATION [FRS; name match, 214 m]</t>
  </si>
  <si>
    <t xml:space="preserve">Colorado Crystal, AKA Northrup Gruman</t>
  </si>
  <si>
    <t xml:space="preserve">LOVELAND INDUSTRIES INC</t>
  </si>
  <si>
    <t xml:space="preserve">S01149</t>
  </si>
  <si>
    <t xml:space="preserve">342 E MOUNTAIN AVE</t>
  </si>
  <si>
    <t xml:space="preserve">SCHNEIDMILLER INDUSTRIES (1973; SIC 3591) | SCHNEIOMILLER INDUSTRIES INC (1980-1990; SIC 3599,3544) | SCREW STUDS ASBUSRIES INE (1988; SIC 3544,3599)</t>
  </si>
  <si>
    <t xml:space="preserve">FO-CO PRINTING CO (1966) | SCHNEIDMILLER INDUSTRIES (1973) | SCHNEIOMILLER INDUSTRIES INC (1980) | SCREW STUDS ASBUSRIES INE (1988)</t>
  </si>
  <si>
    <t xml:space="preserve">Paramont Cleaners [CDPHE RCRA_corrective_action; 30 m] | PARAMOUNT LAUNDRY [FRS; 33 m]</t>
  </si>
  <si>
    <t xml:space="preserve">PARAMOUNT LAUNDRY &amp; CLNRS [FRS; 14 m] | PARAMONT LAUNDRY &amp; CLEANERS INC [CDPHE RCRA; 16 m] | THERMOFISHER SCIENTIFIC [FRS; 18 m] | THERMOFISHER SCIENTIFIC [CDPHE RCRA; 37 m]</t>
  </si>
  <si>
    <t xml:space="preserve">300 E MOUNTAIN REDEVELOPMENT [FRS; 14 m] | THERMOFISHER SCIENTIFIC [FRS; 37 m]</t>
  </si>
  <si>
    <t xml:space="preserve">Paramont Cleaners</t>
  </si>
  <si>
    <t xml:space="preserve">PARAMOUNT LAUNDRY &amp; CLNRS</t>
  </si>
  <si>
    <t xml:space="preserve">S01596</t>
  </si>
  <si>
    <t xml:space="preserve">401 PINE</t>
  </si>
  <si>
    <t xml:space="preserve">1967;1980;1983;1990</t>
  </si>
  <si>
    <t xml:space="preserve">GLODINGS MACFINE CO (1967-1983; SIC 3533) | GIDDINGS MACHINE CO INC (1990; SIC 3523)</t>
  </si>
  <si>
    <t xml:space="preserve">GLODINGS MACFINE CO (1967) | VALLEY ENVELOPEes INC. (1980) | GIDDINGS MACHINE CO INC (1990)</t>
  </si>
  <si>
    <t xml:space="preserve">GIDDINGS MANUFACTURING COMPANY [FRS; name match, 38 m] | WILLOW AND PINE MULTI-FAMILY RESIDENCES [FRS; 53 m]</t>
  </si>
  <si>
    <t xml:space="preserve">PAVEMENT RECLAIMING CONCEPTS [FRS; 38 m]</t>
  </si>
  <si>
    <t xml:space="preserve">GIDDINGS MANUFACTURING COMPANY</t>
  </si>
  <si>
    <t xml:space="preserve">RANCH WAY FEED MILLS</t>
  </si>
  <si>
    <t xml:space="preserve">HIDDEN TREASURE STRIPPING</t>
  </si>
  <si>
    <t xml:space="preserve">S01597</t>
  </si>
  <si>
    <t xml:space="preserve">609 S MASON</t>
  </si>
  <si>
    <t xml:space="preserve">HOME BAKERY 3079 MISCELLANEOUS PLASTICS PRODUCTS (1974; SIC 3079)</t>
  </si>
  <si>
    <t xml:space="preserve">HOME BAKERY (1967) | HOME BAKERY 3079 MISCELLANEOUS PLASTICS PRODUCTS (1974)</t>
  </si>
  <si>
    <t xml:space="preserve">ECON-O-WASH DRY CLEANERS [FRS; 171 m] | COLLEGE CLEANERS FC [FRS; 241 m]</t>
  </si>
  <si>
    <t xml:space="preserve">CSU UNIVERSITY SERVICES CENTER [FRS; 150 m] | A &amp; B DRYCLEANING [FRS; 165 m] | BRAVE NEW WHEELS [FRS; 171 m] | TARGET STORE T3416 [FRS; 248 m]</t>
  </si>
  <si>
    <t xml:space="preserve">A&amp;B CLEANERS [FRS; 165 m] | RMP MANAGEMENT LLC [FRS; 171 m] | BOHEMIAN MUSIC DISTRICT [FRS; 176 m] | MINI MART - LOAF N JUG 827 [FRS; 191 m]</t>
  </si>
  <si>
    <t xml:space="preserve">ECON-O-WASH DRY CLEANERS</t>
  </si>
  <si>
    <t xml:space="preserve">CSU UNIVERSITY SERVICES CENTER</t>
  </si>
  <si>
    <t xml:space="preserve">S01906</t>
  </si>
  <si>
    <t xml:space="preserve">1325 RIVERSICE</t>
  </si>
  <si>
    <t xml:space="preserve">POUGRE PLASTICS, INC (1968; SIC 3079)</t>
  </si>
  <si>
    <t xml:space="preserve">POUGRE PLASTICS, INC (1968)</t>
  </si>
  <si>
    <t xml:space="preserve">Gannett Printing [CDPHE Voluntary_Cleanup_and_Redevelopment_Program_(VCUP)_new; 227 m]</t>
  </si>
  <si>
    <t xml:space="preserve">BRUCE W KORNFELD MD [FRS; 173 m] | ANDERSON PODIATRY SURGERY CENTER [FRS; 173 m] | REHABILITATION AND NURSING CENTER OF THE ROCKIES [FRS; 203 m] | FORT COLLINS UROLOGY CENTER [FRS; 203 m] | REHABILITATION AND NURSING CENTER OF THE ROCKIES [CDPHE RCRA; 239 m]</t>
  </si>
  <si>
    <t xml:space="preserve">City of Fort Collins - Hoffman Mill/HOF [CDPHE Solid_Waste_Facilities; 226 m]</t>
  </si>
  <si>
    <t xml:space="preserve">HOFFMAN MILL CRUSHING FACILITY [FRS; 149 m] | HOME SOLUTIONS, INC. [FRS; 154 m] | THE COLORADOAN [FRS; 158 m] | CITY OF FORT COLLINS STREETS DEPT [FRS; 160 m] | HOFFMAN MILL CRUSHING FACILITY [FRS; 222 m]</t>
  </si>
  <si>
    <t xml:space="preserve">Gannett Printing</t>
  </si>
  <si>
    <t xml:space="preserve">BRUCE W KORNFELD MD</t>
  </si>
  <si>
    <t xml:space="preserve">S02149</t>
  </si>
  <si>
    <t xml:space="preserve">2211 W 8TH ST</t>
  </si>
  <si>
    <t xml:space="preserve">1970;1973;1988;1990</t>
  </si>
  <si>
    <t xml:space="preserve">AMAX ALUMINUM MILL PRODUCTS (1970-1973; SIC 3449) | ALUMAX FABRICATION PRODUCTS INC (1988-1990; SIC 2211,3444)</t>
  </si>
  <si>
    <t xml:space="preserve">AMAX ALUMINUM MILL PRODUCTS (1970) | ALUMAX FABRICATION PRODUCTS INC (1988)</t>
  </si>
  <si>
    <t xml:space="preserve">Bidwell Property [CDPHE Voluntary_Cleanup_and_Redevelopment_Program_(VCUP)_new; 72 m]</t>
  </si>
  <si>
    <t xml:space="preserve">JORGENSEN LABORATORIES [FRS; 22 m] | JORGENSEN LABORATORIES [FRS] (address match)</t>
  </si>
  <si>
    <t xml:space="preserve">JORGENSEN LABORATORIES, INC. [FRS; 22 m] | JORGENSEN LABORATORIES, INC. [FRS] (address match)</t>
  </si>
  <si>
    <t xml:space="preserve">Bidwell Property</t>
  </si>
  <si>
    <t xml:space="preserve">JORGENSEN LABORATORIES</t>
  </si>
  <si>
    <t xml:space="preserve">S02653</t>
  </si>
  <si>
    <t xml:space="preserve">900 E LINCOLN</t>
  </si>
  <si>
    <t xml:space="preserve">COLUMNBINE PRODUCTS INC (1980-1983; SIC 3079,3999)</t>
  </si>
  <si>
    <t xml:space="preserve">COLUMBINE PRODUCTS, INC. (1973) | COLUMNBINE PRODUCTS INC (1980)</t>
  </si>
  <si>
    <t xml:space="preserve">INTERMOUNTAIN TANNING [FRS; 68 m]</t>
  </si>
  <si>
    <t xml:space="preserve">WOODWARD LINCOLN CAMPUS [FRS; 30 m]</t>
  </si>
  <si>
    <t xml:space="preserve">INTERMOUNTAIN TANNING</t>
  </si>
  <si>
    <t xml:space="preserve">ODELL BREWING COMPANY</t>
  </si>
  <si>
    <t xml:space="preserve">S03478</t>
  </si>
  <si>
    <t xml:space="preserve">407 N LINCOLN AVE</t>
  </si>
  <si>
    <t xml:space="preserve">LOVELAND RUBBER STAMP + Copy COMPANY (1977-1980; SIC 3953,3079)</t>
  </si>
  <si>
    <t xml:space="preserve">OUNARS PRODUCTIONS (1974) | LOVELAND RUBBER STAMP + Copy COMPANY (1977) | SUNDANCE PRINTING (1980) | SKY-WAY PUBLICATIONS (1990)</t>
  </si>
  <si>
    <t xml:space="preserve">LESLIE CLEANERS [FRS; 108 m]</t>
  </si>
  <si>
    <t xml:space="preserve">LUNDEEN STUDIOS [FRS; 59 m]</t>
  </si>
  <si>
    <t xml:space="preserve">STROH AND COMPANY REALTY [FRS; 23 m]</t>
  </si>
  <si>
    <t xml:space="preserve">LESLIE CLEANERS</t>
  </si>
  <si>
    <t xml:space="preserve">LUNDEEN STUDIOS</t>
  </si>
  <si>
    <t xml:space="preserve">S03479</t>
  </si>
  <si>
    <t xml:space="preserve">342 N LINCOLN</t>
  </si>
  <si>
    <t xml:space="preserve">PERFECT PATTERN AND MOLD LTD (1977; SIC 3544)</t>
  </si>
  <si>
    <t xml:space="preserve">PERFECT PATTERN AND MOLD LTD (1977)</t>
  </si>
  <si>
    <t xml:space="preserve">LESLIE CLEANERS [FRS; 27 m] | Leslie the Cleaner Redevelopment [CDPHE Voluntary_Cleanup_and_Redevelopment_Program_(VCUP)_new; 38 m] | Leslie the Cleaner [CDPHE Voluntary_Cleanup_and_Redevelopment_Program_(VCUP)_new; 40 m]</t>
  </si>
  <si>
    <t xml:space="preserve">S04293</t>
  </si>
  <si>
    <t xml:space="preserve">2440 NUS HWY 287</t>
  </si>
  <si>
    <t xml:space="preserve">LAPORTE</t>
  </si>
  <si>
    <t xml:space="preserve">80535</t>
  </si>
  <si>
    <t xml:space="preserve">EM@IRE INDUSTRIES (1980; SIC 3499,3873) | EMPIRE INDUSTRIES (1983-1988; SIC 3499,3873)</t>
  </si>
  <si>
    <t xml:space="preserve">EM@IRE INDUSTRIES (1980) | EMPIRE INDUSTRIES (1983) | COLDIRON MACHINE SHOP (1992)</t>
  </si>
  <si>
    <t xml:space="preserve">Mr. Mechanic [CDPHE Voluntary_Cleanup_and_Redevelopment_Program_(VCUP)_new; 152 m]</t>
  </si>
  <si>
    <t xml:space="preserve">COLLINS AUTO RENEWAL [CDPHE RCRA; 33 m] | GENERAL PARTS DISTRIBUTION LLC DBA CARQUEST AUTO PARTS #3901 [CDPHE RCRA; 33 m] | CSU-ENGINE AND ENERGY LAB [CDPHE RCRA; 33 m] | RAPID LUBE/ADAI - LTD [CDPHE RCRA; 33 m] | O'REILLY AUTO PARTS  [CDPHE RCRA; 33 m] | SLATTENS AUTOMOTIVE [CDPHE RCRA; 33 m] | KING SOOPERS 99 [FRS; 194 m] | AUTO PARTS [FRS; 210 m] | G MICHAEL'S RESTORATION LLC [FRS; 236 m]</t>
  </si>
  <si>
    <t xml:space="preserve">NORTH COLLEGE MARKETPLACE [FRS; 147 m] | LEGACY TRACTOR [FRS; 156 m] | NORTH COLLEGE MARKET PLACE [FRS; 179 m] | MR. MECHANIC (FORT COLLINS) [FRS; 188 m] | US 287 PEDESTRIAN SOUTH GAP [FRS; 201 m] | NORTON'S AUTO SOLUTIONS [FRS; 214 m] | DILLON COMPANIES - KING SOOPERS #099 [FRS; 236 m]</t>
  </si>
  <si>
    <t xml:space="preserve">Mr. Mechanic</t>
  </si>
  <si>
    <t xml:space="preserve">COLLINS AUTO RENEWAL</t>
  </si>
  <si>
    <t xml:space="preserve">S05130</t>
  </si>
  <si>
    <t xml:space="preserve">1501 N COLLEGE</t>
  </si>
  <si>
    <t xml:space="preserve">FRONT RANGE STEEL DBA A 8 C WELDING (1983; SIC 3449,3441,3399) | FRONT RANGE STEEL (1990-1992; SIC 3399,3441,3446)</t>
  </si>
  <si>
    <t xml:space="preserve">FRONT RANGE STEEL DBA A 8 C WELDING (1983) | STATIONARY FRONT RANGE STEEL (1988)</t>
  </si>
  <si>
    <t xml:space="preserve">1505 N COLLEGE AVE [FRS; 11 m] | 1475 NORTH COLLEGE [FRS; 41 m]</t>
  </si>
  <si>
    <t xml:space="preserve">RMB RECYCLING CENTER [CDPHE Solid_Waste_Facilities; 39 m]</t>
  </si>
  <si>
    <t xml:space="preserve">FRONT RANGE STEEL INC [FRS; name match, 11 m] | CROSSLAND CABINETRY INC [FRS; 11 m]</t>
  </si>
  <si>
    <t xml:space="preserve">1505 N COLLEGE AVE</t>
  </si>
  <si>
    <t xml:space="preserve">ALBERTSONS #814</t>
  </si>
  <si>
    <t xml:space="preserve">S05814</t>
  </si>
  <si>
    <t xml:space="preserve">124 W LA PORTE</t>
  </si>
  <si>
    <t xml:space="preserve">WESTERN WINDOWS (1988; SIC 3089,3442)</t>
  </si>
  <si>
    <t xml:space="preserve">WESTERN WINDOWS (1988)</t>
  </si>
  <si>
    <t xml:space="preserve">W.H. ESWORTHY LUMBER [FRS; 248 m]</t>
  </si>
  <si>
    <t xml:space="preserve">CARRIAGE SHOPPE INC [FRS; 67 m] | RECYCLING SYSTEMS CORP [FRS; 149 m] | CITY OF FORT COLLINS - ENGINEER [FRS; 172 m] | HISTORIC LINDEN HOTEL [FRS; 189 m]</t>
  </si>
  <si>
    <t xml:space="preserve">IDAHO MILK TRANSPORT INC [FRS; 12 m] | SUMMIT HARD CIDER AND PERRY COMPANY, LLC [FRS; 67 m] | D&amp;N ENTERPRISES CTR PRINTING [FRS; 86 m] | ALL PROPERTY SERVICES, INC. [FRS; 99 m] | FR DEVELOPMENT LTD [FRS; 179 m] | OLD TOWN SQUARE RENOVATION [FRS; 179 m] | OLD TOWN SQUARE PROPERTIES, INC. [FRS; 191 m] | LINDEN STREET RENOVATIONS [FRS; 211 m] | A BEAR ALIGNMENT, INC. [FRS; 229 m] | FORT COLLINS UTILI</t>
  </si>
  <si>
    <t xml:space="preserve">W.H. ESWORTHY LUMBER</t>
  </si>
  <si>
    <t xml:space="preserve">CARRIAGE SHOPPE INC</t>
  </si>
  <si>
    <t xml:space="preserve">S07110</t>
  </si>
  <si>
    <t xml:space="preserve">343 E 2ND</t>
  </si>
  <si>
    <t xml:space="preserve">DIGILOG INSTRUMENTS (1992; SIC 3585,3564)</t>
  </si>
  <si>
    <t xml:space="preserve">DIGILOG INSTRUMENTS (1992)</t>
  </si>
  <si>
    <t xml:space="preserve">Leslie the Cleaners - Off-Site [CDPHE Voluntary_Cleanup_and_Redevelopment_Program_(VCUP)_new; 68 m]</t>
  </si>
  <si>
    <t xml:space="preserve">DAVES AUTO BODY</t>
  </si>
  <si>
    <t xml:space="preserve">S00444</t>
  </si>
  <si>
    <t xml:space="preserve">226 COMMERCIAL</t>
  </si>
  <si>
    <t xml:space="preserve">TRINICAD CREAMERY (1965; SIC 2821)</t>
  </si>
  <si>
    <t xml:space="preserve">TRINICAD CREAMERY (1965)</t>
  </si>
  <si>
    <t xml:space="preserve">CITY CARRIAGE [FRS; 70 m] | HUGHES LUMBER [FRS; 70 m] | RIVERWALK BLEACHERS [FRS; 138 m] | COLUMBIAN HOTEL [FRS; 161 m] | JAFFA OPERA HOUSE [FRS; 161 m] | A.R. MITCHELL MUSEUM OF WESTERN ART [FRS; 170 m] | A.R. Mitchell Museum of Western Art [CDPHE CDPHE Brownfield; 209 m]</t>
  </si>
  <si>
    <t xml:space="preserve">M&amp;M AUTO [FRS; 74 m] | CITY CARRIAGE PAINT &amp; BODY [CDPHE RCRA; 74 m] | M&amp;M AUTO [CDPHE RCRA; 79 m] | CORRADINO AUTO BODY &amp; RADIATOR SHOP INC [CDPHE RCRA; 139 m] | CORRADINO AUTO BODY &amp; RADIATOR SHOP INC [FRS; 183 m] | TRINIDAD HOUSING AUTHORITY [FRS; 243 m]</t>
  </si>
  <si>
    <t xml:space="preserve">WINTER REAL ESTATE GROUP [FRS; 24 m] | BARRACK REALTY [FRS; 28 m] | COLDWELL BANKER PROPERTY MANAGEMENT [FRS; 40 m] | SOUTHERN COLORADO MANAGEMENT [FRS; 52 m] | OSSOLA LAND AND REALTY CO [FRS; 73 m] | TRINIDAD SCHOOL DISTRICT 1 [FRS; 126 m] | nan [FRS; 127 m] | FIRE STATION [FRS; 133 m] | TRINIDAD CATHOLIC HIGH SCHOOL [FRS; 138 m] | TRINIDAD COMMERCIAL ST IMPROVEMENTS [FRS; 161 m] | RED NOGEL REAL</t>
  </si>
  <si>
    <t xml:space="preserve">CITY CARRIAGE</t>
  </si>
  <si>
    <t xml:space="preserve">M&amp;M AUTO</t>
  </si>
  <si>
    <t xml:space="preserve">S01169</t>
  </si>
  <si>
    <t xml:space="preserve">235 GODDARD</t>
  </si>
  <si>
    <t xml:space="preserve">CRASK SHEET METAL WORKS (1973; SIC 3444)</t>
  </si>
  <si>
    <t xml:space="preserve">CRASK SHEET METAL WORKS (1966)</t>
  </si>
  <si>
    <t xml:space="preserve">322 EAST NORTH AVENUE [FRS; 142 m]</t>
  </si>
  <si>
    <t xml:space="preserve">MARTY FEEDS [FRS; 143 m]</t>
  </si>
  <si>
    <t xml:space="preserve">322 EAST NORTH AVENUE</t>
  </si>
  <si>
    <t xml:space="preserve">S02669</t>
  </si>
  <si>
    <t xml:space="preserve">227 OAK 81C82</t>
  </si>
  <si>
    <t xml:space="preserve">DE ROUEN: R ROY (1973-1980; SIC 3591) | DE ROUEN MACHINE WORKS (1988-1990; SIC 3444,3599)</t>
  </si>
  <si>
    <t xml:space="preserve">DE ROUEN: R ROY (1973) | DE ROUEN MACHINE WORKS (1988)</t>
  </si>
  <si>
    <t xml:space="preserve">701 ELM STREET [FRS; 207 m] | EAST STREET SCHOOL [FRS; 212 m]</t>
  </si>
  <si>
    <t xml:space="preserve">CHEVRON USA INC TRINIDAD BULK PLANT [FRS; 226 m]</t>
  </si>
  <si>
    <t xml:space="preserve">JRS COUNTRY STORE 101 [FRS; 113 m]</t>
  </si>
  <si>
    <t xml:space="preserve">701 ELM STREET</t>
  </si>
  <si>
    <t xml:space="preserve">CHEVRON USA INC TRINIDAD BULK PLANT</t>
  </si>
  <si>
    <t xml:space="preserve">S04316</t>
  </si>
  <si>
    <t xml:space="preserve">325 FRONT</t>
  </si>
  <si>
    <t xml:space="preserve">80791</t>
  </si>
  <si>
    <t xml:space="preserve">LNQUSTRIAL WELDING + SUPPLY CO (1980; SIC 3523,3799,3715)</t>
  </si>
  <si>
    <t xml:space="preserve">LNQUSTRIAL WELDING + SUPPLY CO (1980)</t>
  </si>
  <si>
    <t xml:space="preserve">STERLING SINCLAIR [FRS; 203 m]</t>
  </si>
  <si>
    <t xml:space="preserve">TRINADAD BEAN &amp; ELEVATOR FORMER PLATTE VALLEY FREIGHTWAYS) [FRS; 50 m]</t>
  </si>
  <si>
    <t xml:space="preserve">BRYAN TAPPY SHOP [FRS; 97 m] | LARRYS RADIATOR REPAIR [FRS; 101 m] | BROTZMAN TRUCKING [FRS; 179 m] | JESSE LLC - STERLING SINCLAIR [FRS; 201 m] | U-SAVE #1 [FRS; 242 m]</t>
  </si>
  <si>
    <t xml:space="preserve">STERLING SINCLAIR</t>
  </si>
  <si>
    <t xml:space="preserve">TRINADAD BEAN &amp; ELEVATOR FORMER PLATTE VALLEY FREIGHTWAYS)</t>
  </si>
  <si>
    <t xml:space="preserve">S00471</t>
  </si>
  <si>
    <t xml:space="preserve">125 S 6TH</t>
  </si>
  <si>
    <t xml:space="preserve">TROPHY CASE, THE (1980; SIC 3499,3999,2753)</t>
  </si>
  <si>
    <t xml:space="preserve">SENTINEL PRINTING CO. (1965) | DAILY SENTINEL (1966) | DARNELL OPTICAL COMPANY (1967) | MESA PUBLISHING CO (1974) | TROPHY CASE, THE (1980)</t>
  </si>
  <si>
    <t xml:space="preserve">J &amp; J ENTERPRISES [FRS; 40 m] | AVALON THEATRE [FRS; 76 m]</t>
  </si>
  <si>
    <t xml:space="preserve">DAILY SENTINEL BUILDING [FRS; name match, 42 m] | GRAND VALLEY REAL ESTATE SALES [FRS; 46 m] | GRAND JUNCTION PARTNERSHIP, LLC C/O WALS [FRS; 52 m] | 4 SEASONS COUNTRY [FRS; 52 m]</t>
  </si>
  <si>
    <t xml:space="preserve">J &amp; J ENTERPRISES</t>
  </si>
  <si>
    <t xml:space="preserve">BIG J JEWELRY &amp; LOAN</t>
  </si>
  <si>
    <t xml:space="preserve">S01176</t>
  </si>
  <si>
    <t xml:space="preserve">735 4TH AVE</t>
  </si>
  <si>
    <t xml:space="preserve">Chemicals; Industrial machinery; Primary metals; Transportation equipment</t>
  </si>
  <si>
    <t xml:space="preserve">BOLEN MACHINE WORKS FOUNDRY (1966; SIC 3321) | S + M SUPPLY CO INC (1966-1968; SIC 3549) | GOLEN MACHINE WORKS FCUNCRY (1967; SIC 3321) |  (1968; SIC 2851) | POWERED PRODLCTS CORP (1968; SIC 3751,3799)</t>
  </si>
  <si>
    <t xml:space="preserve">BOLEN MACHINE WORKS FOUNDRY (1966) | S + M SUPPLY CO INC (1966) | GOLEN MACHINE WORKS FCUNCRY (1967) |  (1968) | POWERED PRODLCTS CORP (1968)</t>
  </si>
  <si>
    <t xml:space="preserve">Van Waters &amp; Rogers II [CDPHE Voluntary_Cleanup_and_Redevelopment_Program_(VCUP)_new; 84 m] | Van Waters &amp; Rogers I [CDPHE Voluntary_Cleanup_and_Redevelopment_Program_(VCUP)_new; 84 m] | Van Waters &amp; Rogers III [CDPHE Voluntary_Cleanup_and_Redevelopment_Program_(VCUP)_new; 84 m]</t>
  </si>
  <si>
    <t xml:space="preserve">CASTINGS INC [FRS; 59 m] | CORRECYCLING INC [FRS; 107 m]</t>
  </si>
  <si>
    <t xml:space="preserve">WESTINGHOUSE ELECTRIC CORP [FRS; 0 m]</t>
  </si>
  <si>
    <t xml:space="preserve">Western Metals Recycling (Grand Junction) [CDPHE Solid_Waste_Facilities; 86 m]</t>
  </si>
  <si>
    <t xml:space="preserve">WESTINGHOUSE ELECTRIC CORP</t>
  </si>
  <si>
    <t xml:space="preserve">S01189</t>
  </si>
  <si>
    <t xml:space="preserve">1018 S 5TH ST</t>
  </si>
  <si>
    <t xml:space="preserve">AMPCO, INC - (1968; SIC 3471)</t>
  </si>
  <si>
    <t xml:space="preserve">GRAND JUNCTION PLATING CO (1966) | AMPCO, INC - (1968)</t>
  </si>
  <si>
    <t xml:space="preserve">AMPCO, INC. [FRS] (address match)</t>
  </si>
  <si>
    <t xml:space="preserve">VAN GUNDY'S AMPCO [FRS; name match, 243 m]</t>
  </si>
  <si>
    <t xml:space="preserve">VAN GUNDY'S AMPCO [FRS; name match, 182 m]</t>
  </si>
  <si>
    <t xml:space="preserve">Van Waters &amp; Rogers I</t>
  </si>
  <si>
    <t xml:space="preserve">WESTERN METALS RECYCLING -  GRAND JUNCTION FACILITY</t>
  </si>
  <si>
    <t xml:space="preserve">S01202</t>
  </si>
  <si>
    <t xml:space="preserve">118 S 7TH ST</t>
  </si>
  <si>
    <t xml:space="preserve">PRECISION AUTOMOTIVE MACHINE (1966-1970; SIC 3599)</t>
  </si>
  <si>
    <t xml:space="preserve">PRECISION AUTOMOTIVE MACHINE (1966)</t>
  </si>
  <si>
    <t xml:space="preserve">FORMER PRECISION AUTOMOTIVE MACHINE SHOP [FRS; name match, 22 m] | AVALON THEATRE [FRS; 44 m] | VALLEY RADIATOR SHOP (RADIATOR DOCTOR) [FRS; 50 m] | FORMER PRECISION AUTOMOTIVE MACHINE SHOP [FRS] (address match)</t>
  </si>
  <si>
    <t xml:space="preserve">BIG J JEWELRY &amp; LOAN [FRS; 19 m]</t>
  </si>
  <si>
    <t xml:space="preserve">FORMER PRECISION AUTOMOTIVE MACHINE SHOP</t>
  </si>
  <si>
    <t xml:space="preserve">S01918</t>
  </si>
  <si>
    <t xml:space="preserve">645 4TH AVE</t>
  </si>
  <si>
    <t xml:space="preserve">SMITH CHEMICAL CO (1968-1970; SIC 2879)</t>
  </si>
  <si>
    <t xml:space="preserve">SMITH CHEMICAL CO (1968)</t>
  </si>
  <si>
    <t xml:space="preserve">Van Waters &amp; Rogers II [CDPHE Voluntary_Cleanup_and_Redevelopment_Program_(VCUP)_new; 39 m] | Van Waters &amp; Rogers I [CDPHE Voluntary_Cleanup_and_Redevelopment_Program_(VCUP)_new; 39 m] | Van Waters &amp; Rogers III [CDPHE Voluntary_Cleanup_and_Redevelopment_Program_(VCUP)_new; 39 m] | Van Waters &amp; Rogers I [CDPHE Voluntary_Cleanup_and_Redevelopment_Program_(VCUP)_new] (address match) | Van Waters &amp; Ro</t>
  </si>
  <si>
    <t xml:space="preserve">WESTERN METALS RECYCLING -  GRAND JUNCTION FACILITY [FRS; 49 m]</t>
  </si>
  <si>
    <t xml:space="preserve">Western Metals Recycling (Grand Junction) [CDPHE Solid_Waste_Facilities; 36 m]</t>
  </si>
  <si>
    <t xml:space="preserve">E &amp; E AUTOBODY</t>
  </si>
  <si>
    <t xml:space="preserve">S03124</t>
  </si>
  <si>
    <t xml:space="preserve">1250 N 3RD ST</t>
  </si>
  <si>
    <t xml:space="preserve">MAGIC CLEAN INC (1974; SIC 3589)</t>
  </si>
  <si>
    <t xml:space="preserve">MAGIC CLEAN INC (1974) | BEST TOPS (1990)</t>
  </si>
  <si>
    <t xml:space="preserve">Holiday Cleaners [CDPHE RCRA_corrective_action; 35 m] | Holiday Cleaners, Inc. [CDPHE Institutional_Controls_PROD_local; 39 m] | Holiday Cleaners, Inc. [CDPHE Institutional_Controls_PROD_local] (inside site boundary)</t>
  </si>
  <si>
    <t xml:space="preserve">HOLIDAY CLEANERS INC. [FRS; 19 m]</t>
  </si>
  <si>
    <t xml:space="preserve">TEA-LAR INC DBA BEST TOPS - 250 N 3RD ST [FRS; name match, 11 m] | TEA-LAR INC DBA BEST TOPS - 250 N 3RD ST [FRS] (address match)</t>
  </si>
  <si>
    <t xml:space="preserve">Holiday Cleaners</t>
  </si>
  <si>
    <t xml:space="preserve">HOLIDAY CLEANERS INC.</t>
  </si>
  <si>
    <t xml:space="preserve">S03494</t>
  </si>
  <si>
    <t xml:space="preserve">529 GRAND AVE</t>
  </si>
  <si>
    <t xml:space="preserve">SCREW MACHINE SPECTALTIES INC (1977-1983; SIC 3451)</t>
  </si>
  <si>
    <t xml:space="preserve">SCREW MACHINE SPECTALTIES INC (1977)</t>
  </si>
  <si>
    <t xml:space="preserve">Fruita Industrial Center [CDPHE CDPHE Brownfield; 108 m] | Greenway Business Park [CDPHE CDPHE Brownfield; 108 m] | FRUITA INDUSTRIAL CENTER [FRS; 179 m]</t>
  </si>
  <si>
    <t xml:space="preserve">SCREW MACHINE SPECIALTIES [FRS; name match, 125 m] | MOODY ENTERPRISES DBA MONUMENT CLEANERS [FRS; 214 m] | FRUITA BODY &amp; PAINTS [FRS; 236 m] | L.C. VOUGHT CO [FRS; 249 m]</t>
  </si>
  <si>
    <t xml:space="preserve">FRUITA PROPANE BULK PLANT [FRS; 185 m] | 2026 SEWER/STREET IMPROVEMENTS PROJECT [FRS; 230 m]</t>
  </si>
  <si>
    <t xml:space="preserve">S05175</t>
  </si>
  <si>
    <t xml:space="preserve">946 S 7TH</t>
  </si>
  <si>
    <t xml:space="preserve">HOUSE OF MARBLE (1983; SIC 3079)</t>
  </si>
  <si>
    <t xml:space="preserve">HOUSE OF MARBLE (1983)</t>
  </si>
  <si>
    <t xml:space="preserve">Van Waters &amp; Rogers II [CDPHE Voluntary_Cleanup_and_Redevelopment_Program_(VCUP)_new; 57 m] | Van Waters &amp; Rogers I [CDPHE Voluntary_Cleanup_and_Redevelopment_Program_(VCUP)_new; 57 m] | Van Waters &amp; Rogers III [CDPHE Voluntary_Cleanup_and_Redevelopment_Program_(VCUP)_new; 57 m]</t>
  </si>
  <si>
    <t xml:space="preserve">Western Metals Recycling (Grand Junction) [CDPHE Solid_Waste_Facilities; 59 m]</t>
  </si>
  <si>
    <t xml:space="preserve">S05182</t>
  </si>
  <si>
    <t xml:space="preserve">601 8 STRUTHERS AVE</t>
  </si>
  <si>
    <t xml:space="preserve">NELSON G 8 CO (1983; SIC 3462,3441)</t>
  </si>
  <si>
    <t xml:space="preserve">NELSON G 8 CO (1983)</t>
  </si>
  <si>
    <t xml:space="preserve">CHIPETA MERCURY SPILL [FRS; 221 m]</t>
  </si>
  <si>
    <t xml:space="preserve">GRAND JUNCTION, CITY OF [FRS; 226 m]</t>
  </si>
  <si>
    <t xml:space="preserve">WAKEFIELD PROERTY MANAGEMENT [FRS; 175 m]</t>
  </si>
  <si>
    <t xml:space="preserve">CHIPETA MERCURY SPILL</t>
  </si>
  <si>
    <t xml:space="preserve">GRAND JUNCTION, CITY OF</t>
  </si>
  <si>
    <t xml:space="preserve">S05183</t>
  </si>
  <si>
    <t xml:space="preserve">631 WINTERS</t>
  </si>
  <si>
    <t xml:space="preserve">NORTHWEST MACHINE WORKS (1983; SIC 3532,3599,3533)</t>
  </si>
  <si>
    <t xml:space="preserve">NORTHWEST MACHINE WORKS (1983)</t>
  </si>
  <si>
    <t xml:space="preserve">Van Waters &amp; Rogers III [CDPHE Voluntary_Cleanup_and_Redevelopment_Program_(VCUP)_new; 99 m] | Van Waters &amp; Rogers II [CDPHE Voluntary_Cleanup_and_Redevelopment_Program_(VCUP)_new; 99 m] | Van Waters &amp; Rogers I [CDPHE Voluntary_Cleanup_and_Redevelopment_Program_(VCUP)_new; 99 m]</t>
  </si>
  <si>
    <t xml:space="preserve">CASTINGS INC [FRS; 138 m] | WESTERN METALS RECYCLING -  GRAND JUNCTION FACILITY [FRS; 164 m] | CORRECYCLING INC [FRS; 211 m]</t>
  </si>
  <si>
    <t xml:space="preserve">NORTHWEST MACHINE WORKS INC [FRS; name match, 202 m] | E-WASTE RECYCLERS OF COLORADO [FRS; 64 m] | WESTINGHOUSE ELECTRIC CORP [FRS; 104 m] | GRAND JUNCTION - RIVERSIDE CITY OF [FRS; 105 m] | ATLASTA SOLAR CENTER [FRS; 118 m] | ATLASTA SOLAR CENTER [CDPHE RCRA; 121 m] | ORKIN EXTERMINATING CO INC [FRS; 165 m] | E &amp; E AUTOBODY [FRS; 173 m] | UMETCO MINERALS CORP [FRS; 185 m] | BELL ELECTRIC GJ-00506</t>
  </si>
  <si>
    <t xml:space="preserve">Western Metals Recycling (Grand Junction) [CDPHE Solid_Waste_Facilities; 100 m] | CORRecycling, Inc. - 739 3rd Ave [CDPHE Solid_Waste_Facilities; 217 m]</t>
  </si>
  <si>
    <t xml:space="preserve">VAN GUNDY'S AMPCO [FRS; 116 m]</t>
  </si>
  <si>
    <t xml:space="preserve">Van Waters &amp; Rogers III</t>
  </si>
  <si>
    <t xml:space="preserve">S05851</t>
  </si>
  <si>
    <t xml:space="preserve">545 COLORADO AVE</t>
  </si>
  <si>
    <t xml:space="preserve">AUTO MACHINE SERVICE (1988; SIC 3599)</t>
  </si>
  <si>
    <t xml:space="preserve">AUTO MACHINE SERVICE (1988)</t>
  </si>
  <si>
    <t xml:space="preserve">Chase Place Residences, LTD [CDPHE Voluntary_Cleanup_and_Redevelopment_Program_(VCUP)_new; 39 m]</t>
  </si>
  <si>
    <t xml:space="preserve">WILSON &amp; YOUNG PRINTERS [FRS; 18 m]</t>
  </si>
  <si>
    <t xml:space="preserve">S05860</t>
  </si>
  <si>
    <t xml:space="preserve">1331 WINTERS AVE</t>
  </si>
  <si>
    <t xml:space="preserve">HAND-DIPPED CHOCOLA F+S SERVICE INC (1988; SIC 3479,3599)</t>
  </si>
  <si>
    <t xml:space="preserve">HAND-DIPPED CHOCOLA F+S SERVICE INC (1988) | CAPCO INC (1990)</t>
  </si>
  <si>
    <t xml:space="preserve">Capco LLC Property II [CDPHE Voluntary_Cleanup_and_Redevelopment_Program_(VCUP)_new; name match, 85 m]</t>
  </si>
  <si>
    <t xml:space="preserve">CAPCO INC [FRS; name match, 12 m] | CAPCO LLC [TRI; name match, 35 m]</t>
  </si>
  <si>
    <t xml:space="preserve">Capco LLC Property II</t>
  </si>
  <si>
    <t xml:space="preserve">CAPCO INC</t>
  </si>
  <si>
    <t xml:space="preserve">S05869</t>
  </si>
  <si>
    <t xml:space="preserve">931 WINTERS</t>
  </si>
  <si>
    <t xml:space="preserve">NORTHWEST MACHINE WORKS (1988; SIC 3532,3533,3599)</t>
  </si>
  <si>
    <t xml:space="preserve">NORTHWEST MACHINE WORKS (1988)</t>
  </si>
  <si>
    <t xml:space="preserve">SWEDE'S CUSTOM CHROME PLATING [FRS; 213 m]</t>
  </si>
  <si>
    <t xml:space="preserve">CASTINGS INC [FRS; 212 m]</t>
  </si>
  <si>
    <t xml:space="preserve">NORTHWEST MACHINE WORKS INC [FRS; name match, 84 m] | MESA COUNTY ENGINEERING DEPT [FRS; 31 m] | NATIVE NAVIGATION [FRS; 77 m] | ORKIN EXTERMINATING CO INC [FRS; 121 m] | ENERGY RECOVERY SYSTEMS INC [CDPHE RCRA; 202 m] | CORRECYCLING INC [CDPHE RCRA; 202 m] | SWEDES CUSTROM CHROME [FRS; 211 m] | CUSTOM CHROME [FRS; 213 m] | KIMBALL MINI STORAGE [FRS; 218 m] | ENERGY RECOVERY SYSTEMS INC [FRS; 220 </t>
  </si>
  <si>
    <t xml:space="preserve">MESA COUNTY TRAFFIC SERVICES BUILDING [FRS; 100 m] | MK FERGUSON GRAND JUNCTION PROCESSING [FRS; 129 m] | MUNRO COMPANIES [FRS; 129 m] | WHITEWATER CONCRETE BATCH PLANT &amp; OFFICE [FRS; 156 m] | WHITEWATER BUILDING MATERIALS - 940 S 10 [FRS; 156 m] | WINTERS OFFICE BUILDING [FRS; 171 m]</t>
  </si>
  <si>
    <t xml:space="preserve">SWEDE'S CUSTOM CHROME PLATING</t>
  </si>
  <si>
    <t xml:space="preserve">S05877</t>
  </si>
  <si>
    <t xml:space="preserve">819 KIMBALL AVE</t>
  </si>
  <si>
    <t xml:space="preserve">CNACME FISIING pump (1988; SIC 3471) | SWEDE'S CUSTOM CHROME PLATING (1990; SIC 3471)</t>
  </si>
  <si>
    <t xml:space="preserve">CNACME FISIING pump (1988) | SWEDE'S CUSTOM CHROME PLATING (1990)</t>
  </si>
  <si>
    <t xml:space="preserve">SWEDE'S CUSTOM CHROME PLATING [FRS; name match, 57 m] | SWEDE'S CUSTOM CHROME PLATING [FRS] (address match)</t>
  </si>
  <si>
    <t xml:space="preserve">CUSTOM CHROME [FRS; name match, 57 m] | CUSTOM CHROME [FRS] (address match)</t>
  </si>
  <si>
    <t xml:space="preserve">KIMBALL MINI STORAGE</t>
  </si>
  <si>
    <t xml:space="preserve">S06648</t>
  </si>
  <si>
    <t xml:space="preserve">201 S 6TH</t>
  </si>
  <si>
    <t xml:space="preserve">DRIVE TRAIN INDUSTRIES INC (1992; SIC 3714)</t>
  </si>
  <si>
    <t xml:space="preserve">PRECISION PRINTING INC. (1990) | DRIVE TRAIN INDUSTRIES INC (1992)</t>
  </si>
  <si>
    <t xml:space="preserve">Chase Place Residences, LTD [CDPHE Voluntary_Cleanup_and_Redevelopment_Program_(VCUP)_new; 52 m]</t>
  </si>
  <si>
    <t xml:space="preserve">DRIVE TRAIN IND [FRS; name match, 35 m]</t>
  </si>
  <si>
    <t xml:space="preserve">S00483</t>
  </si>
  <si>
    <t xml:space="preserve">23 E MAIN</t>
  </si>
  <si>
    <t xml:space="preserve">DOVE CREEK ENTERPRISES INC (1977; SIC 2934)</t>
  </si>
  <si>
    <t xml:space="preserve">CCRTEZ NEWSPAPERS» INC. (1965) | NU WAY SHCE STORE (1965) | CORTEZ SENTINEL (1966) | DOVE CREEK ENTERPRISES INC (1977) | DOVE CREEK ENTERPRISES INC (1980)</t>
  </si>
  <si>
    <t xml:space="preserve">Cortez Community Radio Performance Venue [CDPHE CDPHE Brownfield; 27 m]</t>
  </si>
  <si>
    <t xml:space="preserve">Cortez Community Radio Performance Venue</t>
  </si>
  <si>
    <t xml:space="preserve">SOUTHWEST COLORADO SURGICAL CENTER LLC</t>
  </si>
  <si>
    <t xml:space="preserve">S04343</t>
  </si>
  <si>
    <t xml:space="preserve">1310 N LEBANON RD</t>
  </si>
  <si>
    <t xml:space="preserve">ANIMAS AGGREGATES INC (1980; SIC 3273,3448)</t>
  </si>
  <si>
    <t xml:space="preserve">ANIMAS AGGREGATES INC (1980) | 28613 BULK LIQUID C02, DRY ICE ANIMAS AGGREGATES (1988)</t>
  </si>
  <si>
    <t xml:space="preserve">CORTEZ ORGANIZATIONAL MAINTENANCE SHOP [FRS; 176 m]</t>
  </si>
  <si>
    <t xml:space="preserve">TARGET RENTAL CORTEZ [CDPHE RCRA; 220 m] | TARGET RENTAL CORTEZ [FRS; 234 m]</t>
  </si>
  <si>
    <t xml:space="preserve">FRALEY &amp; CO - LEBANON ROAD BULK PLANT [FRS; 136 m] | AMIGO PETROLEUM [FRS; 136 m] | INDEPENDENT LOG [FRS; 184 m]</t>
  </si>
  <si>
    <t xml:space="preserve">CORTEZ ORGANIZATIONAL MAINTENANCE SHOP</t>
  </si>
  <si>
    <t xml:space="preserve">TARGET RENTAL CORTEZ</t>
  </si>
  <si>
    <t xml:space="preserve">S06343</t>
  </si>
  <si>
    <t xml:space="preserve">23 S MARKET</t>
  </si>
  <si>
    <t xml:space="preserve">CHERYL'S TROPHY + SHIRT SHOP (1990; SIC 3499,2396,2399)</t>
  </si>
  <si>
    <t xml:space="preserve">CHERYL'S TROPHY + SHIRT SHOP (1990)</t>
  </si>
  <si>
    <t xml:space="preserve">Cortez Community Radio Performance Venue [CDPHE CDPHE Brownfield; 51 m]</t>
  </si>
  <si>
    <t xml:space="preserve">TOWN &amp; COUNTRY REAL ESTATE [FRS; 36 m]</t>
  </si>
  <si>
    <t xml:space="preserve">CORTEZ DRUM SITE</t>
  </si>
  <si>
    <t xml:space="preserve">S01218</t>
  </si>
  <si>
    <t xml:space="preserve">512 MAIN</t>
  </si>
  <si>
    <t xml:space="preserve">MONTROSE LOCKERS (1966-1968; SIC 3599)</t>
  </si>
  <si>
    <t xml:space="preserve">MONTROSE LOCKERS (1966) | MONTROSE LOCKERS 2421 SAWMILLS AND PLANING MILLS, GENERAL (1973) | OM NSsHWoRaNE (1988) | MCCLAIN'S CUSTOM WOODWORKING (1990)</t>
  </si>
  <si>
    <t xml:space="preserve">FORMER MONTROSE DAILY PRESS BUILDING [FRS; 113 m] | Sunshine Peak Annex [CDPHE Voluntary_Cleanup_and_Redevelopment_Program_(VCUP)_new; 238 m]</t>
  </si>
  <si>
    <t xml:space="preserve">MONTROSE DRY CLEANERS LLC [FRS; 64 m] | MYLARS AUTO REFINISHING INC [FRS; 128 m] | PONCHAK ENTERPRISES INC DBA KILBANE CLEA [FRS; 135 m]</t>
  </si>
  <si>
    <t xml:space="preserve">38 S UNCOMPAGHRE ST [FRS; 40 m] | MATTS [FRS; 90 m] | CITY OF MONTROSE TEST [FRS; 90 m] | MYLARS AUTOMOTIVE [FRS; 128 m] | MONTROSE CITY [FRS; 142 m] | SUPERMART CONVENIENCE STORES #536 [FRS; 168 m] | MONTROSE PUBLIC SAFETY COMPLEX [FRS; 176 m] | US WEST COMMUNICATIONS MONTROSE [FRS; 184 m] | MORROW [FRS; 202 m] | MOVING MONTROSE FOWARD - 2023 STREET MAINTENANCE PROJECT [FRS; 222 m] | FAUCETT BUIL</t>
  </si>
  <si>
    <t xml:space="preserve">FORMER MONTROSE DAILY PRESS BUILDING</t>
  </si>
  <si>
    <t xml:space="preserve">MONTROSE DRY CLEANERS LLC</t>
  </si>
  <si>
    <t xml:space="preserve">S04350</t>
  </si>
  <si>
    <t xml:space="preserve">40 N GRAND</t>
  </si>
  <si>
    <t xml:space="preserve">MONTROSE MACHINE SHOP + ORN EFRON WRK INC (1980-1990; SIC 3433,3446,3599) | MOPARS WORK ic (1988; SIC 3446,3599)</t>
  </si>
  <si>
    <t xml:space="preserve">MONTROSE MACHINE SHOP + ORN EFRON WRK INC (1980) | MOPARS WORK ic (1988)</t>
  </si>
  <si>
    <t xml:space="preserve">MONTROSE POTATO GROWERS SITE [FRS; 44 m] | PARISH OIL [FRS; 74 m]</t>
  </si>
  <si>
    <t xml:space="preserve">MONTROSE POTATO GROWERS SITE</t>
  </si>
  <si>
    <t xml:space="preserve">PETCO STORE #1489</t>
  </si>
  <si>
    <t xml:space="preserve">S01230</t>
  </si>
  <si>
    <t xml:space="preserve">1004 ELM</t>
  </si>
  <si>
    <t xml:space="preserve">CALL METAL WORKS (1966-1967; SIC 3441)</t>
  </si>
  <si>
    <t xml:space="preserve">CALL METAL WORKS (1966)</t>
  </si>
  <si>
    <t xml:space="preserve">JUNE BUILDING [FRS; 47 m] | June Building [CDPHE CDPHE Brownfield; 67 m]</t>
  </si>
  <si>
    <t xml:space="preserve">FAMILY DOLLAR #4785 [CDPHE RCRA; 27 m]</t>
  </si>
  <si>
    <t xml:space="preserve">LOAF N JUG INC NO 49 [FRS; 25 m] | LOAF N JUG INC 49 [FRS; 25 m]</t>
  </si>
  <si>
    <t xml:space="preserve">JUNE BUILDING</t>
  </si>
  <si>
    <t xml:space="preserve">FAMILY DOLLAR #4785</t>
  </si>
  <si>
    <t xml:space="preserve">S00412</t>
  </si>
  <si>
    <t xml:space="preserve">5655 MARSHALL</t>
  </si>
  <si>
    <t xml:space="preserve">1965;1966;1968;1973;1974;1977;1980;1983;1990</t>
  </si>
  <si>
    <t xml:space="preserve">WINNER EQUIPMENT CO. (1965-1968; SIC 3559) | STONE PAINTS + CHEMICALS (1966-1977; SIC 2851) | WINNER FOUNORIES CO (1966-1990; SIC 3441) | WINNER FOUNORIES + MFG., INC (1973-1983; SIC 3361,3362,3559) | NORTHWEST MOTOR WELODENG (1980-1983; SIC 3519)</t>
  </si>
  <si>
    <t xml:space="preserve">WINNER EQUIPMENT CO. (1965) | PARAMOUNT PRESS (1966) | STONE PAINTS + CHEMICALS (1966) | WINNER FOUNORIES CO (1966) | WINNER FOUNORIES + MFG., INC (1973) |  (1977) | NORTHWEST MOTOR WELODENG (1980)</t>
  </si>
  <si>
    <t xml:space="preserve">Winner Equipment Company [CDPHE Voluntary_Cleanup_and_Redevelopment_Program_(VCUP)_new; name match, 109 m]</t>
  </si>
  <si>
    <t xml:space="preserve">WINNER FOUNDRIES &amp; MFG CO [FRS; name match, 35 m] | NORTHWEST MOTOR WELDING [FRS; name match, 70 m]</t>
  </si>
  <si>
    <t xml:space="preserve">PARAMOUNT PRESS [FRS; name match, 97 m]</t>
  </si>
  <si>
    <t xml:space="preserve">Winner Equipment Company</t>
  </si>
  <si>
    <t xml:space="preserve">WINNER FOUNDRIES &amp; MFG CO</t>
  </si>
  <si>
    <t xml:space="preserve">S01088</t>
  </si>
  <si>
    <t xml:space="preserve">6065 WE 55TH PL</t>
  </si>
  <si>
    <t xml:space="preserve">1965;1966;1968;1977;1980;1983</t>
  </si>
  <si>
    <t xml:space="preserve">LECTRA MFG. CC. (1965; SIC 3459) | LECTRA PRODUCTS CO (1966; SIC 3532) | ROCKY MOUNTAIN PLASTICS CO (1966; SIC 3079) | PRECISION PLESTICS CCRP (1968; SIC 3079) | UNIVERSAL PATTERN COMPANY (1977; SIC 3565,3079,3544) | PRECESION PLASTICS CORP (1980; SIC 3079,3842) | RE B PRODUCTS INC (1983; SIC 3599) | TUCKER ENTERPRISES (1983; SIC 3362,3299)</t>
  </si>
  <si>
    <t xml:space="preserve">JEFFERSON PRINTING, INC. (1965) | LECTRA MFG. CC. (1965) | uro-TROE (1966) | HANSEN, WRAY C (1966) | LECTRA PRODUCTS CO (1966) | ROCKY MOUNTAIN PLASTICS CO (1966) | PRECISION PLESTICS CCRP (1968) | POLYCADENCE INC (1973) | JEFFERSON PRINTING INC 3412 METAL BARRELS, DRUMS, AND PAILS (1974) | UNIVERSAL PATTERN COMPANY (1977) | PRECESION PLASTICS CORP (1980) | TUCKER ENTERPRY SES (1980) | COLORADO REPRODUCTION SERVICES INC (1983) | € + J CABINETS (1983) | LABEL ART-DENVER (1983) | RE B PRODUCTS INC (1983) | TEMPTEE BRAND STEAK (1983) | DEBELL MACHINE PRODUCTS (1990) | TEMPTEE SPECIALTY FOODS (1990)</t>
  </si>
  <si>
    <t xml:space="preserve">Sterling Crane II [CDPHE Voluntary_Cleanup_and_Redevelopment_Program_(VCUP)_new; 102 m] | Sterling Crane company [CDPHE Voluntary_Cleanup_and_Redevelopment_Program_(VCUP)_new; 102 m]</t>
  </si>
  <si>
    <t xml:space="preserve">GO GREEN RECYCLING DBA SUSTAINABILITY [FRS; 34 m] | GO GREEN RECYCLING DBA SUSTAINABILITY-WORKSHOP [FRS; 46 m] | SPARKLE WASH OF DENVER [FRS; 80 m]</t>
  </si>
  <si>
    <t xml:space="preserve">SustainAbility - 54th Ave [CDPHE Solid_Waste_Facilities; 2 m] | SustainAbility - 5555 Harlan St. [CDPHE Solid_Waste_Facilities; 29 m]</t>
  </si>
  <si>
    <t xml:space="preserve">LABEL ART-DENVER [FRS; name match, 33 m] | E&amp;J CABINETS [FRS; name match, 156 m] | QUALITY AUTO BODY [FRS; 16 m] | SUSTAINABILITY EWASTE WEST [FRS; 47 m]</t>
  </si>
  <si>
    <t xml:space="preserve">Sterling Crane II</t>
  </si>
  <si>
    <t xml:space="preserve">GO GREEN RECYCLING DBA SUSTAINABILITY</t>
  </si>
  <si>
    <t xml:space="preserve">S00502</t>
  </si>
  <si>
    <t xml:space="preserve">123 N MAIN</t>
  </si>
  <si>
    <t xml:space="preserve">1965;1966;1968;1973</t>
  </si>
  <si>
    <t xml:space="preserve">FREY SHEET METAL WCRKS (1965-1973; SIC 3444)</t>
  </si>
  <si>
    <t xml:space="preserve">FREY SHEET METAL WCRKS (1965)</t>
  </si>
  <si>
    <t xml:space="preserve">EMICK PROPERTY [FRS; 9 m]</t>
  </si>
  <si>
    <t xml:space="preserve">EMICK PROPERTY</t>
  </si>
  <si>
    <t xml:space="preserve">HEATH AND SON AND TURPIN TRUCKING</t>
  </si>
  <si>
    <t xml:space="preserve">S01244</t>
  </si>
  <si>
    <t xml:space="preserve">315 N MAIN</t>
  </si>
  <si>
    <t xml:space="preserve">1966;1967;1968;1973</t>
  </si>
  <si>
    <t xml:space="preserve">EDDLEMAN WELDING (1966-1973; SIC 3599)</t>
  </si>
  <si>
    <t xml:space="preserve">EDDLEMAN WELDING (1966)</t>
  </si>
  <si>
    <t xml:space="preserve">GADASH PROPERTY [FRS; 1 m] | REYES AND ELLIS PROPERTY [FRS; 5 m]</t>
  </si>
  <si>
    <t xml:space="preserve">LOAF N JUG INC # 58 [FRS; 4 m]</t>
  </si>
  <si>
    <t xml:space="preserve">GADASH PROPERTY</t>
  </si>
  <si>
    <t xml:space="preserve">S01245</t>
  </si>
  <si>
    <t xml:space="preserve">119 W BEECH</t>
  </si>
  <si>
    <t xml:space="preserve">1966;1967;1973;1974</t>
  </si>
  <si>
    <t xml:space="preserve">HEISE SHEET METAL (1966-1967; SIC 3441) | PERRY SHEET METAL (1973; SIC 3444) | PERRY SHEET METAL (1974; SIC 3444)</t>
  </si>
  <si>
    <t xml:space="preserve">HEISE SHEET METAL (1966) | PERRY SHEET METAL (1973) | PERRY SHEET METAL (1974)</t>
  </si>
  <si>
    <t xml:space="preserve">SOUTH WAREHOUSE [FRS; 6 m] | MAIN STREET SHOPPE [FRS; 15 m] | HOME AND SEASON [FRS; 66 m] | MAIN CAFE [FRS; 74 m] | JC PENNEY [FRS; 85 m]</t>
  </si>
  <si>
    <t xml:space="preserve">RIDDLE ENTERPRISES [FRS; 24 m]</t>
  </si>
  <si>
    <t xml:space="preserve">SOUTH WAREHOUSE</t>
  </si>
  <si>
    <t xml:space="preserve">QUALITY DRY CLEANERS</t>
  </si>
  <si>
    <t xml:space="preserve">S01929</t>
  </si>
  <si>
    <t xml:space="preserve">119 BEECH</t>
  </si>
  <si>
    <t xml:space="preserve">HEISE SHEET METAL (1968; SIC 3444)</t>
  </si>
  <si>
    <t xml:space="preserve">HEISE SHEET METAL (1968)</t>
  </si>
  <si>
    <t xml:space="preserve">MAIN STREET SHOPPE [FRS; 28 m] | SOUTH WAREHOUSE [FRS; 39 m] | HOME AND SEASON [FRS; 76 m] | MAIN CAFE [FRS; 83 m] | JC PENNEY [FRS; 94 m] | QUIZNOS [FRS; 126 m] | EMICK PROPERTY [FRS; 156 m] | CENTRAL ALIGNMENT PROPERTY [FRS; 217 m] | EAGLES LODGE [FRS; 246 m]</t>
  </si>
  <si>
    <t xml:space="preserve">JEFF SMITH MOTORS INC [FRS; 112 m] | QUALITY DRY CLEANERS [FRS; 119 m] | QUALITY DRY CLEANERS [CDPHE RCRA; 143 m]</t>
  </si>
  <si>
    <t xml:space="preserve">RIDDLE ENTERPRISES [FRS; 37 m] | BARBARAS BEAUTY BOUTIQUE [FRS; 111 m] | RANDLE REALTY [FRS; 113 m] | CDOT US 50 AND SH 287 LAMAR [FRS; 115 m] | CRUIKSHANK REALTY [FRS; 118 m] | 23144  US 287 + US 50 (E OLIVE ST) [FRS; 118 m] | QUALITY DRY CLEANERS [FRS; 119 m] | ANDERSON REALTY [FRS; 126 m] | CDOT US 287 IN LAMAR FROM PARKWAY TO COLONIA [FRS; 130 m] | CAVANAGH REAL ESTATE [FRS; 215 m] | COLORADO </t>
  </si>
  <si>
    <t xml:space="preserve">MAIN STREET SHOPPE</t>
  </si>
  <si>
    <t xml:space="preserve">JEFF SMITH MOTORS INC</t>
  </si>
  <si>
    <t xml:space="preserve">S00508</t>
  </si>
  <si>
    <t xml:space="preserve">519 N SANTE FE AVE</t>
  </si>
  <si>
    <t xml:space="preserve">AIR-FLOW ENGINEERING CO. (1965; SIC 3444)</t>
  </si>
  <si>
    <t xml:space="preserve">AIR-FLOW ENGINEERING CO. (1965) | PUEBLO ENGRAVING CO (1966)</t>
  </si>
  <si>
    <t xml:space="preserve">THE ALBANY [FRS; 215 m] | 720 North Main, Pueblo [CDPHE Institutional_Controls_PROD_local; 238 m]</t>
  </si>
  <si>
    <t xml:space="preserve">VIDMAR HONDA INC [CDPHE RCRA; 135 m] | SIGNS BY SCOTT LTD [FRS; 145 m] | VIDMAR HONDA INC [FRS; 156 m] | USBOR - PUEBLO FIELD DIVISION [FRS; 160 m] | VIDMAR MOTOR COMPANY [FRS; 190 m] | US WEST COMMUNICATIONS PUEBLO [FRS; 199 m] | STOEHR DRIVE-IN CLEANERS - 7TH ST [FRS; 204 m]</t>
  </si>
  <si>
    <t xml:space="preserve">JONES-HEALY REALTORS [FRS; 114 m] | BETTY MARTINEZ REALTORS [FRS; 135 m] | SOUND VENTURE REALTY [FRS; 138 m] | PUEBLO PROPERTY MANAGEMENT AND RENTAL SOLUTIONS [FRS; 171 m] | REAL PROPERTY MANAGEMENT STEEL CITY [FRS; 188 m] | SANTA FE AVE STREETSCAPE AT 7 ST [FRS; 189 m] | FIRE STATION [FRS; 190 m] | ALL STAR PRINTING [FRS; 197 m] | KEYSTONE PROPERTY MANAGEMENT [FRS; 232 m] | V&amp;R VISTA REALTY [FRS;</t>
  </si>
  <si>
    <t xml:space="preserve">THE ALBANY</t>
  </si>
  <si>
    <t xml:space="preserve">VIDMAR HONDA INC</t>
  </si>
  <si>
    <t xml:space="preserve">S00529</t>
  </si>
  <si>
    <t xml:space="preserve">211 SANTA FE OR</t>
  </si>
  <si>
    <t xml:space="preserve">TAYLOR FENCE CO. (1965-1974; SIC 3481)</t>
  </si>
  <si>
    <t xml:space="preserve">TAYLOR FENCE CO. (1965)</t>
  </si>
  <si>
    <t xml:space="preserve">Colorado Smelter [CDPHE CDPHE Superfund] (inside site boundary)</t>
  </si>
  <si>
    <t xml:space="preserve">PROGRESS RAIL SERVICES CORP</t>
  </si>
  <si>
    <t xml:space="preserve">S01256</t>
  </si>
  <si>
    <t xml:space="preserve">1815 W 14TH ST</t>
  </si>
  <si>
    <t xml:space="preserve">1966;1968;1973;1980;1988;1992</t>
  </si>
  <si>
    <t xml:space="preserve">FOUNTAIN FOUNDRY (1966-1980; SIC 3321) | FOUNTAIN FOUNDRY INC (1988-1992; SIC 3321,3565)</t>
  </si>
  <si>
    <t xml:space="preserve">FOUNTAIN FOUNDRY (1966) | FOUNTAIN FOUNDRY INC (1988)</t>
  </si>
  <si>
    <t xml:space="preserve">FOUNTAIN FOUNDRY DBA F F  ACQUISITION CO [FRS; name match, 27 m] | FOUNTAIN FOUNDRY DBA F F  ACQUISITION CO [FRS] (address match)</t>
  </si>
  <si>
    <t xml:space="preserve">FOUNTAIN FOUNDRY DBA F F  ACQUISITION CO</t>
  </si>
  <si>
    <t xml:space="preserve">S01261</t>
  </si>
  <si>
    <t xml:space="preserve">1316 E ABRIENDO</t>
  </si>
  <si>
    <t xml:space="preserve">4 J ELECTRONICS (1966; SIC 3523) | MCUNTAIN STATES SHEET METAL (1968; SIC 3444)</t>
  </si>
  <si>
    <t xml:space="preserve">4 J ELECTRONICS (1966) | MCUNTAIN STATES SHEET METAL (1968)</t>
  </si>
  <si>
    <t xml:space="preserve">BLACK DIAMOND DBA KONVENIENCE CORNER #3 [FRS; 38 m] | CF ALTITUDE - ALTA CONVIENCE 6256 [FRS; 38 m]</t>
  </si>
  <si>
    <t xml:space="preserve">S01262</t>
  </si>
  <si>
    <t xml:space="preserve">300 S SANTA FE</t>
  </si>
  <si>
    <t xml:space="preserve">MARVIN MEMORIALS INC (1968; SIC 3261,2051,2042)</t>
  </si>
  <si>
    <t xml:space="preserve">MARVIN MEMORIALS INC (1966)</t>
  </si>
  <si>
    <t xml:space="preserve">CDOT Pueblo II [CDPHE Institutional_Controls_PROD_local; 68 m] | CDOT Pueblo II [CDPHE Institutional_Controls_PROD_local] (inside site boundary)</t>
  </si>
  <si>
    <t xml:space="preserve">VAPOR SOURCE HQ [FRS; 11 m] | ENGINE CENTER [FRS; 36 m]</t>
  </si>
  <si>
    <t xml:space="preserve">CDOT Pueblo II</t>
  </si>
  <si>
    <t xml:space="preserve">VAPOR SOURCE HQ</t>
  </si>
  <si>
    <t xml:space="preserve">S01264</t>
  </si>
  <si>
    <t xml:space="preserve">409 W 3RD</t>
  </si>
  <si>
    <t xml:space="preserve">MILNE-MCONEY WHOLESALE MEAT CC (1968; SIC 3446)</t>
  </si>
  <si>
    <t xml:space="preserve">MILNE-MOONEY WHOLESALE MEAT CO (1966) | MILNE-MCONEY WHOLESALE MEAT CC (1968) | SIR SPEEDY OF PUEBLO (1980) | SIR SPEEDY PRINTING CENTER (1983) | SRE DY PRINTING (1988)</t>
  </si>
  <si>
    <t xml:space="preserve">STATE LAND BOARD PARCELS #8 [FRS; 35 m]</t>
  </si>
  <si>
    <t xml:space="preserve">PRIME EQUITIES [FRS; 30 m]</t>
  </si>
  <si>
    <t xml:space="preserve">STATE LAND BOARD PARCELS #8</t>
  </si>
  <si>
    <t xml:space="preserve">PUEBLO BRAKE &amp; CLUTCH INC</t>
  </si>
  <si>
    <t xml:space="preserve">S01267</t>
  </si>
  <si>
    <t xml:space="preserve">513 S SANTA FE</t>
  </si>
  <si>
    <t xml:space="preserve">1967;1968;1974</t>
  </si>
  <si>
    <t xml:space="preserve">PUEBLO ALUMIAUM + BRASS FOUNDRY SIMMONS FUR CO (1967; SIC 3369) | PUEBLC ALUMINUM + BRASS FOUNDRY (1968; SIC 3481,3361) | PUEBLO ALUMINUM + BRASS FOUNDRY PO BOX 14 PUEBLO (1974; SIC 3369)</t>
  </si>
  <si>
    <t xml:space="preserve">PUEBLO ALUMINUM + BRASS FOUNORY (1966) | PUEBLO ALUMIAUM + BRASS FOUNDRY SIMMONS FUR CO (1967) | PUEBLC ALUMINUM + BRASS FOUNDRY (1968) | PUEBLO ALUMINUM + BRASS FOUNDRY PO BOX 14 PUEBLO (1974)</t>
  </si>
  <si>
    <t xml:space="preserve">DISCOUNT TIRES AND BATTERIES [FRS; 6 m]</t>
  </si>
  <si>
    <t xml:space="preserve">DISCOUNT TIRES AND BATTERIES</t>
  </si>
  <si>
    <t xml:space="preserve">S01268</t>
  </si>
  <si>
    <t xml:space="preserve">611 SANTA FE OR</t>
  </si>
  <si>
    <t xml:space="preserve">1966;1968;1973;1974;1983;1988;1990</t>
  </si>
  <si>
    <t xml:space="preserve">PUEBLO CHEMICAL COMPANY (1966-1973; SIC 2879) | BROCERICK + CIBBCNS INC (1968; SIC 2951) | BRODERICK + GIRBONS INC Goons feuch gn (1974; SIC 2951) | BRODERICK + GIBBONSsINC. (1983-1990; SIC 2951)</t>
  </si>
  <si>
    <t xml:space="preserve">PUEBLO CHEMICAL COMPANY (1966) | BROCERICK + CIBBCNS INC (1968) |  (1973) | BRODERICK + GIRBONS INC Goons feuch gn (1974) | BRODERICK + GIBBONSsINC. (1983)</t>
  </si>
  <si>
    <t xml:space="preserve">PUEBLO CHEMICAL COMPANY (VACANT) [FRS; name match, 36 m] | Colorado Smelter [CDPHE CDPHE Superfund] (inside site boundary)</t>
  </si>
  <si>
    <t xml:space="preserve">BLASI TRUCKING COMPANY [FRS; 36 m]</t>
  </si>
  <si>
    <t xml:space="preserve">PUEBLO CHEMICAL COMPANY (VACANT)</t>
  </si>
  <si>
    <t xml:space="preserve">PUEBLO ASPHALT PLANT</t>
  </si>
  <si>
    <t xml:space="preserve">BLASI TRUCKING COMPANY</t>
  </si>
  <si>
    <t xml:space="preserve">S01275</t>
  </si>
  <si>
    <t xml:space="preserve">1009 E NORTHERN</t>
  </si>
  <si>
    <t xml:space="preserve">1966;1968;1973;1974;1977;1980;1983;1990;1992</t>
  </si>
  <si>
    <t xml:space="preserve">UNION CARBIDE CORP, LINDE OIv (1966-1983; SIC 2819) |  (1973; SIC 2011,2813) | MIEOWEST STEEL + IRON WORKS CO INC (1977; SIC 3441) | MIDWEST FABRICATION + STEEL INC (1990-1992; SIC 3441)</t>
  </si>
  <si>
    <t xml:space="preserve">UNION CARBIDE CORP, LINDE OIv (1966) |  (1967) |  (1973) | MIEOWEST STEEL + IRON WORKS CO INC (1977) | MIDWEST FABRICATION + STEEL INC (1990)</t>
  </si>
  <si>
    <t xml:space="preserve">Rocky Mountain Steel Mills [CDPHE Institutional_Controls_PROD_local] (inside site boundary) | Colorado Smelter [CDPHE CDPHE Superfund] (inside site boundary)</t>
  </si>
  <si>
    <t xml:space="preserve">PRAXAIR FORMERLY UNION CARBIDE [FRS] (address match)</t>
  </si>
  <si>
    <t xml:space="preserve">MIDWEST FABRICATION AND STEEL LLC [FRS; name match, 133 m]</t>
  </si>
  <si>
    <t xml:space="preserve">ALPINE LABORATORIES LLC</t>
  </si>
  <si>
    <t xml:space="preserve">S01276</t>
  </si>
  <si>
    <t xml:space="preserve">1100 E NORTHERN</t>
  </si>
  <si>
    <t xml:space="preserve">WESTERN PIPE + TUBE Co INC (1966-1968; SIC 3449)</t>
  </si>
  <si>
    <t xml:space="preserve">WESTERN PIPE + TUBE Co INC (1966) |  (1973) | PyEBLO WOOD PRODUCTS (1977) | PUEBLO WOOD CO INC (1990)</t>
  </si>
  <si>
    <t xml:space="preserve">S01633</t>
  </si>
  <si>
    <t xml:space="preserve">771 S SANTA FE</t>
  </si>
  <si>
    <t xml:space="preserve">81000</t>
  </si>
  <si>
    <t xml:space="preserve">NEON PRCOUCTS CO (1968; SIC 3593)</t>
  </si>
  <si>
    <t xml:space="preserve">NEON PRODUCTS CO (1967) | NEON PRCOUCTS CO (1968)</t>
  </si>
  <si>
    <t xml:space="preserve">HARP  I</t>
  </si>
  <si>
    <t xml:space="preserve">S01933</t>
  </si>
  <si>
    <t xml:space="preserve">319 CLARK</t>
  </si>
  <si>
    <t xml:space="preserve">CLARK SPRING WATER CO (1968; SIC 2086,2899) | LASATER AUTOMOTIVE ENG CO (1980-1990; SIC 3714)</t>
  </si>
  <si>
    <t xml:space="preserve">CLARK SPRING WATER CO (1968) | LASATER AUTOMOTIVE ENG CO (1980)</t>
  </si>
  <si>
    <t xml:space="preserve">Sonic Drive In - Pueblo</t>
  </si>
  <si>
    <t xml:space="preserve">UNION PACIFIC RAILROAD</t>
  </si>
  <si>
    <t xml:space="preserve">S01936</t>
  </si>
  <si>
    <t xml:space="preserve">503 W 4TH</t>
  </si>
  <si>
    <t xml:space="preserve">GCBATTI MFG CC (1968; SIC 3561,3544,3591) | GOBATTL MFG CO (1970-1973; SIC 3591,3522)</t>
  </si>
  <si>
    <t xml:space="preserve">GCBATTI MFG CC (1968) | GOBATTL MFG CO (1970)</t>
  </si>
  <si>
    <t xml:space="preserve">COLORADO STATE LAND BOARD PARCELS [FRS; 38 m] | STATE LAND BOARD #1 [FRS; 38 m] | STATE LAND BOARD PARCELS #2 [FRS; 44 m]</t>
  </si>
  <si>
    <t xml:space="preserve">COLORADO STATE LAND BOARD PARCELS</t>
  </si>
  <si>
    <t xml:space="preserve">S01941</t>
  </si>
  <si>
    <t xml:space="preserve">525 MESA AVE</t>
  </si>
  <si>
    <t xml:space="preserve">OKORN, ROBERT Fy TROPHY FFG (1968; SIC 3499,3641,3842)</t>
  </si>
  <si>
    <t xml:space="preserve">OKORN, ROBERT Fy TROPHY FFG (1968)</t>
  </si>
  <si>
    <t xml:space="preserve">FIRE STATION [FRS; 126 m]</t>
  </si>
  <si>
    <t xml:space="preserve">S01943</t>
  </si>
  <si>
    <t xml:space="preserve">76 CHESTER</t>
  </si>
  <si>
    <t xml:space="preserve">SINGLETON SHEET METAL WORKS (1968; SIC 3444,2024)</t>
  </si>
  <si>
    <t xml:space="preserve">SINGLETON SHEET METAL WORKS (1968)</t>
  </si>
  <si>
    <t xml:space="preserve">PUEBLO RAIL ROAD ROW [FRS; 179 m]</t>
  </si>
  <si>
    <t xml:space="preserve">BAYLESS &amp; BAYLESS [FRS; 79 m] | ROCKWOOL PLANT - PUEBLO [CDPHE RCRA; 119 m]</t>
  </si>
  <si>
    <t xml:space="preserve">DIRT N DEMO [FRS; 115 m]</t>
  </si>
  <si>
    <t xml:space="preserve">PUEBLO RAIL ROAD ROW</t>
  </si>
  <si>
    <t xml:space="preserve">BAYLESS &amp; BAYLESS</t>
  </si>
  <si>
    <t xml:space="preserve">S02166</t>
  </si>
  <si>
    <t xml:space="preserve">1615 W 14TH ST</t>
  </si>
  <si>
    <t xml:space="preserve">1970;1974;1983</t>
  </si>
  <si>
    <t xml:space="preserve">FOUNTAIN FOUNDRY (1970-1983; SIC 3321,3361,3362)</t>
  </si>
  <si>
    <t xml:space="preserve">FOUNTAIN FOUNDRY (1970)</t>
  </si>
  <si>
    <t xml:space="preserve">FOUNTAIN FOUNDRY DBA F F  ACQUISITION CO [FRS; name match, 195 m]</t>
  </si>
  <si>
    <t xml:space="preserve">S02716</t>
  </si>
  <si>
    <t xml:space="preserve">525 E MESA AVE</t>
  </si>
  <si>
    <t xml:space="preserve">OKORN, ROBERT Fy, TROPHY MFG (1974-1983; SIC 3041,3914)</t>
  </si>
  <si>
    <t xml:space="preserve">OKORN, ROBERT Fy TROPHY MFG 2751 COMMERCIAL PRINTING, LETTERPRESS (1973) | OKORN, ROBERT Fy, TROPHY MFG (1974)</t>
  </si>
  <si>
    <t xml:space="preserve">INTERLINE BRANDS DBA NORTHERN COLORADO PAPER</t>
  </si>
  <si>
    <t xml:space="preserve">S04367</t>
  </si>
  <si>
    <t xml:space="preserve">307 DIVISION AVE</t>
  </si>
  <si>
    <t xml:space="preserve">L + A PLASTICS INC (1980-1990; SIC 3079) | MACHINING L+A PLASTICS INC (1988; SIC 3089,3579,3861)</t>
  </si>
  <si>
    <t xml:space="preserve">L + A PLASTICS INC (1980) | MACHINING L+A PLASTICS INC (1988)</t>
  </si>
  <si>
    <t xml:space="preserve">M &amp; M PAINT &amp; BODY</t>
  </si>
  <si>
    <t xml:space="preserve">S05245</t>
  </si>
  <si>
    <t xml:space="preserve">520 FAIRCHILD AVE</t>
  </si>
  <si>
    <t xml:space="preserve">U_E WESTFAB INC (1983; SIC 3441,3498)</t>
  </si>
  <si>
    <t xml:space="preserve">U_E WESTFAB INC (1983)</t>
  </si>
  <si>
    <t xml:space="preserve">Blitz Hangar [CDPHE Institutional_Controls_PROD_local; 97 m] | Blitz Hanger [CDPHE RCRA_corrective_action; 171 m] | Blitz Hangar [CDPHE Institutional_Controls_PROD_local] (inside site boundary)</t>
  </si>
  <si>
    <t xml:space="preserve">ALM AVIATION OF CO. BLITZ FAC. [FRS; 221 m]</t>
  </si>
  <si>
    <t xml:space="preserve">ALM AVIATION LABOR MANAGEMENT INC [FRS; 179 m] | TR TOPPERS [FRS; 245 m]</t>
  </si>
  <si>
    <t xml:space="preserve">Blitz Hangar</t>
  </si>
  <si>
    <t xml:space="preserve">ALM AVIATION OF CO. BLITZ FAC.</t>
  </si>
  <si>
    <t xml:space="preserve">S06051</t>
  </si>
  <si>
    <t xml:space="preserve">1018 B NORTHEN AVE</t>
  </si>
  <si>
    <t xml:space="preserve">MIDWEST FABRICATION+STEEL I (1988; SIC 3441)</t>
  </si>
  <si>
    <t xml:space="preserve">MIDWEST FABRICATION+STEEL I (1988)</t>
  </si>
  <si>
    <t xml:space="preserve">Pueblo MOP Yard [CDPHE Voluntary_Cleanup_and_Redevelopment_Program_(VCUP)_new; 189 m] | HARP  I [CDPHE Voluntary_Cleanup_and_Redevelopment_Program_(VCUP)_new; 216 m] | HARP: Lot 2, Block 1 [CDPHE Voluntary_Cleanup_and_Redevelopment_Program_(VCUP)_new; 216 m] | HARP II [CDPHE Voluntary_Cleanup_and_Redevelopment_Program_(VCUP)_new; 216 m] | HARP: Part of Parcel A [CDPHE Voluntary_Cleanup_and_Redevel</t>
  </si>
  <si>
    <t xml:space="preserve">DISCOUNT TIRES AND BATTERIES [FRS; 156 m] | PROGRESS RAIL SERVICES CORP [FRS; 180 m]</t>
  </si>
  <si>
    <t xml:space="preserve">PCD PHASE 5 LEVEE [FRS; 205 m] | PUEBLO COUNTY DETENTION CENTER [FRS; 217 m] | ARKANSAS RIVER LEVEE IMPROVEMENTS PHASE 6 [FRS; 222 m]</t>
  </si>
  <si>
    <t xml:space="preserve">Pueblo MOP Yard</t>
  </si>
  <si>
    <t xml:space="preserve">S06818</t>
  </si>
  <si>
    <t xml:space="preserve">350 KEELER PKWY</t>
  </si>
  <si>
    <t xml:space="preserve">KURT MANUFACTURING CO INC (1990; SIC 3499)</t>
  </si>
  <si>
    <t xml:space="preserve">KURT MANUFACTURING CO INC (1990)</t>
  </si>
  <si>
    <t xml:space="preserve">Kurt Manufacturing [CDPHE Voluntary_Cleanup_and_Redevelopment_Program_(VCUP)_new; name match, 6 m] | Kurt Manufacturing [CDPHE Voluntary_Cleanup_and_Redevelopment_Program_(VCUP)_new] (address match)</t>
  </si>
  <si>
    <t xml:space="preserve">THE WATER COMPANY, LLC [FRS] (address match) | TRANSPORTATION TECHNOLOGY CENTER INC DBA MXV RAIL [CDPHE RCRA] (address match)</t>
  </si>
  <si>
    <t xml:space="preserve">KURT MFG CO [FRS; name match, 88 m] | KURT MFG CO [FRS] (address match) | BIG R OF LAMAR INC [FRS] (address match)</t>
  </si>
  <si>
    <t xml:space="preserve">Kurt Manufacturing</t>
  </si>
  <si>
    <t xml:space="preserve">THE WATER COMPANY, LLC</t>
  </si>
  <si>
    <t xml:space="preserve">S06819</t>
  </si>
  <si>
    <t xml:space="preserve">114 E 11TH ST</t>
  </si>
  <si>
    <t xml:space="preserve">MOTIVE MACHINE INC (1990; SIC 3599)</t>
  </si>
  <si>
    <t xml:space="preserve">MOTIVE MACHINE INC (1990)</t>
  </si>
  <si>
    <t xml:space="preserve">Pueblo Poleyard II [CDPHE Voluntary_Cleanup_and_Redevelopment_Program_(VCUP)_new; 22 m] | Pueblo Poleyard I [CDPHE Voluntary_Cleanup_and_Redevelopment_Program_(VCUP)_new; 22 m]</t>
  </si>
  <si>
    <t xml:space="preserve">MOTIVE MACHINE INC [FRS; name match, 88 m] | FREEDOM FORD AND SUBARU INC [FRS; 21 m] | SATURN OF PUEBLO LLC [FRS; 21 m] | MOTIVE MACHINE INC [FRS] (address match)</t>
  </si>
  <si>
    <t xml:space="preserve">Pueblo Poleyard II</t>
  </si>
  <si>
    <t xml:space="preserve">FREEDOM FORD AND SUBARU INC</t>
  </si>
  <si>
    <t xml:space="preserve">S01279</t>
  </si>
  <si>
    <t xml:space="preserve">130 N BROADWAY</t>
  </si>
  <si>
    <t xml:space="preserve">MONTE VISTA</t>
  </si>
  <si>
    <t xml:space="preserve">Rio Grande</t>
  </si>
  <si>
    <t xml:space="preserve">81144</t>
  </si>
  <si>
    <t xml:space="preserve">1966;1967;1968;1970;1973;1974;1977;1980;1983;1988;1990</t>
  </si>
  <si>
    <t xml:space="preserve">AGRICULTURAL e204) eS (1966; SIC 2879) | SCHALL_ CHEMICAL INC (1967-1990; SIC 2879) | SCHALL CHEMICAL INC W EBERT ChNER (1968; SIC 2879) |  (1970; SIC 2879) | SCHALL CHEMICAL INC BOX A HAYDEN £1639 (1974; SIC 2899)</t>
  </si>
  <si>
    <t xml:space="preserve">AGRICULTURAL e204) eS (1966) | SCHALL_ CHEMICAL INC (1967) | SCHALL CHEMICAL INC W EBERT ChNER (1968) |  (1970) | SCHALL CHEMICAL INC BOX A HAYDEN £1639 (1974)</t>
  </si>
  <si>
    <t xml:space="preserve">117 ADAMS STREET [FRS; 245 m]</t>
  </si>
  <si>
    <t xml:space="preserve">SAFEWAY STORE #2810 [CDPHE RCRA; 113 m]</t>
  </si>
  <si>
    <t xml:space="preserve">MONTE VISTA CITY [FRS; 66 m] | CF ALTITUDE - ALTA #3502 [FRS; 99 m] | SAN LUIS VALLEY PARTNERSHIP [FRS; 99 m] | PESTER MARKETING - ALTA CONVIENCE 3502 [FRS; 109 m] | REMAX NEW HORIZONS [FRS; 158 m] | WINCO INC. [FRS; 164 m] | MOUNTAIN TOP REALTY [FRS; 212 m]</t>
  </si>
  <si>
    <t xml:space="preserve">117 ADAMS STREET</t>
  </si>
  <si>
    <t xml:space="preserve">SAFEWAY STORE #2810</t>
  </si>
  <si>
    <t xml:space="preserve">S02721</t>
  </si>
  <si>
    <t xml:space="preserve">20 N BROADWAY</t>
  </si>
  <si>
    <t xml:space="preserve">MOLONEY, INC. (1973; SIC 2875)</t>
  </si>
  <si>
    <t xml:space="preserve">MOLONEY, INC. (1973) | RANCH-WAY FEED MILLS CC S prop DIST c109 (1974) | BROWN FEED + SEED INC (1980) | BROWN'S VALLEY FEED (1983)</t>
  </si>
  <si>
    <t xml:space="preserve">99 NORTH BROADWAY STREET - BOYS AND GIRLS CLUB [FRS; 28 m] | MONTE VISTA BOYS AND GIRLS CLUB PROPERTY [FRS; 28 m] | Monte Vista Boys and Girls Club [CDPHE CDPHE Brownfield; 112 m] | MONTE VISTA POWER PLANT [FRS] (address match)</t>
  </si>
  <si>
    <t xml:space="preserve">SCHALL CHEMICAL SUPPLY LLC [FRS; 112 m] | SCHALL CHEMICAL SUPPLY LLC [TRI; 155 m]</t>
  </si>
  <si>
    <t xml:space="preserve">WINCO INC. [FRS; 72 m] | PESTER MARKETING - ALTA CONVIENCE 3502 [FRS; 193 m] | MONTE VISTA CITY [FRS; 199 m] | CF ALTITUDE - ALTA #3502 [FRS; 215 m] | SAN LUIS VALLEY PARTNERSHIP [FRS; 215 m] | REMAX NEW HORIZONS [FRS; 245 m]</t>
  </si>
  <si>
    <t xml:space="preserve">99 NORTH BROADWAY STREET - BOYS AND GIRLS CLUB</t>
  </si>
  <si>
    <t xml:space="preserve">SCHALL CHEMICAL SUPPLY LLC</t>
  </si>
  <si>
    <t xml:space="preserve">S04384</t>
  </si>
  <si>
    <t xml:space="preserve">102T N US HWY 285</t>
  </si>
  <si>
    <t xml:space="preserve">SCHALL IRON WORKS ENC (1980; SIC 3599)</t>
  </si>
  <si>
    <t xml:space="preserve">SCHALL IRON WORKS ENC (1980)</t>
  </si>
  <si>
    <t xml:space="preserve">99 NORTH BROADWAY STREET - BOYS AND GIRLS CLUB [FRS; 96 m] | MONTE VISTA BOYS AND GIRLS CLUB PROPERTY [FRS; 96 m] | Monte Vista Boys and Girls Club [CDPHE CDPHE Brownfield; 131 m]</t>
  </si>
  <si>
    <t xml:space="preserve">SCHALL CHEMICAL SUPPLY LLC [FRS; 13 m] | SCHALL CHEMICAL SUPPLY LLC [TRI; 55 m]</t>
  </si>
  <si>
    <t xml:space="preserve">WINCO INC. [FRS; 197 m] | TERRA INTERNATIONAL [FRS; 207 m]</t>
  </si>
  <si>
    <t xml:space="preserve">S03535</t>
  </si>
  <si>
    <t xml:space="preserve">37 11 ST</t>
  </si>
  <si>
    <t xml:space="preserve">per DB MANUFACT (1988; SIC 3751,3949) | SORE SADDLE CYCLERY INC (1990; SIC 3751)</t>
  </si>
  <si>
    <t xml:space="preserve">PLEASANT VALLEY DAIRY (1977) | VECTOR MFG &lt;ORP (1977) | per DB MANUFACT (1988) | SORE SADDLE CYCLERY INC (1990)</t>
  </si>
  <si>
    <t xml:space="preserve">Big Agness [CDPHE Voluntary_Cleanup_and_Redevelopment_Program_(VCUP)_new; 59 m] | Sundance Dry Cleaners [CDPHE RCRA_corrective_action; 90 m]</t>
  </si>
  <si>
    <t xml:space="preserve">Big Agness</t>
  </si>
  <si>
    <t xml:space="preserve">S00545</t>
  </si>
  <si>
    <t xml:space="preserve">711 11TH ST</t>
  </si>
  <si>
    <t xml:space="preserve">GARNSEY + WHEELER REBUILDERS, INC. (1965; SIC 3714)</t>
  </si>
  <si>
    <t xml:space="preserve">GARNSEY + WHEELER REBUILDERS, INC. (1965)</t>
  </si>
  <si>
    <t xml:space="preserve">Greeley Plaza [CDPHE Voluntary_Cleanup_and_Redevelopment_Program_(VCUP)_new; 39 m]</t>
  </si>
  <si>
    <t xml:space="preserve">S00559</t>
  </si>
  <si>
    <t xml:space="preserve">423 18TH ST</t>
  </si>
  <si>
    <t xml:space="preserve">1965;1966;1988;1990;1992</t>
  </si>
  <si>
    <t xml:space="preserve">NIAGRA CHEMICAL DIVISION FMC (1965-1966; SIC 2899) | UNITED AGRI PRODUCTS (1988-1990; SIC 2879) | PLATIE CHEMICAL CO. (1992; SIC 2879)</t>
  </si>
  <si>
    <t xml:space="preserve">NIAGRA CHEMICAL DIVISION FMC (1965) | UNITED AGRI PRODUCTS (1988) | PLATIE CHEMICAL CO. (1992)</t>
  </si>
  <si>
    <t xml:space="preserve">PLATTE CHEMICAL COMPANY [FRS; name match, 26 m] | PLATTE CHEMICAL CO [FRS; name match, 57 m] | PLATTE CHEMICAL COMPANY [FRS] (address match)</t>
  </si>
  <si>
    <t xml:space="preserve">PLATTE CHEMICAL CO [TRI; name match, 203 m]</t>
  </si>
  <si>
    <t xml:space="preserve">DARTEC INC [FRS; 27 m] | DARTEC INC [FRS] (address match)</t>
  </si>
  <si>
    <t xml:space="preserve">PLATTE CHEMICAL COMPANY</t>
  </si>
  <si>
    <t xml:space="preserve">PLATTE CHEMICAL CO</t>
  </si>
  <si>
    <t xml:space="preserve">DARTEC INC</t>
  </si>
  <si>
    <t xml:space="preserve">S04400</t>
  </si>
  <si>
    <t xml:space="preserve">1013 9TH AVE</t>
  </si>
  <si>
    <t xml:space="preserve">ACME-WILKINSON PRINTERY INC (1980; SIC 2752,3573,3576)</t>
  </si>
  <si>
    <t xml:space="preserve">ACME-WILKINSON PRINTERY INC (1980)</t>
  </si>
  <si>
    <t xml:space="preserve">1001 9TH AVENUE [FRS; 25 m] | 906-912 10TH STREET [FRS; 51 m]</t>
  </si>
  <si>
    <t xml:space="preserve">1001 9TH AVENUE</t>
  </si>
  <si>
    <t xml:space="preserve">WELD COUNTY GARAGE</t>
  </si>
  <si>
    <t xml:space="preserve">S04420</t>
  </si>
  <si>
    <t xml:space="preserve">500 18TH ST</t>
  </si>
  <si>
    <t xml:space="preserve">MELCO FABRICATORS INC (1980; SIC 2514,3446,3443)</t>
  </si>
  <si>
    <t xml:space="preserve">MELCO FABRICATORS INC (1980) | THERMO POWER AND ELECTRIC (1992)</t>
  </si>
  <si>
    <t xml:space="preserve">PLATTE CHEMICAL CO [FRS] (address match)</t>
  </si>
  <si>
    <t xml:space="preserve">PLATTE CHEMICAL CO [TRI] (address match)</t>
  </si>
  <si>
    <t xml:space="preserve">THERMO POWER &amp;AMP; ELECTRIC LLC [FRS; name match, 115 m]</t>
  </si>
  <si>
    <t xml:space="preserve">THERMO POWER &amp;AMP; ELECTRIC LLC</t>
  </si>
  <si>
    <t xml:space="preserve">S05279</t>
  </si>
  <si>
    <t xml:space="preserve">517 13TH</t>
  </si>
  <si>
    <t xml:space="preserve">WELCO FABRICATORS INC (1983; SIC 2514,3446,3443)</t>
  </si>
  <si>
    <t xml:space="preserve">WELCO FABRICATORS INC (1983)</t>
  </si>
  <si>
    <t xml:space="preserve">Greeley Phorate III [CDPHE Voluntary_Cleanup_and_Redevelopment_Program_(VCUP)_new; 39 m] | Greeley Phorate II [CDPHE Voluntary_Cleanup_and_Redevelopment_Program_(VCUP)_new; 39 m] | Greeley Phorate I [CDPHE Voluntary_Cleanup_and_Redevelopment_Program_(VCUP)_new; 39 m]</t>
  </si>
  <si>
    <t xml:space="preserve">GLENN SANTISTEVAN RENTAL [FRS; 15 m] | BLOSKAS,BH AND ASSOCIATES INCORPORATION [FRS; 27 m]</t>
  </si>
  <si>
    <t xml:space="preserve">Greeley Phorate III</t>
  </si>
  <si>
    <t xml:space="preserve">W H BLOSKAS &amp; ASSOC INC</t>
  </si>
  <si>
    <t xml:space="preserve">S05281</t>
  </si>
  <si>
    <t xml:space="preserve">560 DALIA</t>
  </si>
  <si>
    <t xml:space="preserve">HUDSON</t>
  </si>
  <si>
    <t xml:space="preserve">80642</t>
  </si>
  <si>
    <t xml:space="preserve">DENVER PLASTICS INC (1983-1990; SIC 3079,3544)</t>
  </si>
  <si>
    <t xml:space="preserve">DENVER PLASTICS INC (1983)</t>
  </si>
  <si>
    <t xml:space="preserve">Hudson Compressor Station I [CDPHE Voluntary_Cleanup_and_Redevelopment_Program_(VCUP)_new; 190 m]</t>
  </si>
  <si>
    <t xml:space="preserve">HUDSON BODY SHOP [FRS; 44 m] | ACTIVE TRUCK SALES &amp; SERVICE [FRS; 171 m]</t>
  </si>
  <si>
    <t xml:space="preserve">DENVER PLASTICS COLORADO [FRS; name match, 24 m] | SILCO OIL CO  BARN STORE NO 14 [FRS; 67 m] | KLEVE ENTERPRISES, INC. - CORNER MART 66 [FRS; 153 m] | BEN'S BRICK OVEN PIZZA [FRS; 197 m]</t>
  </si>
  <si>
    <t xml:space="preserve">Hudson Compressor Station I</t>
  </si>
  <si>
    <t xml:space="preserve">HUDSON BODY SHOP</t>
  </si>
  <si>
    <t xml:space="preserve">S05282</t>
  </si>
  <si>
    <t xml:space="preserve">598 3RD ST</t>
  </si>
  <si>
    <t xml:space="preserve">MEAD</t>
  </si>
  <si>
    <t xml:space="preserve">80542</t>
  </si>
  <si>
    <t xml:space="preserve">SOULDER SCIENTIFIC CO INC (1983; SIC 2869,2829) | BOURRER SCIENTIFIC (1988-1990; SIC 2619,2869)</t>
  </si>
  <si>
    <t xml:space="preserve">SOULDER SCIENTIFIC CO INC (1983) | BOURRER SCIENTIFIC (1988)</t>
  </si>
  <si>
    <t xml:space="preserve">BOULDER SCIENTIFIC CO - MEAD FACILITY [FRS; name match, 87 m] | BOULDER SCIENTIFIC CO - MEAD FACILITY [FRS] (address match)</t>
  </si>
  <si>
    <t xml:space="preserve">BOULDER SCIENTIFIC CO LLC - MEAD FACILITY [TRI; name match, 122 m] | BOULDER SCIENTIFIC CO LLC - MEAD FACILITY [TRI] (address match)</t>
  </si>
  <si>
    <t xml:space="preserve">BOULDER SCIENTIFIC CO - MEAD FACILITY</t>
  </si>
  <si>
    <t xml:space="preserve">BOULDER SCIENTIFIC CO LLC - MEAD FACILITY</t>
  </si>
  <si>
    <t xml:space="preserve">S06109</t>
  </si>
  <si>
    <t xml:space="preserve">115 6TH ST</t>
  </si>
  <si>
    <t xml:space="preserve">WINDSOR</t>
  </si>
  <si>
    <t xml:space="preserve">80550</t>
  </si>
  <si>
    <t xml:space="preserve">PAPERS ROCKY MTN PRECISION (1988-1992; SIC 3599)</t>
  </si>
  <si>
    <t xml:space="preserve">PAPERS ROCKY MTN PRECISION (1988)</t>
  </si>
  <si>
    <t xml:space="preserve">WINDSOR AMERICAN LEGION [FRS; 73 m]</t>
  </si>
  <si>
    <t xml:space="preserve">ROCKY MOUNTAIN PRECISION CO [FRS; name match, 8 m] | ROCKY MOUNTAIN PRECISION CO [FRS] (address match) | ROCKY MOUNTAIN PRECISION CO [CDPHE RCRA] (address match)</t>
  </si>
  <si>
    <t xml:space="preserve">WINDSOR AMERICAN LEGION</t>
  </si>
  <si>
    <t xml:space="preserve">ROCKY MOUNTAIN PRECISION CO</t>
  </si>
  <si>
    <t xml:space="preserve">S06660</t>
  </si>
  <si>
    <t xml:space="preserve">131 N 35TH AVE</t>
  </si>
  <si>
    <t xml:space="preserve">80633</t>
  </si>
  <si>
    <t xml:space="preserve">BESTWAY CONCRETE CO (1990-1992; SIC 3773)</t>
  </si>
  <si>
    <t xml:space="preserve">BESTWAY CONCRETE CO (1990)</t>
  </si>
  <si>
    <t xml:space="preserve">Best Way Property II [CDPHE Voluntary_Cleanup_and_Redevelopment_Program_(VCUP)_new; 68 m] | Best-Way Property [CDPHE Voluntary_Cleanup_and_Redevelopment_Program_(VCUP)_new; 68 m]</t>
  </si>
  <si>
    <t xml:space="preserve">BESTWAY CONCRETE [TRI] (address match)</t>
  </si>
  <si>
    <t xml:space="preserve">Best Way Property II</t>
  </si>
  <si>
    <t xml:space="preserve">CAMAS COLORADO INCORPORATED BESTWAY PAVING DIVISION</t>
  </si>
  <si>
    <t xml:space="preserve">S00588</t>
  </si>
  <si>
    <t xml:space="preserve">5595 FEDERAL BLVD</t>
  </si>
  <si>
    <t xml:space="preserve">HILLIKER HYDRAULICS (1966; SIC 3599) | JC WOOD SPECIALTIES (1990; SIC 2851,3999,2499)</t>
  </si>
  <si>
    <t xml:space="preserve">HILLIKER HYDRAULICS (1966) | Tv BOOTIES BY PATEE (1966) | JC WOOD SPECIALTIES (1990)</t>
  </si>
  <si>
    <t xml:space="preserve">FEDERAL AND 56TH [FRS; 25 m] | BERKELEY FEDERAL BORE [FRS; 38 m] | FEDERAL SELF STORAGE [FRS] (address match)</t>
  </si>
  <si>
    <t xml:space="preserve">ADVANCED AUTO</t>
  </si>
  <si>
    <t xml:space="preserve">S01646</t>
  </si>
  <si>
    <t xml:space="preserve">2328 DAYTON BCO1LG</t>
  </si>
  <si>
    <t xml:space="preserve">K-M ENTERPRISES CORP (1968-1970; SIC 3589,3621) | BEITSCHER MACHINE AND SUPPLY CO (1974; SIC 3714,3591)</t>
  </si>
  <si>
    <t xml:space="preserve">K-M ENTERPRISES CORP (1968) | WESTERN ARTS PRINTING (1973) | BEITSCHER MACHINE AND SUPPLY CO (1974)</t>
  </si>
  <si>
    <t xml:space="preserve">B AND M HOUSE OF GLASS [FRS; 15 m] | TAYLORS BODY &amp; FRAME [FRS; 58 m] | DIVISION ONE CONSTRUCTION [FRS; 66 m]</t>
  </si>
  <si>
    <t xml:space="preserve">S01834</t>
  </si>
  <si>
    <t xml:space="preserve">5501 FEDERAL BLVD</t>
  </si>
  <si>
    <t xml:space="preserve">WILLIAMS REFINING CO (1968; SIC 2911)</t>
  </si>
  <si>
    <t xml:space="preserve">WILLIAMS REFINING CO (1968)</t>
  </si>
  <si>
    <t xml:space="preserve">HERMOSA VETERINARY CLINIC [FRS; 23 m]</t>
  </si>
  <si>
    <t xml:space="preserve">S01964</t>
  </si>
  <si>
    <t xml:space="preserve">4940 ONEIDA ST</t>
  </si>
  <si>
    <t xml:space="preserve">ARMOLOY CO OF COLORADO, INC (1970-1974; SIC 3479) | DURA DOME OF COLORADO (1974; SIC 3079) | ICE CREATIONS UNLIMITED INC (1980-1983; SIC 3079)</t>
  </si>
  <si>
    <t xml:space="preserve">ARMOLOY CO OF COLORADO, INC (1970) | DURA DOME OF COLORADO (1974) | ICE CREATIONS UNLIMITED INC (1980)</t>
  </si>
  <si>
    <t xml:space="preserve">SUTRAK CORPORATION - COMMERCE CITY [FRS; 20 m]</t>
  </si>
  <si>
    <t xml:space="preserve">MAACO</t>
  </si>
  <si>
    <t xml:space="preserve">S01969</t>
  </si>
  <si>
    <t xml:space="preserve">9001 WELBY RD</t>
  </si>
  <si>
    <t xml:space="preserve">1970;1988;1990</t>
  </si>
  <si>
    <t xml:space="preserve">CARY MFG CO (1970; SIC 3591,3586,3842) | ROLL FAB (1988; SIC 3585) | SNAPPY AIR DISTRIBUTION PRODUCTS (1990; SIC 3585)</t>
  </si>
  <si>
    <t xml:space="preserve">STABROOK ENTERPRISES INC (1970) | CARY MFG CO (1970) | ROLL FAB (1988) | SNAPPY AIR DISTRIBUTION PRODUCTS (1990)</t>
  </si>
  <si>
    <t xml:space="preserve">FASTRACK TRAILS AT 88 AVE STATION [FRS; 36 m]</t>
  </si>
  <si>
    <t xml:space="preserve">S02195</t>
  </si>
  <si>
    <t xml:space="preserve">9601 ELIZABETH</t>
  </si>
  <si>
    <t xml:space="preserve">SALTO INDUSTRIES INC (1973; SIC 2819)</t>
  </si>
  <si>
    <t xml:space="preserve">SALTO INDUSTRIES INC (1973)</t>
  </si>
  <si>
    <t xml:space="preserve">ROBERT JAMES PAINTING [FRS; 233 m]</t>
  </si>
  <si>
    <t xml:space="preserve">S02244</t>
  </si>
  <si>
    <t xml:space="preserve">7000 RALEIGH ST</t>
  </si>
  <si>
    <t xml:space="preserve">1973;1974;1980;1983;1990</t>
  </si>
  <si>
    <t xml:space="preserve">SEYFER ENGINEERING INC (1973; SIC 3559,3591,3599) | RECREATIONAL PRODUCTS CORP (1974-1980; SIC 3714) | CONKLIN MACHINE ¢ TOOL CO (1980-1990; SIC 3544)</t>
  </si>
  <si>
    <t xml:space="preserve">SEYFER ENGINEERING INC (1973) | RECREATIONAL PRODUCTS CORP (1974) | CONKLIN MACHINE ¢ TOOL CO (1980)</t>
  </si>
  <si>
    <t xml:space="preserve">STREETABLE CUSTOMS-(317) [FRS] (address match)</t>
  </si>
  <si>
    <t xml:space="preserve">AXIOM FLEET</t>
  </si>
  <si>
    <t xml:space="preserve">S03196</t>
  </si>
  <si>
    <t xml:space="preserve">7100 BROADWAY</t>
  </si>
  <si>
    <t xml:space="preserve">B + R MACHINE CO (1977; SIC 3599) | 8 ¢ R KACHINE CO (1980; SIC 3599) | INEX INC (1980; SIC 3551,3824,3823) | SAY BEE ENGINEERING (1980; SIC 3079) | PRGTEGCHEN SCIENTIFIC CORP (1980; SIC 2869) | SILVER EAGLE MFG CO (1980; SIC 3949,3599) | AMERICAN TELEDATA CORPORATION (1980; SIC 3662,3714,3999)</t>
  </si>
  <si>
    <t xml:space="preserve">B + R MACHINE CO (1977) |  (1977) | ROCKING ORISINALS (1977) | 8 ¢ R KACHINE CO (1980) | INEX INC (1980) | SAY BEE ENGINEERING (1980) | PRGTEGCHEN SCIENTIFIC CORP (1980) | SILVER EAGLE MFG CO (1980) | AMERICAN TELEDATA CORPORATION (1980) | PRESSWORKS» THE (1983) | ADYANT HR, ONITORING (1988)</t>
  </si>
  <si>
    <t xml:space="preserve">PRESSWORKS [FRS; name match, 154 m]</t>
  </si>
  <si>
    <t xml:space="preserve">BORN AGAIN CABINETS INC</t>
  </si>
  <si>
    <t xml:space="preserve">S03573</t>
  </si>
  <si>
    <t xml:space="preserve">190 W SOUTHERN</t>
  </si>
  <si>
    <t xml:space="preserve">CEMCO METAL ENC (1980; SIC 3441,3449,3535) | GN INTERNATIONAL INC (1988; SIC 3533)</t>
  </si>
  <si>
    <t xml:space="preserve">CEMCO METAL ENC (1980) | GN INTERNATIONAL INC (1988)</t>
  </si>
  <si>
    <t xml:space="preserve">BRIGHTON SENIOR HOUSING [FRS; 24 m]</t>
  </si>
  <si>
    <t xml:space="preserve">INTER-MOUNTAIN OIL</t>
  </si>
  <si>
    <t xml:space="preserve">S05662</t>
  </si>
  <si>
    <t xml:space="preserve">5931 PECOS</t>
  </si>
  <si>
    <t xml:space="preserve">D.B.A.-AMERICAN BLACKLINE COATINGS (1988; SIC 2961) | PROTECTIVE CONSTRUCTION PRODUCTS (1990; SIC 2951)</t>
  </si>
  <si>
    <t xml:space="preserve">D.B.A.-AMERICAN BLACKLINE COATINGS (1988) | PROTECTIVE CONSTRUCTION PRODUCTS (1990)</t>
  </si>
  <si>
    <t xml:space="preserve">AMERICAN BLACKLINE COATINGS INC [FRS; name match, 105 m]</t>
  </si>
  <si>
    <t xml:space="preserve">ROCKY MOUNTAIN PRESTRESS LLC (STRUCTURAL PLANT)</t>
  </si>
  <si>
    <t xml:space="preserve">UNION PACIFIC RAILROAD - DENVER NORTH YARD PECOS ST</t>
  </si>
  <si>
    <t xml:space="preserve">S06162</t>
  </si>
  <si>
    <t xml:space="preserve">401 LAREDO ST UNIT</t>
  </si>
  <si>
    <t xml:space="preserve">MICROTECH MEDICAL SYSTEMS INC (1990; SIC 2835)</t>
  </si>
  <si>
    <t xml:space="preserve">MICROTECH MEDICAL SYSTEMS INC (1990)</t>
  </si>
  <si>
    <t xml:space="preserve">ROCKY MOUNTAIN COACHWORKS INC [FRS; 10 m]</t>
  </si>
  <si>
    <t xml:space="preserve">AURORA COLLISION CENTER</t>
  </si>
  <si>
    <t xml:space="preserve">S06220</t>
  </si>
  <si>
    <t xml:space="preserve">455 IDA</t>
  </si>
  <si>
    <t xml:space="preserve">ABC COATING CO (1990; SIC 3479)</t>
  </si>
  <si>
    <t xml:space="preserve">ABC COATING CO (1990)</t>
  </si>
  <si>
    <t xml:space="preserve">ABC COATING COMPANY INCORPORATION [FRS; name match, 12 m] | G+Z OFFICE BUILDING [FRS; 18 m]</t>
  </si>
  <si>
    <t xml:space="preserve">Love's Travel Stop &amp; Country Store</t>
  </si>
  <si>
    <t xml:space="preserve">TRI-STATE OIL RECLAIMERS</t>
  </si>
  <si>
    <t xml:space="preserve">S06332</t>
  </si>
  <si>
    <t xml:space="preserve">5251 E 78TH AVE</t>
  </si>
  <si>
    <t xml:space="preserve">FRONT RANGE ASPHALT CO (1990; SIC 2951)</t>
  </si>
  <si>
    <t xml:space="preserve">FRONT RANGE ASPHALT CO (1990)</t>
  </si>
  <si>
    <t xml:space="preserve">BFI MED WASTE [FRS; 30 m] | BITUMINOUS ROADWAYS OF CO INC [FRS] (address match)</t>
  </si>
  <si>
    <t xml:space="preserve">QUALITY PAVING COMPANY</t>
  </si>
  <si>
    <t xml:space="preserve">H RICHEY, INC.</t>
  </si>
  <si>
    <t xml:space="preserve">S06333</t>
  </si>
  <si>
    <t xml:space="preserve">5495 E 69TH AVE</t>
  </si>
  <si>
    <t xml:space="preserve">INDUSTRIAL MFG + MACHINING (1990; SIC 3469,3444,3498)</t>
  </si>
  <si>
    <t xml:space="preserve">INDUSTRIAL MFG + MACHINING (1990)</t>
  </si>
  <si>
    <t xml:space="preserve">INDUSTRIAL MANUFACTURING AND MACHINING [FRS; name match, 29 m] | INDUSTRIAL MANUFACTURING AND MACHINING [FRS] (address match)</t>
  </si>
  <si>
    <t xml:space="preserve">SOS INDUSTRIAL</t>
  </si>
  <si>
    <t xml:space="preserve">S06362</t>
  </si>
  <si>
    <t xml:space="preserve">6475 FRANKLIN</t>
  </si>
  <si>
    <t xml:space="preserve">AMERICAN EXCELSIOR CO (1990; SIC 2491,3089,3585)</t>
  </si>
  <si>
    <t xml:space="preserve">AMERICAN EXCELSIOR CO (1990)</t>
  </si>
  <si>
    <t xml:space="preserve">AMERICAN EXCELSIOR CO-I082494 [FRS; name match, 58 m]</t>
  </si>
  <si>
    <t xml:space="preserve">S06445</t>
  </si>
  <si>
    <t xml:space="preserve">1725 E 66TH AVE</t>
  </si>
  <si>
    <t xml:space="preserve">MASTER HALCO (1990; SIC 3496)</t>
  </si>
  <si>
    <t xml:space="preserve">MASTER HALCO (1990)</t>
  </si>
  <si>
    <t xml:space="preserve">TRUSTILE DOORS, LLC [FRS; 1 m]</t>
  </si>
  <si>
    <t xml:space="preserve">ATLAS ENERGY PRODUCTS</t>
  </si>
  <si>
    <t xml:space="preserve">ROCKY MOUNTAIN PRESTAIN  LLC</t>
  </si>
  <si>
    <t xml:space="preserve">S06796</t>
  </si>
  <si>
    <t xml:space="preserve">10855 IRMA DR</t>
  </si>
  <si>
    <t xml:space="preserve">CONTRACT MANUFACTURING INC (1990; SIC 3499)</t>
  </si>
  <si>
    <t xml:space="preserve">CONTRACT MANUFACTURING INC (1990)</t>
  </si>
  <si>
    <t xml:space="preserve">WEISER ENGINEERING/MILE HIGH PRECISION INC. [FRS; 12 m]</t>
  </si>
  <si>
    <t xml:space="preserve">HOT RODIFICATIONS</t>
  </si>
  <si>
    <t xml:space="preserve">S00012</t>
  </si>
  <si>
    <t xml:space="preserve">2390 W DARTMOUTH</t>
  </si>
  <si>
    <t xml:space="preserve">THELCO CoRP (1980-1983; SIC 3561,3566,3443)</t>
  </si>
  <si>
    <t xml:space="preserve">FENNER-HAMILTON CORP. (1965) | COLORADO STAIR CO (1973) | THELCO CoRP (1980)</t>
  </si>
  <si>
    <t xml:space="preserve">THELCO [FRS; name match, 97 m]</t>
  </si>
  <si>
    <t xml:space="preserve">ELECTRO PAINTERS INC</t>
  </si>
  <si>
    <t xml:space="preserve">S00616</t>
  </si>
  <si>
    <t xml:space="preserve">3085 S BROADWAY</t>
  </si>
  <si>
    <t xml:space="preserve">Shag PROCES INC (1988; SIC 3577,2618)</t>
  </si>
  <si>
    <t xml:space="preserve">ENGLEWOOD PRESS INC (1966) | Shag PROCES INC (1988)</t>
  </si>
  <si>
    <t xml:space="preserve">CHICK FIL A 3336 [FRS; 14 m] | CHICK FIL A 3336 [FRS] (address match)</t>
  </si>
  <si>
    <t xml:space="preserve">WALGREENS STORE #3298</t>
  </si>
  <si>
    <t xml:space="preserve">S00626</t>
  </si>
  <si>
    <t xml:space="preserve">3543 S EMERSON</t>
  </si>
  <si>
    <t xml:space="preserve">LEATHER TOGGERY SHOP OVER-LOWE CO (1970; SIC 2386,3564)</t>
  </si>
  <si>
    <t xml:space="preserve"> (1966) | LEATHER TOGGERY SHOP OVER-LOWE CO (1970)</t>
  </si>
  <si>
    <t xml:space="preserve">EMERSON SODO [FRS; 38 m]</t>
  </si>
  <si>
    <t xml:space="preserve">3500 Corona, LLC</t>
  </si>
  <si>
    <t xml:space="preserve">DBA RITE AID #06773</t>
  </si>
  <si>
    <t xml:space="preserve">S00632</t>
  </si>
  <si>
    <t xml:space="preserve">4201 S NAVAJO</t>
  </si>
  <si>
    <t xml:space="preserve">1966;1967;1970;1973;1974</t>
  </si>
  <si>
    <t xml:space="preserve">STEEL STRUCTURES OF COLO INC (1966-1974; SIC 3441) | STEELSCO, INC (1970; SIC 3449)</t>
  </si>
  <si>
    <t xml:space="preserve">STEEL STRUCTURES OF COLO INC (1966) | STEELSCO, INC (1970)</t>
  </si>
  <si>
    <t xml:space="preserve">4201 S NAVAJO [FRS; 5 m] | PRECIOUS CAT INC. [FRS; 5 m] | VALIERN COMPANY [FRS; 5 m]</t>
  </si>
  <si>
    <t xml:space="preserve">SOUTHERN FOODS GROUP LLC D/B/A MEADOW GOLD DAIRIES</t>
  </si>
  <si>
    <t xml:space="preserve">MILE HIGH POWDER COATINGS</t>
  </si>
  <si>
    <t xml:space="preserve">S01366</t>
  </si>
  <si>
    <t xml:space="preserve">5665 S CURTICE</t>
  </si>
  <si>
    <t xml:space="preserve">ELECTRO MECHANICAL R + D CORP (1970; SIC 3651,3548)</t>
  </si>
  <si>
    <t xml:space="preserve">RADAIRy INC (1967) | ELECTRO MECHANICAL R + D CORP (1970)</t>
  </si>
  <si>
    <t xml:space="preserve">ROOFTOP GARDENS [FRS; 5 m] | PT 20136 - LITTLETON MAIN ST PROJECT [FRS; 23 m] | ACUMEN CONTRACTING GROUP [FRS; 59 m] | BRISTLECONE RESIDENTIAL LLC [FRS; 59 m]</t>
  </si>
  <si>
    <t xml:space="preserve">BRADFORD AUTO BODY INC</t>
  </si>
  <si>
    <t xml:space="preserve">S01978</t>
  </si>
  <si>
    <t xml:space="preserve">2500 S TEJON ST</t>
  </si>
  <si>
    <t xml:space="preserve">1970;1973;1980;1983;1990</t>
  </si>
  <si>
    <t xml:space="preserve">PELSUEs T Ay CO (1970-1990; SIC 3799) | PELSUE, 7 A, CO (1980; SIC 3621,3564,2394)</t>
  </si>
  <si>
    <t xml:space="preserve">PELSUEs T Ay CO (1970) | PELSUE, 7 A, CO (1980)</t>
  </si>
  <si>
    <t xml:space="preserve">T. A. PELSUE COMPANY [FRS; name match, 57 m] | TA PELSUE CO [FRS; name match, 210 m] | T. A. PELSUE COMPANY [FRS] (address match)</t>
  </si>
  <si>
    <t xml:space="preserve">NORMAN'S DRAPERY CLEANERS (WAS COIT)</t>
  </si>
  <si>
    <t xml:space="preserve">S02261</t>
  </si>
  <si>
    <t xml:space="preserve">3130 S PLATTE RIVER DR</t>
  </si>
  <si>
    <t xml:space="preserve">ARAPAHOE PATTERN CO (1973-1974; SIC 3565) | ARAPAHOE ALUMINUM FOUNDRYe INC. (1980; SIC 3361,3362,3565)</t>
  </si>
  <si>
    <t xml:space="preserve">ARAPAHOE PATTERN CO (1973) | TERRAZO + PRE-CAST INDUSTRIES (1977) | ARAPAHOE ALUMINUM FOUNDRYe INC. (1980)</t>
  </si>
  <si>
    <t xml:space="preserve">ARAPAHOE ALUMINUM FOUNDRY [FRS; name match, 50 m]</t>
  </si>
  <si>
    <t xml:space="preserve">MARTIN MARIETTA PLATTE RIVER</t>
  </si>
  <si>
    <t xml:space="preserve">S02296</t>
  </si>
  <si>
    <t xml:space="preserve">4390 S WINDERMERE ST</t>
  </si>
  <si>
    <t xml:space="preserve">TOTALMOLO,s INC (1973; SIC 3079,3949) | STEEL STRUCTURES OF COLORAOG [NC (1980; SIC 3442,3448)</t>
  </si>
  <si>
    <t xml:space="preserve">TOTALMOLO,s INC (1973) | STEEL STRUCTURES OF COLORAOG [NC (1980) | WUTZKE RAILROAD TIE (1988)</t>
  </si>
  <si>
    <t xml:space="preserve">ENGLEWOOD PONDS [FRS] (address match)</t>
  </si>
  <si>
    <t xml:space="preserve">S02299</t>
  </si>
  <si>
    <t xml:space="preserve">4747 S WINDERMERE</t>
  </si>
  <si>
    <t xml:space="preserve">WHITAKER INDUSTRIES, INC (1973-1990; SIC 3566,3591)</t>
  </si>
  <si>
    <t xml:space="preserve">WHITAKER INDUSTRIES, INC (1973)</t>
  </si>
  <si>
    <t xml:space="preserve">AMERICAN CIVIL CONSTRUC (WAS RANDALL&amp; BL [FRS; 20 m]</t>
  </si>
  <si>
    <t xml:space="preserve">THOMAS PLATING</t>
  </si>
  <si>
    <t xml:space="preserve">S02308</t>
  </si>
  <si>
    <t xml:space="preserve">2677 W HAMPDEN</t>
  </si>
  <si>
    <t xml:space="preserve">D.S.M. MANUFACTURING CO (1973; SIC 3591,3444) | BRITE SEIOE GLASS (1980-1990; SIC 2431,3442)</t>
  </si>
  <si>
    <t xml:space="preserve">D.S.M. MANUFACTURING CO (1973) | BRITE SEIOE GLASS (1980)</t>
  </si>
  <si>
    <t xml:space="preserve">PASCH OPTICAL LABORATORIES [FRS; 43 m]</t>
  </si>
  <si>
    <t xml:space="preserve">S &amp; A TRANSMISSION INC</t>
  </si>
  <si>
    <t xml:space="preserve">S02793</t>
  </si>
  <si>
    <t xml:space="preserve">3678 S JASON</t>
  </si>
  <si>
    <t xml:space="preserve">DENVER MCLD ENGINEERING (1974; SIC 3544)</t>
  </si>
  <si>
    <t xml:space="preserve">DENVER MCLD ENGINEERING (1974) | ZINN THE PRINTER INK INC (1983)</t>
  </si>
  <si>
    <t xml:space="preserve">ZINN THE PRINTER [FRS; name match, 239 m]</t>
  </si>
  <si>
    <t xml:space="preserve">UNIQUE MOBILITY INC</t>
  </si>
  <si>
    <t xml:space="preserve">S03210</t>
  </si>
  <si>
    <t xml:space="preserve">2650 S ZUNI</t>
  </si>
  <si>
    <t xml:space="preserve">SUN-HEET INC (1980; SIC 3433,3079,3823) | EMERGY MATERIALS INC (1983; SIC 3433)</t>
  </si>
  <si>
    <t xml:space="preserve"> (1977) | KELLY FURNITURE MANUFACTURING (1980) | SUN-HEET INC (1980) | BRAND-IT DECAL CO (1983) | EMERGY MATERIALS INC (1983) | TOM'S FURNITURE FRAME SHOP (1983) | TRIPLE-E CORPORATION (1983) | DIRECTORY PUBCSHERS (1988) | WESTCLIFFE PUBLISHERS (1990) | GEIGER ENTERPRISES INC (1992)</t>
  </si>
  <si>
    <t xml:space="preserve">NORTHWEST GREENBELT TRAIL [FRS; 15 m]</t>
  </si>
  <si>
    <t xml:space="preserve">S03211</t>
  </si>
  <si>
    <t xml:space="preserve">4590 S WINDERMERE</t>
  </si>
  <si>
    <t xml:space="preserve">€ M J _D CORPORATION (1977; SIC 3469) | E 4 J DO CORPORATION (1980; SIC 3444,3469) | EM J D CORPORATION (1983; SIC 3444,3469) | DIES + FIXTURES EM JD CORP (1988; SIC 3444,3469) | EMJD CORP (1990; SIC 3444,3469)</t>
  </si>
  <si>
    <t xml:space="preserve">€ M J _D CORPORATION (1977) | E 4 J DO CORPORATION (1980) | EM J D CORPORATION (1983) | DIES + FIXTURES EM JD CORP (1988) | EMJD CORP (1990)</t>
  </si>
  <si>
    <t xml:space="preserve">EMJD CORPORATION [FRS; name match, 26 m]</t>
  </si>
  <si>
    <t xml:space="preserve">S03663</t>
  </si>
  <si>
    <t xml:space="preserve">2550 S TEJON</t>
  </si>
  <si>
    <t xml:space="preserve">AIRWAY INC (1980-1990; SIC 3444)</t>
  </si>
  <si>
    <t xml:space="preserve">AIRWAY INC (1980)</t>
  </si>
  <si>
    <t xml:space="preserve">T. A. PELSUE COMPANY [FRS; 25 m]</t>
  </si>
  <si>
    <t xml:space="preserve">S03670</t>
  </si>
  <si>
    <t xml:space="preserve">2040 W HAMILTON PL</t>
  </si>
  <si>
    <t xml:space="preserve">CUSTOM MACHINE + REPAIR (1980; SIC 3599) | HARCO INC (1990; SIC 3303,2391)</t>
  </si>
  <si>
    <t xml:space="preserve">CUSTOM MACHINE + REPAIR (1980) | HANDICAPPED HARCO ING (1988) | HARCO INC (1990)</t>
  </si>
  <si>
    <t xml:space="preserve">SHERIDAN BOND IMPROVEMENTS ZONE 1B BOTTOMS DRAINAGE [FRS; 50 m] | SHERIDAN - SBIP 2018 [FRS; 50 m]</t>
  </si>
  <si>
    <t xml:space="preserve">WALLERS AUTO SPECIALTY</t>
  </si>
  <si>
    <t xml:space="preserve">S03688</t>
  </si>
  <si>
    <t xml:space="preserve">4530 S BROADWAY</t>
  </si>
  <si>
    <t xml:space="preserve">LITTLEHORN» JOHNNIEs METAL ARTS (1983; SIC 3231,3499)</t>
  </si>
  <si>
    <t xml:space="preserve">LITTLEHORN, JOHNNIE, METAL ARTS (1980)</t>
  </si>
  <si>
    <t xml:space="preserve">DIAMOND SHAMROCK NO 665 [FRS; 37 m]</t>
  </si>
  <si>
    <t xml:space="preserve">SUPER LUBE INC</t>
  </si>
  <si>
    <t xml:space="preserve">S04559</t>
  </si>
  <si>
    <t xml:space="preserve">3800 E ARAPAHJE RD</t>
  </si>
  <si>
    <t xml:space="preserve">SYSTEMS GROUP OF COLORADO INC (1983; SIC 3662,3099,3573)</t>
  </si>
  <si>
    <t xml:space="preserve">SYSTEMS GROUP OF COLORADO INC (1983)</t>
  </si>
  <si>
    <t xml:space="preserve">PT 22074 - CHERRY KNOLLS REPLACEMENT - ARAPAHOE &amp; COLORADO PART 3 [FRS; 100 m] | PT - 22072 - CHERRY KNOLLS REPLACEMENT - ARAPAHOE &amp; COLORADO PART 1 [FRS; 222 m]</t>
  </si>
  <si>
    <t xml:space="preserve">S04563</t>
  </si>
  <si>
    <t xml:space="preserve">7350 E PROGRESS PI</t>
  </si>
  <si>
    <t xml:space="preserve">WILFLEYs A Rs + SONS INC (1983-1990; SIC 3561)</t>
  </si>
  <si>
    <t xml:space="preserve">WILFLEYs A Rs + SONS INC (1983) | ARWIFLEY + SONS INC (1992)</t>
  </si>
  <si>
    <t xml:space="preserve">HALEY CUSTOM HOMES [FRS; 33 m]</t>
  </si>
  <si>
    <t xml:space="preserve">DENT WIZARD @ LEXUS OF GREENVIEW VILLAGE</t>
  </si>
  <si>
    <t xml:space="preserve">S05731</t>
  </si>
  <si>
    <t xml:space="preserve">3108 W HAMPDEN UNIT C</t>
  </si>
  <si>
    <t xml:space="preserve">FOUR SEASONS AWNING+PATIO (1990; SIC 3089,2394)</t>
  </si>
  <si>
    <t xml:space="preserve">FOUR SEASONS AWNING+PATIO (1988) | MOUNTAIN SCREEN IMPRESSIONS (1990)</t>
  </si>
  <si>
    <t xml:space="preserve">PRECISION IMPORT REPAIR, LLC [FRS; 22 m]</t>
  </si>
  <si>
    <t xml:space="preserve">OAKLEY INDUSTRIES</t>
  </si>
  <si>
    <t xml:space="preserve">HAIR TRIGGER CUSTOMS</t>
  </si>
  <si>
    <t xml:space="preserve">S05764</t>
  </si>
  <si>
    <t xml:space="preserve">7026 S TUCSON WAY</t>
  </si>
  <si>
    <t xml:space="preserve">WESTERN STATES FIRE PROTECTION (1990; SIC 3569)</t>
  </si>
  <si>
    <t xml:space="preserve">WESTERN STATES FIRE PROTECTION (1988)</t>
  </si>
  <si>
    <t xml:space="preserve">WESTERN STATES FIRE PROTECTION [FRS; name match, 17 m]</t>
  </si>
  <si>
    <t xml:space="preserve">MONOLITHIC SYSTEMS CORPORATION</t>
  </si>
  <si>
    <t xml:space="preserve">S05952</t>
  </si>
  <si>
    <t xml:space="preserve">5308 S PORESTHILL</t>
  </si>
  <si>
    <t xml:space="preserve">MACHINERY ERECTORS (1988; SIC 3441,3535)</t>
  </si>
  <si>
    <t xml:space="preserve">MACHINERY ERECTORS (1988)</t>
  </si>
  <si>
    <t xml:space="preserve">MARK ELLIOTT [FRS; 24 m]</t>
  </si>
  <si>
    <t xml:space="preserve">S06555</t>
  </si>
  <si>
    <t xml:space="preserve">6400 S FIDDLERS GREEN CIR</t>
  </si>
  <si>
    <t xml:space="preserve">PARTEK NORTH AMERICA INC. (1990; SIC 2824)</t>
  </si>
  <si>
    <t xml:space="preserve">PARTEK NORTH AMERICA INC. (1990)</t>
  </si>
  <si>
    <t xml:space="preserve">PLAZA TOWER ONE PLAZA UPGRADES [FRS; 15 m] | NEO RARE METALS HOLDINGS, INC. [FRS; 15 m] | NEO HOLDINGS (USA), INC. [FRS; 15 m] | NEO CHEMICALS AND OXIDES, LLC [FRS; 15 m] | GREENWOOD METRO DIST [FRS; 22 m] | BOBCAT MEADOWS MD [FRS; 30 m] | HAVANA WATER &amp; SANITATION DIST [FRS; 30 m] | PLAZA TOWER ONE PLAZA UPGRADES [FRS] (address match) | NEO HOLDINGS (USA), INC. [FRS] (address match) | NEO RARE ME</t>
  </si>
  <si>
    <t xml:space="preserve">LOWE'S OF GREENWOOD VILLAGE, CO #311</t>
  </si>
  <si>
    <t xml:space="preserve">S00660</t>
  </si>
  <si>
    <t xml:space="preserve">959 WALNUT</t>
  </si>
  <si>
    <t xml:space="preserve">1966;1968;1973;1980</t>
  </si>
  <si>
    <t xml:space="preserve">LARSEN MACHINE (1966-1973; SIC 3599) | SUNLIFE INC. (1980; SIC 3433)</t>
  </si>
  <si>
    <t xml:space="preserve">LARSEN MACHINE (1966) | SUNLIFE INC. (1980) | AVALANCHE DEVELOPMENT CO (1990)</t>
  </si>
  <si>
    <t xml:space="preserve">EIGHT DAYS A WEEK COPY [FRS; 0 m] | TAYLOR KOHRS LLC [FRS; 0 m] | WOODYS OF COLORADO INC [FRS; 18 m]</t>
  </si>
  <si>
    <t xml:space="preserve">1007 WALNUT STREET LLC</t>
  </si>
  <si>
    <t xml:space="preserve">S00672</t>
  </si>
  <si>
    <t xml:space="preserve">311 KIMBARK</t>
  </si>
  <si>
    <t xml:space="preserve">HAWKEYE INDUSTRIES (1966-1967; SIC 3423)</t>
  </si>
  <si>
    <t xml:space="preserve">GOLDEN CONSTRUCTION CO (1966) | HAWKEYE INDUSTRIES (1966)</t>
  </si>
  <si>
    <t xml:space="preserve">3RD &amp; KIMBARK ST - LONGMONT [FRS; 34 m]</t>
  </si>
  <si>
    <t xml:space="preserve">S00684</t>
  </si>
  <si>
    <t xml:space="preserve">912 MAIN ST</t>
  </si>
  <si>
    <t xml:space="preserve">17372 GRAF KIT LOUISVILLE TIMES (1988; SIC 2752,3444)</t>
  </si>
  <si>
    <t xml:space="preserve">LOUISVILLE TIMES (1966) | 17372 GRAF KIT LOUISVILLE TIMES (1988) | DENTONICS (1992)</t>
  </si>
  <si>
    <t xml:space="preserve">LOUISVILLE MS4 [FRS; 22 m]</t>
  </si>
  <si>
    <t xml:space="preserve">HIGHWAY 42 REVITALIZATION AREA</t>
  </si>
  <si>
    <t xml:space="preserve">S01371</t>
  </si>
  <si>
    <t xml:space="preserve">2504 SPRUCE ST</t>
  </si>
  <si>
    <t xml:space="preserve">ASPEN CAMPERS (1967-1968; SIC 3791)</t>
  </si>
  <si>
    <t xml:space="preserve">ASPEN CAMPERS (1967)</t>
  </si>
  <si>
    <t xml:space="preserve">2504 SPRUCE [FRS; 19 m]</t>
  </si>
  <si>
    <t xml:space="preserve">S01391</t>
  </si>
  <si>
    <t xml:space="preserve">444 PEARL</t>
  </si>
  <si>
    <t xml:space="preserve">MOUNTAIN STATES FERTILIZER (1967-1970; SIC 2873)</t>
  </si>
  <si>
    <t xml:space="preserve">MOUNTAIN STATES FERTILIZER (1967)</t>
  </si>
  <si>
    <t xml:space="preserve">GWEN DOOLEY RENTAL [FRS; 28 m]</t>
  </si>
  <si>
    <t xml:space="preserve">MALL EAST PARTNERSHIP</t>
  </si>
  <si>
    <t xml:space="preserve">S01674</t>
  </si>
  <si>
    <t xml:space="preserve">250 PEARL ST</t>
  </si>
  <si>
    <t xml:space="preserve">1970;1973;1974;1980</t>
  </si>
  <si>
    <t xml:space="preserve">COLORADO VIDEO INC (1970; SIC 3573,3661,3429) | BOULDER SCIENTIFIC CO INC (1973-1980; SIC 3829,2819) | MEYERS HEATING + AIR CONDITIONING (1973; SIC 3444,3281,3429)</t>
  </si>
  <si>
    <t xml:space="preserve">COLORADO VIDEO INC (1968) | BOULDER SCIENTIFIC CO INC (1973) | MEYERS HEATING + AIR CONDITIONING (1973)</t>
  </si>
  <si>
    <t xml:space="preserve">GLEN WILLOW [FRS; 32 m]</t>
  </si>
  <si>
    <t xml:space="preserve">PEARL AND CANYON DRUMS</t>
  </si>
  <si>
    <t xml:space="preserve">S02324</t>
  </si>
  <si>
    <t xml:space="preserve">1845 FOLSOM</t>
  </si>
  <si>
    <t xml:space="preserve">BOULDER SERVICES INCORPORATED (1992; SIC 2653,3231,3827)</t>
  </si>
  <si>
    <t xml:space="preserve">BOULDER PRINTING SERVICE (1973) |  (1977) | BOULDER SERVICES INCORPORATED (1992)</t>
  </si>
  <si>
    <t xml:space="preserve">BOULDER PRINTING SERVICE [FRS; name match, 24 m]</t>
  </si>
  <si>
    <t xml:space="preserve">KUM &amp; GO # 523</t>
  </si>
  <si>
    <t xml:space="preserve">S02367</t>
  </si>
  <si>
    <t xml:space="preserve">3850 FRONTIER AVE</t>
  </si>
  <si>
    <t xml:space="preserve">XYTEX CORP (1973; SIC 3573)</t>
  </si>
  <si>
    <t xml:space="preserve">XYTEX CORP (1973)</t>
  </si>
  <si>
    <t xml:space="preserve">MONTBELL NORTH AMERICA [FRS; 24 m]</t>
  </si>
  <si>
    <t xml:space="preserve">UNITED PARCEL SERVICE - BOULDER</t>
  </si>
  <si>
    <t xml:space="preserve">S03235</t>
  </si>
  <si>
    <t xml:space="preserve">PIONEER WELDING CO (1980; SIC 3599)</t>
  </si>
  <si>
    <t xml:space="preserve"> (1977) | PIONEER WELDING CO (1980) | CROOKED ARROW LACROSSE SHAFTS (1990)</t>
  </si>
  <si>
    <t xml:space="preserve">PEARL ST &amp; 30 ST [FRS; 31 m] | DEPOT SQUARE [FRS; 36 m]</t>
  </si>
  <si>
    <t xml:space="preserve">BOULDER RADIATOR</t>
  </si>
  <si>
    <t xml:space="preserve">S03240</t>
  </si>
  <si>
    <t xml:space="preserve">5920 LONGBOW ORIVE</t>
  </si>
  <si>
    <t xml:space="preserve">VALLEYLAB INC (1988; SIC 2891,3841)</t>
  </si>
  <si>
    <t xml:space="preserve">VALLEYLAB INC iu (1977)</t>
  </si>
  <si>
    <t xml:space="preserve">VALLEYLAB INC [FRS; name match, 178 m]</t>
  </si>
  <si>
    <t xml:space="preserve">TYCO HEALTHCARE GROUP LP</t>
  </si>
  <si>
    <t xml:space="preserve">S03245</t>
  </si>
  <si>
    <t xml:space="preserve">10675 EMPIRE RD</t>
  </si>
  <si>
    <t xml:space="preserve">1977;1988;1990</t>
  </si>
  <si>
    <t xml:space="preserve">ROCKMONT INDUSTRIES INC OD BIEHL MARKET MGR (1977; SIC 2649,3079) | ROCKMONT INDUSTRIES (1988-1990; SIC 2679,3086,3089)</t>
  </si>
  <si>
    <t xml:space="preserve">ROCKMONT INDUSTRIES INC OD BIEHL MARKET MGR (1977) | ROCKMONT INDUSTRIES (1988)</t>
  </si>
  <si>
    <t xml:space="preserve">ROCKMONT IND INC [FRS; name match, 20 m] | ROCKMONT IND INC [FRS] (address match)</t>
  </si>
  <si>
    <t xml:space="preserve">S03737</t>
  </si>
  <si>
    <t xml:space="preserve">2619 SPRUCE ST</t>
  </si>
  <si>
    <t xml:space="preserve">HIGH COUNTRY WINDOW MFG (1983; SIC 3079)</t>
  </si>
  <si>
    <t xml:space="preserve">ATKINSTON-NOLAND COMPANY (1980) | HIGH COUNTRY WINDOW MFG (1983)</t>
  </si>
  <si>
    <t xml:space="preserve">TOLEDO GLASS [FRS; 5 m]</t>
  </si>
  <si>
    <t xml:space="preserve">ASTRO ENDYNE COMPANY INC</t>
  </si>
  <si>
    <t xml:space="preserve">S03741</t>
  </si>
  <si>
    <t xml:space="preserve">2336 PEARL ST</t>
  </si>
  <si>
    <t xml:space="preserve">BRISCOE MAPHIS INC (1980; SIC 3523,3823)</t>
  </si>
  <si>
    <t xml:space="preserve">BRISCOE MAPHIS INC (1980)</t>
  </si>
  <si>
    <t xml:space="preserve">WHITTIER PLACE RECONSTRUCTION [FRS; 31 m]</t>
  </si>
  <si>
    <t xml:space="preserve">ENSCO FIELD SERVICES</t>
  </si>
  <si>
    <t xml:space="preserve">S03758</t>
  </si>
  <si>
    <t xml:space="preserve">1635 FOLSOM</t>
  </si>
  <si>
    <t xml:space="preserve">THE PRINTERY (1988; SIC 2752,3028)</t>
  </si>
  <si>
    <t xml:space="preserve">KOPY KAT INSTANT PRINTING CENTER (1980) | PRIMTERY THE (1980)</t>
  </si>
  <si>
    <t xml:space="preserve">THE PRINTERY [FRS; name match, 26 m]</t>
  </si>
  <si>
    <t xml:space="preserve">Boulder Dairy Queen II</t>
  </si>
  <si>
    <t xml:space="preserve">SALLY BEAUTY SUPPLY #10596</t>
  </si>
  <si>
    <t xml:space="preserve">S03772</t>
  </si>
  <si>
    <t xml:space="preserve">4919 N BROADWAY</t>
  </si>
  <si>
    <t xml:space="preserve">OSBORNE Too. (1980; SIC 3469) | WIRSCH PRECISION PRODUCTS (1983; SIC 3423,3679,3999) | MBK MACHINE (1990; SIC 3544)</t>
  </si>
  <si>
    <t xml:space="preserve">OSBORNE Too. (1980) | TSA SYSTEMS INC (1980) | ASLAN ENTERPRISES (1983) | BOULDER LEATHER DESIGNS LTD (1983) | WIRSCH PRECISION PRODUCTS (1983) | BOULDER PRINTWORKS (1988) | SUNSET CABINET+DESIGN (1988) | LIVING WOODS INC (1990) | MBK MACHINE (1990)</t>
  </si>
  <si>
    <t xml:space="preserve">GUARDIAN STORAGE BOULDER [FRS; 4 m]</t>
  </si>
  <si>
    <t xml:space="preserve">S03809</t>
  </si>
  <si>
    <t xml:space="preserve">1921 MILLER ORIVE</t>
  </si>
  <si>
    <t xml:space="preserve">ACCURATE PLASTICS ¢ ENG INC (1980-1992; SIC 3079)</t>
  </si>
  <si>
    <t xml:space="preserve">ACCURATE PLASTICS ¢ ENG INC (1980)</t>
  </si>
  <si>
    <t xml:space="preserve">ACCURATE PLASTICS [FRS; name match, 63 m]</t>
  </si>
  <si>
    <t xml:space="preserve">MATHESON TRIGAS - LONGMONT BRANCH</t>
  </si>
  <si>
    <t xml:space="preserve">AKONIA HOLOGRAPHICS LLC</t>
  </si>
  <si>
    <t xml:space="preserve">S04616</t>
  </si>
  <si>
    <t xml:space="preserve">1840 COMMERCE ST</t>
  </si>
  <si>
    <t xml:space="preserve">MILBURN STIRLING CORPORATION (1983; SIC 3561) | URN RESEARCH Ma (1988; SIC 3714) | WILDWASSER SPORT D.B.A.-PRISON KAYAKS (1988; SIC 3732) | WILDWASSER SPORT (1990; SIC 3732)</t>
  </si>
  <si>
    <t xml:space="preserve">MILBURN STIRLING CORPORATION (1983) | URN RESEARCH Ma (1988) | PRECISION PRESS (1988) | READY WILLING+ABLE SCREEN PRINTING (1988) | WILDWASSER SPORT D.B.A.-PRISON KAYAKS (1988) | RAINBOW SIGNS INC (1990) | WILDWASSER SPORT (1990) | ROCKY MIN INLAY DESIGN LT (1992)</t>
  </si>
  <si>
    <t xml:space="preserve">RAINBOW SIGNS [FRS; name match, 45 m] | WILDWASSER SPORT USA INC [FRS; name match, 45 m]</t>
  </si>
  <si>
    <t xml:space="preserve">COLLINS MACHINE &amp; MFG INC</t>
  </si>
  <si>
    <t xml:space="preserve">S04625</t>
  </si>
  <si>
    <t xml:space="preserve">541 CLOVER LN</t>
  </si>
  <si>
    <t xml:space="preserve">PRODUCTS ENGINEERING» INCe (1983-1992; SIC 3559,3544,2394)</t>
  </si>
  <si>
    <t xml:space="preserve">PRODUCTS ENGINEERING» INCe (1983)</t>
  </si>
  <si>
    <t xml:space="preserve">COLORADO CLEAR, LLC [FRS] (address match)</t>
  </si>
  <si>
    <t xml:space="preserve">S04653</t>
  </si>
  <si>
    <t xml:space="preserve">827 S BOWEN</t>
  </si>
  <si>
    <t xml:space="preserve">CHROMARK CORPORATION (1983-1990; SIC 2899,3993) | PARTS CHROMARK CORP (1988; SIC 3089,3952)</t>
  </si>
  <si>
    <t xml:space="preserve">CHROMARK CORPORATION (1983) | PARTS CHROMARK CORP (1988)</t>
  </si>
  <si>
    <t xml:space="preserve">MADELEINE, INC. [FRS; 2 m]</t>
  </si>
  <si>
    <t xml:space="preserve">S04672</t>
  </si>
  <si>
    <t xml:space="preserve">116 S MAIN ST</t>
  </si>
  <si>
    <t xml:space="preserve">SOLACEs INC (1983; SIC 2421,2411,3523)</t>
  </si>
  <si>
    <t xml:space="preserve">SOLACEs INC (1983)</t>
  </si>
  <si>
    <t xml:space="preserve">MAIN ST US 287 BRIDGE REPLACEMENT OVER SAINT VRAIN CREEK [FRS; 37 m]</t>
  </si>
  <si>
    <t xml:space="preserve">Aspen Mountain Vet Specialists</t>
  </si>
  <si>
    <t xml:space="preserve">MAZDA OF LONGMONT INC</t>
  </si>
  <si>
    <t xml:space="preserve">S04677</t>
  </si>
  <si>
    <t xml:space="preserve">1032 S BOULDER 202</t>
  </si>
  <si>
    <t xml:space="preserve">TRNOVATIVE DEVICES INC (1983; SIC 3573)</t>
  </si>
  <si>
    <t xml:space="preserve">TRNOVATIVE DEVICES INC (1983) | CENTENNIAL PRINTING (1988) | DATA CONVERSION SPECIALISTS INC. (1992) | (GIBSON TECHNICAL SERVICES (1992)</t>
  </si>
  <si>
    <t xml:space="preserve">TURNPIKE TEXACO [FRS; 28 m] | BOULDER YELLOW CAB [FRS; 28 m] | PDQ DEVELOPMENT - PDQ 8001 [FRS; 72 m] | UNIVERSITY OF CO BOULDER-EAST CAMPUS [FRS; 171 m]</t>
  </si>
  <si>
    <t xml:space="preserve">S05336</t>
  </si>
  <si>
    <t xml:space="preserve">1881 9TH ST 311</t>
  </si>
  <si>
    <t xml:space="preserve">CROSS INFORMATION CO (1988; SIC 7372,3082)</t>
  </si>
  <si>
    <t xml:space="preserve">CROSS INFORMATION CO (1988)</t>
  </si>
  <si>
    <t xml:space="preserve">PORTLY PRINCE DBA SALMON RUN RESTAURANT [FRS; 29 m]</t>
  </si>
  <si>
    <t xml:space="preserve">S05359</t>
  </si>
  <si>
    <t xml:space="preserve">1133 13TH ST</t>
  </si>
  <si>
    <t xml:space="preserve">MINING+ASTROELECTRO pOuLDeR (1988; SIC 3341) | MTN STATES MINING + ASTROELECTRONIC (1990; SIC 3341)</t>
  </si>
  <si>
    <t xml:space="preserve">MINING+ASTROELECTRO pOuLDeR (1988) | MTN STATES MINING + ASTROELECTRONIC (1990)</t>
  </si>
  <si>
    <t xml:space="preserve">MOUNTAIN STATES MINING &amp; ASTROELECTRONIC [FRS; name match, 2 m] | MOUNTAIN STATES MINING &amp; ASTROELECTRONIC [FRS] (address match)</t>
  </si>
  <si>
    <t xml:space="preserve">XYZ Corporation</t>
  </si>
  <si>
    <t xml:space="preserve">WALGREENS STORE #16022</t>
  </si>
  <si>
    <t xml:space="preserve">S05906</t>
  </si>
  <si>
    <t xml:space="preserve">920 DIAMOND CIR</t>
  </si>
  <si>
    <t xml:space="preserve">AIR PILT SYS KENRAY CORP (1988; SIC 2762,3444,3469) | KENRAY CORP (1990; SIC 3479,3444,3469)</t>
  </si>
  <si>
    <t xml:space="preserve">AIR PILT SYS KENRAY CORP (1988) | KENRAY CORP (1990)</t>
  </si>
  <si>
    <t xml:space="preserve">KENRAY CORP [FRS] (address match)</t>
  </si>
  <si>
    <t xml:space="preserve">S05968</t>
  </si>
  <si>
    <t xml:space="preserve">655 WEAVER PARK RD</t>
  </si>
  <si>
    <t xml:space="preserve">CONDITIONERS COLORADO COILING CO (1988; SIC 3495,3496) | COLORADO COILING CO (1990-1992; SIC 3495,3496)</t>
  </si>
  <si>
    <t xml:space="preserve">CONDITIONERS COLORADO COILING CO (1988) | COLORADO COILING CO (1990)</t>
  </si>
  <si>
    <t xml:space="preserve">OPERATOR INTERFACE TECHNOLOGY [FRS; 21 m]</t>
  </si>
  <si>
    <t xml:space="preserve">SCOTT SPECIALTY GASES</t>
  </si>
  <si>
    <t xml:space="preserve">S05974</t>
  </si>
  <si>
    <t xml:space="preserve">9138 N 95TH</t>
  </si>
  <si>
    <t xml:space="preserve">IWS ALES ENGINEERING (1988; SIC 3545) | FRONTIER STEEL FABRICATORS INC (1990; SIC 3441) | INGALL'S ENGINEERING CO INC (1990; SIC 3545)</t>
  </si>
  <si>
    <t xml:space="preserve">IWS ALES ENGINEERING (1988) | FRONTIER STEEL FABRICATORS INC (1990) | INGALL'S ENGINEERING CO INC (1990)</t>
  </si>
  <si>
    <t xml:space="preserve">95TH STREET BRIDGE AT LEFT HAND CANYON [FRS; 201 m]</t>
  </si>
  <si>
    <t xml:space="preserve">S06193</t>
  </si>
  <si>
    <t xml:space="preserve">6858 S BOULDER RD</t>
  </si>
  <si>
    <t xml:space="preserve">FISHER PLASTICS INC (1990; SIC 3089,3599)</t>
  </si>
  <si>
    <t xml:space="preserve">FISHER PLASTICS INC (1990)</t>
  </si>
  <si>
    <t xml:space="preserve">WILLARD RESIDENCE [FRS; 18 m]</t>
  </si>
  <si>
    <t xml:space="preserve">S06909</t>
  </si>
  <si>
    <t xml:space="preserve">3131 INDIAN RD</t>
  </si>
  <si>
    <t xml:space="preserve">TRITON ENGINEERING + MFG CO INC (1992; SIC 3499,3732,3131)</t>
  </si>
  <si>
    <t xml:space="preserve">TRITON ENGINEERING + MFG CO INC (1992)</t>
  </si>
  <si>
    <t xml:space="preserve">VALMONT MULTI-USE PATH [FRS; 19 m] | SMYRNA READY MIX - VALMONT PLANT [FRS; 27 m]</t>
  </si>
  <si>
    <t xml:space="preserve">OVERLAND MOTOR EXPRESS INC DBA BDT</t>
  </si>
  <si>
    <t xml:space="preserve">S05038</t>
  </si>
  <si>
    <t xml:space="preserve">9300 W 108TH CIR</t>
  </si>
  <si>
    <t xml:space="preserve">BALL ELECTRIC SYSTEMS DIVISION (1983-1988; SIC 3573) | BALL CORPORATION (1992; SIC 2655,3769)</t>
  </si>
  <si>
    <t xml:space="preserve">BALL ELECTRIC SYSTEMS DIVISION (1983) | BALL CORPORATION (1992)</t>
  </si>
  <si>
    <t xml:space="preserve">BALL COB [FRS; name match, 154 m]</t>
  </si>
  <si>
    <t xml:space="preserve">S05039</t>
  </si>
  <si>
    <t xml:space="preserve">6800 W 117TH AVE</t>
  </si>
  <si>
    <t xml:space="preserve">RONDO MOTOR CONTROL LTD. (1983; SIC 3622,3674,3679) | CUTTER GRINDING COLORADO FABRICATION (1988; SIC 3451,3561) | COLORADO FABRICATION (1990; SIC 3499,3561)</t>
  </si>
  <si>
    <t xml:space="preserve">CONTINENTAL GRAPHICS OF BOULDER INC (1983) | RONDO MOTOR CONTROL LTD. (1983) | CUTTER GRINDING COLORADO FABRICATION (1988) | COLORADO FABRICATION (1990)</t>
  </si>
  <si>
    <t xml:space="preserve">CONTINENTAL GRAPHICS [FRS; name match, 39 m] | CONTINENTAL GRAPHICS [FRS] (address match)</t>
  </si>
  <si>
    <t xml:space="preserve">CRC SYSTEMS</t>
  </si>
  <si>
    <t xml:space="preserve">S06222</t>
  </si>
  <si>
    <t xml:space="preserve">888 INTERLOCKEN PKWY</t>
  </si>
  <si>
    <t xml:space="preserve">EVANS BIOCONTROL INC. (1990; SIC 2879)</t>
  </si>
  <si>
    <t xml:space="preserve">AMPERIF CORP (1990) | EVANS BIOCONTROL INC. (1990)</t>
  </si>
  <si>
    <t xml:space="preserve">GRAND VUE AT INTERLOCKEN [FRS; 103 m] | VIEGA HEADQUARTERS AND SEMINAR BUILDING [FRS; 187 m]</t>
  </si>
  <si>
    <t xml:space="preserve">S06230</t>
  </si>
  <si>
    <t xml:space="preserve">7050 W 120TH AVE</t>
  </si>
  <si>
    <t xml:space="preserve">TECHNOCORP INC (1990; SIC 3548)</t>
  </si>
  <si>
    <t xml:space="preserve">TECHNOCORP INC (1990)</t>
  </si>
  <si>
    <t xml:space="preserve">COURTYARD APARTMENTS [FRS; 22 m]</t>
  </si>
  <si>
    <t xml:space="preserve">S00001</t>
  </si>
  <si>
    <t xml:space="preserve">2953 FOX</t>
  </si>
  <si>
    <t xml:space="preserve">YOUNG MACHINE CO. (1965; SIC 3591)</t>
  </si>
  <si>
    <t xml:space="preserve">YOUNG MACHINE CO. (1965)</t>
  </si>
  <si>
    <t xml:space="preserve">STOR-ALL STORAGE [FRS; 30 m]</t>
  </si>
  <si>
    <t xml:space="preserve">Denver Barrel  &amp; Drum II</t>
  </si>
  <si>
    <t xml:space="preserve">S00020</t>
  </si>
  <si>
    <t xml:space="preserve">3800 JASON</t>
  </si>
  <si>
    <t xml:space="preserve">1967;1983</t>
  </si>
  <si>
    <t xml:space="preserve">POR MFG COMPANY (1967; SIC 3714) | J M MACHINE AND TOOLs INC. (1983; SIC 3544;3599)</t>
  </si>
  <si>
    <t xml:space="preserve">POR MFG COMPANY (1967) | FISHER VINYL WINDOW MFG CO (1980) | J M MACHINE AND TOOLs INC. (1983) | ACTION LABEL CO (1988)</t>
  </si>
  <si>
    <t xml:space="preserve">ACTION LABEL CO [FRS; name match, 1 m]</t>
  </si>
  <si>
    <t xml:space="preserve">S00027</t>
  </si>
  <si>
    <t xml:space="preserve">1100 W 38TH AVE</t>
  </si>
  <si>
    <t xml:space="preserve">FANTASY IN IRON (1988-1990; SIC 3442;3446)</t>
  </si>
  <si>
    <t xml:space="preserve">EMPIRE PRINTERS (1973) | EMPIRE PRINTERS M WOLFSON PRES (1974) | CONESTOGA GRAPHICS INC (1977) | FANTASY IN IRON (1988)</t>
  </si>
  <si>
    <t xml:space="preserve">DONALD G. &amp; MERTIE L. ROBB RES. [FRS; 12 m]</t>
  </si>
  <si>
    <t xml:space="preserve">D &amp; G IRON WORKS</t>
  </si>
  <si>
    <t xml:space="preserve">S00034</t>
  </si>
  <si>
    <t xml:space="preserve">5559 S RIO GRANDE</t>
  </si>
  <si>
    <t xml:space="preserve">ARAPAFOE IRON WORKS (1965; SIC 3444)</t>
  </si>
  <si>
    <t xml:space="preserve">ARAPAFOE IRON WORKS (1965)</t>
  </si>
  <si>
    <t xml:space="preserve">LITTLETON AUTO SERVICE [FRS; 37 m]</t>
  </si>
  <si>
    <t xml:space="preserve">S00037</t>
  </si>
  <si>
    <t xml:space="preserve">2280 W MAIN ST</t>
  </si>
  <si>
    <t xml:space="preserve">1965;1968;1973;1974</t>
  </si>
  <si>
    <t xml:space="preserve">MAJESTIC FURNITURE MFG. CO. (1965; SIC 2814) | MICHAEL ADVERTISING ART (1965; SIC 3553) | SOUTHWEST MACKINING INC T W VAN DEN BERG PARTNER (1968; SIC 3461) | SOUTHWEST MACHINING INC (1973-1974; SIC 3544)</t>
  </si>
  <si>
    <t xml:space="preserve">COMET PRESS (1965) | MAJESTIC FURNITURE MFG. CO. (1965) | MICHAEL ADVERTISING ART (1965) | REC CCMETy, INC. (1965) | TRUELINE INSTRUMENTS, INC. (1965) | COMET AUTOMATIVE MFG CORP (1966) | RED COMET INC (1966) | SOUTHWEST MACKINING INC T W VAN DEN BERG PARTNER (1968) | RED COMET INC 2421 SAWMILLS + PLANENG MILLS (1970) | SOUTHWEST MACHINING INC (1973)</t>
  </si>
  <si>
    <t xml:space="preserve">ARAPAHOE REAL ESTATE [FRS; 18 m]</t>
  </si>
  <si>
    <t xml:space="preserve">S00079</t>
  </si>
  <si>
    <t xml:space="preserve">2740 ZUNI</t>
  </si>
  <si>
    <t xml:space="preserve">1965;1967;1970;1973</t>
  </si>
  <si>
    <t xml:space="preserve">ACVANCE METALS FOUNDRY (1965; SIC 3369) | ADVANCE METALS FOUNCRY + PATTERN SERVICE (1967-1973; SIC 3361,3362)</t>
  </si>
  <si>
    <t xml:space="preserve">ACVANCE METALS FOUNDRY (1965) | ADVANCE METALS FOUNDRY + PATTERN SERVICE (1966)</t>
  </si>
  <si>
    <t xml:space="preserve">KAIROI LOHI [FRS; 2 m] | ZUNI GS - ZUNI CONOCO [FRS; 15 m]</t>
  </si>
  <si>
    <t xml:space="preserve">S00099</t>
  </si>
  <si>
    <t xml:space="preserve">2628 WALNUT</t>
  </si>
  <si>
    <t xml:space="preserve">1965;1990</t>
  </si>
  <si>
    <t xml:space="preserve">AMERICAN PAPER PROCLCTS CU. (1965; SIC 2849) | BRASS SMITH INC (1990; SIC 3446)</t>
  </si>
  <si>
    <t xml:space="preserve">AMERICAN PAPER PROCLCTS CU. (1965) | BRASS SMITH INC (1990)</t>
  </si>
  <si>
    <t xml:space="preserve">PAINT GENIUS INC [FRS; 41 m]</t>
  </si>
  <si>
    <t xml:space="preserve">S00149</t>
  </si>
  <si>
    <t xml:space="preserve">131 S HARRISON ST</t>
  </si>
  <si>
    <t xml:space="preserve">CAY AND NIGHT SIGNS (1965; SIC 3553)</t>
  </si>
  <si>
    <t xml:space="preserve">CAY AND NIGHT SIGNS (1965) | FLEISHMAN INSTRUMENTS. (1992)</t>
  </si>
  <si>
    <t xml:space="preserve">CASSIDY [FRS; 21 m]</t>
  </si>
  <si>
    <t xml:space="preserve">CHERRY CREEK EXPRESS LUBE &amp; AUTO</t>
  </si>
  <si>
    <t xml:space="preserve">S00151</t>
  </si>
  <si>
    <t xml:space="preserve">688 BRYANT</t>
  </si>
  <si>
    <t xml:space="preserve">CELCA NAME PLATE CC. (1965; SIC 3553)</t>
  </si>
  <si>
    <t xml:space="preserve">CELCA NAME PLATE CC. (1965) | | KIMCO FACILITIES MANAGEMENT CORP (1990)</t>
  </si>
  <si>
    <t xml:space="preserve">ROBINSON DAIRY INC [FRS; 27 m]</t>
  </si>
  <si>
    <t xml:space="preserve">ROBINSON DAIRY INC</t>
  </si>
  <si>
    <t xml:space="preserve">SQUARE D COMPANY</t>
  </si>
  <si>
    <t xml:space="preserve">S00164</t>
  </si>
  <si>
    <t xml:space="preserve">8075 E 40TH</t>
  </si>
  <si>
    <t xml:space="preserve">POLY-DYN CORP (1973-1974; SIC 3079)</t>
  </si>
  <si>
    <t xml:space="preserve">CIE CRAFT CORPORATION (1965) | POLY-DYN CORP (1973)</t>
  </si>
  <si>
    <t xml:space="preserve">ENNIS OF COLORADO [FRS; 11 m]</t>
  </si>
  <si>
    <t xml:space="preserve">S00168</t>
  </si>
  <si>
    <t xml:space="preserve">860 NAVAJO</t>
  </si>
  <si>
    <t xml:space="preserve">DORSEY-MC COMB INC (1973-1974; SIC 3551) | WESTERN SIGN MFG INC (1977-1983; SIC 3993,3499,3493) | PEERLESS PRODUCTS (1988-1990; SIC 3442)</t>
  </si>
  <si>
    <t xml:space="preserve">CREHER PICKLE CO. (1965) | DORSEY-MC COMB INC (1973) | WESTERN SIGN MFG INC (1977) | PEERLESS PRODUCTS (1988)</t>
  </si>
  <si>
    <t xml:space="preserve">DISTINCTIVE MANTLE DESIGNS [FRS; 48 m]</t>
  </si>
  <si>
    <t xml:space="preserve">SOUTHERN PACIFIC - 9TH &amp; NAVAJO</t>
  </si>
  <si>
    <t xml:space="preserve">S00198</t>
  </si>
  <si>
    <t xml:space="preserve">501 S LIPAN</t>
  </si>
  <si>
    <t xml:space="preserve">GEMCO MFG CO INC (1966; SIC 3369)</t>
  </si>
  <si>
    <t xml:space="preserve">CEMCO MFG. CO. (1965)</t>
  </si>
  <si>
    <t xml:space="preserve">VIVAX PRO PAINTING [FRS; 28 m] | OMNI PRO [FRS; 28 m]</t>
  </si>
  <si>
    <t xml:space="preserve">S00229</t>
  </si>
  <si>
    <t xml:space="preserve">1300 FOX</t>
  </si>
  <si>
    <t xml:space="preserve">1965;1966;1967;1968;1970;1974;1977;1980</t>
  </si>
  <si>
    <t xml:space="preserve">FOWE MACHINE + SUPPLY CO. (1965-1980; SIC 3591) | HOWE MACHINE + SUPPLY CO (1967; SIC 3591) | WOWE MACHINE INC (1980; SIC 3599)</t>
  </si>
  <si>
    <t xml:space="preserve">FOWE MACHINE + SUPPLY CO. (1965) | HOWE MACHINE + SUPPLY CO (1967) | WOWE MACHINE INC (1980)</t>
  </si>
  <si>
    <t xml:space="preserve">CESAR CHAVEZ MEMORIAL BUILDING [FRS; 29 m]</t>
  </si>
  <si>
    <t xml:space="preserve">S00232</t>
  </si>
  <si>
    <t xml:space="preserve">1535 PLATTE</t>
  </si>
  <si>
    <t xml:space="preserve">HUIZINGr FURNITURE CC (1967-1968; SIC 3532)</t>
  </si>
  <si>
    <t xml:space="preserve">FUIZINGH FURNITURE CC. (1965) | HUIZINGH FURNITURE CO (1966) | KRIS UPHOLSTERY CO (1966) | UGHTWARE (1992)</t>
  </si>
  <si>
    <t xml:space="preserve">15 ST AND PLATTE ST [FRS; 39 m]</t>
  </si>
  <si>
    <t xml:space="preserve">IMAGESYSTEMS INC</t>
  </si>
  <si>
    <t xml:space="preserve">S00243</t>
  </si>
  <si>
    <t xml:space="preserve">LEE SCAP CO. (1965; SIC 2841)</t>
  </si>
  <si>
    <t xml:space="preserve">LEE SCAP CO. (1965)</t>
  </si>
  <si>
    <t xml:space="preserve">BURLINGTON NORTHERN RAILROAD [FRS; 33 m]</t>
  </si>
  <si>
    <t xml:space="preserve">AAAA SPECIALTIES</t>
  </si>
  <si>
    <t xml:space="preserve">BNSF RAILWAY COMPANY/SUNCOR ENERGY</t>
  </si>
  <si>
    <t xml:space="preserve">S00245</t>
  </si>
  <si>
    <t xml:space="preserve">200 FILLMORE SUITE 307</t>
  </si>
  <si>
    <t xml:space="preserve">80206</t>
  </si>
  <si>
    <t xml:space="preserve">LIBBEY PROCLCTS» OwENS-ILLINCIS (1965; SIC 3079)</t>
  </si>
  <si>
    <t xml:space="preserve">LIBBEY PROCLCTS» OwENS-ILLINCIS (1965) | LIBBEY PRODUCTS, OWENS-ILLINOIS (1966) | MOUNTAIN EMPIRE PUBLISHING INC (1980) | MARRSATERY spectant (1988)</t>
  </si>
  <si>
    <t xml:space="preserve">201 FILLMORE [FRS; 35 m]</t>
  </si>
  <si>
    <t xml:space="preserve">Ist Bank II</t>
  </si>
  <si>
    <t xml:space="preserve">S00257</t>
  </si>
  <si>
    <t xml:space="preserve">1322 LAWRENCE ST</t>
  </si>
  <si>
    <t xml:space="preserve">1965;1966;1968;1970</t>
  </si>
  <si>
    <t xml:space="preserve">MARSHALL MFG. CO. (1965; SIC 3591) | MARSHALL GUN COMPANY (1966; SIC 3484) | MARSHALL MFG CO 3452 BOLTS, NUTS, SCREWS + WASFERS (1968; SIC 3591) | ZOHN MFG CO 2892 EXPLOSIVES (1970; SIC 2892)</t>
  </si>
  <si>
    <t xml:space="preserve">MARSHALL MFG. CO. (1965) | GROSS WHOLESALE TAILORS INC (1966) | IMPERIAL CAP WORKS (1966) | MARSHALL GUN COMPANY (1966) | C204 292-9160 MC ATEE BOLT CO (1967) | MARSHALL MFG CO 3452 BOLTS, NUTS, SCREWS + WASFERS (1968) | VEGA SALKA CCMPANY A WEISS PRES (1968) | ZOHN MFG CO (1968) | ZOHN MEG CO (1970) | ZOHN MFG CO 2892 EXPLOSIVES (1970)</t>
  </si>
  <si>
    <t xml:space="preserve">UNIVERSITY OF CO - DOWNTOWN CAMPUS [FRS; 29 m] | 670 LAWRENCE ST. [FRS; 51 m]</t>
  </si>
  <si>
    <t xml:space="preserve">S00264</t>
  </si>
  <si>
    <t xml:space="preserve">242 ELATI</t>
  </si>
  <si>
    <t xml:space="preserve">1965;1966;1967;1973</t>
  </si>
  <si>
    <t xml:space="preserve">MCKIM WELDING + MACHINE SHOP (1965; SIC 3591) | *MC KIM WELDING + MACHINE SHOP (1966-1973; SIC 3599)</t>
  </si>
  <si>
    <t xml:space="preserve">MCKIM WELDING + MACHINE SHOP (1965) | ROCKET PRINTING CO. (1965) | *MC KIM WELDING + MACHINE SHOP (1966)</t>
  </si>
  <si>
    <t xml:space="preserve">ROCKET PRINTING CO [FRS; name match, 207 m] | FAIRMONT K-8 SCHOOL [FRS; 175 m] | DENVER WATER GALAPAGO ST PVC INSTALL [FRS; 200 m] | SUSAN MONTOYA RES. [FRS; 210 m] | SUSAN MONTOYA RES. [FRS; 213 m]</t>
  </si>
  <si>
    <t xml:space="preserve">S00296</t>
  </si>
  <si>
    <t xml:space="preserve">1980 S ACOMA</t>
  </si>
  <si>
    <t xml:space="preserve">1965;1966;1967;1970</t>
  </si>
  <si>
    <t xml:space="preserve">PLASTIC PRINCE (1965-1970; SIC 3591)</t>
  </si>
  <si>
    <t xml:space="preserve">PLASTIC PRINCE (1965)</t>
  </si>
  <si>
    <t xml:space="preserve">MT BLANCA STORM PROJECT [FRS; 37 m]</t>
  </si>
  <si>
    <t xml:space="preserve">OCEAN PACIFIC IMAGES</t>
  </si>
  <si>
    <t xml:space="preserve">S00320</t>
  </si>
  <si>
    <t xml:space="preserve">1955 WE VIRGINIA AVE</t>
  </si>
  <si>
    <t xml:space="preserve">1965;1966;1970;1973</t>
  </si>
  <si>
    <t xml:space="preserve">S + H SHEET METAL CO. (1965-1973; SIC 3444)</t>
  </si>
  <si>
    <t xml:space="preserve">S + H SHEET METAL CO. (1965)</t>
  </si>
  <si>
    <t xml:space="preserve">PT 22085 - ATHMAR PARK REPLACEMENT - PART 2 [FRS; 32 m]</t>
  </si>
  <si>
    <t xml:space="preserve">RISHEL MIDDLE SCHOOL</t>
  </si>
  <si>
    <t xml:space="preserve">S00321</t>
  </si>
  <si>
    <t xml:space="preserve">1543 LARIMER</t>
  </si>
  <si>
    <t xml:space="preserve">SACHS-LAWLOR CO., THE (1965-1968; SIC 3461) | SACHS-LAWLOR CO, THE (1966-1970; SIC 3469)</t>
  </si>
  <si>
    <t xml:space="preserve">SACHS-LAWLOR CO., THE (1965) | SACHS-LAWLOR CO, THE (1966)</t>
  </si>
  <si>
    <t xml:space="preserve">EXCELL LAWSON VILLAGE-NEW UPPER WELL TREATMENT PLANT [FRS; 10 m] | ARBOR OPERATING [FRS; 10 m] | 16 M [FRS; 37 m]</t>
  </si>
  <si>
    <t xml:space="preserve">WILLIAMS PRODUCTION RMT COMPANY</t>
  </si>
  <si>
    <t xml:space="preserve">ROCKY MOUNTAIN SEED CO INC</t>
  </si>
  <si>
    <t xml:space="preserve">S00329</t>
  </si>
  <si>
    <t xml:space="preserve">831 S JASON</t>
  </si>
  <si>
    <t xml:space="preserve">1965;1988;1990</t>
  </si>
  <si>
    <t xml:space="preserve">SEICLITZ PAINT + VARNISH CC. (1965; SIC 2851) | Toe ELECTRONIC PUBLISHING PAINTERS GRINDING (1988; SIC 3479) | PAINTERS GRINDING (1990; SIC 3479)</t>
  </si>
  <si>
    <t xml:space="preserve">SEICLITZ PAINT + VARNISH CC. (1965) | CORE GRAPHICS (1977) | Toe ELECTRONIC PUBLISHING PAINTERS GRINDING (1988) | PAINTERS GRINDING (1990)</t>
  </si>
  <si>
    <t xml:space="preserve">MOUNTAIN VIEW WINDOW &amp; DOOR [FRS; 17 m]</t>
  </si>
  <si>
    <t xml:space="preserve">728 S. Lipan St. II</t>
  </si>
  <si>
    <t xml:space="preserve">MILE HIGH DISTRIBUTING LLC</t>
  </si>
  <si>
    <t xml:space="preserve">S00345</t>
  </si>
  <si>
    <t xml:space="preserve">1843 LAWRENCE</t>
  </si>
  <si>
    <t xml:space="preserve">CP DIVISION ST REGIS (1966; SIC 3559)</t>
  </si>
  <si>
    <t xml:space="preserve">SPEAR PRINTING CO. (1965) | CP DIVISION ST REGIS (1966)</t>
  </si>
  <si>
    <t xml:space="preserve">CAMWEST LTD PARTNERSHIP [FRS; 1 m] | TENSLEEP 12 [FRS; 1 m] | 4 TENSLEEP [FRS; 1 m] | TENSLEEP 56 [FRS; 1 m]</t>
  </si>
  <si>
    <t xml:space="preserve">S00361</t>
  </si>
  <si>
    <t xml:space="preserve">1236 DELAWARE</t>
  </si>
  <si>
    <t xml:space="preserve">VIKING METAL SPINNING CC. (1965-1967; SIC 3459) | CLC VIKING SFOP (1968; SIC 3461,2505)</t>
  </si>
  <si>
    <t xml:space="preserve">VIKING METAL SPINNING CC. (1965) | OLD VIKING SHOP (1966) |  (1970)</t>
  </si>
  <si>
    <t xml:space="preserve">MAC-BESTOS [FRS; 3 m]</t>
  </si>
  <si>
    <t xml:space="preserve">S00374</t>
  </si>
  <si>
    <t xml:space="preserve">75 S CHEROKEE ST</t>
  </si>
  <si>
    <t xml:space="preserve">1965;1966;1968;1973;1974</t>
  </si>
  <si>
    <t xml:space="preserve">WESTERN METAL STRIP (1965-1974; SIC 3442)</t>
  </si>
  <si>
    <t xml:space="preserve">WESTERN METAL STRIP (1965)</t>
  </si>
  <si>
    <t xml:space="preserve">MERCHANTS OIL - MERCHANTS OIL - [FRS; 34 m] | SERVICE OIL COMPANY - SERVICE OIL COMPANY - [FRS; 34 m]</t>
  </si>
  <si>
    <t xml:space="preserve">S00386</t>
  </si>
  <si>
    <t xml:space="preserve">2500 15TH</t>
  </si>
  <si>
    <t xml:space="preserve">WOMPEY SHEET METAL WORKS (1965; SIC 3444)</t>
  </si>
  <si>
    <t xml:space="preserve">WOMPEY SHEET METAL WORKS (1965)</t>
  </si>
  <si>
    <t xml:space="preserve">I-25 SB: 20TH ST TO SPEER BLVD. OPERATIONAL IMPROVEMENTS [FRS; 28 m]</t>
  </si>
  <si>
    <t xml:space="preserve">S01483</t>
  </si>
  <si>
    <t xml:space="preserve">2530 W BARBERRY PL</t>
  </si>
  <si>
    <t xml:space="preserve">FLOYD DRIVES CO (1977; SIC 3566,3599) | SCIENTIFIC SEPARATIZS INC (1977; SIC 3559,3569)</t>
  </si>
  <si>
    <t xml:space="preserve">AMERICAN FCRM TIE CORP. (1965) | MUNOIX CO (1967) | WESTERN SIGN MFG INC (1968) | MUNDIX CO 3481 MISC FABRICATED WiRE (1970) | TODAY INC (1973) | FLOYD DRIVES CO (1977) | SCIENTIFIC SEPARATIZS INC (1977) | ENT PRENTING * ADVERTIZENG (1980) | MARTIN SHEA CABINETS (1990)</t>
  </si>
  <si>
    <t xml:space="preserve">REFRIGERANTS INC [FRS; 37 m] | DENVER REFRIGERANTS INC. DBA REFRIGERANTS INC. [FRS; 37 m]</t>
  </si>
  <si>
    <t xml:space="preserve">MILE HIGH ENGINEERING SUPPLY CO INC</t>
  </si>
  <si>
    <t xml:space="preserve">S00604</t>
  </si>
  <si>
    <t xml:space="preserve">2161 S PLATTE RIVER OR</t>
  </si>
  <si>
    <t xml:space="preserve">1968;1970;1977;1983;1988;1990</t>
  </si>
  <si>
    <t xml:space="preserve">KELTNER RESEARCH CC (1968; SIC 3622,3662,3679) | FRANCIS ASSOCIATES CRCNANCE CO (1968; SIC 2892) | FRANCIS ASSOCIATES ORDNANCE CO (1970-1990; SIC 2892)</t>
  </si>
  <si>
    <t xml:space="preserve">KELTNER RESEARCH (1966) | FRANCIS ASSOCIATES CRCNANCE CO (1968) | FRANCIS ASSOCIATES ORDNANCE CO (1970)</t>
  </si>
  <si>
    <t xml:space="preserve">BEACON PRINTING INC [FRS; 11 m]</t>
  </si>
  <si>
    <t xml:space="preserve">S00727</t>
  </si>
  <si>
    <t xml:space="preserve">4350 GRAPE</t>
  </si>
  <si>
    <t xml:space="preserve">BANNER MFG CO INC (1966; SIC 2841)</t>
  </si>
  <si>
    <t xml:space="preserve">BANNER MFG CO INC (1966) | COLORADO PArNT co (1966)</t>
  </si>
  <si>
    <t xml:space="preserve">ECOLOG INC. [FRS; 19 m]</t>
  </si>
  <si>
    <t xml:space="preserve">Univar</t>
  </si>
  <si>
    <t xml:space="preserve">COMPETITION HEADWEAR</t>
  </si>
  <si>
    <t xml:space="preserve">S00743</t>
  </si>
  <si>
    <t xml:space="preserve">1129 19TH</t>
  </si>
  <si>
    <t xml:space="preserve">BROWN, DON, INC (1966-1968; SIC 3861)</t>
  </si>
  <si>
    <t xml:space="preserve">BROWN, DON, INC (1966) | KESNER TYPESETTING CO (1966) | KISNER TYPESETTING CO S PROP EST-19€4 CNTY 1109 (1968)</t>
  </si>
  <si>
    <t xml:space="preserve">KERR-MCGEE COLORADO GATHERING AND BOOSTING [FRS; 28 m]</t>
  </si>
  <si>
    <t xml:space="preserve">TRANSPORT INTERNATIONAL LLC</t>
  </si>
  <si>
    <t xml:space="preserve">S00750</t>
  </si>
  <si>
    <t xml:space="preserve">2501 CHAMPA</t>
  </si>
  <si>
    <t xml:space="preserve">CAPITOL OOOR CU, THE (1966-1968; SIC 3441)</t>
  </si>
  <si>
    <t xml:space="preserve">CAPITOL OOOR CU, THE (1966)</t>
  </si>
  <si>
    <t xml:space="preserve">LIONS GATE APARTMENTS [FRS; 27 m]</t>
  </si>
  <si>
    <t xml:space="preserve">S00758</t>
  </si>
  <si>
    <t xml:space="preserve">1611 MARKET</t>
  </si>
  <si>
    <t xml:space="preserve">CENTRAL PACKING CO (1966; SIC 2491) | SCARRY, E J, + (1966-1973; SIC 2899)</t>
  </si>
  <si>
    <t xml:space="preserve">CENTRAL PACKING CO (1966) | SCARRY, E J, + (1966) | CENTRAL PACKING CO CLAUDE MICHAEL INC (1967) | MAPELLI-LINDNER-SIGMAN LTC (1967) |  (1967)</t>
  </si>
  <si>
    <t xml:space="preserve">SONIC STAR WELL CONNECT [FRS; 23 m] | MALLARD EXPLORATION [FRS; 23 m] | INEOS GULF COAST - GATHERING [FRS; 23 m] | INEOS USA OIL &amp; GAS LLC [FRS; 23 m] | FUNDARE WEST INTERCONNECT [FRS; 23 m] | EASY GLOBAL INC [FRS; 34 m]</t>
  </si>
  <si>
    <t xml:space="preserve">Riverpoint Investments</t>
  </si>
  <si>
    <t xml:space="preserve">S00780</t>
  </si>
  <si>
    <t xml:space="preserve">3147 LARIMER</t>
  </si>
  <si>
    <t xml:space="preserve">1966;1967;1968;1973;1974;1977;1980;1983;1988;1990</t>
  </si>
  <si>
    <t xml:space="preserve">COOKs FRANK C (1966-1973; SIC 2841) | CEARA PRODUCTS INC (1974-1990; SIC 2842) | COOK, FRANK C — DANCE WAX CO (1974-1977; SIC 2842) | NON-ILLUM GRAPHIC CEARA PRODUCTS INC (1988; SIC 2899)</t>
  </si>
  <si>
    <t xml:space="preserve">COOKs FRANK C (1966) | CEARA PRODUCTS INC (1973) | COOK, FRANK C — DANCE WAX CO (1974) | NON-ILLUM GRAPHIC CEARA PRODUCTS INC (1988)</t>
  </si>
  <si>
    <t xml:space="preserve">CEARA PRODUCTS INC [FRS; name match, 36 m]</t>
  </si>
  <si>
    <t xml:space="preserve">S00799</t>
  </si>
  <si>
    <t xml:space="preserve">4556 TENNYSON 80212 DENVER</t>
  </si>
  <si>
    <t xml:space="preserve">6 PAGE CO (1980; SIC 3964,3199,3429)</t>
  </si>
  <si>
    <t xml:space="preserve">DECALS INC INDUSTRIAL SALES + SERV ce (1966) | DECALS INC (1968) | 6 PAGE CO (1980) | PARAMOUNT FABRICS (1983) | PARAGON REPRODUCTIONS INC (1992)</t>
  </si>
  <si>
    <t xml:space="preserve">46TH AND TENNYSON APARTMENTS [FRS; 35 m]</t>
  </si>
  <si>
    <t xml:space="preserve">S00824</t>
  </si>
  <si>
    <t xml:space="preserve">820 21ST</t>
  </si>
  <si>
    <t xml:space="preserve">GENERAL LETTER SERVICE (1980; SIC 2752,3471)</t>
  </si>
  <si>
    <t xml:space="preserve">*GENERAL LETTER SERVICE (1966) | GENERAL LETTER SERVICE GOLDEN PRINTINS CO 3714 MOTOR VEHICLE PARTS AND ADCESSOR a4 (1977) | DS LEATHERS (1990)</t>
  </si>
  <si>
    <t xml:space="preserve">2105 BROADWAY - CAMP [FRS; 28 m]</t>
  </si>
  <si>
    <t xml:space="preserve">S00845</t>
  </si>
  <si>
    <t xml:space="preserve">154 VALLEJO</t>
  </si>
  <si>
    <t xml:space="preserve">1966;1968;1973;1974;1980;1983;1988;1990;1992</t>
  </si>
  <si>
    <t xml:space="preserve">HARPER MACHINE SHOP INC (1966-1968; SIC 3599) | STANCG MANUFACTURING CC (1968; SIC 3861) | HEABLER METAL PRODUCTS (1973-1992; SIC 3444) | REEVES PLASTIC PIPE CO (1973; SIC 3079) | MID WEST MACHINE (1974; SIC 3591) | REEVES PLASTIC PIPE CO corp INTL 5C TO 99 (1974; SIC 3073) | MIDWEST MACHINE SHOP INC (1983; SIC 2899,3531,3469)</t>
  </si>
  <si>
    <t xml:space="preserve">HARPER MACHINE SHOP INC (1966) | STANCG MANUFACTURING CC (1968) | HEABLER METAL PRODUCTS (1973) | REEVES PLASTIC PIPE CO (1973) | MID WEST MACHINE (1974) | REEVES PLASTIC PIPE CO corp INTL 5C TO 99 (1974) | MIDWEST MACHINE SHOP INC (1983)</t>
  </si>
  <si>
    <t xml:space="preserve">AT&amp;T - FEDERAL &amp; 1ST [FRS; 16 m]</t>
  </si>
  <si>
    <t xml:space="preserve">LVI ENVIRONMENTAL SERVICES, INC.</t>
  </si>
  <si>
    <t xml:space="preserve">S00849</t>
  </si>
  <si>
    <t xml:space="preserve">2000 S ACOMA</t>
  </si>
  <si>
    <t xml:space="preserve">HERON ENGINEERING CO (1966-1970; SIC 3532)</t>
  </si>
  <si>
    <t xml:space="preserve">HERON ENGINEERING CO (1966)</t>
  </si>
  <si>
    <t xml:space="preserve">MT BLANCA STORM PROJECT [FRS; 1 m]</t>
  </si>
  <si>
    <t xml:space="preserve">S00861</t>
  </si>
  <si>
    <t xml:space="preserve">360 S NAVAJO</t>
  </si>
  <si>
    <t xml:space="preserve">1966;1967;1968;1970;1974;1980;1983;1988;1990</t>
  </si>
  <si>
    <t xml:space="preserve">MACLEAR MFG CO (1966-1983; SIC 3599) | HURT, ARTHUR Jy + CO (1967-1970; SIC 3729,3843) | AMERICAN INSULATING WINDOW (1988-1990; SIC 3089,3442,3499) | UNIVERSAL PATTERN CO (1988-1990; SIC 3089,3544,3565)</t>
  </si>
  <si>
    <t xml:space="preserve">HURT, ARTHUR Jy + CO (1966) | MACLEAR MFG CO (1966) | AMERICAN INSULATING WINDOW (1988) | UNIVERSAL PATTERN CO (1988)</t>
  </si>
  <si>
    <t xml:space="preserve">LIBERTY HOME PRODUCTS [FRS; 28 m]</t>
  </si>
  <si>
    <t xml:space="preserve">PINES MANUFACTURING / H&amp;H TOOL DIV</t>
  </si>
  <si>
    <t xml:space="preserve">S00880</t>
  </si>
  <si>
    <t xml:space="preserve">1240 S BANNOCK</t>
  </si>
  <si>
    <t xml:space="preserve">1966;1968;1973;1974;1988</t>
  </si>
  <si>
    <t xml:space="preserve">KILLAM GAS BURNER CO (1966-1988; SIC 3432) |  (1968; SIC 3433)</t>
  </si>
  <si>
    <t xml:space="preserve">KILLAM GAS BURNER CO (1966) | KILLAM GAS BURNER CO 3481 MISC FABRICATED WIRE PRODUCTS (1967) |  (1968)</t>
  </si>
  <si>
    <t xml:space="preserve">BALANCED PRINT COMPANY [FRS; 13 m]</t>
  </si>
  <si>
    <t xml:space="preserve">S00921</t>
  </si>
  <si>
    <t xml:space="preserve">3060 BRIGHTON BLVD</t>
  </si>
  <si>
    <t xml:space="preserve">MC MURTRY MFG CO (1966; SIC 2851) | MC MURTRY MFG CO (1967; SIC 2851)</t>
  </si>
  <si>
    <t xml:space="preserve">MC MURTRY MFG CO (1966) | MC MURTRY MFG CO (1967)</t>
  </si>
  <si>
    <t xml:space="preserve">3060 BRIGHTON BLVD [FRS; 9 m] | 7-ELEVEN INC - 7-ELEVEN #39773 [FRS; 13 m] | 3060 BRIGHTON BLVD [FRS] (address match)</t>
  </si>
  <si>
    <t xml:space="preserve">The Edison</t>
  </si>
  <si>
    <t xml:space="preserve">S00934</t>
  </si>
  <si>
    <t xml:space="preserve">2505 W 8TH AVE</t>
  </si>
  <si>
    <t xml:space="preserve">OLO WESTERN PAINT INC (1966-1967; SIC 2851)</t>
  </si>
  <si>
    <t xml:space="preserve">OLO WESTERN PAINT INC (1966)</t>
  </si>
  <si>
    <t xml:space="preserve">8TH OVER THE PLATTE BRIDGE REPLACEMENT [FRS; 29 m]</t>
  </si>
  <si>
    <t xml:space="preserve">RESURRECTION CUSTOMS</t>
  </si>
  <si>
    <t xml:space="preserve">S00947</t>
  </si>
  <si>
    <t xml:space="preserve">2040 CLAY</t>
  </si>
  <si>
    <t xml:space="preserve">1966;1988;1990;1992</t>
  </si>
  <si>
    <t xml:space="preserve">*#PERMA-LITE INC (1966; SIC 3441) | PLANT POTS PERMA-GRAPHICS INC (1988; SIC 3089,3993,3999) | PERMA-GRAPHICS INC (1990-1992; SIC 3089,3993,3999)</t>
  </si>
  <si>
    <t xml:space="preserve">*#PERMA-LITE INC (1966) | SUNFASTER FAERIC CO (1968) | NORTHGLENN PRINTERS (1973) | PLANT POTS PERMA-GRAPHICS INC (1988) | PERMA-GRAPHICS INC (1990)</t>
  </si>
  <si>
    <t xml:space="preserve">VERIZON WIRELESS - MILE HIGH NORTH [FRS; 45 m]</t>
  </si>
  <si>
    <t xml:space="preserve">CITY &amp; COUNTY OF DENVER - POLICE DIST 4</t>
  </si>
  <si>
    <t xml:space="preserve">S00949</t>
  </si>
  <si>
    <t xml:space="preserve">687 S JASON</t>
  </si>
  <si>
    <t xml:space="preserve">DENVER METAL PRODUCTS # CONSTRUCTION INC (1974-1977; SIC 3446)</t>
  </si>
  <si>
    <t xml:space="preserve">PETER PAN THE MENU MAN (1966) | DENVER METAL PRODUCTS + CONSTRUCTION INC 2789 BOOKBINDING AND RELATED WORK (1973) | DENVER METAL PRODUCTS # CONSTRUCTION INC (1974)</t>
  </si>
  <si>
    <t xml:space="preserve">AGRICULTURAL INDUSTRIAL CHEMICALS AKA HORTICULTURAL SPECIALISTS [FRS; 53 m]</t>
  </si>
  <si>
    <t xml:space="preserve">GNB TECHNOLOGIES INC</t>
  </si>
  <si>
    <t xml:space="preserve">S00968</t>
  </si>
  <si>
    <t xml:space="preserve">3835 E 48TH AVE</t>
  </si>
  <si>
    <t xml:space="preserve">FOAM FABRICATORS INC (1990; SIC 3086)</t>
  </si>
  <si>
    <t xml:space="preserve">ROCKY MIN DAIRY PRODUCTS (DOLLY MADISON? (1966) |  (1973) | ROCKY MCUNTAIN CAIRY PRODUCTS (1974) | FOAM FABRICATORS INC (1990)</t>
  </si>
  <si>
    <t xml:space="preserve">ROCKY MOUNTAIN DAIRY PRODUCTS [FRS; name match, 15 m] | ROCKY MOUNTAIN DAIRY PRODUCTS [FRS] (address match)</t>
  </si>
  <si>
    <t xml:space="preserve">SHAFER COMMERCIAL SEATING</t>
  </si>
  <si>
    <t xml:space="preserve">S00975</t>
  </si>
  <si>
    <t xml:space="preserve">655 BROADWAY 680203</t>
  </si>
  <si>
    <t xml:space="preserve">SHATTUCK, S We CHEMICAL CO (1966-1968; SIC 3333)</t>
  </si>
  <si>
    <t xml:space="preserve">SHATTUCK, S We CHEMICAL CO (1966) | STOP ¢ GA PRINTING INC (1980)</t>
  </si>
  <si>
    <t xml:space="preserve">DENVER METRO MANAGEMENT [FRS; 1 m] | DENVER CITY &amp; CNTY [FRS; 20 m]</t>
  </si>
  <si>
    <t xml:space="preserve">BLUE CROSS &amp; BLUE SHIELD OF CO</t>
  </si>
  <si>
    <t xml:space="preserve">CCH GLENARM/LINCOLN, INC./GLENA</t>
  </si>
  <si>
    <t xml:space="preserve">S02535</t>
  </si>
  <si>
    <t xml:space="preserve">4040 GRAPE</t>
  </si>
  <si>
    <t xml:space="preserve">AMERICAN CANVAS (1992; SIC 2399,2394,2844)</t>
  </si>
  <si>
    <t xml:space="preserve">J + S CONTRACTURS SUPPLY (1966) | ZOHN MFG CO (1973) | ZGHN MFG CO (1974) | CAMP LITE PRODUCTS INC (1977) | DENVER TENT CO (1977) | AMERICAN CANVAS + DENVER TENT CO (1983) | AMERICAN CANVAS (1992)</t>
  </si>
  <si>
    <t xml:space="preserve">J &amp; S CONTRACTORS SUPPLY COMPANY [FRS; name match, 51 m] | GREEN SATIVA [FRS; 39 m]</t>
  </si>
  <si>
    <t xml:space="preserve">A B HIRSCHFIELD PRESS INC</t>
  </si>
  <si>
    <t xml:space="preserve">AVICENNA PRODUCTS LLC</t>
  </si>
  <si>
    <t xml:space="preserve">S01417</t>
  </si>
  <si>
    <t xml:space="preserve">4 YORK</t>
  </si>
  <si>
    <t xml:space="preserve">pecans SERUM CO (1967; SIC 2834,2633)</t>
  </si>
  <si>
    <t xml:space="preserve">pecans SERUM CO (1967)</t>
  </si>
  <si>
    <t xml:space="preserve">ELAN BROKERS [FRS; 71 m] | 365 SOUTH YORK STREET [FRS; 122 m]</t>
  </si>
  <si>
    <t xml:space="preserve">S01427</t>
  </si>
  <si>
    <t xml:space="preserve">1415 PLATTE</t>
  </si>
  <si>
    <t xml:space="preserve">CUSTOM CKEMICAL CO (1967-1983; SIC 2842)</t>
  </si>
  <si>
    <t xml:space="preserve">CUSTOM CKEMICAL CO (1967)</t>
  </si>
  <si>
    <t xml:space="preserve">CUSTOM CHEMICAL CO INC [FRS; name match, 163 m]</t>
  </si>
  <si>
    <t xml:space="preserve">Central Platte Valley; Creekside</t>
  </si>
  <si>
    <t xml:space="preserve">S01456</t>
  </si>
  <si>
    <t xml:space="preserve">2085 S HOLLY</t>
  </si>
  <si>
    <t xml:space="preserve">LEHRER METAL PRODUCTS CO IAC (1974-1988; SIC 2514,3429)</t>
  </si>
  <si>
    <t xml:space="preserve"> (1967) | LEHRER METAL PRODUCTS CO IAC (1974)</t>
  </si>
  <si>
    <t xml:space="preserve">FERGUSON PRINTING [FRS; 26 m]</t>
  </si>
  <si>
    <t xml:space="preserve">PERFORMANCE PAVEMENT</t>
  </si>
  <si>
    <t xml:space="preserve">S01486</t>
  </si>
  <si>
    <t xml:space="preserve">3965 ONEIDA</t>
  </si>
  <si>
    <t xml:space="preserve">NATIONAL IDENTIFICATION CC INC (1973-1980; SIC 3079,3829,3999)</t>
  </si>
  <si>
    <t xml:space="preserve">NATIONAL DEVICES CC (1967) | NATIONAL DEVICES CO (1968) | NATIONAL DEVICES CO 3642 LIGHTING FIXTURES (1970) | NATLONAL [DENTIFICATION CO (1970)</t>
  </si>
  <si>
    <t xml:space="preserve">RALPH V SLUYS CO [FRS; 11 m] | RALPH V SLUYS CO [FRS] (address match)</t>
  </si>
  <si>
    <t xml:space="preserve">S01489</t>
  </si>
  <si>
    <t xml:space="preserve">3990 ULSTER</t>
  </si>
  <si>
    <t xml:space="preserve">NICHOLSON MFG INC (1967; SIC 3841,3522) | MACHINING INC (1968-1970; SIC 3423,3799) | RAYAL MACHINE + MFG, INC (1968; SIC 3591,3200)</t>
  </si>
  <si>
    <t xml:space="preserve">NICHOLSON MFG INC (1967) | MACHINING INC (1968) | RAYAL MACHINE + MFG, INC (1968)</t>
  </si>
  <si>
    <t xml:space="preserve">ENNIS OF COLORADO [FRS; 48 m]</t>
  </si>
  <si>
    <t xml:space="preserve">S01498</t>
  </si>
  <si>
    <t xml:space="preserve">695 CANOSA CT</t>
  </si>
  <si>
    <t xml:space="preserve">1967;1970;1974;1980;1983</t>
  </si>
  <si>
    <t xml:space="preserve">PERMA-LITE INC (1967-1983; SIC 3442) | INSUL-LITE WINDOW + DOOR MFG (1970-1983; SIC 3442)</t>
  </si>
  <si>
    <t xml:space="preserve">PERMA-LITE INC (1967) | INSUL-LITE WINDOW + DOOR MFG (1970) | PERMA-LITE INC 3479 METAL COATING AND ALLIED SERVICES (1977)</t>
  </si>
  <si>
    <t xml:space="preserve">GOOD SHEPHERD SCHOOL [FRS; 39 m]</t>
  </si>
  <si>
    <t xml:space="preserve">DENVER PUBLIC SCHOOL SERVICE BUILDING</t>
  </si>
  <si>
    <t xml:space="preserve">S01520</t>
  </si>
  <si>
    <t xml:space="preserve">669 LIPAN ST</t>
  </si>
  <si>
    <t xml:space="preserve">1967;1968;1970;1988</t>
  </si>
  <si>
    <t xml:space="preserve">TOPF COMPANY (1967-1970; SIC 3569) | TOPF CCMPANY (1968; SIC 3569) | POLYURETHANE FOAM CARTS OF COLORADO (1988; SIC 2899,3469)</t>
  </si>
  <si>
    <t xml:space="preserve">TOPF COMPANY (1967) | TOPF CCMPANY (1968) | POLYURETHANE FOAM CARTS OF COLORADO (1988)</t>
  </si>
  <si>
    <t xml:space="preserve">INTERMOUNTAIN COLOR DENVER [FRS; 40 m]</t>
  </si>
  <si>
    <t xml:space="preserve">RTD MARIPOSA LIGHT RAIL MAINTENANCE FACILITY</t>
  </si>
  <si>
    <t xml:space="preserve">S01657</t>
  </si>
  <si>
    <t xml:space="preserve">7777 E ILIFF AVE</t>
  </si>
  <si>
    <t xml:space="preserve">MCBILE CCNCRETE INC (1968; SIC 3273,2051,3949)</t>
  </si>
  <si>
    <t xml:space="preserve">MCBILE CCNCRETE INC (1968)</t>
  </si>
  <si>
    <t xml:space="preserve">PINNACLE HARDWOOD, INC [FRS; 21 m]</t>
  </si>
  <si>
    <t xml:space="preserve">S01717</t>
  </si>
  <si>
    <t xml:space="preserve">1195 S LIPAN</t>
  </si>
  <si>
    <t xml:space="preserve">CCLORADO PRECISION INC (1968-1970; SIC 3591)</t>
  </si>
  <si>
    <t xml:space="preserve">CCLORADO PRECISION INC (1968)</t>
  </si>
  <si>
    <t xml:space="preserve">PIONEER LABEL [FRS; 24 m]</t>
  </si>
  <si>
    <t xml:space="preserve">THE KROGER COMPANY  KS #113</t>
  </si>
  <si>
    <t xml:space="preserve">S01726</t>
  </si>
  <si>
    <t xml:space="preserve">307 UNIVERSITY BLOG</t>
  </si>
  <si>
    <t xml:space="preserve"> (1973; SIC 3714)</t>
  </si>
  <si>
    <t xml:space="preserve">DENVER CIAL CO (1968) | FIORELLAS MFC JEWELERS (1968) | DENVER DIAL CO (1970) | DENVER OPTIC CO (1970) | FIORELLAS MFG JEWELERS 2541 WOOD PARTITIONS AND FIXTURES (1973) |  (1973)</t>
  </si>
  <si>
    <t xml:space="preserve">300 UNIVERSITY [FRS; 17 m]</t>
  </si>
  <si>
    <t xml:space="preserve">ALPHA PHOTO LAB</t>
  </si>
  <si>
    <t xml:space="preserve">S01730</t>
  </si>
  <si>
    <t xml:space="preserve">5395 E 39TH</t>
  </si>
  <si>
    <t xml:space="preserve">DENVER INNER SPRING CO (1974; SIC 3496) | ANKMAR DOOR SALES ENC (1980; SIC 2431,3442) | ANKMAR DOORs INC (1983-1990; SIC 2431,3442)</t>
  </si>
  <si>
    <t xml:space="preserve">DENVER INNER SPRING CO (1968) | DENVER INNER SPRING CO 2499 WOOD PRODUCTS» NEC (1973) | ANKMAR DOOR SALES ENC (1980) | ANKMAR DOORs INC (1983)</t>
  </si>
  <si>
    <t xml:space="preserve">FOAM FABRICATORS INC [FRS; 30 m]</t>
  </si>
  <si>
    <t xml:space="preserve">BRASS SMITH</t>
  </si>
  <si>
    <t xml:space="preserve">COLORADO LABEL AND PACKAGING</t>
  </si>
  <si>
    <t xml:space="preserve">S01806</t>
  </si>
  <si>
    <t xml:space="preserve">5500 E PACIFIC PL</t>
  </si>
  <si>
    <t xml:space="preserve">1968;1970;1974;1983;1988;1990</t>
  </si>
  <si>
    <t xml:space="preserve">SNYDER MFG CCHPAKY (1968; SIC 3481) | SNYDER MFG COMPANY (1970-1990; SIC 3079,3499)</t>
  </si>
  <si>
    <t xml:space="preserve">SNYDER MFG CCHPAKY (1968) | SNYDER MFG COMPANY (1970) | SNYDER MFG COMPANY 2293 PADDINGS AND UPHOLSTERY FILLING (1977)</t>
  </si>
  <si>
    <t xml:space="preserve">HUDSON ST AND PACIFIC PL STORM DRAIN [FRS; 1 m] | SALES OIL CO [FRS; 23 m]</t>
  </si>
  <si>
    <t xml:space="preserve">S02033</t>
  </si>
  <si>
    <t xml:space="preserve">929 W 1ST AVE</t>
  </si>
  <si>
    <t xml:space="preserve">LIFETIME FENCE CO (1970; SIC 3481,2499)</t>
  </si>
  <si>
    <t xml:space="preserve">LIFETIME FENCE CO (1970)</t>
  </si>
  <si>
    <t xml:space="preserve">STARK CUSTOM MILLWORK [FRS; 23 m] | STARK LUMBER CO [FRS; 23 m]</t>
  </si>
  <si>
    <t xml:space="preserve">HD SUPPLY CONSTRUCTION SUPPLY LTD</t>
  </si>
  <si>
    <t xml:space="preserve">S02058</t>
  </si>
  <si>
    <t xml:space="preserve">5305 STEELE ST</t>
  </si>
  <si>
    <t xml:space="preserve">SARGENT WESTERN CORP (1970; SIC 3433,3564,3441) | SCHMIDT MANUFACTURING CORP (1973; SIC 3441) | ALLIED STEEL CO (1990; SIC 3441,3449)</t>
  </si>
  <si>
    <t xml:space="preserve">SARGENT WESTERN CORP (1970) | SCHMIDT MANUFACTURING CORP (1973) | ALLIED STEEL CO (1990)</t>
  </si>
  <si>
    <t xml:space="preserve">ALLIED TRADES INC DBA ALLIED STEEL CO [FRS; name match, 7 m] | GREEN SOLUTION [FRS; 8 m]</t>
  </si>
  <si>
    <t xml:space="preserve">S02065</t>
  </si>
  <si>
    <t xml:space="preserve">2133 S BELLAIRE</t>
  </si>
  <si>
    <t xml:space="preserve">TOOLS FOR BENDING (1970; SIC 3542,3498)</t>
  </si>
  <si>
    <t xml:space="preserve">TOOLS FOR BENDING (1970) | RCLCO PRODUCTS (1974)</t>
  </si>
  <si>
    <t xml:space="preserve">ROPER INDUSTRIES INC [FRS; 12 m]</t>
  </si>
  <si>
    <t xml:space="preserve">Master Clean / Coloevans</t>
  </si>
  <si>
    <t xml:space="preserve">TREX CDOT RTD</t>
  </si>
  <si>
    <t xml:space="preserve">S02403</t>
  </si>
  <si>
    <t xml:space="preserve">1685 S FAIRFAX</t>
  </si>
  <si>
    <t xml:space="preserve">ALPHA LABORATORIES INC (1990; SIC 2899)</t>
  </si>
  <si>
    <t xml:space="preserve"> (1973) | ALPHA LABORATORIES INC (1990)</t>
  </si>
  <si>
    <t xml:space="preserve">ALPHA LABS [FRS; 6 m]</t>
  </si>
  <si>
    <t xml:space="preserve">S02423</t>
  </si>
  <si>
    <t xml:space="preserve">2068 S BANNOCK ST</t>
  </si>
  <si>
    <t xml:space="preserve">CHRISTON GRINDING CO (1973-1983; SIC 3544,3545,3599)</t>
  </si>
  <si>
    <t xml:space="preserve">CHRISTON GRINDING CO (1973) | GENVER WADDWORKING Ca THE (1980) | DENVER WOODWORKING CO THE (1983)</t>
  </si>
  <si>
    <t xml:space="preserve">DENVER WOODWORKING CO [FRS; name match, 14 m]</t>
  </si>
  <si>
    <t xml:space="preserve">DELAWARE/EVANS</t>
  </si>
  <si>
    <t xml:space="preserve">DSM MFG CO</t>
  </si>
  <si>
    <t xml:space="preserve">S02447</t>
  </si>
  <si>
    <t xml:space="preserve">1996 S NAVAJO</t>
  </si>
  <si>
    <t xml:space="preserve">ELECTRO MECHANICAL PRODUCTS (1973-1983; SIC 3544,3591)</t>
  </si>
  <si>
    <t xml:space="preserve">ELECTRO MECHANICAL PRODUCTS (1973)</t>
  </si>
  <si>
    <t xml:space="preserve">DIRECT PRESS [FRS; 32 m] | BCT COLORADO [FRS; 36 m]</t>
  </si>
  <si>
    <t xml:space="preserve">CCoD; Fleet Maintenance Facility</t>
  </si>
  <si>
    <t xml:space="preserve">S02460</t>
  </si>
  <si>
    <t xml:space="preserve">1972 S PARKER RD</t>
  </si>
  <si>
    <t xml:space="preserve">GREAT DALE HOUSECAR MFG (1973-1974; SIC 3792)</t>
  </si>
  <si>
    <t xml:space="preserve">GREAT DALE HOUSECAR MFG (1973)</t>
  </si>
  <si>
    <t xml:space="preserve">RUSSIAN BANYA INSTITUTE [FRS; 29 m]</t>
  </si>
  <si>
    <t xml:space="preserve">ONE PRICE CLEANERS</t>
  </si>
  <si>
    <t xml:space="preserve">S02527</t>
  </si>
  <si>
    <t xml:space="preserve">4412 TENNYSON</t>
  </si>
  <si>
    <t xml:space="preserve">SLHEE CORPORATION (1980; SIC 2842)</t>
  </si>
  <si>
    <t xml:space="preserve">WESTERN NECKWEAR MFG. CO. (1973) | SLHEE CORPORATION (1980)</t>
  </si>
  <si>
    <t xml:space="preserve">4390 TENNYSON STREET LLC [FRS; 31 m] | 4390 TENNYSON ST APARTMENTS [FRS; 38 m] | TENNYSON STREET APARTMENTS [FRS; 42 m]</t>
  </si>
  <si>
    <t xml:space="preserve">NORTHWEST AUTO SERVICE INC</t>
  </si>
  <si>
    <t xml:space="preserve">S02829</t>
  </si>
  <si>
    <t xml:space="preserve">944 PEARL</t>
  </si>
  <si>
    <t xml:space="preserve">RENALOE CROCKETT + KELLY BIT + SPUR INC L 1 LENOX OWNER (1974; SIC 3429)</t>
  </si>
  <si>
    <t xml:space="preserve">RENALOE CROCKETT + KELLY BIT + SPUR INC L 1 LENOX OWNER (1974)</t>
  </si>
  <si>
    <t xml:space="preserve">LANDMARKK  DESIGN &amp; CONSTRUCTION LLC [FRS; 22 m]</t>
  </si>
  <si>
    <t xml:space="preserve">COURTYARD COMMONS</t>
  </si>
  <si>
    <t xml:space="preserve">S02875</t>
  </si>
  <si>
    <t xml:space="preserve">2750 W 29TH AVE</t>
  </si>
  <si>
    <t xml:space="preserve">CCLLINS GUY CC (1974; SIC 3591,3714) | GUS COLLINS CO (1980; SIC 3599,3714)</t>
  </si>
  <si>
    <t xml:space="preserve">CCLLINS GUY CC (1974) | GUS COLLINS CO (1980)</t>
  </si>
  <si>
    <t xml:space="preserve">29TH &amp; SPEER BOULEVARD SANITARY SEWER PROJECT [FRS; 32 m]</t>
  </si>
  <si>
    <t xml:space="preserve">NORTH HIGH SCHOOL</t>
  </si>
  <si>
    <t xml:space="preserve">S02894</t>
  </si>
  <si>
    <t xml:space="preserve">1044 SPEER BLVD</t>
  </si>
  <si>
    <t xml:space="preserve">DENVER MARKING PRODUCTS (1974; SIC 3953,2753,3479)</t>
  </si>
  <si>
    <t xml:space="preserve">DENVER MARKING PRODUCTS (1974)</t>
  </si>
  <si>
    <t xml:space="preserve">1000 SPEER APARTMENTS [FRS; 32 m]</t>
  </si>
  <si>
    <t xml:space="preserve">10th and Cherokee II</t>
  </si>
  <si>
    <t xml:space="preserve">DPS WEST HIGH</t>
  </si>
  <si>
    <t xml:space="preserve">S02942</t>
  </si>
  <si>
    <t xml:space="preserve">6404 E 39TH AVE</t>
  </si>
  <si>
    <t xml:space="preserve">MIOWEST RUBBER # SUPPLY CO (1974-1992; SIC 3069,2298)</t>
  </si>
  <si>
    <t xml:space="preserve">MIOWEST RUBBER # SUPPLY CO (1974)</t>
  </si>
  <si>
    <t xml:space="preserve">MIDWEST RUBBER &amp; SUPPLY CO [FRS; name match, 0 m] | MIDWEST RUBBER &amp; SUPPLY CO [FRS] (address match)</t>
  </si>
  <si>
    <t xml:space="preserve">VISSER PRECISION CAST</t>
  </si>
  <si>
    <t xml:space="preserve">S02945</t>
  </si>
  <si>
    <t xml:space="preserve">290 FILLMORE ST</t>
  </si>
  <si>
    <t xml:space="preserve">MINING RECORD CO 2851 PAINTS AND ALLIED PRODUCTS (1977; SIC 2851)</t>
  </si>
  <si>
    <t xml:space="preserve">MINING RECORD CO (1974) | HOWELL PUBLISHING CO INC (1977) | MINING RECORD CO 2851 PAINTS AND ALLIED PRODUCTS (1977)</t>
  </si>
  <si>
    <t xml:space="preserve">FOURSTAR REALTY AND PROPERTY MANAGEMENT [FRS; 8 m] | FILLMORE AT THIRD [FRS; 29 m]</t>
  </si>
  <si>
    <t xml:space="preserve">S02998</t>
  </si>
  <si>
    <t xml:space="preserve">4001 HOLLY ST 16</t>
  </si>
  <si>
    <t xml:space="preserve">WESTERN PLASTI-TYPE CO (1977-1980; SIC 3953,3079,2753)</t>
  </si>
  <si>
    <t xml:space="preserve">WESTERN PLASTI-TYPE CO (1974) | VICTORIAN MILLSHOP INC (1983) | WRIGHT PRINTING &amp; MAILING G.A. (1992)</t>
  </si>
  <si>
    <t xml:space="preserve">JSP ENTERPRISES LTD. [FRS; 37 m]</t>
  </si>
  <si>
    <t xml:space="preserve">FABRIC RESTORATION SERVICES INC.</t>
  </si>
  <si>
    <t xml:space="preserve">S03267</t>
  </si>
  <si>
    <t xml:space="preserve">495 E 91ST AVE</t>
  </si>
  <si>
    <t xml:space="preserve">ASARCO INC (1977; SIC 3339)</t>
  </si>
  <si>
    <t xml:space="preserve">ASARCO INC (1977)</t>
  </si>
  <si>
    <t xml:space="preserve">DG WASHINGTON STREET PHASE 3 [FRS; 148 m] | THORNTON HS MISC SITE IMPROVEMENTS [FRS; 179 m] | NEW CINGULAR WIRELESS PCS - NORTH VALLEY [FRS; 240 m]</t>
  </si>
  <si>
    <t xml:space="preserve">S03301</t>
  </si>
  <si>
    <t xml:space="preserve">2440 BLAKE ST</t>
  </si>
  <si>
    <t xml:space="preserve">HORIZON FENCE PRODUCTS CORP (1977-1980; SIC 2499,3355) | BACKER ROD MFG + SUPPLY CO (1980; SIC 3079) | BACKER ROD MFG + SUPPLY CO (1983-1990; SIC 3079) | co D.B.A..DENVER FOAM (1988; SIC 2401,3089,3611)</t>
  </si>
  <si>
    <t xml:space="preserve">HORIZON FENCE PRODUCTS CORP (1977) | BACKER ROD MFG + SUPPLY CO (1980) | BACKER ROD MFG + SUPPLY CO (1983) | HIGH COUNTRY PRINTING (1983) | SARA*S RIDE INC (1983) | co D.B.A..DENVER FOAM (1988)</t>
  </si>
  <si>
    <t xml:space="preserve">MILE HIGH BREWING COMPANY [FRS; 30 m]</t>
  </si>
  <si>
    <t xml:space="preserve">Professional Office Bldg.</t>
  </si>
  <si>
    <t xml:space="preserve">MANUFACTING ULIMITED INC</t>
  </si>
  <si>
    <t xml:space="preserve">S03302</t>
  </si>
  <si>
    <t xml:space="preserve">3900 MAGNOLIA ST UNIT A</t>
  </si>
  <si>
    <t xml:space="preserve">1977;1980;1988</t>
  </si>
  <si>
    <t xml:space="preserve">HYDRO GARDENS OF DENVER INC (1977; SIC 3231,3448) | GATEWAY PRECISION (1980; SIC 3599) | DAVIS ELECTRONICS (1988; SIC 3678,3679,3812) | D.B.A..-ERECTORS AND PABRICATORS INC (1988; SIC 3441)</t>
  </si>
  <si>
    <t xml:space="preserve">HYDRO GARDENS OF DENVER INC (1977) | GATEWAY PRECISION (1980) | DAVIS ELECTRONICS (1988) | D.B.A..-ERECTORS AND PABRICATORS INC (1988)</t>
  </si>
  <si>
    <t xml:space="preserve">CAST MACHINED PRODUCTS, INC. [FRS; 23 m]</t>
  </si>
  <si>
    <t xml:space="preserve">S03333</t>
  </si>
  <si>
    <t xml:space="preserve">13400 E 39TH AVE</t>
  </si>
  <si>
    <t xml:space="preserve">THARCO CONTAINERS INC (1977-1990; SIC 2653,3079)</t>
  </si>
  <si>
    <t xml:space="preserve">THARCO CONTAINERS INC (1977)</t>
  </si>
  <si>
    <t xml:space="preserve">THARCO [FRS; name match, 6 m]</t>
  </si>
  <si>
    <t xml:space="preserve">JOY MFG CO</t>
  </si>
  <si>
    <t xml:space="preserve">AIRPORT AUTO BODY INC</t>
  </si>
  <si>
    <t xml:space="preserve">S03342</t>
  </si>
  <si>
    <t xml:space="preserve">11975 E 40 AVE</t>
  </si>
  <si>
    <t xml:space="preserve">VAN HOWE CERAMIC SUPPLY EO (1980; SIC 3295,3559)</t>
  </si>
  <si>
    <t xml:space="preserve">VAN HOWE CERAMIC SUPPLY CO (1977)</t>
  </si>
  <si>
    <t xml:space="preserve">PREMIER COUNTERTOPS, INC. [FRS; 35 m] | VERIZON WIRELESS - RUNWAY [FRS; 35 m]</t>
  </si>
  <si>
    <t xml:space="preserve">NALCO WATER @ EXTRA STORAGE FACILITY</t>
  </si>
  <si>
    <t xml:space="preserve">S03593</t>
  </si>
  <si>
    <t xml:space="preserve">5304 TENNYSON</t>
  </si>
  <si>
    <t xml:space="preserve">ALL WELD SPECIALTIES INC (1980-1990; SIC 3599,3441,3446) | CYRUS MANUFACTURING CO (1980-1990; SIC 3661,3544)</t>
  </si>
  <si>
    <t xml:space="preserve">ALL WELD SPECIALTIES INC (1980) | CYRUS MANUFACTURING CO (1980) | CUSTOM-+HISTORIC MILLWORK (1988)</t>
  </si>
  <si>
    <t xml:space="preserve">STONE WORKS MARBLE AND GRANITE [FRS; 19 m]</t>
  </si>
  <si>
    <t xml:space="preserve">ACTION RECYCLING</t>
  </si>
  <si>
    <t xml:space="preserve">S03859</t>
  </si>
  <si>
    <t xml:space="preserve">629 SANTA FE OR</t>
  </si>
  <si>
    <t xml:space="preserve">BOLD DESIGNS (1990; SIC 2759,3471,3399)</t>
  </si>
  <si>
    <t xml:space="preserve">BOLD OESTONS (1980) | BOLD DESIGNS (1983)</t>
  </si>
  <si>
    <t xml:space="preserve">BOLD DESIGNS [FRS; name match, 22 m] | AB PETROLEUM INC NO 22 [FRS; 5 m] | AURA SANTA FE [FRS; 25 m]</t>
  </si>
  <si>
    <t xml:space="preserve">S03893</t>
  </si>
  <si>
    <t xml:space="preserve">3841 EUDORA WAY</t>
  </si>
  <si>
    <t xml:space="preserve">CYCLO MANUFACTURING CO (1980-1983; SIC 3546,3079)</t>
  </si>
  <si>
    <t xml:space="preserve">CYCLO MANUFACTURING CO (1980)</t>
  </si>
  <si>
    <t xml:space="preserve">QTG CDSD DENVER [FRS; 15 m] | QTG CDSD DENVER [FRS] (address match)</t>
  </si>
  <si>
    <t xml:space="preserve">KIK INCORPORATED</t>
  </si>
  <si>
    <t xml:space="preserve">HILEX</t>
  </si>
  <si>
    <t xml:space="preserve">S03906</t>
  </si>
  <si>
    <t xml:space="preserve">1255 W 47TH AVE</t>
  </si>
  <si>
    <t xml:space="preserve">DONS DIES INC (1980; SIC 3544) | WORK DONS DIES INC (1988; SIC 3544)</t>
  </si>
  <si>
    <t xml:space="preserve">DONS DIES INC (1980) | WORK DONS DIES INC (1988)</t>
  </si>
  <si>
    <t xml:space="preserve">MILE HI KITCHEN &amp; BATH INC [FRS; 30 m] | MILE HI KITCHEN &amp; BATH INC [FRS] (address match)</t>
  </si>
  <si>
    <t xml:space="preserve">S03921</t>
  </si>
  <si>
    <t xml:space="preserve">5105 E 38TH AVE</t>
  </si>
  <si>
    <t xml:space="preserve">FEODE BRONZE WORKS (1980-1990; SIC 3362) | INTERSTATE PATTERN + MFG CO (1983; SIC 3361,3565,3409)</t>
  </si>
  <si>
    <t xml:space="preserve">FEODE BRONZE WORKS (1980) | INTERSTATE PATTERN + MFG CO (1983)</t>
  </si>
  <si>
    <t xml:space="preserve">HULL PHOTO [FRS; 5 m] | SPECTRUM GENERAL CONTRACTING INC [FRS; 38 m] | HULL PHOTO [FRS] (address match)</t>
  </si>
  <si>
    <t xml:space="preserve">POLAR ICE</t>
  </si>
  <si>
    <t xml:space="preserve">S03945</t>
  </si>
  <si>
    <t xml:space="preserve">4990 IRONTON ST</t>
  </si>
  <si>
    <t xml:space="preserve">WOOWVER UNIVERSAL INC ~- BEVERAGE BOT DIV (1980-1983; SIC 3079)</t>
  </si>
  <si>
    <t xml:space="preserve">WOOWVER UNIVERSAL INC ~- BEVERAGE BOT DIV (1980)</t>
  </si>
  <si>
    <t xml:space="preserve">AMCOR RIGID PLASTICS [FRS] (address match) | AMCOR RIGID PLASTICS USA INC. [FRS] (address match)</t>
  </si>
  <si>
    <t xml:space="preserve">BRITE-LINE LLC - BRITE-LINE LLC</t>
  </si>
  <si>
    <t xml:space="preserve">OREPAC BUILDING PRODUCTS</t>
  </si>
  <si>
    <t xml:space="preserve">S03951</t>
  </si>
  <si>
    <t xml:space="preserve">3787 LIMA ST</t>
  </si>
  <si>
    <t xml:space="preserve">ANTERNATLONAL GROUND SUPPORT SYSTEMS INC (1980; SIC 3531,3535,3452) | INTERNATIONAL GROUND SUPPORT SYSTEMS INC (1983; SIC 3531,3535,3452)</t>
  </si>
  <si>
    <t xml:space="preserve">ANTERNATLONAL GROUND SUPPORT SYSTEMS INC (1980) | INTERNATIONAL GROUND SUPPORT SYSTEMS INC (1983)</t>
  </si>
  <si>
    <t xml:space="preserve">DELINE BOX COMPANY [FRS; 25 m]</t>
  </si>
  <si>
    <t xml:space="preserve">KWAL-HOWELLS INC ( DBA KWAL PAINT INC)</t>
  </si>
  <si>
    <t xml:space="preserve">VERITIV OPERATING COMPANY</t>
  </si>
  <si>
    <t xml:space="preserve">S03980</t>
  </si>
  <si>
    <t xml:space="preserve">1976 S BANNOCK</t>
  </si>
  <si>
    <t xml:space="preserve">MASTER INSULATIONS (1980; SIC 3442) | SOL CATAMARANS INC (1983; SIC 3732)</t>
  </si>
  <si>
    <t xml:space="preserve">MASTER INSULATIONS (1980) | SOL CATAMARANS INC (1983)</t>
  </si>
  <si>
    <t xml:space="preserve">GENERAL WELDING AND REPAIR CORP [FRS; 20 m]</t>
  </si>
  <si>
    <t xml:space="preserve">FRED &amp; SIES AUTO BODY</t>
  </si>
  <si>
    <t xml:space="preserve">S04045</t>
  </si>
  <si>
    <t xml:space="preserve">5095 PARIS ST</t>
  </si>
  <si>
    <t xml:space="preserve">THERMOOULAR DESIGNS [NC (1980-1983; SIC 3433) | MONARCH SHEET METAL INC (1990-1992; SIC 3444)</t>
  </si>
  <si>
    <t xml:space="preserve">THERMOOULAR DESIGNS [NC (1980) | DENVER FRAME CRAFT (1983) | MONARCH SHEET METAL INC (1990)</t>
  </si>
  <si>
    <t xml:space="preserve">GOURMET COFFEES OF AMERICA [FRS; 26 m] | ROCKUSTICS INC. [FRS; 55 m] | GOURMET COFFEES OF AMERICA [FRS] (address match)</t>
  </si>
  <si>
    <t xml:space="preserve">GREAT WESTERN CHEMICAL COMPANY</t>
  </si>
  <si>
    <t xml:space="preserve">S04056</t>
  </si>
  <si>
    <t xml:space="preserve">1385 S HURON</t>
  </si>
  <si>
    <t xml:space="preserve">WINYt LAMINATORS INC (1980-1983; SIC 3079)</t>
  </si>
  <si>
    <t xml:space="preserve">WINYt LAMINATORS INC (1980)</t>
  </si>
  <si>
    <t xml:space="preserve">ROOSEVELT INDUSTRIES LTD DBA STRUCTURAL COATINGS [FRS; 28 m]</t>
  </si>
  <si>
    <t xml:space="preserve">S04060</t>
  </si>
  <si>
    <t xml:space="preserve">3940 GRAPE ST</t>
  </si>
  <si>
    <t xml:space="preserve">WESTERN MEDIA PRODUCTS INC (1980; SIC 3573)</t>
  </si>
  <si>
    <t xml:space="preserve">WESTERN MEDIA PRODUCTS INC (1980)</t>
  </si>
  <si>
    <t xml:space="preserve">ROCKY MOUNTAIN RECLAMATION [FRS; 11 m]</t>
  </si>
  <si>
    <t xml:space="preserve">NORDIC ANALYTICAL LABORATORIES LLC</t>
  </si>
  <si>
    <t xml:space="preserve">S04464</t>
  </si>
  <si>
    <t xml:space="preserve">353 W 96TH AVE</t>
  </si>
  <si>
    <t xml:space="preserve">PAR INDUSTRIES INC (1983; SIC 2899)</t>
  </si>
  <si>
    <t xml:space="preserve">PAR INDUSTRIES INC (1983)</t>
  </si>
  <si>
    <t xml:space="preserve">WESLEY JOHNS CONSTRUCTION [FRS; 171 m] | NORTH MOR ELEMENTARY SCHOOL [FRS; 208 m]</t>
  </si>
  <si>
    <t xml:space="preserve">S04700</t>
  </si>
  <si>
    <t xml:space="preserve">1383 WE ALAMEDA</t>
  </si>
  <si>
    <t xml:space="preserve">ALAMEDA ORNAMENTAL IRON INCe (1983-1990; SIC 3446,2514,3442)</t>
  </si>
  <si>
    <t xml:space="preserve">ALAMEDA ORNAMENTAL IRON INCe (1983)</t>
  </si>
  <si>
    <t xml:space="preserve">ALAMEDA ORNAMENTAL IRON [FRS; name match, 0 m] | WARREN VILLAGE III [FRS; 27 m]</t>
  </si>
  <si>
    <t xml:space="preserve">DIESELS ONLY</t>
  </si>
  <si>
    <t xml:space="preserve">S04703</t>
  </si>
  <si>
    <t xml:space="preserve">1277 S CHEROKEE</t>
  </si>
  <si>
    <t xml:space="preserve">ALUMINUM BUILDING PRODUCTS» INC (1983; SIC 3442,3448,3446) | BROMUUY RGTDINS (1988; SIC 3442,3446,3448)</t>
  </si>
  <si>
    <t xml:space="preserve">ALUMINUM BUILDING PRODUCTS» INC (1983) | BROMUUY RGTDINS (1988)</t>
  </si>
  <si>
    <t xml:space="preserve">SHAMROCK PAINTING INC [FRS; 7 m]</t>
  </si>
  <si>
    <t xml:space="preserve">S04722</t>
  </si>
  <si>
    <t xml:space="preserve">10525 E 40TH AVE</t>
  </si>
  <si>
    <t xml:space="preserve">C M WEST DIVISION (1983; SIC 3444,3469,3599) | CARD CORPORATION (1990; SIC 2842)</t>
  </si>
  <si>
    <t xml:space="preserve">C M WEST DIVISION (1983) | CARD CORPORATION (1990)</t>
  </si>
  <si>
    <t xml:space="preserve">QUESTAR CNG LATERAL PROJECT [FRS; 26 m]</t>
  </si>
  <si>
    <t xml:space="preserve">PKA INC PROKRETE IND</t>
  </si>
  <si>
    <t xml:space="preserve">QUALITY LININGS COMPANY  INC</t>
  </si>
  <si>
    <t xml:space="preserve">S04724</t>
  </si>
  <si>
    <t xml:space="preserve">4305 GRAPE ST</t>
  </si>
  <si>
    <t xml:space="preserve">CAPITAL PACKAGING CORP (1983; SIC 2653,3079)</t>
  </si>
  <si>
    <t xml:space="preserve">CAPITAL PACKAGING CORP (1983)</t>
  </si>
  <si>
    <t xml:space="preserve">ECOLOG INC. [FRS; 28 m]</t>
  </si>
  <si>
    <t xml:space="preserve">UNIVAR - CHEMICAL DIST.</t>
  </si>
  <si>
    <t xml:space="preserve">TAMKO DENVER WAREHOUSE</t>
  </si>
  <si>
    <t xml:space="preserve">S04764</t>
  </si>
  <si>
    <t xml:space="preserve">2401 W EVANS AVE</t>
  </si>
  <si>
    <t xml:space="preserve">HERITAGE DIE CASTING CO (1983; SIC 3714,3679,3842)</t>
  </si>
  <si>
    <t xml:space="preserve">HERITAGE DIE CASTING CO (1983)</t>
  </si>
  <si>
    <t xml:space="preserve">KHAN AUTO BODY &amp; SALES [FRS; 17 m] | KHAN AUTO BODY &amp; SALES [FRS] (address match)</t>
  </si>
  <si>
    <t xml:space="preserve">WEST EVANS PESTICIDES</t>
  </si>
  <si>
    <t xml:space="preserve">RYAN ENGINE EXCHANGE</t>
  </si>
  <si>
    <t xml:space="preserve">S04822</t>
  </si>
  <si>
    <t xml:space="preserve">6363 E 38TH</t>
  </si>
  <si>
    <t xml:space="preserve">RELIABLE SLING CO (1983; SIC 3496)</t>
  </si>
  <si>
    <t xml:space="preserve">RELIABLE SLING CO (1983)</t>
  </si>
  <si>
    <t xml:space="preserve">ABC DIE CUTTING AND EMBOSSING [FRS; 16 m]</t>
  </si>
  <si>
    <t xml:space="preserve">S05557</t>
  </si>
  <si>
    <t xml:space="preserve">3003 ARAPAHOE ST 103</t>
  </si>
  <si>
    <t xml:space="preserve">B+C ELECTRONIC ENGINEERING INC (1990; SIC 3571)</t>
  </si>
  <si>
    <t xml:space="preserve">B+C ELECTRONIC ENGINEERING INC (1988) | SANI PUFF PILLOWS (1990)</t>
  </si>
  <si>
    <t xml:space="preserve">JOE WILLIAMS SR. RESIDENCE [FRS; 39 m]</t>
  </si>
  <si>
    <t xml:space="preserve">CURTIS PARK COMMUNITY CENTER AND ADMIN BUILDING</t>
  </si>
  <si>
    <t xml:space="preserve">COLORADO CLEANERS</t>
  </si>
  <si>
    <t xml:space="preserve">S05585</t>
  </si>
  <si>
    <t xml:space="preserve">3730 SALEM ST</t>
  </si>
  <si>
    <t xml:space="preserve">DIRECTORY DALCO INDUSTRIES INC (1988-1992; SIC 3449)</t>
  </si>
  <si>
    <t xml:space="preserve">DIRECTORY DALCO INDUSTRIES INC (1988)</t>
  </si>
  <si>
    <t xml:space="preserve">DALCO INDUSTRIES, INC. [FRS; name match, 7 m] | CAI TECHNOLOGIES [FRS; 12 m] | DALCO INDUSTRIES, INC. [FRS] (address match)</t>
  </si>
  <si>
    <t xml:space="preserve">E/M CORP</t>
  </si>
  <si>
    <t xml:space="preserve">S05693</t>
  </si>
  <si>
    <t xml:space="preserve">1355 S HURON ST</t>
  </si>
  <si>
    <t xml:space="preserve">VINYL LAMINATORS (1990; SIC 2431,3275,2455)</t>
  </si>
  <si>
    <t xml:space="preserve">DIRECTORIES + PERIO VINYL LAMINATORS (1988) | VINYL LAMINATORS (1990)</t>
  </si>
  <si>
    <t xml:space="preserve">ROOSEVELT INDUSTRIES LTD DBA STRUCTURAL COATINGS [FRS; 20 m] | ROOSEVELT INDUSTRIES LTD DBA STRUCTURAL COATINGS [FRS] (address match)</t>
  </si>
  <si>
    <t xml:space="preserve">S05696</t>
  </si>
  <si>
    <t xml:space="preserve">1175 S LIPAN ST</t>
  </si>
  <si>
    <t xml:space="preserve">WESTERN ROLLER INC (1988-1990; SIC 3555)</t>
  </si>
  <si>
    <t xml:space="preserve">WESTERN ROLLER INC (1988) | UNITED PRINTING CORP (1990)</t>
  </si>
  <si>
    <t xml:space="preserve">UNITED PRINTING CORP [FRS; name match, 19 m] | PIONEER LABEL [FRS; 17 m] | REED DESIGN BUILDERS [FRS; 28 m] | UNITED PRINTING CORP [FRS] (address match)</t>
  </si>
  <si>
    <t xml:space="preserve">OAK STREET MOTORS INC</t>
  </si>
  <si>
    <t xml:space="preserve">S05697</t>
  </si>
  <si>
    <t xml:space="preserve">813 NAVAJO ST</t>
  </si>
  <si>
    <t xml:space="preserve">ROLLERS WESTERN SIGN MFG (1988; SIC 3499,3993)</t>
  </si>
  <si>
    <t xml:space="preserve">ROLLERS WESTERN SIGN MFG (1988)</t>
  </si>
  <si>
    <t xml:space="preserve">DISTINCTIVE MANTLE DESIGNS [FRS; 23 m] | DISTINCTIVE MANTLE DESIGNS [FRS] (address match)</t>
  </si>
  <si>
    <t xml:space="preserve">S06378</t>
  </si>
  <si>
    <t xml:space="preserve">11101 E 53RD AVE</t>
  </si>
  <si>
    <t xml:space="preserve">BOYD CORP (1990; SIC 2672,3053,3089)</t>
  </si>
  <si>
    <t xml:space="preserve">BOYD CORP (1990)</t>
  </si>
  <si>
    <t xml:space="preserve">BOYD CORP [FRS; name match, 39 m]</t>
  </si>
  <si>
    <t xml:space="preserve">DUPONT REFINISH SERVICE CENTER</t>
  </si>
  <si>
    <t xml:space="preserve">S06384</t>
  </si>
  <si>
    <t xml:space="preserve">11333 E 55TH AVE</t>
  </si>
  <si>
    <t xml:space="preserve">CAPITOL PACKAGING CORP (1990; SIC 2653,3089,3999)</t>
  </si>
  <si>
    <t xml:space="preserve">CAPITOL PACKAGING CORP (1990)</t>
  </si>
  <si>
    <t xml:space="preserve">CAPITOL PACKAGING COMPANY [FRS; name match, 31 m]</t>
  </si>
  <si>
    <t xml:space="preserve">FUJIFILM NORTH AMERICA CORPORATION/DISTRIBUTION BY AIR</t>
  </si>
  <si>
    <t xml:space="preserve">S06476</t>
  </si>
  <si>
    <t xml:space="preserve">1051 W 46TH AVE</t>
  </si>
  <si>
    <t xml:space="preserve">RMI PLASTICS (1990; SIC 2449,2599,3089)</t>
  </si>
  <si>
    <t xml:space="preserve">RMI PLASTICS (1990)</t>
  </si>
  <si>
    <t xml:space="preserve">ROCK HOREB MARBLE AND GRANITE [FRS; 13 m]</t>
  </si>
  <si>
    <t xml:space="preserve">S06517</t>
  </si>
  <si>
    <t xml:space="preserve">5500 JOLIET</t>
  </si>
  <si>
    <t xml:space="preserve">ZEP MANUFACTURING (1990; SIC 2842)</t>
  </si>
  <si>
    <t xml:space="preserve">ZEP MANUFACTURING (1990)</t>
  </si>
  <si>
    <t xml:space="preserve">ZEP MANUFACTURING COMPANY [FRS; name match, 41 m] | COTTRELL, LTD [FRS; 39 m]</t>
  </si>
  <si>
    <t xml:space="preserve">DANIELS SHARPSMART INC</t>
  </si>
  <si>
    <t xml:space="preserve">S06956</t>
  </si>
  <si>
    <t xml:space="preserve">5343 COOK ST</t>
  </si>
  <si>
    <t xml:space="preserve">ARGUS STEEL CORP (1992; SIC 3312,3499)</t>
  </si>
  <si>
    <t xml:space="preserve">ARGUS STEEL CORP (1992)</t>
  </si>
  <si>
    <t xml:space="preserve">GALAXY AUTO RECYCLE AND REPAIR [FRS; 9 m] | GALAXY AUTO RECYCLING [FRS; 9 m]</t>
  </si>
  <si>
    <t xml:space="preserve">S06962</t>
  </si>
  <si>
    <t xml:space="preserve">2950 YORK ST</t>
  </si>
  <si>
    <t xml:space="preserve">COLORADO SERUM CO (1992; SIC 2834,2867)</t>
  </si>
  <si>
    <t xml:space="preserve">COLORADO SERUM CO (1992)</t>
  </si>
  <si>
    <t xml:space="preserve">PAUL &amp; PATSY WHITE RESIDENCE [FRS; 26 m]</t>
  </si>
  <si>
    <t xml:space="preserve">SWIRE COCA-COLA USA</t>
  </si>
  <si>
    <t xml:space="preserve">S07009</t>
  </si>
  <si>
    <t xml:space="preserve">267 W ALAMEDA AVE</t>
  </si>
  <si>
    <t xml:space="preserve">WEST ELECTRONIC BALANCING CO. (1992; SIC 3599)</t>
  </si>
  <si>
    <t xml:space="preserve">WEST ELECTRONIC BALANCING CO. (1992)</t>
  </si>
  <si>
    <t xml:space="preserve">WESTWOOD CROSSING MIXED USE COMMUNITY [FRS; 25 m]</t>
  </si>
  <si>
    <t xml:space="preserve">S01363</t>
  </si>
  <si>
    <t xml:space="preserve">700 S VALLEY HWY</t>
  </si>
  <si>
    <t xml:space="preserve">WALLACE MINERAL CORP (1967; SIC 2879,2871)</t>
  </si>
  <si>
    <t xml:space="preserve">WALLACE MINERAL CORP (1967)</t>
  </si>
  <si>
    <t xml:space="preserve">FIFTH STREET IMPROVEMENTS PROJECT [FRS; 28 m] | VERIZON WIRELESS - DT CASTLE ROCK [FRS; 117 m] | ST. FRANCIS OF ASSISI [FRS; 230 m] | ST FRANCIS OF ASSISI CATHOLIC CHURCH CASTLE ROCK [FRS; 230 m]</t>
  </si>
  <si>
    <t xml:space="preserve">S03701</t>
  </si>
  <si>
    <t xml:space="preserve">2829 S SANTA FE DR</t>
  </si>
  <si>
    <t xml:space="preserve">STAINLESS EQUIPMENT CO (1980; SIC 3444,3585,3589)</t>
  </si>
  <si>
    <t xml:space="preserve">STAINLESS EQUIPMENT CO (1980)</t>
  </si>
  <si>
    <t xml:space="preserve">EAST PLUM CREEK STABILIZATION AT MEADOWS PKWY [FRS; 113 m] | TOWN OF CASTLE ROCK ALLUVIAL WELL PROJECT [FRS; 198 m]</t>
  </si>
  <si>
    <t xml:space="preserve">S04884</t>
  </si>
  <si>
    <t xml:space="preserve">3002 N STATE HWY 83</t>
  </si>
  <si>
    <t xml:space="preserve">DOUGLAS COUNTY INDUSTRIES INC (1983; SIC 3679,3599) | DCX INC (1990; SIC 3669,3678,3569)</t>
  </si>
  <si>
    <t xml:space="preserve">DOUGLAS COUNTY INDUSTRIES INC (1983) | DCX INC (1990)</t>
  </si>
  <si>
    <t xml:space="preserve">COUNTY LANE NURSERY [FRS; 43 m] | PIKES PEAK GRANGE [FRS; 137 m]</t>
  </si>
  <si>
    <t xml:space="preserve">S04889</t>
  </si>
  <si>
    <t xml:space="preserve">8124 N CORA RD</t>
  </si>
  <si>
    <t xml:space="preserve">SUPERIOR METAL PRODUCTS INC (1983-1990; SIC 3495,3559)</t>
  </si>
  <si>
    <t xml:space="preserve">SUPERIOR METAL PRODUCTS INC (1983)</t>
  </si>
  <si>
    <t xml:space="preserve">BEE MOR IND PARK LOT 2A [FRS; 89 m] | 5635 KELLY CT [FRS; 234 m] | GANDOMCAR PROPERTIES LLC (5280 EQUESTRIAN) [FRS; 237 m]</t>
  </si>
  <si>
    <t xml:space="preserve">S05941</t>
  </si>
  <si>
    <t xml:space="preserve">5826 W PATE ST</t>
  </si>
  <si>
    <t xml:space="preserve">COLORADO ASPHALT PRODUCTS INC (1988; SIC 2952)</t>
  </si>
  <si>
    <t xml:space="preserve">COLORADO ASPHALT PRODUCTS INC (1988)</t>
  </si>
  <si>
    <t xml:space="preserve">BEE MOR IND PARK LOT 2A [FRS; 58 m] | ERS CONSTRUCTION, INC. [FRS; 220 m] | LOUVIERS INDUSTRIAL PARK [FRS; 249 m]</t>
  </si>
  <si>
    <t xml:space="preserve">S05713</t>
  </si>
  <si>
    <t xml:space="preserve">125 CHAMBERS AVE</t>
  </si>
  <si>
    <t xml:space="preserve">OFFSET ROCKY MTN CASTING (1988; SIC 3321,3369)</t>
  </si>
  <si>
    <t xml:space="preserve">OFFSET ROCKY MTN CASTING (1988)</t>
  </si>
  <si>
    <t xml:space="preserve">EAGLE SINCLAIR [FRS; 9 m]</t>
  </si>
  <si>
    <t xml:space="preserve">U S DRUG ENFORCEMENT AGENCY</t>
  </si>
  <si>
    <t xml:space="preserve">S01034</t>
  </si>
  <si>
    <t xml:space="preserve">410 TIA JUANA</t>
  </si>
  <si>
    <t xml:space="preserve">JARDON + KNIGHT (1966; SIC 3441) | JARCON + KNIGHT WELDING INC (1967-1968; SIC 3441) | BABB STEEL. INC. (1973-1990; SIC 3441,3446,2026) | MARTIN MACHINE CORPORATION (1980; SIC 3469,3479) | TROPHIES BAAB STEEL INC (1988; SIC 3441,3446)</t>
  </si>
  <si>
    <t xml:space="preserve">JARDON + KNIGHT (1966) | JARCON + KNIGHT WELDING INC (1967) | BABB STEEL. INC. (1973) | MARTIN MACHINE CORPORATION (1980) | TROPHIES BAAB STEEL INC (1988)</t>
  </si>
  <si>
    <t xml:space="preserve">VIGIL'S PAINTING [FRS; 27 m] | CARNATION BUILDING SERVICES [FRS; 27 m] | VALLEY CONSTRUCTION SERVICES INC. [FRS; 27 m] | FRED FLETEMEYER COMPANY [FRS; 36 m] | RIECK KAR KRAFT LTD [FRS; 36 m]</t>
  </si>
  <si>
    <t xml:space="preserve">S01044</t>
  </si>
  <si>
    <t xml:space="preserve">619 N CASCADE AVE</t>
  </si>
  <si>
    <t xml:space="preserve">NORTH AMERICAN AVIATION INC (1966; SIC 3483)</t>
  </si>
  <si>
    <t xml:space="preserve">NORTH AMERICAN AVIATION INC (1966)</t>
  </si>
  <si>
    <t xml:space="preserve">CASCADE PARK APARTMENTS [FRS; 21 m]</t>
  </si>
  <si>
    <t xml:space="preserve">FRONT RANGE ENDOSCOPY CENTER</t>
  </si>
  <si>
    <t xml:space="preserve">S01529</t>
  </si>
  <si>
    <t xml:space="preserve">125 W COSTILLA</t>
  </si>
  <si>
    <t xml:space="preserve">AMERICAN ALPINE INC (1968; SIC 3585)</t>
  </si>
  <si>
    <t xml:space="preserve">FURNITLRE SHOP (1967) | AMERICAN ALPINE INC (1968) | REINING BLUEPRINT CO (1973) | FRENCH + CO INC (1974)</t>
  </si>
  <si>
    <t xml:space="preserve">nan [FRS; 3 m]</t>
  </si>
  <si>
    <t xml:space="preserve">TRI-GON PRECISION</t>
  </si>
  <si>
    <t xml:space="preserve">S01549</t>
  </si>
  <si>
    <t xml:space="preserve">1400 GARDEN OF GODS RO</t>
  </si>
  <si>
    <t xml:space="preserve">Aepedy (1967; SIC 3079) | STYRO-MOLDERS CORP (1970; SIC 3079)</t>
  </si>
  <si>
    <t xml:space="preserve">Aepedy (1967) | STYRO-MOLDERS CORP (1970) | SUPPLIES HYMAN menration cor (1988)</t>
  </si>
  <si>
    <t xml:space="preserve">CSU GARDEN OF THE GODS SCOTSMAN WMRP [FRS; 28 m]</t>
  </si>
  <si>
    <t xml:space="preserve">S01850</t>
  </si>
  <si>
    <t xml:space="preserve">208 S 22ND</t>
  </si>
  <si>
    <t xml:space="preserve">DECKER LABORATORIES INC { (1973-1980; SIC 3841,2869)</t>
  </si>
  <si>
    <t xml:space="preserve">DECKER LABORATORIES INC (1968)</t>
  </si>
  <si>
    <t xml:space="preserve">LUPINE CONSTRUCTION [FRS; 4 m]</t>
  </si>
  <si>
    <t xml:space="preserve">STEVE MILLS RACING &amp; ACR INC</t>
  </si>
  <si>
    <t xml:space="preserve">S01851</t>
  </si>
  <si>
    <t xml:space="preserve">3010 GRANDVIEW</t>
  </si>
  <si>
    <t xml:space="preserve">KAST-KON-KRETEs INC (1968; SIC 3272,3446)</t>
  </si>
  <si>
    <t xml:space="preserve">KAST-KON-KRETEs INC (1968)</t>
  </si>
  <si>
    <t xml:space="preserve">CST METRO LLC DBA CORNER STORE #673 [FRS; 33 m]</t>
  </si>
  <si>
    <t xml:space="preserve">SUPER SPORTS PAINT AND BODY LLC</t>
  </si>
  <si>
    <t xml:space="preserve">S02078</t>
  </si>
  <si>
    <t xml:space="preserve">2512 DELTA DR</t>
  </si>
  <si>
    <t xml:space="preserve">COMPONENT EQUIPMENT MFG INC (1970; SIC 3553) | AO C O PRODUCTION MACHINING, INC (1980; SIC 3544)</t>
  </si>
  <si>
    <t xml:space="preserve">COMPONENT EQUIPMENT MFG INC (1970) | AO C O PRODUCTION MACHINING, INC (1980)</t>
  </si>
  <si>
    <t xml:space="preserve">SAN MARCOS WMRP [FRS; 26 m]</t>
  </si>
  <si>
    <t xml:space="preserve">SEOUL CLEANERS</t>
  </si>
  <si>
    <t xml:space="preserve">S02537</t>
  </si>
  <si>
    <t xml:space="preserve">2726 GUNNISON</t>
  </si>
  <si>
    <t xml:space="preserve">A + L ALUMINUM MFG CO INC (1973-1990; SIC 3442) | &amp; € L ALUAINUN NBG CB INC (1980; SIC 3442,3446,3523)</t>
  </si>
  <si>
    <t xml:space="preserve">A + L ALUMINUM MFG CO INC (1973) | &amp; € L ALUAINUN NBG CB INC (1980)</t>
  </si>
  <si>
    <t xml:space="preserve">A &amp; L HOME IMPROVEMENT [FRS; 4 m] | A &amp; L HOME IMPROVEMENT [FRS] (address match)</t>
  </si>
  <si>
    <t xml:space="preserve">SHINNY SHOP</t>
  </si>
  <si>
    <t xml:space="preserve">S02554</t>
  </si>
  <si>
    <t xml:space="preserve">141 DEERPATH AVE</t>
  </si>
  <si>
    <t xml:space="preserve">GORDON INDUSTRIES (1973; SIC 3544,3591)</t>
  </si>
  <si>
    <t xml:space="preserve">GORDON INDUSTRIES (1973)</t>
  </si>
  <si>
    <t xml:space="preserve">MESA TO MANITOU GAS MAIN RENEWAL - PHASE 1 [FRS; 193 m] | MANITOU SPRINGS SCHOOL DISTRICT #14 [FRS; 238 m]</t>
  </si>
  <si>
    <t xml:space="preserve">S02558</t>
  </si>
  <si>
    <t xml:space="preserve">802 S WAHSATCH AVE</t>
  </si>
  <si>
    <t xml:space="preserve">1973;1977;1980;1983;1990</t>
  </si>
  <si>
    <t xml:space="preserve">HEYSE SHEET METAL * ROOFING CO INC (1973-1983; SIC 3444) | OeS.8eNe CORR (1980; SIC 3471) | PAT ROADS SHEET METAL INC (1990; SIC 3444)</t>
  </si>
  <si>
    <t xml:space="preserve">HEYSE SHEET METAL * ROOFING CO INC (1973) | OeS.8eNe CORR (1980) | PAT ROADS SHEET METAL INC (1990)</t>
  </si>
  <si>
    <t xml:space="preserve">CENTRAL UNIFORM [FRS; 29 m]</t>
  </si>
  <si>
    <t xml:space="preserve">S02576</t>
  </si>
  <si>
    <t xml:space="preserve">1100 GARDEN OF GODS RD</t>
  </si>
  <si>
    <t xml:space="preserve">STYRO-MOLDERS CORP (1973; SIC 3079)</t>
  </si>
  <si>
    <t xml:space="preserve">STYRO-MOLDERS CORP (1973)</t>
  </si>
  <si>
    <t xml:space="preserve">ARCTIC SPAS COLORADO SPRINGS [FRS; 30 m]</t>
  </si>
  <si>
    <t xml:space="preserve">S02578</t>
  </si>
  <si>
    <t xml:space="preserve">2345 E BOULDER</t>
  </si>
  <si>
    <t xml:space="preserve">THERMO-FLC PLUMBING + HEATING CORP (1973-1983; SIC 3444)</t>
  </si>
  <si>
    <t xml:space="preserve">THERMO-FLC PLUMBING + HEATING CORP (1973)</t>
  </si>
  <si>
    <t xml:space="preserve">DEPENDABLE AUTOMOTIVE INC. [FRS; 6 m] | ROCKY MOUNTAIN INTERIOR CONSTRUCTION INC. [FRS; 39 m]</t>
  </si>
  <si>
    <t xml:space="preserve">FAMILY DOLLAR #4088</t>
  </si>
  <si>
    <t xml:space="preserve">S03003</t>
  </si>
  <si>
    <t xml:space="preserve">2401 STEEL DR</t>
  </si>
  <si>
    <t xml:space="preserve">A + P STEEL (1974; SIC 3441,3449,3444) | os270? (1977; SIC 3523,3441,3449)</t>
  </si>
  <si>
    <t xml:space="preserve">A + P STEEL (1974) | os270? (1977)</t>
  </si>
  <si>
    <t xml:space="preserve">C&amp;C SAND AND STONE CO [FRS; 8 m]</t>
  </si>
  <si>
    <t xml:space="preserve">CITY OF CO SPRINGS/UTILITIES PROPERTY DI</t>
  </si>
  <si>
    <t xml:space="preserve">S03026</t>
  </si>
  <si>
    <t xml:space="preserve">900 SATURN ORIVE</t>
  </si>
  <si>
    <t xml:space="preserve">TOTAL POLE INC (1974; SIC 3499,3949)</t>
  </si>
  <si>
    <t xml:space="preserve">TOTAL POLE INC (1974)</t>
  </si>
  <si>
    <t xml:space="preserve">CONRAD GUERRERO - CONDOMINIUM [FRS; 11 m]</t>
  </si>
  <si>
    <t xml:space="preserve">S03368</t>
  </si>
  <si>
    <t xml:space="preserve">1400 E LAS VEGAS</t>
  </si>
  <si>
    <t xml:space="preserve">COLORADO FIRGE CORPIRATION (1977; SIC 3462) | COLGRADG FORGE CORPORATION (1980; SIC 3462)</t>
  </si>
  <si>
    <t xml:space="preserve">COLORADO FIRGE CORPIRATION (1977) | COLGRADG FORGE CORPORATION (1980)</t>
  </si>
  <si>
    <t xml:space="preserve">COLORADO FORGE CORP [FRS; name match, 176 m] | LAS VEGAS &amp; ROYER UP RAILROAD CROSSING RELOCATION [FRS; 116 m]</t>
  </si>
  <si>
    <t xml:space="preserve">S03372</t>
  </si>
  <si>
    <t xml:space="preserve">3755 PARKMOOR VILLAGE OR</t>
  </si>
  <si>
    <t xml:space="preserve">DIAMOND VOGEL PAINTS 2751 COMMERCIAL PRINTING, LETTERPRESS (1977; SIC 2851)</t>
  </si>
  <si>
    <t xml:space="preserve">DIAMOND VOGEL PAINTS 2751 COMMERCIAL PRINTING, LETTERPRESS (1977)</t>
  </si>
  <si>
    <t xml:space="preserve">NESTER PROPERTY MANAGEMENT [FRS; 16 m]</t>
  </si>
  <si>
    <t xml:space="preserve">PENROSE COMMUNITY HOSPITAL</t>
  </si>
  <si>
    <t xml:space="preserve">S03373</t>
  </si>
  <si>
    <t xml:space="preserve">3009 N EL PASO</t>
  </si>
  <si>
    <t xml:space="preserve">GREATER WEST INDUSTRIES INC (1977; SIC 2992)</t>
  </si>
  <si>
    <t xml:space="preserve">GREATER WEST INDUSTRIES INC (1977) | GREATER WESTERN DISTRIBUTORS (1980) | CANOLES OF MANITOU (1980)</t>
  </si>
  <si>
    <t xml:space="preserve">MERRITT GENERAL CONTRACTORS [FRS; 29 m]</t>
  </si>
  <si>
    <t xml:space="preserve">FILLMORE AUTO BODY</t>
  </si>
  <si>
    <t xml:space="preserve">S03374</t>
  </si>
  <si>
    <t xml:space="preserve">640 FORD ST</t>
  </si>
  <si>
    <t xml:space="preserve">TUMAC INDUSTRIES INC (1977-1983; SIC 3523) | HARLOFF MFG CO (1990; SIC 2394,3537,3589)</t>
  </si>
  <si>
    <t xml:space="preserve">HOME BUILDERS SUPPLY, INC (1977) | TUMAC INDUSTRIES INC (1977) | WO R CORP THE (1977) | HARLOFF MFG CO (1990)</t>
  </si>
  <si>
    <t xml:space="preserve">HARLOFF MFG CO INC [FRS; name match, 28 m] | AMERICAN AGRI-DIESEL [FRS; 4 m] | THE DAVIS WHITEHALL CO. [FRS; 47 m]</t>
  </si>
  <si>
    <t xml:space="preserve">THE SHOP PAINT &amp; BODY LLC</t>
  </si>
  <si>
    <t xml:space="preserve">S03393</t>
  </si>
  <si>
    <t xml:space="preserve">2232 E BIJOU</t>
  </si>
  <si>
    <t xml:space="preserve">WESTERN FLAIR BUCKELS (1977; SIC 3469,3362)</t>
  </si>
  <si>
    <t xml:space="preserve">WESTERN FLAIR BUCKELS (1977) | COLORADO LEATHER GOODS (1990)</t>
  </si>
  <si>
    <t xml:space="preserve">ADELPHIA COMMUNICATIONS CORPORATION [FRS; 9 m]</t>
  </si>
  <si>
    <t xml:space="preserve">HANKS AUTO SHOP</t>
  </si>
  <si>
    <t xml:space="preserve">S04109</t>
  </si>
  <si>
    <t xml:space="preserve">2752 JANITELL RD</t>
  </si>
  <si>
    <t xml:space="preserve">INFORMATION STORAGE INC (1990; SIC 3577)</t>
  </si>
  <si>
    <t xml:space="preserve">MELLER PRESS (1980) | INFORMATION STORAGE INC (1990)</t>
  </si>
  <si>
    <t xml:space="preserve">GRAYLINE BUS FACILITY [FRS; 11 m]</t>
  </si>
  <si>
    <t xml:space="preserve">S04904</t>
  </si>
  <si>
    <t xml:space="preserve">1015 GARDEN GODS RD</t>
  </si>
  <si>
    <t xml:space="preserve">BROWN DISC MFG INC (1983; SIC 3573)</t>
  </si>
  <si>
    <t xml:space="preserve">BROWN DISC MFG INC (1983)</t>
  </si>
  <si>
    <t xml:space="preserve">ARCTIC SPAS COLORADO SPRINGS [FRS; 166 m]</t>
  </si>
  <si>
    <t xml:space="preserve">S04917</t>
  </si>
  <si>
    <t xml:space="preserve">1455 PANDO AVE</t>
  </si>
  <si>
    <t xml:space="preserve">CONCEPTS IN PLASTIC LAMINATES INC (1983; SIC 3079,2431)</t>
  </si>
  <si>
    <t xml:space="preserve">CONCEPTS IN PLASTIC LAMINATES INC (1983)</t>
  </si>
  <si>
    <t xml:space="preserve">ANYTIME RESTORATION [FRS; 28 m]</t>
  </si>
  <si>
    <t xml:space="preserve">S04921</t>
  </si>
  <si>
    <t xml:space="preserve">202 CHEYENNE MT BLVD</t>
  </si>
  <si>
    <t xml:space="preserve">ECOLOGY SOIL PRODUCTS INC (1983; SIC 2875)</t>
  </si>
  <si>
    <t xml:space="preserve">ECOLOGY SOIL PRODUCTS INC (1983)</t>
  </si>
  <si>
    <t xml:space="preserve">GLENPOND APARTMENTS [FRS; 154 m] | EMERALD TOWER APARTMENTS [FRS; 223 m]</t>
  </si>
  <si>
    <t xml:space="preserve">S04929</t>
  </si>
  <si>
    <t xml:space="preserve">3090 E LAS VEGAS</t>
  </si>
  <si>
    <t xml:space="preserve">NICKEL PLATING FIREBAUGH PRECAST CO (1988; SIC 3272,2830)</t>
  </si>
  <si>
    <t xml:space="preserve">FIREBAUGH EXCAVATING + PRECAST» INC (1983) | NICKEL PLATING FIREBAUGH PRECAST CO (1988)</t>
  </si>
  <si>
    <t xml:space="preserve">FIREBAUGH PRECAST, INC. [FRS; name match, 8 m] | FIREBAUGH PRECAST, INC. [FRS] (address match)</t>
  </si>
  <si>
    <t xml:space="preserve">THE DOW CHEMICAL CO-  RINCHEM CO</t>
  </si>
  <si>
    <t xml:space="preserve">KIEWIT INFRASTRUCTURE CO</t>
  </si>
  <si>
    <t xml:space="preserve">S04947</t>
  </si>
  <si>
    <t xml:space="preserve">2717 WILLAMETTE PL</t>
  </si>
  <si>
    <t xml:space="preserve">METAL PRODUCTS (1983-1990; SIC 3444)</t>
  </si>
  <si>
    <t xml:space="preserve">METAL PRODUCTS (1983)</t>
  </si>
  <si>
    <t xml:space="preserve">METAL PRODUCTS, LLC [FRS; name match, 75 m]</t>
  </si>
  <si>
    <t xml:space="preserve">ENGLISH COLOR &amp; SUPPLY LLC</t>
  </si>
  <si>
    <t xml:space="preserve">S05432</t>
  </si>
  <si>
    <t xml:space="preserve">9250 DRENNAN 1ND LP</t>
  </si>
  <si>
    <t xml:space="preserve">80935</t>
  </si>
  <si>
    <t xml:space="preserve">COLORADO SILICA SAND INC (1988; SIC 2819)</t>
  </si>
  <si>
    <t xml:space="preserve">COLORADO SILICA SAND INC (1988)</t>
  </si>
  <si>
    <t xml:space="preserve">CUCHARES RANCH FIL 5 [FRS; 34 m] | CUCHARES RANCH FIL 6 [FRS; 34 m] | CSU MARKSHEFFEL BRADLEY DRENNAN ELECTRICAL DUCT [FRS; 207 m]</t>
  </si>
  <si>
    <t xml:space="preserve">S05438</t>
  </si>
  <si>
    <t xml:space="preserve">1210 GARDEN OF GODS</t>
  </si>
  <si>
    <t xml:space="preserve">RAYA SPICER (1988; SIC 3714)</t>
  </si>
  <si>
    <t xml:space="preserve">RAYA SPICER (1988)</t>
  </si>
  <si>
    <t xml:space="preserve">CSU GARDEN OF THE GODS SCOTSMAN WMRP [FRS; 104 m]</t>
  </si>
  <si>
    <t xml:space="preserve">S05457</t>
  </si>
  <si>
    <t xml:space="preserve">4002 MARK DABLING BV</t>
  </si>
  <si>
    <t xml:space="preserve">COLORADO SPRINGS - COLORADO SPRINGS 181 KAST-KON-KRETE INC (1988; SIC 3272,3446,3449)</t>
  </si>
  <si>
    <t xml:space="preserve">COLORADO SPRINGS - COLORADO SPRINGS 181 KAST-KON-KRETE INC (1988)</t>
  </si>
  <si>
    <t xml:space="preserve">NORTH DOUGLAS CREEK AT MARK DABLING [FRS; 4 m]</t>
  </si>
  <si>
    <t xml:space="preserve">S05475</t>
  </si>
  <si>
    <t xml:space="preserve">625 FORD ST</t>
  </si>
  <si>
    <t xml:space="preserve">PO YENETIAN BLIND (1988; SIC 2391,2591,3496)</t>
  </si>
  <si>
    <t xml:space="preserve">SUB-SYSTEM OUT WEST AWNING CO (1988) | PO YENETIAN BLIND (1988) | OUT WEST AWNING CO (1990)</t>
  </si>
  <si>
    <t xml:space="preserve">WHOLESALE PET USA [FRS; 9 m]</t>
  </si>
  <si>
    <t xml:space="preserve">ABF FREIGHT SYSTEMS INC</t>
  </si>
  <si>
    <t xml:space="preserve">S05479</t>
  </si>
  <si>
    <t xml:space="preserve">1150 GARDEN OP GODS</t>
  </si>
  <si>
    <t xml:space="preserve">PIONEER ALUMINUM FORGE CO (1988; SIC 3463) | GENERAL ALUMINUM FORGING (1990; SIC 3463)</t>
  </si>
  <si>
    <t xml:space="preserve">PIONEER ALUMINUM FORGE CO (1988) | GENERAL ALUMINUM FORGING (1990)</t>
  </si>
  <si>
    <t xml:space="preserve">ARCTIC SPAS COLORADO SPRINGS [FRS; 135 m] | CSU GARDEN OF THE GODS SCOTSMAN WMRP [FRS; 236 m]</t>
  </si>
  <si>
    <t xml:space="preserve">S05484</t>
  </si>
  <si>
    <t xml:space="preserve">3755 MARK DABLING</t>
  </si>
  <si>
    <t xml:space="preserve">RBM PRECISION METAL PRODUCTS INC (1988-1990; SIC 3444)</t>
  </si>
  <si>
    <t xml:space="preserve">RBM PRECISION METAL PRODUCTS INC (1988)</t>
  </si>
  <si>
    <t xml:space="preserve">CSU MONUMENT CREEK AT GOOSE GOSSAGE PARK [FRS; 9 m]</t>
  </si>
  <si>
    <t xml:space="preserve">PIKES PEAK STEEL, LLC</t>
  </si>
  <si>
    <t xml:space="preserve">S05489</t>
  </si>
  <si>
    <t xml:space="preserve">918 S WAHSATCH</t>
  </si>
  <si>
    <t xml:space="preserve">PAs RP Ae SHEET (1988; SIC 3444)</t>
  </si>
  <si>
    <t xml:space="preserve">PAs RP Ae SHEET (1988)</t>
  </si>
  <si>
    <t xml:space="preserve">DRAPER COMMONS – SUMNER BUILDING [FRS; 59 m] | CENTRAL UNIFORM [FRS; 112 m] | SHOOKS RUN APARTMENTS [FRS; 219 m] | BODY SHOP [FRS; 242 m]</t>
  </si>
  <si>
    <t xml:space="preserve">S05505</t>
  </si>
  <si>
    <t xml:space="preserve">2250 JANITELL RD</t>
  </si>
  <si>
    <t xml:space="preserve">TRANS-COLORADO CONCRETE INC (1988; SIC 2862,3273,3273)</t>
  </si>
  <si>
    <t xml:space="preserve">TRANS-COLORADO CONCRETE INC (1988)</t>
  </si>
  <si>
    <t xml:space="preserve">PETE LIEN - JANITELL ROAD CONCRETE FACIL [FRS] (address match)</t>
  </si>
  <si>
    <t xml:space="preserve">INMOS CORP, DIV/ SGS-THOMSON MICRO INC</t>
  </si>
  <si>
    <t xml:space="preserve">S05511</t>
  </si>
  <si>
    <t xml:space="preserve">4401 MARK DABLING BIVD</t>
  </si>
  <si>
    <t xml:space="preserve">SOREE AUTOMOTIVE (1988; SIC 3714) | WHITE AUTOMOTIVE CORP (1990; SIC 3714)</t>
  </si>
  <si>
    <t xml:space="preserve">SOREE AUTOMOTIVE (1988) | WHITE AUTOMOTIVE CORP (1990)</t>
  </si>
  <si>
    <t xml:space="preserve">SOLMETEX, LLC [FRS; 36 m]</t>
  </si>
  <si>
    <t xml:space="preserve">QUALTEK MANUFACTURING INCORPORATED</t>
  </si>
  <si>
    <t xml:space="preserve">SOLMETEX, LLC</t>
  </si>
  <si>
    <t xml:space="preserve">S06042</t>
  </si>
  <si>
    <t xml:space="preserve">8250 CESSNA DR</t>
  </si>
  <si>
    <t xml:space="preserve">PEYTON</t>
  </si>
  <si>
    <t xml:space="preserve">80831</t>
  </si>
  <si>
    <t xml:space="preserve">TREATMENT EQUIP JENSEN AIRCRAFT (1988; SIC 3728)</t>
  </si>
  <si>
    <t xml:space="preserve">TREATMENT EQUIP JENSEN AIRCRAFT (1988) | JENSEN AIRCRAFT (1992)</t>
  </si>
  <si>
    <t xml:space="preserve">KIRKWOOD AVIATION [FRS; 23 m]</t>
  </si>
  <si>
    <t xml:space="preserve">ACCUFIX CO</t>
  </si>
  <si>
    <t xml:space="preserve">S06281</t>
  </si>
  <si>
    <t xml:space="preserve">2150 GARDEN OF GODS</t>
  </si>
  <si>
    <t xml:space="preserve">THE HOTSY CORP (1990; SIC 2819,3561,3589)</t>
  </si>
  <si>
    <t xml:space="preserve">THE HOTSY CORP (1990)</t>
  </si>
  <si>
    <t xml:space="preserve">$1.89 SUPER QUALITY DRY CLEANERS [FRS; 12 m]</t>
  </si>
  <si>
    <t xml:space="preserve">S06940</t>
  </si>
  <si>
    <t xml:space="preserve">312 S WAHSATCH</t>
  </si>
  <si>
    <t xml:space="preserve">TITUS IRONWORK CO INC (1992; SIC 3446)</t>
  </si>
  <si>
    <t xml:space="preserve">TITUS IRONWORK CO INC (1992)</t>
  </si>
  <si>
    <t xml:space="preserve">COLORADO WINDOW AND DOOR COMPANY [FRS; 16 m]</t>
  </si>
  <si>
    <t xml:space="preserve">S01557</t>
  </si>
  <si>
    <t xml:space="preserve">121 S ROBINSON AVE</t>
  </si>
  <si>
    <t xml:space="preserve">VITAL EARTH PRODUCTS INC (1967-1970; SIC 2872,2879,2421) | MAN-AN-SO CORPORATION (1974; SIC 2874,2819) | EVAN. CORPORATION (1980-1983; SIC 2874,2819)</t>
  </si>
  <si>
    <t xml:space="preserve">VITAL EARTH PRODUCTS INC (1967) | MAN-AN-SO CORPORATION (1974) | EVAN. CORPORATION (1980)</t>
  </si>
  <si>
    <t xml:space="preserve">PERSOLITE PRODUCTS INC PERSOLITE PLT [FRS; 29 m]</t>
  </si>
  <si>
    <t xml:space="preserve">S06570</t>
  </si>
  <si>
    <t xml:space="preserve">310 S UNION</t>
  </si>
  <si>
    <t xml:space="preserve">MURCO WALL PRODUCTS (1990; SIC 2899)</t>
  </si>
  <si>
    <t xml:space="preserve">MURCO WALL PRODUCTS (1990)</t>
  </si>
  <si>
    <t xml:space="preserve">MURPHY WALL PRODUCTS - FLORENCE [FRS; 55 m] | LANGSTON CONCRETE - FLORENCE SAND/GRAVEL [FRS; 90 m]</t>
  </si>
  <si>
    <t xml:space="preserve">S01560</t>
  </si>
  <si>
    <t xml:space="preserve">317 RAILROAD AVE</t>
  </si>
  <si>
    <t xml:space="preserve">CROSS JEWELRY (1968-1980; SIC 3961,3079) | F M CROSS JEWELRY INC (1983; SIC 3961,3079)</t>
  </si>
  <si>
    <t xml:space="preserve">CROSS JEWELRY (1967) | F M CROSS JEWELRY INC (1983)</t>
  </si>
  <si>
    <t xml:space="preserve">PRUETT AND ASSOCIATES [FRS; 27 m] | 111 E 3RD AVE [FRS; 35 m]</t>
  </si>
  <si>
    <t xml:space="preserve">Rifle Creek Movie Theater</t>
  </si>
  <si>
    <t xml:space="preserve">FOURTH STREET DRYCLEANING &amp; LAUNDROMAT</t>
  </si>
  <si>
    <t xml:space="preserve">S00401</t>
  </si>
  <si>
    <t xml:space="preserve">5575 VANCE</t>
  </si>
  <si>
    <t xml:space="preserve">1965;1968;1973</t>
  </si>
  <si>
    <t xml:space="preserve">ARVADA [RON WORKS + MACHINE SHOP (1965; SIC 3499) | WILLIAMS, ET (1968; SIC 3441) |  (1973; SIC 3441)</t>
  </si>
  <si>
    <t xml:space="preserve">ARVADA [RON WORKS + MACHINE SHOP (1965) | WILLIAMS, ET (1968) |  (1973)</t>
  </si>
  <si>
    <t xml:space="preserve">ARVADA OLD TOWN TRANSIT HUB [FRS; 6 m]</t>
  </si>
  <si>
    <t xml:space="preserve">ARVADA PARKS</t>
  </si>
  <si>
    <t xml:space="preserve">S00403</t>
  </si>
  <si>
    <t xml:space="preserve">8090 W 55TH PL</t>
  </si>
  <si>
    <t xml:space="preserve">AUTCMATIC FIRE CONTROL CORP. (1965; SIC 3569)</t>
  </si>
  <si>
    <t xml:space="preserve">AUTCMATIC FIRE CONTROL CORP. (1965)</t>
  </si>
  <si>
    <t xml:space="preserve">WATER TOWER APARTMENTS [FRS; 152 m] | THE RESERVE [FRS; 192 m]</t>
  </si>
  <si>
    <t xml:space="preserve">S00825</t>
  </si>
  <si>
    <t xml:space="preserve">1620 SHERIDAN BLVD</t>
  </si>
  <si>
    <t xml:space="preserve">GIBBS, EARL (1966; SIC 3559)</t>
  </si>
  <si>
    <t xml:space="preserve">GIBBS, EARL (1966)</t>
  </si>
  <si>
    <t xml:space="preserve">ALTA SLOANS LAKE [FRS; 9 m]</t>
  </si>
  <si>
    <t xml:space="preserve">AMORI AUTO REFININSHING</t>
  </si>
  <si>
    <t xml:space="preserve">S01099</t>
  </si>
  <si>
    <t xml:space="preserve">9550 W 15TH PL</t>
  </si>
  <si>
    <t xml:space="preserve">AUTOMATION CEVELOPMENT CO (1967-1974; SIC 3559,3591)</t>
  </si>
  <si>
    <t xml:space="preserve">AUTOMATION DEVELOPMENT CO (1966) | HIRSH GRAPHICS ENTERPRISES INC (1983)</t>
  </si>
  <si>
    <t xml:space="preserve">HIRSCH GRAPHICS ENT INC [FRS; name match, 45 m] | HIRSCH GRAPHICS ENT INC [FRS] (address match)</t>
  </si>
  <si>
    <t xml:space="preserve">COLORADO SCHOOL OF TRADES</t>
  </si>
  <si>
    <t xml:space="preserve">S01104</t>
  </si>
  <si>
    <t xml:space="preserve">6349 W MISSISSIPPI</t>
  </si>
  <si>
    <t xml:space="preserve">HIRATSUKA FENCES (1966-1970; SIC 3496) | HIRATSUKA FENCES (1968; SIC 3481)</t>
  </si>
  <si>
    <t xml:space="preserve">HIRATSUKA FENCES (1966) | HIRATSUKA FENCES (1968)</t>
  </si>
  <si>
    <t xml:space="preserve">WEST METRO FIRE RESERVE BUILDING [FRS; 36 m]</t>
  </si>
  <si>
    <t xml:space="preserve">S01111</t>
  </si>
  <si>
    <t xml:space="preserve">11794 APPLEWOOD KNOLLS D</t>
  </si>
  <si>
    <t xml:space="preserve">MILE HIGH PLASTICS (1966; SIC 3441)</t>
  </si>
  <si>
    <t xml:space="preserve">MILE HIGH PLASTICS (1966)</t>
  </si>
  <si>
    <t xml:space="preserve">SOLANA STAPLETON [FRS; 246 m]</t>
  </si>
  <si>
    <t xml:space="preserve">S01112</t>
  </si>
  <si>
    <t xml:space="preserve">1520 DUDLEY</t>
  </si>
  <si>
    <t xml:space="preserve">WALRATH HEATING # AIR CONDITICNING CO (1967-1970; SIC 3454) | WALRATH HEATING # AIR CONDITIONING CO GREEN MCUNTAIN CAMPER MFC (1968; SIC 3444,3791)</t>
  </si>
  <si>
    <t xml:space="preserve">WALRATH HEATING + AIR CONDITIONING CO (1966) | WALRATH HEATING # AIR CONDITIONING CO GREEN MCUNTAIN CAMPER MFC (1968)</t>
  </si>
  <si>
    <t xml:space="preserve">GLEN ANIMAL HOSPITAL (LEE R PHILLIPS DVM [FRS; 15 m]</t>
  </si>
  <si>
    <t xml:space="preserve">8810 W COLFAX AVE</t>
  </si>
  <si>
    <t xml:space="preserve">SCREEN VISIONS</t>
  </si>
  <si>
    <t xml:space="preserve">S01443</t>
  </si>
  <si>
    <t xml:space="preserve">1508 HARLAN</t>
  </si>
  <si>
    <t xml:space="preserve">GLAZIER, ROY» IRON + BODY SHOP (1967; SIC 3446,3591)</t>
  </si>
  <si>
    <t xml:space="preserve">GLAZIER, ROY» IRON + BODY SHOP (1967)</t>
  </si>
  <si>
    <t xml:space="preserve">GRADING OF LOT [FRS; 15 m]</t>
  </si>
  <si>
    <t xml:space="preserve">5800 W COLFAX</t>
  </si>
  <si>
    <t xml:space="preserve">NOLAN'S RV &amp; MARINE</t>
  </si>
  <si>
    <t xml:space="preserve">S01870</t>
  </si>
  <si>
    <t xml:space="preserve">7518 GRANDVIEW AVE</t>
  </si>
  <si>
    <t xml:space="preserve">ADCO HEATING + SHEET METAL (1973-1977; SIC 3444) | ADCO HEATING + SHEET METAL 0 COBOGURN OWNER (1974; SIC 3444)</t>
  </si>
  <si>
    <t xml:space="preserve">SUBURBAN PRESS INC (1968) | ADCO HEATING + SHEET METAL (1973) | AuTO TROL 2751 COMMERCIAL PRINTING, LETTERPRESS (1973) | ADCO HEATING + SHEET METAL 0 COBOGURN OWNER (1974) | DEE JOHN UPHOLSTERY INC (1983)</t>
  </si>
  <si>
    <t xml:space="preserve">CULLIGAN CONSTRUCTION CO [FRS; 5 m]</t>
  </si>
  <si>
    <t xml:space="preserve">S01882</t>
  </si>
  <si>
    <t xml:space="preserve">1315 LAMAR</t>
  </si>
  <si>
    <t xml:space="preserve">1968;1977;1980;1988</t>
  </si>
  <si>
    <t xml:space="preserve">DENVER PLASTICS INC (1968-1980; SIC 3079,3259) | DREW FOAM OF COLO (1988; SIC 3086)</t>
  </si>
  <si>
    <t xml:space="preserve">DENVER PLASTICS INC (1968) | DREW FOAM OF COLO (1988)</t>
  </si>
  <si>
    <t xml:space="preserve">STYRO-MOLDERS CORP [FRS; 7 m]</t>
  </si>
  <si>
    <t xml:space="preserve">S02126</t>
  </si>
  <si>
    <t xml:space="preserve">3150 YOUNGFIELD</t>
  </si>
  <si>
    <t xml:space="preserve">ALPLNE WESTERN INC (1970; SIC 3567,3559)</t>
  </si>
  <si>
    <t xml:space="preserve">ALPLNE WESTERN INC (1970)</t>
  </si>
  <si>
    <t xml:space="preserve">YOUNGFIELD STREET BEAUTIFICATION [FRS; 25 m] | LG EVERIST INC [FRS; 39 m]</t>
  </si>
  <si>
    <t xml:space="preserve">32ND AND YOUNGFIELD</t>
  </si>
  <si>
    <t xml:space="preserve">AMOCO GAS STA NO 8611</t>
  </si>
  <si>
    <t xml:space="preserve">S02131</t>
  </si>
  <si>
    <t xml:space="preserve">5200 W COLFAX</t>
  </si>
  <si>
    <t xml:space="preserve">SPORTSMAN TRAIL CYCLE MFG CO (1970; SIC 3751)</t>
  </si>
  <si>
    <t xml:space="preserve">SPORTSMAN TRAIL CYCLE MFG CO (1970)</t>
  </si>
  <si>
    <t xml:space="preserve">PT 22843 - SHERIDAN BLVD IMPROVEMENT - 13TH TO 29TH AVE [FRS; 13 m] | LALEH ENTERPRISES - 7-ELEVEN #39183 [FRS; 29 m]</t>
  </si>
  <si>
    <t xml:space="preserve">WALGREENS STORE #9657</t>
  </si>
  <si>
    <t xml:space="preserve">S02178</t>
  </si>
  <si>
    <t xml:space="preserve">4250 W 96TH WAY</t>
  </si>
  <si>
    <t xml:space="preserve">AMERICAN AIR DUCT MFG CORP (1973; SIC 3444)</t>
  </si>
  <si>
    <t xml:space="preserve">AMERICAN AIR DUCT MFG CORP (1973)</t>
  </si>
  <si>
    <t xml:space="preserve">DHB ROSE CONSTRUCTION LLC [FRS; 223 m]</t>
  </si>
  <si>
    <t xml:space="preserve">S02608</t>
  </si>
  <si>
    <t xml:space="preserve">11503 W COLFAX</t>
  </si>
  <si>
    <t xml:space="preserve">NEWSLETTERS, BOOKLE KATHYS DRAPERIES (1988; SIC 2891)</t>
  </si>
  <si>
    <t xml:space="preserve">KATHYS DRAPERIES (1973) | KATHYS ORAPERIES (1980) | MR ROBERTS PRINTING INC. (1983) | NEWSLETTERS, BOOKLE KATHYS DRAPERIES (1988) | PRODUCTS THE MINUTEMAN PRESS (1988) | LAKEWOOD, CONT. (1992)</t>
  </si>
  <si>
    <t xml:space="preserve">MINUTEMAN PRESS INC [FRS; name match, 31 m] | GRAF CLEANERS [FRS; 8 m]</t>
  </si>
  <si>
    <t xml:space="preserve">WENCO INDUSTRIES INC, DBA MIDAS</t>
  </si>
  <si>
    <t xml:space="preserve">S02747</t>
  </si>
  <si>
    <t xml:space="preserve">4250 W 56TH WAY</t>
  </si>
  <si>
    <t xml:space="preserve">AMERICAN AIR CUCT MFG CORP (1974-1983; SIC 3444,3494)</t>
  </si>
  <si>
    <t xml:space="preserve">AMERICAN AIR CUCT MFG CORP (1974)</t>
  </si>
  <si>
    <t xml:space="preserve">FASTRACKS GOLD LINE [FRS; 132 m]</t>
  </si>
  <si>
    <t xml:space="preserve">S03053</t>
  </si>
  <si>
    <t xml:space="preserve">6020 W 99TH AVE</t>
  </si>
  <si>
    <t xml:space="preserve">¢ TRON WORKS (1977; SIC 3599,3511,3433) | ZOT MANUFACTURING CO SALES # SERVICE DIV (1980; SIC 3499)</t>
  </si>
  <si>
    <t xml:space="preserve">AUTOMATED CCATROLS INC (1974) | ¢ TRON WORKS (1977) | POLYCADENCE INC (1980) | TEMPTEE BRAND STEAK (1980) | ZOT MANUFACTURING CO SALES # SERVICE DIV (1980)</t>
  </si>
  <si>
    <t xml:space="preserve">WESTMINSTER TEMPORARY PUBLIC ACCESS TRAILER [FRS; 235 m]</t>
  </si>
  <si>
    <t xml:space="preserve">S03061</t>
  </si>
  <si>
    <t xml:space="preserve">5617 NEWLAND WAY</t>
  </si>
  <si>
    <t xml:space="preserve">JM FABRICATION INC (1983-1990; SIC 3551,3499) | SCHMIDT PRODUCTS CO (1983-1990; SIC 2842)</t>
  </si>
  <si>
    <t xml:space="preserve">HUCK'S CANDY CO 2752 COMMERCIAL PRINTING, LITHOGRAPHIC (1974) | K + H CONSTRUCTION CO (1974) | § @ FABRECATION INC (1980) | MCGOVERNS TYRESETTING (1980) | ROUNTAIN STATES CABINETS (1980) | JM FABRICATION INC (1983) | SCHMIDT PRODUCTS CO (1983) | MCGOVERN'S GRAPHIC SERVICE (1990)</t>
  </si>
  <si>
    <t xml:space="preserve">SCHMIDT PRODUCTS CO [FRS; name match, 122 m] | MCGOVERNS GRAPHIC SERVICE [FRS; name match, 199 m]</t>
  </si>
  <si>
    <t xml:space="preserve">ARVADA TREATMENT CENTER LLC</t>
  </si>
  <si>
    <t xml:space="preserve">S03069</t>
  </si>
  <si>
    <t xml:space="preserve">6799 WW MISSISSIPPI AVE</t>
  </si>
  <si>
    <t xml:space="preserve">FELLET ENTERPRISES (1983; SIC 3531)</t>
  </si>
  <si>
    <t xml:space="preserve">SKYLINE DRAPERIES (1974) | HONEY GLAZE FOOD PRCDUCTS INC (1974) | FELLET ENTERPRISES (1983) | COMPUTER DISKETTES ALLAN PRESS INC. (1988) | GOLD SPIKE PRINTING (1990)</t>
  </si>
  <si>
    <t xml:space="preserve">TWIN STAR ENERGY - TSE #715 [FRS; 39 m] | CONOCO 6362 [FRS; 39 m]</t>
  </si>
  <si>
    <t xml:space="preserve">D&amp;S AUTO</t>
  </si>
  <si>
    <t xml:space="preserve">FURNITURE REFINISHING INC</t>
  </si>
  <si>
    <t xml:space="preserve">S03428</t>
  </si>
  <si>
    <t xml:space="preserve">128 S TAFT</t>
  </si>
  <si>
    <t xml:space="preserve">ALF PRODUCTS (1977; SIC 3573,3674)</t>
  </si>
  <si>
    <t xml:space="preserve">ALF PRODUCTS (1977)</t>
  </si>
  <si>
    <t xml:space="preserve">BENRAY DESIGNER MARBLE [FRS; 14 m] | DESIGNER MARBLE DBA BENRAY DESIGNER MARB [FRS; 14 m]</t>
  </si>
  <si>
    <t xml:space="preserve">St. Anthony Hospital - Centura Health</t>
  </si>
  <si>
    <t xml:space="preserve">S04164</t>
  </si>
  <si>
    <t xml:space="preserve">5525 HARLAN</t>
  </si>
  <si>
    <t xml:space="preserve">PERMAGREEN PRODUCTS CO (1990; SIC 2875)</t>
  </si>
  <si>
    <t xml:space="preserve">CUSTOM WOOD ¢ LAMINATE INC (1980) | PERMAGREEN PRODUCTS CO (1990)</t>
  </si>
  <si>
    <t xml:space="preserve">PERMAGREEN PRODUCTS [FRS; name match, 27 m]</t>
  </si>
  <si>
    <t xml:space="preserve">Sterling Crane company</t>
  </si>
  <si>
    <t xml:space="preserve">GO GREEN RECYCLING DBA SUSTAINABILITY-WORKSHOP</t>
  </si>
  <si>
    <t xml:space="preserve">S04197</t>
  </si>
  <si>
    <t xml:space="preserve">626 MOSS ST</t>
  </si>
  <si>
    <t xml:space="preserve">GLASSCRAFT, ENC. (1980-1990; SIC 3229,3559)</t>
  </si>
  <si>
    <t xml:space="preserve">GLASSCRAFT, ENC. (1980)</t>
  </si>
  <si>
    <t xml:space="preserve">EAP GLASS [FRS; 26 m]</t>
  </si>
  <si>
    <t xml:space="preserve">HANS MANN - OWNER</t>
  </si>
  <si>
    <t xml:space="preserve">S04212</t>
  </si>
  <si>
    <t xml:space="preserve">12520 W CEDAR OR</t>
  </si>
  <si>
    <t xml:space="preserve">GLEMATICS, INC. (1980; SIC 3469,3544) | DIEMATICSs INC. (1983; SIC 3469,3544,3541) | STU BLATTNER INC (1988-1990; SIC 3532)</t>
  </si>
  <si>
    <t xml:space="preserve">GLEMATICS, INC. (1980) | GREEN MOUNTAIN PHOTO ENC (1980) | DIEMATICSs INC. (1983) | STU BLATTNER INC (1988)</t>
  </si>
  <si>
    <t xml:space="preserve">NORANDA EXPLORATION INC. [FRS; 35 m]</t>
  </si>
  <si>
    <t xml:space="preserve">S04239</t>
  </si>
  <si>
    <t xml:space="preserve">10501 W 48TH ST</t>
  </si>
  <si>
    <t xml:space="preserve">APOLLO MFG (1980; SIC 3792,3714)</t>
  </si>
  <si>
    <t xml:space="preserve">APOLLO MFG (1980) | JACKSON SOUND PRODUCTIONS LID (1992)</t>
  </si>
  <si>
    <t xml:space="preserve">FORMER EXXON NO 6 2929 [FRS; 202 m] | APRO DBA UNITED PACIFIC - MY GOODS #6523 [FRS; 202 m] | DIAMOND SHAMROCK 657 [FRS; 203 m] | AMERICAN INN [FRS; 219 m] | KIPLING VILLAGE APARTMENTS [FRS; 248 m] | I-70 AND KIPLING [FRS; 249 m]</t>
  </si>
  <si>
    <t xml:space="preserve">S05012</t>
  </si>
  <si>
    <t xml:space="preserve">5353 W 56TH AVE</t>
  </si>
  <si>
    <t xml:space="preserve">B10 - GAS OF COLORADO (1983; SIC 3589,3499) | C F + R STEEL FABRICATING CO (1983; SIC 3443,3444) | MILE-HI MACHINE INCORPORATED (1983; SIC 3599)</t>
  </si>
  <si>
    <t xml:space="preserve">B10 - GAS OF COLORADO (1983) | C F + R STEEL FABRICATING CO (1983) | MILE-HI MACHINE INCORPORATED (1983)</t>
  </si>
  <si>
    <t xml:space="preserve">COLORADO PRECISION MACHINING [FRS; 45 m]</t>
  </si>
  <si>
    <t xml:space="preserve">TWINS INN</t>
  </si>
  <si>
    <t xml:space="preserve">VALLEY MOBILE HOME PARK</t>
  </si>
  <si>
    <t xml:space="preserve">S05020</t>
  </si>
  <si>
    <t xml:space="preserve">6118 W 55TH AVE</t>
  </si>
  <si>
    <t xml:space="preserve">DEBELL MACHINE PRODUCTS (1983; SIC 3451)</t>
  </si>
  <si>
    <t xml:space="preserve">DEBELL MACHINE PRODUCTS (1983) | AD ART SIGNS INC (1990) | E+J CABINETS (1990)</t>
  </si>
  <si>
    <t xml:space="preserve">E&amp;J CABINETS [FRS; name match, 181 m] | TRADE LITHO  &amp; DIE CUTTING [FRS; 28 m] | EXCALIBUR EXTERIORS [FRS; 30 m]</t>
  </si>
  <si>
    <t xml:space="preserve">ADVANCED SURFACE TECHNOLOGIES, INC.</t>
  </si>
  <si>
    <t xml:space="preserve">WONDER WOODS OF COLORADO, INC.</t>
  </si>
  <si>
    <t xml:space="preserve">S05090</t>
  </si>
  <si>
    <t xml:space="preserve">5190 PARFET ST</t>
  </si>
  <si>
    <t xml:space="preserve">COLORADO WATER CONDITIONING INC (1983; SIC 3589)</t>
  </si>
  <si>
    <t xml:space="preserve">COLORADO WATER CONDITIONING INC (1983)</t>
  </si>
  <si>
    <t xml:space="preserve">INTEGRATED RES - IM 70 SNOW MELTER [FRS; 9 m] | INTEGRATED RES - IM - 69 SNOW MELTER [FRS; 9 m] | INTEGRATED RES - IM - 69 SNOW MELTER [FRS] (address match) | INTEGRATED RES - IM 70 SNOW MELTER [FRS] (address match)</t>
  </si>
  <si>
    <t xml:space="preserve">ABSOLUTE CONTROL SYSTEMS</t>
  </si>
  <si>
    <t xml:space="preserve">S06119</t>
  </si>
  <si>
    <t xml:space="preserve">5055 W 58TH AVE</t>
  </si>
  <si>
    <t xml:space="preserve">CCW PRODUCTS INC (1990; SIC 3089)</t>
  </si>
  <si>
    <t xml:space="preserve">CCW PRODUCTS INC (1990)</t>
  </si>
  <si>
    <t xml:space="preserve">DAWN INDUSTRIES, INC. [FRS; 13 m] | LDK ENTERPRISES, LLC [FRS; 39 m] | DAWN INDUSTRIES, INC. [FRS] (address match)</t>
  </si>
  <si>
    <t xml:space="preserve">GREAT AMERICAN TRANSMISSION</t>
  </si>
  <si>
    <t xml:space="preserve">S06621</t>
  </si>
  <si>
    <t xml:space="preserve">15000 W 6TH AVE</t>
  </si>
  <si>
    <t xml:space="preserve">GEOMATION INC (1990; SIC 3577,3699)</t>
  </si>
  <si>
    <t xml:space="preserve">GEOMATION INC (1990)</t>
  </si>
  <si>
    <t xml:space="preserve">DIVERSIFIED OPER- REG 7 REPORTING [FRS] (address match)</t>
  </si>
  <si>
    <t xml:space="preserve">LANDFILL NEAR CIMARRON WEST</t>
  </si>
  <si>
    <t xml:space="preserve">S07070</t>
  </si>
  <si>
    <t xml:space="preserve">7885 W 6TH AVE</t>
  </si>
  <si>
    <t xml:space="preserve">A&amp;B BOWUNG SUPPLY (1992; SIC 3089)</t>
  </si>
  <si>
    <t xml:space="preserve">A&amp;B BOWUNG SUPPLY (1992)</t>
  </si>
  <si>
    <t xml:space="preserve">24622 US6: WADSWORTH PHASE 3 SW QUAD [FRS; 35 m]</t>
  </si>
  <si>
    <t xml:space="preserve">F A HECKENDORF INC</t>
  </si>
  <si>
    <t xml:space="preserve">S05711</t>
  </si>
  <si>
    <t xml:space="preserve">54 GIRARD ST</t>
  </si>
  <si>
    <t xml:space="preserve">STONEAGE INC (1988-1992; SIC 3532)</t>
  </si>
  <si>
    <t xml:space="preserve">STONEAGE INC (1988)</t>
  </si>
  <si>
    <t xml:space="preserve">STONEAGE INC. [FRS; name match, 24 m] | COCA COLA OF DURANGO [FRS; 39 m] | STONEAGE INC. [FRS] (address match)</t>
  </si>
  <si>
    <t xml:space="preserve">UNITED PARCEL SERVICE - DURANGO</t>
  </si>
  <si>
    <t xml:space="preserve">S01142</t>
  </si>
  <si>
    <t xml:space="preserve">155 LINDEN</t>
  </si>
  <si>
    <t xml:space="preserve">BLACK*S GLASS (1970-1974; SIC 3231,2394,3442)</t>
  </si>
  <si>
    <t xml:space="preserve">BLACK'S GLASS (1966) | DISPLAYS THE TYPE EXCHANGE (1988) | THE TYPE EXCHANGE (1990)</t>
  </si>
  <si>
    <t xml:space="preserve">R &amp; R BLACK'S GLASS [FRS; name match, 225 m] | FR DEVELOPMENT LTD [FRS; 15 m] | OLD TOWN SQUARE RENOVATION [FRS; 24 m] | OLD TOWN SQUARE PROPERTIES, INC. [FRS; 46 m]</t>
  </si>
  <si>
    <t xml:space="preserve">PARAMOUNT LAUNDRY</t>
  </si>
  <si>
    <t xml:space="preserve">HISTORIC LINDEN HOTEL</t>
  </si>
  <si>
    <t xml:space="preserve">S01148</t>
  </si>
  <si>
    <t xml:space="preserve">359 LINDEN</t>
  </si>
  <si>
    <t xml:space="preserve">OR THERN COL! 0 FEEDERS SUPPLY INC c (1983; SIC 3533,3543,3241)</t>
  </si>
  <si>
    <t xml:space="preserve">FEEDER*S SUPPLY CO (1966) | FEEDER*S SUPPLY CO 2421 SAWMILLS + PLANING PILLS (1968) |  (1974) | NORTHERN COLG FEBOER*S SUPPLY INC (1980) | OR THERN COL! 0 FEEDERS SUPPLY INC c (1983)</t>
  </si>
  <si>
    <t xml:space="preserve">XYLEM DESIGN INC [FRS; 33 m]</t>
  </si>
  <si>
    <t xml:space="preserve">Legacy Senior Residences</t>
  </si>
  <si>
    <t xml:space="preserve">S01151</t>
  </si>
  <si>
    <t xml:space="preserve">1830 LA PORTE</t>
  </si>
  <si>
    <t xml:space="preserve">1966;1970;1980;1983;1988;1990</t>
  </si>
  <si>
    <t xml:space="preserve">FORNEY INDUSTRIES INC (1966-1990; SIC 3599)</t>
  </si>
  <si>
    <t xml:space="preserve">FORNEY INDUSTRIES INC (1966) | FORNEY INDUSTRIES INC 3444 SHEET METAL WORK (1968) | COLORADO PRINTING AND OFFICE SUPPLY (1977)</t>
  </si>
  <si>
    <t xml:space="preserve">LAPORTE EAST &amp; WEST CORRIDOR [FRS; 193 m]</t>
  </si>
  <si>
    <t xml:space="preserve">S01163</t>
  </si>
  <si>
    <t xml:space="preserve">363 JEFFERSON ST</t>
  </si>
  <si>
    <t xml:space="preserve">WOODWARD GOVERNOR CO (1966; SIC 3729)</t>
  </si>
  <si>
    <t xml:space="preserve">WOODWARD GOVERNOR CO (1966)</t>
  </si>
  <si>
    <t xml:space="preserve">R &amp; R BLACK'S GLASS [FRS; 5 m]</t>
  </si>
  <si>
    <t xml:space="preserve">S01905</t>
  </si>
  <si>
    <t xml:space="preserve">205 LA PORTE AVE</t>
  </si>
  <si>
    <t xml:space="preserve">1968;1973;1980;1983</t>
  </si>
  <si>
    <t xml:space="preserve">FORT COLLINS SHEET METAL CO (1968-1983; SIC 3444)</t>
  </si>
  <si>
    <t xml:space="preserve">FORT COLLINS SHEET METAL CO (1968) | POUDRE VALLEY CREANERY CO (1983)</t>
  </si>
  <si>
    <t xml:space="preserve">FORT COLLINS UTILITIES ADMIN BLDG [FRS; 31 m]</t>
  </si>
  <si>
    <t xml:space="preserve">S01910</t>
  </si>
  <si>
    <t xml:space="preserve">2003 W 8TH</t>
  </si>
  <si>
    <t xml:space="preserve">1968;1970;1992</t>
  </si>
  <si>
    <t xml:space="preserve">sa . re . age (1968; SIC 3591) | GROB, RON, COMPANY (1970; SIC 3591,3451) | CYCLE TOTE INC (1992; SIC 3751,2431) | UNITED PLASTICS TECHNOLOGY CO (1992; SIC 3069,3081)</t>
  </si>
  <si>
    <t xml:space="preserve">sa . re . age (1968) | GROB, RON, COMPANY (1970) | O AND I PREHUNG DOORS (1980) | CYCLE TOTE INC (1992) | UNITED PLASTICS TECHNOLOGY CO (1992)</t>
  </si>
  <si>
    <t xml:space="preserve">GREEN UP NATURAL PETS INC [FRS; 37 m]</t>
  </si>
  <si>
    <t xml:space="preserve">USBR LOVELAND SERVICE AREA</t>
  </si>
  <si>
    <t xml:space="preserve">ALL AMERICAN HOMES OF COLORADO LLC</t>
  </si>
  <si>
    <t xml:space="preserve">WESTERN AREA POWER AD LOVELAND FLD BRN</t>
  </si>
  <si>
    <t xml:space="preserve">S02138</t>
  </si>
  <si>
    <t xml:space="preserve">255 MOUNTAIN AVE</t>
  </si>
  <si>
    <t xml:space="preserve">1970;1973;1974;1977;1980;1983;1990</t>
  </si>
  <si>
    <t xml:space="preserve">DANS TRALLER SUPPLY (1970-1990; SIC 3791)</t>
  </si>
  <si>
    <t xml:space="preserve">DANS TRALLER SUPPLY (1970)</t>
  </si>
  <si>
    <t xml:space="preserve">SONOCO PRODUCTS COMPANY [FRS; 5 m]</t>
  </si>
  <si>
    <t xml:space="preserve">KEN'S NU WAY CLEANERS</t>
  </si>
  <si>
    <t xml:space="preserve">S02649</t>
  </si>
  <si>
    <t xml:space="preserve">1400 E MULBERRY</t>
  </si>
  <si>
    <t xml:space="preserve">AUTOMATIC DEVICES INC (1973-1977; SIC 3586)</t>
  </si>
  <si>
    <t xml:space="preserve">AUTOMATIC DEVICES INC (1973)</t>
  </si>
  <si>
    <t xml:space="preserve">COLORADO IRON &amp; METAL INC [FRS] (address match)</t>
  </si>
  <si>
    <t xml:space="preserve">S02660</t>
  </si>
  <si>
    <t xml:space="preserve">1618 S COLLEGE</t>
  </si>
  <si>
    <t xml:space="preserve">1973;1977;1980</t>
  </si>
  <si>
    <t xml:space="preserve">VERNS TOP SHOP (1973-1980; SIC 2541,3079)</t>
  </si>
  <si>
    <t xml:space="preserve">VERNS TOP SHOP (1973) | SIGN SHOP THE (1983) | MENU-THE INTL SOFTWARE DATABASE C (1988) | VERN'S TOP SHOP INC (1990)</t>
  </si>
  <si>
    <t xml:space="preserve">ALPINE BANK [FRS; 16 m] | MINI MART - LOAF N JUG 812 [FRS; 18 m] | COLLEGE AVE AND PROSPECT RD INTERSECTION [FRS; 30 m] | CSU IRRIGATION POND [FRS; 30 m] | MIDWEST DIVERS [FRS; 40 m]</t>
  </si>
  <si>
    <t xml:space="preserve">New Method Cleaners</t>
  </si>
  <si>
    <t xml:space="preserve">NEW METHOD CLNRS</t>
  </si>
  <si>
    <t xml:space="preserve">S03102</t>
  </si>
  <si>
    <t xml:space="preserve">400 WW COUNTY RO 10E</t>
  </si>
  <si>
    <t xml:space="preserve">D + G ENTERPRISES (1980-1983; SIC 3599)</t>
  </si>
  <si>
    <t xml:space="preserve">WESTERN ALFALFA CORP (1974) | D + G ENTERPRISES (1980)</t>
  </si>
  <si>
    <t xml:space="preserve">PARKWAY WEST [FRS; 152 m]</t>
  </si>
  <si>
    <t xml:space="preserve">S03108</t>
  </si>
  <si>
    <t xml:space="preserve">1800 E LINCOLN</t>
  </si>
  <si>
    <t xml:space="preserve">PRALON WELDING AND MACHINE (1992; SIC 3599,2791,2752)</t>
  </si>
  <si>
    <t xml:space="preserve">MICRO MEDIC K ROBINSCN pues (1974) | PRALON WELDING AND MACHINE (1992)</t>
  </si>
  <si>
    <t xml:space="preserve">LARIMER ELECTRIC MOTOR CO [FRS; 11 m]</t>
  </si>
  <si>
    <t xml:space="preserve">LT ACTION SCREEN PRINTING, INC</t>
  </si>
  <si>
    <t xml:space="preserve">S03109</t>
  </si>
  <si>
    <t xml:space="preserve">832 E LINCOLN</t>
  </si>
  <si>
    <t xml:space="preserve">ROCKY MTN CULTURED MARBLE INC (1990; SIC 3089)</t>
  </si>
  <si>
    <t xml:space="preserve">SHAMROCK CABINETS INC ld aeenene tavern 60527 (1974) | WALKER WOOD #ROOUCTS (1980) | SYSTEMS ASPEN FOOTWARE (1988) | ROCKY MTN CULTURED MARBLE INC (1990)</t>
  </si>
  <si>
    <t xml:space="preserve">ROCKY MOUNTAIN CULTURED MARBLE INC [FRS; name match, 8 m]</t>
  </si>
  <si>
    <t xml:space="preserve">CRASH CHAMPION - FORT COLLINS LINCOLN</t>
  </si>
  <si>
    <t xml:space="preserve">S03117</t>
  </si>
  <si>
    <t xml:space="preserve">1202 MADISON AVE</t>
  </si>
  <si>
    <t xml:space="preserve">SUPER VACUUM MFG CO (1977; SIC 3564)</t>
  </si>
  <si>
    <t xml:space="preserve"> (1974) | SUPER VACUUM MFG CO (1977)</t>
  </si>
  <si>
    <t xml:space="preserve">CHRISTIAN BROTHERS AUTOMOTIVE CORPORATION [FRS; 177 m] | OREILLY AUTO PARTS STORE [FRS; 248 m]</t>
  </si>
  <si>
    <t xml:space="preserve">S03446</t>
  </si>
  <si>
    <t xml:space="preserve">1017 1ST ST</t>
  </si>
  <si>
    <t xml:space="preserve">FARMCO BUILDENGS INC (1977; SIC 3448)</t>
  </si>
  <si>
    <t xml:space="preserve">FARMCO BUILDENGS INC (1977)</t>
  </si>
  <si>
    <t xml:space="preserve">SKY PETROLEUM  LLC #06368 [FRS; 39 m]</t>
  </si>
  <si>
    <t xml:space="preserve">HARTMAN PRECISION MACHINE INC</t>
  </si>
  <si>
    <t xml:space="preserve">S03477</t>
  </si>
  <si>
    <t xml:space="preserve">2312 OVERLAND TRAIL</t>
  </si>
  <si>
    <t xml:space="preserve">DELEHOY MANUFACTURING (1977; SIC 2542,3799)</t>
  </si>
  <si>
    <t xml:space="preserve">DELEHOY MANUFACTURING (1977)</t>
  </si>
  <si>
    <t xml:space="preserve">LIONS PARK [FRS; 49 m] | BELLVUE TRANSMISSION PIPELINE NORTHERN SEGMENT PH 2 [FRS; 81 m] | LIONS PARK FLOOD REPAIRS [FRS; 105 m] | BRINKS RIVERBANK STABILIZATION [FRS; 213 m]</t>
  </si>
  <si>
    <t xml:space="preserve">S04286</t>
  </si>
  <si>
    <t xml:space="preserve">337 HICKORY ST</t>
  </si>
  <si>
    <t xml:space="preserve">VON MFG CO ENC (1980; SIC 3499) | VON MANUFACTURING CO INC (1990; SIC 3443)</t>
  </si>
  <si>
    <t xml:space="preserve">VON MFG CO ENC (1980) | VON MANUFACTURING CO INC (1990)</t>
  </si>
  <si>
    <t xml:space="preserve">FIBERON INC [FRS; 22 m] | SAGE COMMUNICATION [FRS; 22 m] | SAGE COMMUNICATION [FRS] (address match)</t>
  </si>
  <si>
    <t xml:space="preserve">S04289</t>
  </si>
  <si>
    <t xml:space="preserve">208 COMMERCE DR</t>
  </si>
  <si>
    <t xml:space="preserve">POUDRE VALLEY PRECISION (1990-1992; SIC 3599) | MOBY'S MACHINE SHOP (1992; SIC 3599)</t>
  </si>
  <si>
    <t xml:space="preserve">COLLINS VINYL PRODUCTS (1980) | CHEMAGNETICS INC (1983) | GAMESON LEATHER GOODS (1983) | COLORADO FRAME MFG (1988) | DJ'S WOOD PRESS (1990) | POUDRE VALLEY PRECISION (1990) | MOBY'S MACHINE SHOP (1992)</t>
  </si>
  <si>
    <t xml:space="preserve">BINGHAM HILL CHEESE COMPANY [FRS; 16 m]</t>
  </si>
  <si>
    <t xml:space="preserve">ONSITE ELECTRONICS RECYCLING LLC DBA IT REFRESH</t>
  </si>
  <si>
    <t xml:space="preserve">S04294</t>
  </si>
  <si>
    <t xml:space="preserve">505 9TH ST S E</t>
  </si>
  <si>
    <t xml:space="preserve">COLORADO SCREW MACHINE (1980; SIC 3451,3599)</t>
  </si>
  <si>
    <t xml:space="preserve">COLORADO SCREW MACHINE (1980)</t>
  </si>
  <si>
    <t xml:space="preserve">THE COTTAGE REALTY [FRS; 33 m] | BERTHOUD STATION [FRS; 149 m] | HARVEST RIDGE SOUTH (LOTS 8,9,10 BLOCK 2) [FRS; 175 m] | ZIGGI'S COFFEE [FRS; 182 m] | 7-ELEVEN, INC. - STORE #38887 [FRS; 240 m]</t>
  </si>
  <si>
    <t xml:space="preserve">S04303</t>
  </si>
  <si>
    <t xml:space="preserve">5100 N BOYD LAKE AVE</t>
  </si>
  <si>
    <t xml:space="preserve">RUTLEDGE STEEL (1980; SIC 3441,3449) | RIPSAM MANUFACTURING + FABRICATION (1990; SIC 3441)</t>
  </si>
  <si>
    <t xml:space="preserve">RUTLEDGE STEEL (1980) | RUTLEDGE STEEL 2013 SAUSAGES AND OTHER PREPARED MEATS (1983) | RIPSAM MANUFACTURING + FABRICATION (1990)</t>
  </si>
  <si>
    <t xml:space="preserve">BEATTY CONSTRUCTION SERVICES (BCS) [FRS; 40 m] | LEED FABRICATION [FRS; 50 m] | BOYD LAKE SELF STORAGE [FRS; 61 m] | THE APPROACH LLC [FRS; 63 m]</t>
  </si>
  <si>
    <t xml:space="preserve">S04309</t>
  </si>
  <si>
    <t xml:space="preserve">8317 N FIRST</t>
  </si>
  <si>
    <t xml:space="preserve">WELLINGTON</t>
  </si>
  <si>
    <t xml:space="preserve">80549</t>
  </si>
  <si>
    <t xml:space="preserve">COLORADO CUSTOM COUNTERTOP INC (1980; SIC 3079)</t>
  </si>
  <si>
    <t xml:space="preserve">COLORADO CUSTOM COUNTERTOP INC (1980)</t>
  </si>
  <si>
    <t xml:space="preserve">SCHRADER OIL CO [FRS; 113 m]</t>
  </si>
  <si>
    <t xml:space="preserve">S05113</t>
  </si>
  <si>
    <t xml:space="preserve">605 1ST ST</t>
  </si>
  <si>
    <t xml:space="preserve">MIDWEST PROPANE EQUIPTMENT CO. (1983; SIC 3537,3563) | HIGH COUNTRY PROCO (1988-1992; SIC 3537,3523)</t>
  </si>
  <si>
    <t xml:space="preserve">MIDWEST PROPANE EQUIPTMENT CO. (1983) | HIGH COUNTRY PROCO (1988)</t>
  </si>
  <si>
    <t xml:space="preserve">PORT-A-POUR [FRS; 10 m]</t>
  </si>
  <si>
    <t xml:space="preserve">DISIGNED CONVEYING SYSTEMS INC</t>
  </si>
  <si>
    <t xml:space="preserve">S05313</t>
  </si>
  <si>
    <t xml:space="preserve">290 MOUNTAIN</t>
  </si>
  <si>
    <t xml:space="preserve">SKIS SONOCO PRODUCTS CO (1988; SIC 3599)</t>
  </si>
  <si>
    <t xml:space="preserve">SKIS SONOCO PRODUCTS CO (1988)</t>
  </si>
  <si>
    <t xml:space="preserve">SONOCO PRODUCTS COMPANY [FRS; name match, 37 m]</t>
  </si>
  <si>
    <t xml:space="preserve">S00450</t>
  </si>
  <si>
    <t xml:space="preserve">217 S FRONT ST</t>
  </si>
  <si>
    <t xml:space="preserve">ROYAL CHEMICAL COMPANY (1965; SIC 2871)</t>
  </si>
  <si>
    <t xml:space="preserve">ROYAL CHEMICAL COMPANY (1965)</t>
  </si>
  <si>
    <t xml:space="preserve">CABLE, INC./ PRODUCTION ENGINEERNG [FRS; 23 m] | TENNANT FUNERAL HOME [FRS; 38 m]</t>
  </si>
  <si>
    <t xml:space="preserve">S00453</t>
  </si>
  <si>
    <t xml:space="preserve">216 N 10TH AVE</t>
  </si>
  <si>
    <t xml:space="preserve">STERLING MFG CO, THE (1966; SIC 3599) | STERLING MFG CC (1974; SIC 3699,3546)</t>
  </si>
  <si>
    <t xml:space="preserve">STERLING MFG. CO 27: ~ THE (1965) | STERLING MFG CO, THE (1966) | STERLING MFG COy THE (1968)</t>
  </si>
  <si>
    <t xml:space="preserve">STERLING WATERLINE [FRS; name match, 231 m]</t>
  </si>
  <si>
    <t xml:space="preserve">WALMART SUPERCENTER #924</t>
  </si>
  <si>
    <t xml:space="preserve">S02156</t>
  </si>
  <si>
    <t xml:space="preserve">325 S FRONT</t>
  </si>
  <si>
    <t xml:space="preserve">TNOUSTREAL WELDING # SUPPLY CO (1970; SIC 3522) | INDUSTRIAL WELDING + SUPPLY CC (1974; SIC 3523,3799,3715)</t>
  </si>
  <si>
    <t xml:space="preserve">TNOUSTREAL WELDING # SUPPLY CO (1970) | INDUSTRIAL WELDING + SUPPLY CO DR WATSON (1973) | INDUSTRIAL WELDING + SUPPLY CC (1974)</t>
  </si>
  <si>
    <t xml:space="preserve">CABLE, INC./ PRODUCTION ENGINEERNG [FRS; 34 m]</t>
  </si>
  <si>
    <t xml:space="preserve">S04314</t>
  </si>
  <si>
    <t xml:space="preserve">16178 FRONT AVE</t>
  </si>
  <si>
    <t xml:space="preserve">ATWOOD</t>
  </si>
  <si>
    <t xml:space="preserve">80722</t>
  </si>
  <si>
    <t xml:space="preserve">VALLEY WELDING + SUPPLY INC (1980-1990; SIC 3599)</t>
  </si>
  <si>
    <t xml:space="preserve">VALLEY WELDING + SUPPLY INC (1980)</t>
  </si>
  <si>
    <t xml:space="preserve">VALLEY WELDING AND SUPPLY INC [FRS; name match, 49 m] | VALLEY WELDING AND SUPPLY INC [FRS] (address match)</t>
  </si>
  <si>
    <t xml:space="preserve">S04315</t>
  </si>
  <si>
    <t xml:space="preserve">140 CUCAROLA RD</t>
  </si>
  <si>
    <t xml:space="preserve">C@tT PROOUCTIONS INC (1980; SIC 3715) | COLT PRODUCTIONS (1983; SIC 3715) | INDUSTRIAL WELDING + SUPPLY CO (1983-1990; SIC 3523,3799) | WELSNG4Suppy co (1988; SIC 3523,3799)</t>
  </si>
  <si>
    <t xml:space="preserve">C@tT PROOUCTIONS INC (1980) | COLT PRODUCTIONS (1983) | INDUSTRIAL WELDING + SUPPLY CO (1983) | WELSNG4Suppy co (1988)</t>
  </si>
  <si>
    <t xml:space="preserve">INDUSTRIAL WELDING AND SUPLLY COMPANY [FRS; name match, 223 m] | INDUSTRIAL WELDING AND SUPLLY COMPANY [FRS] (address match)</t>
  </si>
  <si>
    <t xml:space="preserve">STERLING PRODUCTION PLANT</t>
  </si>
  <si>
    <t xml:space="preserve">UNITED PARCEL SERVICE - STERLING</t>
  </si>
  <si>
    <t xml:space="preserve">S05165</t>
  </si>
  <si>
    <t xml:space="preserve">312 HEREFORD AVE</t>
  </si>
  <si>
    <t xml:space="preserve">NICHOLS TILLAGE TOOLS INC (1983-1990; SIC 3469,3462,3523)</t>
  </si>
  <si>
    <t xml:space="preserve">NICHOLS TILLAGE TOOLS INC (1983)</t>
  </si>
  <si>
    <t xml:space="preserve">NICHOLS TILLAGE TOOLS, INC. [FRS] (address match)</t>
  </si>
  <si>
    <t xml:space="preserve">S00462</t>
  </si>
  <si>
    <t xml:space="preserve">200 W OURAY</t>
  </si>
  <si>
    <t xml:space="preserve">COCHRAN OUTOOGR ADVERTISING CO. (1965; SIC 3593)</t>
  </si>
  <si>
    <t xml:space="preserve">COCHRAN OUTOOGR ADVERTISING CO. (1965)</t>
  </si>
  <si>
    <t xml:space="preserve">DOI STORAGE YARD IMPROVEMENT PROJECT [FRS; 39 m]</t>
  </si>
  <si>
    <t xml:space="preserve">ED BOZARTH CHEVROLET BUICK PONTAIC INC</t>
  </si>
  <si>
    <t xml:space="preserve">S01192</t>
  </si>
  <si>
    <t xml:space="preserve">209 N AVE</t>
  </si>
  <si>
    <t xml:space="preserve">HARBERT LUMBER CO (1966; SIC 2851)</t>
  </si>
  <si>
    <t xml:space="preserve">HARBERT LUMBER CO (1966)</t>
  </si>
  <si>
    <t xml:space="preserve">STINKER STORES - STINKER #323 [FRS; 12 m] | CHRISTIAN BROTHERS REAL ESTATE [FRS; 14 m]</t>
  </si>
  <si>
    <t xml:space="preserve">MIDAS MUFFLER &amp; BRAKE</t>
  </si>
  <si>
    <t xml:space="preserve">S02677</t>
  </si>
  <si>
    <t xml:space="preserve">313 UTE AVE</t>
  </si>
  <si>
    <t xml:space="preserve">BKATTON WINDOW CCMPANY (1973; SIC 3442,3444)</t>
  </si>
  <si>
    <t xml:space="preserve">BKATTON WINDOW CCMPANY (1973)</t>
  </si>
  <si>
    <t xml:space="preserve">I-70B GRAND JUNCTION EAST OF 3RD ST. (25637) [FRS; 30 m]</t>
  </si>
  <si>
    <t xml:space="preserve">TABER BODY PAINT &amp; FRAME</t>
  </si>
  <si>
    <t xml:space="preserve">S03504</t>
  </si>
  <si>
    <t xml:space="preserve">670 23 RD</t>
  </si>
  <si>
    <t xml:space="preserve">WESTERN SLOPE IRON + SUPPLY INC (1977-1988; SIC 3499) | fASTEEL (1980; SIC 3429) | WESTERN SLOPE IRON + SUPPLY INC (1990; SIC 3499)</t>
  </si>
  <si>
    <t xml:space="preserve">WESTERN SLOPE IRON + SUPPLY INC (1977) | fASTEEL (1980) | WESTERN SLOPE IRON + SUPPLY INC (1990)</t>
  </si>
  <si>
    <t xml:space="preserve">WESTERN SLOPE IRON &amp; SUPPLY INC [FRS] (address match)</t>
  </si>
  <si>
    <t xml:space="preserve">FORTERRA PRECAST CONCEPTS, INC</t>
  </si>
  <si>
    <t xml:space="preserve">S05189</t>
  </si>
  <si>
    <t xml:space="preserve">2242 HWY 6 50</t>
  </si>
  <si>
    <t xml:space="preserve">SANBORN EQUIPMENT # SUPPLY INC (1983; SIC 3993,3499)</t>
  </si>
  <si>
    <t xml:space="preserve">SANBORN EQUIPMENT # SUPPLY INC (1983)</t>
  </si>
  <si>
    <t xml:space="preserve">MESA ROCK CO [FRS; 91 m] | WESTERN SLOPE IRON &amp; SUPPLY INC [FRS; 108 m] | MINOVA USA INC [FRS; 134 m] | CLAYTON HOMES [FRS; 146 m] | M A CONCRETE CONSTR. -MONUMENT VIEW PIT [FRS; 246 m]</t>
  </si>
  <si>
    <t xml:space="preserve">S05192</t>
  </si>
  <si>
    <t xml:space="preserve">131 N 4TH ST</t>
  </si>
  <si>
    <t xml:space="preserve">TROPHY CASEs THE (1983-1990; SIC 3499,3999,2753)</t>
  </si>
  <si>
    <t xml:space="preserve">TROPHY CASEs THE (1983)</t>
  </si>
  <si>
    <t xml:space="preserve">4TH &amp; MAIN STS [FRS; 30 m]</t>
  </si>
  <si>
    <t xml:space="preserve">T&amp;M Casers Site</t>
  </si>
  <si>
    <t xml:space="preserve">COLORADO PRINTING COMPANY</t>
  </si>
  <si>
    <t xml:space="preserve">S05868</t>
  </si>
  <si>
    <t xml:space="preserve">3186 MESA AVE</t>
  </si>
  <si>
    <t xml:space="preserve">81504</t>
  </si>
  <si>
    <t xml:space="preserve">MICROTEC ENGINEERING LABORAT (1988; SIC 3823,3826,2841)</t>
  </si>
  <si>
    <t xml:space="preserve">MICROTEC ENGINEERING LABORAT (1988)</t>
  </si>
  <si>
    <t xml:space="preserve">C&amp;F FOOD STORE 2 [FRS; 0 m]</t>
  </si>
  <si>
    <t xml:space="preserve">CENTURY EQUIP COMPANY</t>
  </si>
  <si>
    <t xml:space="preserve">S06647</t>
  </si>
  <si>
    <t xml:space="preserve">657 20 HALF RD</t>
  </si>
  <si>
    <t xml:space="preserve">ORDNANCE PARK CORP (1990; SIC 2599,3421,3489) | ‘OLD WORLD MEATCO (1992; SIC 2013,2011,2599)</t>
  </si>
  <si>
    <t xml:space="preserve">ORDNANCE PARK CORP (1990) | ‘OLD WORLD MEATCO (1992)</t>
  </si>
  <si>
    <t xml:space="preserve">CANYON DEL SOL [FRS; 125 m] | REDLANDS MEADOWS SUBDIVISION [FRS; 158 m]</t>
  </si>
  <si>
    <t xml:space="preserve">S06657</t>
  </si>
  <si>
    <t xml:space="preserve">2749 US HWY 50</t>
  </si>
  <si>
    <t xml:space="preserve">WHEELING CORRUGATING CO. (1990; SIC 3444,3498)</t>
  </si>
  <si>
    <t xml:space="preserve">WHEELING CORRUGATING CO. (1990)</t>
  </si>
  <si>
    <t xml:space="preserve">STOP N SAVE  #4 [FRS; 21 m] | STOP N SAVE   #4 [FRS; 21 m] | LANDMARK PROPERTY MANAGEMENT [FRS; 38 m] | R G STEEL WHEELING GRAND JUNCTION PLANT [FRS] (address match)</t>
  </si>
  <si>
    <t xml:space="preserve">WAGNER RENTS</t>
  </si>
  <si>
    <t xml:space="preserve">S07055</t>
  </si>
  <si>
    <t xml:space="preserve">3199 HALL AVE</t>
  </si>
  <si>
    <t xml:space="preserve">HOUSE OF MARBLE (1992; SIC 3089,3281,3842)</t>
  </si>
  <si>
    <t xml:space="preserve">HOUSE OF MARBLE (1992)</t>
  </si>
  <si>
    <t xml:space="preserve">DILLON COMPANIES DBA CITY MARKET, INC [FRS; 37 m]</t>
  </si>
  <si>
    <t xml:space="preserve">S01217</t>
  </si>
  <si>
    <t xml:space="preserve">16 S WILLERUP</t>
  </si>
  <si>
    <t xml:space="preserve">JIM*S SHEETMETAL SHOP (1966; SIC 3441)</t>
  </si>
  <si>
    <t xml:space="preserve">JIM*S SHEETMETAL SHOP (1966)</t>
  </si>
  <si>
    <t xml:space="preserve">PRAIRIE DOG TREATS, LLC [FRS; 35 m]</t>
  </si>
  <si>
    <t xml:space="preserve">S05206</t>
  </si>
  <si>
    <t xml:space="preserve">403 NE 4TH ST</t>
  </si>
  <si>
    <t xml:space="preserve">EARLS CAMPERS (1983; SIC 3713)</t>
  </si>
  <si>
    <t xml:space="preserve">EARLS CAMPERS (1983)</t>
  </si>
  <si>
    <t xml:space="preserve">OLATHE NH3 PLANT [FRS; 77 m] | PRODUCERS COOP [FRS; 116 m] | WEST SLOPE AG CENTER, INC. [FRS; 127 m] | OLATHE TOWN OF [FRS; 138 m]</t>
  </si>
  <si>
    <t xml:space="preserve">S05207</t>
  </si>
  <si>
    <t xml:space="preserve">102 S CLAYTON ST</t>
  </si>
  <si>
    <t xml:space="preserve">FLAT RIVER AGRICULTURE INC (1983-1990; SIC 2879)</t>
  </si>
  <si>
    <t xml:space="preserve">FLAT RIVER AGRICULTURE INC (1983)</t>
  </si>
  <si>
    <t xml:space="preserve">COLORADO RANCHERS DAIRY PRODUCTS, INC [FRS; 23 m]</t>
  </si>
  <si>
    <t xml:space="preserve">S06918</t>
  </si>
  <si>
    <t xml:space="preserve">1029 CLAYTON ST</t>
  </si>
  <si>
    <t xml:space="preserve">FLATRIVER AGRI INC (1992; SIC 3563)</t>
  </si>
  <si>
    <t xml:space="preserve">FLATRIVER AGRI INC (1992)</t>
  </si>
  <si>
    <t xml:space="preserve">BRUSHCO FARMS, INC [FRS; 39 m] | COLORADO GREENHOUSE [FRS; 39 m] | COLORADO ENERGY MANAGEMENT - BRUSH 2 [FRS; 48 m] | BRUSH 1, 3 AND 4D POWER [FRS; 48 m] | BRUSHCO FARMS, INC [FRS; 48 m] | HILLROSE DAIRY, LLC [FRS; 82 m] | BRUSH BEAVER CREEK 115 KV TRANSMISSION LINE UPGRADE [FRS; 91 m] | CITY OF BRUSH- BRUSH BOOSTER PUMP STATIO [FRS; 170 m] | PRAIRIE PARK BALLFIELD [FRS; 223 m]</t>
  </si>
  <si>
    <t xml:space="preserve">S00492</t>
  </si>
  <si>
    <t xml:space="preserve">115 SAN JUAN</t>
  </si>
  <si>
    <t xml:space="preserve">1965;1966;1967;1973;1974;1977;1983;1988;1992</t>
  </si>
  <si>
    <t xml:space="preserve">“MILES HEATING REFRIGERATION a. (1965-1992; SIC 3444) | MILES HEATING+REFRIGERATI (1988; SIC 3444,3585)</t>
  </si>
  <si>
    <t xml:space="preserve">“MILES HEATING REFRIGERATION a. (1965) | MILES HEATING+REFRIGERATI (1988)</t>
  </si>
  <si>
    <t xml:space="preserve">CITY OF LA JUNTA, MUNICIPAL UTILITIES [FRS; 4 m]</t>
  </si>
  <si>
    <t xml:space="preserve">122 SANTA FE AVENUE</t>
  </si>
  <si>
    <t xml:space="preserve">SAFEWAY STORE #3723</t>
  </si>
  <si>
    <t xml:space="preserve">S02705</t>
  </si>
  <si>
    <t xml:space="preserve">206 N MAIN ST</t>
  </si>
  <si>
    <t xml:space="preserve">MAYER PLUMBING, HEATING, + SHEET METAL (1973; SIC 3444)</t>
  </si>
  <si>
    <t xml:space="preserve">MAYER PLUMBING, HEATING, + SHEET METAL (1973) | DOUBLE H STEEL + WIRE CO (1980)</t>
  </si>
  <si>
    <t xml:space="preserve">207 N MAIN ST [FRS; 9 m]</t>
  </si>
  <si>
    <t xml:space="preserve">June Building</t>
  </si>
  <si>
    <t xml:space="preserve">S03515</t>
  </si>
  <si>
    <t xml:space="preserve">520 E COOPER STE 5</t>
  </si>
  <si>
    <t xml:space="preserve"> (1977; SIC 3599)</t>
  </si>
  <si>
    <t xml:space="preserve"> (1977) | BILL'S TYPESETTING + RUBBER STAMP. (1990)</t>
  </si>
  <si>
    <t xml:space="preserve">BETULA ASPEN SPA [FRS; 26 m]</t>
  </si>
  <si>
    <t xml:space="preserve">FOTO-TEK</t>
  </si>
  <si>
    <t xml:space="preserve">S01620</t>
  </si>
  <si>
    <t xml:space="preserve">123N MAIN</t>
  </si>
  <si>
    <t xml:space="preserve">FREY SHEET METAL WORKS (1967; SIC 3444)</t>
  </si>
  <si>
    <t xml:space="preserve">FREY SHEET METAL WORKS (1967)</t>
  </si>
  <si>
    <t xml:space="preserve">TEMPEL GRAIN ELEVATORS, LLP - WILEY [FRS; 79 m] | SURE CROP CARE, INC. (WILEY LOCATION) [FRS; 79 m] | TEMPEL AND ESGAR OF COLORADO, INCORPORATED [FRS; 79 m] | SURE CROP CARE, INC. [FRS; 86 m] | SURE CROP CARE, INC. [FRS; 218 m]</t>
  </si>
  <si>
    <t xml:space="preserve">S03519</t>
  </si>
  <si>
    <t xml:space="preserve">103 MAIN ST</t>
  </si>
  <si>
    <t xml:space="preserve">WILEY</t>
  </si>
  <si>
    <t xml:space="preserve">81092</t>
  </si>
  <si>
    <t xml:space="preserve">MID-CONTINENT CHEMICAL INC (1977; SIC 2875,2041,2875) | TEMPEL-ESGAR INC (1983; SIC 2041,2875) | TEMPEL+ESGAR OF COLORADO (1988-1990; SIC 2041,2875)</t>
  </si>
  <si>
    <t xml:space="preserve">MID-CONTINENT CHEMICAL INC (1977) | TEMPEL-ESGAR INC (1983) | TEMPEL+ESGAR OF COLORADO (1988)</t>
  </si>
  <si>
    <t xml:space="preserve">TEMPEL AND ESGAR OF COLORADO, INCORPORATED [FRS; name match, 135 m]</t>
  </si>
  <si>
    <t xml:space="preserve">S01260</t>
  </si>
  <si>
    <t xml:space="preserve">524 W 10TH SI</t>
  </si>
  <si>
    <t xml:space="preserve">ICABONE HEATING CO (1966-1970; SIC 3441)</t>
  </si>
  <si>
    <t xml:space="preserve">ICABONE HEATING CO (1966)</t>
  </si>
  <si>
    <t xml:space="preserve">KITCHEN COTTAGE [FRS; 10 m]</t>
  </si>
  <si>
    <t xml:space="preserve">Pubelo Cooperative Care Center</t>
  </si>
  <si>
    <t xml:space="preserve">S01627</t>
  </si>
  <si>
    <t xml:space="preserve">224 W 10TH ST</t>
  </si>
  <si>
    <t xml:space="preserve">ICABONE HEATING CO (1967; SIC 3441)</t>
  </si>
  <si>
    <t xml:space="preserve">ICABONE HEATING CO (1967)</t>
  </si>
  <si>
    <t xml:space="preserve">PUEBLO COUNTY GOVERNMENT EXTENSION OFFICE (CSU) [FRS; 32 m]</t>
  </si>
  <si>
    <t xml:space="preserve">PUEBLO COOPERATIVE CRE CENTER</t>
  </si>
  <si>
    <t xml:space="preserve">SPRADLEY POWERS CHEVROLET</t>
  </si>
  <si>
    <t xml:space="preserve">S01935</t>
  </si>
  <si>
    <t xml:space="preserve">725 20TH</t>
  </si>
  <si>
    <t xml:space="preserve">1968;1970;1974;1980;1983;1990;1992</t>
  </si>
  <si>
    <t xml:space="preserve">ERNST MACHINE SHOP (1968-1992; SIC 3591)</t>
  </si>
  <si>
    <t xml:space="preserve">ERNST MACHINE SHOP (1968)</t>
  </si>
  <si>
    <t xml:space="preserve">LOAF N JUG INC NO 08 [FRS; 197 m]</t>
  </si>
  <si>
    <t xml:space="preserve">S03520</t>
  </si>
  <si>
    <t xml:space="preserve">4038 DOVER DR</t>
  </si>
  <si>
    <t xml:space="preserve">COLORADO CITY</t>
  </si>
  <si>
    <t xml:space="preserve">81019</t>
  </si>
  <si>
    <t xml:space="preserve">DO-2AY LAMP CO INC (1977; SIC 3647,3714)</t>
  </si>
  <si>
    <t xml:space="preserve">DO-2AY LAMP CO INC (1977) | DO-RAY LAMP CO INC (1983)</t>
  </si>
  <si>
    <t xml:space="preserve">XENIA, INC. [FRS; 197 m] | KASEL ASSOCIATED INDUSTRIES INC. [FRS; 197 m]</t>
  </si>
  <si>
    <t xml:space="preserve">S03526</t>
  </si>
  <si>
    <t xml:space="preserve">126 S 27 1 LN</t>
  </si>
  <si>
    <t xml:space="preserve">MOUNTAIN STATES SHEET METAL (1990; SIC 3444)</t>
  </si>
  <si>
    <t xml:space="preserve">MOUNTAIN STATES SHEET METAL (1977)</t>
  </si>
  <si>
    <t xml:space="preserve">MSSM CORP [FRS; 221 m]</t>
  </si>
  <si>
    <t xml:space="preserve">S04371</t>
  </si>
  <si>
    <t xml:space="preserve">1871 ASPEN CIR</t>
  </si>
  <si>
    <t xml:space="preserve">PERMA-CAST CO (1980-1990; SIC 3361) | DRINKS PERMA-CAST CO (1988; SIC 3363)</t>
  </si>
  <si>
    <t xml:space="preserve">PERMA-CAST CO (1980) | DRINKS PERMA-CAST CO (1988)</t>
  </si>
  <si>
    <t xml:space="preserve">PERMA CAST CO [FRS] (address match)</t>
  </si>
  <si>
    <t xml:space="preserve">BLENDE SMELTER</t>
  </si>
  <si>
    <t xml:space="preserve">DON-L RECYCLING</t>
  </si>
  <si>
    <t xml:space="preserve">S05229</t>
  </si>
  <si>
    <t xml:space="preserve">400 S UNION</t>
  </si>
  <si>
    <t xml:space="preserve">ALUMINUM SPECIALTIES MFGes INCe (1983-1990; SIC 3442,3211,3444) | TRACK WORK SEO Es MFG INC (1988; SIC 3211,3442,3444)</t>
  </si>
  <si>
    <t xml:space="preserve">ALUMINUM SPECIALTIES MFGes INCe (1983) | TRACK WORK SEO Es MFG INC (1988)</t>
  </si>
  <si>
    <t xml:space="preserve">HOLMES HARDWARE BUILDING [FRS; 34 m]</t>
  </si>
  <si>
    <t xml:space="preserve">PHILS RADIATOR</t>
  </si>
  <si>
    <t xml:space="preserve">S06047</t>
  </si>
  <si>
    <t xml:space="preserve">1724 ASPEN CIR</t>
  </si>
  <si>
    <t xml:space="preserve">DISPLAYS BOUGHTONS PRECAST (1988-1990; SIC 3272,3443)</t>
  </si>
  <si>
    <t xml:space="preserve">DISPLAYS BOUGHTONS PRECAST (1988)</t>
  </si>
  <si>
    <t xml:space="preserve">BOUGHTONS PRECAST [FRS; name match, 65 m]</t>
  </si>
  <si>
    <t xml:space="preserve">ENVIROSERVE</t>
  </si>
  <si>
    <t xml:space="preserve">S06811</t>
  </si>
  <si>
    <t xml:space="preserve">2313 S PRARIE ST</t>
  </si>
  <si>
    <t xml:space="preserve">ALLIED REFRIGERATION + ELECTRIC INC (1990; SIC 3444)</t>
  </si>
  <si>
    <t xml:space="preserve">ALLIED REFRIGERATION + ELECTRIC INC (1990)</t>
  </si>
  <si>
    <t xml:space="preserve">JRS COUNTRY STORE NO 204 [FRS; 150 m] | PUEBLO VILLAGE APARTMENTS [FRS; 216 m]</t>
  </si>
  <si>
    <t xml:space="preserve">S02726</t>
  </si>
  <si>
    <t xml:space="preserve">273 E BENNETT AVE</t>
  </si>
  <si>
    <t xml:space="preserve">CRIPPLE CREEK</t>
  </si>
  <si>
    <t xml:space="preserve">Teller</t>
  </si>
  <si>
    <t xml:space="preserve">80813</t>
  </si>
  <si>
    <t xml:space="preserve">CRUCIBLE, THE (1980; SIC 3079)</t>
  </si>
  <si>
    <t xml:space="preserve">CRUCIBLE, THE (1973) | CRIPPLE CREEK GOLD RUSH (1980) | CRIPPLE CREEK THE CRUCIBLE (1988) | D.B.A-WOODLAND PARK NEWSPAPERS INC (1988) | GOLD RUSH (1990)</t>
  </si>
  <si>
    <t xml:space="preserve">BRONCO BILLY'S CASINO [FRS; 58 m] | CHAMONIX HOTEL AND CASINO [FRS; 85 m] | METEOROLOGICAL SITE [FRS; 242 m]</t>
  </si>
  <si>
    <t xml:space="preserve">S05286</t>
  </si>
  <si>
    <t xml:space="preserve">6 BIRCH</t>
  </si>
  <si>
    <t xml:space="preserve">AUDUBON PARK CO (1988; SIC 3523,3714,2013)</t>
  </si>
  <si>
    <t xml:space="preserve">AUDUBON PARK CO (1988)</t>
  </si>
  <si>
    <t xml:space="preserve">AUDUBON PARK CO. [FRS; name match, 83 m]</t>
  </si>
  <si>
    <t xml:space="preserve">S01305</t>
  </si>
  <si>
    <t xml:space="preserve">1968;1970;1973;1974;1977;1980;1983;1990;1992</t>
  </si>
  <si>
    <t xml:space="preserve">FREEMAN TRUCK BODIES (1968-1992; SIC 3713) | FREEMAN BRUCK SODIES INC (1980; SIC 3713)</t>
  </si>
  <si>
    <t xml:space="preserve">FREEMAN TRUCK BODIES (1966) | FREEMAN BRUCK SODIES INC (1980)</t>
  </si>
  <si>
    <t xml:space="preserve">NORTH VALLEY MIDDLE SCHOOL [FRS; 101 m] | PETE MERICH ELEMENTARY SCHOOL [FRS; 171 m]</t>
  </si>
  <si>
    <t xml:space="preserve">S01306</t>
  </si>
  <si>
    <t xml:space="preserve">123 N FIRST</t>
  </si>
  <si>
    <t xml:space="preserve">1970;1973;1974;1977;1990;1992</t>
  </si>
  <si>
    <t xml:space="preserve">LA SALLE MANUFAB CO (1970-1992; SIC 3591) | EWINGs JOHN, CO (1977; SIC 2879)</t>
  </si>
  <si>
    <t xml:space="preserve">LA SALLE MANUFAB CO (1966) | WESTERN WOOC PRODUCTS (1974) | EWINGs JOHN, CO (1977)</t>
  </si>
  <si>
    <t xml:space="preserve">LA SALLE MANUFAB [FRS; name match, 72 m]</t>
  </si>
  <si>
    <t xml:space="preserve">WESTERN CLASSICS</t>
  </si>
  <si>
    <t xml:space="preserve">S01308</t>
  </si>
  <si>
    <t xml:space="preserve">400 MAIN</t>
  </si>
  <si>
    <t xml:space="preserve">HARPOLE'S BLACKSMITH SHOP (1966; SIC 3599) | HARPOLE*S WELDING * SUPPLIES (1970-1973; SIC 3591)</t>
  </si>
  <si>
    <t xml:space="preserve">HARPOLE'S BLACKSMITH SHOP (1966) | HARPOLE*S WELDING * SUPPLIES (1970) | HARPOLE'S WELOING + SUPPLIES 3273 READY-MIXED CONCRETE (1974)</t>
  </si>
  <si>
    <t xml:space="preserve">HAISTON OIL CO [FRS; 22 m]</t>
  </si>
  <si>
    <t xml:space="preserve">430 MAIN STREET SITE</t>
  </si>
  <si>
    <t xml:space="preserve">BURLINGTON NORTHERN RR WIND 01</t>
  </si>
  <si>
    <t xml:space="preserve">S02741</t>
  </si>
  <si>
    <t xml:space="preserve">1020 BROAD</t>
  </si>
  <si>
    <t xml:space="preserve">MILLIKEN</t>
  </si>
  <si>
    <t xml:space="preserve">80543</t>
  </si>
  <si>
    <t xml:space="preserve">KILGORE SUPPLY CO (1973-1990; SIC 3523) |  (1983; SIC 3523)</t>
  </si>
  <si>
    <t xml:space="preserve">KILGORE SUPPLY CO (1973) |  (1983)</t>
  </si>
  <si>
    <t xml:space="preserve">KILGORE SUPPLY COMPANY (NOI) [FRS; name match, 64 m]</t>
  </si>
  <si>
    <t xml:space="preserve">S03548</t>
  </si>
  <si>
    <t xml:space="preserve">331 8TH ST</t>
  </si>
  <si>
    <t xml:space="preserve">BURRIS COMPANY (1977; SIC 3832,3489)</t>
  </si>
  <si>
    <t xml:space="preserve">BURRIS COMPANY (1977)</t>
  </si>
  <si>
    <t xml:space="preserve">BIG R OF GREELEY, INC. [FRS; 5 m]</t>
  </si>
  <si>
    <t xml:space="preserve">TRI-STATE COMMODITIES</t>
  </si>
  <si>
    <t xml:space="preserve">S04413</t>
  </si>
  <si>
    <t xml:space="preserve">1226 E 18 ST</t>
  </si>
  <si>
    <t xml:space="preserve">PLASTIC ART PRODUCTS LTO (1980-1992; SIC 3079) | PRODUE Arp (1988; SIC 3089,3544)</t>
  </si>
  <si>
    <t xml:space="preserve">PLASTIC ART PRODUCTS LTO (1980) | PRODUE Arp (1988)</t>
  </si>
  <si>
    <t xml:space="preserve">GENESIS PLASTICS TECHNOLOGIES [FRS; 27 m]</t>
  </si>
  <si>
    <t xml:space="preserve">S05267</t>
  </si>
  <si>
    <t xml:space="preserve">128 30TH ST</t>
  </si>
  <si>
    <t xml:space="preserve">CHRISTIAN MANUFACTURING (1983; SIC 3563,3599) | PACKAGING ROBERT+LEE MFG (1988; SIC 3561,3599) | ROBERT + LEE MANUFACTURING (1990; SIC 3561,3599) | BAXTER DESIGN TECH (1992; SIC 3544,3423,3999) | MOODY MANUFACTURING (1992; SIC 3599)</t>
  </si>
  <si>
    <t xml:space="preserve">CHRISTIAN MANUFACTURING (1983) | PACKAGING ROBERT+LEE MFG (1988) | ROBERT + LEE MANUFACTURING (1990) | BAXTER DESIGN TECH (1992) | MOODY MANUFACTURING (1992)</t>
  </si>
  <si>
    <t xml:space="preserve">CORVUS REPELLENT INC [FRS; 1 m] | CORVUS REPELLENT INC [FRS] (address match)</t>
  </si>
  <si>
    <t xml:space="preserve">SUPERIOR TOWING</t>
  </si>
  <si>
    <t xml:space="preserve">S05772</t>
  </si>
  <si>
    <t xml:space="preserve">3309 EMPIRE ST</t>
  </si>
  <si>
    <t xml:space="preserve">M+E PREHUNG DOOR+MILLWORK CO IN (1988-1990; SIC 2431,3442)</t>
  </si>
  <si>
    <t xml:space="preserve">M+E PREHUNG DOOR+MILLWORK CO IN (1988)</t>
  </si>
  <si>
    <t xml:space="preserve">DAIRY SPECIALISTS [FRS] (address match) | CHEMSTATION [FRS] (address match) | CHEMICAL SPECIALISTS, LLC [FRS] (address match)</t>
  </si>
  <si>
    <t xml:space="preserve">FAMILY DOLLAR #4680</t>
  </si>
  <si>
    <t xml:space="preserve">S05822</t>
  </si>
  <si>
    <t xml:space="preserve">5963 WELD CO RD 16</t>
  </si>
  <si>
    <t xml:space="preserve">FREDERICK</t>
  </si>
  <si>
    <t xml:space="preserve">80530</t>
  </si>
  <si>
    <t xml:space="preserve">HWI MFG D.B.A.-HALLECK WILLARD (1988; SIC 3864,3599) | HWI MANUFACTURING (1990; SIC 3672,3845,3577)</t>
  </si>
  <si>
    <t xml:space="preserve">HWI MFG D.B.A.-HALLECK WILLARD (1988) | HWI MANUFACTURING (1990)</t>
  </si>
  <si>
    <t xml:space="preserve">STRATA DACONO SUBDIVISION FILING 1 AND FILING 2 [FRS; 76 m] | STRATA - FILING 2 [FRS; 184 m]</t>
  </si>
  <si>
    <t xml:space="preserve">S06608</t>
  </si>
  <si>
    <t xml:space="preserve">319 4TH ST</t>
  </si>
  <si>
    <t xml:space="preserve">MID-AMERICA ENGINEERING + FAB (1990; SIC 3089)</t>
  </si>
  <si>
    <t xml:space="preserve">MID-AMERICA ENGINEERING + FAB (1990)</t>
  </si>
  <si>
    <t xml:space="preserve">MID AMERICA ENGINEERING &amp; FABRICATION CO [FRS; name match, 2 m] | MID AMERICA ENGINEERING &amp; FABRICATION CO [FRS] (address match)</t>
  </si>
  <si>
    <t xml:space="preserve">PUREVISION TECHNOLOGY</t>
  </si>
  <si>
    <t xml:space="preserve">S06663</t>
  </si>
  <si>
    <t xml:space="preserve">1707 1ST AVE</t>
  </si>
  <si>
    <t xml:space="preserve">BYCOOL CORP (1990; SIC 3585) | BURROWS ENTERPRISES INC (1992; SIC 3623,3561,3585)</t>
  </si>
  <si>
    <t xml:space="preserve">BYCOOL CORP (1990) | BURROWS ENTERPRISES INC (1992)</t>
  </si>
  <si>
    <t xml:space="preserve">NORTHERN COLORADO TRAFFIC CONTROL INC [FRS; 1 m] | CEMENTER'S WELL SERVICE, INC [FRS; 14 m]</t>
  </si>
  <si>
    <t xml:space="preserve">CHAMPION X - GREELEY CO</t>
  </si>
  <si>
    <t xml:space="preserve">S07059</t>
  </si>
  <si>
    <t xml:space="preserve">300 E 16TH ST 202</t>
  </si>
  <si>
    <t xml:space="preserve">HOTSY EQUIPMENT (1992; SIC 3531,3965,3999)</t>
  </si>
  <si>
    <t xml:space="preserve">HOTSY EQUIPMENT (1992)</t>
  </si>
  <si>
    <t xml:space="preserve">LIGHTHOUSE CARE CENTER [FRS; 12 m] | IRONWOOD INDUSTRIAL FLEX [FRS; 12 m]</t>
  </si>
  <si>
    <t xml:space="preserve">S06112</t>
  </si>
  <si>
    <t xml:space="preserve">419 S HOUSTON</t>
  </si>
  <si>
    <t xml:space="preserve">YUMA</t>
  </si>
  <si>
    <t xml:space="preserve">80759</t>
  </si>
  <si>
    <t xml:space="preserve">YUMA AGRILINJECT INC (1988; SIC 3559)</t>
  </si>
  <si>
    <t xml:space="preserve">YUMA AGRILINJECT INC (1988)</t>
  </si>
  <si>
    <t xml:space="preserve">FIVE STAR AGRICULTURAL INC [FRS; 134 m] | ROCKY MOUNTAIN POPCORN [FRS; 140 m] | HELENA CHEMICAL COMPANY [FRS; 147 m] | CENTENNIAL AG SUPPLY [FRS; 147 m] | YUMA AG SERVICE [FRS; 148 m] | BRETT RUTLEDGE [FRS; 163 m] | JERICO CONCRETE INC [FRS; 182 m] | CENTENNIAL AG SUPPLY [FRS] (address match) | HELENA CHEMICAL COMPANY [FRS] (address match)</t>
  </si>
  <si>
    <t xml:space="preserve">S07165</t>
  </si>
  <si>
    <t xml:space="preserve">200 FLAGSTAFF 1ND PARK</t>
  </si>
  <si>
    <t xml:space="preserve">PARKWOOD DESIGNS (1992; SIC 3716)</t>
  </si>
  <si>
    <t xml:space="preserve">PARKWOOD DESIGNS (1992)</t>
  </si>
  <si>
    <t xml:space="preserve">YUMA AG SERVICE [FRS; 153 m] | ROCKY MOUNTAIN POPCORN [FRS; 160 m] | FIVE STAR AGRICULTURAL INC [FRS; 169 m] | JERICO CONCRETE INC [FRS; 227 m]</t>
  </si>
  <si>
    <t xml:space="preserve">S00417</t>
  </si>
  <si>
    <t xml:space="preserve">450 ORCHARD</t>
  </si>
  <si>
    <t xml:space="preserve">CONOVAN-HAINS (1965; SIC 3498) | MmETCUT INC (1980-1983; SIC 3599) | SMITH COs» NORMAN R (1983; SIC 3599,3544,3559)</t>
  </si>
  <si>
    <t xml:space="preserve">CONOVAN-HAINS (1965) | BISHOP PAUL + CO (1973) | MmETCUT INC (1980) | SMITH COs» NORMAN R (1983)</t>
  </si>
  <si>
    <t xml:space="preserve">KAIZEN AUTO CARE - GOLDEN [FRS; 11 m] | COMMERCIAL TESTING &amp; ENG [FRS; 24 m]</t>
  </si>
  <si>
    <t xml:space="preserve">ALLIED WASTE TRANSPORTATION GOLDEN [FRS; 42 m] | EDS WASTE GOLDEN FACILITY [FRS; 42 m]</t>
  </si>
  <si>
    <t xml:space="preserve">KAIZEN AUTO CARE - GOLDEN</t>
  </si>
  <si>
    <t xml:space="preserve">S01537</t>
  </si>
  <si>
    <t xml:space="preserve">9 E CUCHARRAS ACOC2</t>
  </si>
  <si>
    <t xml:space="preserve">GLASER WELDING WORKS (1967; SIC 3446,3591)</t>
  </si>
  <si>
    <t xml:space="preserve">GLASER WELDING WORKS (1967)</t>
  </si>
  <si>
    <t xml:space="preserve">COLORADO SPRINGS MED CTR P.C. [FRS; 82 m] | GOODYEAR AUTO SERVICE CENTER [FRS; 117 m] | STATUS SYMBOL AUTO BODY [FRS; 180 m] | LANIERS SPEED SHOP [FRS; 195 m] | RUDOLPH COMPANY [FRS; 207 m] | UBIS MICROGRAPHICS [FRS; 222 m] | PUEBLO CLEANING CORPORATION 1 [FRS; 230 m] | B AND F INC DBA STATUS SYMBOL AUTOBODY [CDPHE RCRA; 241 m]</t>
  </si>
  <si>
    <t xml:space="preserve">CLIFF BRICE STATIONS INC NO 903 [FRS; 155 m] | COLORADO SPRINGS UTILITIES - TRANSMISSION AND DISTRIBUTION SYSTEM [FRS; 171 m] | CLIFF BRICE STATIONS INC NO 903 [FRS; 180 m] | WEATHERPROOF EXTERIORS [FRS; 190 m] | CITY OF COLORADO SPRINGS PUBLIC WORKS DEPARTMENT [FRS; 192 m] | COLORADO SPRINGS UTILITY [FRS; 194 m] | AVIAN APARTMENTS [FRS; 204 m] | CITY OF COLORADO SPRINGS [FRS; 226 m] | JAW 5, INC </t>
  </si>
  <si>
    <t xml:space="preserve">COLORADO SPRINGS MED CTR P.C.</t>
  </si>
  <si>
    <t xml:space="preserve">S00572</t>
  </si>
  <si>
    <t xml:space="preserve">5700 FAIRFAX</t>
  </si>
  <si>
    <t xml:space="preserve">1966;1968;1973;1974;1980;1983;1988;1990</t>
  </si>
  <si>
    <t xml:space="preserve">KENDO INCORPORATED (1966-1990; SIC 3599) | KENCO INCORPCRATEC VE HERING PRES (1968; SIC 3531,3441,3599) | 192 COMMERCE CITY - COMMERCE KENDO INC (1988; SIC 3441,3831,3559)</t>
  </si>
  <si>
    <t xml:space="preserve">KENDO INCORPORATED (1966) | KENDO INCORPCRATED (1967) | KENCO INCORPCRATEC VE HERING PRES (1968) | 192 COMMERCE CITY - COMMERCE KENDO INC (1988)</t>
  </si>
  <si>
    <t xml:space="preserve">AIR PRODUCTS &amp; CHEMS INC [CDPHE RCRA; 2 m] | AIR PRODUCTS &amp; CHEMS INC [FRS; 22 m]</t>
  </si>
  <si>
    <t xml:space="preserve">C.T. POWER [FRS; 10 m]</t>
  </si>
  <si>
    <t xml:space="preserve">AIR PRODUCTS &amp; CHEMS INC</t>
  </si>
  <si>
    <t xml:space="preserve">S00593</t>
  </si>
  <si>
    <t xml:space="preserve">7075 YORK S</t>
  </si>
  <si>
    <t xml:space="preserve">SPECIALIZED ENGIN ¢ MFGT CO INC (1980-1983; SIC 3799,3599,3551)</t>
  </si>
  <si>
    <t xml:space="preserve">WESTERN CONCRETE INC (1966) | SPECIALIZED ENGIN ¢ MFGT CO INC (1980)</t>
  </si>
  <si>
    <t xml:space="preserve">CDOT HIGHWAY 270 PROJECT [FRS; 6 m]</t>
  </si>
  <si>
    <t xml:space="preserve">69TH &amp; YORK ST [FRS; 6 m]</t>
  </si>
  <si>
    <t xml:space="preserve">CDOT HIGHWAY 270 PROJECT</t>
  </si>
  <si>
    <t xml:space="preserve">S00594</t>
  </si>
  <si>
    <t xml:space="preserve">4545 E 60TH</t>
  </si>
  <si>
    <t xml:space="preserve">1966;1973;1974;1980;1988;1990</t>
  </si>
  <si>
    <t xml:space="preserve">WESTERN FILTER CO (1966; SIC 3589) | WESTERN FILTER CO (1973-1990; SIC 3589)</t>
  </si>
  <si>
    <t xml:space="preserve">WESTERN FILTER CO (1966) | WESTERN FILTER CO (1973)</t>
  </si>
  <si>
    <t xml:space="preserve">SCHMIDT AND VIGIL TRUCKING [FRS; 11 m] | 4545 E 60TH AVE COMMERCE CITY CO [FRS; 24 m]</t>
  </si>
  <si>
    <t xml:space="preserve">COMMUNITY INTERIORS [FRS; 24 m]</t>
  </si>
  <si>
    <t xml:space="preserve">SCHMIDT AND VIGIL TRUCKING</t>
  </si>
  <si>
    <t xml:space="preserve">S00706</t>
  </si>
  <si>
    <t xml:space="preserve">5680 PECOS</t>
  </si>
  <si>
    <t xml:space="preserve">ALADDIN IRON + STEEL CORP (1966-1970; SIC 3356)</t>
  </si>
  <si>
    <t xml:space="preserve">ALADDIN IRON + STEEL CORP (1966)</t>
  </si>
  <si>
    <t xml:space="preserve">SIMPSON STRONG TIE (DENVER) [FRS; 15 m] | WALGREENS MICRO FULFILLMENT CENTER #21397 [FRS; 24 m] | WALGREENS MICRO FULFILLMENT CENTER #21397 [CDPHE RCRA; 24 m] | AUTO-CHLOR SYSTEM [FRS; 35 m] | VARTEGA INC [FRS; 36 m]</t>
  </si>
  <si>
    <t xml:space="preserve">GRANITE &amp; MARBLE DESIGNS, LLC [FRS; 15 m] | AUTO CHLOR SYSTEM [FRS; 35 m] | PECOS LOGISTICS PARK [FRS; 36 m]</t>
  </si>
  <si>
    <t xml:space="preserve">SIMPSON STRONG TIE (DENVER)</t>
  </si>
  <si>
    <t xml:space="preserve">S00773</t>
  </si>
  <si>
    <t xml:space="preserve">5630 RARITAN ST</t>
  </si>
  <si>
    <t xml:space="preserve">KAYLINE MFG INC (1967-1970; SIC 3714,2295) | COLGRACO PAPER PRODUCTS (1968; SIC 2649,3461,3444) | RESIN FABRICATORS CQy INC (1968-1970; SIC 3281,3079)</t>
  </si>
  <si>
    <t xml:space="preserve">COLORADO PapeR PROOUCTS (1966) | KAYLINE MFG INC (1967) | RESIN FABRICATORS CQy INC (1968) | REIN PRINTING + OFFICE SUPPLY (1970)</t>
  </si>
  <si>
    <t xml:space="preserve">PETROLEUM SYSTEMS [FRS; 243 m]</t>
  </si>
  <si>
    <t xml:space="preserve">COLORADO HAZARD CONTROL, LLC [FRS; 215 m] | PECOS STREET GRADE SEPARATION [FRS; 232 m]</t>
  </si>
  <si>
    <t xml:space="preserve">PETROLEUM SYSTEMS</t>
  </si>
  <si>
    <t xml:space="preserve">S01317</t>
  </si>
  <si>
    <t xml:space="preserve">6770 BRIGHTON BLVD</t>
  </si>
  <si>
    <t xml:space="preserve">ADAMS CITY MANUFACTURING CO INC (1983; SIC 3272,3599)</t>
  </si>
  <si>
    <t xml:space="preserve">ADAMS CITY MANUFACTURING CO INC (1967)</t>
  </si>
  <si>
    <t xml:space="preserve">GROENDYKE TRANSPORT INC [FRS; 2 m] | AMERICAN ROOFING SUPPLY - #0240 COMM DENVER [FRS; 34 m]</t>
  </si>
  <si>
    <t xml:space="preserve">ADAMS CITY MFG CO INC [FRS; name match, 92 m] | ROYAL WOLF STORAGE CONTAINERS [FRS; 34 m] | ADAMS CITY MFG CO INC [FRS] (address match)</t>
  </si>
  <si>
    <t xml:space="preserve">GROENDYKE TRANSPORT INC</t>
  </si>
  <si>
    <t xml:space="preserve">S01319</t>
  </si>
  <si>
    <t xml:space="preserve">5701 DEXTER ST</t>
  </si>
  <si>
    <t xml:space="preserve">1967;1988</t>
  </si>
  <si>
    <t xml:space="preserve">BEALL PIPE + TANK CORP OF COLO (1967; SIC 3715,3441) | SHELTER SHIELD OF COLO (1988; SIC 3089,3296)</t>
  </si>
  <si>
    <t xml:space="preserve">BEALL PIPE + TANK CORP OF COLO (1967) | SHELTER SHIELD OF COLO (1988)</t>
  </si>
  <si>
    <t xml:space="preserve">RECYCLED PRODUCTS INC (ADAMS CNTY) [FRS] (address match)</t>
  </si>
  <si>
    <t xml:space="preserve">SHELTER SHIELD OF COLORADO INCORPORATED [FRS; name match, 97 m] | SHELTER SHIELD OF COLORADO INCORPORATED [FRS] (address match) | COLORADO SPECIAL CHEMICAL INC [FRS] (address match)</t>
  </si>
  <si>
    <t xml:space="preserve">WARD TRANSPORT INC</t>
  </si>
  <si>
    <t xml:space="preserve">S01321</t>
  </si>
  <si>
    <t xml:space="preserve">4305 E 60TH</t>
  </si>
  <si>
    <t xml:space="preserve">Chemicals; Fabricated metals; Petroleum refining</t>
  </si>
  <si>
    <t xml:space="preserve">1967;1980;1990;1992</t>
  </si>
  <si>
    <t xml:space="preserve">EMPIRE STEEL CORP (1967; SIC 3441) | PENELIZER CORPORATION (1980; SIC 2843) | ELT ASPHALT INC (1990-1992; SIC 2951,2952)</t>
  </si>
  <si>
    <t xml:space="preserve">EMPIRE STEEL CORP (1967) | PENELIZER CORPORATION (1980) | ELT ASPHALT INC (1990)</t>
  </si>
  <si>
    <t xml:space="preserve">ELF ASPHALT INC [FRS; name match, 225 m]</t>
  </si>
  <si>
    <t xml:space="preserve">S01330</t>
  </si>
  <si>
    <t xml:space="preserve">5800 FEDERAL 8LVD</t>
  </si>
  <si>
    <t xml:space="preserve">1970;1973;1977;1980;1983</t>
  </si>
  <si>
    <t xml:space="preserve">RACE RODEO + WESTERN SUPPLIES (1970; SIC 3791,3199) | BARNES, ROY DO.» MFG (1973-1983; SIC 3446,3715,3272)</t>
  </si>
  <si>
    <t xml:space="preserve">ALAMOSA (1967) | RACE RODEO + WESTERN SUPPLIES (1970) | BARNES, ROY DO.» MFG (1973)</t>
  </si>
  <si>
    <t xml:space="preserve">MINING CHEMICAL CO [FRS; 17 m] | SILVER ANVIL ENGINEERING CORP [FRS; 17 m]</t>
  </si>
  <si>
    <t xml:space="preserve">MINING CHEMICAL CO</t>
  </si>
  <si>
    <t xml:space="preserve">S01650</t>
  </si>
  <si>
    <t xml:space="preserve">4404 E 60TH AVE</t>
  </si>
  <si>
    <t xml:space="preserve">ENGINES + PARTS FAB-RITE INC (1988; SIC 3541) | FAB-RITE INC (1990; SIC 3541)</t>
  </si>
  <si>
    <t xml:space="preserve">O*NEILL TANK CO, INC 2751 COML PRINTING EXCEFT LITFOGRAPFIC (1968) | ENGINES + PARTS FAB-RITE INC (1988) | FAB-RITE INC (1990)</t>
  </si>
  <si>
    <t xml:space="preserve">MOBILITY PLUS [FRS; 27 m]</t>
  </si>
  <si>
    <t xml:space="preserve">GOOD PAINT, LLC [FRS; 27 m] | GOOD PAINT, LLC [FRS] (address match)</t>
  </si>
  <si>
    <t xml:space="preserve">MOBILITY PLUS</t>
  </si>
  <si>
    <t xml:space="preserve">S01655</t>
  </si>
  <si>
    <t xml:space="preserve">7085 LOWELL BLVD</t>
  </si>
  <si>
    <t xml:space="preserve">RAY'S METAL FABRICATORS (1968-1983; SIC 3441) | CHRIS CHAM CO (1973-1974; SIC 3499)</t>
  </si>
  <si>
    <t xml:space="preserve">RAY'S METAL FABRICATORS (1968) | CHRIS CHAM CO (1973)</t>
  </si>
  <si>
    <t xml:space="preserve">A&amp;G COLLISION [FRS; 5 m] | A&amp;G COLLISION [FRS] (address match)</t>
  </si>
  <si>
    <t xml:space="preserve">A&amp;G COLLISION</t>
  </si>
  <si>
    <t xml:space="preserve">S01954</t>
  </si>
  <si>
    <t xml:space="preserve">529 8TH AVE</t>
  </si>
  <si>
    <t xml:space="preserve">Oye, (1968; SIC 2394,3442,2051)</t>
  </si>
  <si>
    <t xml:space="preserve">Oye, (1968)</t>
  </si>
  <si>
    <t xml:space="preserve">BRIGHTON SCHOOL DIST (SWIMMING POOL) [FRS; 88 m] | VIKAN MIDDLE SCHOOL [FRS; 180 m] | BRIGHTON SCHOOL DISTRICT 27J [FRS; 221 m] | COMPREHENSIVE LEARNING CENTER [FRS; 248 m]</t>
  </si>
  <si>
    <t xml:space="preserve">LIBRETTO APARTMENTS PHASE 2 [FRS; 78 m]</t>
  </si>
  <si>
    <t xml:space="preserve">BRIGHTON SCHOOL DIST (SWIMMING POOL)</t>
  </si>
  <si>
    <t xml:space="preserve">S01965</t>
  </si>
  <si>
    <t xml:space="preserve">5555 E 69TH AVE</t>
  </si>
  <si>
    <t xml:space="preserve">CLEARFIELD MANUFACTURING INC (1970; SIC 3535) | CLEARFIELD MANUFACTURING OF COLORADO (1973-1974; SIC 3535) | P + D MFG CO (1973-1977; SIC 3535,3523)</t>
  </si>
  <si>
    <t xml:space="preserve">CLEARFIELD MANUFACTURING INC (1970) | CLEARFIELD MANUFACTURING OF COLORADO (1973) | P + D MFG CO (1973)</t>
  </si>
  <si>
    <t xml:space="preserve">SOS INDUSTRIAL [FRS; 9 m] | ALPINE SITE SERVICES [FRS; 37 m] | SOS INDUSTRIAL [FRS] (address match)</t>
  </si>
  <si>
    <t xml:space="preserve">S01967</t>
  </si>
  <si>
    <t xml:space="preserve">6712 N FEDERAL BLVD</t>
  </si>
  <si>
    <t xml:space="preserve">P D0 Q METAL FINISHERSs INC (1970; SIC 3471,3441) | FEDERAL RESTORATION SHOP (1983; SIC 3444)</t>
  </si>
  <si>
    <t xml:space="preserve">P D0 Q METAL FINISHERSs INC (1970) | FEDERAL RESTORATION SHOP (1983)</t>
  </si>
  <si>
    <t xml:space="preserve">T &amp; L AUTO [FRS; 49 m] | XTREME COLLISIONS &amp; CUSTOMS [FRS; 57 m] | US TRANSMISSION [FRS; 103 m] | A C TRANSMISSION CENTER [FRS; 129 m]</t>
  </si>
  <si>
    <t xml:space="preserve">BEST BOX STORAGE - FEDERAL [FRS; 103 m]</t>
  </si>
  <si>
    <t xml:space="preserve">T &amp; L AUTO</t>
  </si>
  <si>
    <t xml:space="preserve">S01972</t>
  </si>
  <si>
    <t xml:space="preserve">7892 FEDERAL BLVD</t>
  </si>
  <si>
    <t xml:space="preserve">BILL*S SHEET METAL + HEATING (1970; SIC 3444)</t>
  </si>
  <si>
    <t xml:space="preserve">BILL*S SHEET METAL + HEATING (1970)</t>
  </si>
  <si>
    <t xml:space="preserve">NORTH FEDERAL SUNSHINE CTR [FRS; 14 m] | AREA RENT ALLS [FRS; 31 m]</t>
  </si>
  <si>
    <t xml:space="preserve">NORTH FEDERAL SUNSHINE CTR</t>
  </si>
  <si>
    <t xml:space="preserve">S02177</t>
  </si>
  <si>
    <t xml:space="preserve">6900 ELM</t>
  </si>
  <si>
    <t xml:space="preserve">POSSUM B TRAILERS JOAQUIN MFG CORP (1988; SIC 3448,3469) | JOAQUIN MANUFACTURING CORP (1990; SIC 3448,3469)</t>
  </si>
  <si>
    <t xml:space="preserve">MACK PRECAST PRODUCTS CO (1973) | WACK ARCHITECTURAL CONCRETE INC (1980) | POSSUM B TRAILERS JOAQUIN MFG CORP (1988) | JOAQUIN MANUFACTURING CORP (1990)</t>
  </si>
  <si>
    <t xml:space="preserve">JOAQUIN MFG CORP [FRS; name match, 5 m]</t>
  </si>
  <si>
    <t xml:space="preserve">JOAQUIN MANUFACTURING CORP [FRS; name match, 24 m]</t>
  </si>
  <si>
    <t xml:space="preserve">COLORADO TRUCK PARTS</t>
  </si>
  <si>
    <t xml:space="preserve">JOAQUIN MFG CORP</t>
  </si>
  <si>
    <t xml:space="preserve">S02184</t>
  </si>
  <si>
    <t xml:space="preserve">15588 17TH AVE</t>
  </si>
  <si>
    <t xml:space="preserve">DOUBLE V ENGINEERING INC (1973; SIC 3799)</t>
  </si>
  <si>
    <t xml:space="preserve">DOUBLE V ENGINEERING INC (1973)</t>
  </si>
  <si>
    <t xml:space="preserve">BAKER CONCRETE CONSTRUCTION INC [FRS; 204 m]</t>
  </si>
  <si>
    <t xml:space="preserve">CYREX GLASS AND MIRROR [FRS; 213 m]</t>
  </si>
  <si>
    <t xml:space="preserve">BAKER CONCRETE CONSTRUCTION INC</t>
  </si>
  <si>
    <t xml:space="preserve">S02187</t>
  </si>
  <si>
    <t xml:space="preserve">207 BROMLEY LN</t>
  </si>
  <si>
    <t xml:space="preserve">BELL CAMPER MFG (1973; SIC 3792)</t>
  </si>
  <si>
    <t xml:space="preserve">BELL CAMPER MFG (1973)</t>
  </si>
  <si>
    <t xml:space="preserve">WATERMILL EXPRESS LLC [FRS; 228 m] | KAISER PERMANENTE - BRIGHTON MOB [CDPHE RCRA; 228 m] | WATERMILL EXPRESS LLC [CDPHE RCRA; 228 m] | WALMART SUPERCENTER #1659 [FRS; 230 m]</t>
  </si>
  <si>
    <t xml:space="preserve">MURPHY EXPRESS FUEL STATION BRIGHTON [FRS; 134 m] | CIRCLE K STORES, INC - #2741120 [FRS; 188 m] | SAKATA FARMS, INC. [FRS; 228 m] | BRIGHTON WATER LINES ITB 18 007 [FRS; 231 m] | AGFINITY INC. - BRIGHTON [FRS; 236 m]</t>
  </si>
  <si>
    <t xml:space="preserve">WATERMILL EXPRESS LLC</t>
  </si>
  <si>
    <t xml:space="preserve">S02205</t>
  </si>
  <si>
    <t xml:space="preserve">7440 CHERRY ST</t>
  </si>
  <si>
    <t xml:space="preserve">K + W METAL FABRICATORS, INC (1973-1974; SIC 3444)</t>
  </si>
  <si>
    <t xml:space="preserve">K + W METAL FABRICATORS, INC (1973) | EQUIP, CHEMICALS S+J ENTERPRISES INC (1988)</t>
  </si>
  <si>
    <t xml:space="preserve">GOLD STAR AUTO BODY [FRS; 12 m]</t>
  </si>
  <si>
    <t xml:space="preserve">KANDI LAND AUTO PAINT [FRS; 12 m] | 74TH AVE &amp; CHERRY ST [FRS; 25 m]</t>
  </si>
  <si>
    <t xml:space="preserve">GOLD STAR AUTO BODY</t>
  </si>
  <si>
    <t xml:space="preserve">S02207</t>
  </si>
  <si>
    <t xml:space="preserve">7470 CHERRY</t>
  </si>
  <si>
    <t xml:space="preserve">KNUDSON MFG INC 2 (1973; SIC 3542)</t>
  </si>
  <si>
    <t xml:space="preserve">KNUDSON MFG INC 2 (1973)</t>
  </si>
  <si>
    <t xml:space="preserve">GOLD STAR AUTO BODY [FRS; 35 m]</t>
  </si>
  <si>
    <t xml:space="preserve">74TH AVE &amp; CHERRY ST [FRS; 23 m] | KANDI LAND AUTO PAINT [FRS; 35 m]</t>
  </si>
  <si>
    <t xml:space="preserve">S02211</t>
  </si>
  <si>
    <t xml:space="preserve">6899 E 49TH AVE</t>
  </si>
  <si>
    <t xml:space="preserve">RIVIERA MFG CC INC (1973-1974; SIC 3792,3799) | METAL STUD FORMING CORP (1977-1980; SIC 3442)</t>
  </si>
  <si>
    <t xml:space="preserve">RIVIERA MFG CC INC (1973) | METAL STUD FORMING CORP (1977)</t>
  </si>
  <si>
    <t xml:space="preserve">SCIC [FRS; 3 m] | SUTRAK CORPORATION [FRS; 4 m] | JENCO DBA MAACO AUTO PAINTING NO 707 [FRS; 23 m] | MAACO [CDPHE RCRA; 27 m] | SCIC [FRS] (address match)</t>
  </si>
  <si>
    <t xml:space="preserve">SUTRAK [FRS; 4 m] | CLIMATE COMFORT TECHNOLOGIES [FRS; 4 m]</t>
  </si>
  <si>
    <t xml:space="preserve">SCIC</t>
  </si>
  <si>
    <t xml:space="preserve">S02215</t>
  </si>
  <si>
    <t xml:space="preserve">4810 NEWPORT</t>
  </si>
  <si>
    <t xml:space="preserve">WESTON MFG + SUPPLY CO INC (1973; SIC 2869,3953,3991)</t>
  </si>
  <si>
    <t xml:space="preserve">WESTON MFG + SUPPLY CO INC (1973) | GOLD STAR SEEF CO (1980) | SETS SUPERVISED PRODUCTS (1988)</t>
  </si>
  <si>
    <t xml:space="preserve">MARKETING DATA SOLUTIONS, LLC DBA REGION 8 INTERNATIONAL [FRS; 29 m] | REGION 8 ENVIRO LLC [FRS; 29 m]</t>
  </si>
  <si>
    <t xml:space="preserve">COLORADO CONTEMPO LTD - NEWPORT ST [FRS; 5 m] | COLORADO CONTEMPO LTD - NEWPORT ST [FRS; 26 m] | REGION 8 ENVIRO LLC [FRS; 29 m]</t>
  </si>
  <si>
    <t xml:space="preserve">S02220</t>
  </si>
  <si>
    <t xml:space="preserve">6500 FEDERAL BLVD</t>
  </si>
  <si>
    <t xml:space="preserve">ATOM METALIZING INC (1973-1974; SIC 3544,3471)</t>
  </si>
  <si>
    <t xml:space="preserve">ATOM METALIZING INC (1973) | EDEN ENTERPRISES (1973) | SELIG SIGNCRAFT (1980) | WTRPRF COATINGS ASTRO SIGNS+GRAPHICS (1988) | ASTRO SIGNS + GRAPHICS (1990)</t>
  </si>
  <si>
    <t xml:space="preserve">CUSTOM FURNITURE FINISHING [FRS; 48 m]</t>
  </si>
  <si>
    <t xml:space="preserve">CUSTOM FURNITURE FINISHING</t>
  </si>
  <si>
    <t xml:space="preserve">S02224</t>
  </si>
  <si>
    <t xml:space="preserve">6728 FEDERAL</t>
  </si>
  <si>
    <t xml:space="preserve">DUR-O-WAL INC COLORADO (1992; SIC 3496,2591,2431)</t>
  </si>
  <si>
    <t xml:space="preserve">DURATEX VENETIAN BLINDS INC (1973) | DUR-O-WAL INC COLORADO (1992)</t>
  </si>
  <si>
    <t xml:space="preserve">XTREME COLLISIONS &amp; CUSTOMS [FRS; 15 m]</t>
  </si>
  <si>
    <t xml:space="preserve">XTREME COLLISIONS &amp; CUSTOMS</t>
  </si>
  <si>
    <t xml:space="preserve">S02228</t>
  </si>
  <si>
    <t xml:space="preserve">6501 FEDERAL BLVD</t>
  </si>
  <si>
    <t xml:space="preserve">1973;1974;1980;1983;1988</t>
  </si>
  <si>
    <t xml:space="preserve">STARLINER CAMPER SALES INC (1973-1983; SIC 3444,3442) | STARLINER CAMPER SALES INC (1980; SIC 3792) | PAN COOLER STABUNRR CAMPER (1988; SIC 3792)</t>
  </si>
  <si>
    <t xml:space="preserve">STARLINER CAMPER SALES INC (1973) | STARLINER CAMPER SALES INC (1980) | PAN COOLER STABUNRR CAMPER (1988)</t>
  </si>
  <si>
    <t xml:space="preserve">MARTINEZ AUTO REPAIR [FRS; 4 m] | CUSTOM FURNITURE FINISHING [FRS; 16 m]</t>
  </si>
  <si>
    <t xml:space="preserve">AFFORDABLE AUTO TINT [FRS; 26 m]</t>
  </si>
  <si>
    <t xml:space="preserve">MARTINEZ AUTO REPAIR</t>
  </si>
  <si>
    <t xml:space="preserve">S02232</t>
  </si>
  <si>
    <t xml:space="preserve">255 64TH</t>
  </si>
  <si>
    <t xml:space="preserve">WEATHERGUARD ORNAMENTAL IRON (1973-1974; SIC 3446,3442) | WEATHERGUARD INDUSTRIES» INC (1980-1983; SIC 3442,3446)</t>
  </si>
  <si>
    <t xml:space="preserve">WEATHERGUARD ORNAMENTAL IRON (1973) | WEATHERGUARD INDUSTRIES» INC (1980)</t>
  </si>
  <si>
    <t xml:space="preserve">ADVANCED CHEMICAL TRANSPORT INC [FRS; 62 m] | FIRST TRANSIT 55565 [FRS; 70 m] | UNITED STATES POSTAL SERVICE [FRS; 189 m]</t>
  </si>
  <si>
    <t xml:space="preserve">FIRST TRANSIT DENVER #55565A [FRS; 35 m] | AMERICAN TAPE AND LABEL [FRS; 163 m] | PIPEFITTERS LOCAL 208 APPRENTICE SCHOOL [FRS; 204 m]</t>
  </si>
  <si>
    <t xml:space="preserve">ADVANCED CHEMICAL TRANSPORT INC</t>
  </si>
  <si>
    <t xml:space="preserve">S02235</t>
  </si>
  <si>
    <t xml:space="preserve">9985 E 104TH AVE</t>
  </si>
  <si>
    <t xml:space="preserve">MADRON MFG CO INC (1973-1983; SIC 3559,3536,3441) | RIGIOBILT HOMES OF COLORAOC INC (1973; SIC 2952) | FUTURE PLASTICS (1988; SIC 3089)</t>
  </si>
  <si>
    <t xml:space="preserve">MADRON MFG CO INC (1973) | RIGIOBILT HOMES OF COLORAOC INC (1973) | BELLVIEW WOOD PRODUCTS (1980) | FUTURE PLASTICS (1988)</t>
  </si>
  <si>
    <t xml:space="preserve">SCHLUMBERGER DRILLING AND MEASUREMENTS [FRS; 38 m]</t>
  </si>
  <si>
    <t xml:space="preserve">RED OWL RV REPAIR [FRS; 49 m] | CORE MINERAL RECOVERIES [FRS] (address match)</t>
  </si>
  <si>
    <t xml:space="preserve">SCHLUMBERGER DRILLING AND MEASUREMENTS</t>
  </si>
  <si>
    <t xml:space="preserve">S02239</t>
  </si>
  <si>
    <t xml:space="preserve">3650 W 69TH PL</t>
  </si>
  <si>
    <t xml:space="preserve">1973;1974;1988;1990;1992</t>
  </si>
  <si>
    <t xml:space="preserve">COLORADO TOOL + STAKPING CC (1973-1974; SIC 3444,3469,3591) | INTERSTATE PATTERN+MFG CO (1988-1992; SIC 3650,3363,3469)</t>
  </si>
  <si>
    <t xml:space="preserve">COLORADO TOOL + STAKPING CC (1973) | PRICE PRECISICN (1974) | INTERSTATE PATTERN+MFG CO (1988)</t>
  </si>
  <si>
    <t xml:space="preserve">CAMP STONE COMPANY, INC. [FRS; 44 m]</t>
  </si>
  <si>
    <t xml:space="preserve">S02753</t>
  </si>
  <si>
    <t xml:space="preserve">265 N MAIN ST</t>
  </si>
  <si>
    <t xml:space="preserve">D L M ENCUSTRIES INC (1974; SIC 3446)</t>
  </si>
  <si>
    <t xml:space="preserve">D L M ENCUSTRIES INC (1974)</t>
  </si>
  <si>
    <t xml:space="preserve">BRIGHTON RADIATOR &amp; MUFFLER [FRS; 21 m]</t>
  </si>
  <si>
    <t xml:space="preserve">BRIGHTON RADIATOR &amp; MUFFLER</t>
  </si>
  <si>
    <t xml:space="preserve">S02761</t>
  </si>
  <si>
    <t xml:space="preserve">6301 DEXTER</t>
  </si>
  <si>
    <t xml:space="preserve">STEEL STORAGE SYSTEMS INC (1974-1977; SIC 3446)</t>
  </si>
  <si>
    <t xml:space="preserve">STEEL STORAGE SYSTEMS INC (1974)</t>
  </si>
  <si>
    <t xml:space="preserve">STEEL STORAGE SYSTEMS, INC [FRS; name match, 66 m] | STEEL STORAGE SYSTEMS INC [CDPHE RCRA; name match, 81 m]</t>
  </si>
  <si>
    <t xml:space="preserve">Greyhound Flats</t>
  </si>
  <si>
    <t xml:space="preserve">STEEL STORAGE SYSTEMS, INC</t>
  </si>
  <si>
    <t xml:space="preserve">S02785</t>
  </si>
  <si>
    <t xml:space="preserve">6701 HOOKER ST</t>
  </si>
  <si>
    <t xml:space="preserve">MULTIFOAM CO INC (1974; SIC 3079)</t>
  </si>
  <si>
    <t xml:space="preserve">MULTIFOAM CO INC (1974)</t>
  </si>
  <si>
    <t xml:space="preserve">BIP A SUBSIDIARY OF INDUSTRIALEX MFG [FRS; 53 m] | HUNTER CO [FRS; 183 m] | ESB INC [FRS; 194 m] | DISASTER RESTORATION INC [FRS; 231 m] | SUSTAINABILITY - EWASTE 10 [FRS; 231 m] | SUSTAINABILITY- EWASTE 9 [FRS; 231 m]</t>
  </si>
  <si>
    <t xml:space="preserve">IVY APARTMENTS [FRS; 132 m] | WESTMINSTER STATION PH 1 INFRASTRUCTURE [FRS; 137 m] | WESTMINSTER GARAGE [FRS; 151 m] | WESTMINSTER TOD [FRS; 162 m] | RIESTRAS KITCHEN &amp; BATH [FRS; 173 m] | BG GLASS [FRS; 187 m] | ASPEN APARTMENT HOMES [FRS; 213 m] | ALTO WESTMINSTER [FRS; 216 m] | TOD WQ POND 71 AVE AND HOOKER ST [FRS; 243 m]</t>
  </si>
  <si>
    <t xml:space="preserve">BIP A SUBSIDIARY OF INDUSTRIALEX MFG</t>
  </si>
  <si>
    <t xml:space="preserve">S03091</t>
  </si>
  <si>
    <t xml:space="preserve">5075 TABOR</t>
  </si>
  <si>
    <t xml:space="preserve">BEAUX INDUSTRIES INC (1974; SIC 3559)</t>
  </si>
  <si>
    <t xml:space="preserve">BEAUX INDUSTRIES INC (1974)</t>
  </si>
  <si>
    <t xml:space="preserve">MUNCHIANDO TRANSPORTATION SERVICES INC [FRS; 8 m] | MOUNTAIN VISTA HEALTH CENTER [CDPHE RCRA; 48 m] | CONTINENTAL WATER SYSTEMS [FRS; 229 m] | MAR-PRO [FRS; 229 m]</t>
  </si>
  <si>
    <t xml:space="preserve">QWEST COMMUNICATIONS INTERNATIONAL, INC [FRS; 83 m] | THE PARALLEL APARTMENTS [FRS; 134 m] | CIMARRON WHEAT RIDGE [FRS; 145 m] | APPLIED PLASTIC COATINGS, INC. [FRS; 229 m]</t>
  </si>
  <si>
    <t xml:space="preserve">MUNCHIANDO TRANSPORTATION SERVICES INC</t>
  </si>
  <si>
    <t xml:space="preserve">S03632</t>
  </si>
  <si>
    <t xml:space="preserve">3300 W 71ST AVE</t>
  </si>
  <si>
    <t xml:space="preserve">COLORADO COILING CO (1980-1983; SIC 3495,3496) | OA-VEST INC (1980; SIC 2399,2842) | AIR SENTRY INC (1990; SIC 3564,3569,3498)</t>
  </si>
  <si>
    <t xml:space="preserve">HUNTER CC (1974) | CHAPLIN ENGRAVING CO (1980) | COLORADO COILING CO (1980) | OA-VEST INC (1980) | HIGH COUNTRY DESIGNS INC (1980) | Kowp B J INC (1980) | SALES QUILDERS INC THE (1980) | TARTAN ORTHOPEDICS LTD (1983) | AIR SENTRY INC (1990) | JUST RIGHT PRINTING (1990) | TUMBLEWEED PRESS (1990)</t>
  </si>
  <si>
    <t xml:space="preserve">HUNTER CO [FRS; name match, 8 m] | ESB INC [FRS; 20 m] | SUSTAINABILITY- EWASTE 9 [FRS; 57 m] | DISASTER RESTORATION INC [FRS; 57 m] | SUSTAINABILITY - EWASTE 10 [FRS; 57 m] | HUNTER CO [FRS] (address match)</t>
  </si>
  <si>
    <t xml:space="preserve">RIESTRAS KITCHEN &amp; BATH [FRS; 1 m] | BG GLASS [FRS; 13 m]</t>
  </si>
  <si>
    <t xml:space="preserve">PCA5 DISPOSAL AREA</t>
  </si>
  <si>
    <t xml:space="preserve">HUNTER CO</t>
  </si>
  <si>
    <t xml:space="preserve">S03186</t>
  </si>
  <si>
    <t xml:space="preserve">3400 E 56TH</t>
  </si>
  <si>
    <t xml:space="preserve">MARS STEEL + IRON (1977-1983; SIC 3441,3446)</t>
  </si>
  <si>
    <t xml:space="preserve">MARS STEEL + IRON (1977)</t>
  </si>
  <si>
    <t xml:space="preserve">TACTICAL CLEANING ACQUISITIONS [FRS; 5 m] | TACTICAL CLEANING ACQUISITIONS [CDPHE RCRA; 11 m]</t>
  </si>
  <si>
    <t xml:space="preserve">CO ASPHALT SERVICES LLC - RECYCLE PLANT [FRS; 5 m]</t>
  </si>
  <si>
    <t xml:space="preserve">Magellan Pipeline - Commerce City</t>
  </si>
  <si>
    <t xml:space="preserve">NUSTAR LOGISTICS, LP-DENVER TERMINAL</t>
  </si>
  <si>
    <t xml:space="preserve">TACTICAL CLEANING ACQUISITIONS</t>
  </si>
  <si>
    <t xml:space="preserve">S03191</t>
  </si>
  <si>
    <t xml:space="preserve">4850 OLIVE ST</t>
  </si>
  <si>
    <t xml:space="preserve">SOLARON CORP (1977; SIC 3433)</t>
  </si>
  <si>
    <t xml:space="preserve">SOLARON CORP (1977) | YORK FEATHER ¢ DOWN CORP (1980) | PORK CRACKLES SOWN AR HER INC (1988) | COLORADO DOWN + FEATHER INC (1990)</t>
  </si>
  <si>
    <t xml:space="preserve">AMERICAN ENGINE INSTALLATION [FRS; 4 m] | BOB SMITH OILS INC [FRS; 17 m]</t>
  </si>
  <si>
    <t xml:space="preserve">AMERICAN ENGINE INSTALLATION</t>
  </si>
  <si>
    <t xml:space="preserve">S03200</t>
  </si>
  <si>
    <t xml:space="preserve">10701 MELODY DR 509</t>
  </si>
  <si>
    <t xml:space="preserve">ECOLOGICAL ENGINEERING SYSTEMS INC (1983; SIC 2911) | WESTERN GAS PROCESSORS LTD (1990; SIC 2911)</t>
  </si>
  <si>
    <t xml:space="preserve"> (1977) | SUPERSONIC INSTANT PRINTING (1980) | ECOLOGICAL ENGINEERING SYSTEMS INC (1983) | WESTERN GAS PROCESSORS LTD (1990)</t>
  </si>
  <si>
    <t xml:space="preserve">SEARS #1291 [FRS; 20 m]</t>
  </si>
  <si>
    <t xml:space="preserve">EUROPEAN MARKET</t>
  </si>
  <si>
    <t xml:space="preserve">SEARS #1291</t>
  </si>
  <si>
    <t xml:space="preserve">S04486</t>
  </si>
  <si>
    <t xml:space="preserve">7150 NEWTON ST</t>
  </si>
  <si>
    <t xml:space="preserve">HAINS ENGINEERING CORP (1980; SIC 3498,3443) | PR@ MACH CO (1980-1983; SIC 3498,3599) | CLEASBY MFG. OF DENVER (1983-1992; SIC 3443,3423,3535) | 8K Y MFG OF (1988; SIC 3423,3443,3535) | WESTMINSTER - WESTMINSTER 329 HURTT MACHINE+TOOL (1988; SIC 3544,3599)</t>
  </si>
  <si>
    <t xml:space="preserve"> (1977) | HAINS ENGINEERING CORP (1980) | PR@ MACH CO (1980) | KID KRAFT (1983) | CLEASBY MFG. OF DENVER (1983) | CHAPLIN ENGRAVING CO (1988) | 8K Y MFG OF (1988) | WESTMINSTER - WESTMINSTER 329 HURTT MACHINE+TOOL (1988) | ALL PRO FORMS INC (1992)</t>
  </si>
  <si>
    <t xml:space="preserve">CLEASBY MFG OF DENVER [FRS; name match, 20 m] | CLEASBY MFG OF DENVER [FRS] (address match)</t>
  </si>
  <si>
    <t xml:space="preserve">PACHELLOS PRINTING [FRS; 38 m] | CELLCO - WESTMINSTER MTX [FRS; 78 m]</t>
  </si>
  <si>
    <t xml:space="preserve">Parks Shop</t>
  </si>
  <si>
    <t xml:space="preserve">S03561</t>
  </si>
  <si>
    <t xml:space="preserve">14 SKY RANCH RD E001T</t>
  </si>
  <si>
    <t xml:space="preserve">COLUMBINE RIG ¢ CONSTRUCTION (1980; SIC 3533)</t>
  </si>
  <si>
    <t xml:space="preserve">COLUMBINE RIG ¢ CONSTRUCTION (1980)</t>
  </si>
  <si>
    <t xml:space="preserve">UNIVAIR AIRCRAFT CORP [FRS; 125 m] | ENVIRONMENTAL ROLL-OFF XPRESS LLC [FRS; 220 m]</t>
  </si>
  <si>
    <t xml:space="preserve">VERIZON WIRELESS - TBD (20150 SKY RANCH) [FRS; 73 m]</t>
  </si>
  <si>
    <t xml:space="preserve">UNIVAIR AIRCRAFT CORP</t>
  </si>
  <si>
    <t xml:space="preserve">S03570</t>
  </si>
  <si>
    <t xml:space="preserve">14500 E 33RD PL</t>
  </si>
  <si>
    <t xml:space="preserve">RUSCO BULLDING PRODUCTION (1980; SIC 3442)</t>
  </si>
  <si>
    <t xml:space="preserve">RUSCO BULLDING PRODUCTION (1980) | RUSCO BUILDING PRODUCTS OF COLORADO INC (1983)</t>
  </si>
  <si>
    <t xml:space="preserve">TEAM PACKAGING INC [FRS; 3 m] | TEAM PACKAGING INC [FRS] (address match) | TEAM PACKAGING INC [CDPHE RCRA] (address match)</t>
  </si>
  <si>
    <t xml:space="preserve">TEAM PACKAGING INC</t>
  </si>
  <si>
    <t xml:space="preserve">S03584</t>
  </si>
  <si>
    <t xml:space="preserve">7040 FAIRFAX DR</t>
  </si>
  <si>
    <t xml:space="preserve">G BR INC/0BA ENGINE MASTERS (1980-1990; SIC 3714,3599)</t>
  </si>
  <si>
    <t xml:space="preserve">G BR INC/0BA ENGINE MASTERS (1980)</t>
  </si>
  <si>
    <t xml:space="preserve">ENGINE MASTERS [FRS; name match, 16 m] | ENGINE MASTERS [FRS] (address match)</t>
  </si>
  <si>
    <t xml:space="preserve">ENGINE MASTERS</t>
  </si>
  <si>
    <t xml:space="preserve">S03585</t>
  </si>
  <si>
    <t xml:space="preserve">6511 BRIGHTON BLVD</t>
  </si>
  <si>
    <t xml:space="preserve">4 TY V ENTERPRISES (1980-1990; SIC 3479,3471)</t>
  </si>
  <si>
    <t xml:space="preserve">4 TY V ENTERPRISES (1980)</t>
  </si>
  <si>
    <t xml:space="preserve">AMERICAN INDUSTRIAL [FRS; 5 m]</t>
  </si>
  <si>
    <t xml:space="preserve">HTV ENTERPRISE INC [FRS; name match, 36 m] | HTV ENTERPRISE INC [FRS] (address match)</t>
  </si>
  <si>
    <t xml:space="preserve">AMERICAN INDUSTRIAL</t>
  </si>
  <si>
    <t xml:space="preserve">S03604</t>
  </si>
  <si>
    <t xml:space="preserve">2890 W 90TH PL</t>
  </si>
  <si>
    <t xml:space="preserve">3 + 8 MACHINE (1980; SIC 3069)</t>
  </si>
  <si>
    <t xml:space="preserve">3 + 8 MACHINE (1980)</t>
  </si>
  <si>
    <t xml:space="preserve">FOSTER'S GARAGE &amp; AUTO BODY [FRS; 147 m] | GUY'S HOT TANK SERVICE [FRS; 160 m] | FASHION RITE CLEANERS [FRS; 235 m]</t>
  </si>
  <si>
    <t xml:space="preserve">P &amp; G PAINTING [FRS; 155 m] | PINE GARDENS APARTMENTS [FRS; 160 m] | PARK PLACE AT 92ND APARTMENTS [FRS; 171 m] | PEERLESS TYRE CO INC NO 820 [FRS; 175 m] | DIAMOND SHAMROCK #655 [FRS; 199 m] | EGRESS INC [FRS; 211 m]</t>
  </si>
  <si>
    <t xml:space="preserve">FOSTER'S GARAGE &amp; AUTO BODY</t>
  </si>
  <si>
    <t xml:space="preserve">S03606</t>
  </si>
  <si>
    <t xml:space="preserve">11970 N WASHINGTON</t>
  </si>
  <si>
    <t xml:space="preserve">LADY6UG PRINTING (1980; SIC 2752,3479)</t>
  </si>
  <si>
    <t xml:space="preserve">LADY6UG PRINTING (1980) | LADYBUG PRINTING 3822 ENVIRONMENTAL CONTROLS (1983) | LADYBUG PRINT COPY CENTER (1990)</t>
  </si>
  <si>
    <t xml:space="preserve">AMOCO GAS STA NO 32004 [FRS; 13 m] | CHEVRON USA #7-0467 [FRS; 15 m] | WALGREEN STORE #5644 [FRS; 60 m] | ECONO LUBE N TUNE #226 [FRS; 122 m] | MEKTEC CORP [FRS; 123 m] | CRASH CHAMPIONS LLC [FRS; 124 m] | GENERAL PARTS DISTRIBUTION LLC DBA CARQUEST AUTO PARTS #3918 [FRS; 220 m]</t>
  </si>
  <si>
    <t xml:space="preserve">GASAMAT #102 [FRS; 13 m] | 120TH AVE WIDENING [FRS; 52 m] | APRO DBA UNITED PACIFIC - MY GOODS #6533 [FRS; 66 m] | SERVICE KING - THORNTON #158 [FRS; 124 m] | MURPHY USA NORTHGLENN [FRS; 192 m] | THISTLE SAGE [FRS; 193 m]</t>
  </si>
  <si>
    <t xml:space="preserve">AMOCO GAS STA NO 32004</t>
  </si>
  <si>
    <t xml:space="preserve">S03613</t>
  </si>
  <si>
    <t xml:space="preserve">9166 HURON</t>
  </si>
  <si>
    <t xml:space="preserve">VELMAR ENGRAVING (1990-1992; SIC 3479,3993)</t>
  </si>
  <si>
    <t xml:space="preserve">RUBBER STAMPS BY NORM (1980) | MINUTEMAN PRESS (1990) | VELMAR ENGRAVING (1990)</t>
  </si>
  <si>
    <t xml:space="preserve">THORNTON TREATMENT FACILITY PFAS [FRS; 224 m]</t>
  </si>
  <si>
    <t xml:space="preserve">NIVER CREEK TRIBUTARY M IMPROVEMENTS [FRS; 159 m] | QT 4203 [FRS; 171 m] | THORNTON PARKWAY AND HURON STREET 1% PROJECT (DE) [FRS; 175 m] | CITY OF THORNTON - TREATMENT PLANT [FRS; 224 m] | QUIKTRIP 4203 [FRS; 232 m] | ALPINE STATION #5 [FRS; 237 m]</t>
  </si>
  <si>
    <t xml:space="preserve">THORNTON TREATMENT FACILITY PFAS</t>
  </si>
  <si>
    <t xml:space="preserve">S03628</t>
  </si>
  <si>
    <t xml:space="preserve">10650 IRMA OR</t>
  </si>
  <si>
    <t xml:space="preserve">ENSULATIGN TECHNOLOGY CORP (1980-1983; SIC 3564)</t>
  </si>
  <si>
    <t xml:space="preserve">ENSULATIGN TECHNOLOGY CORP (1980) | IMPRESSIONS PRINTING (1983) | ROBERTSON HARNESS=SYNERGY SYSTEMS (1983) | AVALANCHE RECORDING STUDIOS INC (1988)</t>
  </si>
  <si>
    <t xml:space="preserve">FANTASIA AUTOBODY &amp; PAINT SHOP [FRS; 10 m]</t>
  </si>
  <si>
    <t xml:space="preserve">FANTASIA AUTOBODY &amp; PAINT SHOP</t>
  </si>
  <si>
    <t xml:space="preserve">S03636</t>
  </si>
  <si>
    <t xml:space="preserve">3755 W 69TH PL</t>
  </si>
  <si>
    <t xml:space="preserve">PRIDE MFG ING (1980-1988; SIC 3444,3599) | PRIDE MANUFACTURING INC (1990; SIC 3444,3599)</t>
  </si>
  <si>
    <t xml:space="preserve">PRIDE MFG ING (1980) | PRIDE MANUFACTURING INC (1990)</t>
  </si>
  <si>
    <t xml:space="preserve">KD ADVANTAGE [FRS; 1 m] | KD ADVANTAGE [FRS] (address match)</t>
  </si>
  <si>
    <t xml:space="preserve">KD ADVANTAGE</t>
  </si>
  <si>
    <t xml:space="preserve">S03638</t>
  </si>
  <si>
    <t xml:space="preserve">7102 RALEIGH ST</t>
  </si>
  <si>
    <t xml:space="preserve">S ¢ M MANUFACTURING CO INC (1980-1983; SIC 3544,3599) | SEBRING HFG INC (1983; SIC 3799,3999) | SEBRING MANUFACTURING INC (1990; SIC 3799,3999)</t>
  </si>
  <si>
    <t xml:space="preserve">S ¢ M MANUFACTURING CO INC (1980) | SEBRING MFG INC (1980) | SEBRING HFG INC (1983)</t>
  </si>
  <si>
    <t xml:space="preserve">AXIOM FLEET [FRS; 1 m]</t>
  </si>
  <si>
    <t xml:space="preserve">CURLYS AUTO BODY [FRS] (address match)</t>
  </si>
  <si>
    <t xml:space="preserve">S03646</t>
  </si>
  <si>
    <t xml:space="preserve">509 BUCKLEY RD</t>
  </si>
  <si>
    <t xml:space="preserve">LIGHT PLANE COMPONENTS (1980; SIC 3728)</t>
  </si>
  <si>
    <t xml:space="preserve">LIGHT PLANE COMPONENTS (1980) | FARNHAM WOODWORKS (1983)</t>
  </si>
  <si>
    <t xml:space="preserve">AURORA PUBLIC SCHOOLS TRANSPORTATION [FRS; 90 m] | BUSINESS SERVICES [FRS; 90 m] | APS WAREHOUSE [FRS; 90 m] | DRIVER EDUCATION [FRS; 90 m] | AURORA PUBLIC SCHOOLS TRANSPORTATION [CDPHE RCRA; 90 m] | BUSINESS SERVICES [CDPHE RCRA; 90 m] | APS WAREHOUSE [CDPHE RCRA; 90 m] | DRIVER EDUCATION [CDPHE RCRA; 90 m] | T H PICKENS TECHNICAL CENTER [CDPHE RCRA; 90 m] | CRAFTSMAN PAINTERS INC [FRS; 161 m] | </t>
  </si>
  <si>
    <t xml:space="preserve">SUNCOR - 2706310 [FRS; 76 m] | E 6TH AVENUE WIDENING [FRS; 101 m] | 7-ELEVEN - STORE #38390 [FRS; 115 m] | AURORA MISSING SIDEWALKS PROGRAM 4 [FRS; 151 m]</t>
  </si>
  <si>
    <t xml:space="preserve">AURORA PUBLIC SCHOOLS TRANSPORTATION</t>
  </si>
  <si>
    <t xml:space="preserve">S03647</t>
  </si>
  <si>
    <t xml:space="preserve">794 VENTURA ST</t>
  </si>
  <si>
    <t xml:space="preserve">ANIMARKs INC (1983-1990; SIC 2834)</t>
  </si>
  <si>
    <t xml:space="preserve">® X% ENTERNATIONAL INC (1980) | ANIMARKs INC (1983)</t>
  </si>
  <si>
    <t xml:space="preserve">BLOCK GRAPHICS INC [FRS; 36 m]</t>
  </si>
  <si>
    <t xml:space="preserve">ANIMARK INC [FRS; name match, 122 m] | STONE IDEAS, LLC [FRS] (address match)</t>
  </si>
  <si>
    <t xml:space="preserve">BLOCK GRAPHICS INC</t>
  </si>
  <si>
    <t xml:space="preserve">S04430</t>
  </si>
  <si>
    <t xml:space="preserve">13799 E SMITH DR UC</t>
  </si>
  <si>
    <t xml:space="preserve">AURORA METAL FABRICATORS INC (1983; SIC 3444,3444)</t>
  </si>
  <si>
    <t xml:space="preserve">AURORA METAL FABRICATORS INC (1983)</t>
  </si>
  <si>
    <t xml:space="preserve">TBL EXCAVATING INC [FRS; 95 m] | CROWN LIFT TRUCKS [CDPHE RCRA; 227 m] | VWR INTERNATIONAL LLC [CDPHE RCRA; 227 m]</t>
  </si>
  <si>
    <t xml:space="preserve">LEE'S CUSTOM WOODWORK [FRS; 41 m] | ROADRUNNER HVAC INC [FRS; 102 m] | BRUAX INVESTMENTS LLC [FRS; 167 m] | BARANMOR DITCH ZION STREET CULVERT REPLACEMENT [FRS; 212 m] | BLAZER WATERPROOFING SYSTEMS INC [FRS; 235 m]</t>
  </si>
  <si>
    <t xml:space="preserve">TBL EXCAVATING INC</t>
  </si>
  <si>
    <t xml:space="preserve">S04432</t>
  </si>
  <si>
    <t xml:space="preserve">15608 E 17TH AVE</t>
  </si>
  <si>
    <t xml:space="preserve">ELLIS MANUFACTURING (1983; SIC 3559,3441) | EMC MACHINE INC (1990; SIC 3499,3559,3569)</t>
  </si>
  <si>
    <t xml:space="preserve">ELLIS MANUFACTURING (1983) | EMC MACHINE INC (1990)</t>
  </si>
  <si>
    <t xml:space="preserve">ADRIA &amp; ASSOCIATES DBA MAACO COLLISION [FRS; 10 m] | ADRIA &amp; ASSOCIATES DBA MAACO COLLISION [FRS] (address match) | MAACO COLLISION REPAIR &amp; AUTO PAINTING [CDPHE RCRA] (address match)</t>
  </si>
  <si>
    <t xml:space="preserve">ADRIA &amp; ASSOCIATES DBA MAACO COLLISION</t>
  </si>
  <si>
    <t xml:space="preserve">S04439</t>
  </si>
  <si>
    <t xml:space="preserve">355 GREGS PL</t>
  </si>
  <si>
    <t xml:space="preserve">BENNETT</t>
  </si>
  <si>
    <t xml:space="preserve">80102</t>
  </si>
  <si>
    <t xml:space="preserve"> (1983; SIC 3443,3499,3441) | BENNETT D+D WELDING INC (1988; SIC 3443,3837) | D+D WELDING INC (1990; SIC 3443,3537)</t>
  </si>
  <si>
    <t xml:space="preserve"> (1983) | BENNETT D+D WELDING INC (1988) | D+D WELDING INC (1990)</t>
  </si>
  <si>
    <t xml:space="preserve">CORRIDOR COLLISION LLC [FRS; 204 m] | CORRIDOR COLLISION LLC [CDPHE RCRA; 207 m]</t>
  </si>
  <si>
    <t xml:space="preserve">CORRIDOR COLLISION LLC</t>
  </si>
  <si>
    <t xml:space="preserve">S04456</t>
  </si>
  <si>
    <t xml:space="preserve">7000 BROADWAY ST 304</t>
  </si>
  <si>
    <t xml:space="preserve">MONTOYA PRECISION (1990-1992; SIC 3449,3821)</t>
  </si>
  <si>
    <t xml:space="preserve">OAKIN 5 CORPORATION (1983) | MONTOYA PRECISION (1990)</t>
  </si>
  <si>
    <t xml:space="preserve">KITCHEN SAVERS, INC [CDPHE RCRA; 19 m] | BORN AGAIN CABINETS INC [FRS; 44 m] | CBD CLINILABS [FRS; 44 m]</t>
  </si>
  <si>
    <t xml:space="preserve">HANDYMAN CONNECTION [FRS; 44 m] | PRECISION SIDING AND CONSTRUCTION [FRS; 44 m] | 7-ELEVEN 70TH &amp; BROADWAY [FRS; 51 m]</t>
  </si>
  <si>
    <t xml:space="preserve">KITCHEN SAVERS, INC</t>
  </si>
  <si>
    <t xml:space="preserve">S04472</t>
  </si>
  <si>
    <t xml:space="preserve">5751 PECOS ST</t>
  </si>
  <si>
    <t xml:space="preserve">STANLEY STRUCTURES —- STRUCTURAL PLANT (1983-1990; SIC 3272,3441)</t>
  </si>
  <si>
    <t xml:space="preserve">STANLEY STRUCTURES —- STRUCTURAL PLANT (1983)</t>
  </si>
  <si>
    <t xml:space="preserve">DEN CORE RECYCLING [FRS; 10 m] | ALPINE LUMBER CO DBA ROCKY MTN PRESTAIN [FRS; 35 m]</t>
  </si>
  <si>
    <t xml:space="preserve">PECOS YARD EXPANSION [FRS; 35 m]</t>
  </si>
  <si>
    <t xml:space="preserve">DEN CORE RECYCLING</t>
  </si>
  <si>
    <t xml:space="preserve">S04474</t>
  </si>
  <si>
    <t xml:space="preserve">12150 E 112TH AVE</t>
  </si>
  <si>
    <t xml:space="preserve">CONDOR ENGINEERING + MANUFACTURING INC (1983; SIC 3533)</t>
  </si>
  <si>
    <t xml:space="preserve">CONDOR ENGINEERING + MANUFACTURING INC (1983)</t>
  </si>
  <si>
    <t xml:space="preserve">STURGEON ELECTRIC COMPANY [FRS] (address match)</t>
  </si>
  <si>
    <t xml:space="preserve">STURGEON ELECTRIC COMPANY</t>
  </si>
  <si>
    <t xml:space="preserve">S04495</t>
  </si>
  <si>
    <t xml:space="preserve">1655 JASPER</t>
  </si>
  <si>
    <t xml:space="preserve">INNOVATION SUPPLY INC (1983; SIC 3532,3079,3441) | TECH. ENTERPRISES» INC. (1983; SIC 3546,3829,3545)</t>
  </si>
  <si>
    <t xml:space="preserve">INNOVATION SUPPLY INC (1983) | TECH. ENTERPRISES» INC. (1983) | COVAULT PRINTING CO (1990)</t>
  </si>
  <si>
    <t xml:space="preserve">ENVIRONMENTAL HEALTH RESEARCH [FRS; 38 m]</t>
  </si>
  <si>
    <t xml:space="preserve">ENVIRONMENTAL HEALTH RESEARCH</t>
  </si>
  <si>
    <t xml:space="preserve">S04500</t>
  </si>
  <si>
    <t xml:space="preserve">536 NUCLA WAY</t>
  </si>
  <si>
    <t xml:space="preserve">MOUNTAIN STATES OIL TOOLS INC (1983; SIC 3533,3443)</t>
  </si>
  <si>
    <t xml:space="preserve">MOUNTAIN STATES OIL TOOLS INC (1983)</t>
  </si>
  <si>
    <t xml:space="preserve">LUJAN AUTOBODY [CDPHE RCRA; 25 m] | REIDY METAL SERVICES INC [CDPHE RCRA; 25 m]</t>
  </si>
  <si>
    <t xml:space="preserve">LUJAN AUTOBODY</t>
  </si>
  <si>
    <t xml:space="preserve">S06473</t>
  </si>
  <si>
    <t xml:space="preserve">800 E 73RD AVE 19</t>
  </si>
  <si>
    <t xml:space="preserve">VOLUME PRODUCTION INC (1983; SIC 3599) | PUMP SYSTEMS INC (1990; SIC 3561) | COLTEC TOOUNG (1992; SIC 3599)</t>
  </si>
  <si>
    <t xml:space="preserve">VOLUME PRODUCTION INC (1983) | PUMP SYSTEMS INC (1990) | TARTAN ORTHOPEDICS LTD (1990) | C+M PRESS INC (1990) | KEN-WAY DRAPERIES (1990) | COLTEC TOOUNG (1992) | TARTAN ORTHOPEDICS LID. (1992)</t>
  </si>
  <si>
    <t xml:space="preserve">C &amp; M PRESS [FRS; name match, 8 m] | TRUSTILE DOORS LLC [FRS; 2 m] | MART GARDENS LTD [FRS; 8 m]</t>
  </si>
  <si>
    <t xml:space="preserve">CUSTOM MILLWORK SPECIALTIES INC [FRS; 6 m] | ARTISAN KITCHEN FABRICATION AND DESIGN LTD [FRS; 8 m] | PERFORMANCE COLLISION &amp; PAINT [FRS; 8 m] | ALLGOOD ELEC MOTORS [FRS; 20 m]</t>
  </si>
  <si>
    <t xml:space="preserve">TRUSTILE DOORS LLC</t>
  </si>
  <si>
    <t xml:space="preserve">S05293</t>
  </si>
  <si>
    <t xml:space="preserve">1700 JASPER ST</t>
  </si>
  <si>
    <t xml:space="preserve">B+E PLASTICS INC (1988-1990; SIC 3089,3844,2721) | FERRO TECHNIC (1988; SIC 3423,3844)</t>
  </si>
  <si>
    <t xml:space="preserve">B+E PLASTICS INC (1988) | FERRO TECHNIC (1988)</t>
  </si>
  <si>
    <t xml:space="preserve">ENVIRO HEALTH RESEARCH &amp; TSTN [FRS] (address match)</t>
  </si>
  <si>
    <t xml:space="preserve">S05394</t>
  </si>
  <si>
    <t xml:space="preserve">2150 W 6TH AVE D</t>
  </si>
  <si>
    <t xml:space="preserve">CONSOLIDATED COMPUTER SYSTEMS IN (1988; SIC 3577)</t>
  </si>
  <si>
    <t xml:space="preserve">CONSOLIDATED COMPUTER SYSTEMS IN (1988)</t>
  </si>
  <si>
    <t xml:space="preserve">FUJI PHOTO FILM USA INC [FRS; 95 m] | PPG INDUSTRIES INC [FRS; 185 m]</t>
  </si>
  <si>
    <t xml:space="preserve">SKYLINE BUSINESS FORMS INC [FRS; 73 m] | DENVER WATER WEST SIDE COMPLEX FIBER OPTIC CABLE INSTALLATION [FRS; 156 m]</t>
  </si>
  <si>
    <t xml:space="preserve">FUJI PHOTO FILM USA INC</t>
  </si>
  <si>
    <t xml:space="preserve">S05516</t>
  </si>
  <si>
    <t xml:space="preserve">4975 PONTIAC</t>
  </si>
  <si>
    <t xml:space="preserve">DAYTON SUPERIOR CORP (1988-1990; SIC 3449)</t>
  </si>
  <si>
    <t xml:space="preserve">DAYTON SUPERIOR CORP (1988)</t>
  </si>
  <si>
    <t xml:space="preserve">DAYTON SUPERIOR CORP [FRS; name match, 42 m]</t>
  </si>
  <si>
    <t xml:space="preserve">Spring Back Colorado - Pontiac St [CDPHE Solid_Waste_Facilities; 29 m]</t>
  </si>
  <si>
    <t xml:space="preserve">DAYTON SUPERIOR CORP</t>
  </si>
  <si>
    <t xml:space="preserve">S05524</t>
  </si>
  <si>
    <t xml:space="preserve">5028 E 56TH ST</t>
  </si>
  <si>
    <t xml:space="preserve">FUELS TRUSWAL SYSTEMS CORP (1988; SIC 3443,3559) | TRUSWAL SYSTEMS CORP (1990; SIC 3443,3559)</t>
  </si>
  <si>
    <t xml:space="preserve">FUELS TRUSWAL SYSTEMS CORP (1988) | TRUSWAL SYSTEMS CORP (1990)</t>
  </si>
  <si>
    <t xml:space="preserve">ELECTRIC POWER EQUIPMENT  COMPANY [FRS; 105 m] | AIR PRODUCTS &amp; CHEMS INC [FRS; 188 m] | AIR PRODUCTS &amp; CHEMS INC [CDPHE RCRA; 207 m]</t>
  </si>
  <si>
    <t xml:space="preserve">C.T. POWER [FRS; 199 m]</t>
  </si>
  <si>
    <t xml:space="preserve">ELECTRIC POWER EQUIPMENT  COMPANY</t>
  </si>
  <si>
    <t xml:space="preserve">S06083</t>
  </si>
  <si>
    <t xml:space="preserve">12130 N PENNSYLVANIA</t>
  </si>
  <si>
    <t xml:space="preserve">COMPUTER SYSTEMS DYNAMICS (CSD) (1990; SIC 3577)</t>
  </si>
  <si>
    <t xml:space="preserve">COMPUTER SYSTEMS DYNAMICS (CSD) (1988)</t>
  </si>
  <si>
    <t xml:space="preserve">AUTOMATED CONTROLS INC [FRS; 11 m] | ANALYTICA INC [FRS; 96 m]</t>
  </si>
  <si>
    <t xml:space="preserve">QWEST SELF STORAGE [FRS; 180 m] | JIM BLACK CONSTRUCTION INC [FRS; 197 m]</t>
  </si>
  <si>
    <t xml:space="preserve">AUTOMATED CONTROLS INC</t>
  </si>
  <si>
    <t xml:space="preserve">S06092</t>
  </si>
  <si>
    <t xml:space="preserve">1343 W 121ST AVE</t>
  </si>
  <si>
    <t xml:space="preserve">PLASTICS PASHRGRP (1988; SIC 3089,3300) | DOCTORS OPTIMUM MFG INC (1988; SIC 3089)</t>
  </si>
  <si>
    <t xml:space="preserve">PLASTICS PASHRGRP (1988) | DOCTORS OPTIMUM MFG INC (1988) | MOUNTAIN SYSTEMS (1990) | GENERAL PRESS INC (1990)</t>
  </si>
  <si>
    <t xml:space="preserve">PROTOGENIC INC [FRS; 13 m]</t>
  </si>
  <si>
    <t xml:space="preserve">GENERAL PRESS INC. [FRS; name match, 140 m] | GENERAL PRESS INC [FRS; name match, 191 m]</t>
  </si>
  <si>
    <t xml:space="preserve">120TH AND PECOS PCE</t>
  </si>
  <si>
    <t xml:space="preserve">PROTOGENIC INC</t>
  </si>
  <si>
    <t xml:space="preserve">S06094</t>
  </si>
  <si>
    <t xml:space="preserve">7870 FEDERAL BLVD</t>
  </si>
  <si>
    <t xml:space="preserve">WASHERS, COLLARS JEANS CERAMICS (1988; SIC 3298,3311)</t>
  </si>
  <si>
    <t xml:space="preserve">WASHERS, COLLARS JEANS CERAMICS (1988)</t>
  </si>
  <si>
    <t xml:space="preserve">NORTH FEDERAL SUNSHINE CTR [FRS; 25 m]</t>
  </si>
  <si>
    <t xml:space="preserve">S06142</t>
  </si>
  <si>
    <t xml:space="preserve">15370 SMITH RD UNIT E</t>
  </si>
  <si>
    <t xml:space="preserve">ACRA-LITE INC (1990; SIC 3089)</t>
  </si>
  <si>
    <t xml:space="preserve">ACRA-LITE INC (1990)</t>
  </si>
  <si>
    <t xml:space="preserve">MARQUIS DENTAL MFG CO INC [FRS; 4 m]</t>
  </si>
  <si>
    <t xml:space="preserve">MARQUIS DENTAL MFG CO INC</t>
  </si>
  <si>
    <t xml:space="preserve">S06143</t>
  </si>
  <si>
    <t xml:space="preserve">14806 E 33RD PL</t>
  </si>
  <si>
    <t xml:space="preserve">ALL PACKAGING CO INC (1990; SIC 2657,2675,3544)</t>
  </si>
  <si>
    <t xml:space="preserve">ALL PACKAGING CO INC (1990)</t>
  </si>
  <si>
    <t xml:space="preserve">ALL PACKAGING CO - 14806 E 33RD PL [FRS; name match, 100 m] | ALL PACKAGING CO - 14806 E 33RD PL [FRS] (address match)</t>
  </si>
  <si>
    <t xml:space="preserve">Silver Engineering III</t>
  </si>
  <si>
    <t xml:space="preserve">SILVER WEIBULL</t>
  </si>
  <si>
    <t xml:space="preserve">NATIONAL ENVELOPE</t>
  </si>
  <si>
    <t xml:space="preserve">S06170</t>
  </si>
  <si>
    <t xml:space="preserve">21201 E 31ST CIR</t>
  </si>
  <si>
    <t xml:space="preserve">SULZER BINGHAM PUMPS INC (1990; SIC 3494,3561)</t>
  </si>
  <si>
    <t xml:space="preserve">SULZER BINGHAM PUMPS INC (1990)</t>
  </si>
  <si>
    <t xml:space="preserve">SULZER BINGHAM PUMPS [FRS; name match, 21 m] | SULZER PUMPS [CDPHE RCRA; name match, 114 m] | SULZER BINGHAM PUMPS [FRS] (address match) | SULZER PUMPS [CDPHE RCRA] (address match)</t>
  </si>
  <si>
    <t xml:space="preserve">SULZER BINGHAM PUMPS</t>
  </si>
  <si>
    <t xml:space="preserve">S06173</t>
  </si>
  <si>
    <t xml:space="preserve">2500 HIMALAYA RD</t>
  </si>
  <si>
    <t xml:space="preserve">UNIVAIR AIRCRAFT CORP. (1990; SIC 3729)</t>
  </si>
  <si>
    <t xml:space="preserve">UNIVAIR AIRCRAFT CORP. (1990)</t>
  </si>
  <si>
    <t xml:space="preserve">UNIVAIR AIRCRAFT CORP [FRS; name match, 92 m] | UNIVAIR AIRCRAFT CORP [FRS] (address match)</t>
  </si>
  <si>
    <t xml:space="preserve">S06330</t>
  </si>
  <si>
    <t xml:space="preserve">5075 E 74TH AVE</t>
  </si>
  <si>
    <t xml:space="preserve">DENVER VAN ASSEMBLY (1990-1992; SIC 3713) | TIMPTE INC (1990; SIC 3713,3715)</t>
  </si>
  <si>
    <t xml:space="preserve">DENVER VAN ASSEMBLY (1990) | TIMPTE INC (1990)</t>
  </si>
  <si>
    <t xml:space="preserve">TIMPTE INC [FRS; name match, 27 m] | TIMPTE INC [FRS] (address match)</t>
  </si>
  <si>
    <t xml:space="preserve">ALLIED WASTE TRANSPORTATION, INC [FRS; 27 m] | ALLIED WASTE TRANSPORTATION, INC [FRS] (address match) | REPUBLIC SERVICES [FRS] (address match) | 5075 E 74TH AVE [FRS] (address match)</t>
  </si>
  <si>
    <t xml:space="preserve">S06340</t>
  </si>
  <si>
    <t xml:space="preserve">7393 DAHLIA ST</t>
  </si>
  <si>
    <t xml:space="preserve">WESTERN MACHINE + DIESEL INC (1990; SIC 3714)</t>
  </si>
  <si>
    <t xml:space="preserve">WESTERN MACHINE + DIESEL INC (1990)</t>
  </si>
  <si>
    <t xml:space="preserve">GROUND ENGINEERING [FRS] (address match)</t>
  </si>
  <si>
    <t xml:space="preserve">QUALITY PAVING CO</t>
  </si>
  <si>
    <t xml:space="preserve">GROUND ENGINEERING</t>
  </si>
  <si>
    <t xml:space="preserve">S06354</t>
  </si>
  <si>
    <t xml:space="preserve">1851 E 68TH AVE</t>
  </si>
  <si>
    <t xml:space="preserve">ACCURATE GASKET + PACKING CORP (1990; SIC 3053,3069,3079)</t>
  </si>
  <si>
    <t xml:space="preserve">ACCURATE GASKET + PACKING CORP (1990)</t>
  </si>
  <si>
    <t xml:space="preserve">DARANT DISTRIBUTION [FRS; 8 m]</t>
  </si>
  <si>
    <t xml:space="preserve">ATLAS ROOFING CORP</t>
  </si>
  <si>
    <t xml:space="preserve">DARANT DISTRIBUTION</t>
  </si>
  <si>
    <t xml:space="preserve">S06401</t>
  </si>
  <si>
    <t xml:space="preserve">9215 FEDERAL BIVD</t>
  </si>
  <si>
    <t xml:space="preserve">D+H ENGRAVING (1990; SIC 3479)</t>
  </si>
  <si>
    <t xml:space="preserve">D+H ENGRAVING (1990)</t>
  </si>
  <si>
    <t xml:space="preserve">SUNCOR - 2706105 [FRS; 11 m] | FASHION RITE CLEANERS [FRS; 153 m] | UNITED HORTICULTUREAL SUPPLY [FRS; 227 m]</t>
  </si>
  <si>
    <t xml:space="preserve">SOUTHLAND 7 11 NO 24165 [FRS; 4 m] | 92 AVE AND FEDERAL BLVD INTERSECTION [FRS; 86 m] | PUGHS TRUCKING INC. [FRS; 158 m] | EGRESS INC [FRS; 164 m] | DIAMOND SHAMROCK #655 [FRS; 203 m]</t>
  </si>
  <si>
    <t xml:space="preserve">SUNCOR - 2706105</t>
  </si>
  <si>
    <t xml:space="preserve">S06403</t>
  </si>
  <si>
    <t xml:space="preserve">6777 DOWNING</t>
  </si>
  <si>
    <t xml:space="preserve">DENPAK BUILDING PRODUCTS INC (1990; SIC 3448,3499)</t>
  </si>
  <si>
    <t xml:space="preserve">DENPAK BUILDING PRODUCTS INC (1990)</t>
  </si>
  <si>
    <t xml:space="preserve">DENPAK BUILDING PRODUCTS INC [FRS; name match, 55 m]</t>
  </si>
  <si>
    <t xml:space="preserve">DENPAK BUILDING PRODUCTS INC</t>
  </si>
  <si>
    <t xml:space="preserve">S06447</t>
  </si>
  <si>
    <t xml:space="preserve">1575 W 124TH AVE</t>
  </si>
  <si>
    <t xml:space="preserve">MELCO INDUSTRIES INC (1990-1992; SIC 3577)</t>
  </si>
  <si>
    <t xml:space="preserve">MELCO INDUSTRIES INC (1990)</t>
  </si>
  <si>
    <t xml:space="preserve">MELCO INDUSTRIES INC [FRS; name match, 188 m] | MELCO INDUSTRIES INC [FRS] (address match)</t>
  </si>
  <si>
    <t xml:space="preserve">COORS BIOTECH INCORPORATED</t>
  </si>
  <si>
    <t xml:space="preserve">S06798</t>
  </si>
  <si>
    <t xml:space="preserve">11084 LEROY DR</t>
  </si>
  <si>
    <t xml:space="preserve">ROBERTSON ASSOCIATES MANUFACTURING (1990-1992; SIC 3411)</t>
  </si>
  <si>
    <t xml:space="preserve">ROBERTSON ASSOCIATES MANUFACTURING (1990)</t>
  </si>
  <si>
    <t xml:space="preserve">METAL PACKAGING INTERNATIONAL [FRS] (address match)</t>
  </si>
  <si>
    <t xml:space="preserve">PERFORMANCE WOODWORKING INC</t>
  </si>
  <si>
    <t xml:space="preserve">S06980</t>
  </si>
  <si>
    <t xml:space="preserve">6860 N BROADWAY STE C</t>
  </si>
  <si>
    <t xml:space="preserve">H &amp; H ENTERPRISES INC (1992; SIC 3499)</t>
  </si>
  <si>
    <t xml:space="preserve">H &amp; H ENTERPRISES INC (1992)</t>
  </si>
  <si>
    <t xml:space="preserve">CDM SMITH DTL [CDPHE RCRA; 12 m] | ERS [CDPHE RCRA; 12 m] | NEBRASKALAND TIRE INC DBE COLORADOLAND TIRE [FRS; 107 m] | KITCHEN SAVERS, INC [CDPHE RCRA; 168 m] | AAA AUTO BODY &amp; RESTORATION [FRS; 207 m] | BORN AGAIN CABINETS INC [FRS; 216 m] | CBD CLINILABS [FRS; 216 m] | WESTWOOD COLLEGE OF TECHNOLOGY [CDPHE RCRA; 229 m] | SILCO DISTRIBUTING DBA ADDITIVES INC [CDPHE RCRA; 229 m] | NEBRASKALAND TIR</t>
  </si>
  <si>
    <t xml:space="preserve">LOVETT 70TH &amp; BROADWAY [FRS; 123 m] | UNK [FRS; 137 m] | 7-ELEVEN 70TH &amp; BROADWAY [FRS; 143 m] | PRECISION SIDING AND CONSTRUCTION [FRS; 216 m] | HANDYMAN CONNECTION [FRS; 216 m] | IM&amp;T RESEARCH INC. [FRS; 237 m]</t>
  </si>
  <si>
    <t xml:space="preserve">CDM SMITH DTL</t>
  </si>
  <si>
    <t xml:space="preserve">S06984</t>
  </si>
  <si>
    <t xml:space="preserve">1705 E 67TH AVE UNIT C</t>
  </si>
  <si>
    <t xml:space="preserve">IMPERIAL MACHINING CO (1992; SIC 3599)</t>
  </si>
  <si>
    <t xml:space="preserve">IMPERIAL MACHINING CO (1992)</t>
  </si>
  <si>
    <t xml:space="preserve">COTTON GRAFIX INC [FRS; 205 m] | NSO PRESS, LLC [FRS; 227 m]</t>
  </si>
  <si>
    <t xml:space="preserve">JOHN BALISTRERI [FRS; 227 m]</t>
  </si>
  <si>
    <t xml:space="preserve">COTTON GRAFIX INC</t>
  </si>
  <si>
    <t xml:space="preserve">S07156</t>
  </si>
  <si>
    <t xml:space="preserve">6850 FEDERAL BIVD</t>
  </si>
  <si>
    <t xml:space="preserve">‘GOODWILL INDUSTRIES OF DENVER (1992; SIC 3086)</t>
  </si>
  <si>
    <t xml:space="preserve">‘GOODWILL INDUSTRIES OF DENVER (1992)</t>
  </si>
  <si>
    <t xml:space="preserve">GOODWILL DENVER [FRS; name match, 68 m] | GOODWILL INDUSTRIES OF DENVER [CDPHE RCRA; name match, 74 m]</t>
  </si>
  <si>
    <t xml:space="preserve">GOODWILL DENVER</t>
  </si>
  <si>
    <t xml:space="preserve">S07158</t>
  </si>
  <si>
    <t xml:space="preserve">1500 W 92ND AVE 103</t>
  </si>
  <si>
    <t xml:space="preserve">SKYLINE MANUFACTURING INC (1992; SIC 3544,3409,2752)</t>
  </si>
  <si>
    <t xml:space="preserve">SKYLINE MANUFACTURING INC (1992)</t>
  </si>
  <si>
    <t xml:space="preserve">ADAMS LAUNDRY [FRS; 225 m]</t>
  </si>
  <si>
    <t xml:space="preserve">TODD CREEK STREAM IMPROVEMENTS [FRS; 40 m] | NIVER CREEK MAINTENANCE [FRS; 65 m] | SOUTHLAND 7 11 NO 15403 [FRS; 215 m] | VILLAGE CLEANING CTR [FRS; 225 m]</t>
  </si>
  <si>
    <t xml:space="preserve">ADAMS LAUNDRY</t>
  </si>
  <si>
    <t xml:space="preserve">S00040</t>
  </si>
  <si>
    <t xml:space="preserve">5801 S SANTA FE</t>
  </si>
  <si>
    <t xml:space="preserve">E + C METAL, INC. (1965-1974; SIC 3499)</t>
  </si>
  <si>
    <t xml:space="preserve">E + C METAL, INC. (1965) | E + C PRECAST CEMENT PRODUCTS (1965)</t>
  </si>
  <si>
    <t xml:space="preserve">LITTLETON RIVERFRONT AUTHORITY [FRS; 28 m]</t>
  </si>
  <si>
    <t xml:space="preserve">LITTLETON RIVERFRONT AUTHORITY</t>
  </si>
  <si>
    <t xml:space="preserve">S00042</t>
  </si>
  <si>
    <t xml:space="preserve">5788 S CURTICE</t>
  </si>
  <si>
    <t xml:space="preserve">FECKENDORF, F. As, COw (1965; SIC 2851)</t>
  </si>
  <si>
    <t xml:space="preserve">FECKENDORF, F. As, COw (1965) | LITHOGRAPHIC HIGHLINE WEST LTD (1988) | HIGHLINE WEST LTD (1990)</t>
  </si>
  <si>
    <t xml:space="preserve">AMERICAN COLEMAN CO [FRS; 5 m]</t>
  </si>
  <si>
    <t xml:space="preserve">Littleton Schools III</t>
  </si>
  <si>
    <t xml:space="preserve">AMERICAN COLEMAN CO</t>
  </si>
  <si>
    <t xml:space="preserve">S00132</t>
  </si>
  <si>
    <t xml:space="preserve">2323 S LIPAN</t>
  </si>
  <si>
    <t xml:space="preserve">TRUCK U BOLTS ENERCO INC (1988; SIC 3444,3499)</t>
  </si>
  <si>
    <t xml:space="preserve">LTLER FIXTURE + MFG. CO. (1965) | BUTLER FIXTURE + MFG CO (1966) | BUTLER FIXTURE + MFG CO (1968) | DESIGN PRODUCTS INC (1974) | GUTLER FIXTURE + MEG CO (1980) | TRUCK U BOLTS ENERCO INC (1988)</t>
  </si>
  <si>
    <t xml:space="preserve">TOPPERSCOT INC [FRS; 37 m]</t>
  </si>
  <si>
    <t xml:space="preserve">Strawberry Patch</t>
  </si>
  <si>
    <t xml:space="preserve">S00614</t>
  </si>
  <si>
    <t xml:space="preserve">3711 S JASON</t>
  </si>
  <si>
    <t xml:space="preserve">1966;1973;1974;1977;1980;1983;1988;1990</t>
  </si>
  <si>
    <t xml:space="preserve">*EMPIRE METAL SPRAY WELDING + MACHINE (1966-1974; SIC 3599) | EMPERE METAL SPRAY INC (1977-1983; SIC 3471,3599) | UNIQUE MOBILITY INC (1980-1990; SIC 3711,3714) | PILLOWS THE CERTEX CO INC (1988; SIC 3579) | THE CERTEX CO INC (1990; SIC 3579)</t>
  </si>
  <si>
    <t xml:space="preserve">*EMPIRE METAL SPRAY WELDING + MACHINE (1966) | EMPERE METAL SPRAY INC (1977) | UNIQUE MOBILITY INC (1980) | PILLOWS THE CERTEX CO INC (1988) | THE CERTEX CO INC (1990)</t>
  </si>
  <si>
    <t xml:space="preserve">UNIQUE MOBILITY INC [FRS; name match, 12 m] | EMPIRE METAL SPRAY INC [FRS; name match, 118 m]</t>
  </si>
  <si>
    <t xml:space="preserve">S00618</t>
  </si>
  <si>
    <t xml:space="preserve">3790 S JASON</t>
  </si>
  <si>
    <t xml:space="preserve">1966;1968;1970;1973;1974;1980;1983;1990</t>
  </si>
  <si>
    <t xml:space="preserve">FAB TOOL INC (1966-1974; SIC 3679) | AMERICAN FOR TIE CO (1968; SIC 3599) | MANUFACTURERS RESEARCH CC (1968; SIC 3493) | OMNITECH INCUSTRIES INC (1974; SIC 2851) | FAG CERCUITS INC (1980-1983; SIC 3679) | OMNITECH INDUSTRIES INO (1980-1983; SIC 3079,2852,2891) | SONDRUP CONSTRUCTION INC (1990; SIC 3444)</t>
  </si>
  <si>
    <t xml:space="preserve">FAB TOOL INC (1966) | CANVAS PRODUCTS CO (1967) | AMERICAN FOR TIE CO (1968) | MANUFACTURERS RESEARCH CC (1968) | OMNITECH INCUSTRIES INC (1974) | FAG CERCUITS INC (1980) | OMNITECH INDUSTRIES INO (1980) | SONDRUP CONSTRUCTION INC (1990) | ZINN THE PRINTER INK INC (1990)</t>
  </si>
  <si>
    <t xml:space="preserve">OMNITECH INDUSTRIES INC [FRS; name match, 9 m] | FAB CIRCUITS [FRS; name match, 38 m]</t>
  </si>
  <si>
    <t xml:space="preserve">ZINN THE PRINTER [FRS; name match, 9 m]</t>
  </si>
  <si>
    <t xml:space="preserve">OMNITECH INDUSTRIES INC</t>
  </si>
  <si>
    <t xml:space="preserve">S00619</t>
  </si>
  <si>
    <t xml:space="preserve">3200 S ZUNI</t>
  </si>
  <si>
    <t xml:space="preserve">PACIFIC TOOL CORPORATION (1983-1990; SIC 3544,3499,3599) | ACCUTRONICS DESIGN + MFG CO (1990; SIC 3599,3471,3499)</t>
  </si>
  <si>
    <t xml:space="preserve">FENNER-HAMILTON CORP (1966) | GYM MASTER CC (1968) | PACIFIC TOOL CORPORATION (1983) | ACCUTRONICS DESIGN + MFG CO (1990)</t>
  </si>
  <si>
    <t xml:space="preserve">GYM MASTER CO INC [FRS; name match, 208 m] | ACCUTRONIC INC [FRS] (address match) | ACCUTRONIC INC [CDPHE RCRA] (address match)</t>
  </si>
  <si>
    <t xml:space="preserve">N-H CUSTOM CREATIONS</t>
  </si>
  <si>
    <t xml:space="preserve">S00625</t>
  </si>
  <si>
    <t xml:space="preserve">4002 S CLAY</t>
  </si>
  <si>
    <t xml:space="preserve">FUTURE PLASTICS (1974-1977; SIC 3079,3792,3861) | GOLDEN LEISURE ENTERPRISES, LTD. (1974; SIC 3714,3792) | TRUELINE INSTRUMENTS INC (1977; SIC 3573,3841) | BASKI WATER INSTRUMENTS INC (1990; SIC 3532)</t>
  </si>
  <si>
    <t xml:space="preserve">KON-KWEST MANUFACTURING INC T RAGSDALE OWNR (1966) | ROCKY MOUNTAIN PRESTRESS INC (1967) | TRUELINE INSTRUMENTS INC (1973) | FUTURE PLASTICS (1974) | GOLDEN LEISURE ENTERPRISES, LTD. (1974) | BASKI WATER INSTRUMENTS INC (1990)</t>
  </si>
  <si>
    <t xml:space="preserve">AMERICAN COLEMAN CO [FRS] (address match)</t>
  </si>
  <si>
    <t xml:space="preserve">BASKI, INC. [FRS; name match, 80 m] | BASKI WATER INSTRUMENTS, INC. [FRS; name match, 80 m] | GLAZ-TECH DENVER [FRS; 43 m]</t>
  </si>
  <si>
    <t xml:space="preserve">SHATTUCK CHEMICAL CO INC</t>
  </si>
  <si>
    <t xml:space="preserve">S00627</t>
  </si>
  <si>
    <t xml:space="preserve">4808 S BROADWAY</t>
  </si>
  <si>
    <t xml:space="preserve">LITTLEHORN, JOHNNIE, METAL ARTS (1968; SIC 3444,3446)</t>
  </si>
  <si>
    <t xml:space="preserve"> (1966) | MARLO PRESS INC (1967) | MOORE + HANSEN MFG CO (1967) | LITTLEHORN, JOHNNIE, METAL ARTS (1968)</t>
  </si>
  <si>
    <t xml:space="preserve">ENGLEWOOD AUTO REPAIR &amp; BODY SHOP [FRS; 16 m]</t>
  </si>
  <si>
    <t xml:space="preserve">ENGLEWOOD AUTO REPAIR &amp; BODY SHOP</t>
  </si>
  <si>
    <t xml:space="preserve">S00628</t>
  </si>
  <si>
    <t xml:space="preserve">3773 S JASON ST</t>
  </si>
  <si>
    <t xml:space="preserve">1967;1968;1974;1983</t>
  </si>
  <si>
    <t xml:space="preserve">MECHANEX CORP, THE (1967-1983; SIC 3714)</t>
  </si>
  <si>
    <t xml:space="preserve"> (1966) | MECHANEX CORP, THE (1967)</t>
  </si>
  <si>
    <t xml:space="preserve">FAB CIRCUITS [FRS; 8 m] | EMPIRE METAL SPRAY INC [FRS; 14 m] | OMNITECH INDUSTRIES INC [FRS; 37 m] | AUTO BODY &amp; FRAME CLINIC OF CO INC [FRS; 38 m]</t>
  </si>
  <si>
    <t xml:space="preserve">ZINN THE PRINTER [FRS; 37 m]</t>
  </si>
  <si>
    <t xml:space="preserve">FAB CIRCUITS</t>
  </si>
  <si>
    <t xml:space="preserve">S00630</t>
  </si>
  <si>
    <t xml:space="preserve">3729 S SANTA FE OR</t>
  </si>
  <si>
    <t xml:space="preserve">METAL FABRICATORS INC (1967; SIC 3441,3446)</t>
  </si>
  <si>
    <t xml:space="preserve">METAL FABRICATURS INC MISC MFG INDUSTRIES (1966) | METAL FABRICATORS INC (1967) | COLORADO SHADE CO (1973) |  (1973)</t>
  </si>
  <si>
    <t xml:space="preserve">METAL FABRICATORS [FRS; name match, 178 m] | EUGENES AUTO BODY [FRS; 33 m]</t>
  </si>
  <si>
    <t xml:space="preserve">S01311</t>
  </si>
  <si>
    <t xml:space="preserve">11766 E 30TH AVE</t>
  </si>
  <si>
    <t xml:space="preserve">AEON PRECISICN CO (1967-1974; SIC 3591) | SOLAR DEVELOPRENT INC (1980; SIC 3564,3823,3639)</t>
  </si>
  <si>
    <t xml:space="preserve">AEON PRECISICN CO (1967) | SOLAR DEVELOPRENT INC (1980)</t>
  </si>
  <si>
    <t xml:space="preserve">MERRICK WOODWORKING INC [FRS; 15 m]</t>
  </si>
  <si>
    <t xml:space="preserve">COLO. MUSTANG SPECIALITIES, INC. [FRS; 4 m]</t>
  </si>
  <si>
    <t xml:space="preserve">MERRICK WOODWORKING INC</t>
  </si>
  <si>
    <t xml:space="preserve">S01315</t>
  </si>
  <si>
    <t xml:space="preserve">16080 E SMITH RO</t>
  </si>
  <si>
    <t xml:space="preserve">WELL COMPLETIONS (1967-1970; SIC 3533,2711) | WELL COMPLETIONS (1968; SIC 3533,2711)</t>
  </si>
  <si>
    <t xml:space="preserve">WELL COMPLETIONS (1967) | WELL COMPLETIONS (1968)</t>
  </si>
  <si>
    <t xml:space="preserve">ARAYCO INC [FRS; 129 m] | ESTES EXPRESS LINES [FRS; 144 m]</t>
  </si>
  <si>
    <t xml:space="preserve">MAGELLAN/RTD PIPELINE RELOCATION [FRS; 222 m]</t>
  </si>
  <si>
    <t xml:space="preserve">ARAYCO INC</t>
  </si>
  <si>
    <t xml:space="preserve">S01339</t>
  </si>
  <si>
    <t xml:space="preserve">2405 W HAMPDEN</t>
  </si>
  <si>
    <t xml:space="preserve">1967;1968;1970;1973;1974</t>
  </si>
  <si>
    <t xml:space="preserve">CANDID CAMPER OF COLURADO (1967-1970; SIC 3799) |  (1973; SIC 3714) | JAN-VAN MFG CC INC (1974; SIC 3792)</t>
  </si>
  <si>
    <t xml:space="preserve">CANDID CAMPER OF COLURADO (1967) |  (1973) | JAN-VAN MFG CC INC (1974)</t>
  </si>
  <si>
    <t xml:space="preserve">D&amp;D AUTO BODY INC [FRS; 4 m] | PRECISION COLLISION [FRS; 4 m]</t>
  </si>
  <si>
    <t xml:space="preserve">S01357</t>
  </si>
  <si>
    <t xml:space="preserve">3985 S KALAMATH</t>
  </si>
  <si>
    <t xml:space="preserve">REGAL PLASTICS SUPPLY CO INC (1967-1974; SIC 3079) | HORST DYNAMICS INC (1983; SIC 3561)</t>
  </si>
  <si>
    <t xml:space="preserve">REGAL PLASTICS SUPPLY CO INC (1967) | FORMSETS (1968) | DATA DOCUMENTS, INC (1973) | HORST DYNAMICS INC (1983)</t>
  </si>
  <si>
    <t xml:space="preserve">BROWNS AUTO BODY [FRS; 2 m] | BODY'S BY BROWN, INC. [FRS; 22 m]</t>
  </si>
  <si>
    <t xml:space="preserve">DFA DAIRY BRANDS FLUID LLC D/B/A MEADOW GOLD DAIRY</t>
  </si>
  <si>
    <t xml:space="preserve">BROWNS AUTO BODY</t>
  </si>
  <si>
    <t xml:space="preserve">S01361</t>
  </si>
  <si>
    <t xml:space="preserve">1390 W QUINCY</t>
  </si>
  <si>
    <t xml:space="preserve">1967;1977;1980</t>
  </si>
  <si>
    <t xml:space="preserve">TRUELINE INSTRUMENTS INC (1967; SIC 3811,3623,3551) | INDUSTRIAL SPECIALTIES INC (1977-1980; SIC 3079) | CURZON FLUID POWER (1980; SIC 3079,3999,3432)</t>
  </si>
  <si>
    <t xml:space="preserve">TRUELINE INSTRUMENTS INC (1967) | INDUSTRIAL SPECIALTIES INC (1977) | CURZON FLUID POWER (1980)</t>
  </si>
  <si>
    <t xml:space="preserve">DIAGNOSTIC MARKETING CORP [FRS; 31 m] | ARMSTRONG CHEMICAL CO [FRS; 31 m]</t>
  </si>
  <si>
    <t xml:space="preserve">DIAGNOSTIC MARKETING CORP</t>
  </si>
  <si>
    <t xml:space="preserve">S01362</t>
  </si>
  <si>
    <t xml:space="preserve">2960 S FOX</t>
  </si>
  <si>
    <t xml:space="preserve">VULCAN DENVER CoRP (1967; SIC 3531)</t>
  </si>
  <si>
    <t xml:space="preserve">VULCAN DENVER CoRP (1967) | STEWART IN-FRA-RED COMMISSARY (1973) | WATKINS STAINED GLASS STUDIO (1990)</t>
  </si>
  <si>
    <t xml:space="preserve">THOMAS L BURR PROPERTY [FRS; 41 m]</t>
  </si>
  <si>
    <t xml:space="preserve">CADRE GENERAL CONTRACTORS [FRS; 35 m]</t>
  </si>
  <si>
    <t xml:space="preserve">THOMAS L BURR PROPERTY</t>
  </si>
  <si>
    <t xml:space="preserve">S01364</t>
  </si>
  <si>
    <t xml:space="preserve">7880 S PLATTE CANYON RD</t>
  </si>
  <si>
    <t xml:space="preserve">DRAKE PRECISION MACHINE PROCUCTS (1967-1970; SIC 3451) | DRAKE PRECISION MACHINE PRODUCTS (1980; SIC 3451,3079)</t>
  </si>
  <si>
    <t xml:space="preserve">DRAKE PRECISION MACHINE PROCUCTS (1967) | DRAKE PRECISION MACHINE PRODUCTS (1980)</t>
  </si>
  <si>
    <t xml:space="preserve">HYLANDER AUTOMOTIVE SERVICE INC. [FRS; 18 m]</t>
  </si>
  <si>
    <t xml:space="preserve">HYLANDER AUTOMOTIVE SERVICE INC.</t>
  </si>
  <si>
    <t xml:space="preserve">S01658</t>
  </si>
  <si>
    <t xml:space="preserve">225 WW UNION ECLLC</t>
  </si>
  <si>
    <t xml:space="preserve">AMERICAN STRESS WIRE CORP (1968; SIC 3446,2429)</t>
  </si>
  <si>
    <t xml:space="preserve">AMERICAN STRESS WIRE CORP (1968)</t>
  </si>
  <si>
    <t xml:space="preserve">PACAFICA AUTOWORKS [CDPHE RCRA; 220 m] | THE QUINCY CLEANERS [FRS; 241 m]</t>
  </si>
  <si>
    <t xml:space="preserve">STINKER STORES - STINKER #343 [FRS; 231 m] | THE QUINCY CLEANERS - 4650 S BROADWAY [FRS; 241 m]</t>
  </si>
  <si>
    <t xml:space="preserve">PACAFICA AUTOWORKS</t>
  </si>
  <si>
    <t xml:space="preserve">S01668</t>
  </si>
  <si>
    <t xml:space="preserve">4345 S SANTA FE</t>
  </si>
  <si>
    <t xml:space="preserve">ROYCE INTERNATIONAL (1968-1974; SIC 3589,3714,3591)</t>
  </si>
  <si>
    <t xml:space="preserve">ROYCE INTERNATIONAL (1968)</t>
  </si>
  <si>
    <t xml:space="preserve">PETRO LABS DUGAN PIT [FRS; 26 m]</t>
  </si>
  <si>
    <t xml:space="preserve">PYNERGY PETROLEUM CO [FRS; 26 m] | NYLUNDS COLLISION CENTER - 4495 S SANTA [FRS; 26 m]</t>
  </si>
  <si>
    <t xml:space="preserve">S01973</t>
  </si>
  <si>
    <t xml:space="preserve">2090 W BATES</t>
  </si>
  <si>
    <t xml:space="preserve">8B V MACHINE COMPANY, INC (1970-1980; SIC 3591)</t>
  </si>
  <si>
    <t xml:space="preserve">8B V MACHINE COMPANY, INC (1970) | ® V MACHINE COMPANY, INC 2751 COMMERCIAL PRINTING, (1977) | L K PRINTING SERVICE INC (1988)</t>
  </si>
  <si>
    <t xml:space="preserve">LK PRINTING SVC [FRS; name match, 23 m]</t>
  </si>
  <si>
    <t xml:space="preserve">AMERICAN REFURBISHING COMPANY.CN [FRS; 18 m]</t>
  </si>
  <si>
    <t xml:space="preserve">LK PRINTING SVC</t>
  </si>
  <si>
    <t xml:space="preserve">S01976</t>
  </si>
  <si>
    <t xml:space="preserve">2950 S WYANDOT</t>
  </si>
  <si>
    <t xml:space="preserve">GEMCO MFG CO INC (1970-1973; SIC 3361,3369) | GEMCO DIE CASTINGe INC (1974-1977; SIC 3361,3369)</t>
  </si>
  <si>
    <t xml:space="preserve">GEMCO MFG CO INC (1970) | GEMCO DIE CASTINGe INC (1974)</t>
  </si>
  <si>
    <t xml:space="preserve">COLORADO HEAT TREATING [FRS; 31 m]</t>
  </si>
  <si>
    <t xml:space="preserve">S02249</t>
  </si>
  <si>
    <t xml:space="preserve">1460 IRONTON</t>
  </si>
  <si>
    <t xml:space="preserve">MOTOR MACHINE + SUPPLY INC (1973; SIC 3714)</t>
  </si>
  <si>
    <t xml:space="preserve">MOTOR MACHINE + SUPPLY INC (1973)</t>
  </si>
  <si>
    <t xml:space="preserve">FINISHMASTER INC #239 [FRS; 16 m]</t>
  </si>
  <si>
    <t xml:space="preserve">STACY'S PAINT TRIX [FRS; 19 m]</t>
  </si>
  <si>
    <t xml:space="preserve">CITYWIDE BUILDING - 10660 EAST COLFAX AVENUE</t>
  </si>
  <si>
    <t xml:space="preserve">FINISHMASTER INC #239</t>
  </si>
  <si>
    <t xml:space="preserve">S02258</t>
  </si>
  <si>
    <t xml:space="preserve">3295 S ZUNI</t>
  </si>
  <si>
    <t xml:space="preserve">ALSTON INDUSTRIES, INC (1973; SIC 3079) | ADVANCED CYLINDERS (1977-1990; SIC 3599)</t>
  </si>
  <si>
    <t xml:space="preserve">ALSTON INDUSTRIES, INC (1973) | ADVANCED CYLINDERS (1977)</t>
  </si>
  <si>
    <t xml:space="preserve">ADVANCED CYLINDERS CORP [FRS; name match, 112 m] | ACCUTRONIC INC [FRS; 18 m] | GYM MASTER CO INC [FRS; 18 m] | ADVANCED CYLINDERS CORP [FRS] (address match)</t>
  </si>
  <si>
    <t xml:space="preserve">ACCUTRONIC INC</t>
  </si>
  <si>
    <t xml:space="preserve">S02268</t>
  </si>
  <si>
    <t xml:space="preserve">3355 S UMATILLA</t>
  </si>
  <si>
    <t xml:space="preserve">CUSTOM MACHINE + REPAIR (1973; SIC 3591)</t>
  </si>
  <si>
    <t xml:space="preserve">CUSTOM MACHINE + REPAIR (1973)</t>
  </si>
  <si>
    <t xml:space="preserve">KEESEN ENTERPRISES [FRS; 32 m]</t>
  </si>
  <si>
    <t xml:space="preserve">PSCO SHERIDAN SUBSTATION [FRS; 36 m]</t>
  </si>
  <si>
    <t xml:space="preserve">KEESEN ENTERPRISES</t>
  </si>
  <si>
    <t xml:space="preserve">S02292</t>
  </si>
  <si>
    <t xml:space="preserve">1600 W HARVARD</t>
  </si>
  <si>
    <t xml:space="preserve">SLIDECO ALUMINUM PRODUCTS (1973-1974; SIC 3442) | PELLAN CORPORATION (1983; SIC 3536,3537,3569)</t>
  </si>
  <si>
    <t xml:space="preserve">SLIDECO ALUMINUM PRODUCTS (1973) | PELLAN CORPORATION (1983)</t>
  </si>
  <si>
    <t xml:space="preserve">UNIVERSAL AUTO WRECKING [FRS; 39 m]</t>
  </si>
  <si>
    <t xml:space="preserve">UNIVERSAL AUTO WRECKING</t>
  </si>
  <si>
    <t xml:space="preserve">S02298</t>
  </si>
  <si>
    <t xml:space="preserve">2630 S TEJON</t>
  </si>
  <si>
    <t xml:space="preserve">WESTERN PATTERN CO (1973-1983; SIC 3565)</t>
  </si>
  <si>
    <t xml:space="preserve">WESTERN PATTERN CO (1973) | WESTERN PATTERN CO DRAKE PRECISION MACHINE PRINTINGr LITAOGRAPHIC (1977)</t>
  </si>
  <si>
    <t xml:space="preserve">NATIONAL SCREENPRINT CORP [CDPHE RCRA; 27 m] | NORMANS DRAPERY CLEANERS INC [CDPHE RCRA; 27 m] | ORALABS INC [CDPHE RCRA; 27 m]</t>
  </si>
  <si>
    <t xml:space="preserve">NATIONAL SCREENPRINT CORP</t>
  </si>
  <si>
    <t xml:space="preserve">S02304</t>
  </si>
  <si>
    <t xml:space="preserve">5050 S FEDERAL BLVD</t>
  </si>
  <si>
    <t xml:space="preserve">ELECTRONIC PROCESSORS INC (1973; SIC 3573,3699)</t>
  </si>
  <si>
    <t xml:space="preserve">ELECTRONIC PROCESSORS INC (1973)</t>
  </si>
  <si>
    <t xml:space="preserve">EQUILON ENTERPRISES LLC DBA SHELL OIL [FRS; 43 m] | HOME DEPOT STORE #1519 [FRS; 53 m] | KING SOOPERS 109 [CDPHE RCRA; 111 m] | HOME DEPOT STORE #1519 [CDPHE RCRA; 164 m] | KING SOOPERS 109 [FRS; 176 m] | NO 1 CLNRS [FRS; 176 m]</t>
  </si>
  <si>
    <t xml:space="preserve">CIRCLE K STORE # 2709876 [FRS; 43 m] | BISHOP REALTY &amp; MANAGEMENT [FRS; 135 m] | KING SOOPERS FUEL #109 [FRS; 142 m] | US DRY CLNRS [FRS; 170 m] | CENTENNIAL PRESS [FRS; 170 m] | COLUMBINE SQUARE [FRS; 170 m] | ALL DEMOLITION EXCAV - PORT CRUSHER [FRS; 176 m] | DILLON COMPANIES - KING SOOPERS #109 [FRS; 176 m]</t>
  </si>
  <si>
    <t xml:space="preserve">EQUILON ENTERPRISES LLC DBA SHELL OIL</t>
  </si>
  <si>
    <t xml:space="preserve">S02805</t>
  </si>
  <si>
    <t xml:space="preserve">3021 S TEJON ST</t>
  </si>
  <si>
    <t xml:space="preserve">Chemicals; Fabricated metals; Petroleum refining; Transportation equipment</t>
  </si>
  <si>
    <t xml:space="preserve">1973;1974;1977;1980;1990</t>
  </si>
  <si>
    <t xml:space="preserve">SUN RECREATION PRODUCTS CO (1973; SIC 3792) | SUN RECREATICNAL INDs To (1974-1980; SIC 3792,3714) | IMPERIAL HAMMER COMPANY INC (1977; SIC 3423) | GATEWAY SAFETY PRODUCTS CORP (1990; SIC 2899) | KWIK-A-TACH CO INC (1990; SIC 2951)</t>
  </si>
  <si>
    <t xml:space="preserve">SUN RECREATION PRODUCTS CO (1973) | SUN RECREATICNAL INDs To (1974) | IMPERIAL HAMMER COMPANY INC (1977) | COLORADO SIGN CO (1980) | HYDROLOGICS INC (1980) | TRUELINE INSTRUMENTS INC (1980) | TRUELINE INSTRUMENTS INC (1983) | GATEWAY SAFETY PRODUCTS CORP (1990) | KWIK-A-TACH CO INC (1990)</t>
  </si>
  <si>
    <t xml:space="preserve">HYDROLOGICS INC [FRS; name match, 13 m] | JAY CORKEN [FRS; 13 m] | CORE GRAPHICS LTD [FRS; 54 m] | CEDAR ENTERPRISES INC [FRS; 70 m] | JE AUTO SERVICE [FRS; 77 m]</t>
  </si>
  <si>
    <t xml:space="preserve">ALL PHASE RESTORATION [FRS; 31 m] | COMMERCIAL DOOR &amp; WOODWORK INC [FRS; 32 m] | AIR SYSTEMS INC [FRS; 79 m]</t>
  </si>
  <si>
    <t xml:space="preserve">JAY CORKEN</t>
  </si>
  <si>
    <t xml:space="preserve">S02751</t>
  </si>
  <si>
    <t xml:space="preserve">355 LIMA ST SOCIO</t>
  </si>
  <si>
    <t xml:space="preserve">DOW CHEMICAL USA EXTRUSICN PLANT (1974; SIC 3356)</t>
  </si>
  <si>
    <t xml:space="preserve">DOW CHEMICAL USA EXTRUSICN PLANT (1974)</t>
  </si>
  <si>
    <t xml:space="preserve">LANSING ELEMENTARY SCHOOL [CDPHE RCRA; 144 m]</t>
  </si>
  <si>
    <t xml:space="preserve">LANSING ELEMENTARY SCHOOL</t>
  </si>
  <si>
    <t xml:space="preserve">S02795</t>
  </si>
  <si>
    <t xml:space="preserve">3060 S VALLEJO</t>
  </si>
  <si>
    <t xml:space="preserve">C C W PRODUCTS INC (1980-1983; SIC 3079) | CCWe INC. (1980; SIC 3079) | MEOINA WOGD PROOUCTS (1980; SIC 2449,2448,3079) | ARCTURUS INDUSTRIES CORP (1983; SIC 3079) | EDINA PACKAGING SUPPLY (1983; SIC 2449,2448,3079)</t>
  </si>
  <si>
    <t xml:space="preserve">EDGE MFG INC (1974) | AUSTRO FURNITURE ©D (1977) |  (1977) | ACTION GRAPHICS (1980) | C C W PRODUCTS INC (1980) | CCWe INC. (1980) | MEOINA WOGD PROOUCTS (1980) | ARCTURUS INDUSTRIES CORP (1983) | EDINA PACKAGING SUPPLY (1983) | 3599 MA C+D PRINTING (1988)</t>
  </si>
  <si>
    <t xml:space="preserve">COLORADO TRUCK RENTAL [FRS; 20 m] | EXECUTIVE WHOLESALE DRYCLEANER [FRS; 28 m] | THE PROVIDENT GROUP [FRS; 49 m]</t>
  </si>
  <si>
    <t xml:space="preserve">C &amp; D PRINTING INC [FRS; name match, 49 m]</t>
  </si>
  <si>
    <t xml:space="preserve">COLORADO TRUCK RENTAL</t>
  </si>
  <si>
    <t xml:space="preserve">S02796</t>
  </si>
  <si>
    <t xml:space="preserve">1265 W DARTMOUTH AVE</t>
  </si>
  <si>
    <t xml:space="preserve">ELECTRONIC PROCESSORS INC (1974-1990; SIC 3573,3699)</t>
  </si>
  <si>
    <t xml:space="preserve">ELECTRONIC PROCESSORS INC (1974)</t>
  </si>
  <si>
    <t xml:space="preserve">ELECTRONIC PROCESSORS INC [FRS; name match, 25 m] | ELECTRONIC PROCESSORS INC [FRS] (address match)</t>
  </si>
  <si>
    <t xml:space="preserve">ELECTRONIC PROCESSORS INC</t>
  </si>
  <si>
    <t xml:space="preserve">S02799</t>
  </si>
  <si>
    <t xml:space="preserve">1340 W RADCLIFF</t>
  </si>
  <si>
    <t xml:space="preserve">INTERNATIONAL INDUSTRIES (1974; SIC 3573,3622,3591) | CHAMPION ENC (1980; SIC 3714) | CHAMPION INC (1983-1990; SIC 3714) | MOUNTAIN STATES PLASTICS INC (1983-1990; SIC 3079)</t>
  </si>
  <si>
    <t xml:space="preserve">INTERNATIONAL INDUSTRIES (1974) | CHAMPION ENC (1980) | CHAMPION INC (1983) | MOUNTAIN STATES PLASTICS INC (1983)</t>
  </si>
  <si>
    <t xml:space="preserve">CHAMPION INC [FRS; name match, 139 m]</t>
  </si>
  <si>
    <t xml:space="preserve">MOUNTAIN STATES PLASTICS INC [FRS; name match, 134 m]</t>
  </si>
  <si>
    <t xml:space="preserve">CHAMPION INC</t>
  </si>
  <si>
    <t xml:space="preserve">S02801</t>
  </si>
  <si>
    <t xml:space="preserve">3700 S LIPAN</t>
  </si>
  <si>
    <t xml:space="preserve">METAL FABRICATORS INC (1974-1983; SIC 3441,3449)</t>
  </si>
  <si>
    <t xml:space="preserve">LIFETIME-TILE MFG CO INC (1974) | METAL FABRICATORS INC (1974) | FORUM ENGRAVING INC (1977) | UIFETIMNE&lt;TILE MFG CO INC (1980)</t>
  </si>
  <si>
    <t xml:space="preserve">METAL FABRICATORS [FRS; name match, 13 m]</t>
  </si>
  <si>
    <t xml:space="preserve">CONSOLIDATED STEEL SVC [FRS; 13 m] | HIGH COUNTRY CRAFTSMAN [FRS; 41 m]</t>
  </si>
  <si>
    <t xml:space="preserve">S02803</t>
  </si>
  <si>
    <t xml:space="preserve">3962 S MARIPOSA</t>
  </si>
  <si>
    <t xml:space="preserve">WEHRMAN CORP (1980-1983; SIC 3599) | ANTIQUE AUTOMOTIVE ENGINEERING INC (1983; SIC 3714) | S+M FABRICATION (1990; SIC 3444)</t>
  </si>
  <si>
    <t xml:space="preserve">QUALITY PRESS (1974) | WEHRMAN CORP (1980) | ANTIQUE AUTOMOTIVE ENGINEERING INC (1983) | S+M FABRICATION (1990)</t>
  </si>
  <si>
    <t xml:space="preserve">UDDEHOLM CORPORATION [CDPHE RCRA; 11 m] | MOSER PRINTING INC [CDPHE RCRA; 11 m] | RICKSHAW AUTO BODY [FRS; 41 m]</t>
  </si>
  <si>
    <t xml:space="preserve">QUALITY PRESS INC [FRS; name match, 20 m] | JIMS EXCAVATING CO INC [FRS; 29 m]</t>
  </si>
  <si>
    <t xml:space="preserve">UDDEHOLM CORPORATION</t>
  </si>
  <si>
    <t xml:space="preserve">S02806</t>
  </si>
  <si>
    <t xml:space="preserve">3273 S SANTA FE ORIVE</t>
  </si>
  <si>
    <t xml:space="preserve">1974;1988;1990;1992</t>
  </si>
  <si>
    <t xml:space="preserve">SUPERIOR METAL PRODUCTS INC (1974; SIC 3499) | PRSROSHON inc (1988; SIC 3089) | AR PLASTICS FABRICATION INC (1990-1992; SIC 3089) | D+C ENTERPRISES (1990; SIC 3599,3089)</t>
  </si>
  <si>
    <t xml:space="preserve">SUPERIOR METAL PRODUCTS INC (1974) | PRSROSHON inc (1988) | D+C ENTERPRISES (1988) | AR PLASTICS FABRICATION INC (1990)</t>
  </si>
  <si>
    <t xml:space="preserve">PEAK COLLISION [FRS; 61 m] | DAN FOGEL PROPERTY [FRS; 61 m] | FOGEL PROPERTY [FRS; 62 m] | CDOT PROJ CXFCU GF 10 0085 1 [FRS; 62 m] | EXPERTS ONLY COLLISION, INC [FRS; 62 m] | AUTOTECH AUTO BODY [FRS; 67 m] | DIAMOND HOMES [FRS; 76 m] | STOUDT CABINETRY [FRS; 200 m]</t>
  </si>
  <si>
    <t xml:space="preserve">20473 WIDEN SB SANTA FE HAMPDEN TO LIPAN [FRS; 50 m] | CUSTOM AUTOMOTIVE [FRS; 59 m] | AUTOCRAFTERS, INC [FRS; 61 m] | 3300 S. HURON ST. [FRS; 164 m] | ENGLEWOOD STORAGE [FRS; 233 m] | ARAPAHOE ALUMINUM FOUNDRY [FRS; 247 m]</t>
  </si>
  <si>
    <t xml:space="preserve">PEAK COLLISION</t>
  </si>
  <si>
    <t xml:space="preserve">S03206</t>
  </si>
  <si>
    <t xml:space="preserve">2090 W COLLEGE AVE</t>
  </si>
  <si>
    <t xml:space="preserve">ADVANCED MACHINING CO (1977-1983; SIC 3599) | ELECTRONICS METAL PRODUCTS (1977-1983; SIC 3469,3599,3446) | DRAKE PRECISION INC (1988; SIC 3451,3599)</t>
  </si>
  <si>
    <t xml:space="preserve">ADVANCED MACHINING CO (1977) | ELECTRONICS METAL PRODUCTS (1977) | DRAKE PRECISION INC (1988)</t>
  </si>
  <si>
    <t xml:space="preserve">GUARANTY BANK &amp; TRUST CO [FRS; 25 m] | GUARANTY BANK &amp; TRUST CO [FRS] (address match)</t>
  </si>
  <si>
    <t xml:space="preserve">RIVIERA ELECTRIC CNSTR CO [FRS; 24 m] | R&amp;R MILLWORK INC [FRS; 25 m] | CUSTOM MACHINING CORPORATION [FRS; 25 m] | R&amp;R MILLWORK INC [FRS] (address match) | CUSTOM MACHINING CORPORATION [FRS] (address match)</t>
  </si>
  <si>
    <t xml:space="preserve">GUARANTY BANK &amp; TRUST CO</t>
  </si>
  <si>
    <t xml:space="preserve">S03208</t>
  </si>
  <si>
    <t xml:space="preserve">2041 W BATES AVE</t>
  </si>
  <si>
    <t xml:space="preserve">ARAPAHOE ENGINEERING + MACHINE CORP (1977-1980; SIC 3599,3544)</t>
  </si>
  <si>
    <t xml:space="preserve">ARAPAHOE ENGINEERING + MACHINE CORP (1977) | INDEPENDENT SIGN (1983)</t>
  </si>
  <si>
    <t xml:space="preserve">LK PRINTING SVC [FRS; 27 m]</t>
  </si>
  <si>
    <t xml:space="preserve">S03216</t>
  </si>
  <si>
    <t xml:space="preserve">2930 S TEJON ST</t>
  </si>
  <si>
    <t xml:space="preserve">GATEWAY SAFETY PRODUCTS INC (1977-1983; SIC 2899)</t>
  </si>
  <si>
    <t xml:space="preserve">GATEWAY SAFETY PRODUCTS INC (1977)</t>
  </si>
  <si>
    <t xml:space="preserve">WHEELS OF TIME [FRS; 12 m] | ORALABS INC [FRS; 34 m]</t>
  </si>
  <si>
    <t xml:space="preserve">WHEELS OF TIME</t>
  </si>
  <si>
    <t xml:space="preserve">S03217</t>
  </si>
  <si>
    <t xml:space="preserve">3994 S MARIPOSA</t>
  </si>
  <si>
    <t xml:space="preserve">HEADS By PAUL LTD (1977-1990; SIC 3714) | HARDWARE DEM HEADS BY PAUL LTD (1988; SIC 3714) | ACRO MANUFACTURING CO (1990; SIC 3599)</t>
  </si>
  <si>
    <t xml:space="preserve">HEADS By PAUL LTD (1977) | ZIMPRO INCs MAROX PRODUCTION+ENG. CENTER (1983) | HARDWARE DEM HEADS BY PAUL LTD (1988) | ACRO MANUFACTURING CO (1990)</t>
  </si>
  <si>
    <t xml:space="preserve">HEADS BY PAUL INC [FRS; name match, 5 m] | UDDEHOLM CORPORATION [FRS; 7 m]</t>
  </si>
  <si>
    <t xml:space="preserve">HEADS BY PAUL INC</t>
  </si>
  <si>
    <t xml:space="preserve">S03219</t>
  </si>
  <si>
    <t xml:space="preserve">1885 W DARTMOUTH AVE</t>
  </si>
  <si>
    <t xml:space="preserve">FRUE TURN INC (1980; SIC 3599) | EDLAR PRECISION METALS + PLASTICS (1983; SIC 3079,3542)</t>
  </si>
  <si>
    <t xml:space="preserve">ROCKY MOUNTAIN SCREEN PRINTING ROSS A MOTE PRESIDENT (1977) | ALL COLORADO PRINTING + TYPESETTING (1980) | QROF BROTHERS SOLAR APPLIANCES INC (1980) | FRUE TURN INC (1980) | TYPESETTER {NC., THE (1980) | FALCON MANUFACTURING CO (1983) | EDLAR PRECISION METALS + PLASTICS (1983) | PROTOTYPE TOOLS FALCON MFG CO (1988) | ROBINSON BRICK CO (1990)</t>
  </si>
  <si>
    <t xml:space="preserve">HOYLE LOWDERMILK INC [FRS; 30 m]</t>
  </si>
  <si>
    <t xml:space="preserve">ALAMEDA WHOLESALE NURSERY [FRS; 30 m]</t>
  </si>
  <si>
    <t xml:space="preserve">HOYLE LOWDERMILK INC</t>
  </si>
  <si>
    <t xml:space="preserve">S03222</t>
  </si>
  <si>
    <t xml:space="preserve">3535 S IRVING ST</t>
  </si>
  <si>
    <t xml:space="preserve">ROYAL ELECTRONICS CORP (1983; SIC 3662,3714)</t>
  </si>
  <si>
    <t xml:space="preserve">ROYAL ELECTRONICS CORP (1977)</t>
  </si>
  <si>
    <t xml:space="preserve">AUTO IMAGE [FRS; 9 m] | AUTO IMAGE [FRS] (address match)</t>
  </si>
  <si>
    <t xml:space="preserve">Mercury Tube Products</t>
  </si>
  <si>
    <t xml:space="preserve">S03223</t>
  </si>
  <si>
    <t xml:space="preserve">3211 S PLATTE RIVER</t>
  </si>
  <si>
    <t xml:space="preserve">TWENTIETH CENTURY PRIDUCTS (1977-1992; SIC 3079) | CHROMATICS MANUFACTURING INC (1983; SIC 3444) | MAGAZINES CAROBA PLASTICS INC (1988-1990; SIC 3089,3484)</t>
  </si>
  <si>
    <t xml:space="preserve">TWENTIETH CENTURY PRIDUCTS (1977) | CHROMATICS MANUFACTURING INC (1983) | MAGAZINES CAROBA PLASTICS INC (1988)</t>
  </si>
  <si>
    <t xml:space="preserve">CHROMATICS INC [FRS; name match, 125 m] | GOODWILL INDUSTRIES OF DENVER [FRS; 6 m]</t>
  </si>
  <si>
    <t xml:space="preserve">CAROBA PLASTICS [FRS; name match, 99 m]</t>
  </si>
  <si>
    <t xml:space="preserve">S03557</t>
  </si>
  <si>
    <t xml:space="preserve">11951 E 33RD AVE</t>
  </si>
  <si>
    <t xml:space="preserve">AEGON PRECISION CO (1980-1990; SIC 3599,3544) | MERIDAN GROUP INC (1990; SIC 3567)</t>
  </si>
  <si>
    <t xml:space="preserve">AEGON PRECISION CO (1980) | MERIDAN GROUP INC (1990)</t>
  </si>
  <si>
    <t xml:space="preserve">TESLA AURORA SSD [FRS; 17 m] | TESLA AURORA SSD [FRS] (address match) | TESLA AURORA SSD [CDPHE RCRA] (address match)</t>
  </si>
  <si>
    <t xml:space="preserve">B &amp; E SCREEN PRINTING [FRS; 7 m] | CAPITOL GLASS &amp; ALUMINUM CORP [FRS; 11 m] | PARKWOOD DESIGN [FRS; 39 m] | MORRIS HEIGHTS SUBDIVISION [FRS] (address match)</t>
  </si>
  <si>
    <t xml:space="preserve">TESLA AURORA SSD</t>
  </si>
  <si>
    <t xml:space="preserve">S03558</t>
  </si>
  <si>
    <t xml:space="preserve">1480 LIMA</t>
  </si>
  <si>
    <t xml:space="preserve">AURORA CROWN MACHINE (1980-1983; SIC 3714)</t>
  </si>
  <si>
    <t xml:space="preserve">AURORA CROWN MACHINE (1980)</t>
  </si>
  <si>
    <t xml:space="preserve">AURORA CROWN MACHINE [FRS; name match, 35 m] | AURORA CROWN MACHINE [FRS] (address match)</t>
  </si>
  <si>
    <t xml:space="preserve">LOVELL'S AUTOMOTIVE [FRS; 26 m]</t>
  </si>
  <si>
    <t xml:space="preserve">AURORA CROWN MACHINE</t>
  </si>
  <si>
    <t xml:space="preserve">S03563</t>
  </si>
  <si>
    <t xml:space="preserve">11921 E 14TH AVE</t>
  </si>
  <si>
    <t xml:space="preserve">HACKLEYS MACHINE SHOP (1980-1992; SIC 3714)</t>
  </si>
  <si>
    <t xml:space="preserve">HACKLEYS MACHINE SHOP (1980)</t>
  </si>
  <si>
    <t xml:space="preserve">ADMIRATION INC [CDPHE RCRA; 14 m] | QUALITY BODY WORKS [FRS; 23 m] | KURTS EAST SIDE TOWING [FRS; 25 m] | KURTS EAST SIDE TOWING [FRS] (address match)</t>
  </si>
  <si>
    <t xml:space="preserve">QWEST CORPORATION [FRS; 37 m]</t>
  </si>
  <si>
    <t xml:space="preserve">FITZSIMONS PROMENADE</t>
  </si>
  <si>
    <t xml:space="preserve">FITZSIMONS ARMY MEDICAL CENTER</t>
  </si>
  <si>
    <t xml:space="preserve">ADMIRATION INC</t>
  </si>
  <si>
    <t xml:space="preserve">S03658</t>
  </si>
  <si>
    <t xml:space="preserve">2303 W DARTMOUTH</t>
  </si>
  <si>
    <t xml:space="preserve">AGE CHALLIS ¢ AC BROCK + CO (1980; SIC 3446,3993)</t>
  </si>
  <si>
    <t xml:space="preserve">AGE CHALLIS ¢ AC BROCK + CO (1980)</t>
  </si>
  <si>
    <t xml:space="preserve">ELECTRO PAINTERS INC [FRS; 25 m]</t>
  </si>
  <si>
    <t xml:space="preserve">S03660</t>
  </si>
  <si>
    <t xml:space="preserve">2010 W DARTMOUTH</t>
  </si>
  <si>
    <t xml:space="preserve">ACCUGRIND CORPORATION (1980; SIC 3555,3532) | B+ R MFG + SALES (1980; SIC 3792) | FINZER@KOREN ROLLER INCe (1983; SIC 3555,3532) | MASTERCRAFT TRUCK EQUIPMENTs INC (1983-1990; SIC 3792)</t>
  </si>
  <si>
    <t xml:space="preserve">ACCUGRIND CORPORATION (1980) | B+ R MFG + SALES (1980) | COMMUNIGRAPHICS INC (1980) | FINZER@KOREN ROLLER INCe (1983) | MASTERCRAFT TRUCK EQUIPMENTs INC (1983)</t>
  </si>
  <si>
    <t xml:space="preserve">COMMUNIGRAPHICS INC [FRS; name match, 58 m] | MR BS BODY SHOP [FRS; 25 m]</t>
  </si>
  <si>
    <t xml:space="preserve">MR BS BODY SHOP</t>
  </si>
  <si>
    <t xml:space="preserve">S03662</t>
  </si>
  <si>
    <t xml:space="preserve">1835 W UNION</t>
  </si>
  <si>
    <t xml:space="preserve">Chemicals; Industrial machinery; Petroleum refining; Transportation equipment</t>
  </si>
  <si>
    <t xml:space="preserve">AMERICAN SILICONE MFG # SALES CORP (1983; SIC 2842) | PERFORMANCE PRODUCTS INC (1983; SIC 3714,3711) | CLM INTERNATIONAL CORP (1988-1990; SIC 2992) | BRONCORP MANUFACTURING CO INC (1990; SIC 3559) | NOR RINN INDUSTRY INC (1990; SIC 3599)</t>
  </si>
  <si>
    <t xml:space="preserve">ADVANCE GLASS INC (1980) | AMERICAN SILICONE MFG # SALES CORP (1983) | PERFORMANCE PRODUCTS INC (1983) | CLM INTERNATIONAL CORP (1988) | BRONCORP MANUFACTURING CO INC (1990) | CHAMBERLAIN WOOD PRODUCTS INC (1990) | NOR RINN INDUSTRY INC (1990) | STEVE'S CUSTOM MILLWORKS INC (1990)</t>
  </si>
  <si>
    <t xml:space="preserve">SOUTHWEST MARINE INC [FRS; 23 m] | WEST UNION INDUSTRIAL CENTER [FRS; 36 m] | SILVER SADDLE AUTO BODY [FRS; 59 m]</t>
  </si>
  <si>
    <t xml:space="preserve">SOUTHWEST MARINE INC</t>
  </si>
  <si>
    <t xml:space="preserve">S03664</t>
  </si>
  <si>
    <t xml:space="preserve">306 S VALLEJO ST</t>
  </si>
  <si>
    <t xml:space="preserve">ARCTURUS INDUSTRIES CORP (1980; SIC 3079)</t>
  </si>
  <si>
    <t xml:space="preserve">ARCTURUS INDUSTRIES CORP (1980)</t>
  </si>
  <si>
    <t xml:space="preserve">RISHEL MIDDLE SCHOOL [FRS; 234 m]</t>
  </si>
  <si>
    <t xml:space="preserve">POWDER HORN APTS [FRS; 110 m] | PT 22085 - ATHMAR PARK REPLACEMENT - PART 2 [FRS; 220 m] | DPS RISHEL [FRS; 234 m] | RISHEL MIDDLE SCHOOL [FRS; 234 m]</t>
  </si>
  <si>
    <t xml:space="preserve">S03673</t>
  </si>
  <si>
    <t xml:space="preserve">14 INVERNESS DR E</t>
  </si>
  <si>
    <t xml:space="preserve">MONOLITHIC SYSTEMS CORP (1980; SIC 3573) | MAX INSTRUMENTS INC (1983-1990; SIC 3679) | ENGLEWOOD A B C REPROGRAPHICS (1988; SIC 2305,2789,2985) | UNICIRCUIT INC (1990; SIC 3672)</t>
  </si>
  <si>
    <t xml:space="preserve">ELECTROMAX INSTRUMENTS ENC (1980) | MONOLITHIC SYSTEMS CORP (1980) | MAX INSTRUMENTS INC (1983) | ENGLEWOOD A B C REPROGRAPHICS (1988) | UNICIRCUIT INC (1990)</t>
  </si>
  <si>
    <t xml:space="preserve">UNICIRCUIT, INC. [FRS] (address match)</t>
  </si>
  <si>
    <t xml:space="preserve">DSI DYNAMIC SOLUTIONS INTERNATIONAL [FRS] (address match) | CAPITAL ROOFING &amp; RESTORATION [FRS] (address match)</t>
  </si>
  <si>
    <t xml:space="preserve">S03685</t>
  </si>
  <si>
    <t xml:space="preserve">77 E FLOYD AVE</t>
  </si>
  <si>
    <t xml:space="preserve">KER @ KLEEN INC (1980-1990; SIC 3589)</t>
  </si>
  <si>
    <t xml:space="preserve">KER @ KLEEN INC (1980) | COLORADO PRINTERS (1990)</t>
  </si>
  <si>
    <t xml:space="preserve">PARWIT INC-DBA KEM-O-KLEEN INC [FRS; name match, 4 m] | PARWIT INC-DBA KEM-O-KLEEN INC [FRS] (address match)</t>
  </si>
  <si>
    <t xml:space="preserve">3392 S. Broadway</t>
  </si>
  <si>
    <t xml:space="preserve">PARWIT INC-DBA KEM-O-KLEEN INC</t>
  </si>
  <si>
    <t xml:space="preserve">S03690</t>
  </si>
  <si>
    <t xml:space="preserve">2955 S TEJON ST</t>
  </si>
  <si>
    <t xml:space="preserve">AMT ENGINEERING (1990; SIC 3544,3569,3577)</t>
  </si>
  <si>
    <t xml:space="preserve">MOUNTAIN MEDICAL EQUIPMENT (1980) | AMT ENGINEERING (1990)</t>
  </si>
  <si>
    <t xml:space="preserve">WHEELS OF TIME [FRS; 38 m]</t>
  </si>
  <si>
    <t xml:space="preserve">S03711</t>
  </si>
  <si>
    <t xml:space="preserve">2706 W UNION AVE</t>
  </si>
  <si>
    <t xml:space="preserve">WEST UNION FABRICATORS (1980-1983; SIC 3441)</t>
  </si>
  <si>
    <t xml:space="preserve">WEST UNION FABRICATORS (1980)</t>
  </si>
  <si>
    <t xml:space="preserve">BUSSARD PROPERTY [FRS; 25 m]</t>
  </si>
  <si>
    <t xml:space="preserve">BRANNAN READY MIX - SOUTH READY MIX</t>
  </si>
  <si>
    <t xml:space="preserve">BUSSARD PROPERTY</t>
  </si>
  <si>
    <t xml:space="preserve">S04516</t>
  </si>
  <si>
    <t xml:space="preserve">1835 W BAKER AVE</t>
  </si>
  <si>
    <t xml:space="preserve">FOLIC PROOUCTS (1980-1988; SIC 3842,3599) | STEEL STRUCTURES OF COLORADO INC (1983-1988; SIC 3442,3448)</t>
  </si>
  <si>
    <t xml:space="preserve">A PRINTING PLACE (1980) | FOLIC PROOUCTS (1980) | STEEL STRUCTURES OF COLORADO INC (1983)</t>
  </si>
  <si>
    <t xml:space="preserve">R &amp; M AUTOMOTIVE PLAZA INC [FRS; 4 m] | BIG D AUTO SALVAGE [FRS; 57 m]</t>
  </si>
  <si>
    <t xml:space="preserve">MISERS INSPECTION AND TRAINING [FRS; 4 m] | NIMROD AUTOMOTIVE INC. [FRS; 9 m] | CHARLES C WOODS &amp; SONS INC [FRS; 51 m]</t>
  </si>
  <si>
    <t xml:space="preserve">R &amp; M AUTOMOTIVE PLAZA INC</t>
  </si>
  <si>
    <t xml:space="preserve">S04537</t>
  </si>
  <si>
    <t xml:space="preserve">2609 S RARITAN ST</t>
  </si>
  <si>
    <t xml:space="preserve">ELEMENATOR INC. (1980-1983; SIC 3535) | GUSTAFSON MANUFACTURING INC (1983-1990; SIC 3498,3443) | TRANSFER EQUIP CUSTOM ENGINEERING (1988; SIC 3545,3549,3563) | BEVELERS, KILNS DENVER GRAPHIC INC (1988; SIC 2759,3089) | CUSTOM ENGINEERING INC (1990; SIC 3545,3549,3563)</t>
  </si>
  <si>
    <t xml:space="preserve">ELEMENATOR INC. (1980) | GUSTAFSON MANUFACTURING INC (1983) | WEAVER PRINTING CO. (1983) | TRANSFER EQUIP CUSTOM ENGINEERING (1988) | BEVELERS, KILNS DENVER GRAPHIC INC (1988) | CUSTOM ENGINEERING INC (1990) | DENVER GRAPHIC INC (1990) | ELMERS MANUFACTURING CO (1990) | GIBSON GYMNASTIC SUPPLIES INC (1990)</t>
  </si>
  <si>
    <t xml:space="preserve">GIBSON INC [CDPHE RCRA; name match, 132 m] | GIBSON INC [FRS; name match, 145 m] | SERVICE UNIFORM RENTAL [FRS; 8 m]</t>
  </si>
  <si>
    <t xml:space="preserve">DENVER GRAPHIC INC [FRS; name match, 137 m] | WEAVER PRINTING [FRS; name match, 165 m] | SERVICE UNIFORM [FRS; 8 m] | MINIAT - SEE 005/0503 [FRS; 67 m]</t>
  </si>
  <si>
    <t xml:space="preserve">SERVICE UNIFORM RENTAL</t>
  </si>
  <si>
    <t xml:space="preserve">S04499</t>
  </si>
  <si>
    <t xml:space="preserve">583 HANOVER WAY</t>
  </si>
  <si>
    <t xml:space="preserve">MOTOR MACHINE + SUPPLY INC (1983; SIC 3714)</t>
  </si>
  <si>
    <t xml:space="preserve">MOTOR MACHINE + SUPPLY INC (1983)</t>
  </si>
  <si>
    <t xml:space="preserve">ACCURATE AUTO BODY INC [CDPHE RCRA] (address match)</t>
  </si>
  <si>
    <t xml:space="preserve">30 INCH STEEL WATER LINE RENEWAL PROJECT [FRS; 1 m]</t>
  </si>
  <si>
    <t xml:space="preserve">K-LIM INC. DBA SUMMIT CLEANERS</t>
  </si>
  <si>
    <t xml:space="preserve">S04530</t>
  </si>
  <si>
    <t xml:space="preserve">2305 W CORNELL</t>
  </si>
  <si>
    <t xml:space="preserve">€ D0 M MANUFACTURING (1983; SIC 3599) | TeHeEs TOOL COesINCe=DIV OF BORDEN INTLe (1983; SIC 3544,3599) | RELATED TESTERS T HE TOOL CO INC (1988; SIC 3544,3599) | EAGLE PRECISION MFG INC (1990; SIC 3444,3469) | THE TOOL CO INC (1990; SIC 3544,3599)</t>
  </si>
  <si>
    <t xml:space="preserve">€ D0 M MANUFACTURING (1983) | TeHeEs TOOL COesINCe=DIV OF BORDEN INTLe (1983) | RELATED TESTERS T HE TOOL CO INC (1988) | EAGLE PRECISION MFG INC (1990) | THE TOOL CO INC (1990)</t>
  </si>
  <si>
    <t xml:space="preserve">THE TOOL CO INC [FRS; name match, 37 m]</t>
  </si>
  <si>
    <t xml:space="preserve">AMATO SHUTTER &amp; DOOR CO [FRS; 27 m]</t>
  </si>
  <si>
    <t xml:space="preserve">THE TOOL CO INC</t>
  </si>
  <si>
    <t xml:space="preserve">S04531</t>
  </si>
  <si>
    <t xml:space="preserve">3025 S WYANDOT</t>
  </si>
  <si>
    <t xml:space="preserve">EMERGIA CORPORATION (1983; SIC 3433)</t>
  </si>
  <si>
    <t xml:space="preserve">EMERGIA CORPORATION (1983)</t>
  </si>
  <si>
    <t xml:space="preserve">THE TOOL CO INC [FRS; 11 m]</t>
  </si>
  <si>
    <t xml:space="preserve">S04532</t>
  </si>
  <si>
    <t xml:space="preserve">6880 S EMPORIA ST</t>
  </si>
  <si>
    <t xml:space="preserve">EXCELSIOR ENT INC DBA AMUSE EMP AD-AN-AC (1983; SIC 3949,3581,3944)</t>
  </si>
  <si>
    <t xml:space="preserve">EXCELSIOR ENT INC DBA AMUSE EMP AD-AN-AC (1983) | H + M SHUTTER INC (1983)</t>
  </si>
  <si>
    <t xml:space="preserve">BURWELL INDUSTRIES [FRS; 14 m]</t>
  </si>
  <si>
    <t xml:space="preserve">BURWELL INDUSTRIES</t>
  </si>
  <si>
    <t xml:space="preserve">S04544</t>
  </si>
  <si>
    <t xml:space="preserve">3301 W HAMPDEN AVE</t>
  </si>
  <si>
    <t xml:space="preserve">SPEREME RNG ATA (1988; SIC 3577)</t>
  </si>
  <si>
    <t xml:space="preserve">L_K PRINTING SERVICE INC (1983) | SPEREME RNG ATA (1988) | COLORADO DATA SYSTEMS INC (1990)</t>
  </si>
  <si>
    <t xml:space="preserve">COLORADO DATA SYSTEMS INC [FRS; name match, 115 m]</t>
  </si>
  <si>
    <t xml:space="preserve">YOUNG'S AUTO BODY</t>
  </si>
  <si>
    <t xml:space="preserve">S04547</t>
  </si>
  <si>
    <t xml:space="preserve">2396 S TEJON</t>
  </si>
  <si>
    <t xml:space="preserve">MERRILL ENGINEERING LABORATORIES (1983; SIC 3569)</t>
  </si>
  <si>
    <t xml:space="preserve">MERRILL ENGINEERING LABORATORIES (1983)</t>
  </si>
  <si>
    <t xml:space="preserve">MERILAB, INC. [FRS; 10 m]</t>
  </si>
  <si>
    <t xml:space="preserve">S04548</t>
  </si>
  <si>
    <t xml:space="preserve">84 INVERNESS CIRE E</t>
  </si>
  <si>
    <t xml:space="preserve">MONOLITHIC SYSTEMS CORP (1983; SIC 3573)</t>
  </si>
  <si>
    <t xml:space="preserve">MONOLITHIC SYSTEMS CORP (1983) | ZIMMER ARTHROSCOPY SYSTEMS (1990)</t>
  </si>
  <si>
    <t xml:space="preserve">ALLEGIANCE HEALTHCARE [FRS; 133 m] | MEDICAL DYNAMICS INC [FRS; 148 m] | ROCHE BIOMEDICAL LABORATORIES [FRS; 158 m] | B &amp; J FURNITURE REPAIR [FRS; 204 m] | ENVIRONMENTAL CHEMISTRY SERVICES [FRS; 204 m] | 96 INVERNESS DR E BUSI CNT DRUM REMOVEL [FRS; 204 m] | ATOKA GEOCHEMICAL [FRS; 207 m] | NCR INFORMATION IMAGING SYSTEMS [FRS; 207 m]</t>
  </si>
  <si>
    <t xml:space="preserve">US BANK CORP - ELAVON - ENGLEWOOD [FRS; 117 m] | BAXTER HEALTHCARE CORPORATION [FRS; 133 m] | AVIDJET, INC. [FRS; 149 m] | SEMSWA MS4 [FRS; 171 m] | COMCAST CABLE COMMUNICATIONS [FRS; 176 m] | INVERNESS WATER &amp; SAN DISTRICT [FRS; 204 m]</t>
  </si>
  <si>
    <t xml:space="preserve">ALLEGIANCE HEALTHCARE</t>
  </si>
  <si>
    <t xml:space="preserve">S04551</t>
  </si>
  <si>
    <t xml:space="preserve">1919 W STANFORD AVE</t>
  </si>
  <si>
    <t xml:space="preserve">PLATTE RIVER ASPHALT CO INC (1983; SIC 2951)</t>
  </si>
  <si>
    <t xml:space="preserve">PLATTE RIVER ASPHALT CO INC (1983)</t>
  </si>
  <si>
    <t xml:space="preserve">BIG JOHNSON STREET RODS [FRS; 20 m]</t>
  </si>
  <si>
    <t xml:space="preserve">BIG JOHNSON STREET RODS</t>
  </si>
  <si>
    <t xml:space="preserve">S05716</t>
  </si>
  <si>
    <t xml:space="preserve">2761 W OXFORD AVE 1</t>
  </si>
  <si>
    <t xml:space="preserve">MILTRON CORP D.B.A.. TROXEL INDUSTRIES (1988; SIC 3599,3840) | MULTI-DIMENSIONAL MACHINING (1988; SIC 3599)</t>
  </si>
  <si>
    <t xml:space="preserve">RAILINGS, GATES ADROIT SPECIALTIES (1988) | MILTRON CORP D.B.A.. TROXEL INDUSTRIES (1988) | MULTI-DIMENSIONAL MACHINING (1988) | SIGNTECH SYSTEMS INC (1990)</t>
  </si>
  <si>
    <t xml:space="preserve">ASAP ALT AND STARTERS [FRS; 29 m] | ROCKY MOUNTAIN ENVIRONMENTAL, INC. [FRS; 40 m] | ACTA RESOURCRS INC [FRS; 40 m]</t>
  </si>
  <si>
    <t xml:space="preserve">WEST OXFORD AVE ROADWAY RECONSTRUCTION PROJECT STUM201 002 [FRS; 31 m] | NU-TECK [FRS; 40 m]</t>
  </si>
  <si>
    <t xml:space="preserve">ASAP ALT AND STARTERS</t>
  </si>
  <si>
    <t xml:space="preserve">S05717</t>
  </si>
  <si>
    <t xml:space="preserve">6746 S REVERE PKY 100</t>
  </si>
  <si>
    <t xml:space="preserve">ADVANCED COMPUTER SYSTEMS FOR PRINTER (1988-1992; SIC 3577)</t>
  </si>
  <si>
    <t xml:space="preserve">ADVANCED COMPUTER SYSTEMS FOR PRINTER (1988)</t>
  </si>
  <si>
    <t xml:space="preserve">TRUE ANOMALY INC.  [CDPHE RCRA; 44 m] | SEMA CONSTRUCTION [FRS; 47 m] | SKYDEX TECHNOLOGIES [FRS; 198 m]</t>
  </si>
  <si>
    <t xml:space="preserve">AT&amp;T CORP - ENWDCONA [FRS; 198 m] | LONE TREE CREEK REGIONAL TRAIL PHASE 1A [FRS; 234 m] | UPTOWN SUITES CENTENNIAL [FRS; 248 m]</t>
  </si>
  <si>
    <t xml:space="preserve">TRUE ANOMALY INC. </t>
  </si>
  <si>
    <t xml:space="preserve">S05719</t>
  </si>
  <si>
    <t xml:space="preserve">6801 S DAYTON</t>
  </si>
  <si>
    <t xml:space="preserve">REMANUFACTURED ENG APPARAT INC (1988; SIC 3577)</t>
  </si>
  <si>
    <t xml:space="preserve">REMANUFACTURED ENG APPARAT INC (1988) | APPARAT INC (1990)</t>
  </si>
  <si>
    <t xml:space="preserve">FREE PC RECYCLING / JOHN CALERDINE [CDPHE RCRA; 8 m]</t>
  </si>
  <si>
    <t xml:space="preserve">FREE PC RECYCLING / JOHN CALERDINE</t>
  </si>
  <si>
    <t xml:space="preserve">S05724</t>
  </si>
  <si>
    <t xml:space="preserve">2903 S WYANDOT ST</t>
  </si>
  <si>
    <t xml:space="preserve">COLORADO HEAT TREATING CO INC (1988; SIC 3398,3839)</t>
  </si>
  <si>
    <t xml:space="preserve">COLORADO HEAT TREATING CO INC (1988)</t>
  </si>
  <si>
    <t xml:space="preserve">COLORADO HEAT TREATING [FRS; name match, 71 m]</t>
  </si>
  <si>
    <t xml:space="preserve">S05726</t>
  </si>
  <si>
    <t xml:space="preserve">3119 W HAMPDEN AVE</t>
  </si>
  <si>
    <t xml:space="preserve">COMPUTERIZED MACHINING SERVICE (1988; SIC 3599) | SHERIDAN FELLET SUBPULL INC (1988-1992; SIC 3531,3533,3850) | MICRO APTECH INC (1990; SIC 3577) | ELECTRONIC INNOVATIONS CORP (Bic) (1992; SIC 3877,3577)</t>
  </si>
  <si>
    <t xml:space="preserve">COMPUTERIZED MACHINING SERVICE (1988) | SHERIDAN FELLET SUBPULL INC (1988) | MICRO APTECH INC (1990) | ELECTRONIC INNOVATIONS CORP (Bic) (1992)</t>
  </si>
  <si>
    <t xml:space="preserve">HAIR TRIGGER CUSTOMS [FRS; 2 m]</t>
  </si>
  <si>
    <t xml:space="preserve">STAR REFLECTIONS [FRS; 2 m]</t>
  </si>
  <si>
    <t xml:space="preserve">S05730</t>
  </si>
  <si>
    <t xml:space="preserve">2980 S ZUNI ST</t>
  </si>
  <si>
    <t xml:space="preserve">F S MACHINING INC (1988-1990; SIC 3541)</t>
  </si>
  <si>
    <t xml:space="preserve">F S MACHINING INC (1988)</t>
  </si>
  <si>
    <t xml:space="preserve">ACCUTRONIC INC [CDPHE RCRA; 12 m] | N-H CUSTOM CREATIONS [CDPHE RCRA; 12 m] | ASHLAND LLC [CDPHE RCRA; 12 m]</t>
  </si>
  <si>
    <t xml:space="preserve">S05732</t>
  </si>
  <si>
    <t xml:space="preserve">2175 W DARTMOUTH AVE</t>
  </si>
  <si>
    <t xml:space="preserve">GREAT WESTERN SEAL+GASKET CO INC (1988-1990; SIC 3053,7335,2434) | ACTION IRONWORKS (1990; SIC 3442,3446)</t>
  </si>
  <si>
    <t xml:space="preserve">GREAT WESTERN SEAL+GASKET CO INC (1988) | ACTION IRONWORKS (1990)</t>
  </si>
  <si>
    <t xml:space="preserve">THE PROVIDENT GROUP [FRS; 49 m]</t>
  </si>
  <si>
    <t xml:space="preserve">C &amp; D PRINTING INC [FRS; 49 m]</t>
  </si>
  <si>
    <t xml:space="preserve">THE PROVIDENT GROUP</t>
  </si>
  <si>
    <t xml:space="preserve">S05741</t>
  </si>
  <si>
    <t xml:space="preserve">705 W HAMPDEN AVE</t>
  </si>
  <si>
    <t xml:space="preserve">GEOTECH INTERNATIONAL (1990; SIC 3577)</t>
  </si>
  <si>
    <t xml:space="preserve">EQUIPMENT MINUTEMAN PRESS INC (1988) | GEOTECH INTERNATIONAL (1990)</t>
  </si>
  <si>
    <t xml:space="preserve">JC PENNY AUTO SERVICE CENTER [FRS; 6 m]</t>
  </si>
  <si>
    <t xml:space="preserve">HEROLUTIONS INTERNATIONAL TRADING LLC [FRS; 36 m]</t>
  </si>
  <si>
    <t xml:space="preserve">CENTRAL INDUSTRIAL DISTRICT</t>
  </si>
  <si>
    <t xml:space="preserve">JC PENNY AUTO SERVICE CENTER</t>
  </si>
  <si>
    <t xml:space="preserve">S05742</t>
  </si>
  <si>
    <t xml:space="preserve">84 INVERNESS CIR E</t>
  </si>
  <si>
    <t xml:space="preserve">MONOLITHIC SYSTEMS CORP (1988; SIC 3577)</t>
  </si>
  <si>
    <t xml:space="preserve">MONOLITHIC SYSTEMS CORP (1988)</t>
  </si>
  <si>
    <t xml:space="preserve">ZIMMER ARTHROSCOPY SYSTEMS [FRS; 12 m] | ZIMMER ARTHROSCOPY SYSTEMS [FRS] (address match)</t>
  </si>
  <si>
    <t xml:space="preserve">TECHNICARE CORP</t>
  </si>
  <si>
    <t xml:space="preserve">ZIMMER ARTHROSCOPY SYSTEMS</t>
  </si>
  <si>
    <t xml:space="preserve">S05744</t>
  </si>
  <si>
    <t xml:space="preserve">3747 S INCA ST</t>
  </si>
  <si>
    <t xml:space="preserve">OMNITECH INDUSTRIES (1988; SIC 3089)</t>
  </si>
  <si>
    <t xml:space="preserve">OMNITECH INDUSTRIES (1988)</t>
  </si>
  <si>
    <t xml:space="preserve">OMNITECH INDUSTRIES INC [FRS; name match, 133 m]</t>
  </si>
  <si>
    <t xml:space="preserve">C &amp; C MANUFACTURING CORP. [FRS; 23 m]</t>
  </si>
  <si>
    <t xml:space="preserve">AUTO BODY &amp; FRAME CLINIC OF CO INC</t>
  </si>
  <si>
    <t xml:space="preserve">S05745</t>
  </si>
  <si>
    <t xml:space="preserve">2582 S TEJON</t>
  </si>
  <si>
    <t xml:space="preserve">PACKAGING RESEARCH CORP (1988-1990; SIC 3556)</t>
  </si>
  <si>
    <t xml:space="preserve">PACKAGING RESEARCH CORP (1988)</t>
  </si>
  <si>
    <t xml:space="preserve">NORMAN'S DRAPERY CLEANERS (WAS COIT) [FRS; 25 m] | NATIONAL SCREENPRINT CORP [CDPHE RCRA; 35 m] | ORALABS INC [CDPHE RCRA; 35 m] | NORMANS DRAPERY CLEANERS INC [CDPHE RCRA; 35 m]</t>
  </si>
  <si>
    <t xml:space="preserve">S05749</t>
  </si>
  <si>
    <t xml:space="preserve">7257 S REVERE PKWY</t>
  </si>
  <si>
    <t xml:space="preserve">PROCARE INDUSTRIES LTD (1988; SIC 2844)</t>
  </si>
  <si>
    <t xml:space="preserve">PROCARE INDUSTRIES LTD (1988)</t>
  </si>
  <si>
    <t xml:space="preserve">WASTE CONVERSION SYSTEMS [FRS; 35 m] | CHAPPARAL BUSINESS PARK [FRS; 35 m] | RICHTMANS PRINTING OF COLORADO [FRS] (address match)</t>
  </si>
  <si>
    <t xml:space="preserve">COTTRELL INTERNATIONAL LLC [FRS; 10 m]</t>
  </si>
  <si>
    <t xml:space="preserve">ELECTROMEDICS INC_(MOVED- SEE 0350151)</t>
  </si>
  <si>
    <t xml:space="preserve">WASTE CONVERSION SYSTEMS</t>
  </si>
  <si>
    <t xml:space="preserve">S05753</t>
  </si>
  <si>
    <t xml:space="preserve">375 S RARITAN</t>
  </si>
  <si>
    <t xml:space="preserve">RUBBER RQGKY MIN (1988; SIC 3069,2732)</t>
  </si>
  <si>
    <t xml:space="preserve">RUBBER RQGKY MIN (1988)</t>
  </si>
  <si>
    <t xml:space="preserve">VALLEY CLEANERS [FRS; 156 m] | G M G CORP DBA M-M PLASTI [FRS; 168 m] | CAPITOL COLOR IMAGING INC [FRS; 171 m] | AOUT GLASS EXPERTS [FRS; 175 m] | ALAMEDA ORNAMENTAL IRON [FRS; 227 m] | RISHEL MIDDLE SCHOOL [CDPHE RCRA; 230 m] | DIESELS ONLY [FRS; 234 m] | NCS-DENVER CO [FRS; 237 m]</t>
  </si>
  <si>
    <t xml:space="preserve">PCs for People - West Alameda Avenue/PCP [CDPHE Solid_Waste_Facilities; 175 m]</t>
  </si>
  <si>
    <t xml:space="preserve">CAPITOL COLOR IMAGING [FRS; 171 m] | KIPP SUNSHINE PEAK ACADEMY [FRS; 202 m]</t>
  </si>
  <si>
    <t xml:space="preserve">VALLEY CLEANERS</t>
  </si>
  <si>
    <t xml:space="preserve">S05946</t>
  </si>
  <si>
    <t xml:space="preserve">7561 S GRANT STA4</t>
  </si>
  <si>
    <t xml:space="preserve">FOAMTECH CORP (1988; SIC 3086)</t>
  </si>
  <si>
    <t xml:space="preserve">FOAMTECH CORP (1988)</t>
  </si>
  <si>
    <t xml:space="preserve">KELLER BROS SOUTHGLENN TEXACO [FRS; 94 m] | HERITAGE CLEANERS [FRS; 94 m] | CLASSIC COLLISION - SOUTH GRANT ST 1983  [CDPHE RCRA; 115 m] | CLASSIC COLLISION - SOUTH GRANT ST 1983 [FRS; 115 m] | PIPE WRAP - LITTLETON (MILLIKEN INFRASTRUCTURE SOLUTIONS LLC) [FRS; 130 m]</t>
  </si>
  <si>
    <t xml:space="preserve">Diamond Vogel Littleton Service Center [CDPHE Solid_Waste_Facilities; 101 m]</t>
  </si>
  <si>
    <t xml:space="preserve">A &amp; A FOOD &amp; GAS CORPORATION [FRS; 94 m] | ROYAL FARM DAIRY, INC. #18 [FRS; 94 m] | AMLI LITTLETON VILLAGE [FRS; 96 m] | PIPEWRAP OF LITTLETON [FRS; 176 m]</t>
  </si>
  <si>
    <t xml:space="preserve">KELLER BROS SOUTHGLENN TEXACO</t>
  </si>
  <si>
    <t xml:space="preserve">S05953</t>
  </si>
  <si>
    <t xml:space="preserve">700 W MINERAL AVE</t>
  </si>
  <si>
    <t xml:space="preserve">MARTIN MARIETTA INFO+COMMUNICATIONS (1988; SIC 3761) | MARTIN MARIETTA INFO + COMM SYSTEMS (1990; SIC 3761)</t>
  </si>
  <si>
    <t xml:space="preserve">MARTIN MARIETTA INFO+COMMUNICATIONS (1988) | MARTIN MARIETTA INFO + COMM SYSTEMS (1990)</t>
  </si>
  <si>
    <t xml:space="preserve">QWEST COMMUNICATIONS - NROC [FRS] (address match)</t>
  </si>
  <si>
    <t xml:space="preserve">MINERAL TOWN CENTER FILING 1 [FRS] (address match)</t>
  </si>
  <si>
    <t xml:space="preserve">QWEST COMMUNICATIONS - NROC</t>
  </si>
  <si>
    <t xml:space="preserve">S06147</t>
  </si>
  <si>
    <t xml:space="preserve">3250 OAKLAND ST UNIT D</t>
  </si>
  <si>
    <t xml:space="preserve">COUGER SYSTEMS INC (1990; SIC 3446)</t>
  </si>
  <si>
    <t xml:space="preserve">COUGER SYSTEMS INC (1990)</t>
  </si>
  <si>
    <t xml:space="preserve">PRO VANS, INC. [FRS; 3 m] | FLINT INC CORPORATION [FRS; 6 m] | MIDLAND SCIENTIFIC INC [FRS; 38 m] | MIDLAND SCIENTIFIC INC [FRS] (address match)</t>
  </si>
  <si>
    <t xml:space="preserve">PRO VANS, INC.</t>
  </si>
  <si>
    <t xml:space="preserve">S06148</t>
  </si>
  <si>
    <t xml:space="preserve">10255 E 25TH AVE NO 3</t>
  </si>
  <si>
    <t xml:space="preserve">CREATIVE CHEMISTRY INC (1990; SIC 3489,3999,2781)</t>
  </si>
  <si>
    <t xml:space="preserve">CREATIVE CHEMISTRY INC (1990)</t>
  </si>
  <si>
    <t xml:space="preserve">COMPUTERS FOR COMMUNITY [FRS; 20 m]</t>
  </si>
  <si>
    <t xml:space="preserve">COMPUTERS FOR COMMUNITY</t>
  </si>
  <si>
    <t xml:space="preserve">S06544</t>
  </si>
  <si>
    <t xml:space="preserve">1252 W RADCLIFF</t>
  </si>
  <si>
    <t xml:space="preserve">GARMAT (1990; SIC 3444)</t>
  </si>
  <si>
    <t xml:space="preserve">GARMAT (1990)</t>
  </si>
  <si>
    <t xml:space="preserve">GARMAT USA INC (FAB CIRCUITS) [FRS; name match, 55 m] | CHAMPION INC [FRS; 29 m] | GARMAT USA INC (FAB CIRCUITS) [FRS] (address match)</t>
  </si>
  <si>
    <t xml:space="preserve">MOUNTAIN STATES PLASTICS INC [FRS; 24 m]</t>
  </si>
  <si>
    <t xml:space="preserve">S06557</t>
  </si>
  <si>
    <t xml:space="preserve">1952 W UNION AVE</t>
  </si>
  <si>
    <t xml:space="preserve">PLASTICATE INC (1990; SIC 2842)</t>
  </si>
  <si>
    <t xml:space="preserve">PLASTICATE INC (1990)</t>
  </si>
  <si>
    <t xml:space="preserve">THE TIME MACHINE INC [FRS; 12 m] | TRUE KUSTOM [FRS; 12 m]</t>
  </si>
  <si>
    <t xml:space="preserve">PRECISION AUTOMOTIVE [FRS; 7 m] | CLEAN STRIP [FRS; 12 m] | PAINT BOOTH RENTAL CO [FRS; 12 m]</t>
  </si>
  <si>
    <t xml:space="preserve">Centennial Park Expansion II</t>
  </si>
  <si>
    <t xml:space="preserve">THE TIME MACHINE INC</t>
  </si>
  <si>
    <t xml:space="preserve">S00050</t>
  </si>
  <si>
    <t xml:space="preserve">1240 N MAIN</t>
  </si>
  <si>
    <t xml:space="preserve">CUALMATIC PROCUCTS CC. (1965; SIC 3714)</t>
  </si>
  <si>
    <t xml:space="preserve">CUALMATIC PROCUCTS CC. (1965) | PYTHON PUBLISHING INC (1990)</t>
  </si>
  <si>
    <t xml:space="preserve">CURT'S CLEANERS, LTD. [FRS; 106 m] | AUTOZONE #0808 [FRS; 107 m] | DUALMATIC MANUFACTURING CO INC [FRS; 111 m] | GERALD KELLER DBA DIP N STRIP [FRS; 113 m] | PERFECTION AUTO BODY [FRS; 169 m] | HAJEK CHEVROLET-OLDSMOBILE INC [FRS; 222 m]</t>
  </si>
  <si>
    <t xml:space="preserve">PROPERTY MANAGEMENT PLUS REALTY, LLC. [FRS; 102 m] | BESTOP [FRS; 113 m] | TOTAL PETROLEUM INC [FRS; 222 m] | TPI PETROLEUM INC. #4129 [FRS; 249 m]</t>
  </si>
  <si>
    <t xml:space="preserve">CURT'S CLEANERS, LTD.</t>
  </si>
  <si>
    <t xml:space="preserve">S00055</t>
  </si>
  <si>
    <t xml:space="preserve">1230 BOSTON AVE</t>
  </si>
  <si>
    <t xml:space="preserve">1967;1968;1980;1983;1988</t>
  </si>
  <si>
    <t xml:space="preserve">IRRIGATION MOTOR + PUMP CC (1967-1968; SIC 3561) | P # S IRON WORKS INC (1967; SIC 3441,3446,3759) | P + S$ TRON WORKS INC (1968; SIC 3446,3441,3793) | KRUEGER ENTERPRISES, INC (1980-1988; SIC 3523)</t>
  </si>
  <si>
    <t xml:space="preserve">IRRIGATION MOTOR + PUMP CO. (1965) | P # S IRON WORKS INC (1967) | P + S$ TRON WORKS INC (1968) | STUART EITEL INC (1968) | RED-DALE COACH CO--UPHOLSTERY DIV (1973) | KRUEGER ENTERPRISES, INC (1980) | NEOGRAPHICS (1988)</t>
  </si>
  <si>
    <t xml:space="preserve">WOODLEY'S FURNITURE [FRS; 14 m]</t>
  </si>
  <si>
    <t xml:space="preserve">XTREME CHROME [FRS; 34 m]</t>
  </si>
  <si>
    <t xml:space="preserve">WOODLEY'S FURNITURE</t>
  </si>
  <si>
    <t xml:space="preserve">S00646</t>
  </si>
  <si>
    <t xml:space="preserve">702 PEARL</t>
  </si>
  <si>
    <t xml:space="preserve">1966;1967;1968;1970;1973;1980;1983;1988;1990</t>
  </si>
  <si>
    <t xml:space="preserve">BOULDER METAL PRODUCTS (1966-1990; SIC 3441) | SUULDER METAL PRODUCTS (1967; SIC 3444)</t>
  </si>
  <si>
    <t xml:space="preserve">BOULDER METAL PRODUCTS (1966) | SUULDER METAL PRODUCTS (1967)</t>
  </si>
  <si>
    <t xml:space="preserve">FOAM BUILDERS CORP [FRS; 25 m]</t>
  </si>
  <si>
    <t xml:space="preserve">S00654</t>
  </si>
  <si>
    <t xml:space="preserve">1935 RANGE ST</t>
  </si>
  <si>
    <t xml:space="preserve">1967;1968;1973;1983;1988;1990</t>
  </si>
  <si>
    <t xml:space="preserve">WESTERN CUTLERY CO (1967-1973; SIC 3421,3423,3172) | SYSTEMATIC CORP (1973; SIC 3573,3823) | BINKS RESEARCH + DEVELOPMENT CORP (1983-1990; SIC 3563,3599,3561) | HN TIT INC. (1983; SIC 3643,3562,3499)</t>
  </si>
  <si>
    <t xml:space="preserve">GERRY MOUNTAIN SPORTS INC (1966) | WESTERN CUTLERY CO (1967) | SYSTEMATIC CORP (1973) | DATA COMMUNICATIONS SYSTEMS INC C wW HYATT PRES (1974) | THOMPSON RESPIRATION PRODUCTS INC (1980) | BINKS RESEARCH + DEVELOPMENT CORP (1983) | HN TIT INC. (1983)</t>
  </si>
  <si>
    <t xml:space="preserve">ITW BINKS [FRS; 31 m] | MARCH PRESS INC [FRS; 42 m] | ASTRO ENDYNE CO INC [FRS; 71 m] | TRAVERTINE HQ [CDPHE RCRA; 71 m]</t>
  </si>
  <si>
    <t xml:space="preserve">INTERMOUNTAIN COLOR [FRS; 29 m] | MARCH PRESS INC [FRS; 42 m]</t>
  </si>
  <si>
    <t xml:space="preserve">ITW BINKS</t>
  </si>
  <si>
    <t xml:space="preserve">S00655</t>
  </si>
  <si>
    <t xml:space="preserve">5675 E ARAPAHOE</t>
  </si>
  <si>
    <t xml:space="preserve">1966;1967;1983;1988;1990</t>
  </si>
  <si>
    <t xml:space="preserve">GRANVILLE-PHILLIPS CO (1966-1967; SIC 3499) | GRANVILLE=PHILLIPS CO (1983-1990; SIC 3623,3494)</t>
  </si>
  <si>
    <t xml:space="preserve">GRANVILLE-PHILLIPS CO (1966) | GRANVILLE-PHILLIPS CO (1973) | RED MOUNTAIN BAKERY (1983)</t>
  </si>
  <si>
    <t xml:space="preserve">GRANVILLE-PHILLIPS CO [FRS; name match, 87 m] | SCIENTECH INCORPORATED [FRS; 53 m] | AMERICON INC [FRS; 73 m] | BURNING TREE TIC [FRS; 88 m] | COLORADO SEED INC. [FRS; 89 m] | LIGHTDECK DIAGNOSTICS [FRS; 130 m] | ALTA- 5603 ARAPAHOE [CDPHE RCRA; 134 m] | AFFORDABLE AUTO COLLISION REPAIR [FRS; 151 m] | CALIBER BODYWORKS - BOULDER 0813 [FRS; 151 m] | LETTERHEAD THE [FRS; 153 m] | GRITZ RITTER GRAPHI</t>
  </si>
  <si>
    <t xml:space="preserve">D&amp;K PRINTING - 5637 ARAPAHOE [FRS; 9 m] | WATERSEDGE BUSINESS PARK [FRS; 87 m] | HIGH TECH HEALTH INTL INC [FRS; 103 m] | ARAPAHOE AND OLD TALE WATER MAIN [FRS; 122 m] | MBIO DIAGNOSTICS, INC. [FRS; 130 m] | MAACO AUTO PAINTING &amp; BODYWORKS [FRS; 151 m] | ORGANO LAWN - ARAPAHOE AVENUE [FRS; 229 m]</t>
  </si>
  <si>
    <t xml:space="preserve">SCIENTECH INCORPORATED</t>
  </si>
  <si>
    <t xml:space="preserve">S00663</t>
  </si>
  <si>
    <t xml:space="preserve">1027 WALNUT</t>
  </si>
  <si>
    <t xml:space="preserve">1968;1970;1973;1980;1983;1988;1990</t>
  </si>
  <si>
    <t xml:space="preserve">NORDHAVEN ENTERPRISES (1968-1973; SIC 3544) | TRIANGLE ELECTRONICS (1968-1970; SIC 3679,3541,3591) | LARSEN MACHINE SHOP (1980-1990; SIC 3599) | LOGIGRAPHICS INC (1988; SIC 3571)</t>
  </si>
  <si>
    <t xml:space="preserve">CONCRETE,GYPSUM PRODUCTS TRIANGLE ELECTRONICS (1966) |  (1967) | NORDHAVEN ENTERPRISES (1968) | ROBERTS, HANK, INC (1968) | TRIANGLE ELECTRONICS (1968) | PEACEABLE KINGDOMS LTD (1974) | PEACEABLE KINGDOMS LTD BRIAN UNDERAILL GENERAL MGR (1977) | LARSEN MACHINE SHOP (1980) | RESOURCES INC D.B.A.-CHOICES AND CONNECTIONS (1988) | LOGIGRAPHICS INC (1988) | QUALITY LIFE VIDEO PUBLISHING (1988)</t>
  </si>
  <si>
    <t xml:space="preserve">1007 WALNUT STREET LLC [FRS; 28 m] | SOUTHWEST RESEARCH INSTITUTE [FRS; 30 m]</t>
  </si>
  <si>
    <t xml:space="preserve">S00679</t>
  </si>
  <si>
    <t xml:space="preserve">204 S BOWEN</t>
  </si>
  <si>
    <t xml:space="preserve">1967;1968;1973;1974;1980;1983;1988;1990</t>
  </si>
  <si>
    <t xml:space="preserve">RED-DALE COACH CO (1967-1974; SIC 3791,3272) | REO DALE/CHALET (1980; SIC 3792) | SPECIALTY PRODUCTS CO (1980-1990; SIC 3423)</t>
  </si>
  <si>
    <t xml:space="preserve">RED-ODALE COACH CO (1966) | REO DALE/CHALET (1980) | SPECIALTY PRODUCTS CO (1980) | INTERIOR WOODWORKs INC. (1983) | | PARKER-HANNIFIN CORPs AIRBORNE DIVISION (1983)</t>
  </si>
  <si>
    <t xml:space="preserve">HI-TECH MANUFACTURING INC [FRS; 4 m]</t>
  </si>
  <si>
    <t xml:space="preserve">INTERIOR WOODWORK INC [FRS; name match, 57 m] | S.K.I.S., INC. [FRS; 1 m] | LIQUID WASTE MANAGEMENT, INC. [FRS; 4 m]</t>
  </si>
  <si>
    <t xml:space="preserve">HI-TECH MANUFACTURING INC</t>
  </si>
  <si>
    <t xml:space="preserve">S00681</t>
  </si>
  <si>
    <t xml:space="preserve">300 2ND AVE</t>
  </si>
  <si>
    <t xml:space="preserve">STEWART CHEMICAL PRODUCTS INC (1966-1974; SIC 2851)</t>
  </si>
  <si>
    <t xml:space="preserve">STEWART CHEMICAL PRODUCTS INC (1966)</t>
  </si>
  <si>
    <t xml:space="preserve">DIAMOND VOGEL PAINTS [FRS; 21 m] | DIAMOND VOGEL PAINTS [FRS] (address match)</t>
  </si>
  <si>
    <t xml:space="preserve">2017 WATER UTILITY PROJECT LONGMONT [FRS; 12 m] | WEBER AUTO BODY [FRS; 33 m]</t>
  </si>
  <si>
    <t xml:space="preserve">Hope Lumber Company</t>
  </si>
  <si>
    <t xml:space="preserve">DIAMOND VOGEL PAINTS</t>
  </si>
  <si>
    <t xml:space="preserve">S00686</t>
  </si>
  <si>
    <t xml:space="preserve">422 MAIN</t>
  </si>
  <si>
    <t xml:space="preserve">JENKINS STONE MACHINCRY WORKS (1967-1973; SIC 3559,3281)</t>
  </si>
  <si>
    <t xml:space="preserve">JENKINS STONE MACHINERY WORKS (1966) | LYONS RECORDER (1977) | THE OLD LYONS RECORDER (1990)</t>
  </si>
  <si>
    <t xml:space="preserve">PIONEER PLATING [FRS; 24 m]</t>
  </si>
  <si>
    <t xml:space="preserve">PIONEER PLATING</t>
  </si>
  <si>
    <t xml:space="preserve">S02323</t>
  </si>
  <si>
    <t xml:space="preserve">824 PEARL</t>
  </si>
  <si>
    <t xml:space="preserve">1968;1973;1974;1983;1988;1990</t>
  </si>
  <si>
    <t xml:space="preserve">MUSIC PRINT CORP (1968-1974; SIC 3572) | ADVANCED ENERGY TECHNOLOGY (1983; SIC 3566) | KROEGER HERB PRODUCTS CO INC (1988-1990; SIC 2099,2731,2833)</t>
  </si>
  <si>
    <t xml:space="preserve">EMPIRE REPRODUCTION + PRINTING CO (1966) | JOHNSON PUBLISHING CO (1966) |  (1966) | JOHNSON PUBLISHING CO (1967) | MUSIC PRINT CORP (1968) | BOULDER CITY BAKERY (1970) | THE BOULDER GUIDE PUBLISHING CO (1973) | CONTINENTAL WOODCASE : LTD (1977) | JOHNSON PUBLISHING CO NORMA J SCHACHT VICE PRES. (1977) | BOULDER MONTHLY NAGAZINEs Inc. (1980) | EDWARDS PHOTO + LITHO CO (1980) | GML RECORDING INC ° (1980) | ADVANCED ENERGY TECHNOLOGY (1983) | BOULDER DAILY CAMERA (1983) | BOULDER INSTANT PRINTING CENTER INC (1983) | CROSS INFORMATION COMPANY (1983) | J CORPORATION (1983) | BOULDER DAILY CAMERA D.B.A.-BOULDER PUBLISHING (1988) | COLORADO DAILY D.B.A.-BOULDER COURIBR (1988) | CARTRIDGES GOODRICH VIOLINS (1988) | KROEGER HERB PRODUCTS CO INC (1988) | TODD BIBLER TENTS (1990) | JRAT PERFORMANCE CLIMBING (1990)</t>
  </si>
  <si>
    <t xml:space="preserve">BOULDER PUBLISHING INC [FRS; name match, 226 m] | VANATTA ELECTRIC [FRS; 68 m] | AMOCO GAS STA NO 5011 [FRS; 84 m]</t>
  </si>
  <si>
    <t xml:space="preserve">UNKNOWN [FRS; 84 m] | WEST PEARL CONDOMINIUMS [FRS; 84 m] | AMOCO GAS STA NO 5011 [FRS; 100 m]</t>
  </si>
  <si>
    <t xml:space="preserve">S01367</t>
  </si>
  <si>
    <t xml:space="preserve">3245 PRAIRIE</t>
  </si>
  <si>
    <t xml:space="preserve">COLORADO VIDEO INC (1973-1983; SIC 3573,3662,3823)</t>
  </si>
  <si>
    <t xml:space="preserve">ALP SPORT INC (1967) | CAMP 7 INC (1973) | COLORADO VIDEO INC (1973) |  (1974) | PRUETT PUBLISHING CO (1980)</t>
  </si>
  <si>
    <t xml:space="preserve">COLORADO VIDEO INCORPORATED [FRS; name match, 10 m] | CIRCULAR TECHNOLOGIES [FRS; 13 m] | CIRCULAR TECHNOLOGIES [CDPHE RCRA; 17 m] | AMGEN BOULDER INC [FRS; 23 m]</t>
  </si>
  <si>
    <t xml:space="preserve">COLORADO VIDEO INCORPORATED</t>
  </si>
  <si>
    <t xml:space="preserve">S01368</t>
  </si>
  <si>
    <t xml:space="preserve">1845 30TH</t>
  </si>
  <si>
    <t xml:space="preserve">1967;1977;1980;1983</t>
  </si>
  <si>
    <t xml:space="preserve">BOULDER WOOD PROCUCTS INC (1967; SIC 2631,3865,3542) | SPORTSMEN PRODUCTS, INC (1977-1983; SIC 3949,3714,3531)</t>
  </si>
  <si>
    <t xml:space="preserve">ALROY KITCHENS LTO (1967) | BOULDER WOOD PROCUCTS INC (1967) | Aare aewe ine (1968) | SPORTSMEN PRODUCTS, INC (1977)</t>
  </si>
  <si>
    <t xml:space="preserve">WALGREEN STORE #2482 [CDPHE RCRA; 20 m] | WALGREEN STORE #2482 [FRS; 20 m]</t>
  </si>
  <si>
    <t xml:space="preserve">WALGREEN STORE #2482</t>
  </si>
  <si>
    <t xml:space="preserve">S01374</t>
  </si>
  <si>
    <t xml:space="preserve">5421 WESTERN AVE</t>
  </si>
  <si>
    <t xml:space="preserve">CRYOGENIC RESEARCH CO INC (1968-1973; SIC 3821,3679) | COLLINS MACHINE + MFG INC (1974; SIC 3999,3544,3251) | BOULDER BRASSWORKS INC (1980; SIC 3479)</t>
  </si>
  <si>
    <t xml:space="preserve">BOLINC INC (1967) | CRYOGENIC RESEARCH CO INC (1968) | THE LEATHER HORSE (1973) | COLLINS MACHINE + MFG INC (1974) | CCLO OPTICAL CORPORATION (1974) | BOULDER BRASSWORKS INC (1980)</t>
  </si>
  <si>
    <t xml:space="preserve">COLLINS MACHINE &amp; MFG INC [FRS; name match, 152 m] | PRIMEEX [FRS; 14 m]</t>
  </si>
  <si>
    <t xml:space="preserve">BOLIND INC. [FRS; name match, 58 m] | CRESCENT MOON SNOWSHOE COMPANY [FRS; 39 m] | BOLIND INC. [FRS] (address match) | BOULDER BIOMED - WESTERN [FRS] (address match)</t>
  </si>
  <si>
    <t xml:space="preserve">PRIMEEX</t>
  </si>
  <si>
    <t xml:space="preserve">S01382</t>
  </si>
  <si>
    <t xml:space="preserve">1001 PEARL</t>
  </si>
  <si>
    <t xml:space="preserve">1967;1968;1983</t>
  </si>
  <si>
    <t xml:space="preserve">DELBAR CO (1967-1968; SIC 3481) | PRAGHATRONICS INC (1983; SIC 3679)</t>
  </si>
  <si>
    <t xml:space="preserve">DELBAR CO (1967) | EDWARDS PHOTO + LITHO CO (1968) | GOGDRICH VIOLINS (1983) | PRAGHATRONICS INC (1983)</t>
  </si>
  <si>
    <t xml:space="preserve">BOULDER PUBLISHING INC [FRS; 35 m]</t>
  </si>
  <si>
    <t xml:space="preserve">MERCURY LASER GRAPHICS (PLANT APEN EXMPT [FRS; 30 m] | VOILET TRADING INC. [FRS; 33 m] | ELEVENTH AND PEARL [FRS; 35 m]</t>
  </si>
  <si>
    <t xml:space="preserve">S01386</t>
  </si>
  <si>
    <t xml:space="preserve">1621 PEARL</t>
  </si>
  <si>
    <t xml:space="preserve">HaPCO (1983; SIC 3497,3611)</t>
  </si>
  <si>
    <t xml:space="preserve">ECWAROS PHOTO + LITHO CO (1967) | LEANIN® TREE PUBLISFING CO 2731 BOOKS. PUBLISHING, PRINTING (1967) | MISTER RUBBER STAMP INC (1980) | HaPCO (1983)</t>
  </si>
  <si>
    <t xml:space="preserve">SHERWIN-WILLIAMS [FRS; 5 m] | 1617 PEARL ST LLC [FRS; 13 m] | MIKE'S CAMERA, INC [FRS; 35 m]</t>
  </si>
  <si>
    <t xml:space="preserve">BLUEBIRD CLNRS [FRS; 13 m]</t>
  </si>
  <si>
    <t xml:space="preserve">SHERWIN-WILLIAMS</t>
  </si>
  <si>
    <t xml:space="preserve">S01388</t>
  </si>
  <si>
    <t xml:space="preserve">1426 HAWTHORN AVE</t>
  </si>
  <si>
    <t xml:space="preserve">HAWTHORNE ENTERPRISES (1967-1973; SIC 3714,2511)</t>
  </si>
  <si>
    <t xml:space="preserve">HAWTHORNE ENTERPRISES (1967)</t>
  </si>
  <si>
    <t xml:space="preserve">FOOTHILLS ELEMENTARY SCHOOLS [CDPHE RCRA; 38 m]</t>
  </si>
  <si>
    <t xml:space="preserve">FOOTHILLS ELEMENTARY SCHOOLS</t>
  </si>
  <si>
    <t xml:space="preserve">S01392</t>
  </si>
  <si>
    <t xml:space="preserve">1965 PEARL</t>
  </si>
  <si>
    <t xml:space="preserve">1967;1968;1973;1974</t>
  </si>
  <si>
    <t xml:space="preserve"> (1967; SIC 3446) | NELSONS WELDING SHOP (1968-1974; SIC 3446)</t>
  </si>
  <si>
    <t xml:space="preserve"> (1967) | NELSONS WELDING SHOP (1968) | ROCKY MOUNTAIN INSTRUMENT CO (1968) | V.T.As INC (1973) |  (1974) |  (1974) | AUTSY BUSINESS CENTER (1983) | MEMBERSHIP MAGAZNS BUSINESS EXPRESS INC (1988) | BUSINESS EXPRESS INC (1990)</t>
  </si>
  <si>
    <t xml:space="preserve">BUSINESS EXPRESS INC [FRS; name match, 10 m]</t>
  </si>
  <si>
    <t xml:space="preserve">CLEAN REPUBLIC, LLC [FRS; 10 m] | FOURSTAR REALTY &amp; PROPERTY MGMT, INC. [FRS; 37 m]</t>
  </si>
  <si>
    <t xml:space="preserve">S01679</t>
  </si>
  <si>
    <t xml:space="preserve">1050 28TH</t>
  </si>
  <si>
    <t xml:space="preserve">MANUEL*S SWEET SHOP (1968; SIC 2024,2071,3471)</t>
  </si>
  <si>
    <t xml:space="preserve">MANUEL*S SWEET SHOP (1968)</t>
  </si>
  <si>
    <t xml:space="preserve">MONTGOMERY WARDS CO [CDPHE RCRA; 242 m] | GEBHARDT MOTORS [CDPHE RCRA; 242 m]</t>
  </si>
  <si>
    <t xml:space="preserve">ONE PENN PLACE [FRS; 54 m] | ONE PENN PLACE [FRS; 65 m] | 28TH STREET &amp; COLORADO AVE PROTECTED INTERSECTION [FRS; 127 m] | BOULDER PROPERTY MANAGEMENT [FRS; 183 m] | CU-BOULDER [FRS; 246 m]</t>
  </si>
  <si>
    <t xml:space="preserve">MONTGOMERY WARDS CO</t>
  </si>
  <si>
    <t xml:space="preserve">S01986</t>
  </si>
  <si>
    <t xml:space="preserve">1967 31ST ST</t>
  </si>
  <si>
    <t xml:space="preserve">BOULDER MACHINE SHOP (1970; SIC 3591)</t>
  </si>
  <si>
    <t xml:space="preserve">BOULDER MACHINE SHOP (1970)</t>
  </si>
  <si>
    <t xml:space="preserve">INNOVATIVE INTERCONNECTION TECH [FRS; 34 m]</t>
  </si>
  <si>
    <t xml:space="preserve">INNOVATIVE INTERCONNECTION TECH</t>
  </si>
  <si>
    <t xml:space="preserve">S01987</t>
  </si>
  <si>
    <t xml:space="preserve">2696 30TH</t>
  </si>
  <si>
    <t xml:space="preserve">1970;1973;1974;1980;1983;1988</t>
  </si>
  <si>
    <t xml:space="preserve">BOULDER STEEL + MASONRY (1970-1983; SIC 3441) | ENGRAVED GLASS BOULDER STEEL INC (1988; SIC 3441,3449)</t>
  </si>
  <si>
    <t xml:space="preserve">BOULDER STEEL + MASONRY (1970) | ENGRAVED GLASS BOULDER STEEL INC (1988)</t>
  </si>
  <si>
    <t xml:space="preserve">IMPORT COACHWORKS LTD [FRS; 29 m]</t>
  </si>
  <si>
    <t xml:space="preserve">30 BLUFF [FRS; 36 m]</t>
  </si>
  <si>
    <t xml:space="preserve">Pollard Jeep of Boulder</t>
  </si>
  <si>
    <t xml:space="preserve">IMPORT COACHWORKS LTD</t>
  </si>
  <si>
    <t xml:space="preserve">S02322</t>
  </si>
  <si>
    <t xml:space="preserve">3645 PEARL ST</t>
  </si>
  <si>
    <t xml:space="preserve">BEI GRAPHICS CORP (1992; SIC 2754,2752,3552)</t>
  </si>
  <si>
    <t xml:space="preserve">BOTA OF BOULDER (1973) | BOULDER ENTERPRISE INC (1973) | RECREATION MARKETING AND MANUFACTURING INC (1974) | BEI GRAPHICS CORP (1988) | COLT REPRODUCTION CENTER (1988) | INTERNATIONAL LANGUAGE ENGINEERING (1990) | LIGHTING TECHNOLOGIES (1990) | SMALL SYSTEM DESIGN INC (1990) | ARCHITECTURAL ENERGY CORP (1992) | UGHTING TECHNOLOGIES INC (1992)</t>
  </si>
  <si>
    <t xml:space="preserve">RALPHS REPAIR SERVICE [FRS; 17 m] | FAGRE OFFICE BUILDING [FRS; 24 m] | GEOMEGA LABORATORY [FRS; 28 m]</t>
  </si>
  <si>
    <t xml:space="preserve">COLT REPRODUCTION CTR .CN [FRS; name match, 96 m]</t>
  </si>
  <si>
    <t xml:space="preserve">RALPHS REPAIR SERVICE</t>
  </si>
  <si>
    <t xml:space="preserve">S02329</t>
  </si>
  <si>
    <t xml:space="preserve">5465 WESTERN AVE</t>
  </si>
  <si>
    <t xml:space="preserve">COMPLEX TOOLING SYSTEMS (1973; SIC 3079,3591) | KATUM CORP (1973; SIC 3861) | COLLENS MACHINE * MFG CO (1980-1990; SIC 3599) | DATA RAY CORP (1980; SIC 3679)</t>
  </si>
  <si>
    <t xml:space="preserve">COMPLEX TOOLING SYSTEMS (1973) | KATUM CORP (1973) | VALLEYLAB INC (1973) | PARTICLE MEASURING SYSTEMS INC (1974) | COLLENS MACHINE * MFG CO (1980) | DATA RAY CORP (1980) | GENAC INC . (1980)</t>
  </si>
  <si>
    <t xml:space="preserve">COLLINS MACHINE &amp; MFG INC [FRS; name match, 65 m] | TWIN CAM RESTORATION [FRS; 19 m] | BALL AEROSPACE &amp; TECHNOLOGIES CORP [FRS; 24 m]</t>
  </si>
  <si>
    <t xml:space="preserve">BOLIND INC. [FRS; 29 m] | BOULDER BIOMED - WESTERN [FRS; 29 m]</t>
  </si>
  <si>
    <t xml:space="preserve">TWIN CAM RESTORATION</t>
  </si>
  <si>
    <t xml:space="preserve">S02337</t>
  </si>
  <si>
    <t xml:space="preserve">4980 PEARL</t>
  </si>
  <si>
    <t xml:space="preserve">THE ETCHART CO (1973; SIC 3679,3479,3961)</t>
  </si>
  <si>
    <t xml:space="preserve">THE ETCHART CO (1973)</t>
  </si>
  <si>
    <t xml:space="preserve">DICERNA PHARMACEUTICALS - PILOT [FRS; 3 m]</t>
  </si>
  <si>
    <t xml:space="preserve">GOOSE CREEK INTERCEPTOR PIPELINE REPLACEMENT/REHABILITATION PROJECT [FRS; 33 m]</t>
  </si>
  <si>
    <t xml:space="preserve">S02341</t>
  </si>
  <si>
    <t xml:space="preserve">3075 75TH ST</t>
  </si>
  <si>
    <t xml:space="preserve">PROTO-TEL INC (1983; SIC 3079,3573)</t>
  </si>
  <si>
    <t xml:space="preserve">GERRY DESIGNS INC (1973) | GERICO INC 2789 B800KBINDING AND RELATED WORK (1974) | PROTO-TEL INC (1983) | GOLDEN RIBBON CORP (1990)</t>
  </si>
  <si>
    <t xml:space="preserve">B &amp; M ROOFING OF COLORADO INC [FRS; 17 m]</t>
  </si>
  <si>
    <t xml:space="preserve">GOLDEN RIBBON CORP [FRS] (address match)</t>
  </si>
  <si>
    <t xml:space="preserve">S02346</t>
  </si>
  <si>
    <t xml:space="preserve">2732 29TH ST</t>
  </si>
  <si>
    <t xml:space="preserve">1974;1988</t>
  </si>
  <si>
    <t xml:space="preserve">MICRO MOTION INC (1974; SIC 3824,3281,3429) | ERBTEC ENGINEERING (1988; SIC 3577,3812,3629)</t>
  </si>
  <si>
    <t xml:space="preserve">LABORATORY SYSTEMS RESEARCKs INC (1973) | MICRO MOTION INC (1974) | ERBTEC ENGINEERING (1988)</t>
  </si>
  <si>
    <t xml:space="preserve">ERBTEC ENGINEERING [FRS; name match, 15 m]</t>
  </si>
  <si>
    <t xml:space="preserve">ERBTEC ENGINEERING</t>
  </si>
  <si>
    <t xml:space="preserve">S02356</t>
  </si>
  <si>
    <t xml:space="preserve">1708 WALNUT</t>
  </si>
  <si>
    <t xml:space="preserve">SCHACHT SPINDLE CO (1973; SIC 3552)</t>
  </si>
  <si>
    <t xml:space="preserve">SCHACHT SPINDLE CO (1973)</t>
  </si>
  <si>
    <t xml:space="preserve">THE UNIVERSITY OF COLORADO BOULDER [CDPHE RCRA; 16 m]</t>
  </si>
  <si>
    <t xml:space="preserve">WALNUT FIFTEEN PARTNERSHIP</t>
  </si>
  <si>
    <t xml:space="preserve">THE UNIVERSITY OF COLORADO BOULDER</t>
  </si>
  <si>
    <t xml:space="preserve">S03818</t>
  </si>
  <si>
    <t xml:space="preserve">1242 BOWEN CIR</t>
  </si>
  <si>
    <t xml:space="preserve">P + S TRON WORKS INC (1973; SIC 3441,3449)</t>
  </si>
  <si>
    <t xml:space="preserve">P + S TRON WORKS INC (1973) | LONGMONT PRINTING CO (1980) | DON'S CUSTOM CABINETS INC (1992)</t>
  </si>
  <si>
    <t xml:space="preserve">SOUTHERN GRAPHIC SYSTEMS [FRS; 40 m] | PARKER HANNIFIN AIRBORNE AIRCONDITIONING [FRS; 55 m]</t>
  </si>
  <si>
    <t xml:space="preserve">SOUTHERN GRAPHIC SYSTEMS</t>
  </si>
  <si>
    <t xml:space="preserve">S02814</t>
  </si>
  <si>
    <t xml:space="preserve">1779 VALTEC LN</t>
  </si>
  <si>
    <t xml:space="preserve">1974;1977;1980;1990</t>
  </si>
  <si>
    <t xml:space="preserve">ASPEN PLASTIC CORP WILLIAM ROBBA PRES (1974; SIC 3079) | ASPEN PLASTIC CORP (1977-1980; SIC 3079) | 6 + B INDUSTRIES INC (1980; SIC 3573,3479,2751) | PURE CYCLE CORP (1980; SIC 3443) | CELL TECHNOLOGY INC (1990; SIC 2834)</t>
  </si>
  <si>
    <t xml:space="preserve">ASPEN PLASTIC CORP WILLIAM ROBBA PRES (1974) | ASPEN PLASTIC CORP (1977) | 6 + B INDUSTRIES INC (1980) | PURE CYCLE CORP (1980) | RDAMOKE ISLAND INDUSTRIES (1983) | CELL TECHNOLOGY INC (1990)</t>
  </si>
  <si>
    <t xml:space="preserve">CELL TECHNOLOGY [FRS; name match, 61 m] | SUSTAINABLE OIL SERVICE [FRS; 48 m]</t>
  </si>
  <si>
    <t xml:space="preserve">SUSTAINABLE OIL SERVICE</t>
  </si>
  <si>
    <t xml:space="preserve">S02819</t>
  </si>
  <si>
    <t xml:space="preserve">5680 VALMONT RD</t>
  </si>
  <si>
    <t xml:space="preserve">P S I DESIGN GROUP (1980-1990; SIC 3499) | GRIFFTH JEWELERS CHEMICALS (1983; SIC 2819,2899,2869)</t>
  </si>
  <si>
    <t xml:space="preserve"> (1974) | P Ss I DESIGN GROUP PRUETT INC.+ BOULDER COLO (1977) | P S I DESIGN GROUP (1980) | ERBTEC ENGINEERINGs INC (1983) | GRIFFTH JEWELERS CHEMICALS (1983) | OME COMPANY (1990)</t>
  </si>
  <si>
    <t xml:space="preserve">KROEGER INVESTMENTS LLLP [FRS] (address match) | KROEGER INVESTMENTS LLLP [CDPHE RCRA] (address match)</t>
  </si>
  <si>
    <t xml:space="preserve">US36 BOULDER CREEK WETLANDS [FRS; 39 m]</t>
  </si>
  <si>
    <t xml:space="preserve">SAN LAZARO MHP WWTF</t>
  </si>
  <si>
    <t xml:space="preserve">S02836</t>
  </si>
  <si>
    <t xml:space="preserve">3650 FRONTIER AVE</t>
  </si>
  <si>
    <t xml:space="preserve"> (1974; SIC 3573)</t>
  </si>
  <si>
    <t xml:space="preserve"> (1974) | GEODESIC TERRAREUMS INC (1980) | IMAGE SYSTEMS (1990) | MAIL GRAPHICS INC (1990)</t>
  </si>
  <si>
    <t xml:space="preserve">HOLDEN DIRECT DBA ADVANCE DIRECT [FRS; 10 m] | ADVANCE DIRECT [CDPHE RCRA; 34 m]</t>
  </si>
  <si>
    <t xml:space="preserve">HOLDEN DIRECT DBA ADVANCE DIRECT</t>
  </si>
  <si>
    <t xml:space="preserve">S02837</t>
  </si>
  <si>
    <t xml:space="preserve">105 GENESEO</t>
  </si>
  <si>
    <t xml:space="preserve">EASY ENGINEERING CORPORATION (1974; SIC 3523)</t>
  </si>
  <si>
    <t xml:space="preserve">EASY ENGINEERING CORPORATION (1974)</t>
  </si>
  <si>
    <t xml:space="preserve">QUALITY RADIATOR [FRS; 170 m]</t>
  </si>
  <si>
    <t xml:space="preserve">BOULDER VALLEY OIL [FRS; 95 m] | SINCLAIR STORE, GURMIT SHAHI, OWNER [FRS; 113 m] | ALL AMERICAN GAS PLUS - 210 N PUBLIC RD [FRS; 113 m] | ESCUELA BILINGÜE PIONEER ELEMENTARY [FRS; 224 m]</t>
  </si>
  <si>
    <t xml:space="preserve">QUALITY RADIATOR</t>
  </si>
  <si>
    <t xml:space="preserve">S02843</t>
  </si>
  <si>
    <t xml:space="preserve">1241 KIMBARK ST</t>
  </si>
  <si>
    <t xml:space="preserve">BESTOP/DUALMATIC MFG CO INC (1983; SIC 3714)</t>
  </si>
  <si>
    <t xml:space="preserve">DUALMATIC PRODUCTS CO LONGMONT TURKEY PROCESSORS LCNGHOKT CO (1974) | BESTOP/DUALMATIC MFG CO INC (1983)</t>
  </si>
  <si>
    <t xml:space="preserve">DUALMATIC MANUFACTURING CO INC [FRS; name match, 91 m]</t>
  </si>
  <si>
    <t xml:space="preserve">BESTOP [FRS; name match, 104 m]</t>
  </si>
  <si>
    <t xml:space="preserve">PERFECTION AUTO BODY</t>
  </si>
  <si>
    <t xml:space="preserve">S03230</t>
  </si>
  <si>
    <t xml:space="preserve">3275 PRAIRIE</t>
  </si>
  <si>
    <t xml:space="preserve">BELTING INDUSTRIES CO INC (1990; SIC 3052)</t>
  </si>
  <si>
    <t xml:space="preserve">CONTINENTAL GRAPHIC! ene F here (1977) | HIME SNOWGRIOGE ENC (1980) | BELTING INDUSTRIES CO INC (1990)</t>
  </si>
  <si>
    <t xml:space="preserve">AMGEN BOULDER INC [FRS; 32 m] | CIRCULAR TECHNOLOGIES [CDPHE RCRA; 39 m]</t>
  </si>
  <si>
    <t xml:space="preserve">AMGEN BOULDER INC</t>
  </si>
  <si>
    <t xml:space="preserve">S03232</t>
  </si>
  <si>
    <t xml:space="preserve">5735 ARAPAHOE</t>
  </si>
  <si>
    <t xml:space="preserve">ENTROPY LTD (1980; SIC 3433) | NANSON INDUSTRIES INCORPORATED (1980; SIC 3949,3544) | SGLAR CONTROL CORPORATION (1980; SIC 3564,3829,3822) | BALL VARIOMETERS INC (1983; SIC 3724) | D J TROPHIES (1983; SIC 3499,2396,3911) | DATA DISPLAY CORP (1983; SIC 3573) | PRIMAXIS CORP: (1990; SIC 3536) | ROLTORQ INC (1990; SIC 3566) | ‘CDB SYSTEMS INC (1992; SIC 2834,2759,2791)</t>
  </si>
  <si>
    <t xml:space="preserve">O J TROPHIES (1977) | DEV ENDUSTRIES (1980) | ENTROPY LTD (1980) | NANSON INDUSTRIES INCORPORATED (1980) | SGLAR CONTROL CORPORATION (1980) | BALL VARIOMETERS INC (1983) | D J TROPHIES (1983) | DATA DISPLAY CORP (1983) | OMEGA GROUP INC (1983) | BOULDER - BOULDER 161 OMEGA GROUP INC (1988) | NIWOT NETWORKS INC (1990) | PRIMAXIS CORP: (1990) | ROLTORQ INC (1990) | WATSHOP (1990) | ‘CDB SYSTEMS INC (1992) | LAKE VALLEY SEED INC (1992)</t>
  </si>
  <si>
    <t xml:space="preserve">COLORADO SEED INC. [FRS; name match, 6 m] | BURNING TREE TIC [FRS; 8 m] | GRANVILLE-PHILLIPS CO [FRS; 8 m] | AMERICON INC [FRS; 22 m] | SCIENTECH INCORPORATED [FRS; 42 m] | AFFORDABLE AUTO COLLISION REPAIR [FRS; 54 m] | CALIBER BODYWORKS - BOULDER 0813 [FRS; 54 m] | LETTERHEAD THE [FRS; 57 m]</t>
  </si>
  <si>
    <t xml:space="preserve">WATERSEDGE BUSINESS PARK [FRS; 8 m] | MAACO AUTO PAINTING &amp; BODYWORKS [FRS; 54 m]</t>
  </si>
  <si>
    <t xml:space="preserve">COLORADO SEED INC.</t>
  </si>
  <si>
    <t xml:space="preserve">S03233</t>
  </si>
  <si>
    <t xml:space="preserve">1845 RANGE</t>
  </si>
  <si>
    <t xml:space="preserve">AD K PRESSURE EQUIPNENT CORP (1980; SIC 3569) | TCMINC (1992; SIC 3343)</t>
  </si>
  <si>
    <t xml:space="preserve">DATA COMMUNICATIONS SYSTEMS INC (1977) | AD K PRESSURE EQUIPNENT CORP (1980) | JSG DESIGNS (1988) | TCMINC (1992)</t>
  </si>
  <si>
    <t xml:space="preserve">DARWYN HERBST DBA CACHE CLEANERS [FRS; 9 m] | MARCH PRESS INC [FRS; 39 m] | TRAVERTINE HQ [CDPHE RCRA; 42 m]</t>
  </si>
  <si>
    <t xml:space="preserve">DARWYN HERBST DBA CACHE CLEANERS [FRS; 9 m] | BOULDER BRANDS BOULDER FACILITY [FRS; 9 m] | BLM COOP WOODSHOP [FRS; 9 m] | MARCH PRESS INC [FRS; 39 m]</t>
  </si>
  <si>
    <t xml:space="preserve">DARWYN HERBST DBA CACHE CLEANERS</t>
  </si>
  <si>
    <t xml:space="preserve">S03239</t>
  </si>
  <si>
    <t xml:space="preserve">1898 S FLATIRON CT</t>
  </si>
  <si>
    <t xml:space="preserve">CHECKMATE M/C 4 ENC (1980; SIC 3599) | V + S$ TOOLING INC-DIV OF PHILLIP ALASTIC (1980; SIC 3544) | H P_S CORPORATION (1983; SIC 3499) | PLASTIC TECHNOLOGY CORP (1983; SIC 3559) | CHEROKEE DATA SYSTEMS INC (1988; SIC 3872,3861) | DYNAMIC DESIGN + MFG INC (1990; SIC 3599) | WAYNE MANUFACTURING INC. (1990; SIC 3599)</t>
  </si>
  <si>
    <t xml:space="preserve">TECATOR/ UDY (1977) | ATMOSPHERIC INSTRUMENTATION RESEARCH INC (1980) | CHECKMATE M/C 4 ENC (1980) | GRITZ VISUAL GRAPHICS (1980) | UO Core (1980) | V + S$ TOOLING INC-DIV OF PHILLIP ALASTIC (1980) | H P_S CORPORATION (1983) | PLASTIC TECHNOLOGY CORP (1983) | PRODOG TS IRE AY (1988) | CHEROKEE DATA SYSTEMS INC (1988) | BIOSTAR MEDICAL PRODUCTS INC (1990) | DYNAMIC DESIGN + MFG INC (1990) | ROCKY MOUNTAIN SPORTS OF BOULDER (1990) | WAYNE MANUFACTURING INC. (1990) | MEDIA DESIGN ASSOCIATES INC (1992)</t>
  </si>
  <si>
    <t xml:space="preserve">PARTICLE MEASURING SYSTEMS INC [FRS; 43 m] | KRYPTONICS INC [FRS; 44 m] | TIMBERLINE INSTRUMENTS INC [CDPHE RCRA; 57 m] | KRYPTONICS INC [FRS] (address match)</t>
  </si>
  <si>
    <t xml:space="preserve">ALLEGRO COFFEE CO [FRS; 43 m] | COALESCE DESIGN AND FABRICATION [FRS; 43 m]</t>
  </si>
  <si>
    <t xml:space="preserve">KRYPTONICS INC</t>
  </si>
  <si>
    <t xml:space="preserve">PARTICLE MEASURING SYSTEMS INC</t>
  </si>
  <si>
    <t xml:space="preserve">S03248</t>
  </si>
  <si>
    <t xml:space="preserve">1359 S SHERMAN ORIVE</t>
  </si>
  <si>
    <t xml:space="preserve">SPECIALTY PRODUCTS CO (1977; SIC 3423)</t>
  </si>
  <si>
    <t xml:space="preserve">SPECIALTY PRODUCTS CO (1977)</t>
  </si>
  <si>
    <t xml:space="preserve">TRINITY PRINTING, INC. [FRS; 214 m]</t>
  </si>
  <si>
    <t xml:space="preserve">KMG METAL FINISHING [FRS; 3 m] | X3C-LONGMONT CNG [FRS; 229 m]</t>
  </si>
  <si>
    <t xml:space="preserve">TRINITY PRINTING, INC.</t>
  </si>
  <si>
    <t xml:space="preserve">S03748</t>
  </si>
  <si>
    <t xml:space="preserve">2528 49TH ST</t>
  </si>
  <si>
    <t xml:space="preserve">SCHACHT SPINOLE CO INC (1980-1983; SIC 3552) | CIRCLE CIRCUTS INC. (1983-1990; SIC 3679) | MIRRYCLE CORP (1983; SIC 3751)</t>
  </si>
  <si>
    <t xml:space="preserve">CONTINENTAL MOOOGASE £10 (1980) | OBS OFFICE FURNISHINGS (1980) | TOENTIFICATION OBSIGN INC (1980) | MURPHY ENTERARISES INC (1980) | SCHACHT SPINOLE CO INC (1980) | CIRCLE CIRCUTS INC. (1983) | HIGH COUNTRY FURNITURE» INC (1983) | MIRRYCLE CORP (1983) | MURPHY ENTERPRISES INC DBA BOULDERWOOD (1983) | HICKORY PRODUCTS INC (1988) | FURR ORE Inc (1988)</t>
  </si>
  <si>
    <t xml:space="preserve">CIRCLE CIRCUITS [FRS; name match, 31 m] | HANLEYS WOODWORKS [FRS; 31 m] | HIGH COUNTRY MILLWORK, LLC [FRS; 31 m] | WESTERN DISPOSAL INC [FRS; 37 m] | LOT 3 SOUTHBEND PARTNERS [CDPHE RCRA; 48 m] | BOULDER BUMP SHOP [CDPHE RCRA; 48 m] | CIRCLE CIRCUITS [FRS] (address match)</t>
  </si>
  <si>
    <t xml:space="preserve">HAYES PRINTING SERVICE [FRS; 1 m]</t>
  </si>
  <si>
    <t xml:space="preserve">CIRCLE CIRCUITS</t>
  </si>
  <si>
    <t xml:space="preserve">S03749</t>
  </si>
  <si>
    <t xml:space="preserve">1006 LEEHILL RD</t>
  </si>
  <si>
    <t xml:space="preserve">CONWAY PGTTERS WHEELS (1980; SIC 3559,3567)</t>
  </si>
  <si>
    <t xml:space="preserve">CONWAY PGTTERS WHEELS (1980) | LARSON ENGINEERING. (1992)</t>
  </si>
  <si>
    <t xml:space="preserve">THE CARRIAGE SHOP [FRS; 136 m] | MOUNTAIN STATES ASTRO [FRS; 136 m]</t>
  </si>
  <si>
    <t xml:space="preserve">CARRIAGE SHOP, LTD. [FRS; 19 m] | PRIVATE RESIDENCE BERM AND DRIVEWAY CONSTRUCTION [FRS; 85 m] | LEE HILL DR SHOULDER WIDENING [FRS; 168 m] | COLORADO DEPT OF TRANSPORTATION [FRS; 195 m]</t>
  </si>
  <si>
    <t xml:space="preserve">THE CARRIAGE SHOP</t>
  </si>
  <si>
    <t xml:space="preserve">S03753</t>
  </si>
  <si>
    <t xml:space="preserve">3080 VALMONT NO 7</t>
  </si>
  <si>
    <t xml:space="preserve">FLOYD DRIVES CO (1980-1983; SIC 3566,3599) | SAM BLASTICS INC (1980; SIC 3079)</t>
  </si>
  <si>
    <t xml:space="preserve">FLOYD DRIVES CO (1980) | SAM BLASTICS INC (1980)</t>
  </si>
  <si>
    <t xml:space="preserve">SHERWIN-WILLIAMS #1638 [FRS; 11 m]</t>
  </si>
  <si>
    <t xml:space="preserve">Sherwin-Williams #1638 [CDPHE Solid_Waste_Facilities; 28 m]</t>
  </si>
  <si>
    <t xml:space="preserve">BLOOMIN FLOWER CARDS [FRS; 34 m] | BUCKNER CONSTRUCTION [FRS; 34 m]</t>
  </si>
  <si>
    <t xml:space="preserve">CIRCUIT IMAGES INC</t>
  </si>
  <si>
    <t xml:space="preserve">SHERWIN-WILLIAMS #1638</t>
  </si>
  <si>
    <t xml:space="preserve">S03766</t>
  </si>
  <si>
    <t xml:space="preserve">5375 WESTERN AVE</t>
  </si>
  <si>
    <t xml:space="preserve">TENTINE (1983; SIC 3573)</t>
  </si>
  <si>
    <t xml:space="preserve">MOLNAR SKI CORPORATION (1980) | TENTINE (1983)</t>
  </si>
  <si>
    <t xml:space="preserve">TRAVERTINE HQ [FRS; 16 m] | PRIMEEX [FRS; 39 m] | PRIMEEX [FRS] (address match)</t>
  </si>
  <si>
    <t xml:space="preserve">APPLIED DESIGN CORPORATION [FRS; 16 m]</t>
  </si>
  <si>
    <t xml:space="preserve">TRAVERTINE HQ</t>
  </si>
  <si>
    <t xml:space="preserve">S03776</t>
  </si>
  <si>
    <t xml:space="preserve">3121 WALNUT</t>
  </si>
  <si>
    <t xml:space="preserve">COLORADO PLASTIC PRODUCTS (1988; SIC 2542,3089) | R+M ENTERPRISES INC D.B.A-LEISURE TIME PRODUCTS (1988; SIC 2796,3479,3499) | R+M ENTERPRISES INC (1990; SIC 2796,3479,3499) | LEISURE TIME PRODUCTS (1992; SIC 2796,3479,3499)</t>
  </si>
  <si>
    <t xml:space="preserve">QUALITY FAST PRINT (1980) | COLORADO PLASTIC PRODUCTS (1988) | LIGHTING TECHNOLOGIES (1988) | R+M ENTERPRISES INC D.B.A-LEISURE TIME PRODUCTS (1988) | R+M ENTERPRISES INC (1990) | LEISURE TIME PRODUCTS (1992)</t>
  </si>
  <si>
    <t xml:space="preserve">MIDAS [FRS; 60 m] | INNOVATIVE INTERCONNECTION TECH [FRS; 62 m]</t>
  </si>
  <si>
    <t xml:space="preserve">ROCHE CONSTRUCTORS, INC. [FRS; 47 m]</t>
  </si>
  <si>
    <t xml:space="preserve">MIDAS</t>
  </si>
  <si>
    <t xml:space="preserve">S03777</t>
  </si>
  <si>
    <t xml:space="preserve">303 CANYON BLVD</t>
  </si>
  <si>
    <t xml:space="preserve">RELA DESIGNS INC (1980-1983; SIC 3573)</t>
  </si>
  <si>
    <t xml:space="preserve">RELA DESIGNS INC (1980) | LOG RHYTHMS BUILDERS INC (1988)</t>
  </si>
  <si>
    <t xml:space="preserve">MALL EAST PARTNERSHIP [FRS; 19 m]</t>
  </si>
  <si>
    <t xml:space="preserve">S03812</t>
  </si>
  <si>
    <t xml:space="preserve">1290 BOSTON AVE</t>
  </si>
  <si>
    <t xml:space="preserve">AUTOTRON PRODUCTS INC (1980-1990; SIC 3079)</t>
  </si>
  <si>
    <t xml:space="preserve">AUTOTRON PRODUCTS INC (1980) | SEWING INC (1983)</t>
  </si>
  <si>
    <t xml:space="preserve">KMG INDUSTRIAL SCREENING &amp; METAL FINISHI [FRS; 22 m]</t>
  </si>
  <si>
    <t xml:space="preserve">KMG INDUSTRIAL SCREENING &amp; METAL FINISHI</t>
  </si>
  <si>
    <t xml:space="preserve">S03814</t>
  </si>
  <si>
    <t xml:space="preserve">207 S BOWEN</t>
  </si>
  <si>
    <t xml:space="preserve">HANSON ELECTRO-PLATING (1980-1983; SIC 3471)</t>
  </si>
  <si>
    <t xml:space="preserve">HANSON ELECTRO-PLATING (1980)</t>
  </si>
  <si>
    <t xml:space="preserve">CIRCUITS WEST INC [FRS; 9 m]</t>
  </si>
  <si>
    <t xml:space="preserve">BEECH AIRCRAFT- INACTIVE [FRS; 5 m] | INTERIOR WOODWORK INC [FRS; 9 m]</t>
  </si>
  <si>
    <t xml:space="preserve">S03819</t>
  </si>
  <si>
    <t xml:space="preserve">638 S SUNSET</t>
  </si>
  <si>
    <t xml:space="preserve">MILLS COMPANY, THE (1980; SIC 3433) | ASSEMBLIES UNLIMITED INC (1983-1990; SIC 3679) | ER T RANGE CABLE (1988; SIC 3679) | COLORADO PRECISION OPTICS INC (1990; SIC 3851,3577,3499) | FRONT RANGE CABLE CORP (1990; SIC 3679)</t>
  </si>
  <si>
    <t xml:space="preserve">MILLS COMPANY, THE (1980) | ASSEMBLIES UNLIMITED INC (1983) | KATUM CORP (1983) | ER T RANGE CABLE (1988) | ACTION AWARDS + ENGRAVING INC (1990) | COLORADO PRECISION OPTICS INC (1990) | FRONT RANGE CABLE CORP (1990)</t>
  </si>
  <si>
    <t xml:space="preserve">FRONT RANGE CABLE [FRS; name match, 92 m]</t>
  </si>
  <si>
    <t xml:space="preserve">FRONT RANGE CABLE</t>
  </si>
  <si>
    <t xml:space="preserve">S03821</t>
  </si>
  <si>
    <t xml:space="preserve">1224 SHERMAN OR</t>
  </si>
  <si>
    <t xml:space="preserve">NS MACHINING + ENGINEERING CO (1980-1990; SIC 3599,3544) | LONGMONT MANUFACTURING CO. (1983; SIC 3599) | DIGITAL STORAGE SYSTEMS INC (1990; SIC 3572)</t>
  </si>
  <si>
    <t xml:space="preserve">NS MACHINING + ENGINEERING CO (1980) | LONGMONT MANUFACTURING CO. (1983) | DIGITAL STORAGE SYSTEMS INC (1990)</t>
  </si>
  <si>
    <t xml:space="preserve">HI-TECH MANUFACTURING INC [FRS; 58 m]</t>
  </si>
  <si>
    <t xml:space="preserve">S.K.I.S., INC. [FRS; 58 m] | LIQUID WASTE MANAGEMENT, INC. [FRS; 58 m]</t>
  </si>
  <si>
    <t xml:space="preserve">S03822</t>
  </si>
  <si>
    <t xml:space="preserve">2111 DELAWARE AVE</t>
  </si>
  <si>
    <t xml:space="preserve">GWL TECHNICAL ASSOCIATES INC (1980; SIC 3662,3573,3829)</t>
  </si>
  <si>
    <t xml:space="preserve">GWL TECHNICAL ASSOCIATES INC (1980)</t>
  </si>
  <si>
    <t xml:space="preserve">MAICON, LLC [FRS; 32 m] | NEXUS CONTROLS LLC [CDPHE RCRA; 190 m]</t>
  </si>
  <si>
    <t xml:space="preserve">DRAIN SOLVERS [FRS; 43 m]</t>
  </si>
  <si>
    <t xml:space="preserve">MAICON, LLC</t>
  </si>
  <si>
    <t xml:space="preserve">S03823</t>
  </si>
  <si>
    <t xml:space="preserve">1341 SHERMAN DR</t>
  </si>
  <si>
    <t xml:space="preserve">FRONT RANGE CAGLE CORPORATION (1980; SIC 3679,3599,3079) | ROCKY MOUNTAIN BEARINGS # SUPPLY INC (1980; SIC 3494) | STUART INDUSTRIES (1980-1983; SIC 3079) | FRONT RANGE TOOLING INCe (1983; SIC 3544,3999,3624) | JS MACHINE ¢ ENGINEERING INC (1983; SIC 3549,3589,3573) | | MOORE BEARING CO (1983-1990; SIC 3494) | UNITED ENERGY DEVELOPMENT INC (1983; SIC 3444,3433) | CENTURY PLASTICS+ENGINEERIN (1988-1990; SIC 3089) | FLUID DYNAMICS INC. (1990; SIC 3089) | FNS&amp;TING (1992; SIC 3679)</t>
  </si>
  <si>
    <t xml:space="preserve">FRONT RANGE CAGLE CORPORATION (1980) | ROCKY MOUNTAIN BEARINGS # SUPPLY INC (1980) | STUART INDUSTRIES (1980) | FRONT RANGE TOOLING INCe (1983) | JS MACHINE ¢ ENGINEERING INC (1983) | | MOORE BEARING CO (1983) | UNITED ENERGY DEVELOPMENT INC (1983) | CENTURY PLASTICS+ENGINEERIN (1988) | TAPP INDUSTRIES INC D.B.A.-PRONT RANGE PRODUCTS (1988) | FLUID DYNAMICS INC. (1990) | TAPP INDUSTRIES INC (1990) | FNS&amp;TING (1992)</t>
  </si>
  <si>
    <t xml:space="preserve">KMG METAL FINISHING INC [FRS; 7 m] | SPECIALTY PAINTING AND LAMINATING [FRS; 41 m] | AUTOIRON PRODUCTS INC [CDPHE RCRA; 64 m] | KMG METAL FINISHING INC [CDPHE RCRA; 64 m] | ENGINE SHOP THE [CDPHE RCRA; 64 m] | 1314 SHERMAN DR [FRS; 69 m]</t>
  </si>
  <si>
    <t xml:space="preserve">CENTURY PLASTICS &amp; ENGINEERING INC [FRS; name match, 69 m] | WHC FTC LLC DBA ZTRIP LONGMONT FACILITY [FRS; 40 m] | H.M. PAN CLEANING [FRS; 41 m]</t>
  </si>
  <si>
    <t xml:space="preserve">MAXTOR CO CORP</t>
  </si>
  <si>
    <t xml:space="preserve">KMG METAL FINISHING INC</t>
  </si>
  <si>
    <t xml:space="preserve">S03824</t>
  </si>
  <si>
    <t xml:space="preserve">1341 S SHERMANC</t>
  </si>
  <si>
    <t xml:space="preserve">UNITED ENERGY DEVELOPMENT INC (1980; SIC 3444)</t>
  </si>
  <si>
    <t xml:space="preserve">SPEEDY BEE INSTANT PRINTING CENTER (1980) | UNITED ENERGY DEVELOPMENT INC (1980)</t>
  </si>
  <si>
    <t xml:space="preserve">TRINITY PRINTING, INC. [FRS; 158 m]</t>
  </si>
  <si>
    <t xml:space="preserve">KMG METAL FINISHING [FRS; 54 m] | X3C-LONGMONT CNG [FRS; 174 m]</t>
  </si>
  <si>
    <t xml:space="preserve">S04577</t>
  </si>
  <si>
    <t xml:space="preserve">1625 RANGE ST</t>
  </si>
  <si>
    <t xml:space="preserve">A DK PRESSURE EQUIPMENT CORP (1983; SIC 3569) | THOMPSON RESPIRATION PRODUCTS INC (1983; SIC 3564)</t>
  </si>
  <si>
    <t xml:space="preserve">TECNETICS INC. (1980) | A DK PRESSURE EQUIPMENT CORP (1983) | THOMPSON RESPIRATION PRODUCTS INC (1983)</t>
  </si>
  <si>
    <t xml:space="preserve">TECNETICS INC [FRS; name match, 49 m]</t>
  </si>
  <si>
    <t xml:space="preserve">BALL AEROSPACE &amp; TECHNOLOGIES CORP</t>
  </si>
  <si>
    <t xml:space="preserve">TECNETICS INC</t>
  </si>
  <si>
    <t xml:space="preserve">S04578</t>
  </si>
  <si>
    <t xml:space="preserve">2860 WILDERNESS PL</t>
  </si>
  <si>
    <t xml:space="preserve">BOULDER BLIMP CO (1988; SIC 2399,3069,3721) | A-G SYSTEMS INC (1990; SIC 3572) | COLORADO SUNDIALS (1990; SIC 3499) | TELWATCH INC (1990; SIC 3575)</t>
  </si>
  <si>
    <t xml:space="preserve">AMERICAN LASER CORPORATION (1983) | BOULDER BLIMP CO (1988) | BOULDER BREWING CO (1988) | SCHEDULING MARCH PRESS INC (1988) | A-G SYSTEMS INC (1990) | BLUE SKY DESIGN INC (1990) | COLORADO SUNDIALS (1990) | MARCH PRESS INC (1990) | MURPHY'S GRAPHIC SERVICE (1990) | MYKLAS MUSIC PRESS (1990) | SPECTRUM PRESS (1990) | TELWATCH INC (1990)</t>
  </si>
  <si>
    <t xml:space="preserve">BOULDER BLIMP [FRS; name match, 207 m] | SOMALOGIC INC [CDPHE RCRA; 17 m] | PROTOGENIC INC [CDPHE RCRA; 17 m] | UNIVERSITY OF COLORADO BOULDER [CDPHE RCRA; 17 m] | KAPP TECH LP [CDPHE RCRA; 17 m] | AEROCOM INDUSTRIES INC [CDPHE RCRA; 17 m] | FORESIGHT DIAGNOSTICS [CDPHE RCRA; 50 m] | GOODBYE BLUE MONDAY, INC. [FRS; 50 m] | TWINING CONCRETE INSIGHT [CDPHE RCRA; 67 m] | UNIVERSITY OF COLORADO BOULDE</t>
  </si>
  <si>
    <t xml:space="preserve">BOULDER BREWING CO [FRS; name match, 113 m] | QVS, INC. DBA MINUTEMAN PRESS [FRS; 21 m] | HAUSER CHEMICAL RESEARCH INC [FRS; 50 m] | NEXSTAR PHARMECEUTICALS INC [FRS] (address match)</t>
  </si>
  <si>
    <t xml:space="preserve">SOMALOGIC INC</t>
  </si>
  <si>
    <t xml:space="preserve">S04579</t>
  </si>
  <si>
    <t xml:space="preserve">6797 WINCHESTER CIR</t>
  </si>
  <si>
    <t xml:space="preserve">APPLIED FILMS LAB INC (1983-1990; SIC 3079) | COLORADO INSTRUMENTS (1983; SIC 3599) | SYSTEMS NEW WEST TECHNOLOGY (1988; SIC 3679,3825)</t>
  </si>
  <si>
    <t xml:space="preserve">APPLIED FILMS LAB INC (1983) | COLORADO INSTRUMENTS (1983) | SYSTEMS NEW WEST TECHNOLOGY (1988)</t>
  </si>
  <si>
    <t xml:space="preserve">APPLIED FILMS CORP [FRS; name match, 176 m] | EMERGY INC DBA MEATI FOODS [FRS; 14 m] | APPLIED FILMS CORP [FRS] (address match)</t>
  </si>
  <si>
    <t xml:space="preserve">MICRO MOTION INC FIC/WWE</t>
  </si>
  <si>
    <t xml:space="preserve">EMERGY INC DBA MEATI FOODS</t>
  </si>
  <si>
    <t xml:space="preserve">S04589</t>
  </si>
  <si>
    <t xml:space="preserve">7123 ARAPAHOE</t>
  </si>
  <si>
    <t xml:space="preserve">CHECKMATE N/C » INC (1983; SIC 3599) | ROCKY MIN SOLAR GLASS INC (1992; SIC 3442)</t>
  </si>
  <si>
    <t xml:space="preserve">CHECKMATE N/C » INC (1983) | ROCKY MIN SOLAR GLASS INC (1992)</t>
  </si>
  <si>
    <t xml:space="preserve">KAROSSERIE FABRIK [FRS; 40 m]</t>
  </si>
  <si>
    <t xml:space="preserve">KAROSSERIE FABRIK</t>
  </si>
  <si>
    <t xml:space="preserve">S04607</t>
  </si>
  <si>
    <t xml:space="preserve">6595 ODELL PL STE C</t>
  </si>
  <si>
    <t xml:space="preserve">VENTURE MFG CO INC (1983-1990; SIC 3573) | ALPINE TOOLING INC (1990; SIC 3089,3544,3599) | FRIENDLY PLASTICS CO INC (1990; SIC 2821,2822,2891)</t>
  </si>
  <si>
    <t xml:space="preserve">INTERNATIONAL SPORTS LTD (1983) | PRINT SHOPs THE (1983) | VENTURE MFG CO INC (1983) | BOULDER - BOULDER 155 COLORADO VIDEO INC (1988) | MONTECH SYSTEMS INC D.B.A.-REGISTECIA (1988) | SHAMPOO, SUNSCREEN MOUNTAIN PRINTING (1988) | SYNERGETICS INTERNATIONAL INC (1988) | ALDEN LABORATORIES (1990) | ALPINE TOOLING INC (1990) | COLORADO VIDEO INC (1990) | FRIENDLY PLASTICS CO INC (1990) | MONTECH SYSTEMS INC (1990) | MOUNTAIN PRINTING INC (1990)</t>
  </si>
  <si>
    <t xml:space="preserve">SYNERGETICS INTERNATIONAL INC [FRS; name match, 118 m] | DESIGN PRESS INC [FRS; 42 m] | VAC-TEC SYSTEMS INC [FRS; 43 m] | GUNBARREL MANUFACTURING CO [FRS; 45 m]</t>
  </si>
  <si>
    <t xml:space="preserve">FRIENDLY PLASTICS CO INC [FRS; name match, 149 m]</t>
  </si>
  <si>
    <t xml:space="preserve">DESIGN PRESS INC</t>
  </si>
  <si>
    <t xml:space="preserve">S04618</t>
  </si>
  <si>
    <t xml:space="preserve">1727 CONESTOGA ST</t>
  </si>
  <si>
    <t xml:space="preserve">MOVICK ENGINEERING COes INCe (1983; SIC 3433)</t>
  </si>
  <si>
    <t xml:space="preserve">MOVICK ENGINEERING COes INCe (1983)</t>
  </si>
  <si>
    <t xml:space="preserve">BAE SYSTEMS SPACE &amp; MISSION SYSTEMS INC CO8 [FRS; 11 m]</t>
  </si>
  <si>
    <t xml:space="preserve">BAE SYSTEMS SPACE &amp; MISSION SYSTEMS INC CO8</t>
  </si>
  <si>
    <t xml:space="preserve">S04619</t>
  </si>
  <si>
    <t xml:space="preserve">3450 MITCHELL LN</t>
  </si>
  <si>
    <t xml:space="preserve">NB I INC (1983; SIC 3573) | NBI INC (1990; SIC 3571,3577)</t>
  </si>
  <si>
    <t xml:space="preserve">NB I INC (1983) | NBI INC (1990)</t>
  </si>
  <si>
    <t xml:space="preserve">UCAR - FOOTHILLS LAB [CDPHE RCRA; 14 m] | CRAY LABORATORIES INC [FRS; 22 m] | UCAR - FOOTHILLS LAB [FRS] (address match) | UCAR - FOOTHILLS LAB [CDPHE RCRA] (address match)</t>
  </si>
  <si>
    <t xml:space="preserve">UCAR - FOOTHILLS LAB</t>
  </si>
  <si>
    <t xml:space="preserve">S04626</t>
  </si>
  <si>
    <t xml:space="preserve">5757 CENTRAL AVE</t>
  </si>
  <si>
    <t xml:space="preserve">PROLINK CORPORATION (1983; SIC 3573)</t>
  </si>
  <si>
    <t xml:space="preserve">PROLINK CORPORATION (1983) | PAR MICROSYSTEMS (1992)</t>
  </si>
  <si>
    <t xml:space="preserve">SOMATOGEN INC [FRS; 27 m] | VAC-TEC SYSTEMS [FRS; 28 m]</t>
  </si>
  <si>
    <t xml:space="preserve">S04634</t>
  </si>
  <si>
    <t xml:space="preserve">802 S SHERMAN</t>
  </si>
  <si>
    <t xml:space="preserve">TOOL MASTERSINCe (1983; SIC 3536) | CENCORP (1990; SIC 3542,3679)</t>
  </si>
  <si>
    <t xml:space="preserve">TOOL MASTERSINCe (1983) | CENCORP (1990)</t>
  </si>
  <si>
    <t xml:space="preserve">CENCORP [FRS; name match, 26 m]</t>
  </si>
  <si>
    <t xml:space="preserve">S04637</t>
  </si>
  <si>
    <t xml:space="preserve">4700 STERLING OR</t>
  </si>
  <si>
    <t xml:space="preserve">WAYNE MANUFACTURING INC (1983; SIC 3599) | HERTRICH DEVELOPMENT INC (1990; SIC 3577,3699)</t>
  </si>
  <si>
    <t xml:space="preserve">WAYNE MANUFACTURING INC (1983) | HERTRICH DEVELOPMENT INC (1990) | INFORMATION SYSTEMS INC (1992)</t>
  </si>
  <si>
    <t xml:space="preserve">ABRA AUTO BODY AND GLASS [FRS; 9 m]</t>
  </si>
  <si>
    <t xml:space="preserve">MODERN BODY SHOP [FRS; 9 m]</t>
  </si>
  <si>
    <t xml:space="preserve">S04646</t>
  </si>
  <si>
    <t xml:space="preserve">180 N 120TH ST</t>
  </si>
  <si>
    <t xml:space="preserve">TONEX RESEARCH CORPORATION (1983; SIC 2819,3564) | IONEX RESEARCH CORP (1988-1990; SIC 2819,3564)</t>
  </si>
  <si>
    <t xml:space="preserve">TONEX RESEARCH CORPORATION (1983) | IONEX RESEARCH CORP (1988)</t>
  </si>
  <si>
    <t xml:space="preserve">IONEX RESEARCH CORP [FRS; name match, 56 m]</t>
  </si>
  <si>
    <t xml:space="preserve">IONEX RESEARCH CORP</t>
  </si>
  <si>
    <t xml:space="preserve">S04650</t>
  </si>
  <si>
    <t xml:space="preserve">24 BOSTON CT</t>
  </si>
  <si>
    <t xml:space="preserve">AUTOMATION ENGINEERING, INC. (1983; SIC 3559,3599,3573) | PLASCO INC (1988-1992; SIC 3089,3844)</t>
  </si>
  <si>
    <t xml:space="preserve">AUTOMATION ENGINEERING, INC. (1983) | PLASCO INC (1988)</t>
  </si>
  <si>
    <t xml:space="preserve">CUSTOM MICROWAVE-AEROSPACE MICROWV EQPT [FRS; 3 m] | CUSTOM MICROWAVE INC [CDPHE RCRA; 33 m] | CUSTOM MICROWAVE-AEROSPACE MICROWV EQPT [FRS] (address match) | CUSTOM MICROWAVE INC [CDPHE RCRA] (address match)</t>
  </si>
  <si>
    <t xml:space="preserve">TREND TECHNOLOGIES INC COLORADO DIV [FRS; 3 m] | TREND TECHNOLOGIES INC COLORADO DIV [FRS] (address match)</t>
  </si>
  <si>
    <t xml:space="preserve">33 S PRATT PARKWAY</t>
  </si>
  <si>
    <t xml:space="preserve">CUSTOM MICROWAVE-AEROSPACE MICROWV EQPT</t>
  </si>
  <si>
    <t xml:space="preserve">S04659</t>
  </si>
  <si>
    <t xml:space="preserve">1025 DELAWARE</t>
  </si>
  <si>
    <t xml:space="preserve">FLUID DYNAMICS (1983-1988; SIC 3079) | LONGMONT PLASTICS INC (1983-1990; SIC 3079) | MOLBING eA STIS (1988; SIC 3089) | CREATIVE PLASTICS MOLDING INC (1990-1992; SIC 3089)</t>
  </si>
  <si>
    <t xml:space="preserve">FLUID DYNAMICS (1983) | LONGMONT PLASTICS INC (1983) | MOLBING eA STIS (1988) | DFM ENGINEERING INC (1988) | CREATIVE PLASTICS MOLDING INC (1990)</t>
  </si>
  <si>
    <t xml:space="preserve">WOOD IN 2 WOOD [FRS; 3 m]</t>
  </si>
  <si>
    <t xml:space="preserve">CREATIVE PLASTICS [FRS; name match, 16 m] | ANTECH INTERNATIONAL [FRS; 31 m]</t>
  </si>
  <si>
    <t xml:space="preserve">WOOD IN 2 WOOD</t>
  </si>
  <si>
    <t xml:space="preserve">S04660</t>
  </si>
  <si>
    <t xml:space="preserve">830 S SUNSET ST</t>
  </si>
  <si>
    <t xml:space="preserve">FRONT RANGE CABLE CORPORATION (1983; SIC 3679,3599)</t>
  </si>
  <si>
    <t xml:space="preserve">FRONT RANGE CABLE CORPORATION (1983)</t>
  </si>
  <si>
    <t xml:space="preserve">FRONT RANGE CABLE [FRS; name match, 194 m]</t>
  </si>
  <si>
    <t xml:space="preserve">C M D OIL</t>
  </si>
  <si>
    <t xml:space="preserve">S04664</t>
  </si>
  <si>
    <t xml:space="preserve">1242 BRAMWOOD PL</t>
  </si>
  <si>
    <t xml:space="preserve">HELIOS MANUFACTURING + MACHINING CO (1983; SIC 3662,3599) | PRENCH BREAD GUNBARREL MFG (1988; SIC 3577,3861) | W P INSTRUMENTS INC (1988-1990; SIC 3599)</t>
  </si>
  <si>
    <t xml:space="preserve">HELIOS MANUFACTURING + MACHINING CO (1983) | PRENCH BREAD GUNBARREL MFG (1988) | W P INSTRUMENTS INC (1988)</t>
  </si>
  <si>
    <t xml:space="preserve">GUNBARREL MANUFACTURING COMPANY [CDPHE RCRA; name match, 2 m] | GUNBARREL MANUFACTURING COMPANY [FRS; name match, 32 m]</t>
  </si>
  <si>
    <t xml:space="preserve">GUNBARREL MANUFACTURING COMPANY</t>
  </si>
  <si>
    <t xml:space="preserve">S04673</t>
  </si>
  <si>
    <t xml:space="preserve">10075 COUNTY LINE</t>
  </si>
  <si>
    <t xml:space="preserve">SOLAR ENERGY RESEARCH CORP (1983; SIC 3433,3639,2869)</t>
  </si>
  <si>
    <t xml:space="preserve">SOLAR ENERGY RESEARCH CORP (1983)</t>
  </si>
  <si>
    <t xml:space="preserve">MCLANE COMPANY INC [FRS; 150 m] | COLOUR RESTORATION LLC [FRS; 157 m]</t>
  </si>
  <si>
    <t xml:space="preserve">HIGHLANDS SUBDIVSION [FRS; 43 m] | SANDSTONE MARKETPLACE [FRS; 171 m] | SANDSTONE RANCH [FRS; 244 m]</t>
  </si>
  <si>
    <t xml:space="preserve">MCLANE COMPANY INC</t>
  </si>
  <si>
    <t xml:space="preserve">S05961</t>
  </si>
  <si>
    <t xml:space="preserve">1121 DELAWARE AVE</t>
  </si>
  <si>
    <t xml:space="preserve">ACCURATE MACHINE WORKS (1983; SIC 3561,3599) | CORONIS INC (1983; SIC 3433) | METAL TECH INDUSTRIES INC. (1983; SIC 3444) | 3679 B ASSHMBLY TECHNOLOGY (1988-1990; SIC 3679) | DC'S MACHINING PRODUCTS (1990; SIC 3599) | OWL TECHNICAL ASSOCIATES INC (1990; SIC 3569,3572,3829)</t>
  </si>
  <si>
    <t xml:space="preserve">ACCURATE MACHINE WORKS (1983) | CORONIS INC (1983) | METAL TECH INDUSTRIES INC. (1983) | 3679 B ASSHMBLY TECHNOLOGY (1988) | DC'S MACHINING PRODUCTS (1990) | LA MARIPOSA TORTILLA FACTORY (1990) | OWL TECHNICAL ASSOCIATES INC (1990) | PDM CORP (1992)</t>
  </si>
  <si>
    <t xml:space="preserve">DBM TECHNOLOGY INC [FRS; 5 m] | SILVER RECOVERY ASSOCIATES [FRS; 23 m] | AXELSON MACHINE INC [FRS; 45 m]</t>
  </si>
  <si>
    <t xml:space="preserve">S05317</t>
  </si>
  <si>
    <t xml:space="preserve">1714 PINE ST A</t>
  </si>
  <si>
    <t xml:space="preserve">BERMIEKPion inc (1988; SIC 3589)</t>
  </si>
  <si>
    <t xml:space="preserve">BERMIEKPion inc (1988)</t>
  </si>
  <si>
    <t xml:space="preserve">MIKE'S CAMERA, INC [FRS; 239 m] | 1617 PEARL ST LLC [FRS; 246 m] | SHERWIN-WILLIAMS [FRS; 249 m]</t>
  </si>
  <si>
    <t xml:space="preserve">PAINTING PLUS OF BOULDER, INC. [FRS; 140 m] | BLUEBIRD CLNRS [FRS; 246 m]</t>
  </si>
  <si>
    <t xml:space="preserve">MIKE'S CAMERA, INC</t>
  </si>
  <si>
    <t xml:space="preserve">S05323</t>
  </si>
  <si>
    <t xml:space="preserve">2995 BASELINE RD 210</t>
  </si>
  <si>
    <t xml:space="preserve">AIRSPEEDS BASE-2 SYSTEMS INC (1988; SIC 3571)</t>
  </si>
  <si>
    <t xml:space="preserve">AIRSPEEDS BASE-2 SYSTEMS INC (1988)</t>
  </si>
  <si>
    <t xml:space="preserve">TWIN STAR ENERGY #520 [FRS; 23 m] | ARAP/ROOS NAT FOR/PAWNESS NAT GRASSLANDS [FRS; 27 m] | WILLIAMS VILLAGE CLNRS [FRS; 199 m]</t>
  </si>
  <si>
    <t xml:space="preserve">BASELINE ROAD MULTIMODAL IMPROVEMENTS [FRS; 16 m] | PIP PRINTING  #680 [FRS; 167 m] | MCDONALD'S 50029 BOULDER-BASELINE [FRS; 182 m] | WILLIAMS VILLAGE CLNRS [FRS; 199 m] | FORMER CHEVRON SVC STA 7 0443 [FRS; 214 m] | UCB WV CLEAN THERMAL TRANSITION [FRS; 230 m]</t>
  </si>
  <si>
    <t xml:space="preserve">TWIN STAR ENERGY #520</t>
  </si>
  <si>
    <t xml:space="preserve">S05328</t>
  </si>
  <si>
    <t xml:space="preserve">6661 ARAPAHOE RD</t>
  </si>
  <si>
    <t xml:space="preserve">BOULDER DOOR+MILLWORK INC (1988-1990; SIC 2431,3442,1126) | INTERMOUNTAIN MACHINING &amp; MFG (1992; SIC 3499,3599)</t>
  </si>
  <si>
    <t xml:space="preserve">BOULDER DOOR+MILLWORK INC (1988) | INTERMOUNTAIN MACHINING &amp; MFG (1992)</t>
  </si>
  <si>
    <t xml:space="preserve">ELASTOMER TECHNOLOGY INC [FRS; 22 m]</t>
  </si>
  <si>
    <t xml:space="preserve">S05331</t>
  </si>
  <si>
    <t xml:space="preserve">2975 VALMONT STE 100</t>
  </si>
  <si>
    <t xml:space="preserve">BRISCOE-MAPHIS INC (1988; SIC 3523)</t>
  </si>
  <si>
    <t xml:space="preserve">BRISCOE-MAPHIS INC (1988) | BOULDER. CONT. (1992)</t>
  </si>
  <si>
    <t xml:space="preserve">F A HECKENDORF INC [FRS; 2 m] | PREFERRED PRINTING INC [FRS; 14 m]</t>
  </si>
  <si>
    <t xml:space="preserve">S05333</t>
  </si>
  <si>
    <t xml:space="preserve">4595 LAGUNA PL 115</t>
  </si>
  <si>
    <t xml:space="preserve">PROGRAMS CEILING TECHNOLOGY (1988; SIC 2842)</t>
  </si>
  <si>
    <t xml:space="preserve">PROGRAMS CEILING TECHNOLOGY (1988)</t>
  </si>
  <si>
    <t xml:space="preserve">KAISER PERMANENTE - BASELINE MOB [CDPHE RCRA; 18 m] | KAISER PERMANENTE - BASELINE MOB [FRS; 38 m]</t>
  </si>
  <si>
    <t xml:space="preserve">KAISER PERMANENTE - BASELINE MOB</t>
  </si>
  <si>
    <t xml:space="preserve">S05364</t>
  </si>
  <si>
    <t xml:space="preserve">6175 LONGBOW DR</t>
  </si>
  <si>
    <t xml:space="preserve">PCM (1988; SIC 3679,3699) | BI INC (1990; SIC 3523,3669) | RELA INC (1992; SIC 2866,3825)</t>
  </si>
  <si>
    <t xml:space="preserve">PCM (1988) | BI INC (1990) | RELA INC (1990)</t>
  </si>
  <si>
    <t xml:space="preserve">RELA INC MFG. DIVISION [FRS; name match, 24 m] | RELA INC MFG. DIVISION [FRS] (address match)</t>
  </si>
  <si>
    <t xml:space="preserve">RELA INC MFG. DIVISION</t>
  </si>
  <si>
    <t xml:space="preserve">S05365</t>
  </si>
  <si>
    <t xml:space="preserve">6150 LOOKOUT RD</t>
  </si>
  <si>
    <t xml:space="preserve">REPUBLIC TELCOM SYSTEMS CORP (1988-1990; SIC 3571) | REGINA PRODUCTS INC (1992; SIC 3572)</t>
  </si>
  <si>
    <t xml:space="preserve">REPUBLIC TELCOM SYSTEMS CORP (1988) | REGINA PRODUCTS INC (1992)</t>
  </si>
  <si>
    <t xml:space="preserve">REPUBLIC TELCOM SYSTEMS INC [FRS; name match, 63 m] | PROLIGO LLC [FRS; 16 m] | REPUBLIC TELCOM SYSTEMS INC [FRS] (address match)</t>
  </si>
  <si>
    <t xml:space="preserve">S05376</t>
  </si>
  <si>
    <t xml:space="preserve">5763 ARAPAHOE NO E</t>
  </si>
  <si>
    <t xml:space="preserve">COLORADO ROLLER + WHEEL (1990; SIC 3499) | ANEW (1992; SIC 3429) | CUSTOM RUSTLER HORSEHAIR INC (1992; SIC 2823)</t>
  </si>
  <si>
    <t xml:space="preserve">DISPLAYS SUPERSIGN INC (1988) | COLORADO ROLLER + WHEEL (1990) | D SCHENK + ASSOCIATES (1990) | SUPERSIGN INC (1990) | A-PAK PRINTING (1992) | ANEW (1992) | CUSTOM RUSTLER HORSEHAIR INC (1992)</t>
  </si>
  <si>
    <t xml:space="preserve">LETTERHEAD THE [FRS; 1 m] | CALIBER BODYWORKS - BOULDER 0813 [FRS; 3 m] | AFFORDABLE AUTO COLLISION REPAIR [FRS; 3 m]</t>
  </si>
  <si>
    <t xml:space="preserve">MAACO AUTO PAINTING &amp; BODYWORKS [FRS; 3 m]</t>
  </si>
  <si>
    <t xml:space="preserve">LETTERHEAD THE</t>
  </si>
  <si>
    <t xml:space="preserve">S05962</t>
  </si>
  <si>
    <t xml:space="preserve">434 S SHERMAN ST</t>
  </si>
  <si>
    <t xml:space="preserve">ANCRESRING ive (1988; SIC 3559,3599)</t>
  </si>
  <si>
    <t xml:space="preserve">ANCRESRING ive (1988)</t>
  </si>
  <si>
    <t xml:space="preserve">SLICKS CUSTOM AUTO BODY [FRS; 39 m] | SPECIALTY PAINTING AND LAMINATING [FRS; 123 m] | BOOMERANG [CDPHE RCRA; 133 m] | BOOMERANG [FRS; 145 m] | KMG METAL FINISHING INC [FRS; 156 m] | STAODYNAMICS INC [FRS; 228 m] | AUTOIRON PRODUCTS INC [CDPHE RCRA; 228 m] | KMG METAL FINISHING INC [CDPHE RCRA; 228 m] | ENGINE SHOP THE [CDPHE RCRA; 228 m] | GUNBARREL MANUFACTURING COMPANY [FRS; 228 m] | 1314 SHERM</t>
  </si>
  <si>
    <t xml:space="preserve">HOME2 SUITES LONGMONT [FRS; 117 m] | SOUTH SHERMAN FLEX BUILDING [FRS; 117 m] | H.M. PAN CLEANING [FRS; 123 m] | WHC FTC LLC DBA ZTRIP LONGMONT FACILITY [FRS; 123 m] | SOUTH LONGMONT GAS LINE [FRS; 182 m] | CENTURY PLASTICS &amp; ENGINEERING INC [FRS; 233 m] | LUND INTERNATIONAL, AUTOTRON ACCESSORIES [FRS; 242 m]</t>
  </si>
  <si>
    <t xml:space="preserve">SLICKS CUSTOM AUTO BODY</t>
  </si>
  <si>
    <t xml:space="preserve">S05964</t>
  </si>
  <si>
    <t xml:space="preserve">910 S SHERMAN</t>
  </si>
  <si>
    <t xml:space="preserve">BYERS INDUSTRIES INC (1988; SIC 3089,3469) | CENCORP D.B.A.-DOVER TECHNOLOGY INC (1988; SIC 3842,3679)</t>
  </si>
  <si>
    <t xml:space="preserve">BYERS INDUSTRIES INC (1988) | CENCORP D.B.A.-DOVER TECHNOLOGY INC (1988)</t>
  </si>
  <si>
    <t xml:space="preserve">CENCORP [FRS; name match, 160 m]</t>
  </si>
  <si>
    <t xml:space="preserve">BYERS INDUSTRIES, INC. [FRS; name match, 137 m]</t>
  </si>
  <si>
    <t xml:space="preserve">I D RUSSELL COMPANY LABORATORIES</t>
  </si>
  <si>
    <t xml:space="preserve">MINISCRIBE CORPORATION</t>
  </si>
  <si>
    <t xml:space="preserve">S05981</t>
  </si>
  <si>
    <t xml:space="preserve">14311 MEAD ST</t>
  </si>
  <si>
    <t xml:space="preserve">RN D MACHINING INC (1988-1990; SIC 3599)</t>
  </si>
  <si>
    <t xml:space="preserve">RN D MACHINING INC (1988)</t>
  </si>
  <si>
    <t xml:space="preserve">ONE MORE PART (OMP) [CDPHE RCRA; 32 m]</t>
  </si>
  <si>
    <t xml:space="preserve">SNOWY RIVER / TIRE RECYCLING [FRS; 5 m]</t>
  </si>
  <si>
    <t xml:space="preserve">ONE MORE PART (OMP)</t>
  </si>
  <si>
    <t xml:space="preserve">S05989</t>
  </si>
  <si>
    <t xml:space="preserve">1115 COLORADO AVE</t>
  </si>
  <si>
    <t xml:space="preserve">80899</t>
  </si>
  <si>
    <t xml:space="preserve">CASTINGS WILCOXSON MFG (1988; SIC 3444) | CIRCUITS WEST (1990; SIC 3672) | WILCOXSON MANUFACTURING INC (1990; SIC 3444) | COLORADO TOOUNG &amp; ENGINEERING (1992; SIC 3089)</t>
  </si>
  <si>
    <t xml:space="preserve">CASTINGS WILCOXSON MFG (1988) | CIRCUITS WEST (1990) | WILCOXSON MANUFACTURING INC (1990) | COLORADO TOOUNG &amp; ENGINEERING (1992)</t>
  </si>
  <si>
    <t xml:space="preserve">CIRCUITS WEST INC [FRS; name match, 205 m]</t>
  </si>
  <si>
    <t xml:space="preserve">AXELSON MACHINE INC</t>
  </si>
  <si>
    <t xml:space="preserve">S06192</t>
  </si>
  <si>
    <t xml:space="preserve">1745 38TH ST</t>
  </si>
  <si>
    <t xml:space="preserve">EXABYTE CORPORATION (1992; SIC 3089)</t>
  </si>
  <si>
    <t xml:space="preserve">EXABYTE CORPORATION (1990)</t>
  </si>
  <si>
    <t xml:space="preserve">EXABYTE CORPORATION [FRS; name match, 209 m] | LARRY'S AUTOMOTIVE SERVICE [FRS; 1 m] | CROSS FIT ROOTS [FRS; 18 m] | ELI LILLY AND COMPANY INC [CDPHE RCRA; 39 m] | LARRY'S AUTOMOTIVE SERVICE [CDPHE RCRA; 39 m] | BIOSCIENCE PARK CENTER  - BAROFOLD INC [FRS] (address match)</t>
  </si>
  <si>
    <t xml:space="preserve">EXABYTE CORP [FRS; name match, 209 m] | VERIBEST/CHEGUELINK INCORPORATION [FRS; 18 m]</t>
  </si>
  <si>
    <t xml:space="preserve">LARRY'S AUTOMOTIVE SERVICE</t>
  </si>
  <si>
    <t xml:space="preserve">S06200</t>
  </si>
  <si>
    <t xml:space="preserve">4900 N BROADWAY</t>
  </si>
  <si>
    <t xml:space="preserve">80308</t>
  </si>
  <si>
    <t xml:space="preserve">METAL FORMS MFG CO INC (1990; SIC 3599)</t>
  </si>
  <si>
    <t xml:space="preserve">METAL FORMS MFG CO INC (1990)</t>
  </si>
  <si>
    <t xml:space="preserve">BOULDER COUNTY DEPT OF TRANS [FRS; 57 m] | BOULDER BINS [FRS; 68 m] | SCANDINAVIAN AUTO SERVICE [FRS; 150 m] | BRUNO &amp; SONS INC [FRS; 231 m] | BOULDER BINS [FRS] (address match)</t>
  </si>
  <si>
    <t xml:space="preserve">DAKOTA RIDGE VILLAGE SUBD FIL 3 5 [FRS; 76 m] | ELAN MOTORSPORT [FRS; 139 m] | BUSTOP BOULDER [FRS; 142 m] | EMERALD INVESTMENTS [FRS; 149 m] | EMERALD MANAGEMENT, KAF CENTER [FRS; 170 m] | A &amp; M AUTOMOTIVE [FRS; 225 m] | BROADWAY TOWNHOMES [FRS; 228 m] | CHARLEY'S GARAGE [FRS; 231 m]</t>
  </si>
  <si>
    <t xml:space="preserve">BOULDER COUNTY DEPT OF TRANS</t>
  </si>
  <si>
    <t xml:space="preserve">S06215</t>
  </si>
  <si>
    <t xml:space="preserve">6101 LOOKOUT RD</t>
  </si>
  <si>
    <t xml:space="preserve">VAC-TEC SYSTEMS INC (1990; SIC 3569,3673,3679)</t>
  </si>
  <si>
    <t xml:space="preserve">VAC-TEC SYSTEMS INC (1990)</t>
  </si>
  <si>
    <t xml:space="preserve">COMPOSITE TEK [FRS; 8 m] | COMPOSITE TEK [FRS] (address match)</t>
  </si>
  <si>
    <t xml:space="preserve">COMPOSITE TEK</t>
  </si>
  <si>
    <t xml:space="preserve">S06216</t>
  </si>
  <si>
    <t xml:space="preserve">1756 38TH ST</t>
  </si>
  <si>
    <t xml:space="preserve">VENTURE MANUFACTURING CO INC (1992; SIC 3577,2782)</t>
  </si>
  <si>
    <t xml:space="preserve">VERIBEST BUSINESS SYSTEMS INC (1990) | VENTURE MANUFACTURING CO INC (1992)</t>
  </si>
  <si>
    <t xml:space="preserve">CROSS FIT ROOTS [FRS] (address match)</t>
  </si>
  <si>
    <t xml:space="preserve">VERIBEST/CHEGUELINK INCORPORATION [FRS] (address match)</t>
  </si>
  <si>
    <t xml:space="preserve">S06739</t>
  </si>
  <si>
    <t xml:space="preserve">834 S SHERMAN ST</t>
  </si>
  <si>
    <t xml:space="preserve">AUTOMATION ENGINEERING + MFG INC (1990; SIC 3599)</t>
  </si>
  <si>
    <t xml:space="preserve">AUTOMATION ENGINEERING + MFG INC (1990)</t>
  </si>
  <si>
    <t xml:space="preserve">GUERDON INDUSTRIES INC [FRS; 29 m] | CENCORP [FRS; 32 m]</t>
  </si>
  <si>
    <t xml:space="preserve">BYERS INDUSTRIES, INC. [FRS; 10 m] | FIRST TRANSIT 55566 [FRS; 29 m] | AVEDON ENGINEERING, INC. [FRS; 29 m]</t>
  </si>
  <si>
    <t xml:space="preserve">GUERDON INDUSTRIES INC</t>
  </si>
  <si>
    <t xml:space="preserve">S06740</t>
  </si>
  <si>
    <t xml:space="preserve">2405 TRADE CENTER AVE</t>
  </si>
  <si>
    <t xml:space="preserve">CODAR TECHNOLOGY INC (1990; SIC 3571) | CONNER PERIPHERALS (1990; SIC 3544)</t>
  </si>
  <si>
    <t xml:space="preserve">CODAR TECHNOLOGY INC (1990) | CONNER PERIPHERALS (1990) | DISCOVERY TECHNOLOGEES INC (1992)</t>
  </si>
  <si>
    <t xml:space="preserve">CODAR TECHNOLOGY INCORPORATED [FRS; name match, 144 m] | SUNDROP FUELS INC [FRS; 14 m] | FRONT RANGE ORTHOPEDIC SURGERY CENTER [CDPHE RCRA; 127 m] | SUNDROP FUELS INC [CDPHE RCRA; 158 m] | SGX SENSORTECH [CDPHE RCRA; 158 m] | AVISTA PHARMA SOLUTIONS INC [CDPHE RCRA; 158 m]</t>
  </si>
  <si>
    <t xml:space="preserve">FAIRFIELD INN AND SUITES BY MARRIOTT LONGMONT [FRS; 5 m]</t>
  </si>
  <si>
    <t xml:space="preserve">SUNDROP FUELS INC</t>
  </si>
  <si>
    <t xml:space="preserve">S06747</t>
  </si>
  <si>
    <t xml:space="preserve">20 BOWEN ST</t>
  </si>
  <si>
    <t xml:space="preserve">METAL TECH INDUSTRIES INC (1990; SIC 3471,3599)</t>
  </si>
  <si>
    <t xml:space="preserve">METAL TECH INDUSTRIES INC (1990) | 'WOODLEYS FINE FURNITURE (1992)</t>
  </si>
  <si>
    <t xml:space="preserve">METALTECH INDUSTRIES, INC. [FRS; name match, 236 m] | PARKER HANNIFIN AIRBORNE AIRCONDITIONING [FRS; 13 m] | METALTECH INDUSTRIES, INC. [FRS] (address match)</t>
  </si>
  <si>
    <t xml:space="preserve">METALTECH INDUSTRIES INC [FRS] (address match)</t>
  </si>
  <si>
    <t xml:space="preserve">PARKER HANNIFIN AIRBORNE AIRCONDITIONING</t>
  </si>
  <si>
    <t xml:space="preserve">S06748</t>
  </si>
  <si>
    <t xml:space="preserve">1830 LEFTHAND CIR</t>
  </si>
  <si>
    <t xml:space="preserve">PRAIRIETEK CORPORATION (1990; SIC 3577) | SYNERGETICS INTERNATIONAL INC (1992; SIC 3499)</t>
  </si>
  <si>
    <t xml:space="preserve">PRAIRIETEK CORPORATION (1990) | SYNERGETICS INTERNATIONAL INC (1992)</t>
  </si>
  <si>
    <t xml:space="preserve">PRAIRIETEK CORPORATION [FRS; name match, 152 m] | PRAIRIETEK CORPORATION [FRS] (address match)</t>
  </si>
  <si>
    <t xml:space="preserve">CONNER PERIPHERALS [FRS] (address match) | HONEYBEE ROBOTICS LLC [FRS] (address match)</t>
  </si>
  <si>
    <t xml:space="preserve">MATHESON TRIGAS LONGMONT CO BRANCH</t>
  </si>
  <si>
    <t xml:space="preserve">S06751</t>
  </si>
  <si>
    <t xml:space="preserve">1351 S SUNSET ST</t>
  </si>
  <si>
    <t xml:space="preserve">STORAGE TECHNOLOGY INC. (1990; SIC 3572)</t>
  </si>
  <si>
    <t xml:space="preserve">STORAGE TECHNOLOGY INC. (1990)</t>
  </si>
  <si>
    <t xml:space="preserve">ADVANCED MICRO DEVICES INC [FRS; 21 m] | ADVANCED MICRO DEVICES INC [FRS] (address match) | ADVANCED MICRO DEVICES INC [CDPHE RCRA] (address match)</t>
  </si>
  <si>
    <t xml:space="preserve">S06752</t>
  </si>
  <si>
    <t xml:space="preserve">9889 N 65TH ST</t>
  </si>
  <si>
    <t xml:space="preserve">WSILTD (1990; SIC 3471,3599)</t>
  </si>
  <si>
    <t xml:space="preserve">WSILTD (1990)</t>
  </si>
  <si>
    <t xml:space="preserve">WSI LIMITED LONGMONT COLO [FRS] (address match)</t>
  </si>
  <si>
    <t xml:space="preserve">WSI LTD [FRS] (address match)</t>
  </si>
  <si>
    <t xml:space="preserve">COLORADO PRECISION PLATING</t>
  </si>
  <si>
    <t xml:space="preserve">WSI LIMITED LONGMONT COLO</t>
  </si>
  <si>
    <t xml:space="preserve">S07098</t>
  </si>
  <si>
    <t xml:space="preserve">300 DIAGONAL HWY</t>
  </si>
  <si>
    <t xml:space="preserve">DREAMWORKS INC (1992; SIC 3952,3545)</t>
  </si>
  <si>
    <t xml:space="preserve">DREAMWORKS INC (1992)</t>
  </si>
  <si>
    <t xml:space="preserve">RAINBOW CYCLE CRAFT [FRS; 178 m]</t>
  </si>
  <si>
    <t xml:space="preserve">RAINBOW CYCLE CRAFT</t>
  </si>
  <si>
    <t xml:space="preserve">S01395</t>
  </si>
  <si>
    <t xml:space="preserve">165 COMMERCE</t>
  </si>
  <si>
    <t xml:space="preserve">Chemicals; Fabricated metals; Industrial machinery; Primary metals; Rubber &amp; plastics</t>
  </si>
  <si>
    <t xml:space="preserve">1967;1968;1970;1973;1980;1983;1988;1990</t>
  </si>
  <si>
    <t xml:space="preserve">COLORACO LEISURE PROCUCTS INC (1967-1970; SIC 3423) | STORM PRODUCTS CO (1967; SIC 3599) | LETTER PERFECT CO (1968; SIC 3079) | ROMAR MFG, INC (1970; SIC 3591) | ADVANCE FOAM PLASTICS INC (1973; SIC 3079,2821) | H + W MACHINE CO INC (1973-1990; SIC 3591,3599) | DALCO FOUNDRY-DIV OF DALCO INDUSTRIES (1980; SIC 3361,3362) | AL = CAST INDUSTRIES (1983; SIC 3361)</t>
  </si>
  <si>
    <t xml:space="preserve">COLORACO LEISURE PROCUCTS INC (1967) | STORM PRODUCTS CO (1967) | LETTER PERFECT CO (1968) | ROMAR MFG, INC (1970) | ADVANCE FOAM PLASTICS INC (1973) | H + W MACHINE CO INC (1973) | ADVANCE FCAM PLASTICS INC C GREEN PRES (1974) | PROGRESSIVE PRODUCTS INC (1977) | B &amp; G RONGO MOTOR CONTROL LTO (1980) | DALCO FOUNDRY-DIV OF DALCO INDUSTRIES (1980) | AL = CAST INDUSTRIES (1983) | ‘ATECH CORPORATION (1983)</t>
  </si>
  <si>
    <t xml:space="preserve">EG&amp;G ROCKY FLATS PU&amp;D WHSE [FRS; 2 m] | INTREX CORPORATION [FRS; 38 m]</t>
  </si>
  <si>
    <t xml:space="preserve">NICKEL ST STORM BORE [FRS; name match, 161 m] | INTERMOUNTAIN COLOR-REPROGRAPHICS [FRS; 2 m] | SIGNATURE OFFSET [FRS; 2 m] | BROOMFIELD AUTO BODY INC [FRS; 8 m] | BROOMFIELD PARKS AND RECREATION [FRS; 49 m] | SUPERVAC MANUF. [FRS; 66 m]</t>
  </si>
  <si>
    <t xml:space="preserve">EG&amp;G ROCKY FLATS PU&amp;D WHSE</t>
  </si>
  <si>
    <t xml:space="preserve">S01687</t>
  </si>
  <si>
    <t xml:space="preserve">2360 INDUSTRIAL LN</t>
  </si>
  <si>
    <t xml:space="preserve">1968;1970;1973;1977;1980;1988</t>
  </si>
  <si>
    <t xml:space="preserve">K - F PRODUCTS, INC (1968; SIC 3591,3541,3542) | IRVIN INDUSTRIES INC, COLORADO DIVISION (1970-1977; SIC 3541,3542,3591) | IRVIN INDUSTRIES INC, COLORADO OLVISION (1980; SIC 3542,3582,3499) | TELEVISION TECHNOLOGY CORP (1988; SIC 3663,3861)</t>
  </si>
  <si>
    <t xml:space="preserve">K - F PRODUCTS, INC (1968) | IRVIN INDUSTRIES INC, COLORADO DIVISION (1970) | IRVIN INDUSTRIES INC, COLORADO OLVISION (1980) | TELEVISION TECHNOLOGY CORP (1988) | TEILHABER MANUFACTURING (1990)</t>
  </si>
  <si>
    <t xml:space="preserve">IRVIN INDUSTRIES INC [FRS; name match, 108 m] | TEILHABER MANUFACTURING CORPORATION [FRS; name match, 108 m] | TEILHABER MANUFACTURING CORPORATION [FRS] (address match) | IRVIN INDUSTRIES INC [FRS] (address match)</t>
  </si>
  <si>
    <t xml:space="preserve">S01994</t>
  </si>
  <si>
    <t xml:space="preserve">3400 INDUSTRIAL LN</t>
  </si>
  <si>
    <t xml:space="preserve">1970;1983;1990</t>
  </si>
  <si>
    <t xml:space="preserve">LANGE CO (1970; SIC 3079,3949) | STORAGE TECHNOL CORP/COMMUNICATIONS CORP (1983; SIC 3679) | BOULDER STEEL INC (1990; SIC 3441,3449,3269)</t>
  </si>
  <si>
    <t xml:space="preserve">LANGE CO (1970) | LANGE CC (1974) | LANGE USA (1977) | STORAGE TECHNOL CORP/COMMUNICATIONS CORP (1983) | LROeSzAM ep cooK (1988) | BOULDER STEEL INC (1990) | LONG STEMMED CHOCOLATE CHIP COOKIE (1990) | RESOURCE SCREEN GRAPHICS INC (1990)</t>
  </si>
  <si>
    <t xml:space="preserve">STORAGE TECHNOLOGY CORPORATION [FRS] (address match)</t>
  </si>
  <si>
    <t xml:space="preserve">BROOMFIELD SIDING PROJECT [FRS; 32 m]</t>
  </si>
  <si>
    <t xml:space="preserve">S02370</t>
  </si>
  <si>
    <t xml:space="preserve">2135 ABBOT AVE</t>
  </si>
  <si>
    <t xml:space="preserve">SUN CHEMICAL CORPORATION (1980; SIC 2893)</t>
  </si>
  <si>
    <t xml:space="preserve">CABINETS INC (1973) | SUN CHEMICAL CORPORATION (1980)</t>
  </si>
  <si>
    <t xml:space="preserve">SUN CHEMICAL CORP - GPI DIVISION [FRS; name match, 55 m]</t>
  </si>
  <si>
    <t xml:space="preserve">S02372</t>
  </si>
  <si>
    <t xml:space="preserve">3050 INDUSTRIAL LN</t>
  </si>
  <si>
    <t xml:space="preserve">HICKS INDUSTRIES INC (1973; SIC 3041,3432,3079)</t>
  </si>
  <si>
    <t xml:space="preserve">HICKS INDUSTRIES INC (1973)</t>
  </si>
  <si>
    <t xml:space="preserve">INTEC [FRS; 21 m] | A AND H BUILDERS, INCORPORATED [FRS] (address match)</t>
  </si>
  <si>
    <t xml:space="preserve">Geneva Pharmaceuticals</t>
  </si>
  <si>
    <t xml:space="preserve">INTEC</t>
  </si>
  <si>
    <t xml:space="preserve">S03241</t>
  </si>
  <si>
    <t xml:space="preserve">11363 DILLON RD</t>
  </si>
  <si>
    <t xml:space="preserve">LOMAX STEEL CO (1977; SIC 3441) | TRENWA (1990; SIC 3444)</t>
  </si>
  <si>
    <t xml:space="preserve">LOMAX STEEL CO (1977) | TRENWA (1990) | REID AND WRIGHT INC. (1992)</t>
  </si>
  <si>
    <t xml:space="preserve">TRENWA INC [FRS; name match, 25 m] | PAK-RAT BATTERIES [FRS; 25 m]</t>
  </si>
  <si>
    <t xml:space="preserve">MOMENTUM RECYCLING [FRS; 32 m]</t>
  </si>
  <si>
    <t xml:space="preserve">PAK-RAT BATTERIES</t>
  </si>
  <si>
    <t xml:space="preserve">S03243</t>
  </si>
  <si>
    <t xml:space="preserve">600 ALTER</t>
  </si>
  <si>
    <t xml:space="preserve">TRICOR CORP (1977; SIC 3599,3565,3361) | C + J PATTERN CO (1977; SIC 3565,3599) | TRECOR PRODUCTS » INC (1980; SIC 3361,3565,3599)</t>
  </si>
  <si>
    <t xml:space="preserve">TRICOR CORP (1977) | C + J PATTERN CO (1977) | TRECOR PRODUCTS » INC (1980) | THERMAL TECH. CORP. OF ASPENsINC. (1983) | HUNTER-DOUGLAS INC (1988)</t>
  </si>
  <si>
    <t xml:space="preserve">HUNTER DOUGLAS WINDOW FASHIONS [FRS; name match, 28 m]</t>
  </si>
  <si>
    <t xml:space="preserve">VELIE CIRCUITS OF COLORADO INCORPORATED</t>
  </si>
  <si>
    <t xml:space="preserve">HUNTER DOUGLAS WINDOW FASHIONS</t>
  </si>
  <si>
    <t xml:space="preserve">S03577</t>
  </si>
  <si>
    <t xml:space="preserve">16250 WASHINGTON ST</t>
  </si>
  <si>
    <t xml:space="preserve">PYRAMID INC (1980-1983; SIC 3569) | MULTIAXIS MILL PYRAMID INC (1988; SIC 3498,3569)</t>
  </si>
  <si>
    <t xml:space="preserve">4 @ F WINDOWS (1980) | PYRAMID INC (1980) | MULTIAXIS MILL PYRAMID INC (1988)</t>
  </si>
  <si>
    <t xml:space="preserve">REMUDA LADDER RACKS [FRS; 235 m]</t>
  </si>
  <si>
    <t xml:space="preserve">COSTCO WHOLESALE - THORNTON [FRS; 7 m] | WASHINGTON STREET WIDENING PROJECT [FRS; 154 m] | LARKRIDGE APARTMENTS [FRS; 229 m]</t>
  </si>
  <si>
    <t xml:space="preserve">REMUDA LADDER RACKS</t>
  </si>
  <si>
    <t xml:space="preserve">S03797</t>
  </si>
  <si>
    <t xml:space="preserve">6901 W 117TH AVE</t>
  </si>
  <si>
    <t xml:space="preserve">FRONT RANGE MACHINING INC (1980; SIC 3499) | R=CO FABRICATIONS INC (1983; SIC 3429,3443) | CONTINENTAL TOOLING Co (1983-1990; SIC 3544) | LITHOGRAPHIC CONTINENTAL TOOLING (1988; SIC 3544) | MOUNTAIN STATES SCREW MACHINE CO (1990; SIC 3451) | TRI CITY TOOL INC (1990-1992; SIC 3599,3499,3559)</t>
  </si>
  <si>
    <t xml:space="preserve">FRONT RANGE MACHINING INC (1980) | R=CO FABRICATIONS INC (1983) | CONTINENTAL TOOLING Co (1983) | WOOLRICH, INC DOWN PRODUCTS DIVISION (1983) | LITHOGRAPHIC CONTINENTAL TOOLING (1988) | MOUNTAIN STATES SCREW MACHINE CO (1990) | TRI CITY TOOL INC (1990)</t>
  </si>
  <si>
    <t xml:space="preserve">MOUNTAIN STATES SCREW [FRS; name match, 61 m]</t>
  </si>
  <si>
    <t xml:space="preserve">CONTINENTAL GRAPHICS [FRS; 39 m]</t>
  </si>
  <si>
    <t xml:space="preserve">S04641</t>
  </si>
  <si>
    <t xml:space="preserve">510 BURBANK</t>
  </si>
  <si>
    <t xml:space="preserve">AMERICAN VARISEAL CORPORATION (1983-1990; SIC 2891)</t>
  </si>
  <si>
    <t xml:space="preserve">AMERICAN VARISEAL CORPORATION (1983)</t>
  </si>
  <si>
    <t xml:space="preserve">AMERICAN VARISEAL CORP [FRS; name match, 171 m] | NORTH AMERICAN TECHNOLOGY EXCHANGE [FRS; 15 m]</t>
  </si>
  <si>
    <t xml:space="preserve">AMERICAN VARISEAL CORP [FRS; name match, 124 m] | CRATERS &amp; FREIGHTERS [FRS; 15 m] | INTELAGARD, INC. [FRS; 28 m]</t>
  </si>
  <si>
    <t xml:space="preserve">NORTH AMERICAN TECHNOLOGY EXCHANGE</t>
  </si>
  <si>
    <t xml:space="preserve">S04642</t>
  </si>
  <si>
    <t xml:space="preserve">2851 INDUSTRIAL LN</t>
  </si>
  <si>
    <t xml:space="preserve">O C I MANUFACTURING (1983; SIC 3586,3443)</t>
  </si>
  <si>
    <t xml:space="preserve">O C I MANUFACTURING (1983)</t>
  </si>
  <si>
    <t xml:space="preserve">JEMCO SEAL CORPORATION [FRS; 3 m] | A &amp; H BUILDERS INC [CDPHE RCRA; 13 m] | STORAGE TECHNOLOGY CORPORATION [CDPHE RCRA; 13 m] | FUSION SPECIALTIES INC [CDPHE RCRA; 13 m]</t>
  </si>
  <si>
    <t xml:space="preserve">STACY MACHINE &amp; TOOLING, INC. [FRS; 16 m] | WV LEGACY SHOP [FRS; 32 m]</t>
  </si>
  <si>
    <t xml:space="preserve">S05392</t>
  </si>
  <si>
    <t xml:space="preserve">2145 W 6TH AVE</t>
  </si>
  <si>
    <t xml:space="preserve">CONSTRUCTION AGGREG CAREFREE OF COLORADO (1988; SIC 2394,3499,3679) | CAREFREE OF COLORADO (1990-1992; SIC 2394,3499,3679)</t>
  </si>
  <si>
    <t xml:space="preserve">CONSTRUCTION AGGREG CAREFREE OF COLORADO (1988) | CAREFREE OF COLORADO (1990)</t>
  </si>
  <si>
    <t xml:space="preserve">VETERINARY SERVICES INC [FRS; 35 m]</t>
  </si>
  <si>
    <t xml:space="preserve">CAREFREE OF COLORADO [FRS; name match, 82 m] | CAREFREE OF COLORADO [FRS] (address match)</t>
  </si>
  <si>
    <t xml:space="preserve">HOLCIM-WCR INC - BROOMFIELD PLANT</t>
  </si>
  <si>
    <t xml:space="preserve">VETERINARY SERVICES INC</t>
  </si>
  <si>
    <t xml:space="preserve">S05395</t>
  </si>
  <si>
    <t xml:space="preserve">11710 TELLER</t>
  </si>
  <si>
    <t xml:space="preserve">DENVER PRECISION PRODUCTS (1988-1990; SIC 3429,3444,3451) | ALPHA MOLD WEST INC (1990; SIC 3543,3544) | FRONT RANGE MACHINING INC (1990; SIC 3499) | J+D MACHINE TECHNOLOGY INC (1990; SIC 3443,3449,3549) | PRECISION INDUSTRIES INC (1990; SIC 3444,3545,3442)</t>
  </si>
  <si>
    <t xml:space="preserve">DENVER PRECISION PRODUCTS (1988) | ALPHA MOLD WEST INC (1990) | FRONT RANGE MACHINING INC (1990) | J+D MACHINE TECHNOLOGY INC (1990) | PRECISION INDUSTRIES INC (1990)</t>
  </si>
  <si>
    <t xml:space="preserve">JB PRECISION COATINGS [FRS; name match, 25 m] | JB PRECISION COATINGS [CDPHE RCRA; name match, 25 m] | DENVER PRECISION PRODUCTS [FRS; name match, 30 m] | JB PRECISION COATINGS [FRS; name match, 186 m] | DENVER PRECISION PRODUCTS [FRS] (address match)</t>
  </si>
  <si>
    <t xml:space="preserve">PRECISION INDUSTRIES INC [FRS; name match, 193 m] | JB PRECISION COATINGS [FRS; name match, 212 m] | GRIGIO GATTO [FRS; 46 m]</t>
  </si>
  <si>
    <t xml:space="preserve">JB PRECISION COATINGS</t>
  </si>
  <si>
    <t xml:space="preserve">S05398</t>
  </si>
  <si>
    <t xml:space="preserve">7070 W 117TH UNIT C</t>
  </si>
  <si>
    <t xml:space="preserve">HICKS USA (1988; SIC 3082,3172) | GARDNER TOOLS CORP (1992; SIC 3451,3842)</t>
  </si>
  <si>
    <t xml:space="preserve">HICKS USA (1988) | GARDNER TOOLS CORP (1992)</t>
  </si>
  <si>
    <t xml:space="preserve">GARDNER TOOLS CORP [FRS; name match, 1 m]</t>
  </si>
  <si>
    <t xml:space="preserve">EXPRESS AUTO BODY [FRS; 12 m]</t>
  </si>
  <si>
    <t xml:space="preserve">GARDNER TOOLS CORP</t>
  </si>
  <si>
    <t xml:space="preserve">S05400</t>
  </si>
  <si>
    <t xml:space="preserve">7120 W 117TH</t>
  </si>
  <si>
    <t xml:space="preserve">ASSEMBLY-ELECTRIC PRODUCTION PRODUCTS (1988; SIC 3548,3859) | MACHINING CORP (1990; SIC 3599) | PRODUCTION PRODUCTS INC (1990; SIC 3559) | BALINT MACHINING CORP (1992; SIC 3599)</t>
  </si>
  <si>
    <t xml:space="preserve">ASSEMBLY-ELECTRIC PRODUCTION PRODUCTS (1988) | MACHINING CORP (1990) | PRODUCTION PRODUCTS INC (1990) | BALINT MACHINING CORP (1992)</t>
  </si>
  <si>
    <t xml:space="preserve">SAM SARGENT &amp; CO [FRS; 37 m]</t>
  </si>
  <si>
    <t xml:space="preserve">SAM SARGENT &amp; CO</t>
  </si>
  <si>
    <t xml:space="preserve">S06226</t>
  </si>
  <si>
    <t xml:space="preserve">350 INTERLOCKEN PKWY</t>
  </si>
  <si>
    <t xml:space="preserve">SOMATOGENETICS INTERNATIONAL (1990; SIC 2836)</t>
  </si>
  <si>
    <t xml:space="preserve">JONAS + ERICKSON SOFTWARE (1990) | SOMATOGENETICS INTERNATIONAL (1990)</t>
  </si>
  <si>
    <t xml:space="preserve">MCKESSON HEALTH SOLUTIONS [FRS; 31 m]</t>
  </si>
  <si>
    <t xml:space="preserve">MCKESSON HEALTH SOLUTIONS</t>
  </si>
  <si>
    <t xml:space="preserve">S06227</t>
  </si>
  <si>
    <t xml:space="preserve">7180 W 117TH AVE NO F 1</t>
  </si>
  <si>
    <t xml:space="preserve">K D ENTERPRISES INC (1990; SIC 3599)</t>
  </si>
  <si>
    <t xml:space="preserve">K D ENTERPRISES INC (1990)</t>
  </si>
  <si>
    <t xml:space="preserve">TIMKEN MOTOR &amp; CRANE SERVICES LLC (WAZEE) [CDPHE RCRA; 22 m] | SAM SARGENT &amp; CO [FRS; 29 m]</t>
  </si>
  <si>
    <t xml:space="preserve">S06917</t>
  </si>
  <si>
    <t xml:space="preserve">585 BURBANK ST D</t>
  </si>
  <si>
    <t xml:space="preserve">STEEN MACHINING (1992; SIC 3599)</t>
  </si>
  <si>
    <t xml:space="preserve">STEEN MACHINING (1992)</t>
  </si>
  <si>
    <t xml:space="preserve">SYNTHIO CHEMICALS [FRS; 127 m] | AMERICAN TELEPHONE &amp; TELEGRAPH CO [CDPHE RCRA; 140 m] | VETERINARY SERVICES INC [FRS; 142 m] | NORTH AMERICAN TECHNOLOGY EXCHANGE [FRS; 246 m]</t>
  </si>
  <si>
    <t xml:space="preserve">COLORADO LITHO INC [FRS; 9 m] | EFT HOLDINGS, INC. [FRS; 42 m] | BLUE SKY REMODELING, INC [FRS; 130 m] | CAREFREE OF COLORADO [FRS; 166 m] | INTELAGARD, INC. [FRS; 233 m] | CRATERS &amp; FREIGHTERS [FRS; 246 m]</t>
  </si>
  <si>
    <t xml:space="preserve">SYNTHIO CHEMICALS</t>
  </si>
  <si>
    <t xml:space="preserve">S07137</t>
  </si>
  <si>
    <t xml:space="preserve">111 N E</t>
  </si>
  <si>
    <t xml:space="preserve">COLORADO CYCLERY (1992; SIC 3751)</t>
  </si>
  <si>
    <t xml:space="preserve">COLORADO CYCLERY (1992)</t>
  </si>
  <si>
    <t xml:space="preserve">SALIDA DIESEL CUSTOMS [FRS; 14 m]</t>
  </si>
  <si>
    <t xml:space="preserve">SALIDA CITY OF [FRS; 33 m]</t>
  </si>
  <si>
    <t xml:space="preserve">SALIDA DIESEL CUSTOMS</t>
  </si>
  <si>
    <t xml:space="preserve">S02389</t>
  </si>
  <si>
    <t xml:space="preserve">101 MEEKER</t>
  </si>
  <si>
    <t xml:space="preserve">BRAMCO MANUFACTURING CC (1973; SIC 3714,2421)</t>
  </si>
  <si>
    <t xml:space="preserve">BRAMCO MANUFACTURING CC (1973) | BRAMCO MANUFACTURING CO 2752 COMMERCIAL PRINTINGs LITHOGRAPHIC (1977)</t>
  </si>
  <si>
    <t xml:space="preserve">O'REILLY AUTO PARTS [FRS; 15 m]</t>
  </si>
  <si>
    <t xml:space="preserve">S03837</t>
  </si>
  <si>
    <t xml:space="preserve">1212 S MAIN ST</t>
  </si>
  <si>
    <t xml:space="preserve">COURTER MANUFACTURING (1980; SIC 3799)</t>
  </si>
  <si>
    <t xml:space="preserve">COURTER MANUFACTURING (1980)</t>
  </si>
  <si>
    <t xml:space="preserve">HOWARD'S SINCLAIR [FRS; 192 m]</t>
  </si>
  <si>
    <t xml:space="preserve">HOWARD'S SINCLAIR</t>
  </si>
  <si>
    <t xml:space="preserve">S04693</t>
  </si>
  <si>
    <t xml:space="preserve">686 INDUSTRIAL BLVD</t>
  </si>
  <si>
    <t xml:space="preserve">H ¢ H BOLT # SUPPLY INC. (1983-1990; SIC 3449)</t>
  </si>
  <si>
    <t xml:space="preserve">H ¢ H BOLT # SUPPLY INC. (1983) | MOUNT SOPRIS INSTRUMENT CO (1983) | HIGH COUNTRY CONTACTS INC (1988)</t>
  </si>
  <si>
    <t xml:space="preserve">HIGH COUNTRY CONTACTS [FRS; name match, 29 m]</t>
  </si>
  <si>
    <t xml:space="preserve">ROCKY MOUNTAIN REBAR [FRS; 40 m] | ROCKY MOUNTAIN REBAR [FRS] (address match)</t>
  </si>
  <si>
    <t xml:space="preserve">S00013</t>
  </si>
  <si>
    <t xml:space="preserve">2823 S BROADWAY</t>
  </si>
  <si>
    <t xml:space="preserve">FREEMAN SIGNS : (1965; SIC 3553)</t>
  </si>
  <si>
    <t xml:space="preserve">FREEMAN SIGNS : (1965) | KITCHEN KORNER (1967)</t>
  </si>
  <si>
    <t xml:space="preserve">JAKES RADIATOR [FRS; 22 m] | JSK FRAME SPECIALISTS INC. [FRS; 54 m] | AUTO BAKE CO [FRS; 133 m]</t>
  </si>
  <si>
    <t xml:space="preserve">SOUTHLAND 7 11 NO 13211 [FRS; 9 m] | MAI AUTO BODY [FRS; 22 m] | M.J.P. FRAME SPECIALISTS INC [FRS; 55 m] | EARL SCHEIB AUTO BODY NO 216 [FRS; 192 m] | METRO SCREENWORKS, INC. [FRS; 192 m]</t>
  </si>
  <si>
    <t xml:space="preserve">JAKES RADIATOR</t>
  </si>
  <si>
    <t xml:space="preserve">S00017</t>
  </si>
  <si>
    <t xml:space="preserve">2800 S FEDERAL BLVD</t>
  </si>
  <si>
    <t xml:space="preserve">MEEHLEIS STEEL CO. (1965; SIC 3441)</t>
  </si>
  <si>
    <t xml:space="preserve">MEEHLEIS STEEL CO. (1965)</t>
  </si>
  <si>
    <t xml:space="preserve">FAMILY DOLLAR #3112 [FRS; 8 m]</t>
  </si>
  <si>
    <t xml:space="preserve">LORETTO MANOR APARTMENTS [FRS; 30 m]</t>
  </si>
  <si>
    <t xml:space="preserve">FAMILY DOLLAR #3112</t>
  </si>
  <si>
    <t xml:space="preserve">S00030</t>
  </si>
  <si>
    <t xml:space="preserve">5801 S NEVADA ST</t>
  </si>
  <si>
    <t xml:space="preserve">1965;1966;1967;1968;1970;1973;1980;1983</t>
  </si>
  <si>
    <t xml:space="preserve">AMERICAN COLEMAN CC.y THE (1965-1970; SIC 3711) | AMERICAN COLEMAN CO (1973; SIC 3714,3537,3711) | AMERICAN COLEMAN CO (1980-1983; SIC 3714,3537)</t>
  </si>
  <si>
    <t xml:space="preserve">AMERICAN COLEMAN CC.y THE (1965) | AMERICAN COLEMAN CO (1973) |  (1977) | AMERICAN COLEMAN CO (1980)</t>
  </si>
  <si>
    <t xml:space="preserve">AMERICAN COLEMAN CO [FRS; name match, 102 m]</t>
  </si>
  <si>
    <t xml:space="preserve">Littleton Schools I</t>
  </si>
  <si>
    <t xml:space="preserve">S00036</t>
  </si>
  <si>
    <t xml:space="preserve">2570 W MAIN</t>
  </si>
  <si>
    <t xml:space="preserve">ARAPAHOE HERALD (1966; SIC 3441)</t>
  </si>
  <si>
    <t xml:space="preserve">COLORPRESS CO. (1965) | LITTLETON ARAPAHOE HERALD + INDEPEND (1965) | ARAPAHOE HERALD (1966) | DTR SOUND CORPORATION (1974) | LITTLETON INDEPENDANT PRINTING CC (1974) | INBEPENDENT NEB OFFSET INC (1980) | INTERMOUNTAIN COUGR ENC (1980) | REINFORCING STEEL CNMI PRINTING INC (1988)</t>
  </si>
  <si>
    <t xml:space="preserve">BRADFORD AUTO BODY INC [CDPHE RCRA; 61 m]</t>
  </si>
  <si>
    <t xml:space="preserve">ROOFTOP GARDENS [FRS; 53 m] | PT 20136 - LITTLETON MAIN ST PROJECT [FRS; 53 m] | ACUMEN CONTRACTING GROUP [FRS; 67 m] | BRISTLECONE RESIDENTIAL LLC [FRS; 67 m]</t>
  </si>
  <si>
    <t xml:space="preserve">S00065</t>
  </si>
  <si>
    <t xml:space="preserve">424 LIPAN</t>
  </si>
  <si>
    <t xml:space="preserve">A F CC. STEEL4IRON FABRICATORS (1965; SIC 3441) | FRIEDRICHS, ALGUST, CC. (1965; SIC 3441)</t>
  </si>
  <si>
    <t xml:space="preserve">A F CC. STEEL4IRON FABRICATORS (1965) | FRIEDRICHS, ALGUST, CC. (1965) | VARDCN» INC JT WEISZ PRES (1968)</t>
  </si>
  <si>
    <t xml:space="preserve">PSCO  -  LIPAN GARAGE [CDPHE RCRA; 41 m]</t>
  </si>
  <si>
    <t xml:space="preserve">Trinsic Acquisition Company, LLC</t>
  </si>
  <si>
    <t xml:space="preserve">PSCO  -  LIPAN GARAGE</t>
  </si>
  <si>
    <t xml:space="preserve">S00073</t>
  </si>
  <si>
    <t xml:space="preserve">1105 ZUNI</t>
  </si>
  <si>
    <t xml:space="preserve">1965;1992</t>
  </si>
  <si>
    <t xml:space="preserve">ACETYLENE SERVICE CQ. (1965; SIC 2813) | (GENERAL AIR SERVICE &amp; SUPPLY INC (1992; SIC 2911)</t>
  </si>
  <si>
    <t xml:space="preserve">ACETYLENE SERVICE CQ. (1965) | (GENERAL AIR SERVICE &amp; SUPPLY INC (1992)</t>
  </si>
  <si>
    <t xml:space="preserve">GENERAL AIR [FRS; name match, 7 m]</t>
  </si>
  <si>
    <t xml:space="preserve">SUN VALLEY TBA</t>
  </si>
  <si>
    <t xml:space="preserve">GENERAL AIR</t>
  </si>
  <si>
    <t xml:space="preserve">S00080</t>
  </si>
  <si>
    <t xml:space="preserve">451 BROADWAY</t>
  </si>
  <si>
    <t xml:space="preserve">APEX NEON + SIGN CC. (1965; SIC 3593)</t>
  </si>
  <si>
    <t xml:space="preserve">ACVANCE NECN SIGN CO. (1965) | APEX NEON + SIGN CC. (1965) | NEON SISN CO (1967) | ADVANCE NEON SIGN CO (1968) | IMPERIAL CAPS, INC. (1974) | R ESIDENTIAL DRAPES IMPERIAL HEADWEAR (1988)</t>
  </si>
  <si>
    <t xml:space="preserve">BROADWAY 460 LLC (VACANT PROPERTY) [FRS; 46 m]</t>
  </si>
  <si>
    <t xml:space="preserve">CW FENTRESS J H BRADBURN &amp; ASSOC [FRS; 44 m]</t>
  </si>
  <si>
    <t xml:space="preserve">SLH Real Estates, LLC</t>
  </si>
  <si>
    <t xml:space="preserve">S00084</t>
  </si>
  <si>
    <t xml:space="preserve">1385 INCA</t>
  </si>
  <si>
    <t xml:space="preserve">AIR SYSTEMS, INC. (1965; SIC 3444) | WIRE + METAL PRODUCTS CO INC (1970; SIC 3481,3461)</t>
  </si>
  <si>
    <t xml:space="preserve">AIR SYSTEMS, INC. (1965) | WEAVER PRINTING CO (1967) | WIRE + METAL PRODUCTS CO INC (1970) | SCOTT PRINTING CO LID (1992)</t>
  </si>
  <si>
    <t xml:space="preserve">SNYDER AUTOWORKS INC [FRS; 110 m] | CLES SEXTON/PHOTOBITION [FRS; 133 m] | SPEEDCRAFT PRINTING COMPA [FRS; 215 m] | HALLIBURTON GEOPHYSICAL [FRS; 224 m]</t>
  </si>
  <si>
    <t xml:space="preserve">AUTO WORKS [FRS; 110 m] | TATTERDEMALION INC [FRS; 115 m] | ABOUT SAVING HEAT [FRS; 131 m] | ALVARADO CONSTRUCTION INC [FRS; 166 m] | 7-ELEVEN, INC. - NO 13194 [FRS; 171 m] | PENGUIN STUDIO PRESS INC [FRS; 181 m] | 7-ELEVEN, INC. - NO 13194 [FRS; 194 m] | TRIVISTA ON SPEER [FRS; 242 m] | FRANCIS LACE CURTAIN CLEANERS [FRS; 244 m]</t>
  </si>
  <si>
    <t xml:space="preserve">S00095</t>
  </si>
  <si>
    <t xml:space="preserve">857 BRYANT ST</t>
  </si>
  <si>
    <t xml:space="preserve">PALNT-LACQUER CO (1967; SIC 2851,2841) | AMERICAN CLAY WORKS + SUPPLY CO (1974; SIC 3269,2389,2844) | LAKEWOOD MACHINE CO (1974; SIC 3591,3599)</t>
  </si>
  <si>
    <t xml:space="preserve">AMERICAN CLAY WORKS+SLPPLY CC. (1965) | AMERICAN CLAY WORKS + SUPPLY CO (1966) | PALNT-LACQUER CO (1967) | AMERICAN CLAY WORKS + SUPPLY CO JOE ANDERSON OWNER TOM HILB (1973) | LAKEWOOD MACHINE CO (1974) | ges Wuvakoe auBENDS co (1977) | @MERICAN CLAY WORKS « SUPPLY CO (1980) | HAWLEY BOOKBINDING CO (1980) | CLOVERLEAF MANUFACTURING INC (1983)</t>
  </si>
  <si>
    <t xml:space="preserve">MILE HIGH ENGINEERING SUPPLY CO INC [FRS; 29 m]</t>
  </si>
  <si>
    <t xml:space="preserve">AMERICAN CLAY WORKS AND SUPPLY COMPANY [FRS; name match, 3 m] | REFRIGERANTS INC [FRS; 43 m] | DENVER REFRIGERANTS INC. DBA REFRIGERANTS INC. [FRS; 43 m] | AMERICAN CLAY WORKS AND SUPPLY COMPANY [FRS] (address match)</t>
  </si>
  <si>
    <t xml:space="preserve">S00097</t>
  </si>
  <si>
    <t xml:space="preserve">2657 WH 3RD AVE</t>
  </si>
  <si>
    <t xml:space="preserve">AMERICAN ENGRAVING (1966; SIC 3489)</t>
  </si>
  <si>
    <t xml:space="preserve">AMERICAN ENGRAVING (1965)</t>
  </si>
  <si>
    <t xml:space="preserve">NATIONAL OAK DISTRIBUTORS INC [FRS; 15 m] | PPG INDUSTRIES INC [FRS; 15 m]</t>
  </si>
  <si>
    <t xml:space="preserve">450 Bryant</t>
  </si>
  <si>
    <t xml:space="preserve">NATIONAL OAK DISTRIBUTORS INC</t>
  </si>
  <si>
    <t xml:space="preserve">S00111</t>
  </si>
  <si>
    <t xml:space="preserve">2565 CURTIS</t>
  </si>
  <si>
    <t xml:space="preserve">1965;1966;1967;1974</t>
  </si>
  <si>
    <t xml:space="preserve">ART NEON CO. (1965-1966; SIC 3553) | ote (1967; SIC 2842,3993) | GALAXY PLASTIC INDUSTRIES INC (1974; SIC 3079)</t>
  </si>
  <si>
    <t xml:space="preserve">ART NEON CO. (1965) | ote (1967) | GALAXY PLASTIC INDUSTRIES INC (1974) | SIGN ASSOCIATES INC (1977)</t>
  </si>
  <si>
    <t xml:space="preserve">MONTESSORI ACADEMY, THE [FRS; 21 m]</t>
  </si>
  <si>
    <t xml:space="preserve">MONTESSORI ACADEMY, THE</t>
  </si>
  <si>
    <t xml:space="preserve">S00123</t>
  </si>
  <si>
    <t xml:space="preserve">1346 W CEDAR</t>
  </si>
  <si>
    <t xml:space="preserve">1973;1974;1980;1983;1990;1992</t>
  </si>
  <si>
    <t xml:space="preserve">A-Z FOUNDRY INC (1973; SIC 3499,3523) | LEXTEL INDUSTRIES (1974; SIC 3079) | SPECTRON INSTRUMENT CORP (1980-1990; SIC 3861,3829,3573) | HADCO@DENVER CHEMICALS CORP (1983-1992; SIC 2842)</t>
  </si>
  <si>
    <t xml:space="preserve">BCNN-A-WOCD CORP. (1965) | A-Z FOUNDRY INC (1973) | LEXTEL INDUSTRIES (1974) | VALENTINE NON-METALLICS CC (1974) | SPECTRON INSTRUMENT CORP (1980) | HADCO@DENVER CHEMICALS CORP (1983) | CHEERLEADER UNIFORM MERE MAGIC INC (1988) | MERE MAGIC INC (1990)</t>
  </si>
  <si>
    <t xml:space="preserve">DUPREE  I  INC [FRS; 11 m] | 1342 WEST CEDAR [FRS; 35 m]</t>
  </si>
  <si>
    <t xml:space="preserve">HADCO-DENVER CHEMICAL CORPORATION [FRS; name match, 11 m] | CRYSTAL PACKAGING [FRS; 11 m] | PERFORMANCE AIR COOLING, INC [FRS; 17 m] | CEDAR AUTO RECYCLING [FRS; 35 m]</t>
  </si>
  <si>
    <t xml:space="preserve">S00137</t>
  </si>
  <si>
    <t xml:space="preserve">1986 S CHEROKEE</t>
  </si>
  <si>
    <t xml:space="preserve">1965;1966;1973;1974;1977;1980;1983;1988;1990</t>
  </si>
  <si>
    <t xml:space="preserve">CARLSCN MFG. INC. (1965; SIC 3714) | CARLSON, DIVISION, MC CORD CORP (1966; SIC 3714) | MACHINERY DEVELOPMENT INC (1966-1980; SIC 3532) | CARLSON MANUFACTURING COs, INC. (1973; SIC 3714) | WK A INCORPORATEC (1974; SIC 3589,3321,3829) | TOPPER MFG INC (1977-1988; SIC 3792,3714) | MULTILIFTs INC. (1983-1990; SIC 3535)</t>
  </si>
  <si>
    <t xml:space="preserve">CARLSCN MFG. INC. (1965) | CARLSON, DIVISION, MC CORD CORP (1966) | MACHINERY DEVELOPMENT INC (1966) | CARLSON MANUFACTURING COs, INC. (1973) | WK A INCORPORATEC (1974) | TOPPER MFG INC (1977) | BEACGN REPRODUCTION ENC (1980) | MULTILIFTs INC. (1983) | BEACON PRINTING INC (1988)</t>
  </si>
  <si>
    <t xml:space="preserve">MULTILIFT INC [FRS; name match, 38 m]</t>
  </si>
  <si>
    <t xml:space="preserve">S00141</t>
  </si>
  <si>
    <t xml:space="preserve">1245 S INCA</t>
  </si>
  <si>
    <t xml:space="preserve">A-ALL COLOR PATIO CO (1973; SIC 3446,3442) | COLORACO PLASTICS CORP (1974; SIC 3079) | METROPOLITAN INDUSTRIES INC (1974-1983; SIC 3442,3446,3792)</t>
  </si>
  <si>
    <t xml:space="preserve">CINDERELLA ROOFING TILE (1965) | RKEA LITHOGRAPHING + ENVELOPE CC (1968) | MOUNTAIN STONE CO (1970) | A-ALL COLOR PATIO CO (1973) | CENTURY 21 PRINTING ¢ ENVELOPE CO (1973) | METROPOLITAN INDUSTRIES INC C J DONNELLY PRES 2751 COMMERCIAL (1973) | COLORACO PLASTICS CORP (1974) | METROPOLITAN INDUSTRIES INC (1974) | £¥BTt PRINTING CO (1988)</t>
  </si>
  <si>
    <t xml:space="preserve">ADAMS MCCLURE - INCA STREET [FRS; 20 m] | VANGO GRAPHICS INC [CDPHE RCRA; 36 m] | ADAMS-MCCLURE INC [CDPHE RCRA; 36 m]</t>
  </si>
  <si>
    <t xml:space="preserve">SCOTT PRINTING CO [FRS; 20 m]</t>
  </si>
  <si>
    <t xml:space="preserve">ADAMS MCCLURE - INCA STREET</t>
  </si>
  <si>
    <t xml:space="preserve">S00146</t>
  </si>
  <si>
    <t xml:space="preserve">960 W 48TH AVE</t>
  </si>
  <si>
    <t xml:space="preserve">1966;1967;1970;1973;1974;1980</t>
  </si>
  <si>
    <t xml:space="preserve">COLORADO PLASTICS coRP (1966-1967; SIC 3079) | GOLDBERG PLASTICS, ENC J D0 GAY PRES (1970; SIC 3079) | GOLDBERG PLASTICS, INC (1973-1974; SIC 3079) | LEONARD MOLD + OLE WORKS (1974-1980; SIC 3544)</t>
  </si>
  <si>
    <t xml:space="preserve">CURVE CARPET + DRAPERY CO. (1965) | COLORADO PLASTICS coRP (1966) | GOLDBERG PLASTICS, ENC J D0 GAY PRES (1970) | GOLDBERG PLASTICS, INC (1973) | LEONARD MOLD + OLE WORKS (1974)</t>
  </si>
  <si>
    <t xml:space="preserve">UNION PACIFIC RAILROAD - NORTH YARD [FRS; 28 m] | AIM LEASING CO DBA AIM NATIONAL LEASE [FRS] (address match) | AIM LEASING CO DBA AIM NATIONAL LEASE [CDPHE RCRA] (address match)</t>
  </si>
  <si>
    <t xml:space="preserve">AIM NATIONALEASE DENVER [FRS; 21 m] | UNION PACIFIC - NORTH YARD [FRS; 28 m]</t>
  </si>
  <si>
    <t xml:space="preserve">S00148</t>
  </si>
  <si>
    <t xml:space="preserve">4950 YORK</t>
  </si>
  <si>
    <t xml:space="preserve">1968;1970;1974;1977;1980;1988;1990;1992</t>
  </si>
  <si>
    <t xml:space="preserve">CCLORADG SERUM CO (1968-1980; SIC 2831) | APPARATUS COLORADO SERUM CO (1988; SIC 2834,2869) | PUMPS WESTERN INSTRUMENT (1988-1992; SIC 2835,3841)</t>
  </si>
  <si>
    <t xml:space="preserve">CUTHBERTSON TYPE SETTING CO. ee (1965) | COLORADO SERUM Co (1966) | APPARATUS COLORADO SERUM CO (1988) | PUMPS WESTERN INSTRUMENT (1988)</t>
  </si>
  <si>
    <t xml:space="preserve">COLORADO SERUM CO [FRS; name match, 30 m] | COLORADO KENWORTH INC [FRS; 35 m]</t>
  </si>
  <si>
    <t xml:space="preserve">SPAY FIRST! [FRS; 30 m]</t>
  </si>
  <si>
    <t xml:space="preserve">EATON METAL PRODUCTS CO</t>
  </si>
  <si>
    <t xml:space="preserve">COLORADO SERUM CO</t>
  </si>
  <si>
    <t xml:space="preserve">S00159</t>
  </si>
  <si>
    <t xml:space="preserve">1441 7TH</t>
  </si>
  <si>
    <t xml:space="preserve">COLORACO STEEL INCORPCRATED (1974; SIC 3441,3446)</t>
  </si>
  <si>
    <t xml:space="preserve">CENVER FLOUR MILLS (1965) | OENVER FLOUR MILLS (1968) | COLORACO STEEL INCORPCRATED (1974)</t>
  </si>
  <si>
    <t xml:space="preserve">YORK SPACE SYSTEMS - WAZEE [FRS; 24 m] | YORK SPACE SYSTEMS - WAZEE [CDPHE RCRA; 24 m]</t>
  </si>
  <si>
    <t xml:space="preserve">METRO STATE UNIVIERSITY ENGINEERING BLDG [FRS; 16 m]</t>
  </si>
  <si>
    <t xml:space="preserve">YORK SPACE SYSTEMS - WAZEE</t>
  </si>
  <si>
    <t xml:space="preserve">S00160</t>
  </si>
  <si>
    <t xml:space="preserve">850 S LIPAN</t>
  </si>
  <si>
    <t xml:space="preserve">Chemicals; Petroleum refining; Rubber &amp; plastics</t>
  </si>
  <si>
    <t xml:space="preserve">1968;1974;1977;1980;1983;1990</t>
  </si>
  <si>
    <t xml:space="preserve">CENVER INDUSTRIAL SALES + SERVICE (1968-1990; SIC 2899)</t>
  </si>
  <si>
    <t xml:space="preserve">CENVER INDUSTRIAL SALES + SERVICE (1965)</t>
  </si>
  <si>
    <t xml:space="preserve">DENVER INDUSTRIAL SALES &amp; SERVICE CO [CDPHE RCRA; name match, 10 m] | DENVER INDUSTRIAL SALES &amp; SERVICES CO [FRS; name match, 45 m] | VISIONPRINT LIMITED [CDPHE RCRA; 10 m] | THE KROGER COMPANY  KS #113 [CDPHE RCRA; 10 m] | COLORADO BARRICADE [CDPHE RCRA; 10 m] | DUFFY CRANE AND HAULING INC [CDPHE RCRA; 10 m]</t>
  </si>
  <si>
    <t xml:space="preserve">S00182</t>
  </si>
  <si>
    <t xml:space="preserve">2114 CURTIS ST</t>
  </si>
  <si>
    <t xml:space="preserve">1968;1970;1973;1974;1977;1980;1983;1990</t>
  </si>
  <si>
    <t xml:space="preserve">YOUNG ELECTRIC + MFG CO (1968-1990; SIC 3613,3444,3591) | FUELS RESEARCH CORP (1970; SIC 2992)</t>
  </si>
  <si>
    <t xml:space="preserve">EhRET ENGRAVING CO. 3S11 El FIGRELLAS MFG JEWELERS (1965) | FUELS RESEARCH CORP. (1965) | YOUNG ELECTRIC + MFG. CO. (1965) | PEARL-FRIEDLAND CO (1966) | ELECTRIC + MFG CO (1966) | SCOTT PRINTING CO (1970) | MACHINING PEARL-FRIEDLAND CO (1988)</t>
  </si>
  <si>
    <t xml:space="preserve">YOUNG ELECTRIC &amp; MFG CO [FRS; name match, 50 m]</t>
  </si>
  <si>
    <t xml:space="preserve">YOUNG ELECTRIC &amp; MFG CO</t>
  </si>
  <si>
    <t xml:space="preserve">S00185</t>
  </si>
  <si>
    <t xml:space="preserve">285 RIO GRANDE</t>
  </si>
  <si>
    <t xml:space="preserve">1970;1977;1980;1983</t>
  </si>
  <si>
    <t xml:space="preserve">NATLONAL DUPLICATING CO INC 3471 ELECTROPLATING, POLISHING, ETC (1970; SIC 3471) | FRANKEL CARBON + RIBBON MFG CO (1977-1980; SIC 2893) | A ¢ W ENTERPRISES INC (1983; SIC 3079)</t>
  </si>
  <si>
    <t xml:space="preserve">FRANKEL CARGON + RIRBCN MFG. CO. (1965) | STOKES CANNING CO. (1965) | NATIONAL DUPLICATING CO IAC (1967) | CATHY LEE MANUFACTURING CO (1968) | NATIONAL OUPLICATING CC INC 32635 ~PCTTERY PRODLCTS KE C (1968) | NATLONAL DUPLICATING CO INC 3471 ELECTROPLATING, POLISHING, ETC (1970) | NATIONAL DUPLICATING CO INC (1973) |  (1974) | ST@KES CANNING CO (1980) | A ¢ W ENTERPRISES INC (1983)</t>
  </si>
  <si>
    <t xml:space="preserve">FRANKEL MFG CO [FRS; name match, 77 m] | METRON [FRS; 42 m]</t>
  </si>
  <si>
    <t xml:space="preserve">FERRIE FRANZMANN INDUSTRIES, LLC [FRS; 42 m]</t>
  </si>
  <si>
    <t xml:space="preserve">S00195</t>
  </si>
  <si>
    <t xml:space="preserve">249 DELAWARE ST REAR</t>
  </si>
  <si>
    <t xml:space="preserve">GASSER MFG CO. (1965; SIC 3461)</t>
  </si>
  <si>
    <t xml:space="preserve">GASSER MFG CO. (1965)</t>
  </si>
  <si>
    <t xml:space="preserve">BART'S AUTO / CLIFTON COLLISION [FRS; 215 m]</t>
  </si>
  <si>
    <t xml:space="preserve">FAIRMONT K-8 SCHOOL [FRS; 148 m] | ROCKET PRINTING CO [FRS; 157 m]</t>
  </si>
  <si>
    <t xml:space="preserve">BART'S AUTO / CLIFTON COLLISION</t>
  </si>
  <si>
    <t xml:space="preserve">S00199</t>
  </si>
  <si>
    <t xml:space="preserve">1230 7TH ST</t>
  </si>
  <si>
    <t xml:space="preserve">RPM PLASTIC FABRICATORS» INC. (1965; SIC 3079)</t>
  </si>
  <si>
    <t xml:space="preserve">GENERAL GLASS CORP. (1965) | RPM PLASTIC FABRICATORS» INC. (1965) | GENERAL GLASS CORP (1968) | RP M CORP (1968) | GENERAL GLASS CORP GORDON NEON CO (1970) | R PM CORP (1970) | R PM CCRP (1974)</t>
  </si>
  <si>
    <t xml:space="preserve">UNIVERSITY OF COLORADO - DENVER [FRS; 18 m]</t>
  </si>
  <si>
    <t xml:space="preserve">S00201</t>
  </si>
  <si>
    <t xml:space="preserve">1642 ARAPAHOE</t>
  </si>
  <si>
    <t xml:space="preserve">ALLEN MFG (1968; SIC 2311,2327,2899)</t>
  </si>
  <si>
    <t xml:space="preserve">GLENSFORE MFG. CO. ; (1965) | EP-RO MFG CO (1966) | ALLEN MFG (1967) | GLENSHORE MFG CO 3791 TRAILER COACHES + PICKUP CAMPERS (1970)</t>
  </si>
  <si>
    <t xml:space="preserve">CVS PHARMACY #10804 [CDPHE RCRA; 51 m] | FEDERAL RESERVE BANK OF KANSAS CITY - DENVER BRANCH [CDPHE RCRA; 51 m] | FEDERAL RESERVE BANK OF KANSAS CITY - DENVER BRANCH [FRS; 57 m]</t>
  </si>
  <si>
    <t xml:space="preserve">SUREFIRE FIELD WIDE PERMIT [FRS; 18 m]</t>
  </si>
  <si>
    <t xml:space="preserve">CVS PHARMACY #10804</t>
  </si>
  <si>
    <t xml:space="preserve">S00213</t>
  </si>
  <si>
    <t xml:space="preserve">995 FEDERAL BLVD</t>
  </si>
  <si>
    <t xml:space="preserve">FEABLER SHEET METAL SHOP (1965-1970; SIC 3444) | PRES (1967; SIC 3441)</t>
  </si>
  <si>
    <t xml:space="preserve">FEABLER SHEET METAL SHOP (1965) | PRES (1967)</t>
  </si>
  <si>
    <t xml:space="preserve">FAMILY DOLLAR #7658 [FRS; 12 m]</t>
  </si>
  <si>
    <t xml:space="preserve">7-ELEVEN, INC. - NO 29203 [FRS; 36 m]</t>
  </si>
  <si>
    <t xml:space="preserve">FAMILY DOLLAR #7658</t>
  </si>
  <si>
    <t xml:space="preserve">S00216</t>
  </si>
  <si>
    <t xml:space="preserve">425 S PECOS</t>
  </si>
  <si>
    <t xml:space="preserve">FENKEL MACHINE CO. (1965; SIC 3591) | BLACK + WHITE IRON CO (1970-1973; SIC 3446)</t>
  </si>
  <si>
    <t xml:space="preserve">FENKEL MACHINE CO. (1965) | BLACK + WHITE IRON CO (1970)</t>
  </si>
  <si>
    <t xml:space="preserve">ALAMEDA ORNAMENTAL IRON [FRS; 25 m]</t>
  </si>
  <si>
    <t xml:space="preserve">S00230</t>
  </si>
  <si>
    <t xml:space="preserve">2853 WALNUT ST</t>
  </si>
  <si>
    <t xml:space="preserve">1965;1980;1983;1990</t>
  </si>
  <si>
    <t xml:space="preserve">FUBART METAL PRODUCTS CO. (1965; SIC 3691) | ALLYN-HOWARD HFG CO INC (1980-1990; SIC 3537)</t>
  </si>
  <si>
    <t xml:space="preserve">FUBART METAL PRODUCTS CO. (1965) | MUTUAL CONSTRUCTION + MFG. CO. (1965) | ALLYN-HOWARD HFG CO INC (1980)</t>
  </si>
  <si>
    <t xml:space="preserve">GOLD STAR SAUSAGE CO [FRS; 24 m]</t>
  </si>
  <si>
    <t xml:space="preserve">2840 Blake St. II</t>
  </si>
  <si>
    <t xml:space="preserve">GOLD STAR SAUSAGE CO</t>
  </si>
  <si>
    <t xml:space="preserve">S00237</t>
  </si>
  <si>
    <t xml:space="preserve">2017 WELTON</t>
  </si>
  <si>
    <t xml:space="preserve">ACE-KAUFFMAN RUBBER STAMP ¢# SEAL CO (1974-1990; SIC 3953,3079,3399)</t>
  </si>
  <si>
    <t xml:space="preserve">KEHL, DALE Wey PRINTER (1965) | RCBINSCN PRESS PRINTERS»: THE (1965) | MILLER PRESS INC (1967) | ACE-KAUFFMAN RUBBER STAMP ¢# SEAL CO (1974) | KEHL-MANDERY GRAPHICS INC (1974) | KENS REPRODUCTIONS INC (1974) | SPEEDY COPY SERVICE INC (1974) | RICH*S TYPESETTING (1977) | KENS REPRODUCTIONS INC (1980)</t>
  </si>
  <si>
    <t xml:space="preserve">SECURITY LINK FROM AMERITECH [FRS; 39 m]</t>
  </si>
  <si>
    <t xml:space="preserve">SPEEDY COPY SERVICE INC [FRS; name match, 7 m] | ACE KAUFMAN RUBBER STAMP &amp; SEAL CO [FRS; name match, 67 m] | ACE KAUFMAN RUBBER STAMP &amp; SEAL CO [FRS; name match, 74 m]</t>
  </si>
  <si>
    <t xml:space="preserve">SECURITY LINK FROM AMERITECH</t>
  </si>
  <si>
    <t xml:space="preserve">S00238</t>
  </si>
  <si>
    <t xml:space="preserve">1353 SANTA FE DR</t>
  </si>
  <si>
    <t xml:space="preserve"> (1967; SIC 3444)</t>
  </si>
  <si>
    <t xml:space="preserve">KEN TICKET CO. (1965) |  (1967) | KEN TICKET CC PART REG 1s (1968)</t>
  </si>
  <si>
    <t xml:space="preserve">JH BROTHER DBA PLAZA CLEANERS [FRS; 3 m]</t>
  </si>
  <si>
    <t xml:space="preserve">JH BROTHER DBA PLAZA CLEANERS</t>
  </si>
  <si>
    <t xml:space="preserve">S00248</t>
  </si>
  <si>
    <t xml:space="preserve">19 E EXPOSITION</t>
  </si>
  <si>
    <t xml:space="preserve">LINCOLN CREAMERY (1965; SIC 2826) | AA SIGNS INC (1983; SIC 3993,3479,2751)</t>
  </si>
  <si>
    <t xml:space="preserve">LINCOLN CREAMERY (1965) | ince CREAPERY INC (1968) | ® A SIGNS INC (1980) | AA SIGNS INC (1983) | MARKWOOD COMPANYs INC. (1983)</t>
  </si>
  <si>
    <t xml:space="preserve">GOLDSTAR RADIATOR [FRS; 14 m] | QUEST DIAGNOSTICS [FRS; 17 m] | ECONO LUBE N TUNE #270 [FRS; 36 m]</t>
  </si>
  <si>
    <t xml:space="preserve">I-25 + BROADWAY INTERCHANGE RECONSTRUCTION PHASE 1 [FRS; 10 m] | ABBA BUSINESS &amp; MAIL CTR [FRS; 12 m]</t>
  </si>
  <si>
    <t xml:space="preserve">GOLDSTAR RADIATOR</t>
  </si>
  <si>
    <t xml:space="preserve">S00266</t>
  </si>
  <si>
    <t xml:space="preserve">2440 LARIMER</t>
  </si>
  <si>
    <t xml:space="preserve">MEAD + SLAGEL (1965; SIC 3591)</t>
  </si>
  <si>
    <t xml:space="preserve">MEAD + SLAGEL (1965) | NEW MAN SIGNS + TRUCK LETTERING (1990)</t>
  </si>
  <si>
    <t xml:space="preserve">SILVER STATE LAUNDRY BLDG [FRS; 33 m]</t>
  </si>
  <si>
    <t xml:space="preserve">NEW MAN SIGNS &amp; TRUCK LETTERING [FRS; name match, 9 m]</t>
  </si>
  <si>
    <t xml:space="preserve">Benjamin Moore Paint</t>
  </si>
  <si>
    <t xml:space="preserve">S00267</t>
  </si>
  <si>
    <t xml:space="preserve">2156 ARAPAHOE</t>
  </si>
  <si>
    <t xml:space="preserve">H + H LIGHTING + MFG CC (1968-1973; SIC 3642,3461)</t>
  </si>
  <si>
    <t xml:space="preserve">MEIER + FRANK MERCHANDISE CO. (1965) | H + H LIGHTING + MFG CC (1968)</t>
  </si>
  <si>
    <t xml:space="preserve">SONEFFS MASTER GARAGE [FRS; 5 m]</t>
  </si>
  <si>
    <t xml:space="preserve">R MERRILL INC [FRS; 38 m]</t>
  </si>
  <si>
    <t xml:space="preserve">S00269</t>
  </si>
  <si>
    <t xml:space="preserve">1950 W 14TH</t>
  </si>
  <si>
    <t xml:space="preserve">1965;1966;1973;1974;1977;1980;1983</t>
  </si>
  <si>
    <t xml:space="preserve">WILKIN METAL WORKS (1965; SIC 3444) | MERZ, M Gy ALUMINUM FOUNDRY + MFG CO (1966-1983; SIC 3369) | WILKIN-MICHIE PRODUCTS CO INC (1973-1983; SIC 3441,3444,3564)</t>
  </si>
  <si>
    <t xml:space="preserve">MERZ, M.G. ALUMINUM FOUNOR Y+MFGe cc. (1965) | WILKIN METAL WORKS (1965) | MERZ, M Gy ALUMINUM FOUNDRY + MFG CO (1966) | WILKIN-MICHIE PRODUCTS CO INC (1973)</t>
  </si>
  <si>
    <t xml:space="preserve">THE CLEANING GUYS LLC DBA CG ENVIRONMENTAL [FRS; 22 m]</t>
  </si>
  <si>
    <t xml:space="preserve">THE CLEANING GUYS LLC DBA CG ENVIRONMENTAL</t>
  </si>
  <si>
    <t xml:space="preserve">S00280</t>
  </si>
  <si>
    <t xml:space="preserve">2116 S KALAMATH</t>
  </si>
  <si>
    <t xml:space="preserve">1965;1967;1970;1973;1974;1980;1983;1988;1990</t>
  </si>
  <si>
    <t xml:space="preserve">N + S MACHINE SHOP (1965-1967; SIC 3691) | N # S MACHINE SHOP 2016 BLAKE (1970; SIC 3599) | KELTNER RESEARCH CO (1973; SIC 3622,3662,3679) | AULVANCED MACHINING CO (1974; SIC 3599) | PRODUCTS FOR INDUSTRY (1974-1990; SIC 3591,3679,3451) | + ELECTRIC INSUST RIBS INE (1988; SIC 3451,3599,3679)</t>
  </si>
  <si>
    <t xml:space="preserve">N + S MACHINE SHOP (1965) | ROBINSON MFG COMPANY 3842 ORTHOPEDIC + SURGICAL APPLIANCES S_MANDEL BAUM PRES (1967) | N # S MACHINE SHOP 2016 BLAKE (1970) | KELTNER RESEARCH CO (1973) | MARLRICH INDUSTRIES INC (1973) | AULVANCED MACHINING CO (1974) | PRODUCTS FOR INDUSTRY (1974) |  (1977) | + ELECTRIC INSUST RIBS INE (1988)</t>
  </si>
  <si>
    <t xml:space="preserve">PRODUCTS FOR INDUSTRY [FRS; name match, 8 m] | CHK INDUSTRIES INC [FRS; 39 m] | GLIDDEN COMPANY DBA ICI PAINTS [FRS; 51 m]</t>
  </si>
  <si>
    <t xml:space="preserve">PPG Paints #8028 [CDPHE Solid_Waste_Facilities; 87 m]</t>
  </si>
  <si>
    <t xml:space="preserve">CANADY CONSTRUCTION [FRS; 39 m]</t>
  </si>
  <si>
    <t xml:space="preserve">PRODUCTS FOR INDUSTRY</t>
  </si>
  <si>
    <t xml:space="preserve">S00290</t>
  </si>
  <si>
    <t xml:space="preserve">3001 WALNUT</t>
  </si>
  <si>
    <t xml:space="preserve">1965;1966;1983;1988</t>
  </si>
  <si>
    <t xml:space="preserve">PAGE + PAGE CO. DEN.DIV. (CURA CORP) (1965; SIC 3714) | PAGE + PAGE CO, DIV OF DURA CORP (1966; SIC 3451) | HUCKFELDT TRUCK EQUIPMENT COMPANY (1983; SIC 3711,3662,3533) | HUCKFELDT TRUCK EQUIPMENT CO (1988; SIC 3533,3699,3711)</t>
  </si>
  <si>
    <t xml:space="preserve">PAGE + PAGE CO. DEN.DIV. (CURA CORP) (1965) | PAGE + PAGE CO, DIV OF DURA CORP (1966) | HUCKFELDT TRUCK EQUIPMENT COMPANY (1983) | HUCKFELDT TRUCK EQUIPMENT CO (1988)</t>
  </si>
  <si>
    <t xml:space="preserve">BODYWORKS BY MURRAY MOTOR IMPORTS [FRS; 20 m]</t>
  </si>
  <si>
    <t xml:space="preserve">BODYWORKS BY MURRAY MOTOR IMPORTS</t>
  </si>
  <si>
    <t xml:space="preserve">S00291</t>
  </si>
  <si>
    <t xml:space="preserve">451 S LIPAN</t>
  </si>
  <si>
    <t xml:space="preserve">1965;1966;1967;1968;1974;1980;1983;1988;1990</t>
  </si>
  <si>
    <t xml:space="preserve">PERRY TOOL + CIE CC. (1965-1967; SIC 3591) | CUSTOM MACHINING + FABRICATION (1966-1974; SIC 3599) | PERRY TOOL + OIE CO (1966; SIC 3549) | PERRY TCCL + DIE CC (1968; SIC 3544) | SCHENCKS TOOL AND MAGHING SHOP ENC (1980-1990; SIC 3542,3599)</t>
  </si>
  <si>
    <t xml:space="preserve">PERRY TOOL + CIE CC. (1965) | CUSTOM MACHINING + FABRICATION (1966) | PERRY TOOL + OIE CO (1966) | PERRY TCCL + DIE CC (1968) | SCHENCKS TOOL AND MAGHING SHOP ENC (1980)</t>
  </si>
  <si>
    <t xml:space="preserve">DENVER AUTOMOTIVE &amp; DIESEL COLLEGE [FRS; 3 m]</t>
  </si>
  <si>
    <t xml:space="preserve">S00292</t>
  </si>
  <si>
    <t xml:space="preserve">1024 LIPAN</t>
  </si>
  <si>
    <t xml:space="preserve">PETERSON HEATING AND SHEET METAL (1965; SIC 3444)</t>
  </si>
  <si>
    <t xml:space="preserve">PETERSON HEATING AND SHEET METAL (1965)</t>
  </si>
  <si>
    <t xml:space="preserve">GREENLEE ELEMENTARY SCHOOL [CDPHE RCRA; 34 m]</t>
  </si>
  <si>
    <t xml:space="preserve">SOUTH LINCOLN REDEVELOPMENT</t>
  </si>
  <si>
    <t xml:space="preserve">GREENLEE ELEMENTARY SCHOOL</t>
  </si>
  <si>
    <t xml:space="preserve">S00295</t>
  </si>
  <si>
    <t xml:space="preserve">1146 5TH</t>
  </si>
  <si>
    <t xml:space="preserve">EVERSMAN MFG CO INC (1968-1990; SIC 3522)</t>
  </si>
  <si>
    <t xml:space="preserve">PLASTI-CO., INC. (1965) | EVERSMAN MFG CO INC (1968)</t>
  </si>
  <si>
    <t xml:space="preserve">EVERSMAN MANUFACTURING COMPANY NUMBER [FRS; name match, 82 m]</t>
  </si>
  <si>
    <t xml:space="preserve">S00310</t>
  </si>
  <si>
    <t xml:space="preserve">1936 LAWRENCE</t>
  </si>
  <si>
    <t xml:space="preserve">RAINS FLO MFG CO is (1965; SIC 3458) | 8 + N TRADE BINDERY CO (1966; SIC 3599) | *HARRY'S BEAN SPROUTS (1966; SIC 2491) | HILLIKER HYDRAULICS INC (1968-1970; SIC 3599) | RAINS-FLO MFE CO (1968; SIC 3599)</t>
  </si>
  <si>
    <t xml:space="preserve">ASTLER-METROPCLITAN PRINTING+ENGRAVI (1965) | @ + N TRACE BINDERY CO. (1965) | LANG, We Ace co. (1965) | RAINS FLO MFG CO is (1965) | 8 + N TRADE BINDERY CO (1966) | *HARRY'S BEAN SPROUTS (1966) | LANG, W A, CO (1966) | PROFESSIONAL PRINTERS (1966) | HILLIKER HYDRAULICS INC (1968) | RAINS-FLO MFE CO (1968)</t>
  </si>
  <si>
    <t xml:space="preserve">TRAMMELL CROW [FRS; 64 m]</t>
  </si>
  <si>
    <t xml:space="preserve">1900 LAWRENCE [FRS; 51 m] | BIOPO INTERNATIONAL INC. [FRS; 60 m] | SAKURA SQUARE [FRS; 74 m]</t>
  </si>
  <si>
    <t xml:space="preserve">S00313</t>
  </si>
  <si>
    <t xml:space="preserve">3500 ROCKMONT OR</t>
  </si>
  <si>
    <t xml:space="preserve">ROCKMCNT ENVELOPE CO. (1965-1968; SIC 2849)</t>
  </si>
  <si>
    <t xml:space="preserve">ROCKMCNT ENVELOPE CO. (1965) |  (1973) | ROCKMONT ENVELOPE CO RL OE FLORES PRESIDENT (1977) | MAGNETS. ASSEMBLIES MAIL-WELL ENVELOPE (1988) | MAIL-WELL ENVELOPE (1990)</t>
  </si>
  <si>
    <t xml:space="preserve">MAIL-WELL ENVELOPE (WAS AMERICAN M-W) [FRS; name match, 46 m]</t>
  </si>
  <si>
    <t xml:space="preserve">US BANK CPC</t>
  </si>
  <si>
    <t xml:space="preserve">S00335</t>
  </si>
  <si>
    <t xml:space="preserve">3810 PECOS ST</t>
  </si>
  <si>
    <t xml:space="preserve">GENERATOR EXCHANGE CO INC (1966-1967; SIC 3714)</t>
  </si>
  <si>
    <t xml:space="preserve">SILVER STATE FOODS, INC (1965) | GENERATOR EXCHANGE CO INC (1966) | SILVER STATE FOCCS INC (1968) | GENERATOR EXCHANGE COMPANY INC fags PEARL 80210 777-4313 (1977) | GRAPHIT ARTS COMPANY (1992)</t>
  </si>
  <si>
    <t xml:space="preserve">MB GRAPHICS CO [FRS; 18 m]</t>
  </si>
  <si>
    <t xml:space="preserve">MB GRAPHICS CO</t>
  </si>
  <si>
    <t xml:space="preserve">S00339</t>
  </si>
  <si>
    <t xml:space="preserve">925 FEDERAL</t>
  </si>
  <si>
    <t xml:space="preserve">SMITH-WERNER CO (1968; SIC 3565) | SMLTH-MERNER CO (1970; SIC 3585)</t>
  </si>
  <si>
    <t xml:space="preserve">SMITH-WERNER CO. (1965) |  (1966) | SMLTH-MERNER CO (1970)</t>
  </si>
  <si>
    <t xml:space="preserve">SPITFIRE ENGINE &amp; MACHINE  LLC [FRS; 37 m]</t>
  </si>
  <si>
    <t xml:space="preserve">SPITFIRE ENGINE &amp; MACHINE  LLC</t>
  </si>
  <si>
    <t xml:space="preserve">S00344</t>
  </si>
  <si>
    <t xml:space="preserve">222 SANTA FE</t>
  </si>
  <si>
    <t xml:space="preserve">SCUTHhEST MATTRESS CC. (1965; SIC 2815)</t>
  </si>
  <si>
    <t xml:space="preserve">SCUTHhEST MATTRESS CC. (1965) | SPRING AIR MATTRESS CC CF CCLCR#00 (1968) | WEATHER MASTER COLORADO (1980)</t>
  </si>
  <si>
    <t xml:space="preserve">WAZEE CRANE CO DIV WAZEE ELECT [CDPHE RCRA; 19 m]</t>
  </si>
  <si>
    <t xml:space="preserve">WAZEE CRANE CO DIV WAZEE ELECT</t>
  </si>
  <si>
    <t xml:space="preserve">S00355</t>
  </si>
  <si>
    <t xml:space="preserve">2368 15TH ST</t>
  </si>
  <si>
    <t xml:space="preserve">1965;1968;1973;1974;1980</t>
  </si>
  <si>
    <t xml:space="preserve">SwICKs We Le (1965; SIC 3444) | ShICK, kL (1968; SIC 3444) | CORK SPECIALTY CO (1973-1974; SIC 2499,2844) | MARSHALL MFG CO (1973-1974; SIC 3444,3469,3544) | SWICK SHEET METAL CO (1973-1980; SIC 3444)</t>
  </si>
  <si>
    <t xml:space="preserve">SwICKs We Le (1965) |  (1966) | ShICK, kL (1968) | CORK SPECIALTY CO (1973) | MARSHALL MFG CO (1973) | SWICK SHEET METAL CO (1973)</t>
  </si>
  <si>
    <t xml:space="preserve">IMAGESYSTEMS INC [FRS; 15 m]</t>
  </si>
  <si>
    <t xml:space="preserve">PLATTE 15 [FRS; 15 m] | 15 ST AND PLATTE ST [FRS; 35 m]</t>
  </si>
  <si>
    <t xml:space="preserve">S00362</t>
  </si>
  <si>
    <t xml:space="preserve">1726 CHAMPA</t>
  </si>
  <si>
    <t xml:space="preserve">CUSTOM-AIRE SHEET METAL (1965; SIC 3444)</t>
  </si>
  <si>
    <t xml:space="preserve">CUSTOM-AIRE SHEET METAL (1965) | WAGHALTER MANUFACTLRING CO. (1965) | BRAY AND COMPANY (1966) | WAGHALTER MANUFACTURING CO (1966) | WAGHALTER MANUFACTURING CC (1967) | BRAY AND COMPANY C-D WHEEL CO (1973) | BLECTRONECG SVENCEL SERVICE (1980) | PREMIER PRINTING (1983) | KWIK KOPY PRINTING (1988)</t>
  </si>
  <si>
    <t xml:space="preserve">BURGER BROTHERS [FRS; 29 m]</t>
  </si>
  <si>
    <t xml:space="preserve">BURGER BROTHERS</t>
  </si>
  <si>
    <t xml:space="preserve">S00364</t>
  </si>
  <si>
    <t xml:space="preserve">1243 W ALAMEDA</t>
  </si>
  <si>
    <t xml:space="preserve">WAGNER» CARL» MFC CO INC (1983; SIC 2394,3569,3841)</t>
  </si>
  <si>
    <t xml:space="preserve">WAGNER, CARL, MFG. CO.» INC. (1965)</t>
  </si>
  <si>
    <t xml:space="preserve">CAPITOL COLOR IMAGING INC [CDPHE RCRA; 14 m] | DIESELS ONLY [CDPHE RCRA; 14 m] | CONOCOPHILLIPS # 27490 [CDPHE RCRA; 14 m]</t>
  </si>
  <si>
    <t xml:space="preserve">CAPITOL COLOR IMAGING INC</t>
  </si>
  <si>
    <t xml:space="preserve">S00368</t>
  </si>
  <si>
    <t xml:space="preserve">950 11TH</t>
  </si>
  <si>
    <t xml:space="preserve">1965;1966;1973</t>
  </si>
  <si>
    <t xml:space="preserve">WESTER TOOL + MACHINE CO. (1965-1966; SIC 3591) | SCHERER, FRANK As, + SON IAC (1973; SIC 3444)</t>
  </si>
  <si>
    <t xml:space="preserve">WESTER TOOL + MACHINE CO. (1965) | MODERN CABINET CO (1967) | SCHERER, FRANK As, + SON IAC (1973)</t>
  </si>
  <si>
    <t xml:space="preserve">UNIVERSITY OF COLORADO DENVER [FRS; 83 m] | METROPOLITAN STATE COLLEGE [FRS; 83 m] | CCD-HMS [FRS; 218 m] | DENVER HOUSING AUTHORITY [FRS; 240 m]</t>
  </si>
  <si>
    <t xml:space="preserve">AURARIA HIGHER EDUCATION CENTER [FRS; 74 m] | METROPOLITAN STATE COLLEGE AU [FRS; 83 m] | AURARIA HIGHER EDUCATION CENT [FRS; 83 m] | 10 ST PEDESTRIAN CORRIDOR PH I AND II [FRS; 150 m] | RTD DOWNTOWN RAIL RECONSTRUCTION PROJECT [FRS; 164 m] | MSU DENVER – DAY HEALTH INSTITUTE [FRS; 199 m] | AURARIA LIBRARY RENOVATION [FRS; 202 m] | AURARIA SCIENCE BUILDING [FRS; 208 m] | AURARIA HIGHER EDUCATION C</t>
  </si>
  <si>
    <t xml:space="preserve">S00379</t>
  </si>
  <si>
    <t xml:space="preserve">1950 S BANNOCK</t>
  </si>
  <si>
    <t xml:space="preserve">BISHOP TOOL CO (1970-1974; SIC 3591) | MGUNTAIN STATES AUTOMATION: INC (1980; SIC 3599,3861)</t>
  </si>
  <si>
    <t xml:space="preserve">WHEEL CHECKERS (1965) | BISHOP TOOL CO (1970) | MGUNTAIN STATES AUTOMATION: INC (1980)</t>
  </si>
  <si>
    <t xml:space="preserve">FRED &amp; SIES AUTO BODY [FRS; 8 m]</t>
  </si>
  <si>
    <t xml:space="preserve">#1 IMPORT AUTO RECYCLING &amp; REPAIR [FRS; 11 m] | TAM'S IMPORT AUTO RECYCLER [FRS; 11 m] | TERMINIX INC [FRS; 11 m] | CENTRAL FOREIGN AUTO PARTS, INC. [FRS; 11 m] | GENERAL WELDING AND REPAIR CORP [FRS; 28 m]</t>
  </si>
  <si>
    <t xml:space="preserve">S00381</t>
  </si>
  <si>
    <t xml:space="preserve">2820 N SPEER BLVD</t>
  </si>
  <si>
    <t xml:space="preserve">1965;1966;1973;1974;1980;1983</t>
  </si>
  <si>
    <t xml:space="preserve">WILLIAMS MACHINERY CO. (1965-1983; SIC 3591)</t>
  </si>
  <si>
    <t xml:space="preserve">WILLIAMS MACHINERY CO. (1965)</t>
  </si>
  <si>
    <t xml:space="preserve">DVH COMPANY INC [FRS; 26 m]</t>
  </si>
  <si>
    <t xml:space="preserve">BRUIN HOMES [FRS; 37 m]</t>
  </si>
  <si>
    <t xml:space="preserve">S00385</t>
  </si>
  <si>
    <t xml:space="preserve">4950 JACKSON</t>
  </si>
  <si>
    <t xml:space="preserve">1965;1966;1968;1970;1973;1974;1980;1988;1990</t>
  </si>
  <si>
    <t xml:space="preserve">WOEBER AUTO BONY + MFG. CO. (1965-1970; SIC 3713) | KOIS BROS EQUIPMENT CO INC. (1973-1990; SIC 3469) | BUILDING PANEL THERMALEX CORP (1988; SIC 3201,3089) | THERMALEX CORP (1990; SIC 3089)</t>
  </si>
  <si>
    <t xml:space="preserve">WOEBER AUTO BONY + MFG. CO. (1965) | KOIS BROS EQUIPMENT CO INC. (1973) | COLORACO PAPER PRODUCTS (1974) | BRUBWORS PAPER (1988) | BUILDING PANEL THERMALEX CORP (1988) | THERMALEX CORP (1990)</t>
  </si>
  <si>
    <t xml:space="preserve">KOIS BROTHERS EQUIPMENT CO INC [FRS; name match, 1 m]</t>
  </si>
  <si>
    <t xml:space="preserve">PEST CONTROL SUPPLIES [FRS; 1 m] | NOTEBOOKS INC [FRS; 17 m]</t>
  </si>
  <si>
    <t xml:space="preserve">KOIS BROTHERS EQUIPMENT CO INC</t>
  </si>
  <si>
    <t xml:space="preserve">S00786</t>
  </si>
  <si>
    <t xml:space="preserve">450 KALAMATH</t>
  </si>
  <si>
    <t xml:space="preserve">CRABB, W RAY, INC (1966-1990; SIC 3441) | COLORADO METAL PRODUCTS CORP (1967-1983; SIC 3442) | R C HOLLOW METAL CO (1968-1990; SIC 3442) | COLORADO METAL PRODUCTS CoRP 2394 CANVAS AND RELATED PRODUCTS (1973; SIC 3792) | CRABE Sat INC (1973; SIC 3444,3442) | TRUSCON CO. (1980; SIC 3442) | RAY W CRABB INC D.B.A-HOLLOW METAL CO (1988; SIC 3442) | PERIPRERALS, soprwar (1988; SIC 3577,7372) | R C HOLLOW METAL CO D.B.A-CRABB INC (1988; SIC 3442) | PROGRESSIVE PERIPHERALS + SOFTWARE (1990; SIC 3577)</t>
  </si>
  <si>
    <t xml:space="preserve">CRYOGENIC ENGINEERING CC. (1965) | COLORADO METAL PROOUCTS CORP (1966) | CRABB, W RAY, INC (1966) | R C HOLLOW METAL CO (1968) | COLORADO METAL PRODUCTS CoRP 2394 CANVAS AND RELATED PRODUCTS (1973) | CRABE Sat INC (1973) | TRUSCON CO. (1980) | RAY W CRABB INC D.B.A-HOLLOW METAL CO (1988) | PERIPRERALS, soprwar (1988) | R C HOLLOW METAL CO D.B.A-CRABB INC (1988) | PROGRESSIVE PERIPHERALS + SOFTWARE (1990)</t>
  </si>
  <si>
    <t xml:space="preserve">W RAY CRABB INC [FRS; name match, 11 m] | A1 US AUTO BODY [FRS; 17 m] | RICKENBAUGH CADILLAC VOLVO [FRS; 22 m]</t>
  </si>
  <si>
    <t xml:space="preserve">W RAY CRABB INC [FRS; name match, 12 m]</t>
  </si>
  <si>
    <t xml:space="preserve">S01780</t>
  </si>
  <si>
    <t xml:space="preserve">2168 S KALAMATH</t>
  </si>
  <si>
    <t xml:space="preserve">1968;1973;1980;1983;1988</t>
  </si>
  <si>
    <t xml:space="preserve">PELSUEs T Ay CO (1968; SIC 3799) | ELECTRONICS METAL PRODUCTS (1973; SIC 3469) | OLYMPIC METAL FABRICATION INC. (1980; SIC 3599,3444,3496) | ABLE SIGN CO. INC. (1983-1988; SIC 3079,3993)</t>
  </si>
  <si>
    <t xml:space="preserve">PETERSON, E. Se» CC.» INC. (1965) | FORM-RITE INC (1968) | PELSUEs T Ay CO (1968) | ELECTRONICS METAL PRODUCTS (1973) | ABLE SIGN CO. ING. (1980) | AMERICAN DRAPERY WORKROOM (1980) | OLYMPIC METAL FABRICATION INC. (1980) | BENCHMARK WOODWORKS INC (1983)</t>
  </si>
  <si>
    <t xml:space="preserve">ROCKY MOUNTAIN ELECTRICAL AND AUTOMATION (RMEA) [FRS; 60 m]</t>
  </si>
  <si>
    <t xml:space="preserve">ABLE SIGN CO INC [FRS; name match, 3 m]</t>
  </si>
  <si>
    <t xml:space="preserve">ROCKY MOUNTAIN ELECTRICAL AND AUTOMATION (RMEA)</t>
  </si>
  <si>
    <t xml:space="preserve">S01826</t>
  </si>
  <si>
    <t xml:space="preserve">554 SANTA FE DR</t>
  </si>
  <si>
    <t xml:space="preserve">1965;1966;1968;1970;1973;1974;1977</t>
  </si>
  <si>
    <t xml:space="preserve">ARN-wCOD CO. (1965; SIC 3714) | ARN-WOOD CO (1966-1970; SIC 3714) | MILE HIGH EQUIPMENT CO (1970-1977; SIC 3585) | A-1 SPINNING SHOP (1973; SIC 3469,3591)</t>
  </si>
  <si>
    <t xml:space="preserve">ARN-wCOD CO. (1965) | NELSON PRINTING CO. (1965) | ARN-WOOD CO (1966) | PRINTER INC, THE (1966) | THOMAS PRINTING CO (1968) | MILE HIGH EQUIPMENT CO (1970) | A-1 SPINNING SHOP (1973) |  (1974) |  (1977) | DENVER MARKING PRODUCTS (1980)</t>
  </si>
  <si>
    <t xml:space="preserve">SHERWIN-WILLIAMS #707409 [FRS; 6 m] | CINTAS CORP [FRS; 9 m]</t>
  </si>
  <si>
    <t xml:space="preserve">Sherwin-Williams #7409 [CDPHE Solid_Waste_Facilities; 13 m]</t>
  </si>
  <si>
    <t xml:space="preserve">S01831</t>
  </si>
  <si>
    <t xml:space="preserve">920 W 12TH AVE</t>
  </si>
  <si>
    <t xml:space="preserve">1965;1968;1970;1973;1974</t>
  </si>
  <si>
    <t xml:space="preserve">INTERCHEMICAL CORP. PRINTING INK DIV (1965; SIC 2899) | WESTERN MOTOR REBUILCERS INC (1968; SIC 3714,3591) | ZIMMER AUTOMOTIVE IP (1968; SIC 3591,3714) | ZIMMER AUTOMOTIVE INC (1970-1974; SIC 3591,3714)</t>
  </si>
  <si>
    <t xml:space="preserve">INTERCHEMICAL CORP. PRINTING INK DIV (1965) | MARSHALL NEON CO. (1965) | ZIMMER AUTOMOTIVE INC (1966) | WESTERN MOTOR REBUILCERS INC (1968) | ZIMMER AUTOMOTIVE IP (1968) | WEAVER PRINTING CO (1973) | MELONE MFG CO (1980) | REPRO GRAPHIC PRINTING INC (1988)</t>
  </si>
  <si>
    <t xml:space="preserve">SNYDER AUTOWORKS INC [FRS; 7 m] | CLES SEXTON/PHOTOBITION [FRS; 44 m]</t>
  </si>
  <si>
    <t xml:space="preserve">AUTO WORKS [FRS; 7 m] | ABOUT SAVING HEAT [FRS; 41 m] | TATTERDEMALION INC [FRS; 49 m] | ALVARADO CONSTRUCTION INC [FRS; 87 m]</t>
  </si>
  <si>
    <t xml:space="preserve">S03943</t>
  </si>
  <si>
    <t xml:space="preserve">833 SANTA FE CR</t>
  </si>
  <si>
    <t xml:space="preserve">1965;1967;1970;1973;1974;1977;1980;1983</t>
  </si>
  <si>
    <t xml:space="preserve">CAWSON,W.H.SHEET METAL+BLOW PIPE SHOP (1965; SIC 3444) | A-1 SPINNING SHOP (1967-1970; SIC 3461) | CONTINENTAL SIGNS (1973-1974; SIC 3993,3446) | DREW HEWLINGS + ASSICLATES (1977-1983; SIC 3993,3446)</t>
  </si>
  <si>
    <t xml:space="preserve">CAWSON,W.H.SHEET METAL+BLOW PIPE SHOP (1965) | A-1 SPINNING SHOP (1967) | CONTINENTAL. SIGNS (1967) | SANTA FE PRINT SHOP (1968) | SPARTAN CASE + COVER (1968) | LA TRINIDAD SYSTEMS INC (1974) | DREW HEWLINGS + ASSICLATES (1977) | HESPANO PUBL ECATZONS * GRAPHICS CORP (1980) | OAVIS GRAPHICS (1983) | HISPANO PUBLICATIONS ¢* GRAPHICS Corp (1983) | LA FORETT WOOD DESIGNERS (1983) | bidigheas WOOP (1988) | NELSON THE PRINTER (1988)</t>
  </si>
  <si>
    <t xml:space="preserve">PROPERTY OWNED BY E &amp; H STONER [FRS; 20 m] | DENVER LAUNDRY &amp; DRY CLEANING CO [FRS; 98 m]</t>
  </si>
  <si>
    <t xml:space="preserve">LA FORETT WOOD DESIGNERS [FRS; name match, 32 m] | NEIGHBORHOOD GAS &amp; FOOD [FRS; 98 m] | VANGUARD CONSTRUCTION [FRS; 100 m]</t>
  </si>
  <si>
    <t xml:space="preserve">PROPERTY OWNED BY E &amp; H STONER</t>
  </si>
  <si>
    <t xml:space="preserve">S00569</t>
  </si>
  <si>
    <t xml:space="preserve">2145 BLAKE</t>
  </si>
  <si>
    <t xml:space="preserve">ABRASIVE EQUIPMENT + SUPPLY CO INC (1977; SIC 3531,3569,3442)</t>
  </si>
  <si>
    <t xml:space="preserve"> (1966) | SKYLINE DINETTES (1967) | ABRASIVE EQUIPMENT + SUPPLY CO INC (1977) | CUSTOM ENVELOPE CORP (1983)</t>
  </si>
  <si>
    <t xml:space="preserve">COORS FIELD BASEBALL STADIUM [FRS; 2 m]</t>
  </si>
  <si>
    <t xml:space="preserve">BLAKE STREET APARTMENTS [FRS; 32 m]</t>
  </si>
  <si>
    <t xml:space="preserve">S00697</t>
  </si>
  <si>
    <t xml:space="preserve">2722 W 2ND AVE</t>
  </si>
  <si>
    <t xml:space="preserve">A + A BUILDING PRODUCTS (1966; SIC 3599)</t>
  </si>
  <si>
    <t xml:space="preserve">A + A BUILDING PRODUCTS (1966)</t>
  </si>
  <si>
    <t xml:space="preserve">CONTINENTAL CONVERTERS INC [CDPHE RCRA; 7 m]</t>
  </si>
  <si>
    <t xml:space="preserve">CONTINENTAL CONVERTERS INC</t>
  </si>
  <si>
    <t xml:space="preserve">S00705</t>
  </si>
  <si>
    <t xml:space="preserve">1385 S INCA</t>
  </si>
  <si>
    <t xml:space="preserve">1966;1967;1968;1970;1973;1974</t>
  </si>
  <si>
    <t xml:space="preserve">AIR SYSTEMS INC (1966-1974; SIC 3441)</t>
  </si>
  <si>
    <t xml:space="preserve">AIR SYSTEMS INC (1966) | MULTI-MEDIA PUBLISHING INC (1980)</t>
  </si>
  <si>
    <t xml:space="preserve">VANGO GRAPHICS INC [FRS; 47 m]</t>
  </si>
  <si>
    <t xml:space="preserve">S00710</t>
  </si>
  <si>
    <t xml:space="preserve">3915 TENNYSON</t>
  </si>
  <si>
    <t xml:space="preserve">ALDERSON CANOY CO (1967; SIC 2071,3461)</t>
  </si>
  <si>
    <t xml:space="preserve">ALDERSON CANDY CO (1966) | KEN TICKET CO (1973)</t>
  </si>
  <si>
    <t xml:space="preserve">BRITE SPOT LAUNDRY DRY CLEANERS [FRS; 38 m]</t>
  </si>
  <si>
    <t xml:space="preserve">CIRCLE K STORE NO 3124 [FRS; 44 m]</t>
  </si>
  <si>
    <t xml:space="preserve">BRITE SPOT LAUNDRY DRY CLEANERS</t>
  </si>
  <si>
    <t xml:space="preserve">S00711</t>
  </si>
  <si>
    <t xml:space="preserve">1101 CHAMPA</t>
  </si>
  <si>
    <t xml:space="preserve">ALUMINUM CO OF DENVER (1967-1970; SIC 3361,3362,3565)</t>
  </si>
  <si>
    <t xml:space="preserve">ALUMINUM CO OF DENVER (1966) | MOVERN FIXTURE CO (1966) |  (1973)</t>
  </si>
  <si>
    <t xml:space="preserve">UNIVERSITY OF COLORADO DENVER [FRS; 199 m] | METROPOLITAN STATE COLLEGE [FRS; 199 m]</t>
  </si>
  <si>
    <t xml:space="preserve">CONCEPTS AND COMMUNICATIONS [FRS; 108 m] | RTD DOWNTOWN RAIL RECONSTRUCTION PROJECT [FRS; 163 m] | AURARIA HIGHER EDUCATION CENT [FRS; 199 m] | METROPOLITAN STATE COLLEGE AU [FRS; 199 m] | AURARIA SCIENCE BUILDING [FRS; 217 m] | DENVER PERFORMING ARTS COMPLEX [FRS; 217 m] | AURARIA HIGHER EDUCATION CENTER [FRS; 230 m] | 13 ST IMPROVEMENTS [FRS; 247 m]</t>
  </si>
  <si>
    <t xml:space="preserve">S00713</t>
  </si>
  <si>
    <t xml:space="preserve">2301 BLAKE ST</t>
  </si>
  <si>
    <t xml:space="preserve">AMERICAN SANITARY PRODUCTS CO (1966-1967; SIC 3332)</t>
  </si>
  <si>
    <t xml:space="preserve">AMERICAN SANITARY PRODUCTS CO (1966)</t>
  </si>
  <si>
    <t xml:space="preserve">23RD STREET VIADUCT CONSTRUCTION [FRS; 1 m]</t>
  </si>
  <si>
    <t xml:space="preserve">23RD STREET VIADUCT CONSTRUCTION</t>
  </si>
  <si>
    <t xml:space="preserve">S00714</t>
  </si>
  <si>
    <t xml:space="preserve">1237 SHOSHONE ST</t>
  </si>
  <si>
    <t xml:space="preserve">AMERICAN SNOWBLAST CORP (1966-1967; SIC 3523)</t>
  </si>
  <si>
    <t xml:space="preserve">AMERICAN SNOWBLAST CORP (1966) | GAFFIELD WOCC PRODUCTS (1974)</t>
  </si>
  <si>
    <t xml:space="preserve">CAROLYN B SAMUALS PROPERTY [FRS] (address match)</t>
  </si>
  <si>
    <t xml:space="preserve">S00716</t>
  </si>
  <si>
    <t xml:space="preserve">5301 E 38TH AVE</t>
  </si>
  <si>
    <t xml:space="preserve">1966;1967;1968;1970;1974</t>
  </si>
  <si>
    <t xml:space="preserve">AMERICAN WESTERN PLASTICS CORP (1966-1970; SIC 3079) | BETTS TOOL DIE + ENGINEERING CO (1966; SIC 3599) | BEAUTYBILT MOBILE HOME ACCESSORIES (1974; SIC 3079) | HEMOLINE {NC (1974; SIC 2834,3842)</t>
  </si>
  <si>
    <t xml:space="preserve">AMERICAN WESTERN PLASTICS CORP (1966) | BETTS TOOL DIE + ENGINEERING CO (1966) | UNITED STATES PARACFUTE CO (1967) | BEAUTYBILT MOBILE HOME ACCESSORIES (1974) | HEMOLINE {NC (1974) | COLORADO BINDERY INC (1990)</t>
  </si>
  <si>
    <t xml:space="preserve">C &amp; W ENT [FRS; 2 m]</t>
  </si>
  <si>
    <t xml:space="preserve">ABBA PRINTING.CN [FRS; 33 m] | GO BUILDERS [FRS] (address match)</t>
  </si>
  <si>
    <t xml:space="preserve">C &amp; W ENT</t>
  </si>
  <si>
    <t xml:space="preserve">S00724</t>
  </si>
  <si>
    <t xml:space="preserve">303 W EVANS AVE</t>
  </si>
  <si>
    <t xml:space="preserve">B+ B MFG CO (1966-1970; SIC 3599) | 8 + B MACHINE + GRINDING SERV CORP (1973-1990; SIC 3599,3591)</t>
  </si>
  <si>
    <t xml:space="preserve">B+ B MFG CO (1966) | 8 + B MACHINE + GRINDING SERV CORP (1973)</t>
  </si>
  <si>
    <t xml:space="preserve">B &amp; B MACHINE GRINDING SERVICE [FRS; name match, 23 m]</t>
  </si>
  <si>
    <t xml:space="preserve">B &amp; B MACHINE GRINDING SERVICE</t>
  </si>
  <si>
    <t xml:space="preserve">S00731</t>
  </si>
  <si>
    <t xml:space="preserve">2345 S DELAWARE</t>
  </si>
  <si>
    <t xml:space="preserve">SPECIALTY PLATING INC (1977-1992; SIC 3471) | BETA CORP (1980-1990; SIC 3599) | D.B.A-BARTON OPFICE FURNITURE CO (1988; SIC 2521,1015)</t>
  </si>
  <si>
    <t xml:space="preserve">BARTON MFG CO (1966) | DENVER AUTO ELECTRIC CU OPHTHALMIC GUODS (1966) | DENVER AUTO ELECTRIC CO (1968) | SPECIALTY PLATING INC (1977) | BETA CORP (1980) | D.B.A-BARTON OPFICE FURNITURE CO (1988)</t>
  </si>
  <si>
    <t xml:space="preserve">SPECIALTY PLATING INCORPORATED [FRS; name match, 5 m] | SPECIALTY PLATING INC [CDPHE RCRA; name match, 7 m] | DBTL DBA COLORADO SIGNS [CDPHE RCRA; 7 m] | WOOD CRAFT UNLIMITED [CDPHE RCRA; 7 m] | WOODCRAFT UNLIMITED INC [FRS; 40 m]</t>
  </si>
  <si>
    <t xml:space="preserve">BARTON MFG CO [FRS; name match, 16 m]</t>
  </si>
  <si>
    <t xml:space="preserve">SPECIALTY PLATING INCORPORATED</t>
  </si>
  <si>
    <t xml:space="preserve">S00763</t>
  </si>
  <si>
    <t xml:space="preserve">2065 S CHEROKEE</t>
  </si>
  <si>
    <t xml:space="preserve">1966;1967;1968;1974;1980;1983;1990</t>
  </si>
  <si>
    <t xml:space="preserve">CIPRA INC (1966-1974; SIC 3441) | FREEWAY SIGNS INC (1967-1968; SIC 3993,3591) | D S ® MANUFACTURING CO (1980-1990; SIC 3444,3599)</t>
  </si>
  <si>
    <t xml:space="preserve">CIPRA INC (1966) | CIPRA INC 2751 COM*L PRINTING EXCEFT (1967) | FREEWAY SIGNS INC (1967) | D S ® MANUFACTURING CO (1980)</t>
  </si>
  <si>
    <t xml:space="preserve">DSM MFG CO [FRS; name match, 22 m] | DSM MFG CO [FRS] (address match) | DSM MFG CO [CDPHE RCRA] (address match)</t>
  </si>
  <si>
    <t xml:space="preserve">S00767</t>
  </si>
  <si>
    <t xml:space="preserve">5138 E 39TH AVE</t>
  </si>
  <si>
    <t xml:space="preserve">CLARKE-PACIFIC INC (1968; SIC 3621,3561,3519) | PUMP + SUPPLY» INC. (1973; SIC 3519,3561,3621) | PACIFIC PUMP * SUPPLY INC (1974; SIC 3561)</t>
  </si>
  <si>
    <t xml:space="preserve">CLARKE-PACIFIC INC (1966) | AU BUCHON + CO INC (1973) | PUMP + SUPPLY» INC. (1973) | PACIFIC PUMP * SUPPLY INC (1974)</t>
  </si>
  <si>
    <t xml:space="preserve">BERKEY'S DOORS [FRS; 38 m]</t>
  </si>
  <si>
    <t xml:space="preserve">KIK (DENVER) LLC</t>
  </si>
  <si>
    <t xml:space="preserve">BERKEY'S DOORS</t>
  </si>
  <si>
    <t xml:space="preserve">S00770</t>
  </si>
  <si>
    <t xml:space="preserve">2200 ARAPAHOE</t>
  </si>
  <si>
    <t xml:space="preserve">COCKS-CLARK ENGRAVING CO (1966-1974; SIC 3559)</t>
  </si>
  <si>
    <t xml:space="preserve">COCKS-CLARK ENGRAVING CO (1966) | FAIRMCNT FOCCS CO (1968) | SINTON NORTHERN FOOD PRODUCTS CO (1970) | MOUNTAIN HIGH INC (1983)</t>
  </si>
  <si>
    <t xml:space="preserve">AMERICAN WASTE SYSTEMS INC. [FRS; 11 m] | COCKS CLARK GRAPHICS CO [FRS; 15 m]</t>
  </si>
  <si>
    <t xml:space="preserve">R MERRILL INC [FRS; 24 m]</t>
  </si>
  <si>
    <t xml:space="preserve">AMERICAN WASTE SYSTEMS INC.</t>
  </si>
  <si>
    <t xml:space="preserve">S00774</t>
  </si>
  <si>
    <t xml:space="preserve">855 WYANDOT</t>
  </si>
  <si>
    <t xml:space="preserve">1967;1968;1970;1974;1980;1983;1988;1990;1992</t>
  </si>
  <si>
    <t xml:space="preserve">COLORADO PATTERN CO (1967-1992; SIC 3565) | DENVER BUMPER WORKS INC (1968-1990; SIC 3714,3471) | CORES, MAIL TUBES COLORADO PATTERN CO (1988; SIC 3469,3543)</t>
  </si>
  <si>
    <t xml:space="preserve">COLORADO PATTERN Co (1966) | DENVER BUMPER WORKS INC NEWS PAPERS, PUBL*PRINTING (1966) | DENVER BUMPER WORKS INC (1968) | CORES, MAIL TUBES COLORADO PATTERN CO (1988)</t>
  </si>
  <si>
    <t xml:space="preserve">DENVER BUMPER WORKS INC [FRS; name match, 37 m]</t>
  </si>
  <si>
    <t xml:space="preserve">DENVER BUMPER WORKS INC</t>
  </si>
  <si>
    <t xml:space="preserve">S00805</t>
  </si>
  <si>
    <t xml:space="preserve">1804 S PEARL ST</t>
  </si>
  <si>
    <t xml:space="preserve">DOWOLE AIR CONCITIONING + HEATING CO (1968-1974; SIC 3444,2086) | DENVER GLASS MACHINERY (1980-1983; SIC 3559)</t>
  </si>
  <si>
    <t xml:space="preserve">OOWDLE AIR CONDITIUNING + HEATING CO cORP NTL i00 10 249 (1966) | DOWOLE AIR CONCITIONING + HEATING CO (1968) | DENVER GLASS MACHINERY (1980)</t>
  </si>
  <si>
    <t xml:space="preserve">THE PHOTO MIRAGE [FRS; 8 m]</t>
  </si>
  <si>
    <t xml:space="preserve">S00811</t>
  </si>
  <si>
    <t xml:space="preserve">980 GRAPE</t>
  </si>
  <si>
    <t xml:space="preserve">sg corp (1966; SIC 3441)</t>
  </si>
  <si>
    <t xml:space="preserve">sg corp (1966)</t>
  </si>
  <si>
    <t xml:space="preserve">DPS PALMER [FRS; 18 m]</t>
  </si>
  <si>
    <t xml:space="preserve">PALMER SCHOOL [FRS; 27 m]</t>
  </si>
  <si>
    <t xml:space="preserve">DPS PALMER</t>
  </si>
  <si>
    <t xml:space="preserve">S00820</t>
  </si>
  <si>
    <t xml:space="preserve">90 S FOX</t>
  </si>
  <si>
    <t xml:space="preserve">1966;1970;1974;1977;1980;1983;1988;1990</t>
  </si>
  <si>
    <t xml:space="preserve">GATES + SONS INC (1966-1990; SIC 3532) | PLASTICRAFTS INC (1983; SIC 3079,3479) | CHAIRMATS PLASTICRAFTS INC (1988; SIC 3087,3089)</t>
  </si>
  <si>
    <t xml:space="preserve">GATES + SONS INC (1966) | SCHNADIG CORP (1973) | PLASTICRAFTS INC (1983) | CHAIRMATS PLASTICRAFTS INC (1988)</t>
  </si>
  <si>
    <t xml:space="preserve">GATES &amp; SON [FRS; name match, 15 m] | GATES &amp; SONS INC [FRS; name match, 50 m] | GATES &amp; SONS INC [CDPHE RCRA; name match, 144 m] | GATES &amp; SONS INC [FRS; name match, 159 m]</t>
  </si>
  <si>
    <t xml:space="preserve">PLASTICRAFTS [FRS; name match, 28 m] | GATES &amp; SONS, INC [FRS; name match, 63 m] | GATES &amp; SONS INC [FRS; name match, 96 m] | GATES &amp; SONS (WAS KARL W SCHMIDT ASSOC I [FRS; name match, 115 m]</t>
  </si>
  <si>
    <t xml:space="preserve">GATES &amp; SON</t>
  </si>
  <si>
    <t xml:space="preserve">S00831</t>
  </si>
  <si>
    <t xml:space="preserve">3555 MORRISON RD</t>
  </si>
  <si>
    <t xml:space="preserve">E+W MACHINE INC (1990; SIC 3714)</t>
  </si>
  <si>
    <t xml:space="preserve">GOLDEN CREAM DU-NUT CO (1966) | GOLDEN CREAM DO-NUT CO HF BIELSER PARTNER: (1970) | LEEMONT CORP OBA KITCHENEAT FCCDS (1974) | ADAMS SYRUP CO, INC (1980) | E+W MACHINE INC (1990)</t>
  </si>
  <si>
    <t xml:space="preserve">E &amp; W MACHINE INC [FRS; name match, 27 m]</t>
  </si>
  <si>
    <t xml:space="preserve">E &amp; W MACHINE INC</t>
  </si>
  <si>
    <t xml:space="preserve">S00838</t>
  </si>
  <si>
    <t xml:space="preserve">145 S FEDERAL BLVD</t>
  </si>
  <si>
    <t xml:space="preserve">1966;1968;1973;1974;1980;1988;1990</t>
  </si>
  <si>
    <t xml:space="preserve">GUNN AUTOMOTIVe CO (1966-1990; SIC 3714) | DENVER - DENVER 219 GUNN AUTOMOTIVE CO (1988; SIC 3599,3714)</t>
  </si>
  <si>
    <t xml:space="preserve">GUNN AUTOMOTIVe CO (1966) |  (1970) | DENVER - DENVER 219 GUNN AUTOMOTIVE CO (1988)</t>
  </si>
  <si>
    <t xml:space="preserve">GUNN AUTOMOTIVE [FRS; name match, 23 m]</t>
  </si>
  <si>
    <t xml:space="preserve">GUNN AUTOMOTIVE</t>
  </si>
  <si>
    <t xml:space="preserve">S00840</t>
  </si>
  <si>
    <t xml:space="preserve">430 S NAVAJO</t>
  </si>
  <si>
    <t xml:space="preserve">1966;1968;1973;1977;1980;1983;1988;1990</t>
  </si>
  <si>
    <t xml:space="preserve">H + H ENGINEERING CO (1966-1968; SIC 3549) | H # H TOOL OIVISION (1973; SIC 3544) | TELEDYNE PINES - 4 + H TOOL DIVISION (1977-1988; SIC 3544) | TELEDYNE PINES (1990; SIC 3544)</t>
  </si>
  <si>
    <t xml:space="preserve">H + H ENGINEERING CO (1966) |  (1970) | H # H TOOL OIVISION (1973) | TELEDYNE PINES - 4 + H TOOL DIVISION (1977) | TELEDYNE PINES (1990)</t>
  </si>
  <si>
    <t xml:space="preserve">PINES MANUFACTURING / H&amp;H TOOL DIV [FRS; name match, 46 m]</t>
  </si>
  <si>
    <t xml:space="preserve">S00846</t>
  </si>
  <si>
    <t xml:space="preserve">5250 E EVANS</t>
  </si>
  <si>
    <t xml:space="preserve">1966;1968;1970;1973;1974;1977</t>
  </si>
  <si>
    <t xml:space="preserve">HATHAWAY INSTRUMENTS INC (1966-1977; SIC 3566)</t>
  </si>
  <si>
    <t xml:space="preserve">HATHAWAY INSTRUMENTS INC (1966) | INSTRUMENTS INC E HIRSCHFELD (1967) | HATHWAY CORPORATION (1983)</t>
  </si>
  <si>
    <t xml:space="preserve">CALIBER COLLISION CENTER - DENVER EAST EVANS 0810 [CDPHE RCRA; 0 m] | LEWAN AND ASSOCIATES [CDPHE RCRA; 4 m] | BOSCH FOREIGN LTD [CDPHE RCRA; 4 m] | SHERWIN-WILLIAMS #7189 [CDPHE RCRA; 4 m] | CALIBER COLLISION CENTER - DENVER - EAST EVANS RX 0835 [CDPHE RCRA; 4 m] | AUTOZONE #845 [CDPHE RCRA; 4 m] | PRINT SHOP PLUS [CDPHE RCRA; 4 m] | TREX CDOT RTD [CDPHE RCRA; 4 m] | TESLA SERVICE CENTER [CDPHE R</t>
  </si>
  <si>
    <t xml:space="preserve">CALIBER BODYWORKS - EAST EVANS 0810 [FRS; 15 m]</t>
  </si>
  <si>
    <t xml:space="preserve">ENTENMANN'S INC</t>
  </si>
  <si>
    <t xml:space="preserve">CALIBER COLLISION CENTER - DENVER EAST EVANS 0810</t>
  </si>
  <si>
    <t xml:space="preserve">S00863</t>
  </si>
  <si>
    <t xml:space="preserve">621 17TH ST</t>
  </si>
  <si>
    <t xml:space="preserve">SCIENTIFIC SEPARATORS, INC. (1980-1992; SIC 3549) | CHAEMAGGIO INTERNATIONAL (1983; SIC 2844)</t>
  </si>
  <si>
    <t xml:space="preserve">IDEAL CEMENT Cu (1966) | SCIENTIFIC SEPARATORS, INC. (1980) | CHAEMAGGIO INTERNATIONAL (1983) | GRAPHICS INFORMATION INC (1990)</t>
  </si>
  <si>
    <t xml:space="preserve">BAYTEX ENERGY USA LTD [FRS; 0 m] | JOHNSTON-MACCO [FRS; 39 m]</t>
  </si>
  <si>
    <t xml:space="preserve">COASTAL OIL &amp; GAS CORP [FRS; 0 m] | ND22178-08799 FERTILE 1-12 SWD [FRS; 0 m] | CASTLE BUILDING COMPANY, INC. [FRS; 0 m] | PINE RIDGE OIL AND GAS, LLC [FRS; 0 m] | ANG/FUEL RES.DEV.CO 44 CANYON COMP.STATN [FRS; 1 m] | SOVEREIGN OPER - REG 7 REPORTING ONLY [FRS; 1 m] | PUBLIC SVC CO OF COLORADO [FRS; 1 m] | COLTON, LLC - REG 7 REPORTING [FRS; 1 m] | ABM ENGINEERING SERVICES [FRS; 1 m] | SUNDANCE EN</t>
  </si>
  <si>
    <t xml:space="preserve">ATLAS COLD STORAGE</t>
  </si>
  <si>
    <t xml:space="preserve">BAYTEX ENERGY USA LTD</t>
  </si>
  <si>
    <t xml:space="preserve">S00864</t>
  </si>
  <si>
    <t xml:space="preserve">4402 UMATILLA</t>
  </si>
  <si>
    <t xml:space="preserve">IDEAL REFRIGERATION CO (1966-1970; SIC 3589)</t>
  </si>
  <si>
    <t xml:space="preserve">IDEAL REFRIGERATION CO (1966)</t>
  </si>
  <si>
    <t xml:space="preserve">MM'S AUTO REPAIR [FRS; 24 m]</t>
  </si>
  <si>
    <t xml:space="preserve">MM'S AUTO REPAIR</t>
  </si>
  <si>
    <t xml:space="preserve">S00866</t>
  </si>
  <si>
    <t xml:space="preserve">651 S JASON</t>
  </si>
  <si>
    <t xml:space="preserve">TRI~STATE SOL-AIRE INC (1980; SIC 3433)</t>
  </si>
  <si>
    <t xml:space="preserve">IMPRESSIVE PRINTERS INC (1966) | KEY BUSINESS FURMS INC (1966) | TRI~STATE SOL-AIRE INC (1980)</t>
  </si>
  <si>
    <t xml:space="preserve">CENTRAL SERVICES PRINT SHOP [FRS; 1 m] | CITY &amp; COUNTY OF DENVER - ANIMAL SHELTER [FRS; 6 m] | ANCHOR PAINT CO OF DENVER INC [FRS; 6 m]</t>
  </si>
  <si>
    <t xml:space="preserve">GRANITE COUNTERTOPS [FRS; 16 m] | 678 S. JASON ST. [FRS; 18 m] | BLUE SPRUCE CONSTRUCTION [FRS; 51 m]</t>
  </si>
  <si>
    <t xml:space="preserve">CENTRAL SERVICES PRINT SHOP</t>
  </si>
  <si>
    <t xml:space="preserve">S00882</t>
  </si>
  <si>
    <t xml:space="preserve">1201 OSAGE</t>
  </si>
  <si>
    <t xml:space="preserve">1966;1967;1973;1974;1980;1983;1990</t>
  </si>
  <si>
    <t xml:space="preserve">KOHLER MCLISTER PAINT CO (1966; SIC 2851) | KOHLER MCLISTEX PAINT CO. 2789 BOOKBINDING + MISC RELATED WCRK MF YALE DIST MGR (1967; SIC 2851) | KOHLER-MCLISTER PAINT CO (1973-1974; SIC 2821,2851) | KOMAG PALNT INC (1980-1983; SIC 2821,2851) | DIAMOND VOGEL PAINT (1990; SIC 2851,2821)</t>
  </si>
  <si>
    <t xml:space="preserve">KOHLER MCLISTER PAINT CO (1966) | KOHLER MCLISTEX PAINT CO. 2789 BOOKBINDING + MISC RELATED WCRK MF YALE DIST MGR (1967) | KOHLER-MCLISTER PAINT CO (1973) | KOMAG PALNT INC (1980) | DIAMOND VOGEL PAINT (1990)</t>
  </si>
  <si>
    <t xml:space="preserve">KOMAC PAINT INC [FRS; name match, 49 m]</t>
  </si>
  <si>
    <t xml:space="preserve">Hull Properties II</t>
  </si>
  <si>
    <t xml:space="preserve">KOMAC PAINT INC</t>
  </si>
  <si>
    <t xml:space="preserve">S00887</t>
  </si>
  <si>
    <t xml:space="preserve">540 ACOMA</t>
  </si>
  <si>
    <t xml:space="preserve">t + R FURNITURE + CABINET WORKS (1966; SIC 3441) | RICE PAPER BOX CO (1990; SIC 2652,2675,3089)</t>
  </si>
  <si>
    <t xml:space="preserve">t + R FURNITURE + CABINET WORKS (1966) | RICE PAPER BOx CO (1966) |  (1974)</t>
  </si>
  <si>
    <t xml:space="preserve">DENVER MUNI. FED. CREDIT UNION [CDPHE RCRA; 33 m] | CENTRAL RADIATOR KING [CDPHE RCRA; 33 m]</t>
  </si>
  <si>
    <t xml:space="preserve">DENVER HEALTH ACOMA GARAGE [FRS; 53 m]</t>
  </si>
  <si>
    <t xml:space="preserve">DENVER MUNI. FED. CREDIT UNION</t>
  </si>
  <si>
    <t xml:space="preserve">S00909</t>
  </si>
  <si>
    <t xml:space="preserve">6270 E EVANS AVE</t>
  </si>
  <si>
    <t xml:space="preserve">MAJESTIC BUILDING PRODUCTS CO INC (1970-1974; SIC 3442)</t>
  </si>
  <si>
    <t xml:space="preserve">MAJESTIC BUILDING PRODUCTS CO INC (1966) | ROYAL ELECTRCNICS CCRP (1968) | FOGG SYSTEM CCMPANY INC K A CARTER PRES (1974)</t>
  </si>
  <si>
    <t xml:space="preserve">CONTINENTAL CLEANERS (EVANS) [FRS; 23 m]</t>
  </si>
  <si>
    <t xml:space="preserve">THE FASTPRINT SHOP [FRS; 23 m] | TIRE EXCHANGER [FRS; 37 m] | CDK KITCHENS AND BATHS INC [FRS; 37 m]</t>
  </si>
  <si>
    <t xml:space="preserve">CONTINENTAL CLEANERS (EVANS)</t>
  </si>
  <si>
    <t xml:space="preserve">S00928</t>
  </si>
  <si>
    <t xml:space="preserve">1031 W CENTER AVE</t>
  </si>
  <si>
    <t xml:space="preserve">1966;1967;1973;1974;1980</t>
  </si>
  <si>
    <t xml:space="preserve">NATIONAL WIKE SPECIALTIES CORP (1966-1973; SIC 3567) | EASTER-OWENS ELECTRIC CO (1974-1980; SIC 3613,3622,3469)</t>
  </si>
  <si>
    <t xml:space="preserve">NATIONAL WIKE SPECIALTIES CORP (1966) | EASTER-OWENS ELECTRIC CO (1968) | RAINS-FLO MFG CO (1983)</t>
  </si>
  <si>
    <t xml:space="preserve">INTERMOUNTAIN ELECTRIC [FRS; 8 m] | VISIONPRINT LIMITED [FRS; 26 m] | ECO ROOF AND SOLAR [FRS; 26 m]</t>
  </si>
  <si>
    <t xml:space="preserve">AMERICAN SOLID STONE [FRS; 17 m] | G4 ENERGY [FRS; 23 m] | G4 ENERGY - PADD 5 [FRS; 26 m] | G4 ENERGY - PADD 1 [FRS; 26 m] | G4 ENERGY - PADD 3 [FRS; 26 m] | G4 ENERGY - PADD 2 [FRS; 26 m] | AMERICAN SOLID STONE [FRS] (address match)</t>
  </si>
  <si>
    <t xml:space="preserve">INTERMOUNTAIN ELECTRIC</t>
  </si>
  <si>
    <t xml:space="preserve">S00930</t>
  </si>
  <si>
    <t xml:space="preserve">3512 E 12TH</t>
  </si>
  <si>
    <t xml:space="preserve">1967;1973;1980;1983</t>
  </si>
  <si>
    <t xml:space="preserve">© K PLATING CO (1967-1973; SIC 3471) | 0 @ ANTIQUE RLATING OO, INC (1980-1983; SIC 3471)</t>
  </si>
  <si>
    <t xml:space="preserve">O K PLATING CO (1966) | MOBILE PRODUCTS INC (1967) | MCBILECTRIC CORP OF (1968) | 0 @ ANTIQUE RLATING OO, INC (1980)</t>
  </si>
  <si>
    <t xml:space="preserve">OK ANTIQUE PLATING CO INC [FRS; name match, 11 m]</t>
  </si>
  <si>
    <t xml:space="preserve">OK ANTIQUE PLATING CO INC [FRS; name match, 21 m] | CLASSIC HOMEWORKS, LLC [FRS; 34 m] | KO CLASSIC HOMEWORKS [FRS; 34 m]</t>
  </si>
  <si>
    <t xml:space="preserve">OK ANTIQUE PLATING CO INC</t>
  </si>
  <si>
    <t xml:space="preserve">S00939</t>
  </si>
  <si>
    <t xml:space="preserve">2001 W BARBERRY PL</t>
  </si>
  <si>
    <t xml:space="preserve">1968;1973;1974;1977;1980;1983;1988;1990;1992</t>
  </si>
  <si>
    <t xml:space="preserve">PAINT-LACQUER CO (1968; SIC 2851,2841) | OLD WESTERN PAINTSs INC (1973-1990; SIC 2851) | PLASTIC SUPPLY ¢ FABRICATION (1980-1992; SIC 3069) | BUBB FABRICATION (1988; SIC 3089)</t>
  </si>
  <si>
    <t xml:space="preserve">PAINT-LACQUER CO (1966) | OLD WESTERN PAINTSs INC (1973) | OLB WESTERN MAINT CO INC (1980) | PLASTIC SUPPLY ¢ FABRICATION (1980) | BUBB FABRICATION (1988)</t>
  </si>
  <si>
    <t xml:space="preserve">OLD WESTERN PAINT CO INC [FRS; name match, 41 m] | TIMKEN MOTOR &amp; CRANE SERVICES LLC (WAZEE) [FRS; 9 m] | OLD WESTERN PAINT CO INC [FRS] (address match)</t>
  </si>
  <si>
    <t xml:space="preserve">LINCOLN PLATING CO - DENVER CENTRAL</t>
  </si>
  <si>
    <t xml:space="preserve">S00943</t>
  </si>
  <si>
    <t xml:space="preserve">1445 OSAGE</t>
  </si>
  <si>
    <t xml:space="preserve">1966;1967;1968;1970;1973;1974;1977;1980;1983;1988;1990;1992</t>
  </si>
  <si>
    <t xml:space="preserve">PEERLESS ALLOY INC (1966-1990; SIC 3341) | WENSLEY METAL PRODUCTS CO (1966-1992; SIC 3356) | BuOBLETS ESA” (1988; SIC 3341,3356,3369)</t>
  </si>
  <si>
    <t xml:space="preserve">PEERLESS ALLOY INC (1966) | WENSLEY METAL PRODUCTS CO (1966) | BuOBLETS ESA” (1988)</t>
  </si>
  <si>
    <t xml:space="preserve">PEERLESS ALLOY INC [FRS; name match, 1 m]</t>
  </si>
  <si>
    <t xml:space="preserve">Wellington Apartments</t>
  </si>
  <si>
    <t xml:space="preserve">PEERLESS ALLOY INC</t>
  </si>
  <si>
    <t xml:space="preserve">S00951</t>
  </si>
  <si>
    <t xml:space="preserve">1375 KEARNEY</t>
  </si>
  <si>
    <t xml:space="preserve">PHILLIPS PETROLEUM CORP (1966; SIC 2879)</t>
  </si>
  <si>
    <t xml:space="preserve">PHILLIPS PETROLEUM CORP (1966)</t>
  </si>
  <si>
    <t xml:space="preserve">PHILLIPS PETROLEUM CO NO 5879 [FRS; name match, 173 m]</t>
  </si>
  <si>
    <t xml:space="preserve">PHILLIPS PETROLEUM CO NO 5879 [FRS; name match, 164 m]</t>
  </si>
  <si>
    <t xml:space="preserve">KING SOOPERS 5</t>
  </si>
  <si>
    <t xml:space="preserve">S00952</t>
  </si>
  <si>
    <t xml:space="preserve">2705 HIGH</t>
  </si>
  <si>
    <t xml:space="preserve">SPORTSMAN MFG CO (1980; SIC 3469,3499)</t>
  </si>
  <si>
    <t xml:space="preserve">PHILLIPSON ROD CO (1966) | SPORTSMAN MFG CO (1980)</t>
  </si>
  <si>
    <t xml:space="preserve">RECYCLING TECHNOLOGIES INC. [FRS; 15 m]</t>
  </si>
  <si>
    <t xml:space="preserve">RECYCLING TECHNOLOGIES INC.</t>
  </si>
  <si>
    <t xml:space="preserve">S00957</t>
  </si>
  <si>
    <t xml:space="preserve">3600 E 45TH</t>
  </si>
  <si>
    <t xml:space="preserve">1966;1967;1970;1973;1974;1980;1990</t>
  </si>
  <si>
    <t xml:space="preserve">PROFESSIONAL PAINTS INC (1966-1974; SIC 2851) | KELLY-MOORE PAINT CaO ENC OF COLaRADO (1980; SIC 2851,3275) | UNIPRO PAINT MANUFACTURING CO (1990; SIC 2851)</t>
  </si>
  <si>
    <t xml:space="preserve">PROFESSIONAL PAINTS INC (1966) | KELLY-MOORE PAINT CaO ENC OF COLaRADO (1980) | UNIPRO PAINT MANUFACTURING CO (1990)</t>
  </si>
  <si>
    <t xml:space="preserve">CALJAN AMERICA INC [FRS; 10 m]</t>
  </si>
  <si>
    <t xml:space="preserve">UNIPRO PAINT MFG [FRS; name match, 10 m] | BRISTOL WORKS, LIMITED [FRS; 10 m] | UNITED DRYWALL &amp; PAINTING [FRS; 10 m] | BRISTOL WORKS LTD - CULTURED MARBLE PROD [FRS; 12 m] | UNIPRO PAINT MFG [FRS] (address match)</t>
  </si>
  <si>
    <t xml:space="preserve">CALJAN AMERICA INC</t>
  </si>
  <si>
    <t xml:space="preserve">S00970</t>
  </si>
  <si>
    <t xml:space="preserve">2700 ARAPAHOE</t>
  </si>
  <si>
    <t xml:space="preserve">RODELLE LABORATORIES INC (1980; SIC 2087,2869)</t>
  </si>
  <si>
    <t xml:space="preserve">ROOELLE LABORATORIES INC (1966)</t>
  </si>
  <si>
    <t xml:space="preserve">SONEFFS MASTER GARAGE [CDPHE RCRA; 34 m]</t>
  </si>
  <si>
    <t xml:space="preserve">Avalon Bay II</t>
  </si>
  <si>
    <t xml:space="preserve">S00976</t>
  </si>
  <si>
    <t xml:space="preserve">3309 BLAKE</t>
  </si>
  <si>
    <t xml:space="preserve">1968;1970;1974;1980</t>
  </si>
  <si>
    <t xml:space="preserve">SILVER ENGINEERING WURKS INC (1968-1980; SIC 3551,3591,3443) | C F + I ENGINEERS, INC (1970; SIC 3551,3591,3443) | C F + I ENGINEERS, INC (1974; SIC 3551,3443)</t>
  </si>
  <si>
    <t xml:space="preserve"> (1966) | SILVER ENGINEERING WURKS INC (1968) | C F + I ENGINEERS, INC (1970) | C F + I ENGINEERS, INC (1974) | NIDCO OF COLORADO INC (1990)</t>
  </si>
  <si>
    <t xml:space="preserve">RESOLUTION TRUST CORP./RFI [FRS; 23 m]</t>
  </si>
  <si>
    <t xml:space="preserve">3300 BLAKE/WALNUT [FRS; 23 m]</t>
  </si>
  <si>
    <t xml:space="preserve">Centex Homes</t>
  </si>
  <si>
    <t xml:space="preserve">RESOLUTION TRUST CORP./RFI</t>
  </si>
  <si>
    <t xml:space="preserve">S00985</t>
  </si>
  <si>
    <t xml:space="preserve">851 TEJON</t>
  </si>
  <si>
    <t xml:space="preserve">UNITED IRON FOUNDRY (1966; SIC 3321)</t>
  </si>
  <si>
    <t xml:space="preserve">UNITED IRON FOUNDRY (1966)</t>
  </si>
  <si>
    <t xml:space="preserve">OLD WESTERN PAINT CO INC [FRS; 37 m]</t>
  </si>
  <si>
    <t xml:space="preserve">OLD WESTERN PAINT CO INC</t>
  </si>
  <si>
    <t xml:space="preserve">S00988</t>
  </si>
  <si>
    <t xml:space="preserve">2137 S BIRCH</t>
  </si>
  <si>
    <t xml:space="preserve">UNITED WESTERN LABORATORIES INC (1966-1970; SIC 2841)</t>
  </si>
  <si>
    <t xml:space="preserve">UNITED WESTERN LABORATORIES INC (1966) | UNIVERSAL PRINTING CO (1966) | SUMMIT CATALOG COMPANY (1983)</t>
  </si>
  <si>
    <t xml:space="preserve">AGRISCIENCE LABS [FRS; 4 m]</t>
  </si>
  <si>
    <t xml:space="preserve">S00996</t>
  </si>
  <si>
    <t xml:space="preserve">1518 COLORADO BLVD</t>
  </si>
  <si>
    <t xml:space="preserve">WESTERN IRRIGATION INC (1966; SIC 3449)</t>
  </si>
  <si>
    <t xml:space="preserve">WESTERN IRRIGATION INC (1966) | MALATCHI ELEC SYS INC (1974)</t>
  </si>
  <si>
    <t xml:space="preserve">AUTOZONE #810 [CDPHE RCRA; 24 m] | PENSKE AUTO CENTER [CDPHE RCRA; 24 m] | WEST AUTO BODY SHOP [CDPHE RCRA; 24 m] | CENTURYLINK [CDPHE RCRA; 24 m] | DENVER AUTO BODY &amp; PAINT INC [CDPHE RCRA; 24 m] | STRASSENBAHN MOTORS [CDPHE RCRA; 24 m] | FAMILY DOLLAR #6231 [CDPHE RCRA; 24 m] | REED AMBULANCES INC [CDPHE RCRA; 24 m] | AMOCO GAS STATION NUMBER 8609 [FRS; 44 m]</t>
  </si>
  <si>
    <t xml:space="preserve">E COLFAX AVE &amp; COLORADO BLVD_NJH-W [FRS; 4 m] | EAST COLFAX BRT UTILITIES [FRS; 13 m]</t>
  </si>
  <si>
    <t xml:space="preserve">JACKSON STREET BROWNFIELD PROJECT</t>
  </si>
  <si>
    <t xml:space="preserve">AUTOZONE #810</t>
  </si>
  <si>
    <t xml:space="preserve">S01484</t>
  </si>
  <si>
    <t xml:space="preserve">4270 KEARNEY</t>
  </si>
  <si>
    <t xml:space="preserve">1966;1967;1974</t>
  </si>
  <si>
    <t xml:space="preserve">PAPER + PLASTIC CONVERTERS INC (1966; SIC 3079) | NATIONAL AIR DUCT CO (1967; SIC 3444) | MASTER PACKAGING (1974; SIC 2393,2643,2751)</t>
  </si>
  <si>
    <t xml:space="preserve">PAPER + PLASTIC CONVERTERS INC (1966) | NATIONAL AIR DUCT CO (1967) | COLOR WRAP CF COLORACO INC (1968) | WATIONAL AIR CUCT CC (1968) | MASTER PACKAGING (1974) | OBERON CORPORATION (1990)</t>
  </si>
  <si>
    <t xml:space="preserve">ADVANCED CHEMICAL TRANSPORT LLC [FRS; 49 m] | DENVER TRANSFER FACILITY [FRS; 49 m] | ADVANCED CHEMICAL TRANSPORT LLC [CDPHE RCRA; 49 m] | DENVER TRANSFER FACILITY [CDPHE RCRA; 49 m]</t>
  </si>
  <si>
    <t xml:space="preserve">SPECTRUM SCREEN PRINT &amp; DESIGN INC [FRS; 27 m]</t>
  </si>
  <si>
    <t xml:space="preserve">US GREENFIBER LLC</t>
  </si>
  <si>
    <t xml:space="preserve">ADVANCED CHEMICAL TRANSPORT LLC</t>
  </si>
  <si>
    <t xml:space="preserve">S01732</t>
  </si>
  <si>
    <t xml:space="preserve">1444 BLAKE</t>
  </si>
  <si>
    <t xml:space="preserve">ONEIDA CHEMICAL CO INC (1966-1973; SIC 3861) | ONEIDA CHEMICAL CO IWC (1967; SIC 3861) | DENVER MACHINE SHOP INC (1968-1992; SIC 2611,3591,3532) | ONEIDA CFEMICAL FEMICAL CO INC 3 (1968; SIC 3861) |  (1970; SIC 3861) | DENVER MACHINE SHOP INC R O HUMMEL GEN MGR (1973; SIC 3532) | MERRY x-RAY CHEM. CORP (1974-1980; SIC 3861)</t>
  </si>
  <si>
    <t xml:space="preserve">ONEIDA CHEMICAL CO INC (1966) | ONEIDA CHEMICAL CO IWC (1967) | DENVER MACHINE SHOP INC (1968) | EMBLEM TAPE + LABEL CO (1968) | ONEIDA CFEMICAL FEMICAL CO INC 3 (1968) |  (1970) | DENVER MACHINE SHOP INC R O HUMMEL GEN MGR (1973) | STRASER CANDY CO (1973) | MERRY x-RAY CHEM. CORP (1974)</t>
  </si>
  <si>
    <t xml:space="preserve">DENVER MACHINE SHOP [FRS; name match, 18 m]</t>
  </si>
  <si>
    <t xml:space="preserve">S02520</t>
  </si>
  <si>
    <t xml:space="preserve">4759 LIPAN</t>
  </si>
  <si>
    <t xml:space="preserve">CAL-INKy DIV CF TENNECO (1967; SIC 2893)</t>
  </si>
  <si>
    <t xml:space="preserve">RIVIERA MFG CO INC (1966) | CAL-INKy DIV CF TENNECO (1967) | TEWELL*S PRINTING + LITHOGRAPHING CO (1973) | SPECIALTY METALS INC 2051 BREAD, CAKE, AND RELATED PRODUCTS (1977) | TEWELL*’S PRINTING ¢ LETHOGRAPHING CO (1980) | EXPLORATION BRINAKG. trrnocraPu (1988)</t>
  </si>
  <si>
    <t xml:space="preserve">TEWELL WARREN PRINTING - 4710 LIPAN ST [FRS; 40 m] | ENGINE REBUILDERS INC [FRS; 74 m]</t>
  </si>
  <si>
    <t xml:space="preserve">TEWELL WARREN PRINTING - 4710 LIPAN ST</t>
  </si>
  <si>
    <t xml:space="preserve">S01410</t>
  </si>
  <si>
    <t xml:space="preserve">185 W LOUISIANA AVE</t>
  </si>
  <si>
    <t xml:space="preserve">1967;1968;1970;1974;1977;1990</t>
  </si>
  <si>
    <t xml:space="preserve">c + C MFG CORP (1967-1974; SIC 3591) | C + € MFG CORP (1977; SIC 3599) | GREENLAWN SPRINKLER CO (1990; SIC 3432)</t>
  </si>
  <si>
    <t xml:space="preserve">c + C MFG CORP (1967) | C + € MFG CORP (1977) | GREENLAWN SPRINKLER CO (1990)</t>
  </si>
  <si>
    <t xml:space="preserve">PARAGON ENVIRONMENTS INC [FRS; 23 m]</t>
  </si>
  <si>
    <t xml:space="preserve">S01421</t>
  </si>
  <si>
    <t xml:space="preserve">70 SANTA FE DR</t>
  </si>
  <si>
    <t xml:space="preserve">1967;1968;1973;1974;1977;1983;1990;1992</t>
  </si>
  <si>
    <t xml:space="preserve">CONTRACTORS HEATING + SUPPLY (1967-1992; SIC 3444)</t>
  </si>
  <si>
    <t xml:space="preserve">CONTRACTORS HEATING + SUPPLY (1967) | HUSTLER PRINTING OFFICE (1967) | B + O WHOLESALE (1980)</t>
  </si>
  <si>
    <t xml:space="preserve">HD SUPPLY CONSTRUCTION SUPPLY LTD [FRS; 37 m]</t>
  </si>
  <si>
    <t xml:space="preserve">S01437</t>
  </si>
  <si>
    <t xml:space="preserve">2650 W BARBERRY PL</t>
  </si>
  <si>
    <t xml:space="preserve">FLOYD ORIVES CO (1967-1968; SIC 3566,3552,3415) | FLOYO DRIVES CO (1970; SIC 3566,3552)</t>
  </si>
  <si>
    <t xml:space="preserve">FLOYD ORIVES CO (1967) | FLOYO DRIVES CO (1970)</t>
  </si>
  <si>
    <t xml:space="preserve">S01440</t>
  </si>
  <si>
    <t xml:space="preserve">4370 JASON SS</t>
  </si>
  <si>
    <t xml:space="preserve">1967;1970;1974;1977;1980;1983;1988;1990</t>
  </si>
  <si>
    <t xml:space="preserve">G + K MACHINE CO (1967-1990; SIC 3591) | WC ATEE BOLT CO (1980-1983; SIC 3452) | BURLAP BAGS G+K MACHINE CO (1988; SIC 3599) | MCATEE BOLT CO (1988; SIC 3452)</t>
  </si>
  <si>
    <t xml:space="preserve">G + K MACHINE CO (1967) | WC ATEE BOLT CO (1980) | BURLAP BAGS G+K MACHINE CO (1988) | MCATEE BOLT CO (1988)</t>
  </si>
  <si>
    <t xml:space="preserve">REFRIGERANT RECLAMATION INC [FRS; 5 m]</t>
  </si>
  <si>
    <t xml:space="preserve">REFRIGERANT RECLAMATION INC</t>
  </si>
  <si>
    <t xml:space="preserve">S01444</t>
  </si>
  <si>
    <t xml:space="preserve">952 S FEDERAL BLVD</t>
  </si>
  <si>
    <t xml:space="preserve"> (1977; SIC 3079,2751,2752)</t>
  </si>
  <si>
    <t xml:space="preserve">GRANT CHESTER*S IDEA PRESS (1967) |  (1977) | IDEA PRESS (1980)</t>
  </si>
  <si>
    <t xml:space="preserve">IDEA PRESS [FRS; name match, 24 m]</t>
  </si>
  <si>
    <t xml:space="preserve">7-11 Store</t>
  </si>
  <si>
    <t xml:space="preserve">IDEA PRESS</t>
  </si>
  <si>
    <t xml:space="preserve">S01461</t>
  </si>
  <si>
    <t xml:space="preserve">1950 W 16TH AVE</t>
  </si>
  <si>
    <t xml:space="preserve">MERZ, M Gy ALUMINUM FOUNCRY + MFG CO (1967; SIC 3361,3362)</t>
  </si>
  <si>
    <t xml:space="preserve">MERZ, M Gy ALUMINUM FOUNCRY + MFG CO (1967)</t>
  </si>
  <si>
    <t xml:space="preserve">FIELD AT 18TH AVE &amp; DEPEW [FRS; 90 m]</t>
  </si>
  <si>
    <t xml:space="preserve">FIELD AT 18TH AVE &amp; DEPEW</t>
  </si>
  <si>
    <t xml:space="preserve">S01463</t>
  </si>
  <si>
    <t xml:space="preserve">910 W ILIFF</t>
  </si>
  <si>
    <t xml:space="preserve">METRO MACHINE INC (1967; SIC 3591,2395)</t>
  </si>
  <si>
    <t xml:space="preserve">METRO MACHINE INC (1967)</t>
  </si>
  <si>
    <t xml:space="preserve">ROBINSON BRICK COMPANY [FRS; 25 m]</t>
  </si>
  <si>
    <t xml:space="preserve">A ALL DRY WATER DAMAGE EXPERTS [FRS; 25 m]</t>
  </si>
  <si>
    <t xml:space="preserve">ROBINSON BRICK COMPANY</t>
  </si>
  <si>
    <t xml:space="preserve">S01524</t>
  </si>
  <si>
    <t xml:space="preserve">4975 JACKSON</t>
  </si>
  <si>
    <t xml:space="preserve">N # N INDUSTRIES INC (1973-1974; SIC 3498) | DRIVE LINE SERVICE OF DENVER (1980; SIC 3599) | HYORAULIC CENTER THE (1980; SIC 3599)</t>
  </si>
  <si>
    <t xml:space="preserve">WACO ELECTRONICS INC (1967) | ROTH BONELESS BEEF INC (1970) | N # N INDUSTRIES INC (1973) | CUSTOM FIXTURES (1974) | DRIVE LINE SERVICE OF DENVER (1980) | HYORAULIC CENTER THE (1980)</t>
  </si>
  <si>
    <t xml:space="preserve">GENPOWER INC [FRS; 30 m] | ALUMA SYSTEMS USA INC [FRS; 48 m] | KOIS BROTHERS EQUIPMENT CO INC [FRS; 72 m]</t>
  </si>
  <si>
    <t xml:space="preserve">NOTEBOOKS INC [FRS; 57 m]</t>
  </si>
  <si>
    <t xml:space="preserve">GENPOWER INC</t>
  </si>
  <si>
    <t xml:space="preserve">S01737</t>
  </si>
  <si>
    <t xml:space="preserve">1999 S NAVAJO</t>
  </si>
  <si>
    <t xml:space="preserve">1967;1968;1970;1973;1974;1977;1980;1983;1988;1990</t>
  </si>
  <si>
    <t xml:space="preserve">CUSTOM-AIRE SHEET METAL (1967-1974; SIC 3444) | MOUNTAIN STATES EQUIPMENT CO (1970-1990; SIC 3564,3585) | CARY MFG CO (1973-1974; SIC 3591,3444,3679) | Cary MFG C2 (1977; SIC 3599,3444,3679) | ACCUTRONICS DESIGN + MFG CO (1983; SIC 3599) | ELECTRO MECHANICAL PRODUCTS (1988-1990; SIC 3544,3859,3599) | INSULATION BOARD ENERSAVER PRODUCTS (1988; SIC 3563,3564,3569) | ENERSAVER PRODUCTS INC (1990; SIC 3569,3563)</t>
  </si>
  <si>
    <t xml:space="preserve">CUSTOM-AIRE SHEET METAL (1967) | DONMAR PRODUCTS INC (1968) | MOUNTAIN STATES EQUIPMENT CO (1970) | CARY MFG CO (1973) | Cary MFG C2 (1977) | 3079 (1977) | ACCUTRONICS DESIGN + MFG CO (1983) | ELECTRO MECHANICAL PRODUCTS (1988) | INSULATION BOARD ENERSAVER PRODUCTS (1988) | ENERSAVER PRODUCTS INC (1990)</t>
  </si>
  <si>
    <t xml:space="preserve">ACCUTRONICS DESIGN &amp; MFG CO [FRS; name match, 29 m]</t>
  </si>
  <si>
    <t xml:space="preserve">RUBY VISTA [FRS; 48 m]</t>
  </si>
  <si>
    <t xml:space="preserve">ACCUTRONICS DESIGN &amp; MFG CO</t>
  </si>
  <si>
    <t xml:space="preserve">S01784</t>
  </si>
  <si>
    <t xml:space="preserve">2201 BLAKE</t>
  </si>
  <si>
    <t xml:space="preserve">1968;1970;1973;1974;1980;1983;1988</t>
  </si>
  <si>
    <t xml:space="preserve">PCLYFAB CORP OF COLORACO (1968-1983; SIC 3079,2099,2037) | WINTER WEISS CO, THE (1968-1974; SIC 3533,3714,3522) | COLORADO COOPERAGE WORKS (1973; SIC 3412,2655,2449) | KAMINSKY BARREL CC (1974-1980; SIC 2449,3412,2655) | KAMINSKY BARREL CO (1988; SIC 3412,3069)</t>
  </si>
  <si>
    <t xml:space="preserve">WESTERN SPRING SERVICE INC (1967) | PCLYFAB CORP OF COLORACO (1968) | WINTER WEISS CO, THE (1968) | PERKY PET PRODUCTS» INC (1970) | COLORADO COOPERAGE WORKS (1973) | KAMINSKY BARREL CC (1974) | COLORADO TENT COMPANY (1983) | KAMINSKY BARREL CO (1988)</t>
  </si>
  <si>
    <t xml:space="preserve">VANASK WAREHOUSE COMPANY [FRS; 23 m]</t>
  </si>
  <si>
    <t xml:space="preserve">VANASK WAREHOUSE COMPANY</t>
  </si>
  <si>
    <t xml:space="preserve">S01653</t>
  </si>
  <si>
    <t xml:space="preserve">201 58TH</t>
  </si>
  <si>
    <t xml:space="preserve">ZIMMERMAN, WILLIAM Gs ARCHITECTURAL METALS (1968-1973; SIC 3446,3471)</t>
  </si>
  <si>
    <t xml:space="preserve">ZIMMERMAN, WILLIAM Gs ARCHITECTURAL METALS (1968) | 3792 TRAVEL TRAILERS AND CAMPERS [~LIMMERMAN,s 893-3123 (1977)</t>
  </si>
  <si>
    <t xml:space="preserve">TOTAL PETROLEUM NO 4095 [FRS; 206 m] | CLEARESULT CONSULTING - DENVER [CDPHE RCRA; 247 m]</t>
  </si>
  <si>
    <t xml:space="preserve">AMERICAN EXTERIORS LLC [FRS; 147 m] | MAVERIK BROADWAY &amp; 58TH [FRS; 154 m] | CENTERCORE DISTRIBUTION CENTER [FRS; 204 m]</t>
  </si>
  <si>
    <t xml:space="preserve">TOTAL PETROLEUM NO 4095</t>
  </si>
  <si>
    <t xml:space="preserve">S01706</t>
  </si>
  <si>
    <t xml:space="preserve">3900 ULSTER</t>
  </si>
  <si>
    <t xml:space="preserve">AVIATION INCUSTRIAL SUPPLY CC (1968-1970; SIC 3544)</t>
  </si>
  <si>
    <t xml:space="preserve">AVIATION INCUSTRIAL SUPPLY CC (1968)</t>
  </si>
  <si>
    <t xml:space="preserve">AVIATION INDUSTRIAL SUPPLY [FRS; name match, 56 m]</t>
  </si>
  <si>
    <t xml:space="preserve">S01710</t>
  </si>
  <si>
    <t xml:space="preserve">4625 COLORADC BLVD</t>
  </si>
  <si>
    <t xml:space="preserve">WITTNEY + CO (1973; SIC 2834)</t>
  </si>
  <si>
    <t xml:space="preserve">BEHRENS FIXTURE CO (1968) | WITTNEY + CO (1973) | SIGFANY STYLETE INC (1980) | STYLITE INDUSTRIES INC. (1983) | ARKANSAS VALLEY SEED CO (1988) | STANDARD REGISTER (1988)</t>
  </si>
  <si>
    <t xml:space="preserve">EAST BALT BAKERY OF DENVER INC [CDPHE RCRA; 167 m] | CHEMTRADE SOLUTIONS LLC - DENVER [CDPHE RCRA; 167 m] | TRANSPRO [CDPHE RCRA; 167 m] | WAYMO LLC [CDPHE RCRA; 184 m] | ENVIRO-VAC INC [CDPHE RCRA; 209 m] | KOIS BROTHERS EQUIPMENT CO INC [FRS; 215 m] | RITE CHOICE [FRS; 225 m] | RESOLVE INDUSTRIES INC [FRS; 225 m] | SPECIALTY CHEMICALS &amp; SYSTEMS [FRS; 225 m] | GENPOWER INC [FRS; 233 m]</t>
  </si>
  <si>
    <t xml:space="preserve">ANGLEBOARD PLASTIC PACKAGING [FRS; 90 m] | ITW PLASTIC PACKAGING [FRS; 90 m] | US PLASTIC LUMBER CO [FRS; 90 m] | CUTTING EDGE GLASS [FRS; 135 m] | TIME SQUARE CLOTHING [FRS; 194 m] | NOTEBOOKS INC [FRS; 215 m] | PEST CONTROL SUPPLIES [FRS; 215 m]</t>
  </si>
  <si>
    <t xml:space="preserve">EAST BALT BAKERY OF DENVER INC</t>
  </si>
  <si>
    <t xml:space="preserve">S01721</t>
  </si>
  <si>
    <t xml:space="preserve">1051 S PLATTE RIVER DR 8223</t>
  </si>
  <si>
    <t xml:space="preserve">METRON INSTRUMENTS, INC (1968-1990; SIC 3821,3566,2395) | DENVER MFG CO (1970; SIC 3559)</t>
  </si>
  <si>
    <t xml:space="preserve">CUSTOM BUILT CONTRCLS DIV OF METRON (1968) | METRON INSTRUMENTS, INC (1968) | DENVER MFG CO (1970) | CuSTOM BUILT CONTROLS CIV OF METRON (1973) | DENVER MFG CO J &amp; SAMUELS GEN MGR (1973) | CONCRETE CURINS ENGINEERS INC (1977)</t>
  </si>
  <si>
    <t xml:space="preserve">METRON INSTRUMENTS INC [FRS; name match, 60 m]</t>
  </si>
  <si>
    <t xml:space="preserve">Gates Rubber: Bulk Oil Storage (#3)</t>
  </si>
  <si>
    <t xml:space="preserve">S01723</t>
  </si>
  <si>
    <t xml:space="preserve">2234 S LIPAN ST</t>
  </si>
  <si>
    <t xml:space="preserve">1968;1974;1980;1990</t>
  </si>
  <si>
    <t xml:space="preserve">OEFENSE COMPONENTS CO (1968; SIC 3679,3452) | WATERTITE INDUSTRIES INC (1974-1980; SIC 3542) | JPO EQUIPMENT COMPANY (1990; SIC 2499,3599,3411)</t>
  </si>
  <si>
    <t xml:space="preserve">OEFENSE COMPONENTS CO (1968) | WATERTITE INDUSTRIES INC (1974) | JPO EQUIPMENT COMPANY (1990)</t>
  </si>
  <si>
    <t xml:space="preserve">AAD DISPOSAL COMPANY [FRS; 1 m]</t>
  </si>
  <si>
    <t xml:space="preserve">AAD DISPOSAL COMPANY</t>
  </si>
  <si>
    <t xml:space="preserve">S01736</t>
  </si>
  <si>
    <t xml:space="preserve">5030 YORK</t>
  </si>
  <si>
    <t xml:space="preserve">DENVER VETERINARY LABCRATCRIES+ INC (1968-1970; SIC 2834) | COOPER USA INC. (1973-1974; SIC 2834)</t>
  </si>
  <si>
    <t xml:space="preserve">DENVER VETERINARY LABCRATCRIES+ INC (1968) | COOPER USA INC. (1973)</t>
  </si>
  <si>
    <t xml:space="preserve">ADOLPH COORS COMPANY -TRANSPORTATION [FRS; 23 m]</t>
  </si>
  <si>
    <t xml:space="preserve">DENVER TRANSFORMER SALES [FRS; 21 m] | E&amp;R PALLET REPAIR [FRS; 23 m]</t>
  </si>
  <si>
    <t xml:space="preserve">E &amp; R Pallet</t>
  </si>
  <si>
    <t xml:space="preserve">ADOLPH COORS COMPANY -TRANSPORTATION</t>
  </si>
  <si>
    <t xml:space="preserve">S01749</t>
  </si>
  <si>
    <t xml:space="preserve">1220 S ACOMA</t>
  </si>
  <si>
    <t xml:space="preserve">1968;1970;1977;1980;1990</t>
  </si>
  <si>
    <t xml:space="preserve">FLEXOVEYOR CCNVEYCR CC (1968-1980; SIC 3535) | FLEXOVEYOR INDUSTRIES INC (1990; SIC 3535,3537)</t>
  </si>
  <si>
    <t xml:space="preserve">FLEXOVEYOR CCNVEYCR CC (1968) | EXBUSTEES xe D.B.A..PFLEXOVEYOR CONVEYOR CO (1988) | FLEXOVEYOR INDUSTRIES INC (1990)</t>
  </si>
  <si>
    <t xml:space="preserve">APEX WOODWORKING [FRS; 1 m] | ROSEWATER CONSTRUCTION INC [FRS; 25 m]</t>
  </si>
  <si>
    <t xml:space="preserve">APEX WOODWORKING</t>
  </si>
  <si>
    <t xml:space="preserve">S01750</t>
  </si>
  <si>
    <t xml:space="preserve">2600 W 8TH</t>
  </si>
  <si>
    <t xml:space="preserve">1968;1990;1992</t>
  </si>
  <si>
    <t xml:space="preserve">FLINT INK CORP (1968-1992; SIC 2893)</t>
  </si>
  <si>
    <t xml:space="preserve">FLINT INK CORP (1968) | PALLETIZERS FLINT INK CORP (1988)</t>
  </si>
  <si>
    <t xml:space="preserve">FLINT INK CORP [FRS; name match, 16 m]</t>
  </si>
  <si>
    <t xml:space="preserve">FLINT INK CORP</t>
  </si>
  <si>
    <t xml:space="preserve">S01755</t>
  </si>
  <si>
    <t xml:space="preserve">2570 W 8TH AVE</t>
  </si>
  <si>
    <t xml:space="preserve">GREENLEAF INC (1968; SIC 2842,2431) | DENVER CONCRETE VIBRATOR INC (1983-1990; SIC 3531) | CANNED DIBRAPORINGRETE (1988; SIC 3531)</t>
  </si>
  <si>
    <t xml:space="preserve">GREENLEAF INC (1968) | DENVER CONCRETE VIBRATOR INC (1983) | CANNED DIBRAPORINGRETE (1988) | TORTILLAS, SAUCE EL MOLINO FOODS INC (1988) | EL MOLINO FOODS INC (1990)</t>
  </si>
  <si>
    <t xml:space="preserve">MILWAUKEE ELECTRIC TOOL CORP [FRS; 42 m]</t>
  </si>
  <si>
    <t xml:space="preserve">MILWAUKEE ELECTRIC TOOL CORP</t>
  </si>
  <si>
    <t xml:space="preserve">S01774</t>
  </si>
  <si>
    <t xml:space="preserve">2250 S LIPAN</t>
  </si>
  <si>
    <t xml:space="preserve">MARCO MFG CC (1968; SIC 3479) | MARCO MFG CO (1973-1983; SIC 3479)</t>
  </si>
  <si>
    <t xml:space="preserve">MARCO MFG CC (1968) | MARCO MFG CO (1973)</t>
  </si>
  <si>
    <t xml:space="preserve">MARCO MFG CO [FRS; name match, 10 m] | AAD DISPOSAL COMPANY [FRS; 31 m] | SPENCES BODYTEC DBA SPENCES CARSTAR [FRS; 33 m] | COLORADO BARRICADE [FRS; 33 m] | MARCO MFG CO [FRS] (address match)</t>
  </si>
  <si>
    <t xml:space="preserve">MARCO MFG CO</t>
  </si>
  <si>
    <t xml:space="preserve">S01793</t>
  </si>
  <si>
    <t xml:space="preserve">2555 S SANTA FE</t>
  </si>
  <si>
    <t xml:space="preserve">1968;1980;1988</t>
  </si>
  <si>
    <t xml:space="preserve">RCBBINS INCLBATOR CO (1968; SIC 3522) | ROBBINS INCUBATOR CO (1980; SIC 3523) | HERBS+SPICE INC (1988; SIC 2099,2833) | REPAIRS TAYLOR PIPE INC (1988; SIC 3068,3089)</t>
  </si>
  <si>
    <t xml:space="preserve">RCBBINS INCLBATOR CO (1968) | ROBBINS INCUBATOR CO 2645 OIE-CUT PAPER AND BOARD (1977) | ROBBINS INCUBATOR CO (1980) | HERBS+SPICE INC (1988) | REPAIRS TAYLOR PIPE INC (1988)</t>
  </si>
  <si>
    <t xml:space="preserve">ASSOC GEN CONTRACTORS [FRS; 5 m]</t>
  </si>
  <si>
    <t xml:space="preserve">ASSOC GEN CONTRACTORS</t>
  </si>
  <si>
    <t xml:space="preserve">S01804</t>
  </si>
  <si>
    <t xml:space="preserve">577 S JASON</t>
  </si>
  <si>
    <t xml:space="preserve">SKYLINE ENGRAVING (1968; SIC 3479) | MECHANICAL PRODUCTS (1988-1990; SIC 3599,3679)</t>
  </si>
  <si>
    <t xml:space="preserve">SKYLINE ENGRAVING (1968) | MECHANICAL PRODUCTS (1988)</t>
  </si>
  <si>
    <t xml:space="preserve">MECHANICAL PRODUCTS INC [FRS; name match, 4 m]</t>
  </si>
  <si>
    <t xml:space="preserve">MECHANICAL PRODUCTS INC</t>
  </si>
  <si>
    <t xml:space="preserve">S01822</t>
  </si>
  <si>
    <t xml:space="preserve">3950 KEARNEY</t>
  </si>
  <si>
    <t xml:space="preserve">1970;1973;1977;1983;1988;1990</t>
  </si>
  <si>
    <t xml:space="preserve">THARCO CONTAINERS (1970-1973; SIC 2653,3079) | PACIFIC INTERSTATE CORP (1977; SIC 3079) | TRANSAMERICAN EQUIPMENT ¢ DESIGN CORP (1983; SIC 3469,3449,3551) | STRATUS CORP (1988-1990; SIC 3443,3469,3631)</t>
  </si>
  <si>
    <t xml:space="preserve">TKARCO CCNTAINERS (1968) | THARCO CONTAINERS INC 3544 SPECIAL CIES» TOOLS, JIGS + FIXTURES (1974) | PACIFIC INTERSTATE CORP (1977) | TRANSAMERICAN EQUIPMENT ¢ DESIGN CORP (1983) | STRATUS CORP (1988)</t>
  </si>
  <si>
    <t xml:space="preserve">ADAMS MCCLURE [FRS; 1 m]</t>
  </si>
  <si>
    <t xml:space="preserve">ADAMS MCCLURE</t>
  </si>
  <si>
    <t xml:space="preserve">S01830</t>
  </si>
  <si>
    <t xml:space="preserve">4575 JACKSON</t>
  </si>
  <si>
    <t xml:space="preserve">STEAM WAY INTERNATIONAL INC (1990; SIC 3582,3589,2841)</t>
  </si>
  <si>
    <t xml:space="preserve">WACO ELECTRONICS INC 3362 BRASS, ERONZE, COPPER CASTINGS (1968) | PERFECTION TIP CO (1980) | OLSON INDUSTRIES INC (1988) | STEAM WAY INTERNATIONAL INC (1990)</t>
  </si>
  <si>
    <t xml:space="preserve">OLSON INDUSTRIES,INC [FRS; name match, 7 m] | PERFECTION TIP CO [FRS; name match, 7 m]</t>
  </si>
  <si>
    <t xml:space="preserve">STEAM WAY INTERNATIONAL [FRS; name match, 7 m]</t>
  </si>
  <si>
    <t xml:space="preserve">OLSON INDUSTRIES,INC</t>
  </si>
  <si>
    <t xml:space="preserve">S02000</t>
  </si>
  <si>
    <t xml:space="preserve">1020 WWW 8TH AVE</t>
  </si>
  <si>
    <t xml:space="preserve">COLORADO ENGRAVING CO (1973; SIC 2793,3566) | COLORADO ENGRAVING CO (1974; SIC 2793,3566) | REX CUSTOM COVERS (1988; SIC 2394,2515,3441) | ADAMS RETOUCHING MACHINE CO (1990; SIC 3861)</t>
  </si>
  <si>
    <t xml:space="preserve">REX CUSTCW COVERS (1968) | AD FOTO ENGRAVING INC (1970) | REX CUSTOM CCVERS © S OENNISON PRES (1970) | COLORADO ENGRAVING CO (1973) | COLORADO ENGRAVING CO (1974) |  (1974) | B + R SCREEN GRAPHICS (1980) | REX CUSTON COVERS INCORPCRATED (1983) | ADAMS RETOUCHING MACHINE CO (1990)</t>
  </si>
  <si>
    <t xml:space="preserve">B &amp; R SCREEN GRAPHICS [FRS; name match, 46 m]</t>
  </si>
  <si>
    <t xml:space="preserve">S02422</t>
  </si>
  <si>
    <t xml:space="preserve">1290 S BANNOCK ST</t>
  </si>
  <si>
    <t xml:space="preserve">CHRISTON GRINDING CO (1968; SIC 3599,3471) | BURR-GONN INC TENNECO CHEMICAL NEW YORK, NY (1973; SIC 2899) | COLORADO DIVISION OF SOIL TECH INC (1974; SIC 2899) | GRAYLING CANOE CO (1974; SIC 3732) | D+E MFG CO (1988-1990; SIC 3579)</t>
  </si>
  <si>
    <t xml:space="preserve">CHRISTON GRINDING CO (1968) | BURR-GONN INC TENNECO CHEMICAL NEW YORK, NY (1973) | CHEM-EX INC (1973) | COLORADO DIVISION OF SOIL TECH INC (1974) | GRAYLING CANOE CO (1974) | D+E MFG CO (1988)</t>
  </si>
  <si>
    <t xml:space="preserve">GO GREEN RECYCLING DBA SUSTAINABILITY [FRS; 4 m] | PARAGON ENVIRONMENTS INC [FRS; 53 m]</t>
  </si>
  <si>
    <t xml:space="preserve">S01996</t>
  </si>
  <si>
    <t xml:space="preserve">55 LIPAN</t>
  </si>
  <si>
    <t xml:space="preserve">A * W ENTERPRISES INC (1970-1980; SIC 3079)</t>
  </si>
  <si>
    <t xml:space="preserve">A * W ENTERPRISES INC (1970)</t>
  </si>
  <si>
    <t xml:space="preserve">PCS FOR PEOPLE [FRS; 23 m]</t>
  </si>
  <si>
    <t xml:space="preserve">PUBLIC SERVICE CO [FRS; 15 m]</t>
  </si>
  <si>
    <t xml:space="preserve">PCS FOR PEOPLE</t>
  </si>
  <si>
    <t xml:space="preserve">S02002</t>
  </si>
  <si>
    <t xml:space="preserve">1355 W ALAMEDA</t>
  </si>
  <si>
    <t xml:space="preserve">ALAMEDA ORNAMENTAL IRON (1970-1980; SIC 3441,3446,2015) | SOLAR SKYLIGHTS INC. (1983; SIC 3444)</t>
  </si>
  <si>
    <t xml:space="preserve">ALAMEDA ORNAMENTAL IRON (1970) | G K CABINET FIXTURES INC (1970) | SOLAR SKYLIGHTS INC. (1983)</t>
  </si>
  <si>
    <t xml:space="preserve">TAVIOS AUTO PAINT [FRS; 2 m] | PLAZA BROTHERS AUTO BODY INC [FRS; 6 m] | LJ DREILING INTERNATIONAL [FRS; 10 m] | PLAZA BROTHERS AUTO BODY INC [FRS] (address match)</t>
  </si>
  <si>
    <t xml:space="preserve">ALAMEDA ORNAMENTAL IRON [FRS; name match, 64 m] | AZTECA AUTO REPAIR &amp; PAINTING [FRS; 6 m] | DENVER JEEP EAGLE INC [FRS; 10 m]</t>
  </si>
  <si>
    <t xml:space="preserve">TAVIOS AUTO PAINT</t>
  </si>
  <si>
    <t xml:space="preserve">S02004</t>
  </si>
  <si>
    <t xml:space="preserve">1194 S BANNOCK</t>
  </si>
  <si>
    <t xml:space="preserve">CITIZENS INOUSTRIES INC (1974; SIC 3589) | REFLECTIVE ENGINEERING (1980; SIC 3232,2905)</t>
  </si>
  <si>
    <t xml:space="preserve">ASPEN MFG CORP (1970) | CITIZENS INOUSTRIES INC (1974) | ARROWHEAD INC (1980) | BUBLICATLON @RINTERS CORP (1980) | REFLECTIVE ENGINEERING (1980) | PUBLICATION PRINTERS CORP (1983)</t>
  </si>
  <si>
    <t xml:space="preserve">WINGS STUFF INC [FRS; 12 m]</t>
  </si>
  <si>
    <t xml:space="preserve">S02005</t>
  </si>
  <si>
    <t xml:space="preserve">95 RIO GRANDE BLVD</t>
  </si>
  <si>
    <t xml:space="preserve">SPECIAL APPLICATION FILTERS CCRP (1974; SIC 3569) | HYDROPONICS IND INC (1977; SIC 3079,2875)</t>
  </si>
  <si>
    <t xml:space="preserve">8 + N TRADE BINDERY CO (1970) | SPECIAL APPLICATION FILTERS CCRP (1974) | HYDROPONICS IND INC (1977) | SKYLINE COMPUTER FORMS INC (1983)</t>
  </si>
  <si>
    <t xml:space="preserve">EDGEWATER OFFICE PRODUCTS INC [FRS; 34 m] | CALAHAM CONSTRUCTION, INC. [FRS] (address match)</t>
  </si>
  <si>
    <t xml:space="preserve">DENVER RADIUM SITE</t>
  </si>
  <si>
    <t xml:space="preserve">EDGEWATER OFFICE PRODUCTS INC</t>
  </si>
  <si>
    <t xml:space="preserve">S02006</t>
  </si>
  <si>
    <t xml:space="preserve">4747 IRONTON ST</t>
  </si>
  <si>
    <t xml:space="preserve">BEST QUALITY PLASTICS INC (1970-1973; SIC 3079) | 8 Q P INCUSTRIES INC (1974-1988; SIC 3079)</t>
  </si>
  <si>
    <t xml:space="preserve">BEST QUALITY PLASTICS INC (1970) | 8 Q P INCUSTRIES INC (1974)</t>
  </si>
  <si>
    <t xml:space="preserve">CLEAN HARBORS ENVIRONMENTAL SERVICES INC [FRS; 19 m] | RESPECT MANUFACTURING [FRS; 19 m]</t>
  </si>
  <si>
    <t xml:space="preserve">Clean Harbors Environmental Services, Inc. [CDPHE Solid_Waste_Facilities; 40 m]</t>
  </si>
  <si>
    <t xml:space="preserve">CLEAN HARBORS ENVIRONMENTAL SERVICES INC</t>
  </si>
  <si>
    <t xml:space="preserve">S02007</t>
  </si>
  <si>
    <t xml:space="preserve">405 EMPIRE BUILDING</t>
  </si>
  <si>
    <t xml:space="preserve">BICKLEY» GEORGE, ENGRAVER (1970-1974; SIC 3479)</t>
  </si>
  <si>
    <t xml:space="preserve">BICKLEY» GEORGE, ENGRAVER (1970)</t>
  </si>
  <si>
    <t xml:space="preserve">LOWRY HILLS CARE AND REHABILITATION [CDPHE RCRA; 185 m]</t>
  </si>
  <si>
    <t xml:space="preserve">WENTZEL COMMERCIAL PARK LOT 1-B [FRS; 216 m] | LYLE ENGELHARDT [FRS; 249 m]</t>
  </si>
  <si>
    <t xml:space="preserve">LOWRY HILLS CARE AND REHABILITATION</t>
  </si>
  <si>
    <t xml:space="preserve">S02025</t>
  </si>
  <si>
    <t xml:space="preserve">545 S JASON</t>
  </si>
  <si>
    <t xml:space="preserve">FREEMAN + FREEMAN INC (1970; SIC 2842)</t>
  </si>
  <si>
    <t xml:space="preserve">FREEMAN + FREEMAN INC (1970) | ANVIL WILD MFG. COes INC (1983)</t>
  </si>
  <si>
    <t xml:space="preserve">MIBAR [FRS; 3 m]</t>
  </si>
  <si>
    <t xml:space="preserve">MIBAR</t>
  </si>
  <si>
    <t xml:space="preserve">S02028</t>
  </si>
  <si>
    <t xml:space="preserve">1125 W CUSTER PL</t>
  </si>
  <si>
    <t xml:space="preserve">MECHANICAL PRODUCTS INC (1980; SIC 3599,3679)</t>
  </si>
  <si>
    <t xml:space="preserve">HECKER MFG CO OF COLORADO (1970) | CLEMENTS BROTHERS IKC (1973) | SYSTEMS + SOFTWARE (1973) | MECHANICAL PRODUCTS INC (1980) | PETROLEUM SYSTEMS INC (1983) | ARTISTIC SIGNS (1990) | WESTERN SIGN MFG CO (1992)</t>
  </si>
  <si>
    <t xml:space="preserve">MECHANICAL PRODUCTS INC [FRS; name match, 125 m] | FUSE, INC. - PRINTING [FRS; 4 m] | MORRISON METAL FINISHING CORPORATION [FRS; 20 m] | S &amp; S ANODIZING INC [FRS; 20 m]</t>
  </si>
  <si>
    <t xml:space="preserve">TOP WORKS [FRS] (address match)</t>
  </si>
  <si>
    <t xml:space="preserve">FUSE, INC. - PRINTING</t>
  </si>
  <si>
    <t xml:space="preserve">S02029</t>
  </si>
  <si>
    <t xml:space="preserve">1500 W 47TH AVE</t>
  </si>
  <si>
    <t xml:space="preserve">HOECKEL, C F, BLANK BOOK + LITHO 3532 MINING MACHINERY 3079 MISCELLANEOUS PLASTICS PRODUCTS (1973; SIC 3591)</t>
  </si>
  <si>
    <t xml:space="preserve">HOECKELs C Fy BLANK BOOK + LITHO (1970) | HOECKEL, C F, BLANK BOOK + LITHO 3532 MINING MACHINERY 3079 MISCELLANEOUS PLASTICS PRODUCTS (1973) | C F HOECKEL COs THE (1983) | PIBERGLASS PRODUCTS THE C F HOECKEL CO (1988) | DAWSON ENTERPRISES INC (1992)</t>
  </si>
  <si>
    <t xml:space="preserve">K/P GRAPHICS, INC. [FRS; 3 m]</t>
  </si>
  <si>
    <t xml:space="preserve">C F HOECKEL COMPANY [FRS; name match, 57 m] | K/P GRAPHICS, INC. [FRS; 3 m] | C F HOECKEL COMPANY [FRS] (address match)</t>
  </si>
  <si>
    <t xml:space="preserve">DENVER URBAN GARDENS - COMMUNITY GARDEN AT STRIVE PREP SUNNYSIDE</t>
  </si>
  <si>
    <t xml:space="preserve">K/P GRAPHICS, INC.</t>
  </si>
  <si>
    <t xml:space="preserve">S02035</t>
  </si>
  <si>
    <t xml:space="preserve">3300 WALNUT</t>
  </si>
  <si>
    <t xml:space="preserve">1970;1973;1974;1977;1980;1988;1990;1992</t>
  </si>
  <si>
    <t xml:space="preserve">LIQUID CARBONIC CORP (1970; SIC 2813) | THOMAS MACHINE MFG @NC (1970-1977; SIC 3499) | WARREN PLATING CORP (1974; SIC 3471) | LIGHTING UNLIMITED INC 3079 MISCELLANEQUS PLASTICS PRIDUCTS (1977; SIC 3079) | SEMM CO THE (1980-1992; SIC 3931,3952,3471)</t>
  </si>
  <si>
    <t xml:space="preserve">LIQUID CARBONIC CORP (1970) | THOMAS MACHINE MFG @NC (1970) | BARGER-KNIGHT MFG CCRP (1973) | CHALK-CHUCK CO THE (1973) | DENVER SEAFOOD INC (1974) | LIGHTING UNLIMITED INC (1974) | WARREN PLATING CORP (1974) | LIGHTING UNLIMITED INC 3079 MISCELLANEQUS PLASTICS PRIDUCTS (1977) | SEMM CO THE (1980)</t>
  </si>
  <si>
    <t xml:space="preserve">JEMM CO [FRS; name match, 16 m] | REFRIGERATED FOODS INC [FRS; 18 m]</t>
  </si>
  <si>
    <t xml:space="preserve">33 ST OUTFALL LAWRENCE ST [FRS; 30 m]</t>
  </si>
  <si>
    <t xml:space="preserve">S02042</t>
  </si>
  <si>
    <t xml:space="preserve">1355 S INCA</t>
  </si>
  <si>
    <t xml:space="preserve">1970;1974;1988</t>
  </si>
  <si>
    <t xml:space="preserve">MOLDED PLASTICS CORP (1970-1974; SIC 3079) | BUDGET ENERGY SYSTEMS INC (1988; SIC 3089,3535)</t>
  </si>
  <si>
    <t xml:space="preserve">MOLDED PLASTICS CORP (1970) | BUDGET ENERGY SYSTEMS INC (1988)</t>
  </si>
  <si>
    <t xml:space="preserve">VANGO GRAPHICS INC [FRS; 23 m]</t>
  </si>
  <si>
    <t xml:space="preserve">S02046</t>
  </si>
  <si>
    <t xml:space="preserve">2290 S LIPAN</t>
  </si>
  <si>
    <t xml:space="preserve">1973;1988;1990;1992</t>
  </si>
  <si>
    <t xml:space="preserve">N-S MANUFACTURING INC (1973; SIC 2842) | NASSCO CHEMICAL CO (1973; SIC 2842) | BETTINGER WEST INC (1988-1990; SIC 2426,2542,3463) | ALUMAGUARD (1990; SIC 3442,3449,3466) | CHOICE CHEMICAL CO INC (1990; SIC 2841) | CHOICE MANUFACTURING CO (1992; SIC 2841)</t>
  </si>
  <si>
    <t xml:space="preserve">NASSCO OF DENVER 3990 ULSTER (1970) | N-S MANUFACTURING INC (1973) | NASSCO CHEMICAL CO (1973) | BETTINGER WEST INC (1988) | ALUMAGUARD (1990) | CHOICE CHEMICAL CO INC (1990) | CHOICE MANUFACTURING CO (1992)</t>
  </si>
  <si>
    <t xml:space="preserve">CHOICE MANUFACTURING COMPANY [FRS; name match, 2 m] | SPENCES BODYTEC DBA SPENCES CARSTAR [FRS; 39 m] | COLORADO BARRICADE [FRS; 39 m] | CHOICE MANUFACTURING COMPANY [FRS] (address match)</t>
  </si>
  <si>
    <t xml:space="preserve">CHOICE MANUFACTURING COMPANY</t>
  </si>
  <si>
    <t xml:space="preserve">S02052</t>
  </si>
  <si>
    <t xml:space="preserve">4980 MONROE ST</t>
  </si>
  <si>
    <t xml:space="preserve">PLASTIC CONTAINER CORP (1970; SIC 3079)</t>
  </si>
  <si>
    <t xml:space="preserve">PLASTIC CONTAINER CORP (1970) | CUSTOM TAPE + LABEL CC (1974)</t>
  </si>
  <si>
    <t xml:space="preserve">CUSTOM TAPE &amp; LABEL CO [FRS] (address match) | CUSTOM TAPE AND LABEL CO. [CDPHE RCRA] (address match)</t>
  </si>
  <si>
    <t xml:space="preserve">POWER MOTIVE CORP</t>
  </si>
  <si>
    <t xml:space="preserve">S02056</t>
  </si>
  <si>
    <t xml:space="preserve">1020 YUMA</t>
  </si>
  <si>
    <t xml:space="preserve">ROCKY MOUNTAIN RESEARCH INC (1970; SIC 2819)</t>
  </si>
  <si>
    <t xml:space="preserve">ROCKY MOUNTAIN RESEARCH INC (1970)</t>
  </si>
  <si>
    <t xml:space="preserve">EMSL ANALYTICAL INC [FRS; 37 m]</t>
  </si>
  <si>
    <t xml:space="preserve">Cintas/G&amp;K</t>
  </si>
  <si>
    <t xml:space="preserve">EMSL ANALYTICAL INC</t>
  </si>
  <si>
    <t xml:space="preserve">S02060</t>
  </si>
  <si>
    <t xml:space="preserve">725 S BROADWAY</t>
  </si>
  <si>
    <t xml:space="preserve">SKYLINE INDUSTRIES INC (1970; SIC 3479,3999)</t>
  </si>
  <si>
    <t xml:space="preserve">SKYLINE INDUSTRIES INC (1970) | SKYLINE INDUSTRIES INC J PHURMAN GEN MGR (1973)</t>
  </si>
  <si>
    <t xml:space="preserve">ECONO LUBE N TUNE #270 [FRS; 10 m]</t>
  </si>
  <si>
    <t xml:space="preserve">S02066</t>
  </si>
  <si>
    <t xml:space="preserve">1127 S JASON</t>
  </si>
  <si>
    <t xml:space="preserve">1970;1974;1977;1988</t>
  </si>
  <si>
    <t xml:space="preserve">UNDERWOOD SALES + MFG CO (1970-1977; SIC 3591) | WINDOW WALLS R J R CIRCUITS INC (1988; SIC 3672)</t>
  </si>
  <si>
    <t xml:space="preserve">UNDERWOOD SALES + MFG CO (1970) | WINDOW WALLS R J R CIRCUITS INC (1988)</t>
  </si>
  <si>
    <t xml:space="preserve">RJR CIRCUITS INC [FRS; 33 m]</t>
  </si>
  <si>
    <t xml:space="preserve">S02218</t>
  </si>
  <si>
    <t xml:space="preserve">5801 FEDERAL BLVD</t>
  </si>
  <si>
    <t xml:space="preserve">AERO OIL CO (1973; SIC 2992) | AMERICAN ECOLOGICAL RECYCLE RESEARCH CORP (1973; SIC 3841,2899) | AERO OTL OLY GE AMER. ECOLOGICAL RECYCLE (1980; SIC 2899,2992)</t>
  </si>
  <si>
    <t xml:space="preserve">AERO OIL CO (1973) | AMERICAN ECOLOGICAL RECYCLE RESEARCH CORP (1973) | AERO OTL OLY GE AMER. ECOLOGICAL RECYCLE (1980)</t>
  </si>
  <si>
    <t xml:space="preserve">MINING CHEMICAL CO [FRS; 34 m] | SILVER ANVIL ENGINEERING CORP [FRS; 34 m]</t>
  </si>
  <si>
    <t xml:space="preserve">S02251</t>
  </si>
  <si>
    <t xml:space="preserve">2200 S VALENTIA</t>
  </si>
  <si>
    <t xml:space="preserve">CREST FENCE CO (1973-1974; SIC 3496) | WEATHER SYSTEMS INC (1977; SIC 3569) | WEMCO INC (1977; SIC 3599,3499)</t>
  </si>
  <si>
    <t xml:space="preserve">CREST FENCE CO (1973) | WEATHER SYSTEMS INC (1977) | WEMCO INC (1977)</t>
  </si>
  <si>
    <t xml:space="preserve">ARAGON PROPERTIES LLC [FRS; 39 m]</t>
  </si>
  <si>
    <t xml:space="preserve">ARAGON PROPERTIES LLC</t>
  </si>
  <si>
    <t xml:space="preserve">S02398</t>
  </si>
  <si>
    <t xml:space="preserve">1558 CALIFORNIA ST</t>
  </si>
  <si>
    <t xml:space="preserve">AOCOMOLD INC (1973-1974; SIC 3842,3079)</t>
  </si>
  <si>
    <t xml:space="preserve">AOCOMOLD INC (1973) | ADCO HEARING CONSERVATION INC (1980)</t>
  </si>
  <si>
    <t xml:space="preserve">ROBERT WAXMAN INC [FRS; 11 m]</t>
  </si>
  <si>
    <t xml:space="preserve">S02399</t>
  </si>
  <si>
    <t xml:space="preserve">5 S KALAMATH</t>
  </si>
  <si>
    <t xml:space="preserve">AINSWORTH AIR EQUIPMENT CO (1973; SIC 3563)</t>
  </si>
  <si>
    <t xml:space="preserve">AINSWORTH AIR EQUIPMENT CO (1973)</t>
  </si>
  <si>
    <t xml:space="preserve">TG X-RAY LTD [FRS; 2 m] | TG X-RAY LTD [FRS] (address match)</t>
  </si>
  <si>
    <t xml:space="preserve">ACCURACY FIRST PRINTING [FRS; 4 m] | ESELL INC. [FRS; 36 m]</t>
  </si>
  <si>
    <t xml:space="preserve">S02400</t>
  </si>
  <si>
    <t xml:space="preserve">1158 S JASON</t>
  </si>
  <si>
    <t xml:space="preserve">AIR-MAC MANUFACTURING CO (1973-1990; SIC 3561)</t>
  </si>
  <si>
    <t xml:space="preserve">AIR-MAC MANUFACTURING CO (1973)</t>
  </si>
  <si>
    <t xml:space="preserve">MCGEE COMPANY [FRS; 24 m] | RJR CIRCUITS INC [FRS; 27 m]</t>
  </si>
  <si>
    <t xml:space="preserve">MCGEE COMPANY</t>
  </si>
  <si>
    <t xml:space="preserve">S02427</t>
  </si>
  <si>
    <t xml:space="preserve">2201 S KALAMATH</t>
  </si>
  <si>
    <t xml:space="preserve">ERBNEA Door (1988; SIC 2431,2831)</t>
  </si>
  <si>
    <t xml:space="preserve">COLONIAL CABINET AND OOOR CO (1973) | CULGNIAL CABINET AND COOR CO (1974) | ERBNEA Door (1988)</t>
  </si>
  <si>
    <t xml:space="preserve">ROCKY MOUNTAIN ELECTRICAL AND AUTOMATION (RMEA) [FRS; 27 m] | MASTER COLLISION SPECIALISTS INC [FRS; 39 m]</t>
  </si>
  <si>
    <t xml:space="preserve">S02429</t>
  </si>
  <si>
    <t xml:space="preserve">1955 S CHEROKEE</t>
  </si>
  <si>
    <t xml:space="preserve">SERVICE — AIR INC (1973; SIC 3564) | COLGRACO METAL MFG CO INC (1974-1983; SIC 3444,3446) | COLORADO METAL AFG Ca ENC (1980; SIC 3444) | HI-TECH FILTER CO (1990; SIC 3089) | PLASTICS DESIGN + MANUFACTURING INC (1990; SIC 3089,3086)</t>
  </si>
  <si>
    <t xml:space="preserve">COLORADO METAL SERVICE Co INC F PHILIPPE ve (1973) | SERVICE — AIR INC (1973) | COLGRACO METAL MFG CO INC (1974) | COLORADO METAL AFG Ca ENC (1980) | EQUIPMENT HI-TECH FILTER CO (1988) | HI-TECH FILTER CO (1990) | PLASTICS DESIGN + MANUFACTURING INC (1990)</t>
  </si>
  <si>
    <t xml:space="preserve">PLASTICS DESIGN &amp; MFG INC [FRS; name match, 6 m]</t>
  </si>
  <si>
    <t xml:space="preserve">S02438</t>
  </si>
  <si>
    <t xml:space="preserve">1144 S BANNOCK</t>
  </si>
  <si>
    <t xml:space="preserve">1973;1974;1980;1990</t>
  </si>
  <si>
    <t xml:space="preserve">D + € MFG CO INC (1973; SIC 3591) | O + — MFG CO INC (1974; SIC 3591) | A-GANDPY + ANNING, INC. (1980; SIC 2394,3079,3444) | BAYENS J J CGMPANY (1980; SIC 3546,3561) | DIAMOND IRON WORKS (1990; SIC 3442,3446)</t>
  </si>
  <si>
    <t xml:space="preserve">D + € MFG CO INC (1973) | O + — MFG CO INC (1974) | A-GANDPY + ANNING, INC. (1980) | BAYENS J J CGMPANY (1980) | A-CANVAS CANOPY INC (1983) | CONE MOUNTER COMPANY (1983) | DIAMOND IRON WORKS (1990)</t>
  </si>
  <si>
    <t xml:space="preserve">SIGN SYSTEMS INC [FRS; 51 m]</t>
  </si>
  <si>
    <t xml:space="preserve">CRAWFORD PRINTING INK INC [FRS; 55 m]</t>
  </si>
  <si>
    <t xml:space="preserve">SIGN SYSTEMS INC</t>
  </si>
  <si>
    <t xml:space="preserve">S02445</t>
  </si>
  <si>
    <t xml:space="preserve">2155 S VALENTIA ST</t>
  </si>
  <si>
    <t xml:space="preserve">ELCAR FENCE + SUPPLY CO (1973-1990; SIC 2499,3496) | SAUCES, REFRIED BEA ELCAR FENCE+SUPPLY (1988; SIC 2499,3496)</t>
  </si>
  <si>
    <t xml:space="preserve">ELCAR FENCE + SUPPLY CO (1973) | SAUCES, REFRIED BEA ELCAR FENCE+SUPPLY (1988)</t>
  </si>
  <si>
    <t xml:space="preserve">JAMES HEAVY EQUIPMENT [FRS; 32 m]</t>
  </si>
  <si>
    <t xml:space="preserve">JAMES HEAVY EQUIPMENT</t>
  </si>
  <si>
    <t xml:space="preserve">S02450</t>
  </si>
  <si>
    <t xml:space="preserve">2025 S LIPAN</t>
  </si>
  <si>
    <t xml:space="preserve">MARKON PLASTICS (1980-1983; SIC 3544)</t>
  </si>
  <si>
    <t xml:space="preserve">FABRICATED WOOD PRODUCTS CO (1973) |  (1974) | MARKON PLASTICS (1980)</t>
  </si>
  <si>
    <t xml:space="preserve">MARKON MANUFACTURING INC [FRS; name match, 142 m]</t>
  </si>
  <si>
    <t xml:space="preserve">BARNUM PRINTING &amp; PUBLISHING [FRS; 41 m]</t>
  </si>
  <si>
    <t xml:space="preserve">DICKENSHEET &amp; ASSOCITATES INC</t>
  </si>
  <si>
    <t xml:space="preserve">S02451</t>
  </si>
  <si>
    <t xml:space="preserve">1634 VALLEJO</t>
  </si>
  <si>
    <t xml:space="preserve">FABRICO MFG CO (1973; SIC 3599)</t>
  </si>
  <si>
    <t xml:space="preserve">FABRICO MFG CO (1973)</t>
  </si>
  <si>
    <t xml:space="preserve">AMERICAN TUBE TECHNOLOGY INC [CDPHE RCRA; 201 m]</t>
  </si>
  <si>
    <t xml:space="preserve">AMERICAN TUBE TECHNOLOGY INC</t>
  </si>
  <si>
    <t xml:space="preserve">S02456</t>
  </si>
  <si>
    <t xml:space="preserve">35 S RARITAN</t>
  </si>
  <si>
    <t xml:space="preserve">GENERAL INDUSTRIES (1974; SIC 3316)</t>
  </si>
  <si>
    <t xml:space="preserve">GENERAL INDUSTRI . (1973)</t>
  </si>
  <si>
    <t xml:space="preserve">DIESELS ONLY II [FRS; 2 m]</t>
  </si>
  <si>
    <t xml:space="preserve">GENERAL IRON &amp; STEEL, INC. [FRS; name match, 197 m] | MV TRANSPORTATION INC [FRS; 2 m]</t>
  </si>
  <si>
    <t xml:space="preserve">S02457</t>
  </si>
  <si>
    <t xml:space="preserve">3301 W ALAMEDA AVE</t>
  </si>
  <si>
    <t xml:space="preserve">AMERICAN AWNING+PATIO CO (1988; SIC 2394,3442,3448)</t>
  </si>
  <si>
    <t xml:space="preserve">GLENSHORE MFG C6 (1973) | ALLEN MFG (1974) | ROCKY MOUNTAIN CANVAS INC (1980) |  (1983) | AMERICAN AWNING+PATIO CO (1988)</t>
  </si>
  <si>
    <t xml:space="preserve">YOUR VALET CLNRS &amp; SHIRT LAUNDRY [FRS; 37 m]</t>
  </si>
  <si>
    <t xml:space="preserve">REP: ALAMEDA &amp; IRVING AREA MAX#20152066 PT 20751 [FRS; 26 m]</t>
  </si>
  <si>
    <t xml:space="preserve">S02463</t>
  </si>
  <si>
    <t xml:space="preserve">1700 FILLMORE</t>
  </si>
  <si>
    <t xml:space="preserve">JACOBS INDUSTRIES (1973; SIC 3441)</t>
  </si>
  <si>
    <t xml:space="preserve">JACOBS INDUSTRIES (1973)</t>
  </si>
  <si>
    <t xml:space="preserve">THE COLOUR COMPANY INC [FRS; 62 m] | PRECEDENT HEALTH CENTER [FRS; 98 m] | ST PAUL HEALTH CENTER [FRS; 209 m] | DPS EAST HIGH [FRS; 223 m]</t>
  </si>
  <si>
    <t xml:space="preserve">AMRP MARION AND 22 [FRS; 96 m] | FRONT RANGE VENTURES [FRS; 171 m] | VENUE THE [FRS; 201 m]</t>
  </si>
  <si>
    <t xml:space="preserve">THE COLOUR COMPANY INC</t>
  </si>
  <si>
    <t xml:space="preserve">S02467</t>
  </si>
  <si>
    <t xml:space="preserve">5366 GARFIELD</t>
  </si>
  <si>
    <t xml:space="preserve">K-ALPHA CORP (1973-1980; SIC 3679)</t>
  </si>
  <si>
    <t xml:space="preserve">K-ALPHA CORP (1973) | K-ALPHA Corp 1628 16TH (1977)</t>
  </si>
  <si>
    <t xml:space="preserve">ASPEN WASTE SERVICES AND DISPOSAL LLC [CDPHE RCRA; 12 m] | DRAN V SILER PRINTING CO [CDPHE RCRA; 12 m]</t>
  </si>
  <si>
    <t xml:space="preserve">ASPEN WASTE SERVICES AND DISPOSAL LLC</t>
  </si>
  <si>
    <t xml:space="preserve">S02477</t>
  </si>
  <si>
    <t xml:space="preserve">1570 S ACOMA</t>
  </si>
  <si>
    <t xml:space="preserve">MANUFACTURERS RESEARCH CO (1973-1974; SIC 3496,3493) | HAMPTONs DALE, COs, ING. (1980-1983; SIC 2125,3429) | HAMPTON LOCK CO INC (1990; SIC 3429)</t>
  </si>
  <si>
    <t xml:space="preserve">MANUFACTURERS RESEARCH CO (1973) | HAMPTONs DALE, COs, ING. (1980) | HAMPTON LOCK CO INC (1990)</t>
  </si>
  <si>
    <t xml:space="preserve">DENVER OIL LLC [FRS; 13 m]</t>
  </si>
  <si>
    <t xml:space="preserve">WOODWORKERS OF DENVER INC</t>
  </si>
  <si>
    <t xml:space="preserve">DENVER OIL LLC</t>
  </si>
  <si>
    <t xml:space="preserve">S02479</t>
  </si>
  <si>
    <t xml:space="preserve">2001 S PLATTE RIVER DR</t>
  </si>
  <si>
    <t xml:space="preserve">1973;1974;1980;1988</t>
  </si>
  <si>
    <t xml:space="preserve">MARKON MANUFACTURING INC (1973-1980; SIC 2751,3479) | SHEET METAL WRK ARROWHEAD INC (1988; SIC 3843,2499,2752)</t>
  </si>
  <si>
    <t xml:space="preserve">MARKON MANUFACTURING INC (1973) | SHEET METAL WRK ARROWHEAD INC (1988) | ARROWHEAD INC (1990) | PUBLICATION PRINTERS CORP (1990)</t>
  </si>
  <si>
    <t xml:space="preserve">PUBLICATION PRINTERS CORP [CDPHE RCRA; name match, 47 m] | MARKON MANUFACTURING INC [FRS; name match, 172 m] | PUBLICATION PRINTERS CORP [FRS; name match, 172 m] | MARKON MANUFACTURING INC [FRS] (address match) | PUBLICATION PRINTERS CORP [CDPHE RCRA] (address match)</t>
  </si>
  <si>
    <t xml:space="preserve">AIRGAS USA LLC</t>
  </si>
  <si>
    <t xml:space="preserve">S02481</t>
  </si>
  <si>
    <t xml:space="preserve">4925 38TH AVE</t>
  </si>
  <si>
    <t xml:space="preserve">MC ATEE BOLT CO (1973-1974; SIC 3452,3499)</t>
  </si>
  <si>
    <t xml:space="preserve">MC ATEE BOLT CO (1973)</t>
  </si>
  <si>
    <t xml:space="preserve">HUD CLEANUP FRONT RANGE ASBESTOS REMOVAL [FRS; 68 m] | POLAR ICE [FRS; 106 m]</t>
  </si>
  <si>
    <t xml:space="preserve">POLIDORI MEAT PROCESSORS [FRS; 91 m] | POLAR REFRIGERATION [FRS; 106 m] | QTG CDSD DENVER [FRS; 113 m] | CUSTOM GRANITE INTERIORS, LLC [FRS; 136 m] | ALSCO [FRS; 137 m] | EAGLE DIRECT [FRS; 183 m] | HULL PHOTO [FRS; 185 m] | SPECTRUM GENERAL CONTRACTING INC [FRS; 218 m]</t>
  </si>
  <si>
    <t xml:space="preserve">S02489</t>
  </si>
  <si>
    <t xml:space="preserve">4158 JASON ST</t>
  </si>
  <si>
    <t xml:space="preserve">NORTH DENVER ANODIZING COMPANY (1973-1974; SIC 3471)</t>
  </si>
  <si>
    <t xml:space="preserve">NORTH DENVER ANODIZING COMPANY (1973) | AQUALINE COMPANY (1980) | bt ae DESIGN, DESKTOP AQUALINE CO (1988)</t>
  </si>
  <si>
    <t xml:space="preserve">ART'S AUTO BODY [FRS; 24 m]</t>
  </si>
  <si>
    <t xml:space="preserve">ALLOY SUNNYSIDE [FRS; 12 m]</t>
  </si>
  <si>
    <t xml:space="preserve">ART'S AUTO BODY</t>
  </si>
  <si>
    <t xml:space="preserve">S02491</t>
  </si>
  <si>
    <t xml:space="preserve">1360 7TH ST</t>
  </si>
  <si>
    <t xml:space="preserve">QIL PRODUCERS CHEMICAL CORP (1973-1974; SIC 2899)</t>
  </si>
  <si>
    <t xml:space="preserve">QIL PRODUCERS CHEMICAL CORP (1973)</t>
  </si>
  <si>
    <t xml:space="preserve">AURARIA HIGHER EDUCATION CENTER [CDPHE RCRA; 32 m] | UNIVERSITY OF COLORADO - DENVER [CDPHE RCRA; 32 m]</t>
  </si>
  <si>
    <t xml:space="preserve">5th Street Parking Garage II</t>
  </si>
  <si>
    <t xml:space="preserve">S02493</t>
  </si>
  <si>
    <t xml:space="preserve">10777 E 45TH AVE</t>
  </si>
  <si>
    <t xml:space="preserve">POWER APPLICATION + MFG CO (1973-1990; SIC 3566,3621,3563)</t>
  </si>
  <si>
    <t xml:space="preserve">POWER APPLICATION + MFG CO (1973)</t>
  </si>
  <si>
    <t xml:space="preserve">SCOTT SYSTEM INC [FRS; 25 m] | SCOTT SYSTEM INC [FRS] (address match)</t>
  </si>
  <si>
    <t xml:space="preserve">POWER APPLICATION &amp; MFG CO [FRS; name match, 25 m] | POWER APPLICATION &amp; MFG CO [FRS] (address match)</t>
  </si>
  <si>
    <t xml:space="preserve">SCOTT SYSTEM INC</t>
  </si>
  <si>
    <t xml:space="preserve">S02513</t>
  </si>
  <si>
    <t xml:space="preserve">2360 S DELAWARE</t>
  </si>
  <si>
    <t xml:space="preserve">1973;1974;1980;1983;1988;1990;1992</t>
  </si>
  <si>
    <t xml:space="preserve">BETA CORP (1973-1974; SIC 3599,3479) | PAN-AMERICAN PAPER CO (1980; SIC 2653,2643,3499) | STAINLESS FABRICATING CO (1980-1992; SIC 3551,2599) | HUBBARD SALES + SERVICE (1983; SIC 3599,3589,2511) | THERM~AIRE (1983; SIC 3444,3292) | (GOLESH INC (1992; SIC 2431,2499,3442)</t>
  </si>
  <si>
    <t xml:space="preserve">BETA CORP (1973) | STAINLESS FABRICATING CO (1973) | PAN-AMERICAN PAPER CO (1980) | HUBBARD SALES + SERVICE (1983) | THERM~AIRE (1983) | (GOLESH INC (1992)</t>
  </si>
  <si>
    <t xml:space="preserve">QUALITY CORPORATION [FRS; 83 m] | DBTL DBA COLORADO SIGNS [CDPHE RCRA; 84 m] | WOOD CRAFT UNLIMITED [CDPHE RCRA; 84 m] | SPECIALTY PLATING INC [CDPHE RCRA; 84 m] | SPECIALTY PLATING INCORPORATED [FRS; 86 m]</t>
  </si>
  <si>
    <t xml:space="preserve">BARTON MFG CO [FRS; 75 m]</t>
  </si>
  <si>
    <t xml:space="preserve">QUALITY CORPORATION</t>
  </si>
  <si>
    <t xml:space="preserve">S02516</t>
  </si>
  <si>
    <t xml:space="preserve">2700 WALNUT ST</t>
  </si>
  <si>
    <t xml:space="preserve">SUPERIOR FABRICATORS + GASKETS (1973-1983; SIC 3079) | INOUCTION HARDENING CORP (1980; SIC 3471) | nes ioN HARDENING (1988; SIC 3363,3471) | INTERNATIONAL TECHNIFAB (1988; SIC 1425,3053,3089)</t>
  </si>
  <si>
    <t xml:space="preserve">SUPERIOR FABRICATORS + GASKETS (1973) | SIMPSON-QUIMBY CO (1977) | HAL SIMPSON CO (1980) | INOUCTION HARDENING CORP (1980) | nes ioN HARDENING (1988) | INTERNATIONAL TECHNIFAB (1988)</t>
  </si>
  <si>
    <t xml:space="preserve">COLORADO COLOR SPECIALTIES INC [FRS; 54 m]</t>
  </si>
  <si>
    <t xml:space="preserve">27 ST STORM DRAIN INTERCEPTOR [FRS; 55 m]</t>
  </si>
  <si>
    <t xml:space="preserve">Coors Parking Garage</t>
  </si>
  <si>
    <t xml:space="preserve">COLORADO COLOR SPECIALTIES INC</t>
  </si>
  <si>
    <t xml:space="preserve">S02519</t>
  </si>
  <si>
    <t xml:space="preserve">1940 WW 12TH PL</t>
  </si>
  <si>
    <t xml:space="preserve">DU-WALD STEEL CORPORATION (1990; SIC 3312,3341)</t>
  </si>
  <si>
    <t xml:space="preserve">TEPPER PRINTING CO (1973) | DU-WALD STEEL CORPORATION (1990)</t>
  </si>
  <si>
    <t xml:space="preserve">CTL/THOMPSON INC - ASPHALT DIVISION [CDPHE RCRA; 5 m] | OBENCHAIN PRINTING CO [FRS; 29 m]</t>
  </si>
  <si>
    <t xml:space="preserve">BROOMHALL BROTHERS [FRS; 32 m]</t>
  </si>
  <si>
    <t xml:space="preserve">S02521</t>
  </si>
  <si>
    <t xml:space="preserve">788 W 8 AVE</t>
  </si>
  <si>
    <t xml:space="preserve">1973;1977;1990</t>
  </si>
  <si>
    <t xml:space="preserve">TIME SAVERS OF DENVER LTD (1973-1977; SIC 2599,3546,3549) | JOHNSON + HELD LTD (1990; SIC 3466,3911,3961)</t>
  </si>
  <si>
    <t xml:space="preserve">TIME SAVERS OF DENVER LTD (1973) | JOHNSON + HELD LTD (1990)</t>
  </si>
  <si>
    <t xml:space="preserve">DENVER LAUNDRY &amp; DRY CLEANING CO [FRS; 25 m]</t>
  </si>
  <si>
    <t xml:space="preserve">VANGUARD CONSTRUCTION [FRS; 21 m] | NEIGHBORHOOD GAS &amp; FOOD [FRS; 25 m]</t>
  </si>
  <si>
    <t xml:space="preserve">S02523</t>
  </si>
  <si>
    <t xml:space="preserve">112 W ALAMEDA AVE</t>
  </si>
  <si>
    <t xml:space="preserve">TRENDSETTER PLASTICS (1973; SIC 3079)</t>
  </si>
  <si>
    <t xml:space="preserve">TRENDSETTER PLASTICS (1973) | DOLAN BOOKBSINDING (1980)</t>
  </si>
  <si>
    <t xml:space="preserve">FRED AND SIE'S AUTO BODY [CDPHE RCRA; 2 m] | DENVER DIGITAL IMAGING CENTER [FRS; 49 m]</t>
  </si>
  <si>
    <t xml:space="preserve">7-ELEVEN - STORE #23899 [FRS; 31 m]</t>
  </si>
  <si>
    <t xml:space="preserve">FRED AND SIE'S AUTO BODY</t>
  </si>
  <si>
    <t xml:space="preserve">S02531</t>
  </si>
  <si>
    <t xml:space="preserve">1860 LINCOLN</t>
  </si>
  <si>
    <t xml:space="preserve">WILFLEYs A Ry * SONS INC (1973; SIC 3561)</t>
  </si>
  <si>
    <t xml:space="preserve">WILFLEYs A Ry * SONS INC (1973) | INTEGRATED GRAPHICS SYSTEMS INC (1988)</t>
  </si>
  <si>
    <t xml:space="preserve">CAIN-T-SQUARE [FRS; 48 m]</t>
  </si>
  <si>
    <t xml:space="preserve">Skyhouse Denver II</t>
  </si>
  <si>
    <t xml:space="preserve">CAIN-T-SQUARE</t>
  </si>
  <si>
    <t xml:space="preserve">S02532</t>
  </si>
  <si>
    <t xml:space="preserve">2635 S SANTA FE</t>
  </si>
  <si>
    <t xml:space="preserve">1973;1974;1977;1980;1988;1992</t>
  </si>
  <si>
    <t xml:space="preserve">WINDSOR INDUSTRIES INC (1973-1977; SIC 2842,3589) | SOGARADO INC (1980; SIC 3433) | MINOSOR ENDUSTRIGS INC (1980; SIC 3589) | PRORAAINE TORE (1988; SIC 2782,7372,1011) | DATA PACKAGING INC (1992; SIC 2782,2752,3089)</t>
  </si>
  <si>
    <t xml:space="preserve">WINDSOR INDUSTRIES INC (1973) | SOGARADO INC (1980) | MINOSOR ENDUSTRIGS INC (1980) | PRORAAINE TORE (1988) | KART ABRASIVE PRODUCTS INC (1988) | MEDIA PACKAGING INC (1988) | COMMUNICATIONS PACKAGING CORP (1990)</t>
  </si>
  <si>
    <t xml:space="preserve">DATA PACKAGING INCORATED [FRS; name match, 25 m] | ALL CITY POOLS &amp; SPAS INC [FRS; 41 m] | DATA PACKAGING INCORATED [FRS] (address match) | DATA PACKAGING INCORATED [CDPHE RCRA] (address match)</t>
  </si>
  <si>
    <t xml:space="preserve">TRIAD SERVICE SOLUTIONS [FRS; 25 m] | REBATH OF COLORADO [FRS; 25 m] | ZEROREZ OF DENVER, INC. [FRS; 25 m] | ZEROREZ DENVER [FRS; 25 m]</t>
  </si>
  <si>
    <t xml:space="preserve">DATA PACKAGING INCORATED</t>
  </si>
  <si>
    <t xml:space="preserve">S02758</t>
  </si>
  <si>
    <t xml:space="preserve">6845 E 48TH AVE</t>
  </si>
  <si>
    <t xml:space="preserve">MIDO PRINTENG CO, INC. (1980; SIC 2751,2752,3041)</t>
  </si>
  <si>
    <t xml:space="preserve">J 0 LITHO FOTO COPY SERVICE (1974) | MIDO PRINTIMS CO, INC. (1977)</t>
  </si>
  <si>
    <t xml:space="preserve">MIDO PRINTING [FRS; name match, 2 m] | BRAHMA OF COLORADO [FRS; 31 m] | MIDO PRINTING [FRS] (address match) | MIDO PRINTING [CDPHE RCRA] (address match)</t>
  </si>
  <si>
    <t xml:space="preserve">MIDO PRINTING</t>
  </si>
  <si>
    <t xml:space="preserve">S02762</t>
  </si>
  <si>
    <t xml:space="preserve">6060 49TH</t>
  </si>
  <si>
    <t xml:space="preserve">TECHNE CORPORATEON (1974; SIC 2873,2874,2899)</t>
  </si>
  <si>
    <t xml:space="preserve">TECHNE CORPORATEON (1974)</t>
  </si>
  <si>
    <t xml:space="preserve">EQUILON ENTERPRISES LLC [FRS; 210 m]</t>
  </si>
  <si>
    <t xml:space="preserve">24057 I-70 BRIDGE OVER HARLAN [FRS; 183 m] | MIDWEST HOMES [FRS; 233 m]</t>
  </si>
  <si>
    <t xml:space="preserve">EQUILON ENTERPRISES LLC</t>
  </si>
  <si>
    <t xml:space="preserve">S02763</t>
  </si>
  <si>
    <t xml:space="preserve">6885 E 48TH AVE</t>
  </si>
  <si>
    <t xml:space="preserve">WESTON MFG # SUPPLY CO INC (1974; SIC 2869,3953) | SEIKO CIRCUITS EAST (1983; SIC 3679)</t>
  </si>
  <si>
    <t xml:space="preserve">WESTON MFG # SUPPLY CO INC (1974) | SEIKO CIRCUITS EAST (1983)</t>
  </si>
  <si>
    <t xml:space="preserve">ADVANCED CIRCUITS [FRS; 2 m] | BRAHMA OF COLORADO [FRS; 26 m]</t>
  </si>
  <si>
    <t xml:space="preserve">COOPERS ANIMAL HEALTH [FRS; 11 m]</t>
  </si>
  <si>
    <t xml:space="preserve">ADVANCED CIRCUITS</t>
  </si>
  <si>
    <t xml:space="preserve">S02779</t>
  </si>
  <si>
    <t xml:space="preserve">1721 E 58TH AVE</t>
  </si>
  <si>
    <t xml:space="preserve">REX IRON AND MACHINE PRODUCTS CC (1974-1983; SIC 3591,3441)</t>
  </si>
  <si>
    <t xml:space="preserve">REX IRON AND MACHINE PRODUCTS CC (1974) | VIENNA PLETZEL CO (1974)</t>
  </si>
  <si>
    <t xml:space="preserve">PERFORMANCE COLLISION &amp; PAINT [FRS; 2 m] | OMNITECH INDUSTRIES INC [FRS; 20 m] | WESTERN WELLCHEMS INC [FRS; 20 m]</t>
  </si>
  <si>
    <t xml:space="preserve">UNITED DRYWALL [FRS; 2 m] | LUNA GOURMET COFFEE 58TH [FRS; 6 m] | GREAT WESTERN TORTILLA CO [FRS; 6 m] | SUMMIT LABORATORIES, INC. [FRS; 20 m] | CODA COFFEE [FRS; 28 m]</t>
  </si>
  <si>
    <t xml:space="preserve">READY MIXED CONCRETE COMPANY - FRANKLIN STREET PLANT</t>
  </si>
  <si>
    <t xml:space="preserve">PERFORMANCE COLLISION &amp; PAINT</t>
  </si>
  <si>
    <t xml:space="preserve">S02854</t>
  </si>
  <si>
    <t xml:space="preserve">506 SANTA FE OR</t>
  </si>
  <si>
    <t xml:space="preserve">A-1 SPINNING SHOP (1974-1977; SIC 3469,3591) | CHICAGO STYLE D B A CARTS OF COLORADO (1983; SIC 2599,3469)</t>
  </si>
  <si>
    <t xml:space="preserve">A-1 SPINNING SHOP (1974) | CHICAGO STYLE D B A CARTS OF COLORADO (1983) | ROBERTS DRAPERY CLEANERS + MANUFACTURERS (1983)</t>
  </si>
  <si>
    <t xml:space="preserve">MISS JENNY'S INC [FRS; 20 m]</t>
  </si>
  <si>
    <t xml:space="preserve">Sherwin-Williams #7409 [CDPHE Solid_Waste_Facilities; 77 m]</t>
  </si>
  <si>
    <t xml:space="preserve">MISS JENNY'S INC</t>
  </si>
  <si>
    <t xml:space="preserve">S02855</t>
  </si>
  <si>
    <t xml:space="preserve">2525 W 8TH</t>
  </si>
  <si>
    <t xml:space="preserve">ADVENTURE INDUSTRIES INC (1974; SIC 3496) | MANUFACTURING ¢ REPAIR COMPANY (1980-1983; SIC 3599)</t>
  </si>
  <si>
    <t xml:space="preserve">ADVENTURE INDUSTRIES INC (1974) | MANUFACTURING ¢ REPAIR COMPANY (1980) | LANGE GRAPHICS INC (1983) | IMAGE TECHNIQUES INC (1990)</t>
  </si>
  <si>
    <t xml:space="preserve">RESURRECTION CUSTOMS [FRS; 21 m] | MILWAUKEE ELECTRIC TOOL CORP [FRS; 43 m]</t>
  </si>
  <si>
    <t xml:space="preserve">S02859</t>
  </si>
  <si>
    <t xml:space="preserve">4525 IRONTON</t>
  </si>
  <si>
    <t xml:space="preserve">ALUMINEX INC (1974; SIC 3354) | SUM VALLEY EXTRUSION CO (1980; SIC 3354,3431) | LAMBERTSON INDUSTRIES INC (1988-1990; SIC 2599,3431,3444)</t>
  </si>
  <si>
    <t xml:space="preserve">ALUMINEX INC (1974) | SUM VALLEY EXTRUSION CO (1980) | LAMBERTSON INDUSTRIES INC (1988)</t>
  </si>
  <si>
    <t xml:space="preserve">GUARANTEED PRODUCTS OF COLORADO [FRS; 5 m]</t>
  </si>
  <si>
    <t xml:space="preserve">GUARANTEED PRODUCTS OF COLORADO</t>
  </si>
  <si>
    <t xml:space="preserve">S02860</t>
  </si>
  <si>
    <t xml:space="preserve">4690 JASON ST</t>
  </si>
  <si>
    <t xml:space="preserve">NU@PRIME OF DENVERs INCe (1983; SIC 3442)</t>
  </si>
  <si>
    <t xml:space="preserve">ANNEX MAILING + PRINTING CO INC (1974) | NU@PRIME OF DENVERs INCe (1983)</t>
  </si>
  <si>
    <t xml:space="preserve">EL DORADO CARRIERS [FRS; 50 m] | NATURAL BRIDGE STATION [FRS; 50 m]</t>
  </si>
  <si>
    <t xml:space="preserve">EL DORADO CARRIERS</t>
  </si>
  <si>
    <t xml:space="preserve">S02861</t>
  </si>
  <si>
    <t xml:space="preserve">1441 W 46TH AVE</t>
  </si>
  <si>
    <t xml:space="preserve">1974;1988;1990</t>
  </si>
  <si>
    <t xml:space="preserve">CORO PLASTICS INC (1974; SIC 3079) | ERCHON Mena EQUIP (1988; SIC 3589,3821) | GEOTECH ENVIRONMENTAL EQUIPMENT INC (1990; SIC 3499,3544,3589)</t>
  </si>
  <si>
    <t xml:space="preserve"> (1974) | CORO PLASTICS INC (1974) | PIONEER FIXTURE CO (1974) | SPECIALTY GRAPHICS INC WoT STANLEY PRESIDENT (1977) | SPECIALTY GRAPHICS INC (1980) | ERCHON Mena EQUIP (1988) | D.B.A..NELSON LETTERING COMPLETE SIGNS (1988) | GEOTECH ENVIRONMENTAL EQUIPMENT INC (1990) | SMITH NELSON + OATIS (1990) | TOM'S PRESS (1990)</t>
  </si>
  <si>
    <t xml:space="preserve">SMITH NELSON &amp; OATIS LTD [FRS; name match, 21 m]</t>
  </si>
  <si>
    <t xml:space="preserve">SPECIALITY GRAPHICS [FRS; name match, 21 m] | SPECIALITY GRAPHICS [FRS] (address match)</t>
  </si>
  <si>
    <t xml:space="preserve">S02869</t>
  </si>
  <si>
    <t xml:space="preserve">4060 DAHLIA ST</t>
  </si>
  <si>
    <t xml:space="preserve">C M WEST INC (1974; SIC 3599,3444)</t>
  </si>
  <si>
    <t xml:space="preserve">C M WEST INC (1974)</t>
  </si>
  <si>
    <t xml:space="preserve">AMERICAN WEB INC. [FRS; 18 m]</t>
  </si>
  <si>
    <t xml:space="preserve">AMERICAN WEB INC.</t>
  </si>
  <si>
    <t xml:space="preserve">S02884</t>
  </si>
  <si>
    <t xml:space="preserve">2665 S SANTA FE OR</t>
  </si>
  <si>
    <t xml:space="preserve">CUSTOM FOOD ECUIPMENT FABRICATORS INC (1974; SIC 3444,2599,3589) | CUSTOM FOOD EQUIPMENT FABRICATORS INC WP HARRISON PUBLISHER (1977; SIC 2599,3431,3811) | MOUNTAIN STATES AUTOMATION, INC (1983-1988; SIC 3599,3861,2942) | JD GRANT INC (1988-1990; SIC 3089)</t>
  </si>
  <si>
    <t xml:space="preserve">CUSTOM FOOD ECUIPMENT FABRICATORS INC (1974) | COMMUNIGRAPHICS INC (1977) | CUSTOM FOOD EQUIPMENT FABRICATORS INC WP HARRISON PUBLISHER (1977) | WRIGHTWAY QUILTING COMPANY INC (1980) | MOUNTAIN STATES AUTOMATION, INC (1983) | JD GRANT INC (1988) | HARTSON ENTERPRISES INC (1990)</t>
  </si>
  <si>
    <t xml:space="preserve">INSURE FIRE AND WATER RESTORATION [FRS; 4 m] | COLORADO AUTOMOTIVE MACHINE [FRS; 4 m] | PLASTICS DESIGN &amp; MANUFACTURING [FRS; 16 m] | SOUTH SANTA FE PARK [FRS; 17 m] | ALL CITY POOLS &amp; SPAS INC [FRS; 32 m] | DATA PACKAGING INCORATED [FRS; 49 m]</t>
  </si>
  <si>
    <t xml:space="preserve">GREAT WHITE BOTTLING INC [FRS; 4 m] | HARTSON ENT INC [FRS; 4 m] | MIBAR (M&amp;L SUPPLY INC) [FRS; 16 m] | ZEROREZ DENVER [FRS; 49 m] | ZEROREZ OF DENVER, INC. [FRS; 49 m] | REBATH OF COLORADO [FRS; 49 m] | TRIAD SERVICE SOLUTIONS [FRS; 49 m]</t>
  </si>
  <si>
    <t xml:space="preserve">INSURE FIRE AND WATER RESTORATION</t>
  </si>
  <si>
    <t xml:space="preserve">S02885</t>
  </si>
  <si>
    <t xml:space="preserve">11250 E 40TH AVE</t>
  </si>
  <si>
    <t xml:space="preserve">80238</t>
  </si>
  <si>
    <t xml:space="preserve">CUTLER-HAMMER, DENVER (1974; SIC 3554) | NOLAN SYSTEMS ING (1980; SIC 3537)</t>
  </si>
  <si>
    <t xml:space="preserve">CUTLER-HAMMER, DENVER (1974) | NOLAN SYSTEMS ING (1980)</t>
  </si>
  <si>
    <t xml:space="preserve">RENTAL SERVICE CORPORATION #290 [FRS] (address match) | RENTAL SERVICE CORPORATION #290 [CDPHE RCRA] (address match)</t>
  </si>
  <si>
    <t xml:space="preserve">GM POWERTRAIN DIV [FRS] (address match)</t>
  </si>
  <si>
    <t xml:space="preserve">RENTAL SERVICE CORPORATION #290</t>
  </si>
  <si>
    <t xml:space="preserve">S02888</t>
  </si>
  <si>
    <t xml:space="preserve">4825 NOME</t>
  </si>
  <si>
    <t xml:space="preserve">CONSTRUCTION TECHNOLOGY INC (1977; SIC 3531,3537,3546)</t>
  </si>
  <si>
    <t xml:space="preserve">DATA DOCUMENTS» INC (1974) | CONSTRUCTION TECHNOLOGY INC (1977) | WILLIAMHOUSE OF COLORADO (1988)</t>
  </si>
  <si>
    <t xml:space="preserve">NATIONAL CARWASH SOLUTIONS [FRS; 46 m] | METALS TECHNOLOGIES INTERNATIONAL INC [FRS; 53 m]</t>
  </si>
  <si>
    <t xml:space="preserve">C&amp;M PRESS CORP [FRS; 16 m] | WESTERN INNOVATIONS INC [FRS; 16 m]</t>
  </si>
  <si>
    <t xml:space="preserve">NATIONAL CARWASH SOLUTIONS</t>
  </si>
  <si>
    <t xml:space="preserve">S02895</t>
  </si>
  <si>
    <t xml:space="preserve">1900 S NAVAJO ST</t>
  </si>
  <si>
    <t xml:space="preserve">DENVER PIPE AND TUBE BENDING INC (1974; SIC 3498) | T F B INC (1977; SIC 3542,3398,3479) | TOOLS FOR BENDING, INC. (1977-1980; SIC 3542)</t>
  </si>
  <si>
    <t xml:space="preserve">DENVER PIPE AND TUBE BENDING INC (1974) | T F B INC (1977) | TOOLS FOR BENDING, INC. (1977)</t>
  </si>
  <si>
    <t xml:space="preserve">ACCUTRONICS DESIGN &amp; MFG CO [FRS; 30 m]</t>
  </si>
  <si>
    <t xml:space="preserve">RUBY VISTA [FRS; 41 m]</t>
  </si>
  <si>
    <t xml:space="preserve">S02904</t>
  </si>
  <si>
    <t xml:space="preserve">2121 S JASON</t>
  </si>
  <si>
    <t xml:space="preserve">ALRHA TOOL CORP (1980; SIC 3545,3599)</t>
  </si>
  <si>
    <t xml:space="preserve">FISHER MFG CO INC 2521 WOCD OFFICE FURNITURE (1974) | ALRHA TOOL CORP (1980) |  (1983) | PRESS-TIGE PRINTING CO (1990) | ‘CKM WINDOW COVERINGS (1992)</t>
  </si>
  <si>
    <t xml:space="preserve">DIAMOND PAINT &amp; AUTOBODY [FRS; 39 m] | A-C TRANMISSION CENTER SO INC [FRS; 40 m]</t>
  </si>
  <si>
    <t xml:space="preserve">GRAVINA SIDING &amp; WINDOWS [FRS; 40 m] | QUIKTRIP 4220 [FRS; 57 m]</t>
  </si>
  <si>
    <t xml:space="preserve">DIAMOND PAINT &amp; AUTOBODY</t>
  </si>
  <si>
    <t xml:space="preserve">S02925</t>
  </si>
  <si>
    <t xml:space="preserve">2930 W 38TH AVE</t>
  </si>
  <si>
    <t xml:space="preserve">LABATE'S TROPHY HOUSE (1974-1977; SIC 3914,3499)</t>
  </si>
  <si>
    <t xml:space="preserve">LABATE'S TROPHY HOUSE (1974)</t>
  </si>
  <si>
    <t xml:space="preserve">O'REILLY AUTO PARTS [FRS; 36 m]</t>
  </si>
  <si>
    <t xml:space="preserve">S02940</t>
  </si>
  <si>
    <t xml:space="preserve">2390 S KALAMATH ST</t>
  </si>
  <si>
    <t xml:space="preserve">MIDI AMERICA MANUFACTURING CCMPAKY (1974; SIC 3591)</t>
  </si>
  <si>
    <t xml:space="preserve">MIDI AMERICA MANUFACTURING CCMPAKY (1974) | LANGLEY QPTICAL COMPANY OF COLORADO (1977) | iees ‘ORD PRINTING (1988)</t>
  </si>
  <si>
    <t xml:space="preserve">TURMAN COMMERICAL PAINTERS [FRS; 17 m]</t>
  </si>
  <si>
    <t xml:space="preserve">TURMAN COMMERICAL PAINTERS</t>
  </si>
  <si>
    <t xml:space="preserve">S02944</t>
  </si>
  <si>
    <t xml:space="preserve">2190 S LIPAN</t>
  </si>
  <si>
    <t xml:space="preserve">MILLER DISTRIBUTING INC. (1974-1983; SIC 3589) | GREENLAWN SPRINKLER CO (1980; SIC 3432)</t>
  </si>
  <si>
    <t xml:space="preserve">MILLER DISTRIBUTING INC. (1974) | GREENLAWN SPRINKLER CO (1980)</t>
  </si>
  <si>
    <t xml:space="preserve">LEWIS MAINTENANCE CO INC [FRS; 3 m] | AAD FACILITIES [FRS; 38 m]</t>
  </si>
  <si>
    <t xml:space="preserve">AAD DISTRIBUTION &amp; DRY CLEANI [FRS; 38 m]</t>
  </si>
  <si>
    <t xml:space="preserve">LEWIS MAINTENANCE CO INC</t>
  </si>
  <si>
    <t xml:space="preserve">S02957</t>
  </si>
  <si>
    <t xml:space="preserve">8175 E 39TH AVE</t>
  </si>
  <si>
    <t xml:space="preserve">ARDELT ENGINEERING COMPANY (1983-1992; SIC 3498)</t>
  </si>
  <si>
    <t xml:space="preserve">PEARCE WOODCRAFT CO (1974) | ARDELT ENGINEERING COMPANY (1983)</t>
  </si>
  <si>
    <t xml:space="preserve">VISSER PRECISION CAST [CDPHE RCRA; 7 m] | COLORADO LABEL AND PACKAGING [CDPHE RCRA; 7 m] | THAN/HARCROS/ELEMNTIS [CDPHE RCRA; 7 m]</t>
  </si>
  <si>
    <t xml:space="preserve">S02960</t>
  </si>
  <si>
    <t xml:space="preserve">2300 S KALAMATH</t>
  </si>
  <si>
    <t xml:space="preserve">POOL MACHINE CO INC (1974-1990; SIC 3361) | FILM, EQUIPMENT POOL MACHINE CO INC (1988; SIC 3363,3471,3899)</t>
  </si>
  <si>
    <t xml:space="preserve">POOL MACHINE CO INC (1974) | FILM, EQUIPMENT POOL MACHINE CO INC (1988)</t>
  </si>
  <si>
    <t xml:space="preserve">MARTIN MILLWORK [FRS; 36 m]</t>
  </si>
  <si>
    <t xml:space="preserve">FRONT RANGE MORTUARY -ENCORE CARE CENTER [FRS; 36 m]</t>
  </si>
  <si>
    <t xml:space="preserve">MARTIN MILLWORK</t>
  </si>
  <si>
    <t xml:space="preserve">S02982</t>
  </si>
  <si>
    <t xml:space="preserve">2675 S DELAWARE</t>
  </si>
  <si>
    <t xml:space="preserve">STEARNS-RCGER FABRICATCRS INC (1974-1983; SIC 3498)</t>
  </si>
  <si>
    <t xml:space="preserve">STEARNS-RCGER FABRICATCRS INC (1974)</t>
  </si>
  <si>
    <t xml:space="preserve">STEARNS ROGER FABRICATORS INC [FRS; name match, 2 m] | STEARNS ROGER FABRICATORS INC [FRS] (address match)</t>
  </si>
  <si>
    <t xml:space="preserve">STEARNS ROGER FABRICATORS INC</t>
  </si>
  <si>
    <t xml:space="preserve">S02983</t>
  </si>
  <si>
    <t xml:space="preserve">765 S JASON</t>
  </si>
  <si>
    <t xml:space="preserve">GOLDEN LOTUS INC (1980; SIC 2844,2841)</t>
  </si>
  <si>
    <t xml:space="preserve">STOREY H W ELECTRIC CORP (1974) | GOLDEN LOTUS INC (1980)</t>
  </si>
  <si>
    <t xml:space="preserve">ALTA COATINGS AND EQUIPMENT [FRS; 42 m] | MILE HIGH DISTRIBUTING LLC [CDPHE RCRA; 49 m]</t>
  </si>
  <si>
    <t xml:space="preserve">ALTA COATINGS AND EQUIPMENT</t>
  </si>
  <si>
    <t xml:space="preserve">S02986</t>
  </si>
  <si>
    <t xml:space="preserve">5240 E COLFAX</t>
  </si>
  <si>
    <t xml:space="preserve">TKOPIC SEAS INC (1974; SIC 3231,3079,3499)</t>
  </si>
  <si>
    <t xml:space="preserve">TKOPIC SEAS INC (1974) | ACE BAKING CO INC (1977)</t>
  </si>
  <si>
    <t xml:space="preserve">PENSKE AUTO CENTER [FRS; 7 m]</t>
  </si>
  <si>
    <t xml:space="preserve">PT 22980 - SOUTH PARK HILL - GLENCOE ST AND E COLFAX AVE - REPLACEMENT [FRS; 21 m]</t>
  </si>
  <si>
    <t xml:space="preserve">S02988</t>
  </si>
  <si>
    <t xml:space="preserve">4665 JOLIET</t>
  </si>
  <si>
    <t xml:space="preserve">ANDERSON PRECAST STEP ¢ ORNAM. IRON, INC (1980; SIC 3272,3442)</t>
  </si>
  <si>
    <t xml:space="preserve">UNIRAD CORP (1974) | ANDERSON PRECAST STEP ¢ ORNAM. IRON, INC (1980) | INSTRUMENT+SUPPLY C DBA-GISCO (1988) | GEOPHYSICAL INSTRUMENT + SUPPLY CO (1990)</t>
  </si>
  <si>
    <t xml:space="preserve">EVENT PROMOTION SUPPLY INC [FRS; 1 m] | BERENDSEN FLUID POWER [FRS; 5 m]</t>
  </si>
  <si>
    <t xml:space="preserve">EPS DOUBLET [FRS; 1 m]</t>
  </si>
  <si>
    <t xml:space="preserve">EVENT PROMOTION SUPPLY INC</t>
  </si>
  <si>
    <t xml:space="preserve">S02995</t>
  </si>
  <si>
    <t xml:space="preserve">4150 TEJON ST</t>
  </si>
  <si>
    <t xml:space="preserve">WESTERN METAL PRODUCTS CO (1974; SIC 3714,3732)</t>
  </si>
  <si>
    <t xml:space="preserve">WESTERN METAL PRODUCTS CO (1974)</t>
  </si>
  <si>
    <t xml:space="preserve">AUTOVISIONS [FRS; 39 m]</t>
  </si>
  <si>
    <t xml:space="preserve">AUTOVISIONS</t>
  </si>
  <si>
    <t xml:space="preserve">S03346</t>
  </si>
  <si>
    <t xml:space="preserve">1546 BROADWAY</t>
  </si>
  <si>
    <t xml:space="preserve">MANAGEMENT SUPPORT TECHNOLOGY ING (1988; SIC 3599)</t>
  </si>
  <si>
    <t xml:space="preserve">MOLBERG JEWELERS (1974) | MOLBERG JEWELERS R Ww FLETCHER PRESIDENT (1977) | YACOVETTA MFG JEWELERS (1977) | SCHUERMAN JAMES S DIAMOND CUTTING (1983) | MANAGEMENT SUPPORT TECHNOLOGY ING (1988) | DENVER POST CORP (1990)</t>
  </si>
  <si>
    <t xml:space="preserve">DENVER POST [FRS; name match, 35 m] | CIVIC CNT PLAZA - LOUISIANA LAND &amp; EXPLO [FRS; 41 m] | CIVIC CENTER PLAZA [FRS; 41 m] | TOBIN INTERNATIONAL LTD. [FRS; 41 m]</t>
  </si>
  <si>
    <t xml:space="preserve">GROENDYKE TRANSPORT INC [FRS; 41 m]</t>
  </si>
  <si>
    <t xml:space="preserve">DENVER POST</t>
  </si>
  <si>
    <t xml:space="preserve">S03195</t>
  </si>
  <si>
    <t xml:space="preserve">3760 11 WHEELING ST</t>
  </si>
  <si>
    <t xml:space="preserve">B + E PLASTICS INC (1977-1980; SIC 3079)</t>
  </si>
  <si>
    <t xml:space="preserve">B + E PLASTICS INC (1977)</t>
  </si>
  <si>
    <t xml:space="preserve">DPS TELLER [FRS; 96 m]</t>
  </si>
  <si>
    <t xml:space="preserve">ADRIAN CONSTRUCTION &amp; REMODELING [FRS; 130 m] | SOLID ROCK CONTRACTING LLC [FRS; 182 m] | JTH/DAKOTA MANAGEMENT ASSOC [FRS; 232 m] | MOUNTAIN STAR APARTMENTS [FRS; 244 m]</t>
  </si>
  <si>
    <t xml:space="preserve">DPS TELLER</t>
  </si>
  <si>
    <t xml:space="preserve">S03198</t>
  </si>
  <si>
    <t xml:space="preserve">3730 WHEELING ST</t>
  </si>
  <si>
    <t xml:space="preserve">CASTALITE FIREPLACE CORP (1980-1983; SIC 3544) | BRANSON AIRCRAFT (1988-1990; SIC 2531,3728,2625) | MARANATHA 4X4 FABRICATION INC (1990; SIC 3499) | ROC DOC'S INC (1990; SIC 3599)</t>
  </si>
  <si>
    <t xml:space="preserve">C + S GRAPHICS (1977) | CASTALITE FIREPLACE CORP (1980) | WILLIAM GHS AND COMPANY (1980) | BRANSON AIRCRAFT (1988) | MARANATHA 4X4 FABRICATION INC (1990) | ROC DOC'S INC (1990)</t>
  </si>
  <si>
    <t xml:space="preserve">BRANSON AIRCRAFT CORPORATION [FRS; name match, 204 m] | B H ENTERPRISES [FRS; 38 m] | WHEELING BUSINESS CENTER [FRS; 46 m] | COLUMBIA SAVINGS [FRS; 51 m]</t>
  </si>
  <si>
    <t xml:space="preserve">B H ENTERPRISES</t>
  </si>
  <si>
    <t xml:space="preserve">S03205</t>
  </si>
  <si>
    <t xml:space="preserve">2201 S WABASH ST</t>
  </si>
  <si>
    <t xml:space="preserve">T HB PLASTIC COMPANY (1977-1990; SIC 3079) | ARCHITECTURAL FORMING SYSTEMS (1977; SIC 3079)</t>
  </si>
  <si>
    <t xml:space="preserve">PERKY PET PRODUCTS» INC (1977) | T HB PLASTIC COMPANY (1977) | ARCHITECTURAL FORMING SYSTEMS (1977)</t>
  </si>
  <si>
    <t xml:space="preserve">BODYWORKS BY MMI [FRS] (address match) | BODYWORKS BY MURRAY MOTORS IMPORTS [CDPHE RCRA] (address match)</t>
  </si>
  <si>
    <t xml:space="preserve">PERKY-PET PRODUCTS CO [FRS; name match, 41 m] | PERKY-PET PRODUCTS CO [FRS] (address match)</t>
  </si>
  <si>
    <t xml:space="preserve">BODYWORKS BY MMI</t>
  </si>
  <si>
    <t xml:space="preserve">S03260</t>
  </si>
  <si>
    <t xml:space="preserve">144 S BROADWAY</t>
  </si>
  <si>
    <t xml:space="preserve">AMERICAN ROIFING SHEET METAL CO (1977-1980; SIC 3444)</t>
  </si>
  <si>
    <t xml:space="preserve">AMERICAN ROIFING SHEET METAL CO (1977) | QUICKSIGN + BAUNER (1990)</t>
  </si>
  <si>
    <t xml:space="preserve">ALLEN PAINT [FRS; 2 m] | SPORTAGE SCOOTERS LLC [FRS; 31 m]</t>
  </si>
  <si>
    <t xml:space="preserve">Neon Local</t>
  </si>
  <si>
    <t xml:space="preserve">ALLEN PAINT</t>
  </si>
  <si>
    <t xml:space="preserve">S03278</t>
  </si>
  <si>
    <t xml:space="preserve">1950 S LIPAN</t>
  </si>
  <si>
    <t xml:space="preserve">CHAPMAN BROS INC (1977-1983; SIC 3714,3694)</t>
  </si>
  <si>
    <t xml:space="preserve">CHAPMAN BROS INC (1977)</t>
  </si>
  <si>
    <t xml:space="preserve">DICKENSHEET &amp; ASSOCITATES INC [FRS; 38 m]</t>
  </si>
  <si>
    <t xml:space="preserve">S03298</t>
  </si>
  <si>
    <t xml:space="preserve">48 VALLEJO</t>
  </si>
  <si>
    <t xml:space="preserve">Henman METAL PRODUCTS (1977; SIC 3444)</t>
  </si>
  <si>
    <t xml:space="preserve">Henman METAL PRODUCTS (1977)</t>
  </si>
  <si>
    <t xml:space="preserve">CITY AND COUNTY OF DENVER [FRS; 6 m]</t>
  </si>
  <si>
    <t xml:space="preserve">S03307</t>
  </si>
  <si>
    <t xml:space="preserve">5560 E PACIFIC PL</t>
  </si>
  <si>
    <t xml:space="preserve">LANE MANUFACTURING INC (1977; SIC 3523)</t>
  </si>
  <si>
    <t xml:space="preserve">LANE MANUFACTURING INC (1977) | FERGUSON LITHO-PRINTING (1988) | MASTER LABELS LTD D.B.A..FERGUSON PRINTING (1988) | MASTER LABELS LTD (1990) | DESKTOP PUBLISHING &amp; PRINTING (1992)</t>
  </si>
  <si>
    <t xml:space="preserve">PERFORMANCE PAVEMENT [FRS; 30 m]</t>
  </si>
  <si>
    <t xml:space="preserve">FERGUSON PRINTING [FRS; name match, 28 m] | FERGUSON PRINTING [FRS] (address match)</t>
  </si>
  <si>
    <t xml:space="preserve">S03316</t>
  </si>
  <si>
    <t xml:space="preserve">1924 SANTA FE ORIVE</t>
  </si>
  <si>
    <t xml:space="preserve">P-A ELECTRINICS IVC (1977; SIC 3569)</t>
  </si>
  <si>
    <t xml:space="preserve">P-A ELECTRINICS IVC (1977)</t>
  </si>
  <si>
    <t xml:space="preserve">PLASTICS DESIGN &amp; MFG INC [FRS; 145 m] | JONAS BROTHERS INC [FRS; 216 m] | FRED &amp; SIES AUTO BODY [FRS; 225 m] | MULTILIFT INC [FRS; 228 m]</t>
  </si>
  <si>
    <t xml:space="preserve">JEWELL/EVANS BICYCLE &amp; PEDESTRIAN BRIDGE [FRS; 34 m] | CENTURY GRAPHICS LTD [FRS; 119 m] | TAMS #1 IMPORT AUTO RECYCLING [FRS; 217 m] | #1 IMPORT AUTO RECYCLING &amp; REPAIR [FRS; 224 m] | TAM'S IMPORT AUTO RECYCLER [FRS; 224 m] | TERMINIX INC [FRS; 224 m] | CENTRAL FOREIGN AUTO PARTS, INC. [FRS; 224 m] | GENERAL WELDING AND REPAIR CORP [FRS; 237 m] | T &amp; D AUTO BODY INC [FRS; 248 m]</t>
  </si>
  <si>
    <t xml:space="preserve">S03355</t>
  </si>
  <si>
    <t xml:space="preserve">4365 W FLORIDA AVE</t>
  </si>
  <si>
    <t xml:space="preserve">wew CERAMICS INC WEST TAPE AND LABEL Co (1977; SIC 3269,2752,3299)</t>
  </si>
  <si>
    <t xml:space="preserve">wew CERAMICS INC WEST TAPE AND LABEL Co (1977) | SOUTHHEST PRINTING COMPANY (1980)</t>
  </si>
  <si>
    <t xml:space="preserve">MAR LEE SHOPPING CENTER [FRS; 36 m]</t>
  </si>
  <si>
    <t xml:space="preserve">J&amp;B Cleaners, Mar Lee Shopping Center</t>
  </si>
  <si>
    <t xml:space="preserve">MAR LEE SHOPPING CENTER</t>
  </si>
  <si>
    <t xml:space="preserve">S03936</t>
  </si>
  <si>
    <t xml:space="preserve">1920 MARKET</t>
  </si>
  <si>
    <t xml:space="preserve">PAGES DIRECT AMERICAN CLOSET CO (1988; SIC 2841,3600)</t>
  </si>
  <si>
    <t xml:space="preserve"> (1977) | GREAT PANES GLASSWORKS (1980) | KEHL-MANDERY GRAPHICS INC (1980) | WEGER BILL PRINTING (1980) | AMERICAN CLOSET CO (1983) | PLATTE RIVER FRAMEWORKS (1983) | PAGES DIRECT AMERICAN CLOSET CO (1988) | RODS, SAG RODS FRAMEWORRS (1988) | PLATTE RIVER ART SERVICES INC (1990)</t>
  </si>
  <si>
    <t xml:space="preserve">CAMP DRESSER &amp; MCKEE INC [FRS; 11 m] | IMAGE DESIGN CONCEPTS [FRS; 38 m] | DENVER FIRE DEPT LINE SHOP [FRS; 59 m]</t>
  </si>
  <si>
    <t xml:space="preserve">COOK STREET SCHOOL OF FINE COOKING [FRS; 26 m]</t>
  </si>
  <si>
    <t xml:space="preserve">CAMP DRESSER &amp; MCKEE INC</t>
  </si>
  <si>
    <t xml:space="preserve">S03601</t>
  </si>
  <si>
    <t xml:space="preserve">2350 S KALAMATH</t>
  </si>
  <si>
    <t xml:space="preserve">HORST DYNAMICS INC (1980; SIC 3589)</t>
  </si>
  <si>
    <t xml:space="preserve">HORST DYNAMICS INC (1980)</t>
  </si>
  <si>
    <t xml:space="preserve">CUSTOM WOODWORKING AND CARPENTRY [FRS; 4 m]</t>
  </si>
  <si>
    <t xml:space="preserve">CUSTOM WOODWORKING AND CARPENTRY</t>
  </si>
  <si>
    <t xml:space="preserve">S03608</t>
  </si>
  <si>
    <t xml:space="preserve">5423 TENNYSON</t>
  </si>
  <si>
    <t xml:space="preserve">PARK-A-GIEKE SYSTEMS INC (1980; SIC 3599)</t>
  </si>
  <si>
    <t xml:space="preserve">PARK-A-GIEKE SYSTEMS INC (1980)</t>
  </si>
  <si>
    <t xml:space="preserve">THOUTT BROTHERS [FRS; 32 m]</t>
  </si>
  <si>
    <t xml:space="preserve">THOUTT BROTHERS</t>
  </si>
  <si>
    <t xml:space="preserve">S03610</t>
  </si>
  <si>
    <t xml:space="preserve">6351 TENNYSON ST 1</t>
  </si>
  <si>
    <t xml:space="preserve">PRIMEC, INC. (1980; SIC 3599)</t>
  </si>
  <si>
    <t xml:space="preserve">PRIMEC, INC. (1980)</t>
  </si>
  <si>
    <t xml:space="preserve">FRONT RANGE HAZARDOUS MATERIALS CO [FRS; 142 m]</t>
  </si>
  <si>
    <t xml:space="preserve">FRONT RANGE HAZARDOUS MATERIALS CO</t>
  </si>
  <si>
    <t xml:space="preserve">S03612</t>
  </si>
  <si>
    <t xml:space="preserve">907 E 62ND</t>
  </si>
  <si>
    <t xml:space="preserve">HOUSES SANCO INDUSTRIES (1988-1990; SIC 3599,2710)</t>
  </si>
  <si>
    <t xml:space="preserve">ROCKY MOUNTAIN DOWN INC (1980) | HOUSES SANCO INDUSTRIES (1988)</t>
  </si>
  <si>
    <t xml:space="preserve">CASCADE COMPUTER COATINGS INC [FRS; 11 m]</t>
  </si>
  <si>
    <t xml:space="preserve">CONSERVATIONS SERVICES INC.</t>
  </si>
  <si>
    <t xml:space="preserve">CASCADE COMPUTER COATINGS INC</t>
  </si>
  <si>
    <t xml:space="preserve">S03845</t>
  </si>
  <si>
    <t xml:space="preserve">250 BROADWAY</t>
  </si>
  <si>
    <t xml:space="preserve">ALL PACKAGING CO., INC (1980; SIC 2651,2645,3993)</t>
  </si>
  <si>
    <t xml:space="preserve">ALL PACKAGING CO., INC (1980) | SUNDANCE PUBLICATIONS LTD (1990)</t>
  </si>
  <si>
    <t xml:space="preserve">CHAMPION AUTO BODY AND PAINT [FRS; 30 m]</t>
  </si>
  <si>
    <t xml:space="preserve">CHAMPION AUTO BODY AND PAINT</t>
  </si>
  <si>
    <t xml:space="preserve">S03861</t>
  </si>
  <si>
    <t xml:space="preserve">12850 E 40TH AVE</t>
  </si>
  <si>
    <t xml:space="preserve">BROWN K.0. ¢ ASSOC INC DSA MASTERS PROD (1980; SIC 2899,2842) | CONTAINER INDUSTRIES INC (1983-1992; SIC 3079) | AXBUS TREES mvc (1988; SIC 3089) | PREFERED MOLD ENGINEERING INC: (1992; SIC 3089,2789,2571)</t>
  </si>
  <si>
    <t xml:space="preserve">BROWN K.0. ¢ ASSOC INC DSA MASTERS PROD (1980) | CELL~GARD INDUSTRIES, INC. (1980) | CONTINENTAL ALUMINUM CORPORATION (1980) | CONTAINER INDUSTRIES INC (1983) | AXBUS TREES mvc (1988) | DENVER QUILTING CO (1988) | PREFERED MOLD ENGINEERING INC: (1992)</t>
  </si>
  <si>
    <t xml:space="preserve">CONTAINER INDUSTRIES INC [FRS; name match, 27 m] | DENVER PARTS DISTRIBUTION CENTER ANNEX BUILDING [CDPHE RCRA; 11 m] | COTTER &amp; COMPANY [CDPHE RCRA; 11 m] | RENTAL SERVICE CORPORATION #290 [CDPHE RCRA; 11 m] | INTERTECH PLASTICS INC [CDPHE RCRA; 11 m] | RECO DENVER [CDPHE RCRA; 11 m] | SUN VALLEY PAINT COMPANY [FRS; 27 m] | DENVER PARTS DISTRIBUTION CENTER ANNEX BUILDING [CDPHE RCRA] (address mat</t>
  </si>
  <si>
    <t xml:space="preserve">INTERTECH PLASTICS, INC. [FRS; 11 m] | E 40 WAREHOUSE [FRS; 27 m]</t>
  </si>
  <si>
    <t xml:space="preserve">DENVER PARTS DISTRIBUTION CENTER ANNEX BUILDING</t>
  </si>
  <si>
    <t xml:space="preserve">S03864</t>
  </si>
  <si>
    <t xml:space="preserve">4999 OAKLAND ST</t>
  </si>
  <si>
    <t xml:space="preserve">CM WEST DIVISION (1980; SIC 3444,3469,3599) | WEST, CM (1980; SIC 3599,3444,3469) | NOLAN SYSTEMS INC (1983; SIC 3535,3496,3555)</t>
  </si>
  <si>
    <t xml:space="preserve">CM WEST DIVISION (1980) | WEST, CM (1980) | NOLAN SYSTEMS INC (1983) | GOLDBUG D.B.A.-GOLD INC (1988) | GOLDBUG (1990) | GOLDING (1992)</t>
  </si>
  <si>
    <t xml:space="preserve">CENTURION CONTAINER DENVER [FRS] (address match) | CENTURION CONTAINER DENVER [CDPHE RCRA] (address match)</t>
  </si>
  <si>
    <t xml:space="preserve">MARY'S MEDICINALS</t>
  </si>
  <si>
    <t xml:space="preserve">S03883</t>
  </si>
  <si>
    <t xml:space="preserve">5070 OAKLAND ST</t>
  </si>
  <si>
    <t xml:space="preserve">CONSOLIDATED TECHNOLOGIES CORP (1980-1990; SIC 3531,3537,3546) | CONSTRUCTION TECHNOLOGY INC (1983-1992; SIC 3531,3499)</t>
  </si>
  <si>
    <t xml:space="preserve">CONSOLIDATED TECHNOLOGIES CORP (1980) | CONSTRUCTION TECHNOLOGY INC (1983)</t>
  </si>
  <si>
    <t xml:space="preserve">CONSTRUCTION TECHNOLOGY INC [FRS; name match, 1 m] | CONSTRUCTION TECHNOLOGY INC [FRS] (address match)</t>
  </si>
  <si>
    <t xml:space="preserve">CHRYSO, INC.</t>
  </si>
  <si>
    <t xml:space="preserve">CONSTRUCTION TECHNOLOGY INC</t>
  </si>
  <si>
    <t xml:space="preserve">S03889</t>
  </si>
  <si>
    <t xml:space="preserve">390 NOME ST</t>
  </si>
  <si>
    <t xml:space="preserve">CURTIS MANUFACTURENG CORPORATION (1980; SIC 3564,3361)</t>
  </si>
  <si>
    <t xml:space="preserve">CURTIS MANUFACTURENG CORPORATION (1980)</t>
  </si>
  <si>
    <t xml:space="preserve">CENTRAL HIGH SCHOOL [CDPHE RCRA; 166 m]</t>
  </si>
  <si>
    <t xml:space="preserve">S03913</t>
  </si>
  <si>
    <t xml:space="preserve">125 RIO GRANDE BLVD</t>
  </si>
  <si>
    <t xml:space="preserve">BMOURD PROOUCTS (1980; SIC 3442)</t>
  </si>
  <si>
    <t xml:space="preserve">BMOURD PROOUCTS (1980)</t>
  </si>
  <si>
    <t xml:space="preserve">EDGEWATER OFFICE PRODUCTS INC [FRS; 28 m] | CALAHAM CONSTRUCTION, INC. [FRS; 38 m]</t>
  </si>
  <si>
    <t xml:space="preserve">S03915</t>
  </si>
  <si>
    <t xml:space="preserve">6321 WASHINGTON</t>
  </si>
  <si>
    <t xml:space="preserve">SCREW MACHINE PRODUCTS CO (1988-1990; SIC 3429)</t>
  </si>
  <si>
    <t xml:space="preserve">GMURY SVSTENS « PRODUCTS (1980) | CUSTOM DOOR SHOP (1983) | RM LABS (1983) | WEAVER» OO + COMPANY (1983) | SCREW MACHINE PRODUCTS CO (1988) | WOODCRAFT WINDOWS INC (1990)</t>
  </si>
  <si>
    <t xml:space="preserve">DIVISION 7 CONSTRUCTION INC [FRS; 26 m]</t>
  </si>
  <si>
    <t xml:space="preserve">DIVISION 7 CONSTRUCTION INC</t>
  </si>
  <si>
    <t xml:space="preserve">S03927</t>
  </si>
  <si>
    <t xml:space="preserve">1529 W ALAMEDA AVE</t>
  </si>
  <si>
    <t xml:space="preserve">G MG CORP/DBA M~M PLASTIC CO (1980; SIC 3079) | ADEZY ENTERPRISES (1988; SIC 3369,3499,3961)</t>
  </si>
  <si>
    <t xml:space="preserve">G MG CORP/DBA M~M PLASTIC CO (1980) | ADEZY ENTERPRISES (1988) | M-M PLASTIC SIGN CO D.B.A-GMG (1988)</t>
  </si>
  <si>
    <t xml:space="preserve">VALLEY CLEANERS [FRS; 22 m] | G M G CORP DBA M-M PLASTI [FRS; 44 m]</t>
  </si>
  <si>
    <t xml:space="preserve">PCs for People - West Alameda Avenue/PCP [CDPHE Solid_Waste_Facilities; 77 m]</t>
  </si>
  <si>
    <t xml:space="preserve">S03948</t>
  </si>
  <si>
    <t xml:space="preserve">2219 MARKET ST</t>
  </si>
  <si>
    <t xml:space="preserve">HUMPHREY®S ENGINEERING CO (1980; SIC 3532,3532)</t>
  </si>
  <si>
    <t xml:space="preserve">HUMPHREY®S ENGINEERING CO (1980)</t>
  </si>
  <si>
    <t xml:space="preserve">HUMPHREY'S [FRS; name match, 3 m] | HUMPHREY'S [FRS] (address match)</t>
  </si>
  <si>
    <t xml:space="preserve">S03959</t>
  </si>
  <si>
    <t xml:space="preserve">200 LIPAN ST</t>
  </si>
  <si>
    <t xml:space="preserve">KAPIT ENC (1980; SIC 3079,3291) | CUSTOM MOLDING (1983-1988; SIC 3079,3544)</t>
  </si>
  <si>
    <t xml:space="preserve">KAPIT ENC (1980) | CUSTOM MOLDING (1983)</t>
  </si>
  <si>
    <t xml:space="preserve">JK CONCEPTS INC [FRS; 34 m] | J C RIDER INC DBA DVH CO INC [FRS; 36 m] | JK CONCEPTS INC [FRS] (address match)</t>
  </si>
  <si>
    <t xml:space="preserve">RIO REAL ESTATE [FRS] (address match)</t>
  </si>
  <si>
    <t xml:space="preserve">JK CONCEPTS INC</t>
  </si>
  <si>
    <t xml:space="preserve">S03970</t>
  </si>
  <si>
    <t xml:space="preserve">208 KALAMATH</t>
  </si>
  <si>
    <t xml:space="preserve">MCATEE BOLT CO (1990; SIC 3452)</t>
  </si>
  <si>
    <t xml:space="preserve">COWUREY*S FRESHIES (1980) | MCATEE BOLT CO (1990)</t>
  </si>
  <si>
    <t xml:space="preserve">MCATEE BOLT [FRS; name match, 27 m] | PENSKE TRUCK LEASING CO LP [CDPHE RCRA; 10 m]</t>
  </si>
  <si>
    <t xml:space="preserve">S03972</t>
  </si>
  <si>
    <t xml:space="preserve">10825 E 47TH</t>
  </si>
  <si>
    <t xml:space="preserve">GC POWER PRANSITUGE (1980-1983; SIC 3535) | TRANSLOGIC CORP (1990; SIC 3535)</t>
  </si>
  <si>
    <t xml:space="preserve">GC POWER PRANSITUGE (1980) | TRANSLOGIC CORP (1990)</t>
  </si>
  <si>
    <t xml:space="preserve">TRANSLOGIC CORP [FRS; name match, 20 m] | ROCKY MOUNTAIN PARKING LOT SERVICES INC [FRS; 25 m]</t>
  </si>
  <si>
    <t xml:space="preserve">S03984</t>
  </si>
  <si>
    <t xml:space="preserve">2037 S FEDERAL BLVD</t>
  </si>
  <si>
    <t xml:space="preserve">METAL MAGIC INC (1980; SIC 3499)</t>
  </si>
  <si>
    <t xml:space="preserve">METAL MAGIC INC (1980) | FEDERAL FASTPRINT (1988)</t>
  </si>
  <si>
    <t xml:space="preserve">CVS PHARMACY #CODEN1B01 [CDPHE RCRA; 54 m]</t>
  </si>
  <si>
    <t xml:space="preserve">FEDERAL FASTPRINT (OUT OF BUSINESS 10/95 [FRS; name match, 15 m]</t>
  </si>
  <si>
    <t xml:space="preserve">CVS PHARMACY #CODEN1B01</t>
  </si>
  <si>
    <t xml:space="preserve">S03991</t>
  </si>
  <si>
    <t xml:space="preserve">970 LINCOLN ST</t>
  </si>
  <si>
    <t xml:space="preserve">SURE SPRAY MFG CO (1983; SIC 3582)</t>
  </si>
  <si>
    <t xml:space="preserve">MR BUSINESS CARD (1980) | SURE SPRAY MFG CO (1983) | RESTORATION, REPAIR MR BUSINESS CARD (1988)</t>
  </si>
  <si>
    <t xml:space="preserve">KDEN - TV TRANSMITTER [CDPHE RCRA; 50 m]</t>
  </si>
  <si>
    <t xml:space="preserve">5280 CONSTRUCTION &amp; DEVELOPMENT [FRS; 44 m]</t>
  </si>
  <si>
    <t xml:space="preserve">KDEN - TV TRANSMITTER</t>
  </si>
  <si>
    <t xml:space="preserve">S04041</t>
  </si>
  <si>
    <t xml:space="preserve">895 JOLIET UNIT 7B</t>
  </si>
  <si>
    <t xml:space="preserve">SURFAS MFG ¢ SUPPLY (1980; SIC 3452,3549)</t>
  </si>
  <si>
    <t xml:space="preserve">SURFAS MFG ¢ SUPPLY (1980)</t>
  </si>
  <si>
    <t xml:space="preserve">KENTON ELEMENTARY SCHOOL [CDPHE RCRA; 168 m] | JAMAICA ELEMENTARY SCHOOL [FRS; 212 m]</t>
  </si>
  <si>
    <t xml:space="preserve">S04058</t>
  </si>
  <si>
    <t xml:space="preserve">3901 NOME</t>
  </si>
  <si>
    <t xml:space="preserve">CURTIS MANUFACTURING CORPORATION (1983; SIC 3504,3361) | TUBELITE D.B.A.-INDAL INC (1988; SIC 3442,3446,2505) | TUBELITE (1990; SIC 3442)</t>
  </si>
  <si>
    <t xml:space="preserve">WEATHER SYSTEMS INC (1980) | CURTIS MANUFACTURING CORPORATION (1983) | TOM DEVELOPMENT CORP (1983) | TUBELITE D.B.A.-INDAL INC (1988) | TUBELITE (1990)</t>
  </si>
  <si>
    <t xml:space="preserve">LUBCHENCO-HULTIN ASSOCIATES - UNIT 13 [FRS; 37 m] | ACME PRINTING INK CO [FRS; 37 m]</t>
  </si>
  <si>
    <t xml:space="preserve">LUBCHENCO-HULTIN ASSOCIATES - UNIT 13</t>
  </si>
  <si>
    <t xml:space="preserve">S04062</t>
  </si>
  <si>
    <t xml:space="preserve">4700 HAVANA ST</t>
  </si>
  <si>
    <t xml:space="preserve">WESTERN PLASTICS CORP (1980-1983; SIC 3079)</t>
  </si>
  <si>
    <t xml:space="preserve">WESTERN PLASTICS CORP (1980)</t>
  </si>
  <si>
    <t xml:space="preserve">WURTH LOUIS &amp; COMPANY [FRS; 39 m] | ARAMARK UNIFORM &amp; CAREER APPAREL LLC [FRS] (address match)</t>
  </si>
  <si>
    <t xml:space="preserve">VESTIS SERVICES LLC [FRS] (address match)</t>
  </si>
  <si>
    <t xml:space="preserve">Innovate Colorado</t>
  </si>
  <si>
    <t xml:space="preserve">WURTH LOUIS &amp; COMPANY</t>
  </si>
  <si>
    <t xml:space="preserve">S04465</t>
  </si>
  <si>
    <t xml:space="preserve">5324 TENNYSON</t>
  </si>
  <si>
    <t xml:space="preserve">PARK=A=BIKE SYSTEMS INC (1983; SIC 3599)</t>
  </si>
  <si>
    <t xml:space="preserve">PARK=A=BIKE SYSTEMS INC (1983)</t>
  </si>
  <si>
    <t xml:space="preserve">ACTION RECYCLING [FRS; 26 m]</t>
  </si>
  <si>
    <t xml:space="preserve">STONE WORKS MARBLE AND GRANITE [FRS; 25 m]</t>
  </si>
  <si>
    <t xml:space="preserve">S04468</t>
  </si>
  <si>
    <t xml:space="preserve">5351 TENNYSON ST1</t>
  </si>
  <si>
    <t xml:space="preserve">PRIMECs INCe (1983; SIC 3599)</t>
  </si>
  <si>
    <t xml:space="preserve">PRIMECs INCe (1983)</t>
  </si>
  <si>
    <t xml:space="preserve">ACTION RECYCLING [FRS; 19 m] | CSX CORPORATION OF COLORADO [FRS; 83 m] | SCA SERVICES OF COLORADO INC [FRS; 83 m] | ST CLAIR APARTMENTS [FRS; 156 m] | THOUTT BROTHERS [FRS; 240 m]</t>
  </si>
  <si>
    <t xml:space="preserve">STONE WORKS MARBLE AND GRANITE [FRS; 70 m] | 53RD AND TENNYSON LLC [FRS; 138 m] | RUDDEN HOME [FRS; 224 m]</t>
  </si>
  <si>
    <t xml:space="preserve">S04736</t>
  </si>
  <si>
    <t xml:space="preserve">11000 E 40TH AVE</t>
  </si>
  <si>
    <t xml:space="preserve">COLORADO BUILDING SPECIALTIES (1983; SIC 3442,3231)</t>
  </si>
  <si>
    <t xml:space="preserve">COLORADO BUILDING SPECIALTIES (1983)</t>
  </si>
  <si>
    <t xml:space="preserve">PILLOW KINGDOM INC [FRS; 3 m] | PILLOW KINGDOM INC [FRS] (address match)</t>
  </si>
  <si>
    <t xml:space="preserve">COLORADO SALT PRODUCTS</t>
  </si>
  <si>
    <t xml:space="preserve">PILLOW KINGDOM INC</t>
  </si>
  <si>
    <t xml:space="preserve">S04752</t>
  </si>
  <si>
    <t xml:space="preserve">3740 PARIS ST UNIT H</t>
  </si>
  <si>
    <t xml:space="preserve">DUST TRAP FILTERS (1983; SIC 3599)</t>
  </si>
  <si>
    <t xml:space="preserve">DUST TRAP FILTERS (1983)</t>
  </si>
  <si>
    <t xml:space="preserve">FRONT RANGE CHEM SPRAY INC [FRS; 2 m]</t>
  </si>
  <si>
    <t xml:space="preserve">FRONT RANGE CHEM SPRAY INC</t>
  </si>
  <si>
    <t xml:space="preserve">S04754</t>
  </si>
  <si>
    <t xml:space="preserve">707 UMATILLA ST</t>
  </si>
  <si>
    <t xml:space="preserve">E N MURRAY CO INC (1988-1992; SIC 2679,3086,3651)</t>
  </si>
  <si>
    <t xml:space="preserve">Ewe MURRAY COces INCe (1983) | E N MURRAY CO INC (1988)</t>
  </si>
  <si>
    <t xml:space="preserve">E N MURRAY CO INC [FRS; name match, 34 m] | E N MURRAY CO INC [FRS] (address match) | E N MURRAY CO INC [CDPHE RCRA] (address match)</t>
  </si>
  <si>
    <t xml:space="preserve">CUSTOM EDGE MARBLE &amp; GRANITE LLC [FRS; 21 m] | LAWRENCE TOOL &amp; MOLDING COMPANY [FRS; 22 m] | UFP TECHNOLOGIES MAIN BUILDING [FRS; 34 m] | UFP TECHNOLOGIES MAIN BUILDING [FRS] (address match)</t>
  </si>
  <si>
    <t xml:space="preserve">E N MURRAY CO INC</t>
  </si>
  <si>
    <t xml:space="preserve">S04757</t>
  </si>
  <si>
    <t xml:space="preserve">3200 PECOS</t>
  </si>
  <si>
    <t xml:space="preserve">ENGINE SERVICE # SUPPLY INC (1983-1990; SIC 3714)</t>
  </si>
  <si>
    <t xml:space="preserve">ENGINE SERVICE # SUPPLY INC (1983)</t>
  </si>
  <si>
    <t xml:space="preserve">ENGINE SERVICE &amp; SUPPLY INC [FRS; name match, 15 m]</t>
  </si>
  <si>
    <t xml:space="preserve">ENGINE SERVICE &amp; SUPPLY INC</t>
  </si>
  <si>
    <t xml:space="preserve">S04765</t>
  </si>
  <si>
    <t xml:space="preserve">1425 W 13TH AVE</t>
  </si>
  <si>
    <t xml:space="preserve">INTERNATIONAL TECHNIFAB (1990; SIC 3053,3089,3088)</t>
  </si>
  <si>
    <t xml:space="preserve">INTERNATIONAL TECHNIFAB INC (1983)</t>
  </si>
  <si>
    <t xml:space="preserve">CEI WEST ROOFING CO INC [CDPHE RCRA; 3 m]</t>
  </si>
  <si>
    <t xml:space="preserve">CEI WEST ROOFING CO INC</t>
  </si>
  <si>
    <t xml:space="preserve">S04769</t>
  </si>
  <si>
    <t xml:space="preserve">5300 ADAMS STO</t>
  </si>
  <si>
    <t xml:space="preserve">JK CONCEPTS (1983; SIC 3469,2541,2431)</t>
  </si>
  <si>
    <t xml:space="preserve">JK CONCEPTS (1983)</t>
  </si>
  <si>
    <t xml:space="preserve">J K CONCEPTS INC [FRS; name match, 213 m] | PENSKE TRUCK LEASING CO LP [CDPHE RCRA; 1 m] | RAC TRANSPORT COMPANY INC [FRS; 155 m] | H &amp; R AUTO SALVAGE [FRS; 220 m] | HOME DEPOT RENTAL #2971 [CDPHE RCRA; 249 m]</t>
  </si>
  <si>
    <t xml:space="preserve">JK CONCEPTS - 3333 E 52ND AVE [FRS; name match, 213 m] | LONE STAR AUTOMOTIVE [FRS; 31 m] | ALLIED TRADES INC DBA ALLIED STEEL CO [FRS; 97 m] | GREEN SOLUTION [FRS; 97 m] | GALAXY AUTO RECYCLE AND REPAIR [FRS; 123 m] | GALAXY AUTO RECYCLING [FRS; 123 m] | TED &amp; SON AUTO WRECKING [FRS; 191 m] | PROSPECT AUTO TOWING [FRS; 204 m] | TOP SHOP INC. [FRS; 215 m] | JOHNNIE WILLIAMS RES. [FRS; 230 m]</t>
  </si>
  <si>
    <t xml:space="preserve">S04787</t>
  </si>
  <si>
    <t xml:space="preserve">6035 E 38TH AVE</t>
  </si>
  <si>
    <t xml:space="preserve">MAJESTIC WAX CO (1983-1990; SIC 2842)</t>
  </si>
  <si>
    <t xml:space="preserve">MAJESTIC WAX CO (1983)</t>
  </si>
  <si>
    <t xml:space="preserve">PCS FOR PEOPLE [FRS; 18 m] | PCS FOR PEOPLE [FRS] (address match) | PCS FOR PEOPLE [CDPHE RCRA] (address match)</t>
  </si>
  <si>
    <t xml:space="preserve">S04804</t>
  </si>
  <si>
    <t xml:space="preserve">1030 W ELLSWORTH AVE</t>
  </si>
  <si>
    <t xml:space="preserve">NORSAIRE CORPORATION (1983; SIC 3585,3599)</t>
  </si>
  <si>
    <t xml:space="preserve">NORSAIRE CORPORATION (1983)</t>
  </si>
  <si>
    <t xml:space="preserve">TG X-RAY LTD [FRS; 37 m]</t>
  </si>
  <si>
    <t xml:space="preserve">ACCURACY FIRST PRINTING [FRS; 38 m]</t>
  </si>
  <si>
    <t xml:space="preserve">S04811</t>
  </si>
  <si>
    <t xml:space="preserve">4105 HOLLY ST</t>
  </si>
  <si>
    <t xml:space="preserve">POLYCRAFT CORP (1983; SIC 3079)</t>
  </si>
  <si>
    <t xml:space="preserve">POLYCRAFT CORP (1983)</t>
  </si>
  <si>
    <t xml:space="preserve">RYDER TRUCK RENTAL INC [FRS; 15 m] | AKZO COATINGS INC [FRS] (address match)</t>
  </si>
  <si>
    <t xml:space="preserve">S04823</t>
  </si>
  <si>
    <t xml:space="preserve">5025 NOME ST</t>
  </si>
  <si>
    <t xml:space="preserve">ROBBINS INCUBATOR CO (1983; SIC 3523) | WESTERN HYDRAULICS INC (1990; SIC 3593)</t>
  </si>
  <si>
    <t xml:space="preserve">ROBBINS INCUBATOR CO (1983) | WESTERN HYDRAULICS INC (1990)</t>
  </si>
  <si>
    <t xml:space="preserve">WELCH EQUIPMENT COMPANY INC [FRS; 1 m] | R.S. HUGHES COMPANY INC [FRS; 19 m] | HEIDELBERG WEST INC [FRS; 43 m] | WELCH EQUIPMENT COMPANY INC [FRS] (address match) | WELCH EQUIPMENT COMPANY INC [CDPHE RCRA] (address match)</t>
  </si>
  <si>
    <t xml:space="preserve">WELCH EQUIPMENT COMPANY INC</t>
  </si>
  <si>
    <t xml:space="preserve">S04833</t>
  </si>
  <si>
    <t xml:space="preserve">5300 MONROE ST</t>
  </si>
  <si>
    <t xml:space="preserve">SAWAYA BODY + TRAILER COs» INC. (1983-1988; SIC 3713)</t>
  </si>
  <si>
    <t xml:space="preserve">SAWAYA BODY + TRAILER COs» INC. (1983)</t>
  </si>
  <si>
    <t xml:space="preserve">TRULIEVE- DENVER [FRS; 4 m] | CUSTOM TAPE AND LABEL CO. [CDPHE RCRA; 4 m] | TRULIEVE- DENVER [CDPHE RCRA; 4 m] | CENTRAL BODY &amp; TRUCK REPAIR SAWAYA BODY [FRS] (address match)</t>
  </si>
  <si>
    <t xml:space="preserve">BONE YARD [FRS; 24 m]</t>
  </si>
  <si>
    <t xml:space="preserve">VM Properties</t>
  </si>
  <si>
    <t xml:space="preserve">TRULIEVE- DENVER</t>
  </si>
  <si>
    <t xml:space="preserve">S04834</t>
  </si>
  <si>
    <t xml:space="preserve">4575 JOLIET ST</t>
  </si>
  <si>
    <t xml:space="preserve">SCOTT SYSTEM (1983-1990; SIC 3069,3544)</t>
  </si>
  <si>
    <t xml:space="preserve">SCOTT SYSTEM (1983)</t>
  </si>
  <si>
    <t xml:space="preserve">SCOTT SYSTEM [FRS; name match, 7 m] | SCOTT SYSTEM INC [FRS; name match, 164 m] | SCOTT SYSTEM [FRS] (address match)</t>
  </si>
  <si>
    <t xml:space="preserve">SCOTT SYSTEM</t>
  </si>
  <si>
    <t xml:space="preserve">S04845</t>
  </si>
  <si>
    <t xml:space="preserve">995 W ILIFF AVE</t>
  </si>
  <si>
    <t xml:space="preserve">STADLER MOLD + DIE COs INC (1983; SIC 3542,3544,2821) | RUBBER-PLASTICS-ASB ACCURATE MACHINING (1988; SIC 3441) | INSTMTS E J RENNER+ASSOC (1988; SIC 2822,3949) | ACCURATE MACHINING (1990; SIC 3441,3599) | EJ RENNER + ASSOCIATES (1990; SIC 2822,3949)</t>
  </si>
  <si>
    <t xml:space="preserve">STADLER MOLD + DIE COs INC (1983) | RUBBER-PLASTICS-ASB ACCURATE MACHINING (1988) | INSTMTS E J RENNER+ASSOC (1988) | ACCURATE MACHINING (1990) | EJ RENNER + ASSOCIATES (1990)</t>
  </si>
  <si>
    <t xml:space="preserve">ACCURATE MACHINING INC [FRS; name match, 49 m] | COLORADO LINES [FRS; 11 m] | MALOTT PETERSON RENNER PLANT [FRS; 19 m] | MATRIX AUTO BODY [FRS; 49 m]</t>
  </si>
  <si>
    <t xml:space="preserve">EJ RENNER &amp; ASSOC [FRS; name match, 19 m] | STADLER MOLD &amp; DIE CO. INC. [FRS; name match, 31 m] | STADLER MOLD &amp; DIE CO. INC. [FRS] (address match)</t>
  </si>
  <si>
    <t xml:space="preserve">COLORADO LINES</t>
  </si>
  <si>
    <t xml:space="preserve">S04850</t>
  </si>
  <si>
    <t xml:space="preserve">6800 ESHAMPDEN AVE</t>
  </si>
  <si>
    <t xml:space="preserve">SUNWARD CORP. (1983; SIC 3448)</t>
  </si>
  <si>
    <t xml:space="preserve">SUNWARD CORP. (1983)</t>
  </si>
  <si>
    <t xml:space="preserve">THE DESIGN DEN [FRS; 133 m] | GOLDEN RAIN [FRS; 151 m] | CST METRO LLC DBA CORNER STORE #4087 [FRS; 225 m]</t>
  </si>
  <si>
    <t xml:space="preserve">SOUTHMOOR NEIGHBORHOOD HEALTH CLINIC [FRS; 166 m]</t>
  </si>
  <si>
    <t xml:space="preserve">THE DESIGN DEN</t>
  </si>
  <si>
    <t xml:space="preserve">S04862</t>
  </si>
  <si>
    <t xml:space="preserve">878 S LIPAN</t>
  </si>
  <si>
    <t xml:space="preserve">UNIQUE IN-COUNTERS (1983; SIC 3079)</t>
  </si>
  <si>
    <t xml:space="preserve">UNIQUE IN-COUNTERS (1983)</t>
  </si>
  <si>
    <t xml:space="preserve">RENTAL MACHINERY [FRS; 18 m] | DENVER INDUSTRIAL SALES &amp; SERVICES CO [FRS; 32 m]</t>
  </si>
  <si>
    <t xml:space="preserve">Alta Alameda Station III</t>
  </si>
  <si>
    <t xml:space="preserve">RENTAL MACHINERY</t>
  </si>
  <si>
    <t xml:space="preserve">S04870</t>
  </si>
  <si>
    <t xml:space="preserve">2667 W ALAMEDA AVE</t>
  </si>
  <si>
    <t xml:space="preserve">WEST ELECTRONIC BALANCING CO (1983-1990; SIC 3599) | WOVENWOOD, WARMWIND BAPANCRG ES UC (1988; SIC 3599,3829)</t>
  </si>
  <si>
    <t xml:space="preserve">WEST ELECTRONIC BALANCING CO (1983) | WOVENWOOD, WARMWIND BAPANCRG ES UC (1988)</t>
  </si>
  <si>
    <t xml:space="preserve">WOLF WAGON INC [FRS; 10 m]</t>
  </si>
  <si>
    <t xml:space="preserve">WOLF WAGON INC</t>
  </si>
  <si>
    <t xml:space="preserve">S04878</t>
  </si>
  <si>
    <t xml:space="preserve">3015 ZUNI</t>
  </si>
  <si>
    <t xml:space="preserve">VIC’S GRINDING SERVICE (1988-1992; SIC 3545)</t>
  </si>
  <si>
    <t xml:space="preserve">WORSHIP RESOURCESs INC (1983) | PRMTERSo RES (1988) | VIC’S GRINDING SERVICE (1988) | MILLER BROTHERS PRINTING CO INC (1990)</t>
  </si>
  <si>
    <t xml:space="preserve">LIVE WIRE CLNRS [FRS; 13 m]</t>
  </si>
  <si>
    <t xml:space="preserve">MILLER BROS PRINTING CO. [FRS; name match, 14 m] | CIRCLE K STORE NO 3886 [FRS; 13 m]</t>
  </si>
  <si>
    <t xml:space="preserve">LIVE WIRE CLNRS</t>
  </si>
  <si>
    <t xml:space="preserve">S05541</t>
  </si>
  <si>
    <t xml:space="preserve">2480 W 26TH AVE NO 40 B</t>
  </si>
  <si>
    <t xml:space="preserve">CONTROL COMPUTERS AEROWAVE LTD (1988; SIC 3679,3444) | DENVER UPLINK (1990; SIC 3679)</t>
  </si>
  <si>
    <t xml:space="preserve">CONTROL COMPUTERS AEROWAVE LTD (1988) | DENVER UPLINK (1990)</t>
  </si>
  <si>
    <t xml:space="preserve">DENVER MEDICAL IMAGING CENTER [FRS; 4 m]</t>
  </si>
  <si>
    <t xml:space="preserve">PILLAR PROPERTY SERVICES [FRS; 27 m] | URBAN DRAINAGE &amp; FLOOD CONTROL [FRS; 27 m]</t>
  </si>
  <si>
    <t xml:space="preserve">DENVER MEDICAL IMAGING CENTER</t>
  </si>
  <si>
    <t xml:space="preserve">S05569</t>
  </si>
  <si>
    <t xml:space="preserve">1001 W 42ND AVE</t>
  </si>
  <si>
    <t xml:space="preserve">CHAVEZ SHEET METAL (1988-1990; SIC 3444)</t>
  </si>
  <si>
    <t xml:space="preserve">CHAVEZ SHEET METAL (1988)</t>
  </si>
  <si>
    <t xml:space="preserve">PARK MAINTENANCE WAREHOUSE [CDPHE RCRA; 15 m]</t>
  </si>
  <si>
    <t xml:space="preserve">PARK MAINTENANCE WAREHOUSE</t>
  </si>
  <si>
    <t xml:space="preserve">S05571</t>
  </si>
  <si>
    <t xml:space="preserve">2068 5 BANNOCK ST</t>
  </si>
  <si>
    <t xml:space="preserve">¥ J CHRISTON GRINDING CO (1988; SIC 3411) | GREENWOOD VILLAGE LANE MFG INC (1988; SIC 3523,3841)</t>
  </si>
  <si>
    <t xml:space="preserve">¥ J CHRISTON GRINDING CO (1988) | GREENWOOD VILLAGE LANE MFG INC (1988)</t>
  </si>
  <si>
    <t xml:space="preserve">MIDTOWN AUTOMOTIVE [CDPHE RCRA; 238 m]</t>
  </si>
  <si>
    <t xml:space="preserve">KALIN CONSTRUCTION LLC [FRS; 141 m]</t>
  </si>
  <si>
    <t xml:space="preserve">MIDTOWN AUTOMOTIVE</t>
  </si>
  <si>
    <t xml:space="preserve">S05595</t>
  </si>
  <si>
    <t xml:space="preserve">5690 N LOGAN</t>
  </si>
  <si>
    <t xml:space="preserve">ERRBRAL RESTORATION (1988; SIC 3444) | FEDERAL RESTORATION SHOP (1990; SIC 3444)</t>
  </si>
  <si>
    <t xml:space="preserve">ERRBRAL RESTORATION (1988) | FEDERAL RESTORATION SHOP (1990)</t>
  </si>
  <si>
    <t xml:space="preserve">DANK-LITE [FRS; 139 m] | WILSONART DENVER [FRS; 169 m] | WILSONART DENVER [CDPHE RCRA; 176 m] | DRUG ENFORCEMENT ADMINISTRATION-MK-26-S003 [CDPHE RCRA; 199 m] | AMOCO GAS STA NO 3694/CHEVRON REMEDTN. [FRS; 238 m] | ALLEN-LEWIS MFG [FRS; 241 m]</t>
  </si>
  <si>
    <t xml:space="preserve">WESTERN MEAT [FRS; 148 m] | MR. MAZDA [FRS; 154 m] | DENVER MERCHANDISE MART [FRS; 161 m] | METRO METAL SUPPLY, INC. [FRS; 239 m]</t>
  </si>
  <si>
    <t xml:space="preserve">DANK-LITE</t>
  </si>
  <si>
    <t xml:space="preserve">S05617</t>
  </si>
  <si>
    <t xml:space="preserve">588 QUIVAS ST</t>
  </si>
  <si>
    <t xml:space="preserve">PAINTED J K CONCEPTS (1988; SIC 2431,2541,3469)</t>
  </si>
  <si>
    <t xml:space="preserve">PAINTED J K CONCEPTS (1988)</t>
  </si>
  <si>
    <t xml:space="preserve">PPG INDUSTRIES INC [FRS; 33 m]</t>
  </si>
  <si>
    <t xml:space="preserve">DENVER WATER WEST SIDE COMPLEX FIBER OPTIC CABLE INSTALLATION [FRS; 16 m]</t>
  </si>
  <si>
    <t xml:space="preserve">CALIFORNIA EXPANDED METALS CO</t>
  </si>
  <si>
    <t xml:space="preserve">PPG INDUSTRIES INC</t>
  </si>
  <si>
    <t xml:space="preserve">S05636</t>
  </si>
  <si>
    <t xml:space="preserve">33 S FOX ST</t>
  </si>
  <si>
    <t xml:space="preserve">KARL W SCHMIDT+ ASSOCIATES (1988-1990; SIC 3535,3554,3559)</t>
  </si>
  <si>
    <t xml:space="preserve">HANDLING EQUIP MARCHING WORLD CORP (1988) | KARL W SCHMIDT+ ASSOCIATES (1988)</t>
  </si>
  <si>
    <t xml:space="preserve">KARL SCHMIDT &amp; ACCOCIATES [FRS; 9 m] | PSCO - APPLIANCE REPAIR [CDPHE RCRA; 22 m]</t>
  </si>
  <si>
    <t xml:space="preserve">GATES &amp; SONS (WAS KARL W SCHMIDT ASSOC I [FRS; 7 m] | GATES &amp; SONS INC [FRS; 11 m] | GATES &amp; SONS, INC [FRS; 44 m]</t>
  </si>
  <si>
    <t xml:space="preserve">S05647</t>
  </si>
  <si>
    <t xml:space="preserve">4880 COLORADO BLVD</t>
  </si>
  <si>
    <t xml:space="preserve">NEWCOMB SPRING OF COLORADO (1990; SIC 3495)</t>
  </si>
  <si>
    <t xml:space="preserve">NEWCOMB SPRING OF COLORADO (1988)</t>
  </si>
  <si>
    <t xml:space="preserve">TRANSPRO [CDPHE RCRA; 103 m] | CHEMTRADE SOLUTIONS LLC - DENVER [CDPHE RCRA; 103 m] | EAST BALT BAKERY OF DENVER INC [CDPHE RCRA; 103 m] | ENVIRO-VAC INC [CDPHE RCRA; 164 m] | ENVIRO-VAC INC [FRS; 203 m] | GENPOWER INC [FRS; 216 m] | KOIS BROTHERS EQUIPMENT CO INC [FRS; 230 m] | WAYMO LLC [CDPHE RCRA; 248 m]</t>
  </si>
  <si>
    <t xml:space="preserve">US PLASTIC LUMBER CO [FRS; 19 m] | ITW PLASTIC PACKAGING [FRS; 19 m] | ANGLEBOARD PLASTIC PACKAGING [FRS; 19 m] | CUTTING EDGE GLASS [FRS; 205 m] | NOTEBOOKS INC [FRS; 225 m] | PEST CONTROL SUPPLIES [FRS; 231 m] | CUTTING EDGE GLASS [FRS] (address match)</t>
  </si>
  <si>
    <t xml:space="preserve">TRANSPRO</t>
  </si>
  <si>
    <t xml:space="preserve">S05656</t>
  </si>
  <si>
    <t xml:space="preserve">2590 W 2ND NO 15</t>
  </si>
  <si>
    <t xml:space="preserve">SERVICE-AIR INC (1990; SIC 3564)</t>
  </si>
  <si>
    <t xml:space="preserve">PREFERRED BINDERY CO (1988) | SERVICE-AIR INC (1990)</t>
  </si>
  <si>
    <t xml:space="preserve">PARADISE CLEANERS [CDPHE RCRA; 20 m] | SINCLAIR PAINT COMPANY [FRS; 22 m] | ECO-DYNE SYSTEM INC [FRS; 32 m] | CONTINENTAL CONVERTERS INC [FRS; 39 m]</t>
  </si>
  <si>
    <t xml:space="preserve">PARADISE CLEANERS</t>
  </si>
  <si>
    <t xml:space="preserve">S05657</t>
  </si>
  <si>
    <t xml:space="preserve">4875 MOLINE ST</t>
  </si>
  <si>
    <t xml:space="preserve">DENVER - DENVER 241 SOLID DESIGNS INC (1988; SIC 3089,3281,2110) | SOLID DESIGNS INC (1990; SIC 3089,3281)</t>
  </si>
  <si>
    <t xml:space="preserve">PREMIER COUNTER TOPS INC (1988) | DENVER - DENVER 241 SOLID DESIGNS INC (1988) | SOLID DESIGNS INC (1990)</t>
  </si>
  <si>
    <t xml:space="preserve">INX INTERNATIONAL INK CO [FRS; 2 m] | INX...INTERNATIONAL INK CO [CDPHE RCRA; 2 m] | STEVEN LABEL CORPORATION [CDPHE RCRA; 2 m] | FISHER SCIENTIFIC CO LLC [CDPHE RCRA; 2 m] | ALLEGIANCE HEALTHCARE [FRS; 18 m] | STEVEN LABEL CORPORATION [FRS] (address match) | STEVEN LABEL CORPORATION [CDPHE RCRA] (address match)</t>
  </si>
  <si>
    <t xml:space="preserve">SAMSONITE CORP</t>
  </si>
  <si>
    <t xml:space="preserve">INX INTERNATIONAL INK CO</t>
  </si>
  <si>
    <t xml:space="preserve">S05668</t>
  </si>
  <si>
    <t xml:space="preserve">13105 E 38TH AVE</t>
  </si>
  <si>
    <t xml:space="preserve">MASTER BUILDERS (1990; SIC 2843)</t>
  </si>
  <si>
    <t xml:space="preserve">ROCKY MTN MILLWORK (1988) | CHAMPAGNE INDUSTRIES (1990) | MASTER BUILDERS (1990)</t>
  </si>
  <si>
    <t xml:space="preserve">FORTUNE METAL MIDWEST [FRS] (address match) | FORTUNE PLASTIC &amp; METAL MOUNTAIN STATES [CDPHE RCRA] (address match)</t>
  </si>
  <si>
    <t xml:space="preserve">MASTER BUILDERS SOLUTIONS ADMIXTURES US [FRS; name match, 96 m]</t>
  </si>
  <si>
    <t xml:space="preserve">BRAHMA OF COLORADO</t>
  </si>
  <si>
    <t xml:space="preserve">S05678</t>
  </si>
  <si>
    <t xml:space="preserve">560 RARITAN WAY</t>
  </si>
  <si>
    <t xml:space="preserve">D.B.A.-ROCKY MOUNTAIN SPACEWALL (1988; SIC 3069) | SPACEWALL INTERNATIONAL INC. (1990; SIC 3069)</t>
  </si>
  <si>
    <t xml:space="preserve">D.B.A.-ROCKY MOUNTAIN SPACEWALL (1988) | SKYLINE BUSINESS FORMS INC (1990) | SPACEWALL INTERNATIONAL INC. (1990)</t>
  </si>
  <si>
    <t xml:space="preserve">FUJI PHOTO FILM USA INC [FRS; 9 m]</t>
  </si>
  <si>
    <t xml:space="preserve">SKYLINE BUSINESS FORMS INC [FRS; name match, 31 m]</t>
  </si>
  <si>
    <t xml:space="preserve">S05679</t>
  </si>
  <si>
    <t xml:space="preserve">903 FEDERAL BLVD</t>
  </si>
  <si>
    <t xml:space="preserve">PRODUCTS SPITFIRE AUTOMOTIVE (1988-1990; SIC 3714)</t>
  </si>
  <si>
    <t xml:space="preserve">PRODUCTS SPITFIRE AUTOMOTIVE (1988)</t>
  </si>
  <si>
    <t xml:space="preserve">SPITFIRE ENGINE &amp; MACHINE  LLC [FRS; 7 m] | SPITFIRE ENGINE &amp; MACHINE  LLC [FRS] (address match)</t>
  </si>
  <si>
    <t xml:space="preserve">S05687</t>
  </si>
  <si>
    <t xml:space="preserve">666 S SANTA FE DR</t>
  </si>
  <si>
    <t xml:space="preserve">UNION CARBIDE CORP D.B.A.-LINDE CORP (1988; SIC 2813,2619,3600) | LINDE GASES OF THE WEST (1990; SIC 2813,2819)</t>
  </si>
  <si>
    <t xml:space="preserve">UNION CARBIDE CORP D.B.A.-LINDE CORP (1988) | LINDE GASES OF THE WEST (1990)</t>
  </si>
  <si>
    <t xml:space="preserve">VACANT LOT NEXT TO US WELD FACILITY [FRS] (address match)</t>
  </si>
  <si>
    <t xml:space="preserve">S05704</t>
  </si>
  <si>
    <t xml:space="preserve">500 JOLIET</t>
  </si>
  <si>
    <t xml:space="preserve">ZEP MFG (1988; SIC 2842)</t>
  </si>
  <si>
    <t xml:space="preserve">ZEP MFG (1988)</t>
  </si>
  <si>
    <t xml:space="preserve">JAMAICA ELEMENTARY SCHOOL [CDPHE RCRA; 108 m] | MILE HIGH COLLISION LLC [CDPHE RCRA; 108 m]</t>
  </si>
  <si>
    <t xml:space="preserve">JAMAICA ELEMENTARY SCHOOL</t>
  </si>
  <si>
    <t xml:space="preserve">S06356</t>
  </si>
  <si>
    <t xml:space="preserve">1803 E 58TH AVE</t>
  </si>
  <si>
    <t xml:space="preserve">INTEC HEAT TREATING (1990; SIC 3567,3692,3699)</t>
  </si>
  <si>
    <t xml:space="preserve">ACE BAKING CO INC (1990) | INTEC HEAT TREATING (1990)</t>
  </si>
  <si>
    <t xml:space="preserve">WOODGRAIN INC [FRS; 39 m] | PREFERRED REDUCTION SERVICES DENVER [FRS; 39 m]</t>
  </si>
  <si>
    <t xml:space="preserve">WOODGRAIN INC [FRS; 39 m] | HARLAN BAKERIES COLORADO, LLC [FRS] (address match)</t>
  </si>
  <si>
    <t xml:space="preserve">WOODGRAIN INC</t>
  </si>
  <si>
    <t xml:space="preserve">S06359</t>
  </si>
  <si>
    <t xml:space="preserve">4810 VASQUEZ BIVD</t>
  </si>
  <si>
    <t xml:space="preserve">AIR PRODUCTS + CHEMICALS INC (1990-1992; SIC 2869)</t>
  </si>
  <si>
    <t xml:space="preserve">AIR PRODUCTS + CHEMICALS INC (1990)</t>
  </si>
  <si>
    <t xml:space="preserve">AIR PRODUCTS [FRS; name match, 52 m]</t>
  </si>
  <si>
    <t xml:space="preserve">Wabash Trailer Center</t>
  </si>
  <si>
    <t xml:space="preserve">AIR PRODUCTS</t>
  </si>
  <si>
    <t xml:space="preserve">S06367</t>
  </si>
  <si>
    <t xml:space="preserve">220 W 6TH AVE</t>
  </si>
  <si>
    <t xml:space="preserve">MITERS TOUCH (1992; SIC 3089)</t>
  </si>
  <si>
    <t xml:space="preserve">ARTISTS ONLY (1990) | MITERS TOUCH (1990)</t>
  </si>
  <si>
    <t xml:space="preserve">BROWNE BROTHERS PAINTING &amp; DECORATING INC [FRS; 2 m]</t>
  </si>
  <si>
    <t xml:space="preserve">S06372</t>
  </si>
  <si>
    <t xml:space="preserve">11925 E 49TH ST</t>
  </si>
  <si>
    <t xml:space="preserve">BASF CORP, COATINGS + COLORANT (1990; SIC 2893)</t>
  </si>
  <si>
    <t xml:space="preserve">BASF CORP, COATINGS + COLORANT (1990)</t>
  </si>
  <si>
    <t xml:space="preserve">FEDERAL EXPRESS CORP - E. 49TH [FRS; 14 m] | BASF INMONT CORP. [FRS; 18 m] | INGERSOLL-RAND CO [CDPHE RCRA; 96 m] | QUALEX INC [FRS; 104 m] | AT &amp; T CORP [FRS; 116 m] | AMERICAN MEDICAL TRANSPORTATION OF COLO [FRS; 138 m] | CENTURION CONTAINER DENVER [FRS; 165 m] | BELFOR ERNVIRONMENTAL INC [FRS; 195 m] | CENTURION CONTAINER DENVER [CDPHE RCRA; 196 m] | FINISHING FIRST INC [FRS; 196 m] | MARY'S ME</t>
  </si>
  <si>
    <t xml:space="preserve">SPECTROGRAPHICS  INC [FRS; 109 m] | OAKLAND ELEMENTARY SCHOOL [FRS; 170 m] | KIMMEL MECHANICAL, INC [FRS; 195 m] | SUNSHINE PAPER CO [FRS; 195 m] | RIEDEL ENVIRONMENTAL SERVICES [FRS; 195 m] | PARKFIELD APARTMENTS [FRS; 206 m] | HOTCHKISS INC [FRS; 212 m] | COTTER AND COMPANY [FRS; 223 m] | GUY'S FLOOR SERVICE, INC. [FRS; 237 m] | TYPE ETC [FRS; 238 m]</t>
  </si>
  <si>
    <t xml:space="preserve">FEDERAL EXPRESS CORP - E. 49TH</t>
  </si>
  <si>
    <t xml:space="preserve">S06404</t>
  </si>
  <si>
    <t xml:space="preserve">1206 S VALENTIA</t>
  </si>
  <si>
    <t xml:space="preserve">DIAMOND MANUFACTURING (1990; SIC 3499,3496)</t>
  </si>
  <si>
    <t xml:space="preserve">DIAMOND MANUFACTURING (1990)</t>
  </si>
  <si>
    <t xml:space="preserve">TOWN AND COUNTRY CLEANERS  [CDPHE RCRA; 10 m]</t>
  </si>
  <si>
    <t xml:space="preserve">S06426</t>
  </si>
  <si>
    <t xml:space="preserve">5775 W 52ND AVE</t>
  </si>
  <si>
    <t xml:space="preserve">INDUSTRIAL SOLAR TECHNOLOGY CORP (1990-1992; SIC 3433,3829)</t>
  </si>
  <si>
    <t xml:space="preserve">INDUSTRIAL SOLAR TECHNOLOGY CORP (1990)</t>
  </si>
  <si>
    <t xml:space="preserve">IT INVESTMENT RECOVERIES [CDPHE RCRA; 9 m] | ROCKY MOUNTAIN RETINNING [CDPHE RCRA; 34 m] | IT INVESTMENT RECOVERIES [FRS; 37 m]</t>
  </si>
  <si>
    <t xml:space="preserve">IT INVESTMENT RECOVERIES</t>
  </si>
  <si>
    <t xml:space="preserve">S06465</t>
  </si>
  <si>
    <t xml:space="preserve">3019 CHEROKEE ST</t>
  </si>
  <si>
    <t xml:space="preserve">PHARMACEUTICAL BASICS INC (1990; SIC 2834)</t>
  </si>
  <si>
    <t xml:space="preserve">PHARMACEUTICAL BASICS INC (1990)</t>
  </si>
  <si>
    <t xml:space="preserve">MILLER TRUCKING [FRS; 161 m]</t>
  </si>
  <si>
    <t xml:space="preserve">BROWNING APARTMENTS [FRS; 101 m]</t>
  </si>
  <si>
    <t xml:space="preserve">MILLER TRUCKING</t>
  </si>
  <si>
    <t xml:space="preserve">S06467</t>
  </si>
  <si>
    <t xml:space="preserve">1224 5TH ST</t>
  </si>
  <si>
    <t xml:space="preserve">PIONEER FIXTURE CO Oo (1990; SIC 2434,2531,2541)</t>
  </si>
  <si>
    <t xml:space="preserve">PIONEER FIXTURE CO Oo (1990)</t>
  </si>
  <si>
    <t xml:space="preserve">EVERSMAN MANUFACTURING COMPANY NUMBER [FRS; 11 m]</t>
  </si>
  <si>
    <t xml:space="preserve">S06482</t>
  </si>
  <si>
    <t xml:space="preserve">11075 E 47TH AVE</t>
  </si>
  <si>
    <t xml:space="preserve">ROOFING EQUIPMENT INC (1990; SIC 3589,3537)</t>
  </si>
  <si>
    <t xml:space="preserve">ROOFING EQUIPMENT INC (1990)</t>
  </si>
  <si>
    <t xml:space="preserve">ROOFING EQUIPMENT INC [FRS; name match, 37 m] | ROOFING EQUIPMENT INC [FRS] (address match) | ROOFING EQUIPMENT INC [CDPHE RCRA] (address match)</t>
  </si>
  <si>
    <t xml:space="preserve">DAFFY APPLE CORP [FRS; 37 m] | DAFFY APPLE CORP [FRS] (address match)</t>
  </si>
  <si>
    <t xml:space="preserve">HENRY CO GRUNDY INDUSTRIES</t>
  </si>
  <si>
    <t xml:space="preserve">ROOFING EQUIPMENT INC</t>
  </si>
  <si>
    <t xml:space="preserve">S06957</t>
  </si>
  <si>
    <t xml:space="preserve">701 DECATUR ST</t>
  </si>
  <si>
    <t xml:space="preserve">CENTRAL DENVER IRON WORKS INC (1992; SIC 3446)</t>
  </si>
  <si>
    <t xml:space="preserve">CENTRAL DENVER IRON WORKS INC (1992)</t>
  </si>
  <si>
    <t xml:space="preserve">DENVER PUBLIC SCHOOLS  VEHICLE MAINT. [FRS; 1 m]</t>
  </si>
  <si>
    <t xml:space="preserve">S06967</t>
  </si>
  <si>
    <t xml:space="preserve">2155 VALENTIA ST</t>
  </si>
  <si>
    <t xml:space="preserve">ELCAR FENCE + SUPPLYCO- (1992; SIC 3496)</t>
  </si>
  <si>
    <t xml:space="preserve">ELCAR FENCE + SUPPLYCO- (1992)</t>
  </si>
  <si>
    <t xml:space="preserve">SKYWORLD AIRLINES INC [FRS; 31 m]</t>
  </si>
  <si>
    <t xml:space="preserve">SKYWORLD AIRLINES INC</t>
  </si>
  <si>
    <t xml:space="preserve">S06975</t>
  </si>
  <si>
    <t xml:space="preserve">175 FEDERAL BIVD</t>
  </si>
  <si>
    <t xml:space="preserve">RANDY METAL PRODUCTS (1992; SIC 3594,3443,3822)</t>
  </si>
  <si>
    <t xml:space="preserve">RANDY METAL PRODUCTS (1992)</t>
  </si>
  <si>
    <t xml:space="preserve">JUST ROOS [FRS; 17 m] | COLORADO AMBULANCE REPAIR SERVICE [FRS; 38 m]</t>
  </si>
  <si>
    <t xml:space="preserve">GW Mushroom Farm (N)II</t>
  </si>
  <si>
    <t xml:space="preserve">JUST ROOS</t>
  </si>
  <si>
    <t xml:space="preserve">S06988</t>
  </si>
  <si>
    <t xml:space="preserve">2045 VAIENTIA ST</t>
  </si>
  <si>
    <t xml:space="preserve">LAWRENCE TOOL CO (1992; SIC 3089)</t>
  </si>
  <si>
    <t xml:space="preserve">LAWRENCE TOOL CO (1992)</t>
  </si>
  <si>
    <t xml:space="preserve">SKYWORLD AIRLINES INC [FRS; 74 m] | CUSTOM AIR INTERIORS [FRS; 207 m]</t>
  </si>
  <si>
    <t xml:space="preserve">DENVER SCHOOL OF SCIENCE &amp; TECHNOLOLOGY [FRS; 26 m] | ST STEPHEN MISSIONARY BAPTIST CHURCH [FRS; 50 m] | SAINT STEPHEN MISSIONARY BAPTIST CHURCH UINTA ST [FRS; 99 m]</t>
  </si>
  <si>
    <t xml:space="preserve">S07003</t>
  </si>
  <si>
    <t xml:space="preserve">5721 LOGAN ST</t>
  </si>
  <si>
    <t xml:space="preserve">‘SPRAY BOOTH MANUFACTURING CO (1992; SIC 3499,3631)</t>
  </si>
  <si>
    <t xml:space="preserve">‘SPRAY BOOTH MANUFACTURING CO (1992)</t>
  </si>
  <si>
    <t xml:space="preserve">DANK-LITE [FRS; 18 m]</t>
  </si>
  <si>
    <t xml:space="preserve">S07004</t>
  </si>
  <si>
    <t xml:space="preserve">8105 E COLFAX AVE</t>
  </si>
  <si>
    <t xml:space="preserve">STATEWIDE LOCK &amp; SAFE INC (1992; SIC 3429)</t>
  </si>
  <si>
    <t xml:space="preserve">STATEWIDE LOCK &amp; SAFE INC (1992)</t>
  </si>
  <si>
    <t xml:space="preserve">ASSOCIATED BATTERY SUPPLY INC [FRS; 31 m]</t>
  </si>
  <si>
    <t xml:space="preserve">TRENTON STREET BROWNFIELD PROJECT</t>
  </si>
  <si>
    <t xml:space="preserve">ASSOCIATED BATTERY SUPPLY INC</t>
  </si>
  <si>
    <t xml:space="preserve">S03002</t>
  </si>
  <si>
    <t xml:space="preserve">20 CAPRICE OR</t>
  </si>
  <si>
    <t xml:space="preserve">K * R MACHINE SHOP (1974-1983; SIC 3544,3591)</t>
  </si>
  <si>
    <t xml:space="preserve">K * R MACHINE SHOP (1974)</t>
  </si>
  <si>
    <t xml:space="preserve">CLASSIC COLLISION -  CASTLE ROCK SOUTH 1971  [CDPHE RCRA; 69 m] | CLASSIC COLLISION -  CASTLE ROCK SOUTH 1971 [FRS; 69 m] | FINISHING FIRST [FRS; 154 m] | CASTLE ROCK TRAILOR SALES [FRS; 154 m] | J M WOODWORKS INC [FRS; 169 m]</t>
  </si>
  <si>
    <t xml:space="preserve">Douglas County Slash Site [CDPHE Solid_Waste_Facilities; 167 m]</t>
  </si>
  <si>
    <t xml:space="preserve">QUEST GRAPHICS, INC [FRS; 154 m] | TECHNICAL AUTOMOTIVE [FRS; 154 m] | EPC REACH 5 PHASE 2 STABILIZATION [FRS; 168 m] | CASTLE ROCK CENTRAL SERVICE CENTER [FRS; 172 m]</t>
  </si>
  <si>
    <t xml:space="preserve">CLASSIC COLLISION -  CASTLE ROCK SOUTH 1971 </t>
  </si>
  <si>
    <t xml:space="preserve">S04069</t>
  </si>
  <si>
    <t xml:space="preserve">529 5 GILBERT</t>
  </si>
  <si>
    <t xml:space="preserve">F-M MANUFACTURING CO, INC (1980; SIC 2541,3079)</t>
  </si>
  <si>
    <t xml:space="preserve">F-M MANUFACTURING CO, INC (1980)</t>
  </si>
  <si>
    <t xml:space="preserve">PINES CLEANERS [CDPHE RCRA; 230 m]</t>
  </si>
  <si>
    <t xml:space="preserve">CRAIG AND GOULD NORTH INFRASTRUCTURE IMPROVEMENTS [FRS; 216 m] | COLORADO COMMUNITY NEWSPAPERS [FRS; 219 m]</t>
  </si>
  <si>
    <t xml:space="preserve">PINES CLEANERS</t>
  </si>
  <si>
    <t xml:space="preserve">S04070</t>
  </si>
  <si>
    <t xml:space="preserve">175 CAPRICE DR</t>
  </si>
  <si>
    <t xml:space="preserve">UNITED MANUFACTURING + MACHINING CO. (1980-1983; SIC 3599)</t>
  </si>
  <si>
    <t xml:space="preserve">UNITED MANUFACTURING + MACHINING CO. (1980)</t>
  </si>
  <si>
    <t xml:space="preserve">CASTLE ROCK TRAILOR SALES [FRS; 18 m] | FINISHING FIRST [FRS; 18 m] | J M WOODWORKS INC [FRS; 44 m] | CLASSIC COLLISION -  CASTLE ROCK SOUTH 1971 [FRS; 67 m] | CLASSIC COLLISION -  CASTLE ROCK SOUTH 1971  [CDPHE RCRA; 67 m] | JM WOODWORKS INC [CDPHE RCRA; 141 m] | GENES RADIATOR AND MUFFLER [FRS; 151 m] | CASTLE CHRY PLY DODGE [FRS; 186 m] | GENES RADIATOR AND MUFFLER [CDPHE RCRA; 216 m]</t>
  </si>
  <si>
    <t xml:space="preserve">Douglas County Slash Site [CDPHE Solid_Waste_Facilities; 66 m]</t>
  </si>
  <si>
    <t xml:space="preserve">QUEST GRAPHICS, INC [FRS; 18 m] | TECHNICAL AUTOMOTIVE [FRS; 18 m] | CASTLE ROCK CENTRAL SERVICE CENTER [FRS; 40 m] | EPC REACH 5 PHASE 2 STABILIZATION [FRS; 46 m] | CLASSIC COLLISION LLC - 1971 CASTLE ROCK [FRS; 158 m]</t>
  </si>
  <si>
    <t xml:space="preserve">CASTLE ROCK TRAILOR SALES</t>
  </si>
  <si>
    <t xml:space="preserve">S04071</t>
  </si>
  <si>
    <t xml:space="preserve">3026 MN US HWY 85 BOTS</t>
  </si>
  <si>
    <t xml:space="preserve">WOERNER ENGINEERING INC (1980-1988; SIC 3489,3599) | BRONSON + BRATTON COLORADO INC (1990; SIC 3356)</t>
  </si>
  <si>
    <t xml:space="preserve">WOERNER ENGINEERING INC (1980) | BRONSON + BRATTON COLORADO INC (1990)</t>
  </si>
  <si>
    <t xml:space="preserve">PETCO #2449 [FRS; 82 m] | SAMS CLUB #4853 [FRS; 82 m] | SAMS CLUB #4853 [CDPHE RCRA; 82 m] | PETCO #2449 [CDPHE RCRA; 82 m] | KING SOOPERS 125 [CDPHE RCRA; 199 m]</t>
  </si>
  <si>
    <t xml:space="preserve">KING SOOPERS 125 [FRS; 123 m] | PLUM CREEK RAW WATER RETURN PIPELINE PROJECT [FRS; 123 m]</t>
  </si>
  <si>
    <t xml:space="preserve">PETCO #2449</t>
  </si>
  <si>
    <t xml:space="preserve">S04883</t>
  </si>
  <si>
    <t xml:space="preserve">961 PARK</t>
  </si>
  <si>
    <t xml:space="preserve">Fem MANUFACTURING CO (1983; SIC 2541,3079)</t>
  </si>
  <si>
    <t xml:space="preserve">Fem MANUFACTURING CO (1983)</t>
  </si>
  <si>
    <t xml:space="preserve">MICHAEL'S AUTO BODY AND GLASS [FRS; 6 m]</t>
  </si>
  <si>
    <t xml:space="preserve">MICHAEL'S AUTO BODY AND GLASS</t>
  </si>
  <si>
    <t xml:space="preserve">S04887</t>
  </si>
  <si>
    <t xml:space="preserve">9002 N MOORE RD</t>
  </si>
  <si>
    <t xml:space="preserve">C F + I FABRICATORS OF COLORADO (1983-1990; SIC 3449)</t>
  </si>
  <si>
    <t xml:space="preserve">C F + I FABRICATORS OF COLORADO (1983)</t>
  </si>
  <si>
    <t xml:space="preserve">CF&amp;I FABRICATORS OF COLORADO [FRS; name match, 106 m] | CF&amp;I FABRICATORS OF COLORADO [FRS] (address match)</t>
  </si>
  <si>
    <t xml:space="preserve">LAWRENCE CONSTRUCTION [FRS] (address match) | AGGREGATE INDUSTRIES - WCR, INC. [FRS] (address match) | MOORE ROAD FACILITY [FRS] (address match)</t>
  </si>
  <si>
    <t xml:space="preserve">CF&amp;I FABRICATORS OF COLORADO</t>
  </si>
  <si>
    <t xml:space="preserve">S05084</t>
  </si>
  <si>
    <t xml:space="preserve">7241 WWW TITAN RD</t>
  </si>
  <si>
    <t xml:space="preserve">NATIONAL CRANE AND EQUIPMENT INC (1983; SIC 3536) | ARTISTIC ORNAMENTAL IRON INC (1990; SIC 3446)</t>
  </si>
  <si>
    <t xml:space="preserve">NATIONAL CRANE AND EQUIPMENT INC (1983) | ARTISTIC ORNAMENTAL IRON INC (1990)</t>
  </si>
  <si>
    <t xml:space="preserve">TRUCK-RAIL HANDLING INC [CDPHE RCRA; 34 m]</t>
  </si>
  <si>
    <t xml:space="preserve">TRUCK-RAIL HANDLING INC</t>
  </si>
  <si>
    <t xml:space="preserve">S05409</t>
  </si>
  <si>
    <t xml:space="preserve">3080 N INDUSTRIAL WY</t>
  </si>
  <si>
    <t xml:space="preserve">CM 7 CORPORATION (1990; SIC 3534,3499)</t>
  </si>
  <si>
    <t xml:space="preserve">ELEVATOR TECHNOLOGY MFG CO (1988) | CM 7 CORPORATION (1990)</t>
  </si>
  <si>
    <t xml:space="preserve">BRONSON &amp; BRATTON INC [FRS; 114 m] | WOERNER ENGINEERING INC [FRS; 121 m] | DOUGLAS COUNTY DEPT OF PUBLIC WORKS [FRS; 150 m] | BOTANICAL STANDARDS INC [FRS; 180 m] | BOTANICAL STANDARDS INC [CDPHE RCRA; 192 m]</t>
  </si>
  <si>
    <t xml:space="preserve">X3C-CASTLE ROCK CNG [FRS; 50 m] | DOUGLAS COUNTY GOVT PUBLIC WORKS [FRS; 99 m] | EXTRA SPACE STORAGE CASTLE ROCK [FRS; 105 m] | PURETECH INC [FRS; 115 m] | CASTLETON OFFICE WAREHOUSE [FRS; 172 m] | SCHWAN'S ICE CREAM &amp; FINE FOOD [FRS; 179 m] | NATURAL BALANCE, INC. [FRS; 180 m]</t>
  </si>
  <si>
    <t xml:space="preserve">BRONSON &amp; BRATTON INC</t>
  </si>
  <si>
    <t xml:space="preserve">S05410</t>
  </si>
  <si>
    <t xml:space="preserve">702 SANTA FE BLVD</t>
  </si>
  <si>
    <t xml:space="preserve">INVENTIVE PACKAGING CORP (1988; SIC 3089)</t>
  </si>
  <si>
    <t xml:space="preserve">INVENTIVE PACKAGING CORP (1988)</t>
  </si>
  <si>
    <t xml:space="preserve">SUNSET STONE INC [FRS; 4 m]</t>
  </si>
  <si>
    <t xml:space="preserve">SUNSET STONE [FRS; 4 m] | ELT30 WOLFENSBERGER-CITADEL 115KV TRANSMISSION LINE [FRS; 245 m]</t>
  </si>
  <si>
    <t xml:space="preserve">SUNSET STONE INC</t>
  </si>
  <si>
    <t xml:space="preserve">S05411</t>
  </si>
  <si>
    <t xml:space="preserve">1157 CAPRICE DR</t>
  </si>
  <si>
    <t xml:space="preserve">PRESCRIPTION VIALS K+R_ MACHINE+MFG INC (1988; SIC 3469,3844,3599) | K+R MACHINE + MANUFACTURING INC (1990; SIC 3469,3544,3599)</t>
  </si>
  <si>
    <t xml:space="preserve">PRESCRIPTION VIALS K+R_ MACHINE+MFG INC (1988) | K+R MACHINE + MANUFACTURING INC (1990)</t>
  </si>
  <si>
    <t xml:space="preserve">CASTLE CHRY PLY DODGE [FRS; 11 m] | JM WOODWORKS INC [CDPHE RCRA; 34 m]</t>
  </si>
  <si>
    <t xml:space="preserve">CLASSIC COLLISION LLC - 1971 CASTLE ROCK [FRS; 17 m]</t>
  </si>
  <si>
    <t xml:space="preserve">CASTLE CHRY PLY DODGE</t>
  </si>
  <si>
    <t xml:space="preserve">S05412</t>
  </si>
  <si>
    <t xml:space="preserve">1375 CAPRICE DR</t>
  </si>
  <si>
    <t xml:space="preserve">UNITED MFG+MACHINING CO (1988-1990; SIC 3599)</t>
  </si>
  <si>
    <t xml:space="preserve">UNITED MFG+MACHINING CO (1988)</t>
  </si>
  <si>
    <t xml:space="preserve">J M WOODWORKS INC [FRS; 5 m] | JM WOODWORKS INC [CDPHE RCRA] (address match)</t>
  </si>
  <si>
    <t xml:space="preserve">Douglas County Slash Site [CDPHE Solid_Waste_Facilities; 29 m]</t>
  </si>
  <si>
    <t xml:space="preserve">EPC REACH 5 PHASE 2 STABILIZATION [FRS; 5 m] | CASTLE ROCK CENTRAL SERVICE CENTER [FRS; 16 m]</t>
  </si>
  <si>
    <t xml:space="preserve">J M WOODWORKS INC</t>
  </si>
  <si>
    <t xml:space="preserve">S05896</t>
  </si>
  <si>
    <t xml:space="preserve">8955 S RIDGELINE BLV</t>
  </si>
  <si>
    <t xml:space="preserve">LONE TREE</t>
  </si>
  <si>
    <t xml:space="preserve">80124</t>
  </si>
  <si>
    <t xml:space="preserve">LA BAC SYSTEMS INC (1990; SIC 2842)</t>
  </si>
  <si>
    <t xml:space="preserve">LA BAC SYSTEMS INC (1988) | LA BAC SYSTEMS INC (1990)</t>
  </si>
  <si>
    <t xml:space="preserve">LABAC SYSTEMS [FRS; 66 m]</t>
  </si>
  <si>
    <t xml:space="preserve">ALL PRO CHEM-DRY [FRS; 71 m] | VISA USA INC - OCCS [FRS; 105 m] | INOVANT - SEE 035/0412 [FRS; 181 m] | VISA U.S.A., INC. [FRS; 229 m]</t>
  </si>
  <si>
    <t xml:space="preserve">LABAC SYSTEMS</t>
  </si>
  <si>
    <t xml:space="preserve">S05993</t>
  </si>
  <si>
    <t xml:space="preserve">7825 N LAVAUN DR</t>
  </si>
  <si>
    <t xml:space="preserve">DUSTRIES INC (1988; SIC 3533) | SUNWARD CORPORATION (1990; SIC 3533)</t>
  </si>
  <si>
    <t xml:space="preserve">DUSTRIES INC (1988) | SUNWARD CORPORATION (1990)</t>
  </si>
  <si>
    <t xml:space="preserve">SUNWARD CORP [FRS] (address match)</t>
  </si>
  <si>
    <t xml:space="preserve">S06037</t>
  </si>
  <si>
    <t xml:space="preserve">10302 S PROGRESS WAY</t>
  </si>
  <si>
    <t xml:space="preserve">GASKET + MOLDED PRODUCTS INC (1990; SIC 3053,3069,3086)</t>
  </si>
  <si>
    <t xml:space="preserve">MISC PRODUCTS COTTRELL LTD (1988) | GASKET + MOLDED PRODUCTS INC (1990) | MOUNTAIN MAN NUT + FRUIT CO (1990)</t>
  </si>
  <si>
    <t xml:space="preserve">HULM CONSTRUCTION [FRS; 38 m] | SCD CORP [FRS; 38 m]</t>
  </si>
  <si>
    <t xml:space="preserve">GOOD NEWS PRINTING [FRS; 11 m] | PARKER ELECTIRC [FRS; 38 m]</t>
  </si>
  <si>
    <t xml:space="preserve">HULM CONSTRUCTION</t>
  </si>
  <si>
    <t xml:space="preserve">S06242</t>
  </si>
  <si>
    <t xml:space="preserve">701 TOPEKA BLVD</t>
  </si>
  <si>
    <t xml:space="preserve">INDUSTRIAL TEXTILES CO. (1992; SIC 2298,3089)</t>
  </si>
  <si>
    <t xml:space="preserve">INDUSTRIAL TEXTILES CO (1990)</t>
  </si>
  <si>
    <t xml:space="preserve">KOLBE STRIPING INC [FRS; 31 m]</t>
  </si>
  <si>
    <t xml:space="preserve">ACME BRICK COMPANY</t>
  </si>
  <si>
    <t xml:space="preserve">KOLBE STRIPING INC</t>
  </si>
  <si>
    <t xml:space="preserve">S06725</t>
  </si>
  <si>
    <t xml:space="preserve">9608 MOORE RAD</t>
  </si>
  <si>
    <t xml:space="preserve">E+C METAL INC. (1990; SIC 3449,3499,3599)</t>
  </si>
  <si>
    <t xml:space="preserve">E+C METAL INC. (1990) | £+C PRECAST CONCRETE INC (1990)</t>
  </si>
  <si>
    <t xml:space="preserve">GREG HITES-HEIGHTS RV [FRS; 94 m]</t>
  </si>
  <si>
    <t xml:space="preserve">E &amp; C PRECAST CONCRETE, INC. [FRS; name match, 45 m] | RAMPART PIPELINE MOORE ROAD [FRS; 74 m] | HEIGHT'S RV RENTAL [FRS; 94 m] | MOUNTAIN VISTA STORAGE [FRS; 153 m] | DAVE FISHER ENTERPRISES [FRS; 197 m]</t>
  </si>
  <si>
    <t xml:space="preserve">GREG HITES-HEIGHTS RV</t>
  </si>
  <si>
    <t xml:space="preserve">S06925</t>
  </si>
  <si>
    <t xml:space="preserve">2759 N LIGGETT RD</t>
  </si>
  <si>
    <t xml:space="preserve">UNITED MANUFACTURING + MACHINING CO (1992; SIC 3599)</t>
  </si>
  <si>
    <t xml:space="preserve">UNITED MANUFACTURING + MACHINING CO (1992)</t>
  </si>
  <si>
    <t xml:space="preserve">CALIBER BODYWORKS OF COLORADO INC [FRS] (address match) | CALIBER BODYWORKS OF COLORADO INC [CDPHE RCRA] (address match)</t>
  </si>
  <si>
    <t xml:space="preserve">CASTLE MINI STORAGE [FRS; 31 m] | SANTA FE AUDI SALVAGE [FRS; 31 m] | DOUGLAS COUNTY MAINTENANCE [FRS; 31 m]</t>
  </si>
  <si>
    <t xml:space="preserve">CLASSIC COLLISION - 1975 - CASTLE ROCK NORTH</t>
  </si>
  <si>
    <t xml:space="preserve">S06926</t>
  </si>
  <si>
    <t xml:space="preserve">1647 N PARK</t>
  </si>
  <si>
    <t xml:space="preserve">WASHINGTON CORPORATION (1992; SIC 3491)</t>
  </si>
  <si>
    <t xml:space="preserve">WASHINGTON CORPORATION (1992)</t>
  </si>
  <si>
    <t xml:space="preserve">COLLISION SERVICES INC [FRS; 244 m]</t>
  </si>
  <si>
    <t xml:space="preserve">HIGH COUNTRY MARBLE [FRS; 85 m] | JOHNSON AUTO BODY INC [FRS; 244 m]</t>
  </si>
  <si>
    <t xml:space="preserve">COLLISION SERVICES INC</t>
  </si>
  <si>
    <t xml:space="preserve">S07128</t>
  </si>
  <si>
    <t xml:space="preserve">10302 PROGRESS WAY</t>
  </si>
  <si>
    <t xml:space="preserve">GASKET + MOLDED PRODUCTS INC. (1992; SIC 3053,3069,3084)</t>
  </si>
  <si>
    <t xml:space="preserve">GASKET + MOLDED PRODUCTS INC. (1992) | RJD MACHINING. (1992)</t>
  </si>
  <si>
    <t xml:space="preserve">PARKER WATER &amp; SANITATION DISTRICT [FRS; 62 m] | HULM CONSTRUCTION [FRS; 128 m] | SCD CORP [FRS; 171 m] | AUTO IMAGE 360 [FRS; 174 m] | SERVPRO CASTLE ROCK PARKER [FRS; 196 m] | BURNS AUTOMOTIVE BODY SHOP INC [FRS; 199 m] | METREX RESEARCH CORPORATION [FRS; 221 m] | AUTO IMAGE 360 [CDPHE RCRA; 242 m]</t>
  </si>
  <si>
    <t xml:space="preserve">BLUE MOUNTAIN STORAGE [FRS; 64 m] | CONTEMPORARY PAINTING [FRS; 103 m] | PARKER ELECTIRC [FRS; 128 m] | GOOD NEWS PRINTING [FRS; 151 m] | TOWN OF PARKER - PARKER POLICE DEPT. [FRS; 165 m] | 11681 PROGRESS LANE [FRS; 207 m]</t>
  </si>
  <si>
    <t xml:space="preserve">PARKER WATER &amp; SANITATION DISTRICT</t>
  </si>
  <si>
    <t xml:space="preserve">S01013</t>
  </si>
  <si>
    <t xml:space="preserve">427 JUANITA</t>
  </si>
  <si>
    <t xml:space="preserve">STYLE CRAFT ENTERPRISES» IAC (1973; SIC 3079) | DIKO SYSTEMS LTO R FRENCH PRESIDENT (1977; SIC 3079) | GREEN PATTERN CO (1980; SIC 3565,3999,2499) | DIKO SYSTEMS (1983; SIC 3079)</t>
  </si>
  <si>
    <t xml:space="preserve">AYLER MFG CO (1966) | IDEAL CABINET SHOP (1966) | ARMSTRONG MANUFACTURING CO (1968) | IDEAL CABINET SHOP 2011 MEAT PACKING PLANTS (1970) | COLORADO CABINET CO (1973) | STYLE CRAFT ENTERPRISES» IAC (1973) | DIKO SYSTEMS LTO R FRENCH PRESIDENT (1977) | GREEN PATTERN CO (1980) | DIKO SYSTEMS (1983)</t>
  </si>
  <si>
    <t xml:space="preserve">STANGS BODY SHOP [FRS; 18 m] | ADAMS ALIGNMENT &amp; AUTO REPAIR [FRS; 21 m] | FINISHMASTER INC #242 [FRS; 55 m]</t>
  </si>
  <si>
    <t xml:space="preserve">FIRST RATE CONSTRUCTION [FRS; 10 m] | X-TREME AUTO BODY [FRS; 43 m]</t>
  </si>
  <si>
    <t xml:space="preserve">STANGS BODY SHOP</t>
  </si>
  <si>
    <t xml:space="preserve">S01019</t>
  </si>
  <si>
    <t xml:space="preserve">2421 W CUCHARRAS</t>
  </si>
  <si>
    <t xml:space="preserve"> (1966; SIC 3441) | MECHANICAL LOGISTICS INC (1990; SIC 3423,3443)</t>
  </si>
  <si>
    <t xml:space="preserve"> (1966) |  (1966) | CAPITAL MATTRESS CO (1968) | VAN CREECH MILLWORK (1973) | CAPITAL MATTRESS CO 3469 METAL STAMPING, NEC ATTILA GYARMATEY PRI (1974) | MECHANICAL LOGISTICS INC (1990)</t>
  </si>
  <si>
    <t xml:space="preserve">THE CAR SHOP [FRS; 2 m]</t>
  </si>
  <si>
    <t xml:space="preserve">THE CAR SHOP</t>
  </si>
  <si>
    <t xml:space="preserve">S01020</t>
  </si>
  <si>
    <t xml:space="preserve">612 W CUCHARRAS</t>
  </si>
  <si>
    <t xml:space="preserve">4030 70: (1967; SIC 3591) | PROTO SHOP (1968; SIC 3591)</t>
  </si>
  <si>
    <t xml:space="preserve"> (1966) |  (1966) | 4030 70: (1967) | CIMING, JOE» SIGN CO (1968) | PROTO SHOP (1968) | CIMLNOs JOE, SIGN CE (1970) | CHUNG SIGN -GO (1980)</t>
  </si>
  <si>
    <t xml:space="preserve">CIMINO SIGN CO [FRS; name match, 42 m] | CIMINO SIGN CO [FRS] (address match)</t>
  </si>
  <si>
    <t xml:space="preserve">BILLS TOOLS RENTAL INC [FRS; 35 m] | NEW CREATION DECKS [FRS; 45 m]</t>
  </si>
  <si>
    <t xml:space="preserve">CIMINO SIGN CO</t>
  </si>
  <si>
    <t xml:space="preserve">S01035</t>
  </si>
  <si>
    <t xml:space="preserve">4200 N WEBER</t>
  </si>
  <si>
    <t xml:space="preserve">1973;1980;1988</t>
  </si>
  <si>
    <t xml:space="preserve">K # S METAL PRODUCTS CO (1973-1980; SIC 3444) | CHEM-TECH METAL INC (1988; SIC 3479,3599)</t>
  </si>
  <si>
    <t xml:space="preserve">K + S METAL PRODUCTS CO (1966) | CHEM-TECH METAL INC (1988)</t>
  </si>
  <si>
    <t xml:space="preserve">K &amp; S METAL PRODUCTS COMPANY# [FRS; name match, 81 m] | K &amp; S METAL PRODUCTS COMPANY# [FRS] (address match)</t>
  </si>
  <si>
    <t xml:space="preserve">K &amp; S METAL PRODUCTS COMPANY#</t>
  </si>
  <si>
    <t xml:space="preserve">S01051</t>
  </si>
  <si>
    <t xml:space="preserve">3131 N NEVADA AVE</t>
  </si>
  <si>
    <t xml:space="preserve">PERFECTION TRUSS CO (1966; SIC 3441)</t>
  </si>
  <si>
    <t xml:space="preserve">PERFECTION TRUSS CO (1966)</t>
  </si>
  <si>
    <t xml:space="preserve">KKTV [FRS; 32 m]</t>
  </si>
  <si>
    <t xml:space="preserve">TOPS! IN GRANITE INC. [FRS; 32 m]</t>
  </si>
  <si>
    <t xml:space="preserve">KKTV</t>
  </si>
  <si>
    <t xml:space="preserve">S01052</t>
  </si>
  <si>
    <t xml:space="preserve">3516 N TEJON</t>
  </si>
  <si>
    <t xml:space="preserve">Chemicals; Industrial machinery; Primary metals</t>
  </si>
  <si>
    <t xml:space="preserve">1973;1974;1977;1980;1983;1990;1992</t>
  </si>
  <si>
    <t xml:space="preserve">UNITED INDUSTRIES OF COLO INC (1973-1983; SIC 2899) | SMITH RESEARCH + TECHNOLOGY INC (1990; SIC 3679,3613,3823) | PIKE TOOL + GRINDING INC (1992; SIC 3544,2782,3399)</t>
  </si>
  <si>
    <t xml:space="preserve">PIKES PEAK LITHOGRAPHING CO (1966) | OENTAN-BERKELAND PRINTING CO INC (1967) | SCREEN ART STUDIO (1970) | LITHOGRAPHIC PRESS (1973) | UNITED INDUSTRIES OF COLO INC (1973) | SUPERFLOW (1977) | RYE ncus TECHNOLOGY (1988) | SMITH RESEARCH + TECHNOLOGY INC (1990) | PIKE TOOL + GRINDING INC (1992)</t>
  </si>
  <si>
    <t xml:space="preserve">PIKES PEAK LITHOGRAPHING CO [FRS; name match, 10 m]</t>
  </si>
  <si>
    <t xml:space="preserve">PIKES PEAK LITHO [FRS; 10 m]</t>
  </si>
  <si>
    <t xml:space="preserve">ROCKY MOUNTAIN METAL FINISHERS</t>
  </si>
  <si>
    <t xml:space="preserve">PIKES PEAK LITHOGRAPHING CO</t>
  </si>
  <si>
    <t xml:space="preserve">S01053</t>
  </si>
  <si>
    <t xml:space="preserve">235 WW COLORADO AVE</t>
  </si>
  <si>
    <t xml:space="preserve">1966;1967;1968;1970;1988</t>
  </si>
  <si>
    <t xml:space="preserve">PIKES PEAK PLASTICS INC (1966-1970; SIC 3599) | MANNA PRO COUNTRY (1988; SIC 2875)</t>
  </si>
  <si>
    <t xml:space="preserve">PIKES PEAK PLASTICS INC (1966) |  (1966) | SIMPSON + CO (1970) | MANNA PRO COUNTRY (1988) | AMERICAN FEED + FARM SUPPLY (1990)</t>
  </si>
  <si>
    <t xml:space="preserve">USPS VEHICLE MAINT FACILITY [FRS; 11 m]</t>
  </si>
  <si>
    <t xml:space="preserve">SIMPSON &amp; CO (A DIVISION OF CARNATION) [FRS; name match, 14 m] | USPS COLORADO SPRINGS VMF [FRS; 11 m]</t>
  </si>
  <si>
    <t xml:space="preserve">Sierra Madre &amp; Cucharras Underground Detention</t>
  </si>
  <si>
    <t xml:space="preserve">USPS VEHICLE MAINT FACILITY</t>
  </si>
  <si>
    <t xml:space="preserve">S01054</t>
  </si>
  <si>
    <t xml:space="preserve">3413 N PROSPECT</t>
  </si>
  <si>
    <t xml:space="preserve">ENGHOLM MFG CO (1967; SIC 3446) | PRECISION PROCUCTS DIV (1968-1974; SIC 3591,3679,3729) | ENGHOLM MFG CO (1970; SIC 3449) | H + D MFG CO MISC PLASTICS PRODUCTS (1970; SIC 3591) | H + D MFG CO (1973-1977; SIC 3544) | COLORADO CULTURED MARBLE (1977; SIC 3079) | PIONEER ASTRO INDUSTRIES. INC. (1980-1990; SIC 3841,3728) | PRECISION MACHINE WORKS (1988-1990; SIC 3089,3599) | ROCKY MTN HELIARC + FABRICATION INC (1990; SIC 3444,3449,3548)</t>
  </si>
  <si>
    <t xml:space="preserve">PRE-CAST STEP CO (1966) | ENGHOLM MFG CO (1967) | PRECISION PROCUCTS DIV (1968) | ENGHOLM MFG CO (1970) | H + D MFG CO MISC PLASTICS PRODUCTS (1970) | SERVICE TYPOGRAPHER (1970) | H + D MFG CO (1973) | H + 0 MFG CO WON KRAUS PRES (1974) | COLORADO CULTURED MARBLE (1977) | PIONEER ASTRO INDUSTRIES. INC. (1980) | L JE CABINET MAKER (1988) | PRECISION MACHINE WORKS (1988) | H+H PRINTING CO INC (1990) | ROCKY MTN HELIARC + FABRICATION INC (1990) | GUITARS (1992)</t>
  </si>
  <si>
    <t xml:space="preserve">ADVANTAGE MANUFACTURING [CDPHE RCRA; 169 m] | NAPA AUTO PARTS [CDPHE RCRA; 169 m]</t>
  </si>
  <si>
    <t xml:space="preserve">ADOBE COURT- C BLOCK [FRS; 181 m] | GREEN ACRES GRANITE, LLC [FRS; 236 m]</t>
  </si>
  <si>
    <t xml:space="preserve">ADVANTAGE MANUFACTURING</t>
  </si>
  <si>
    <t xml:space="preserve">S01056</t>
  </si>
  <si>
    <t xml:space="preserve">2025 SHELDON AVE</t>
  </si>
  <si>
    <t xml:space="preserve">1966;1970;1974</t>
  </si>
  <si>
    <t xml:space="preserve">RBM PRECISION METAL PRODUCTS (1966-1974; SIC 3441) | FALCON METAL PRODUCTS» INC (1970; SIC 3461)</t>
  </si>
  <si>
    <t xml:space="preserve">RBM PRECISION METAL PRODUCTS (1966) | FALCON METAL PRODUCTS» INC (1970)</t>
  </si>
  <si>
    <t xml:space="preserve">CRASH CHAMPIONS LLC [FRS; 2 m] | CRASH CHAMPIONS LLC [FRS] (address match) | CRASH CHAMPIONS LLC [CDPHE RCRA] (address match)</t>
  </si>
  <si>
    <t xml:space="preserve">Gold Hill Mesa II</t>
  </si>
  <si>
    <t xml:space="preserve">CRASH CHAMPIONS LLC</t>
  </si>
  <si>
    <t xml:space="preserve">S01063</t>
  </si>
  <si>
    <t xml:space="preserve">410 FILLMORE</t>
  </si>
  <si>
    <t xml:space="preserve">WHITE AUTOMOTIVE CORP (1966-1968; SIC 3714)</t>
  </si>
  <si>
    <t xml:space="preserve">WHITE AUTOMOTIVE CORP (1966) | INDUSTRIAL PRINTERS OF COLC INC (1973)</t>
  </si>
  <si>
    <t xml:space="preserve">GM PIKES PEAK VEH TEST HQ [CDPHE RCRA; 32 m]</t>
  </si>
  <si>
    <t xml:space="preserve">METAL SOLUTIONS</t>
  </si>
  <si>
    <t xml:space="preserve">GM PIKES PEAK VEH TEST HQ</t>
  </si>
  <si>
    <t xml:space="preserve">S03024</t>
  </si>
  <si>
    <t xml:space="preserve">12 W COLORADO AVE</t>
  </si>
  <si>
    <t xml:space="preserve">RUBBER STAMP CO (1966; SIC 3069)</t>
  </si>
  <si>
    <t xml:space="preserve">RUBBER STAMP CO (1966) | SI SPEEDY PRINT SHOP (1974) | COLORADO SPRINGS SUN (1980) | SIR SPEEDY PRINT SHOP (1980) | PRINTSMITHs THE (1983) | PRECISION MACHINE WORKS (1992)</t>
  </si>
  <si>
    <t xml:space="preserve">COLORADO SPRINGS SUN NEWSPAPER [FRS; name match, 56 m] | CUSHMAN  AND WAKEFIELD OF COLORADO INC [FRS; 30 m]</t>
  </si>
  <si>
    <t xml:space="preserve">PRINTSMITH [FRS; name match, 21 m] | PROJECT RODEO [FRS; 7 m] | COLORADO SPRINGS UTILITIES [FRS; 17 m]</t>
  </si>
  <si>
    <t xml:space="preserve">CUSHMAN  AND WAKEFIELD OF COLORADO INC</t>
  </si>
  <si>
    <t xml:space="preserve">S01535</t>
  </si>
  <si>
    <t xml:space="preserve">2541 PLATTE AVE</t>
  </si>
  <si>
    <t xml:space="preserve">ESCH» DONy INC (1967; SIC 3444,3273)</t>
  </si>
  <si>
    <t xml:space="preserve">ESCH» DONy INC (1967)</t>
  </si>
  <si>
    <t xml:space="preserve">RAYS STREET RODS [FRS; 12 m] | FORD AEROSPACE &amp; COMMUNICATIONS [FRS; 108 m] | RUSTYS MOTOR CAR INC [CDPHE RCRA; 152 m] | RUSTY'S MOTOR CAR INC [CDPHE RCRA; 152 m] | AUTO TRUCK GROUP  - COLORADO SPRINGS [CDPHE RCRA; 152 m] | INTERNATIONAL BATTERY [FRS; 223 m] | HUGH M WOODS #102 [CDPHE RCRA; 235 m]</t>
  </si>
  <si>
    <t xml:space="preserve">C &amp; S AUTO SERVICE WELDING &amp; FABRICATION [FRS; 64 m] | CORNER STONE PRINTING [FRS; 104 m] | FORD AEROSPACE CORP [FRS; 156 m] | A &amp; L HOME IMPROVEMENT [FRS; 183 m] | A&amp;E GRANITE &amp; MARBLE COMPANY [FRS; 200 m]</t>
  </si>
  <si>
    <t xml:space="preserve">RAYS STREET RODS</t>
  </si>
  <si>
    <t xml:space="preserve">S01540</t>
  </si>
  <si>
    <t xml:space="preserve">4209 N WEBER</t>
  </si>
  <si>
    <t xml:space="preserve">K + S METAL PRODUCTS CO (1967; SIC 3444)</t>
  </si>
  <si>
    <t xml:space="preserve">K + S METAL PRODUCTS CO (1967)</t>
  </si>
  <si>
    <t xml:space="preserve">K &amp; S METAL PRODUCTS COMPANY# [FRS; name match, 131 m]</t>
  </si>
  <si>
    <t xml:space="preserve">S01547</t>
  </si>
  <si>
    <t xml:space="preserve">2700 ROBINSON</t>
  </si>
  <si>
    <t xml:space="preserve">MODERN WOODWORKING IVC (1977-1980; SIC 2511,3079,2431)</t>
  </si>
  <si>
    <t xml:space="preserve">STAGGS LUMBER + PLANING MILLS INC (1967) | MODERN WOODWORKING IVC (1977) | STAGGS LUMBER CO (1977) | CLOTOWN LUMBER (1980) | OLD TOWN OF COLORADO (1983) | TECHNICAL EQUIP F H STAGGS LUMBER (1988) | OLDACH WINDOW CORP (1990)</t>
  </si>
  <si>
    <t xml:space="preserve">OLDACH WINDOW CORP [FRS; name match, 29 m] | OLDACH WINDOW CORP [CDPHE RCRA; name match, 194 m]</t>
  </si>
  <si>
    <t xml:space="preserve">HIGH COUNTRY LUMBER &amp; PALLETS, INC [FRS; 29 m]</t>
  </si>
  <si>
    <t xml:space="preserve">OLDACH WINDOW CORP</t>
  </si>
  <si>
    <t xml:space="preserve">S01551</t>
  </si>
  <si>
    <t xml:space="preserve">512 TIA JUANA</t>
  </si>
  <si>
    <t xml:space="preserve">SUNSET MACHINE COMPANY (1992; SIC 3599,3823)</t>
  </si>
  <si>
    <t xml:space="preserve">THOMAS METAL FINISHING CC (1967) | 176 COLORADO SPRINGS - COLORADO BOYD LIGHTING CO (1988) | BOYD LIGHTING CO (1990) | SUNSET MACHINE COMPANY (1992)</t>
  </si>
  <si>
    <t xml:space="preserve">JUAN BODY SHOP [FRS; 31 m]</t>
  </si>
  <si>
    <t xml:space="preserve">BO'S AUTOMOTIVE SERVICE [FRS; 16 m]</t>
  </si>
  <si>
    <t xml:space="preserve">JUAN BODY SHOP</t>
  </si>
  <si>
    <t xml:space="preserve">S01689</t>
  </si>
  <si>
    <t xml:space="preserve">KANE MFG + SUPPLY CC (1968; SIC 3522)</t>
  </si>
  <si>
    <t xml:space="preserve">KANE MFG + SUPPLY CC (1968) | PEAK DOLL ENTERPRISES INC. (1983)</t>
  </si>
  <si>
    <t xml:space="preserve">FAMILY DOLLAR #3118 [CDPHE RCRA; 68 m]</t>
  </si>
  <si>
    <t xml:space="preserve">DREAM VENTURE HOMES [FRS; 140 m]</t>
  </si>
  <si>
    <t xml:space="preserve">FAMILY DOLLAR #3118</t>
  </si>
  <si>
    <t xml:space="preserve">S02079</t>
  </si>
  <si>
    <t xml:space="preserve">2807 N PROSPECT</t>
  </si>
  <si>
    <t xml:space="preserve">COSCO RESEARCH, INC (1970; SIC 3679,3622) | KAST-MARBLE INC (1973-1983; SIC 3079) | RIO MARBLE CO (1973-1980; SIC 3079) | RIC CORPORATION (1974; SIC 3079) | SOLARTS» INC (1983; SIC 3674,3613,3641) | ADD-A-TERMINAL, INS SOLAR WORLD (1988; SIC 3613,3641,3674) | SOLAR WORLD (1990; SIC 3613,3641,3674)</t>
  </si>
  <si>
    <t xml:space="preserve">COSCO RESEARCH, INC (1970) | KAST-MARBLE INC (1973) | RIO MARBLE CO (1973) | COLA MATIC VENDING CORP GR BROWN, PE PRES (1974) | RIC CORPORATION (1974) | COLA MATIC VENDIVS CIRP (1977) | COLA MATEG VENOING CORP (1980) | WELLERS INTERIORS (1980) | HELLERS INTERIORS (1983) | SOLARTS» INC (1983) | D.B.A.-COLORADO INDUSTRIAL COLORPILM (1988) | ADD-A-TERMINAL, INS SOLAR WORLD (1988) | SOLAR WORLD (1990)</t>
  </si>
  <si>
    <t xml:space="preserve">PERFORMANCE AUTO PARTS &amp; MCH [FRS; 4 m]</t>
  </si>
  <si>
    <t xml:space="preserve">PERFORMANCE POWDER COATING [FRS; 55 m]</t>
  </si>
  <si>
    <t xml:space="preserve">PERFORMANCE AUTO PARTS &amp; MCH</t>
  </si>
  <si>
    <t xml:space="preserve">S02089</t>
  </si>
  <si>
    <t xml:space="preserve">3820 HANCOCK ENPRESSWAY</t>
  </si>
  <si>
    <t xml:space="preserve">1970;1973;1974;1980;1983;1988;1990;1992</t>
  </si>
  <si>
    <t xml:space="preserve">EAGLE-PICHER INDUSTRIES» INC (1970-1992; SIC 3079,3691) | EAGLE-PICHER INDUSTRIES, INC (1974-1983; SIC 3079,3691) | SCHLAGE LOCK (1983-1990; SIC 3429)</t>
  </si>
  <si>
    <t xml:space="preserve">EAGLE-PICHER INDUSTRIES» INC (1970) | EAGLE-PICHER INDUSTRIES, INC (1974) | SCHLAGE LOCK (1980)</t>
  </si>
  <si>
    <t xml:space="preserve">EAGLE PICHER TECHNOLOGIES LLC [CDPHE RCRA; name match, 24 m]</t>
  </si>
  <si>
    <t xml:space="preserve">HOUR GLASS SANDS GAS MAIN EXTENSION [FRS; 26 m] | LOAF N JUG INC NO 6 [FRS; 125 m]</t>
  </si>
  <si>
    <t xml:space="preserve">EAGLE PICHER TECHNOLOGIES LLC</t>
  </si>
  <si>
    <t xml:space="preserve">S02095</t>
  </si>
  <si>
    <t xml:space="preserve">94 COMMERCE</t>
  </si>
  <si>
    <t xml:space="preserve">METAL WORKING SYSTEMS» INC (1970; SIC 3591)</t>
  </si>
  <si>
    <t xml:space="preserve">METAL WORKING SYSTEMS» INC (1970) | TRAFFIC DATA SYSTEMS, INC (1973) | WESTERN ART INC 2711 NEWSPAPERS (1973)</t>
  </si>
  <si>
    <t xml:space="preserve">ELLIOTT BARRY CO [CDPHE RCRA; 11 m] | ALL AMERICAN FORMS [FRS; 30 m] | ELLIOTT BARRY CO [FRS; 34 m]</t>
  </si>
  <si>
    <t xml:space="preserve">TEJON ST S GAS 150P REINFORCEMENT [FRS; 4 m] | ALL AMERICAN FORMS MFG., INC. [FRS; 30 m]</t>
  </si>
  <si>
    <t xml:space="preserve">Pikes Peak Greenhouses</t>
  </si>
  <si>
    <t xml:space="preserve">AMI INDUSTRIES INC</t>
  </si>
  <si>
    <t xml:space="preserve">ELLIOTT BARRY CO</t>
  </si>
  <si>
    <t xml:space="preserve">S02100</t>
  </si>
  <si>
    <t xml:space="preserve">2201 BOTT</t>
  </si>
  <si>
    <t xml:space="preserve">A A A STEEL FABRICATORS INC (1983; SIC 3441,3446,3448) | BISHOP RALPH C INC (1983; SIC 2752,3449)</t>
  </si>
  <si>
    <t xml:space="preserve">NEWMAN'S UPHOLSTERING SHOP (1970) | WEEKLY TIMES PAPERS + WESTERN RACINA (1973) |  (1974) | FRANKLIN PRINTING COs INE (1980) | A A A STEEL FABRICATORS INC (1983) | BISHOP RALPH C INC (1983) | NEWHAN®S UPHOLSTERING SHOP (1983)</t>
  </si>
  <si>
    <t xml:space="preserve">REMCO [FRS; 40 m]</t>
  </si>
  <si>
    <t xml:space="preserve">REMCO</t>
  </si>
  <si>
    <t xml:space="preserve">S02548</t>
  </si>
  <si>
    <t xml:space="preserve">8745 VOLLMER RD</t>
  </si>
  <si>
    <t xml:space="preserve">COLORADO FOUNDRIES INC (1973; SIC 3369)</t>
  </si>
  <si>
    <t xml:space="preserve">COLORADO FOUNDRIES INC (1973)</t>
  </si>
  <si>
    <t xml:space="preserve">MOBILE PREMIX VOLLMER GARAGE [FRS; 21 m]</t>
  </si>
  <si>
    <t xml:space="preserve">BILL'S TOOL RENTAL [FRS; 17 m] | BARBARICK SUBDIVISION [FRS; 21 m]</t>
  </si>
  <si>
    <t xml:space="preserve">MOBILE PREMIX VOLLMER GARAGE</t>
  </si>
  <si>
    <t xml:space="preserve">S02550</t>
  </si>
  <si>
    <t xml:space="preserve">2525 N ACADEMY BLYD</t>
  </si>
  <si>
    <t xml:space="preserve">DEEP SPRING WATER CO (1973; SIC 2086,2899)</t>
  </si>
  <si>
    <t xml:space="preserve">DEEP SPRING WATER CO (1973)</t>
  </si>
  <si>
    <t xml:space="preserve">SNAPPY PRINT [FRS; 124 m] | SNAPPY PRINT [FRS; 198 m]</t>
  </si>
  <si>
    <t xml:space="preserve">KUM AND GO STORE 686 [FRS; 37 m] | MAIZELAND COMMERCIAL [FRS; 65 m] | CIRCLE K STORE # 2709871 [FRS; 75 m] | CARLS JR COLORADO SPRINGS [FRS; 85 m] | MAIZELAND COMMERCIAL [FRS; 140 m] | VISION REAL ESTATE MANAGEMENT [FRS; 182 m] | COLORADO PROPERTY IMPROVEMENT [FRS; 182 m] | MAIZELAND SELF STORAGE [FRS; 227 m]</t>
  </si>
  <si>
    <t xml:space="preserve">SNAPPY PRINT</t>
  </si>
  <si>
    <t xml:space="preserve">S02551</t>
  </si>
  <si>
    <t xml:space="preserve">112 MILL</t>
  </si>
  <si>
    <t xml:space="preserve">EL _PASO MACHINE + PROTOTYPE (1973; SIC 3591,3599,3272)</t>
  </si>
  <si>
    <t xml:space="preserve">EL _PASO MACHINE + PROTOTYPE (1973)</t>
  </si>
  <si>
    <t xml:space="preserve">PERFECT PRINTER [FRS; 110 m] | COLOR ZONE [CDPHE RCRA; 174 m] | YOUR VALET CLEANERS (PUEBLO CLEANING CO) [FRS; 211 m] | COLOR ZONE [FRS; 219 m] | TONY ALLEN [FRS; 248 m]</t>
  </si>
  <si>
    <t xml:space="preserve">40 WEST SELF STORAGE [FRS; 139 m] | GREENWAY FLATS [FRS; 176 m] | BIG R OF FOUNTAIN [FRS; 222 m] | SOUTH CASCADE ST IMPROVEMENTS [FRS; 243 m] | SPRINGS RESCUE MISSION [FRS; 245 m]</t>
  </si>
  <si>
    <t xml:space="preserve">PERFECT PRINTER</t>
  </si>
  <si>
    <t xml:space="preserve">S02552</t>
  </si>
  <si>
    <t xml:space="preserve">4215 SINTON RD</t>
  </si>
  <si>
    <t xml:space="preserve">BVERETT-SCLBERG INC (1980-1988; SIC 2431,3446,3442)</t>
  </si>
  <si>
    <t xml:space="preserve">EVERETT-SOLBERG INC (1973) |  (1977)</t>
  </si>
  <si>
    <t xml:space="preserve">HI COUNTRY TRUCK SPECIALISTS [FRS] (address match)</t>
  </si>
  <si>
    <t xml:space="preserve">HI COUNTRY TRUCK SPECIALISTS</t>
  </si>
  <si>
    <t xml:space="preserve">S02553</t>
  </si>
  <si>
    <t xml:space="preserve">3405 N TEJON ST</t>
  </si>
  <si>
    <t xml:space="preserve">FALCON METAL PRODUCTS» INC (1973; SIC 3444,3469,3591)</t>
  </si>
  <si>
    <t xml:space="preserve">FALCON METAL PRODUCTS» INC (1973)</t>
  </si>
  <si>
    <t xml:space="preserve">ELLIOTT BARRY CO [CDPHE RCRA; 79 m] | ELLIOTT BARRY CO [FRS; 81 m] | ALL AMERICAN FORMS [FRS; 85 m] | PIKES PEAK LITHOGRAPHING CO [FRS; 87 m] | WASTE MANAGEMENT OF COLO SPGS [CDPHE RCRA; 162 m] | WASTE MANAGEMENT OF COLO SPGS [FRS; 173 m] | SPECTRANETICS 3305 NORTH CASCADE [FRS; 179 m] | MILLENNIUM AUTO CRAFT/MATTHIAS BOBER [FRS; 184 m] | KAMAN INSTUMENTATION CORP [FRS; 215 m] | SURGICAL CENTER OF</t>
  </si>
  <si>
    <t xml:space="preserve">Urban Recycling [CDPHE Solid_Waste_Facilities; 159 m]</t>
  </si>
  <si>
    <t xml:space="preserve">TEJON ST S GAS 150P REINFORCEMENT [FRS; 76 m] | ALL AMERICAN FORMS MFG., INC. [FRS; 85 m] | PIKES PEAK LITHO [FRS; 87 m] | SPECTRANETICS CORP [FRS; 162 m] | I.P.I. LLC [FRS; 163 m] | INTERNATIONAL PACKAGING, INC. [FRS; 163 m] | COLORADO SPRINGS HAULING FACILITY [FRS; 173 m] | CSU N. NEVADA ELECTRICAL DUCT [FRS; 220 m] | WM SOUTHERN CO - CO SPRINGS [FRS; 225 m] | COLORTEC PRINTING [FRS; 236 m]</t>
  </si>
  <si>
    <t xml:space="preserve">S02562</t>
  </si>
  <si>
    <t xml:space="preserve">531 S WEBER ST</t>
  </si>
  <si>
    <t xml:space="preserve">€ Z STORM SYSTEMS INC (1983; SIC 3442)</t>
  </si>
  <si>
    <t xml:space="preserve">KEYSER COLOR INC (1973) |  (1974) | € Z STORM SYSTEMS INC (1983) | KEYSER LITHO INC (1983) | MASTER CRAFT PRESS (1988)</t>
  </si>
  <si>
    <t xml:space="preserve">MASTER CRAFT PRESS INC [FRS; name match, 90 m] | SALVATION ARMY ARC [FRS; 22 m]</t>
  </si>
  <si>
    <t xml:space="preserve">ELAN WEBER [FRS; 22 m]</t>
  </si>
  <si>
    <t xml:space="preserve">SALVATION ARMY ARC</t>
  </si>
  <si>
    <t xml:space="preserve">S02570</t>
  </si>
  <si>
    <t xml:space="preserve">2685 DURANGO</t>
  </si>
  <si>
    <t xml:space="preserve">PIKES PEAK MARBLE INC (1973; SIC 3079)</t>
  </si>
  <si>
    <t xml:space="preserve">PIKES PEAK MARBLE INC (1973)</t>
  </si>
  <si>
    <t xml:space="preserve">COMPUTER &amp; ELECTRONICS RECYCLING [FRS; 1 m] | COMPUTER &amp; ELECTRONICS RECYCLING [FRS] (address match) | COMPUTER &amp; ELECTRONICS RECYCLING [CDPHE RCRA] (address match)</t>
  </si>
  <si>
    <t xml:space="preserve">RECYCLED FUEL LLC - PYROLYSIS PLANT [FRS; 1 m] | 1-800 FLOODED [FRS; 2 m] | KIM'S AUTO TECH. GALLENTINE BROS. [FRS; 28 m]</t>
  </si>
  <si>
    <t xml:space="preserve">SCHMIDT CONSTRUCTION CO.-DELTA DRIVE FAC</t>
  </si>
  <si>
    <t xml:space="preserve">COMPUTER &amp; ELECTRONICS RECYCLING</t>
  </si>
  <si>
    <t xml:space="preserve">S02572</t>
  </si>
  <si>
    <t xml:space="preserve">2226 N WAHSATCH AVE</t>
  </si>
  <si>
    <t xml:space="preserve">REDINGER*S BON PASTRY SHOP INC (1973-1974; SIC 2051,3079)</t>
  </si>
  <si>
    <t xml:space="preserve">REDINGER*S BON PASTRY SHOP INC (1973)</t>
  </si>
  <si>
    <t xml:space="preserve">SAFEWAY STORE #812 [FRS; 15 m]</t>
  </si>
  <si>
    <t xml:space="preserve">REDEEMER LUTHERAN SCHOOL [FRS; 21 m]</t>
  </si>
  <si>
    <t xml:space="preserve">SAFEWAY STORE #812</t>
  </si>
  <si>
    <t xml:space="preserve">S02573</t>
  </si>
  <si>
    <t xml:space="preserve">3008 N PROSPECT</t>
  </si>
  <si>
    <t xml:space="preserve">1973;1974;1977;1988;1990</t>
  </si>
  <si>
    <t xml:space="preserve">RITE MANUFACTURING CO (1973-1974; SIC 3549,3569) | SUPERLOR TOOL + MACHINE (1977; SIC 3599) | WEEN Papricatine (1988; SIC 3444,3469) | | HITCHCOCK WELDING + FABRICATING (1990; SIC 3444,3469)</t>
  </si>
  <si>
    <t xml:space="preserve">RITE MANUFACTURING CO (1973) | HELLERS INTERIORS (1977) | SUPERLOR TOOL + MACHINE (1977) | WALLACE GABINET SHOP (1980) | WEEN Papricatine (1988) | | HITCHCOCK WELDING + FABRICATING (1990)</t>
  </si>
  <si>
    <t xml:space="preserve">TOM'S BODY SHOP, INC. [FRS; 7 m] | TOM'S BODY SHOP INC [CDPHE RCRA] (address match)</t>
  </si>
  <si>
    <t xml:space="preserve">TOTAL PETROLEUM INC NO 4063 [FRS; 15 m] | CST METRO LLC DBA CORNER STORE #673 [FRS; 37 m] | CST METRO LLC DBA CORNER STORE #673 [FRS; 49 m]</t>
  </si>
  <si>
    <t xml:space="preserve">TOM'S BODY SHOP, INC.</t>
  </si>
  <si>
    <t xml:space="preserve">S02575</t>
  </si>
  <si>
    <t xml:space="preserve">2903 DELTA OR</t>
  </si>
  <si>
    <t xml:space="preserve">Fabricated metals; Petroleum refining; Rubber &amp; plastics</t>
  </si>
  <si>
    <t xml:space="preserve">SKYLINE PLASTICS (1977; SIC 3079) | WESTERN ALUMINUM MFG CO., INC (1977-1980; SIC 3442) | SKYLINE ELECTRONICS (1988; SIC 3679,2903)</t>
  </si>
  <si>
    <t xml:space="preserve">SKYLINE ELECTRIC SIGN CC (1973) | SKYLINE PLASTICS (1977) | WESTERN ALUMINUM MFG CO., INC (1977) | FITTJE BROTHERS PRENTENG Co (1980) | MAMAS TORTILLA FACTORY (1980) | SKYLENE AMROOUCTSe INC (1980) | TRAFFEC CONTROL SYSTEMS (1983) | SKYLINE ELECTRONICS (1988) | SKYLINE PRODUCTS INC (1990)</t>
  </si>
  <si>
    <t xml:space="preserve">SKYLINE SKY-LITES [FRS; name match, 21 m] | SKYLINE PRODUCTS, INC [FRS; name match, 36 m] | SKYLINE ELECTRONICS INC [FRS; name match, 47 m] | FITTJE BROS PRINTING CO [FRS; name match, 53 m] | FRONT RANGE RECON INC DBA BATTERY SERVICES INTERNATIONAL [FRS; 1 m]</t>
  </si>
  <si>
    <t xml:space="preserve">ARTISAN WOODWORKS [FRS; 7 m]</t>
  </si>
  <si>
    <t xml:space="preserve">FRONT RANGE RECON INC DBA BATTERY SERVICES INTERNATIONAL</t>
  </si>
  <si>
    <t xml:space="preserve">S02586</t>
  </si>
  <si>
    <t xml:space="preserve">908 GARNER ST</t>
  </si>
  <si>
    <t xml:space="preserve">1973;1977;1983;1988</t>
  </si>
  <si>
    <t xml:space="preserve">WEISS INDUSTRIES INC (1973-1988; SIC 3469,3591)</t>
  </si>
  <si>
    <t xml:space="preserve">WEISS INDUSTRIES INC (1973)</t>
  </si>
  <si>
    <t xml:space="preserve">STANLEYS GARAGE [FRS; 10 m] | FOUNTAIN CREEK S.C.I.P. [FRS; 30 m] | FOUNTAIN CREEK S.C.I.P. [FRS] (address match)</t>
  </si>
  <si>
    <t xml:space="preserve">GARNER RV RESORT &amp; STORAGE [FRS; 16 m]</t>
  </si>
  <si>
    <t xml:space="preserve">STANLEYS GARAGE</t>
  </si>
  <si>
    <t xml:space="preserve">S03007</t>
  </si>
  <si>
    <t xml:space="preserve">1050 FORD</t>
  </si>
  <si>
    <t xml:space="preserve">80952</t>
  </si>
  <si>
    <t xml:space="preserve">QUALITY MFG CO (1980-1983; SIC 3442,2431,3231)</t>
  </si>
  <si>
    <t xml:space="preserve">APPLESCRAPS LTC (1974) | QUALITY MFG CO (1980)</t>
  </si>
  <si>
    <t xml:space="preserve">SIGNTECH INC [FRS; 8 m] | REDSTONE CAPITAL CORPORATION [FRS; 11 m]</t>
  </si>
  <si>
    <t xml:space="preserve">WESTERN ROOFING SPECIALISTS [FRS; 8 m]</t>
  </si>
  <si>
    <t xml:space="preserve">DYNAMIC DETAILS INC</t>
  </si>
  <si>
    <t xml:space="preserve">SIGNTECH INC</t>
  </si>
  <si>
    <t xml:space="preserve">S03008</t>
  </si>
  <si>
    <t xml:space="preserve">505 JUANITA</t>
  </si>
  <si>
    <t xml:space="preserve">ARMSTRONG MFG CO (1974; SIC 2499,3079)</t>
  </si>
  <si>
    <t xml:space="preserve">ARMSTRONG MFG CO (1974)</t>
  </si>
  <si>
    <t xml:space="preserve">FINISHMASTER INC #242 [CDPHE RCRA; 8 m]</t>
  </si>
  <si>
    <t xml:space="preserve">MOUNTAIN EXPRESS PRINTING [FRS; 18 m]</t>
  </si>
  <si>
    <t xml:space="preserve">FINISHMASTER INC #242</t>
  </si>
  <si>
    <t xml:space="preserve">S03013</t>
  </si>
  <si>
    <t xml:space="preserve">212 MILL</t>
  </si>
  <si>
    <t xml:space="preserve">EL PASO MACHINE + PROTOTYPE (1974; SIC 3591,3599,3544)</t>
  </si>
  <si>
    <t xml:space="preserve">EL PASO MACHINE + PROTOTYPE (1974)</t>
  </si>
  <si>
    <t xml:space="preserve">PERFECT PRINTER [FRS; 68 m]</t>
  </si>
  <si>
    <t xml:space="preserve">BIG R OF FOUNTAIN [FRS; 227 m]</t>
  </si>
  <si>
    <t xml:space="preserve">S03016</t>
  </si>
  <si>
    <t xml:space="preserve">335 JUANITA</t>
  </si>
  <si>
    <t xml:space="preserve">IDEAL CABINET SHOP (1974; SIC 2511,2431,2541)</t>
  </si>
  <si>
    <t xml:space="preserve">IDEAL CABINET SHOP (1974)</t>
  </si>
  <si>
    <t xml:space="preserve">FINISHMASTER INC #242 [FRS] (address match) | FINISHMASTER INC #242 [CDPHE RCRA] (address match)</t>
  </si>
  <si>
    <t xml:space="preserve">PRATT AUTOMOTIVE</t>
  </si>
  <si>
    <t xml:space="preserve">S03019</t>
  </si>
  <si>
    <t xml:space="preserve">2438 PLATTE AVE</t>
  </si>
  <si>
    <t xml:space="preserve">Oak FARMS DAIRY 3079 MISCELLANEOLS PLASTICS PROCUCTS (1974; SIC 3079)</t>
  </si>
  <si>
    <t xml:space="preserve">Oak FARMS DAIRY 3079 MISCELLANEOLS PLASTICS PROCUCTS (1974)</t>
  </si>
  <si>
    <t xml:space="preserve">AUTO TRUCK GROUP  - COLORADO SPRINGS [FRS; 4 m] | RUSTYS MOTOR CAR INC [FRS; 24 m] | HUGH M WOODS #102 [CDPHE RCRA; 31 m] | HUGH M WOODS #102 [FRS; 54 m] | AUTO TRUCK GROUP  - COLORADO SPRINGS [CDPHE RCRA; 114 m] | RUSTY'S MOTOR CAR INC [CDPHE RCRA; 114 m] | RUSTYS MOTOR CAR INC [CDPHE RCRA; 114 m] | FORD AEROSPACE &amp; COMMUNICATIONS [FRS; 159 m] | YOUR BEST CLEANERS [FRS; 178 m] | INTERNATIONAL BAT</t>
  </si>
  <si>
    <t xml:space="preserve">LAYTON -AUTO TRUCK GROUP [FRS; 13 m] | FORD AEROSPACE CORP [FRS; 111 m] | CORNER STONE PRINTING [FRS; 162 m] | CONSTRUCTION PROS [FRS; 204 m] | ROCKY MOUNTAIN INTERIOR CONSTRUCTION INC. [FRS; 247 m]</t>
  </si>
  <si>
    <t xml:space="preserve">AUTO TRUCK GROUP  - COLORADO SPRINGS</t>
  </si>
  <si>
    <t xml:space="preserve">S03028</t>
  </si>
  <si>
    <t xml:space="preserve">946 GARNER</t>
  </si>
  <si>
    <t xml:space="preserve">TRI-CORR-A-GLAS- INC (1974; SIC 3079) | TRI-CORR~A-3LAS-INC (1977; SIC 3079)</t>
  </si>
  <si>
    <t xml:space="preserve">TRI-CORR-A-GLAS- INC (1974) | TRI-CORR~A-3LAS-INC (1977)</t>
  </si>
  <si>
    <t xml:space="preserve">LEE PASTER - TENANT [FRS; 7 m]</t>
  </si>
  <si>
    <t xml:space="preserve">GARNER STREET SOILS SITE</t>
  </si>
  <si>
    <t xml:space="preserve">LEE PASTER - TENANT</t>
  </si>
  <si>
    <t xml:space="preserve">S03356</t>
  </si>
  <si>
    <t xml:space="preserve">2802 W COLORADO AVE</t>
  </si>
  <si>
    <t xml:space="preserve">A MARK STAMPS (1988; SIC 3089,3953,3993)</t>
  </si>
  <si>
    <t xml:space="preserve">A A A MARKING PRODUCTS CO INC (1977) | A A A RARKING PRODUCTS CO INC (1980) | A MARK STAMPS (1988)</t>
  </si>
  <si>
    <t xml:space="preserve">HEALTH MARTRIX THE [FRS; 11 m] | SPARROW &amp; JACOBS INC [FRS; 23 m] | HEALTH MARTRIX THE [FRS] (address match)</t>
  </si>
  <si>
    <t xml:space="preserve">HEALTH MARTRIX THE</t>
  </si>
  <si>
    <t xml:space="preserve">S03365</t>
  </si>
  <si>
    <t xml:space="preserve">2582 DURANGO OR</t>
  </si>
  <si>
    <t xml:space="preserve">COLORADO MANUFACTURING TECHNOLOGY (1980; SIC 3643,3679,3674) | BROCOM CORPORATION (1990; SIC 2816)</t>
  </si>
  <si>
    <t xml:space="preserve">CERES NATURAL FOODS INC (1977) | JET FORMS INC (1977) | COLORADO LEATHER GOODS (1980) | COLORADO MANUFACTURING TECHNOLOGY (1980) | ASSEMBLIES JET FORMS INC (1988) | PIES, PASTRIES KITCHEN REFACERS INC (1988) | BROCOM CORPORATION (1990)</t>
  </si>
  <si>
    <t xml:space="preserve">COMPUTER &amp; ELECTRONICS RECYCLING [CDPHE RCRA; 9 m] | AT&amp;T CORP/ARROW MOVING STORAGE [FRS; 22 m] | THOMAS &amp; CO [FRS; 32 m]</t>
  </si>
  <si>
    <t xml:space="preserve">Stericycle Infectious Waste Transfer Facility Colorado Springs (Durango Drive) [CDPHE Solid_Waste_Facilities; 56 m]</t>
  </si>
  <si>
    <t xml:space="preserve">PIKE TOOL AND GRINDING, INC. [FRS; 32 m]</t>
  </si>
  <si>
    <t xml:space="preserve">S03369</t>
  </si>
  <si>
    <t xml:space="preserve">3057 DELTA OR</t>
  </si>
  <si>
    <t xml:space="preserve">COMPONENT EQUIPMENT MFG INC (1977-1983; SIC 3553) | FINISHES LTD D.B.A.-IONA INDUSTRIES (1988; SIC 2619,3471) | FINISHES LTD (1990; SIC 2619,3471) | F&amp;L METAL FINISHES INC (1992; SIC 2619,3471)</t>
  </si>
  <si>
    <t xml:space="preserve">COMPONENT EQUIPMENT MFG INC (1977) | FINISHES LTD D.B.A.-IONA INDUSTRIES (1988) | FINISHES LTD (1990) | F&amp;L METAL FINISHES INC (1992)</t>
  </si>
  <si>
    <t xml:space="preserve">FINISHES LTD [FRS; name match, 46 m]</t>
  </si>
  <si>
    <t xml:space="preserve">US EPA CLEANUP HIGH QUALITY CIRCUITS</t>
  </si>
  <si>
    <t xml:space="preserve">FINISHES LTD</t>
  </si>
  <si>
    <t xml:space="preserve">S03376</t>
  </si>
  <si>
    <t xml:space="preserve">200 N WEBER</t>
  </si>
  <si>
    <t xml:space="preserve">K + S METAL PRODUCTS CO (1977; SIC 3589,3841,3699)</t>
  </si>
  <si>
    <t xml:space="preserve">K + S METAL PRODUCTS CO (1977)</t>
  </si>
  <si>
    <t xml:space="preserve">DANIELS MOTORS INC [FRS; 3 m]</t>
  </si>
  <si>
    <t xml:space="preserve">DANIELS MOTORS INC</t>
  </si>
  <si>
    <t xml:space="preserve">S03379</t>
  </si>
  <si>
    <t xml:space="preserve">2418 W COLORADO AVE</t>
  </si>
  <si>
    <t xml:space="preserve">MICHAEL GORMAN PRIDUCTIINS (1977-1992; SIC 3446)</t>
  </si>
  <si>
    <t xml:space="preserve">MICHAEL GORMAN PRIDUCTIINS (1977)</t>
  </si>
  <si>
    <t xml:space="preserve">MICHAEL GARMAN PRODUCTIONS INC [FRS; name match, 31 m] | MICHAEL GARMAN PRODUCTIONS INC [FRS] (address match)</t>
  </si>
  <si>
    <t xml:space="preserve">MICHAEL GARMAN PRODUCTIONS INC</t>
  </si>
  <si>
    <t xml:space="preserve">S03385</t>
  </si>
  <si>
    <t xml:space="preserve">2629 DURANGO DR</t>
  </si>
  <si>
    <t xml:space="preserve">STYLE CRAFT ENTERPRISES INC (1977-1980; SIC 3079)</t>
  </si>
  <si>
    <t xml:space="preserve">STYLE CRAFT ENTERPRISES INC (1977) | AMERICAN FIBER, INC. (1980)</t>
  </si>
  <si>
    <t xml:space="preserve">THOMAS &amp; CO [FRS; 27 m] | AT&amp;T CORP/ARROW MOVING STORAGE [FRS; 37 m] | THOMAS &amp; CO [FRS] (address match)</t>
  </si>
  <si>
    <t xml:space="preserve">PIKE TOOL AND GRINDING, INC. [FRS; 27 m] | PIKE TOOL AND GRINDING, INC. [FRS] (address match)</t>
  </si>
  <si>
    <t xml:space="preserve">THOMAS &amp; CO</t>
  </si>
  <si>
    <t xml:space="preserve">S04086</t>
  </si>
  <si>
    <t xml:space="preserve">3117 PLATTE AVE</t>
  </si>
  <si>
    <t xml:space="preserve">ANCONA WELOING INC (1980; SIC 3441,3714,3446)</t>
  </si>
  <si>
    <t xml:space="preserve">ANCONA WELOING INC (1980)</t>
  </si>
  <si>
    <t xml:space="preserve">SHINNY SHOP [FRS; 76 m] | EXPERTS ONLY COLLISION II [CDPHE RCRA; 106 m] | MEDALLION POST ACUTE AND REHAB [CDPHE RCRA; 106 m] | CITY OF COLORADO SPRINGS - BODY SHOP [CDPHE RCRA; 106 m] | AMS AUTO BODY [FRS; 118 m] | FINISHMASTER INC #242 [FRS; 124 m] | ADAMS ALIGNMENT &amp; AUTO REPAIR [FRS; 138 m] | PRATT AUTOMOTIVE [FRS; 140 m] | STANGS BODY SHOP [FRS; 164 m] | CVS PHARMACY #11002 [FRS; 216 m] | COLO</t>
  </si>
  <si>
    <t xml:space="preserve">LACEYS AUTO BODY [FRS; 76 m] | A &amp; L HOME IMPROVEMENT [FRS; 127 m] | FIRST RATE CONSTRUCTION [FRS; 145 m] | X-TREME AUTO BODY [FRS; 182 m] | EZ WAY RENTAL [FRS; 183 m] | A&amp;E GRANITE &amp; MARBLE COMPANY [FRS; 225 m] | RIECK KAR KRAFT LTD [FRS; 236 m] | FRED FLETEMEYER COMPANY [FRS; 236 m] | VALERO DIAMOND METRO, INC. # 4064 [FRS; 238 m] | CVS PHARMACY STORE 11002 [FRS; 242 m] | CST METRO LLC DBA CORNE</t>
  </si>
  <si>
    <t xml:space="preserve">S04095</t>
  </si>
  <si>
    <t xml:space="preserve">340 ARVADA ST</t>
  </si>
  <si>
    <t xml:space="preserve">DRIVE LINE SERVICE OF COLO SPRINGS (1980-1983; SIC 3599)</t>
  </si>
  <si>
    <t xml:space="preserve">DRIVE LINE SERVICE OF COLO SPRINGS (1980)</t>
  </si>
  <si>
    <t xml:space="preserve">MGM COLLISION CENTER [FRS; 63 m] | ARVADA PLAZA [FRS; 127 m] | SATURN OF COLORADO SPRINGS [FRS; 164 m] | SATURN OF COLORADO SPRINGS BODY SHOP [FRS; 182 m] | SPUI PAINT INC [FRS; 188 m]</t>
  </si>
  <si>
    <t xml:space="preserve">MARKS INCORPORATED [FRS; 20 m] | PHIL LONG FORD [FRS; 164 m] | THE WOODS APARTMENTS, LLC [FRS; 165 m] | PIKES PEAK CONSTRUCTION [FRS; 200 m]</t>
  </si>
  <si>
    <t xml:space="preserve">MGM COLLISION CENTER</t>
  </si>
  <si>
    <t xml:space="preserve">S04096</t>
  </si>
  <si>
    <t xml:space="preserve">30 A MOUNTAIN LN</t>
  </si>
  <si>
    <t xml:space="preserve">BCOLGGY SGIL PRODUCTS INC (1980; SIC 2875)</t>
  </si>
  <si>
    <t xml:space="preserve">BCOLGGY SGIL PRODUCTS INC (1980)</t>
  </si>
  <si>
    <t xml:space="preserve">VALERO DIAMOND METRO, INC. # 4073 [FRS; 221 m] | PHIL LONG COLLISION SOUTH [CDPHE RCRA; 245 m]</t>
  </si>
  <si>
    <t xml:space="preserve">MONUMENT CREEK CROSS VANE AT FILMORE [FRS; 202 m] | CST METRO LLC DBA CORNER STORE #4073 [FRS; 221 m]</t>
  </si>
  <si>
    <t xml:space="preserve">VALERO DIAMOND METRO, INC. # 4073</t>
  </si>
  <si>
    <t xml:space="preserve">S04100</t>
  </si>
  <si>
    <t xml:space="preserve">1150 E CHEYENNE MTN</t>
  </si>
  <si>
    <t xml:space="preserve">HONEYWELL INC (1980-1983; SIC 3674) | SAES GETTERS/USA (1983-1990; SIC 3496) | HONEYWELL INC ATWELL (1990; SIC 3674)</t>
  </si>
  <si>
    <t xml:space="preserve">HONEYWELL INC (1980) | SAES GETTERS/USA (1983) | HONEYWELL INC ATWELL (1990)</t>
  </si>
  <si>
    <t xml:space="preserve">NEW GENERATION WELLNESS INC [CDPHE RCRA; 4 m] | AUTO MOTIVATION PAINT &amp; BODY INC [FRS; 141 m]</t>
  </si>
  <si>
    <t xml:space="preserve">COLORADO MACHINERY [FRS; 101 m] | ROBERTSON'S LANDSCAPING [FRS; 132 m]</t>
  </si>
  <si>
    <t xml:space="preserve">NEW GENERATION WELLNESS INC</t>
  </si>
  <si>
    <t xml:space="preserve">S04105</t>
  </si>
  <si>
    <t xml:space="preserve">5923 N NEVADA AVE</t>
  </si>
  <si>
    <t xml:space="preserve">LANCG CORPORATION (1980; SIC 3433)</t>
  </si>
  <si>
    <t xml:space="preserve">LANCG CORPORATION (1980)</t>
  </si>
  <si>
    <t xml:space="preserve">RECKLESS CUSTOMS PAINT &amp; BODY SHOP LLC [FRS; 21 m]</t>
  </si>
  <si>
    <t xml:space="preserve">TEXAS INSTRUMENTS INC, COLORADO SPRINGS</t>
  </si>
  <si>
    <t xml:space="preserve">RECKLESS CUSTOMS PAINT &amp; BODY SHOP LLC</t>
  </si>
  <si>
    <t xml:space="preserve">S04107</t>
  </si>
  <si>
    <t xml:space="preserve">2975 DELTA DR</t>
  </si>
  <si>
    <t xml:space="preserve">MANSTONE INC (1980-1983; SIC 3079)</t>
  </si>
  <si>
    <t xml:space="preserve">MANSTONE INC (1980)</t>
  </si>
  <si>
    <t xml:space="preserve">SKYLINE PRODUCTS, INC [FRS; 9 m] | SKYLINE SKY-LITES [FRS; 24 m]</t>
  </si>
  <si>
    <t xml:space="preserve">ARTISAN WOODWORKS [FRS; 38 m]</t>
  </si>
  <si>
    <t xml:space="preserve">SKYLINE PRODUCTS, INC</t>
  </si>
  <si>
    <t xml:space="preserve">S04108</t>
  </si>
  <si>
    <t xml:space="preserve">590 ELKTON OR</t>
  </si>
  <si>
    <t xml:space="preserve">MICRO METALS (1980; SIC 3444,3573,3471)</t>
  </si>
  <si>
    <t xml:space="preserve">MICRO METALS (1980)</t>
  </si>
  <si>
    <t xml:space="preserve">MICRO METALS [FRS; name match, 186 m]</t>
  </si>
  <si>
    <t xml:space="preserve">COLORADO STRUCTURES, INC. (CSI) (NATIONAL CASE) [FRS; 27 m]</t>
  </si>
  <si>
    <t xml:space="preserve">VERTEC TOOL INC</t>
  </si>
  <si>
    <t xml:space="preserve">S04127</t>
  </si>
  <si>
    <t xml:space="preserve">670 ELKTON DR</t>
  </si>
  <si>
    <t xml:space="preserve">80917</t>
  </si>
  <si>
    <t xml:space="preserve">SUPERIOR TOOL + MACHINE (1980; SIC 3599) | SUPERIOR TOOL + MACHINE CORP. (1983; SIC 3599) | COLORADO PRECISION (1988-1990; SIC 3599) | VERTEC TOOL (1990-1992; SIC 3599,3444)</t>
  </si>
  <si>
    <t xml:space="preserve">SUPERIOR TOOL + MACHINE (1980) | SUPERIOR TOOL + MACHINE CORP. (1983) | COLORADO PRECISION (1988) | VERTEC TOOL (1988)</t>
  </si>
  <si>
    <t xml:space="preserve">ABSOLUTE MACHINE [FRS; 7 m] | ABSOLUTE MACHINE [FRS] (address match)</t>
  </si>
  <si>
    <t xml:space="preserve">ABSOLUTE MACHINE</t>
  </si>
  <si>
    <t xml:space="preserve">S04128</t>
  </si>
  <si>
    <t xml:space="preserve">6275 LAKE SHORE CT</t>
  </si>
  <si>
    <t xml:space="preserve">OHIO MATRESS, COLORADO SPRINGS (1990; SIC 3495)</t>
  </si>
  <si>
    <t xml:space="preserve">THERMA-TRU, INC. (1980) | OHIO MATRESS, COLORADO SPRINGS (1990)</t>
  </si>
  <si>
    <t xml:space="preserve">THERMAL TRU    (DELETED FROM INVENTORY) [FRS] (address match) | SEALY COMPONENTS [FRS] (address match)</t>
  </si>
  <si>
    <t xml:space="preserve">LEGGETT AND PLATT COLORADO SPRINGS [FRS] (address match)</t>
  </si>
  <si>
    <t xml:space="preserve">THERMAL TRU    (DELETED FROM INVENTORY)</t>
  </si>
  <si>
    <t xml:space="preserve">S04129</t>
  </si>
  <si>
    <t xml:space="preserve">820 SAHWATCH</t>
  </si>
  <si>
    <t xml:space="preserve">TRI-GON PRECISION INC (1980-1990; SIC 3599)</t>
  </si>
  <si>
    <t xml:space="preserve">TRI-GON PRECISION INC (1980)</t>
  </si>
  <si>
    <t xml:space="preserve">TRIGON PRECISION INC [FRS; 3 m]</t>
  </si>
  <si>
    <t xml:space="preserve">Brookhart Bldg Center II</t>
  </si>
  <si>
    <t xml:space="preserve">TRIGON PRECISION INC</t>
  </si>
  <si>
    <t xml:space="preserve">S04901</t>
  </si>
  <si>
    <t xml:space="preserve">3445 N MARKSHEFFEL R</t>
  </si>
  <si>
    <t xml:space="preserve">80932</t>
  </si>
  <si>
    <t xml:space="preserve">AXELSON INC (1983-1990; SIC 3533)</t>
  </si>
  <si>
    <t xml:space="preserve">AXELSON INC (1983) | 2 OFFSET PRINTING AXELSON INC (1988)</t>
  </si>
  <si>
    <t xml:space="preserve">EL PASO CNTY FLEET MGMT [FRS; 29 m] | SOLID WASTE MANAGEMENT [FRS; 115 m]</t>
  </si>
  <si>
    <t xml:space="preserve">WEATHERFORD ARTIFICIAL LIFT SYSTEMS [FRS; 96 m] | WEATHERFORD ARTIFICIAL LIFT SYSTEMS, INC [FRS; 96 m] | EAST COLORADO SPRINGS HAULING FACILITY [FRS; 195 m] | CHIDDIX BROS INC [FRS; 221 m]</t>
  </si>
  <si>
    <t xml:space="preserve">EL PASO CNTY FLEET MGMT</t>
  </si>
  <si>
    <t xml:space="preserve">S04912</t>
  </si>
  <si>
    <t xml:space="preserve">1400 SE HANCOCK DR</t>
  </si>
  <si>
    <t xml:space="preserve">COLGRADO FORGE CORPORATION (1983; SIC 3463)</t>
  </si>
  <si>
    <t xml:space="preserve">COLGRADO FORGE CORPORATION (1983)</t>
  </si>
  <si>
    <t xml:space="preserve">CITY OF COLORADO SPRINGS FLEET SOUTH [CDPHE RCRA; 66 m]</t>
  </si>
  <si>
    <t xml:space="preserve">ROCKY TOP RESOURCES [FRS; 218 m] | COLORADO SPRINGS ACTIV SLUDGE [FRS; 237 m] | LAS VEGAS &amp; ROYER UP RAILROAD CROSSING RELOCATION [FRS; 244 m]</t>
  </si>
  <si>
    <t xml:space="preserve">CITY OF COLORADO SPRINGS FLEET SOUTH</t>
  </si>
  <si>
    <t xml:space="preserve">S04928</t>
  </si>
  <si>
    <t xml:space="preserve">4645 PARK VISTA BLVO</t>
  </si>
  <si>
    <t xml:space="preserve">FINISHES LTD (1983; SIC 3339,2619)</t>
  </si>
  <si>
    <t xml:space="preserve">FINISHES LTD (1983)</t>
  </si>
  <si>
    <t xml:space="preserve">ARTHUR'S AUTO COLLISION [FRS; 28 m]</t>
  </si>
  <si>
    <t xml:space="preserve">G&amp;G AUTO SERVICE [FRS; 24 m]</t>
  </si>
  <si>
    <t xml:space="preserve">ARTHUR'S AUTO COLLISION</t>
  </si>
  <si>
    <t xml:space="preserve">S04931</t>
  </si>
  <si>
    <t xml:space="preserve">2771 DELTA OR</t>
  </si>
  <si>
    <t xml:space="preserve">GATCO INC (1983; SIC 3069,3559)</t>
  </si>
  <si>
    <t xml:space="preserve">GATCO INC (1983) | THINK INK PRINTERS (1988)</t>
  </si>
  <si>
    <t xml:space="preserve">EARTH ENTPRS INC DBA WASTE-NOT RECYCLING [FRS; 25 m]</t>
  </si>
  <si>
    <t xml:space="preserve">EARTH ENTPRS INC DBA WASTE-NOT RECYCLING</t>
  </si>
  <si>
    <t xml:space="preserve">S04934</t>
  </si>
  <si>
    <t xml:space="preserve">3601 E PLATTE</t>
  </si>
  <si>
    <t xml:space="preserve">HM S ENTERPRISES (1983; SIC 3079,3732,3714)</t>
  </si>
  <si>
    <t xml:space="preserve">HM S ENTERPRISES (1983)</t>
  </si>
  <si>
    <t xml:space="preserve">SUPERIOR COLLISION [FRS; 27 m]</t>
  </si>
  <si>
    <t xml:space="preserve">ACE AUTO BODY &amp; PAINTING [FRS; 27 m]</t>
  </si>
  <si>
    <t xml:space="preserve">SUPERIOR COLLISION</t>
  </si>
  <si>
    <t xml:space="preserve">S04942</t>
  </si>
  <si>
    <t xml:space="preserve">612 N JUANITA ST</t>
  </si>
  <si>
    <t xml:space="preserve">KNOB HILL WELDING + MANUFACTURING (1983; SIC 3499,3446,3448) | KNOB HILL WELDING+MACHINE SHO (1988; SIC 3446,3499)</t>
  </si>
  <si>
    <t xml:space="preserve">KNOB HILL WELDING + MANUFACTURING (1983) | KNOB HILL WELDING+MACHINE SHO (1988)</t>
  </si>
  <si>
    <t xml:space="preserve">AUTO TRUCK SERVICE [FRS; 47 m] | ENGLISH COLOR &amp; SUPPLY LLC [CDPHE RCRA; 78 m] | CITY OF COLORADO SPRINGS - EAST GARAGE [FRS; 97 m] | BLOSSERS COLLISION [FRS; 130 m] | AMERICAN STRIPPING COMPANY [FRS; 143 m] | ENGLISH COLOR &amp; SUPPLY LLC [FRS; 185 m] | FINISHMASTER INC #242 [CDPHE RCRA; 190 m] | JUAN BODY SHOP [FRS; 193 m] | KNOB HILL CONOCO [FRS; 206 m] | TOTAL STATION #2331 [FRS; 218 m] | CVS PHA</t>
  </si>
  <si>
    <t xml:space="preserve">KNOB HILL WELDING &amp; MACHINE SHOP [FRS; name match, 9 m] | KNOB HILL WELDING &amp; MACHINE SHOP [FRS; name match, 10 m] | MUSA PLATTE / ARAWANNA, COS, CO [FRS; 163 m] | CIRCLE CHRISTIAN ACADMEY/CRAIG &amp; CO [FRS; 166 m] | ROYAL COACHWORKS [FRS; 174 m] | MOUNTAIN EXPRESS PRINTING [FRS; 180 m] | CVS PHARMACY STORE 11002 [FRS; 215 m] | VALERO DIAMOND METRO, INC. # 4064 [FRS; 218 m] | METAL PRODUCTS, LLC [FR</t>
  </si>
  <si>
    <t xml:space="preserve">AUTO TRUCK SERVICE</t>
  </si>
  <si>
    <t xml:space="preserve">S04948</t>
  </si>
  <si>
    <t xml:space="preserve">690 ELKTON OR</t>
  </si>
  <si>
    <t xml:space="preserve">MICRO METALS (1983; SIC 3444,3573) | TAINT PAINT+PLATE CORP (1988-1990; SIC 3559)</t>
  </si>
  <si>
    <t xml:space="preserve">MICRO METALS (1983) | TAINT PAINT+PLATE CORP (1988)</t>
  </si>
  <si>
    <t xml:space="preserve">BLUE STAR RECYCLING LLC [FRS; 9 m] | ABSOLUTE MACHINE [FRS; 38 m]</t>
  </si>
  <si>
    <t xml:space="preserve">BLUE STAR RECYCLERS - Colorado Springs [CDPHE Solid_Waste_Facilities; 42 m]</t>
  </si>
  <si>
    <t xml:space="preserve">XYMAT ENGINEERING [FRS; 9 m]</t>
  </si>
  <si>
    <t xml:space="preserve">BLUE STAR RECYCLING LLC</t>
  </si>
  <si>
    <t xml:space="preserve">S04949</t>
  </si>
  <si>
    <t xml:space="preserve">6055 LEHMAN DR 102</t>
  </si>
  <si>
    <t xml:space="preserve">MICROCOSYM INC. (1983; SIC 3573) | MICROCOSYM INC (1990; SIC 3577)</t>
  </si>
  <si>
    <t xml:space="preserve">MICROCOSYM INC. (1983) | MICROCOSYM INC (1990)</t>
  </si>
  <si>
    <t xml:space="preserve">COLO SPGS MED CTR - NORTH BR [FRS; 14 m]</t>
  </si>
  <si>
    <t xml:space="preserve">S04950</t>
  </si>
  <si>
    <t xml:space="preserve">817 WOOTEN RD</t>
  </si>
  <si>
    <t xml:space="preserve">MYERS MAHCINE SHOP (1983; SIC 3542,3544,3549) | LETTERING AOQINC (1988; SIC 3089,3542,3544)</t>
  </si>
  <si>
    <t xml:space="preserve">MYERS MAHCINE SHOP (1983) | LETTERING AOQINC (1988) | ABEK SCIENTIFIC INC (1988) | REXOTECH INC (1990)</t>
  </si>
  <si>
    <t xml:space="preserve">PHOTRONICS [FRS; 9 m] | VACANT BUILDING [FRS; 9 m]</t>
  </si>
  <si>
    <t xml:space="preserve">REXOTECH PHOTRONICS [FRS; name match, 9 m] | USPS COLORADO SPRINGS VMF [FRS; 9 m]</t>
  </si>
  <si>
    <t xml:space="preserve">COMPTRONIX CORP</t>
  </si>
  <si>
    <t xml:space="preserve">PHOTRONICS</t>
  </si>
  <si>
    <t xml:space="preserve">S04960</t>
  </si>
  <si>
    <t xml:space="preserve">4671 COBALT DR</t>
  </si>
  <si>
    <t xml:space="preserve">PRECISION METAL MANUFACTURING (1983; SIC 3444)</t>
  </si>
  <si>
    <t xml:space="preserve">PRECISION METAL MANUFACTURING (1983)</t>
  </si>
  <si>
    <t xml:space="preserve">FAT BOYZ [FRS; 0 m]</t>
  </si>
  <si>
    <t xml:space="preserve">FAT BOYS PAINT &amp; BODY WORKS [FRS; 14 m] | ARTHURS AUTO PAINT &amp; DETAIL [FRS; 18 m] | PARKEYS HEATING AC AND PLUMBING [FRS; 32 m] | ARTHURS AUTO PAINT &amp; DETAIL [FRS] (address match)</t>
  </si>
  <si>
    <t xml:space="preserve">FAT BOYZ</t>
  </si>
  <si>
    <t xml:space="preserve">S04963</t>
  </si>
  <si>
    <t xml:space="preserve">407 AUBURN DR</t>
  </si>
  <si>
    <t xml:space="preserve">RAMPART MACHINE (1983; SIC 3599)</t>
  </si>
  <si>
    <t xml:space="preserve">RAMPART MACHINE (1983)</t>
  </si>
  <si>
    <t xml:space="preserve">LEE'S AUTOMOTIVE MACHINE SHOP [FRS; 1 m] | ROCKY MOUNTAIN BODY &amp; PAINT [FRS; 32 m] | AMS [FRS; 64 m] | SOUTHWEST RADIOGRAPHICS INC [FRS; 69 m] | ROCKY MOUNTAIN BODY AND PAINTING INC [CDPHE RCRA; 92 m] | LBJ AUTO BODY [FRS; 98 m] | SIGN SHOP ILLUMINATED LLC [FRS; 117 m] | SUPERIOR COLLISION [FRS; 176 m] | K&amp;G ASSOCIATES DBA SIGMA METALS INC [FRS; 180 m] | JAPANESE CONNECTION INC [FRS; 191 m] | ART </t>
  </si>
  <si>
    <t xml:space="preserve">MEL-RO CONSTRUCTION [FRS; 34 m] | SUPERIOR COLLISION [FRS; 98 m] | KLK INC [FRS; 163 m] | HOLLADAY GRACE ROOFING INC [FRS; 173 m] | ACE AUTO BODY &amp; PAINTING [FRS; 176 m] | COLORADO SPRINGS AUTOMOTIVE REPAIR [FRS; 179 m] | SIGN SHOP ILLUMINATED LLC [FRS; 200 m] | PCI CONSTRUCTION SERVICES [FRS; 228 m] | ALLTEL - CO SPRINGS [FRS; 238 m] | A CUT ABOVE THE REST [FRS; 238 m]</t>
  </si>
  <si>
    <t xml:space="preserve">LEE'S AUTOMOTIVE MACHINE SHOP</t>
  </si>
  <si>
    <t xml:space="preserve">S04965</t>
  </si>
  <si>
    <t xml:space="preserve">3575 CHELTON LOOP</t>
  </si>
  <si>
    <t xml:space="preserve">SCHWARTZ MANUFACTURING COMPANY (1983; SIC 3312,3441,3444) | REFERENCE BOOKS SIGMA METALS INC (1988; SIC 3441,3444) | SIGMA METALS INC (1990; SIC 3444)</t>
  </si>
  <si>
    <t xml:space="preserve">SCHWARTZ MANUFACTURING COMPANY (1983) | REFERENCE BOOKS SIGMA METALS INC (1988) | SIGMA METALS INC (1990)</t>
  </si>
  <si>
    <t xml:space="preserve">K&amp;G ASSOCIATES DBA SIGMA METALS INC [FRS; name match, 37 m]</t>
  </si>
  <si>
    <t xml:space="preserve">KLK INC [FRS; 14 m]</t>
  </si>
  <si>
    <t xml:space="preserve">K&amp;G ASSOCIATES DBA SIGMA METALS INC</t>
  </si>
  <si>
    <t xml:space="preserve">S04975</t>
  </si>
  <si>
    <t xml:space="preserve">2121 WAYNOKA RD</t>
  </si>
  <si>
    <t xml:space="preserve">WOODFORD MFG. COs (1983-1988; SIC 3432,3448) | WOODFORD INDUSTRIES INC (1990; SIC 3432) | WOM INDUSTRIES INC (1992; SIC 3432)</t>
  </si>
  <si>
    <t xml:space="preserve">WOODFORD MFG. COs (1983) | WOODFORD INDUSTRIES INC (1990) | WOM INDUSTRIES INC (1992)</t>
  </si>
  <si>
    <t xml:space="preserve">WOODFORD MFG [FRS] (address match) | WOODFORD MANUFACTURING CO [CDPHE RCRA] (address match)</t>
  </si>
  <si>
    <t xml:space="preserve">MICROLINK TECHNOLOGIES CORP</t>
  </si>
  <si>
    <t xml:space="preserve">S05425</t>
  </si>
  <si>
    <t xml:space="preserve">5065 GEIGER CT</t>
  </si>
  <si>
    <t xml:space="preserve">COMPONENTS-PROD, DU BENNETT MFG+SUPPLY (1988; SIC 3449,3799)</t>
  </si>
  <si>
    <t xml:space="preserve">COMPONENTS-PROD, DU BENNETT MFG+SUPPLY (1988)</t>
  </si>
  <si>
    <t xml:space="preserve">FOTC [CDPHE RCRA; 170 m] | FOTC [FRS; 211 m]</t>
  </si>
  <si>
    <t xml:space="preserve">BENNETT MFG &amp; SUPPLY CO [FRS; name match, 23 m] | GEIGER COURT [FRS; 102 m] | SEEDLING COURT LOTS 1 TO 8 [FRS; 149 m] | COLORADO SPRINGS SCHOOL DISTRICT #11 [FRS; 182 m] | BENNETT MFG &amp; SUPPLY CO [FRS] (address match)</t>
  </si>
  <si>
    <t xml:space="preserve">S05433</t>
  </si>
  <si>
    <t xml:space="preserve">2275 WAYNOKA RD</t>
  </si>
  <si>
    <t xml:space="preserve">PISH COLORADO SYSTEMS INC (1988; SIC 3559) | THE COVER GIRLS (1990-1992; SIC 2399,3069,3199)</t>
  </si>
  <si>
    <t xml:space="preserve">PISH COLORADO SYSTEMS INC (1988) | THE COVER GIRLS (1990) | TRIAD INC (1990)</t>
  </si>
  <si>
    <t xml:space="preserve">MICROLINK TECHNOLOGIES CORP [FRS; 24 m]</t>
  </si>
  <si>
    <t xml:space="preserve">S05435</t>
  </si>
  <si>
    <t xml:space="preserve">1490 TUSKEGEE PL</t>
  </si>
  <si>
    <t xml:space="preserve">CONCEP ARS WEN ASTIC (1988; SIC 2431,3089,3089) | CONCEPTS IN PLASTIC LAMINATES INC (1990; SIC 2431,3089) | CONCEPTS IN MILLWORK INC. (1992; SIC 2431,3089,3999)</t>
  </si>
  <si>
    <t xml:space="preserve">CONCEP ARS WEN ASTIC (1988) | CONCEPTS IN PLASTIC LAMINATES INC (1990) | CONCEPTS IN MILLWORK INC. (1992)</t>
  </si>
  <si>
    <t xml:space="preserve">CONCEPTS IN MILLWORK INC [FRS; name match, 19 m] | QCIMI LLC DBA CONCEPTS IN MILLWORK INC [CDPHE RCRA; name match, 201 m] | WESTERN STATES FIRE PROTECTION CO [FRS; 11 m] | CONCEPTS IN MILLWORK INC [FRS] (address match) | QCIMI LLC DBA CONCEPTS IN MILLWORK INC [CDPHE RCRA] (address match)</t>
  </si>
  <si>
    <t xml:space="preserve">WESTERN STATES FIRE PROTECTION CO</t>
  </si>
  <si>
    <t xml:space="preserve">S05455</t>
  </si>
  <si>
    <t xml:space="preserve">770 WOOTEN RD STE 110</t>
  </si>
  <si>
    <t xml:space="preserve">INDUSTRIAL CERAMICS (1988-1990; SIC 3295,3299,3572)</t>
  </si>
  <si>
    <t xml:space="preserve">INDUSTRIAL CERAMICS (1988)</t>
  </si>
  <si>
    <t xml:space="preserve">SYNTHCON LLC [FRS; 2 m]</t>
  </si>
  <si>
    <t xml:space="preserve">SYNTHCON LLC</t>
  </si>
  <si>
    <t xml:space="preserve">S05458</t>
  </si>
  <si>
    <t xml:space="preserve">115 B MOUNTVIEW LN</t>
  </si>
  <si>
    <t xml:space="preserve">KAST-MARBLE INC (1988; SIC 3089,3842)</t>
  </si>
  <si>
    <t xml:space="preserve">KAST-MARBLE INC (1988)</t>
  </si>
  <si>
    <t xml:space="preserve">AMERICLEEN [CDPHE RCRA; 99 m] | SHERWIN-WILLIAMS AUTOMOTIVE FINISHES CORP # 9702 [CDPHE RCRA; 99 m] | PHIL LONG FORD COLLISION CENTER [CDPHE RCRA; 99 m]</t>
  </si>
  <si>
    <t xml:space="preserve">BEST WESTERN PLUS EXECUTIVE RESIDENCY COLORADO SPRINGS [FRS; 225 m] | PARK TERRACE APARTMENTS [FRS; 228 m]</t>
  </si>
  <si>
    <t xml:space="preserve">AMERICLEEN</t>
  </si>
  <si>
    <t xml:space="preserve">S05465</t>
  </si>
  <si>
    <t xml:space="preserve">3225 ASTROZON BLVD</t>
  </si>
  <si>
    <t xml:space="preserve">CONGR BEANE CTURAL (1988; SIC 3272,2741,3469)</t>
  </si>
  <si>
    <t xml:space="preserve">CONGR BEANE CTURAL (1988) | MACK ARCHITECTURAL CONCRETE INC (1990)</t>
  </si>
  <si>
    <t xml:space="preserve">AMERICAN ROOFING SUPPLY - #0241 COLORADO SPRINGS [CDPHE RCRA; 4 m] | AMERICAN ROOFING SUPPLY - #0241 COLORADO SPRINGS [FRS; 11 m]</t>
  </si>
  <si>
    <t xml:space="preserve">WESTERN SCRAP PROCESSING CO INC</t>
  </si>
  <si>
    <t xml:space="preserve">AMERICAN ROOFING SUPPLY - #0241 COLORADO SPRINGS</t>
  </si>
  <si>
    <t xml:space="preserve">S05472</t>
  </si>
  <si>
    <t xml:space="preserve">1028 ELKTON DR</t>
  </si>
  <si>
    <t xml:space="preserve">NEW AGE ENGINEERED MOLDINGS INC (1988; SIC 3442,3465,3842) | ALEXANDER FILM + VIDEO SERVICES (1990; SIC 3861)</t>
  </si>
  <si>
    <t xml:space="preserve">NEW AGE ENGINEERED MOLDINGS INC (1988) | O’KEEFE CERAMICS (1988) | ALEXANDER FILM + VIDEO SERVICES (1990)</t>
  </si>
  <si>
    <t xml:space="preserve">UNITED TECHNOLGIES OTIS ELEVATOR [FRS; 9 m]</t>
  </si>
  <si>
    <t xml:space="preserve">SEMTECH COLORADO - ELKTON FACILITY [FRS; 23 m] | B &amp; B BLACK OXIDE [FRS; 38 m]</t>
  </si>
  <si>
    <t xml:space="preserve">UNITED TECHNOLGIES OTIS ELEVATOR</t>
  </si>
  <si>
    <t xml:space="preserve">S05476</t>
  </si>
  <si>
    <t xml:space="preserve">650 ELKTON DR</t>
  </si>
  <si>
    <t xml:space="preserve">PACKAGE SERVICE CO OF COLORADO INC (1990; SIC 2872)</t>
  </si>
  <si>
    <t xml:space="preserve">PACKAGE SERVICE CO OF COLORADO INC (1988)</t>
  </si>
  <si>
    <t xml:space="preserve">PACKAGE SERVICE CO OF COLORADO INC. [FRS; name match, 1 m] | PACKAGE SERVICE CO OF COLORADO INC. [FRS] (address match)</t>
  </si>
  <si>
    <t xml:space="preserve">PACKAGE SERVICE CO OF COLORADO INC.</t>
  </si>
  <si>
    <t xml:space="preserve">S05485</t>
  </si>
  <si>
    <t xml:space="preserve">3648 JEANNINE DR</t>
  </si>
  <si>
    <t xml:space="preserve">WORK RALPH'S TOP SERVICE (1988; SIC 2890,2521,3083)</t>
  </si>
  <si>
    <t xml:space="preserve">WORK RALPH'S TOP SERVICE (1988)</t>
  </si>
  <si>
    <t xml:space="preserve">SERVIMECHANIC LLC [FRS; 1 m] | GREEN CREST LAUNDRY [FRS; 33 m]</t>
  </si>
  <si>
    <t xml:space="preserve">SERVIMECHANIC LLC</t>
  </si>
  <si>
    <t xml:space="preserve">S05486</t>
  </si>
  <si>
    <t xml:space="preserve">216 AUBURN DR</t>
  </si>
  <si>
    <t xml:space="preserve">PRODUCTS RAMPART MACHINE (1988-1992; SIC 3599)</t>
  </si>
  <si>
    <t xml:space="preserve">PRODUCTS RAMPART MACHINE (1988)</t>
  </si>
  <si>
    <t xml:space="preserve">CITY OF COLO SPRINGS - FIRE DEPT [FRS; 28 m] | POWER EQUIPMENT COMPANY [FRS; 28 m] | EXPERTS ONLY [FRS; 103 m] | LBJ AUTO BODY [FRS; 170 m] | ROCKY MOUNTAIN BODY AND PAINTING INC [CDPHE RCRA; 176 m] | K&amp;G ASSOCIATES DBA SIGMA METALS INC [FRS; 191 m] | JAPANESE CONNECTION INC [FRS; 195 m] | ART C KLEIN CONST [FRS; 216 m] | ROCKY MOUNTAIN BODY &amp; PAINT [FRS; 236 m] | W W WILLIAMS INC DBA AERO COLOURS</t>
  </si>
  <si>
    <t xml:space="preserve">DSI PROFESSIONAL RESTORATION [FRS; 6 m] | HOLLADAY GRACE ROOFING INC [FRS; 95 m] | BOB HILL AUTO [FRS; 103 m] | SUPERIOR COLLISION [FRS; 170 m] | KLK INC [FRS; 208 m] | ALLTEL - CO SPRINGS [FRS; 217 m] | A CUT ABOVE THE REST [FRS; 217 m] | HOLLADAY GRACE ROOFING INC [FRS] (address match)</t>
  </si>
  <si>
    <t xml:space="preserve">CITY OF COLO SPRINGS - FIRE DEPT</t>
  </si>
  <si>
    <t xml:space="preserve">S05490</t>
  </si>
  <si>
    <t xml:space="preserve">3356 ADOBE CT</t>
  </si>
  <si>
    <t xml:space="preserve">ROCKY MTN PLASTICS FABRICATION INC (1988-1990; SIC 3089,3661)</t>
  </si>
  <si>
    <t xml:space="preserve">ROCKY MTN PLASTICS FABRICATION INC (1988)</t>
  </si>
  <si>
    <t xml:space="preserve">HALL WOODWORK INC [FRS; 16 m]</t>
  </si>
  <si>
    <t xml:space="preserve">PIKES PEAK POWDER WORKS [FRS; 25 m] | TAINT PAINT POWDER COATINGS OF COLO SPGS [FRS; 25 m]</t>
  </si>
  <si>
    <t xml:space="preserve">S05497</t>
  </si>
  <si>
    <t xml:space="preserve">3106 CENTURY ST</t>
  </si>
  <si>
    <t xml:space="preserve">TIFFANY ETC (1988; SIC 3231,2903)</t>
  </si>
  <si>
    <t xml:space="preserve">STANFORD ART GLASS (1988) | TIFFANY ETC (1988)</t>
  </si>
  <si>
    <t xml:space="preserve">LILLIE CO FRONT RANGE LLC DBA GET A GRIP FRONT RANGE [FRS; 26 m]</t>
  </si>
  <si>
    <t xml:space="preserve">El Paso DOT Facility I</t>
  </si>
  <si>
    <t xml:space="preserve">LILLIE CO FRONT RANGE LLC DBA GET A GRIP FRONT RANGE</t>
  </si>
  <si>
    <t xml:space="preserve">S05510</t>
  </si>
  <si>
    <t xml:space="preserve">3807 N EL PASO</t>
  </si>
  <si>
    <t xml:space="preserve">ROCKETRY WALKER BROTHERS Co (1988; SIC 2431,3446)</t>
  </si>
  <si>
    <t xml:space="preserve">ROCKETRY WALKER BROTHERS Co (1988)</t>
  </si>
  <si>
    <t xml:space="preserve">FEDERAL MOVING AND STORAGE CO [FRS; 84 m] | WELLS &amp; WEST GENERAL CONTRACTORS [CDPHE RCRA; 192 m] | HUGHES SMITH INC [FRS; 198 m] | WELLS &amp; WEST GENERAL CONTRACTORS [FRS; 198 m]</t>
  </si>
  <si>
    <t xml:space="preserve">COLORADO CUSTOM TOPS [FRS; 105 m] | KROHNS COVERINGS INC [FRS; 163 m] | ROCKY MOUNTAIN GREYHOUND PARK [FRS; 246 m]</t>
  </si>
  <si>
    <t xml:space="preserve">FEDERAL MOVING AND STORAGE CO</t>
  </si>
  <si>
    <t xml:space="preserve">S06248</t>
  </si>
  <si>
    <t xml:space="preserve">3760 E LA SALLE</t>
  </si>
  <si>
    <t xml:space="preserve">ATAP. (1990; SIC 2268,3069,3572)</t>
  </si>
  <si>
    <t xml:space="preserve">ATAP. (1990)</t>
  </si>
  <si>
    <t xml:space="preserve">FIRSTONE TIRE SERVICE CENTER [FRS; 200 m] | COLORADO SPRINGS UTILITIES - ROCK ISLAND SUBSTATION [FRS; 201 m] | VIP ONE HOUR CLEANERS [FRS; 204 m] | COLORADO SPRINGS UTILITIES - ROCK ISLAND SUBSTATION [CDPHE RCRA; 208 m] | WOLF CAMERA #00663 [FRS; 223 m]</t>
  </si>
  <si>
    <t xml:space="preserve">ABUZZ PROPERTY MANAGEMENT [FRS; 9 m] | WILLOW RIDGE APARTMENTS [FRS; 28 m] | VALERO DIAMOND METRO, INC. # 4069 [FRS; 159 m] | QUIKTRIP #4297 [FRS; 191 m] | AVALON PROPERTY MANAGEMENT [FRS; 237 m] | SINCLAIR MARKETING INC - #530 [FRS; 247 m]</t>
  </si>
  <si>
    <t xml:space="preserve">FIRSTONE TIRE SERVICE CENTER</t>
  </si>
  <si>
    <t xml:space="preserve">S06249</t>
  </si>
  <si>
    <t xml:space="preserve">855 C GARDEN OF THE GODS RD</t>
  </si>
  <si>
    <t xml:space="preserve">DATACORP (1992; SIC 2759,3452)</t>
  </si>
  <si>
    <t xml:space="preserve">ACU-FAB INC (1990) | DATACORP (1990)</t>
  </si>
  <si>
    <t xml:space="preserve">FITTJE BROTHERS PRINTING [FRS; 52 m] | HARLOFF MANUFACTURING CO [FRS; 160 m] | DYSAN CORP [FRS; 173 m] | VERTEC TOOL, INC. [FRS; 191 m] | CUMMINS ROCKY MOUNTAIN LLC [FRS; 219 m] | CUSTOM ENVIRONMENTAL SERVICES [FRS; 219 m]</t>
  </si>
  <si>
    <t xml:space="preserve">MERIT REAL ESTATE COMPANY [FRS; 153 m] | RJL DESIGNS LLC [FRS; 191 m] | CONTINENTAL PAINT &amp; DRYWALL [FRS; 231 m]</t>
  </si>
  <si>
    <t xml:space="preserve">FITTJE BROTHERS PRINTING</t>
  </si>
  <si>
    <t xml:space="preserve">S06259</t>
  </si>
  <si>
    <t xml:space="preserve">2450 WAYNOKA</t>
  </si>
  <si>
    <t xml:space="preserve">CB TECH (1990; SIC 3577,3949)</t>
  </si>
  <si>
    <t xml:space="preserve">CB TECH (1990) | SPRINGS PRINTING (1990)</t>
  </si>
  <si>
    <t xml:space="preserve">GEOTECHNICAL SERVICES INC [FRS; 15 m]</t>
  </si>
  <si>
    <t xml:space="preserve">SAND CREEK NEAR WAYNOKA ST [FRS; 26 m] | WAYNOKA DROP STRUCTURE REHABILITATION [FRS; 26 m] | POWER BLVD LANE WIDENING AND INSTALL OF DRAINAGE INFRASTRUCTURE [FRS; 26 m]</t>
  </si>
  <si>
    <t xml:space="preserve">GEOTECHNICAL SERVICES INC</t>
  </si>
  <si>
    <t xml:space="preserve">S06260</t>
  </si>
  <si>
    <t xml:space="preserve">513 W COLORADO AVE</t>
  </si>
  <si>
    <t xml:space="preserve">PERFORMANCE AWARDS (1990; SIC 3499)</t>
  </si>
  <si>
    <t xml:space="preserve">CANYON SIGNS (1990) | PERFORMANCE AWARDS (1990)</t>
  </si>
  <si>
    <t xml:space="preserve">BURTS AUTO SUPPLY [FRS; 5 m]</t>
  </si>
  <si>
    <t xml:space="preserve">KOSCOVE METALS [FRS; 38 m]</t>
  </si>
  <si>
    <t xml:space="preserve">BURTS AUTO SUPPLY</t>
  </si>
  <si>
    <t xml:space="preserve">S06265</t>
  </si>
  <si>
    <t xml:space="preserve">949 ELKTON DR</t>
  </si>
  <si>
    <t xml:space="preserve">COLORADO SYSTEMS INC (1990; SIC 3559)</t>
  </si>
  <si>
    <t xml:space="preserve">COLORADO SYSTEMS INC (1990)</t>
  </si>
  <si>
    <t xml:space="preserve">DIVERSIFIED MACHINE SYSTEMS [FRS; name match, 115 m]</t>
  </si>
  <si>
    <t xml:space="preserve">TOLIN MECHANICAL SYSTEMS COMPANY [FRS; name match, 185 m]</t>
  </si>
  <si>
    <t xml:space="preserve">SEMTECH COLORADO INC - ELKTON FACILITY</t>
  </si>
  <si>
    <t xml:space="preserve">S06287</t>
  </si>
  <si>
    <t xml:space="preserve">5025 CENTENNIAL BIVD</t>
  </si>
  <si>
    <t xml:space="preserve">MAXIMUM INTERNATIONAL CORPORATION (1990; SIC 3577)</t>
  </si>
  <si>
    <t xml:space="preserve">MAXIMUM INTERNATIONAL CORPORATION (1990)</t>
  </si>
  <si>
    <t xml:space="preserve">MCCORMICK-ARMSTRONG WMS DIV LLC [FRS; 39 m]</t>
  </si>
  <si>
    <t xml:space="preserve">HEWLETT PACKARD [FRS; 28 m] | TIMBERLINE MANAGEMENT, INC. [FRS; 39 m]</t>
  </si>
  <si>
    <t xml:space="preserve">MCCORMICK-ARMSTRONG WMS DIV LLC</t>
  </si>
  <si>
    <t xml:space="preserve">S06290</t>
  </si>
  <si>
    <t xml:space="preserve">4710 N CHESTNUT</t>
  </si>
  <si>
    <t xml:space="preserve">MICRO METALS (1990; SIC 3444,3577) | SUPERIOR PRECISION SHEETMETAL CORP (1992; SIC 3444,3577,3911)</t>
  </si>
  <si>
    <t xml:space="preserve">MICRO METALS (1990) | SUPERIOR PRECISION SHEETMETAL CORP (1992)</t>
  </si>
  <si>
    <t xml:space="preserve">MICRO METALS [FRS; name match, 21 m] | HIGHVAC CORPORATION [FRS; 6 m]</t>
  </si>
  <si>
    <t xml:space="preserve">SUPERIOR PRECISION SHEET METAL CORP. [FRS; 21 m]</t>
  </si>
  <si>
    <t xml:space="preserve">HIGHVAC CORPORATION</t>
  </si>
  <si>
    <t xml:space="preserve">S06294</t>
  </si>
  <si>
    <t xml:space="preserve">1025 ELKTON DR</t>
  </si>
  <si>
    <t xml:space="preserve">NEW AGE ENGINEERED MOLDINGS INC. (1990; SIC 3442,3465,3842)</t>
  </si>
  <si>
    <t xml:space="preserve">NEW AGE ENGINEERED MOLDINGS INC. (1990)</t>
  </si>
  <si>
    <t xml:space="preserve">CUSTOM ENVIRONMENTAL SVCS INC [FRS; 21 m] | SEMTECH COLORADO INC - ELKTON FACILITY [FRS] (address match) | SEMTECH COLORADO INC - ELKTON FACILITY [CDPHE RCRA] (address match)</t>
  </si>
  <si>
    <t xml:space="preserve">SEMTECH COLORADO - ELKTON FACILITY [FRS] (address match)</t>
  </si>
  <si>
    <t xml:space="preserve">CUSTOM ENVIRONMENTAL SVCS INC</t>
  </si>
  <si>
    <t xml:space="preserve">S06305</t>
  </si>
  <si>
    <t xml:space="preserve">3850 INTERPARK DR</t>
  </si>
  <si>
    <t xml:space="preserve">SPECIALTY MILLWORKS (1990; SIC 3446)</t>
  </si>
  <si>
    <t xml:space="preserve">SPECIALTY MILLWORKS (1990)</t>
  </si>
  <si>
    <t xml:space="preserve">ALLIED BLDG PRODUCTS CORP [FRS; 27 m]</t>
  </si>
  <si>
    <t xml:space="preserve">SINTON DAIRY FOODS COMP LLC</t>
  </si>
  <si>
    <t xml:space="preserve">ALLIED BLDG PRODUCTS CORP</t>
  </si>
  <si>
    <t xml:space="preserve">S06928</t>
  </si>
  <si>
    <t xml:space="preserve">1416 W PIKES POAK AVE</t>
  </si>
  <si>
    <t xml:space="preserve">CHRISTINA'S CREATIONS, (1992; SIC 3471)</t>
  </si>
  <si>
    <t xml:space="preserve">CHRISTINA'S CREATIONS, (1992)</t>
  </si>
  <si>
    <t xml:space="preserve">U S DRUG ENFORCEMENT ADMIN [FRS; 189 m]</t>
  </si>
  <si>
    <t xml:space="preserve">7-ELEVEN, INC. - NO 22684 [FRS; 149 m]</t>
  </si>
  <si>
    <t xml:space="preserve">S06936</t>
  </si>
  <si>
    <t xml:space="preserve">818 WAHSATCH</t>
  </si>
  <si>
    <t xml:space="preserve">PAT ROADS SHEET METAL INC (1992; SIC 3444)</t>
  </si>
  <si>
    <t xml:space="preserve">PAT ROADS SHEET METAL INC (1992)</t>
  </si>
  <si>
    <t xml:space="preserve">DIGESTIVE DISEASE ENDOSCOPY CENTER [FRS; 186 m] | DIGESTIVE DISEASE ENDOSCOPY CENTER [CDPHE RCRA; 226 m]</t>
  </si>
  <si>
    <t xml:space="preserve">S03035</t>
  </si>
  <si>
    <t xml:space="preserve">2815 E MAIN ST</t>
  </si>
  <si>
    <t xml:space="preserve">MAIN MACHINE INDUSTRIES INC (1974-1990; SIC 3544)</t>
  </si>
  <si>
    <t xml:space="preserve">MAIN MACHINE INDUSTRIES INC (1974)</t>
  </si>
  <si>
    <t xml:space="preserve">PREMIER DRY CLEANING [FRS] (address match) | PREMIER DRY CLEANING [CDPHE RCRA] (address match)</t>
  </si>
  <si>
    <t xml:space="preserve">BUREAU OF LAND MANAGEMENT</t>
  </si>
  <si>
    <t xml:space="preserve">S04145</t>
  </si>
  <si>
    <t xml:space="preserve">106 BROADWAY</t>
  </si>
  <si>
    <t xml:space="preserve">PENROSE</t>
  </si>
  <si>
    <t xml:space="preserve">81240</t>
  </si>
  <si>
    <t xml:space="preserve">TEMPLE ENTERRRISES INC (1980-1983; SIC 3721,3728,3433) | NCPREADOM STOVES (1988; SIC 3433,3721,3728) | TEMPLE ENTERPRISES FREEDOM STOVES (1990; SIC 3433,3721,3728)</t>
  </si>
  <si>
    <t xml:space="preserve">TEMPLE ENTERRRISES INC (1980) | NCPREADOM STOVES (1988) | TEMPLE ENTERPRISES FREEDOM STOVES (1990)</t>
  </si>
  <si>
    <t xml:space="preserve">BEARS DEN AUTOMOTIVE [FRS; 25 m] | BEARS DEN AUTOMOTIVE [FRS] (address match)</t>
  </si>
  <si>
    <t xml:space="preserve">WILSON'S SHOP [FRS; 25 m] | METAL MASTERS [FRS; 37 m] | WILSON'S SHOP [FRS] (address match)</t>
  </si>
  <si>
    <t xml:space="preserve">BEARS DEN AUTOMOTIVE</t>
  </si>
  <si>
    <t xml:space="preserve">S04989</t>
  </si>
  <si>
    <t xml:space="preserve">713 S 8TH ST</t>
  </si>
  <si>
    <t xml:space="preserve">H + H MARBLE INC (1983-1988; SIC 3079) | TUBS, WHIRLPOOL BROBUCYS SORE (1988; SIC 3589,3599,3828) | SOLDERMATICS INC (1990; SIC 3559,3599,3479)</t>
  </si>
  <si>
    <t xml:space="preserve">H + H MARBLE INC (1983) | TUBS, WHIRLPOOL BROBUCYS SORE (1988) | SOLDERMATICS INC (1990)</t>
  </si>
  <si>
    <t xml:space="preserve">ZIMMERMANS BODY SHOP [FRS; 38 m]</t>
  </si>
  <si>
    <t xml:space="preserve">DFC CERAMICS  INC</t>
  </si>
  <si>
    <t xml:space="preserve">ZIMMERMANS BODY SHOP</t>
  </si>
  <si>
    <t xml:space="preserve">S06238</t>
  </si>
  <si>
    <t xml:space="preserve">402 VALLEY RD</t>
  </si>
  <si>
    <t xml:space="preserve">MOUNTAIN STATES MFG (1990; SIC 2899,2844,2842) | TERA INTERNATIONAL (1990; SIC 3083)</t>
  </si>
  <si>
    <t xml:space="preserve">MOUNTAIN STATES MFG (1990) | TERA INTERNATIONAL (1990)</t>
  </si>
  <si>
    <t xml:space="preserve">TERA INTERNATIONAL [FRS; name match, 246 m]</t>
  </si>
  <si>
    <t xml:space="preserve">HMP SOLDERMATICS INC</t>
  </si>
  <si>
    <t xml:space="preserve">S07130</t>
  </si>
  <si>
    <t xml:space="preserve">45 10TH</t>
  </si>
  <si>
    <t xml:space="preserve">PENROSE MANUFACTURING (1992; SIC 3443)</t>
  </si>
  <si>
    <t xml:space="preserve">PENROSE MANUFACTURING (1992)</t>
  </si>
  <si>
    <t xml:space="preserve">PENROSE COLORADO SHOP [CDPHE RCRA; name match, 128 m] | PENROSE COLORADO SHOP [FRS; name match, 128 m]</t>
  </si>
  <si>
    <t xml:space="preserve">PENROSE MANUFACTURING, INC. [FRS; name match, 246 m] | C &amp; S CONSTRUCTION [FRS; 36 m]</t>
  </si>
  <si>
    <t xml:space="preserve">PENROSE COLORADO SHOP</t>
  </si>
  <si>
    <t xml:space="preserve">S04147</t>
  </si>
  <si>
    <t xml:space="preserve">1186 AIRPORT CENTER</t>
  </si>
  <si>
    <t xml:space="preserve">TRI-THERM CORP (1980; SIC 3433)</t>
  </si>
  <si>
    <t xml:space="preserve">TRI-THERM CORP (1980)</t>
  </si>
  <si>
    <t xml:space="preserve">USFS WHITE RIVER ADMIN SITE [FRS; 35 m]</t>
  </si>
  <si>
    <t xml:space="preserve">USFS WHITE RIVER ADMIN SITE</t>
  </si>
  <si>
    <t xml:space="preserve">S04995</t>
  </si>
  <si>
    <t xml:space="preserve">210 CENTER DR</t>
  </si>
  <si>
    <t xml:space="preserve">C # K PRODUCTS» INC. (1983; SIC 3622,3573,3625)</t>
  </si>
  <si>
    <t xml:space="preserve">C # K PRODUCTS» INC. (1983)</t>
  </si>
  <si>
    <t xml:space="preserve">JOHN HAINES CHEVROLET [CDPHE RCRA; 21 m]</t>
  </si>
  <si>
    <t xml:space="preserve">JOHN HAINES CHEVROLET</t>
  </si>
  <si>
    <t xml:space="preserve">S04998</t>
  </si>
  <si>
    <t xml:space="preserve">128 W AVE</t>
  </si>
  <si>
    <t xml:space="preserve">RIFLE ICE + STORAGE (1983; SIC 2097,2899) | D.B.A.-MOUNTAIN PURE BOTTLED WATER (1988-1990; SIC 2097,2899)</t>
  </si>
  <si>
    <t xml:space="preserve">RIFLE ICE + STORAGE (1983) | D.B.A.-MOUNTAIN PURE BOTTLED WATER (1988)</t>
  </si>
  <si>
    <t xml:space="preserve">DENVER &amp; RIO GRANDE RR - RIFLE YARD [FRS; 117 m] | DENVER &amp; RIO GRANDE RR - RIFLE YARD [CDPHE RCRA; 119 m] | RIFLE AMOCO [FRS; 131 m]</t>
  </si>
  <si>
    <t xml:space="preserve">MOUNTAIN CLEAR WATER COMPANY [FRS; 35 m] | MT BELL BLDG [FRS; 108 m] | CITY OF RIFLE [FRS; 108 m] | RIFLE POND DRINKING WATER [FRS; 108 m] | SWEETPEA ART PAINTS AKA SILVERTIP PRINTI [FRS; 111 m] | RIFLE REALTY [FRS; 115 m] | J M GOODRICH INC [FRS; 130 m] | SWALLOW OIL CO 6 &amp; 13 QUICK MART [FRS; 130 m] | WENDY'S RESTAURANT #12229 [FRS; 130 m] | SWALLOW OIL CO - BOOKCLIFF CAR WASH [FRS; 131 m] | PRU</t>
  </si>
  <si>
    <t xml:space="preserve">DENVER &amp; RIO GRANDE RR - RIFLE YARD</t>
  </si>
  <si>
    <t xml:space="preserve">S05405</t>
  </si>
  <si>
    <t xml:space="preserve">398 MERRILL</t>
  </si>
  <si>
    <t xml:space="preserve">CARBONDALE</t>
  </si>
  <si>
    <t xml:space="preserve">81623</t>
  </si>
  <si>
    <t xml:space="preserve">CARBONDALE MINE SERVICES INC (1988; SIC 3499,3532) | PITKIN IRON CORPORATION (1990; SIC 3541,3542)</t>
  </si>
  <si>
    <t xml:space="preserve">CARBONDALE MINE SERVICES INC (1988) | PITKIN IRON CORPORATION (1990)</t>
  </si>
  <si>
    <t xml:space="preserve">PITKIN IRON CORP [CDPHE RCRA; name match, 25 m] | PITKIN IRON CORP [FRS; name match, 197 m]</t>
  </si>
  <si>
    <t xml:space="preserve">CARBONDALE MINE SERVICES [FRS; name match, 171 m]</t>
  </si>
  <si>
    <t xml:space="preserve">PITKIN IRON CORP</t>
  </si>
  <si>
    <t xml:space="preserve">S06240</t>
  </si>
  <si>
    <t xml:space="preserve">618 BUGGY CR</t>
  </si>
  <si>
    <t xml:space="preserve">ROARING FORGE (1990; SIC 3429,3446)</t>
  </si>
  <si>
    <t xml:space="preserve">ROARING FORGE (1990)</t>
  </si>
  <si>
    <t xml:space="preserve">LIVING COLOR INC SHOP [FRS; 10 m] | LIVING COLOR INC SHOP [CDPHE RCRA; 37 m] | FAMILY DOLLAR #6574 [CDPHE RCRA; 96 m] | ACTION AUTO COLLISION LLC [CDPHE RCRA; 96 m] | ACTION AUTO COLLISION LLC [FRS; 96 m] | HERITAGE PARK CARE CENTER [FRS; 101 m]</t>
  </si>
  <si>
    <t xml:space="preserve">PRUDENTIAL TOWN AND COUNTRY [FRS; 237 m] | TODD CAMPBELL [FRS; 240 m]</t>
  </si>
  <si>
    <t xml:space="preserve">LIVING COLOR INC SHOP</t>
  </si>
  <si>
    <t xml:space="preserve">S07050</t>
  </si>
  <si>
    <t xml:space="preserve">320 19TH</t>
  </si>
  <si>
    <t xml:space="preserve">VALLEY ENGINE REBULDERS (1992; SIC 3714)</t>
  </si>
  <si>
    <t xml:space="preserve">VALLEY ENGINE REBULDERS (1992)</t>
  </si>
  <si>
    <t xml:space="preserve">VALLEY VIEW HOSPITAL [FRS; 34 m]</t>
  </si>
  <si>
    <t xml:space="preserve">VALLEY VIEW HOSPITAL</t>
  </si>
  <si>
    <t xml:space="preserve">S04999</t>
  </si>
  <si>
    <t xml:space="preserve">1715 KARLAN OR</t>
  </si>
  <si>
    <t xml:space="preserve">BLACK HAWK</t>
  </si>
  <si>
    <t xml:space="preserve">Gilpin</t>
  </si>
  <si>
    <t xml:space="preserve">80422</t>
  </si>
  <si>
    <t xml:space="preserve">CENTRAL CITY MICRO-FOUNDRY LTD (1983; SIC 3961,3599,2752) | SNOWFLAKE MFG LTD (1990; SIC 2752,3499,3479)</t>
  </si>
  <si>
    <t xml:space="preserve">CENTRAL CITY MICRO-FOUNDRY LTD (1983) | SNOWFLAKE MFG LTD (1990)</t>
  </si>
  <si>
    <t xml:space="preserve">SNOWFLAKE MANUFACTURING [FRS; name match, 43 m]</t>
  </si>
  <si>
    <t xml:space="preserve">SNOWFLAKE MANUFACTURING</t>
  </si>
  <si>
    <t xml:space="preserve">S05848</t>
  </si>
  <si>
    <t xml:space="preserve">318 AGATE</t>
  </si>
  <si>
    <t xml:space="preserve">COLORADO CLASSIC (1988-1990; SIC 2844,2899)</t>
  </si>
  <si>
    <t xml:space="preserve">COLORADO CLASSIC (1988)</t>
  </si>
  <si>
    <t xml:space="preserve">RANDYS AUTO BODY LLC [FRS; 82 m]</t>
  </si>
  <si>
    <t xml:space="preserve">GRANBY MART [FRS; 48 m] | PETE 66 SVC 4660 [FRS; 100 m] | US WEST COMMUNICATIONS GRANBY [FRS; 131 m] | GRANBY PARKS AND RECREATION [FRS; 139 m] | DOLLAR GENERAL STORE GRANBY [FRS; 175 m] | RETAIL DEVELOPMENT GRANBY [FRS; 216 m]</t>
  </si>
  <si>
    <t xml:space="preserve">RANDYS AUTO BODY LLC</t>
  </si>
  <si>
    <t xml:space="preserve">S03050</t>
  </si>
  <si>
    <t xml:space="preserve">111 S TAYLOR</t>
  </si>
  <si>
    <t xml:space="preserve">WEATHER-PORT CO (1974; SIC 3448,3949)</t>
  </si>
  <si>
    <t xml:space="preserve">WEATHER-PORT CO (1974) | WENDELLS PRENT SHOP (1980)</t>
  </si>
  <si>
    <t xml:space="preserve">SWEITZER OIL INC AMOCO FOOD STORE [FRS; 33 m]</t>
  </si>
  <si>
    <t xml:space="preserve">SWEITZER OIL INC AMOCO FOOD STORE</t>
  </si>
  <si>
    <t xml:space="preserve">S03411</t>
  </si>
  <si>
    <t xml:space="preserve">300 6 14</t>
  </si>
  <si>
    <t xml:space="preserve">HANSEN WEATHER-PORT Co (1977; SIC 3448)</t>
  </si>
  <si>
    <t xml:space="preserve">HANSEN WEATHER-PORT Co (1977)</t>
  </si>
  <si>
    <t xml:space="preserve">GUNNISON VALLEY HEALTH SENIOR CARE CENTER [FRS; 220 m]</t>
  </si>
  <si>
    <t xml:space="preserve">LAZY K HOUSING DEVELOPMENT [FRS; 177 m] | GUNNISON VALLEY HEALTH SENIOR CARE CENTER [FRS; 220 m]</t>
  </si>
  <si>
    <t xml:space="preserve">GUNNISON VALLEY HEALTH SENIOR CARE CENTER</t>
  </si>
  <si>
    <t xml:space="preserve">S03412</t>
  </si>
  <si>
    <t xml:space="preserve">118 S 10</t>
  </si>
  <si>
    <t xml:space="preserve">RAMS HORN LTD (1977; SIC 2387,3362,3999)</t>
  </si>
  <si>
    <t xml:space="preserve">RAMS HORN LTD (1977)</t>
  </si>
  <si>
    <t xml:space="preserve">BUREAU OF RECLAMATION - BLUE MESA [FRS; 94 m] | COLORADO DEPT OF HWYS - GUNNISON [FRS; 116 m] | GUNNISON VALLEY HEALTH SENIOR CARE CENTER [CDPHE RCRA; 164 m] | STANDARD TIRE AND SERVICE CENTER [CDPHE RCRA; 164 m] | UNITED PARCEL SERVICE - GUNNISON [CDPHE RCRA; 231 m] | CORN CONSTRUCTION CO [CDPHE RCRA; 232 m] | CORN CONSTRUCTION CO [FRS; 232 m]</t>
  </si>
  <si>
    <t xml:space="preserve">CF ALTITUDE - ALTA CONVIENCE 3850 [FRS; 127 m] | ROCKY MOUNTAIN REAL ESTATE [FRS; 148 m] | TOMICHI MOBILE HOME PARK, LLC [FRS; 182 m] | LOVES COUNTRY STORE # 7 [FRS; 242 m]</t>
  </si>
  <si>
    <t xml:space="preserve">BUREAU OF RECLAMATION - BLUE MESA</t>
  </si>
  <si>
    <t xml:space="preserve">S04155</t>
  </si>
  <si>
    <t xml:space="preserve">725 S 9TH</t>
  </si>
  <si>
    <t xml:space="preserve">METAL RIVER FOUNDRY (1980; SIC 3479,3429,3964) | METAL RIVER SIGNS + TROPHIES (1983; SIC 3479,3429,3499)</t>
  </si>
  <si>
    <t xml:space="preserve">METAL RIVER FOUNDRY (1980) | METAL RIVER SIGNS + TROPHIES (1983)</t>
  </si>
  <si>
    <t xml:space="preserve">KAIZEN AUTO CARE - GUNNISON [FRS; 2 m]</t>
  </si>
  <si>
    <t xml:space="preserve">KAIZEN AUTO CARE - GUNNISON</t>
  </si>
  <si>
    <t xml:space="preserve">S05895</t>
  </si>
  <si>
    <t xml:space="preserve">612 S 9TH</t>
  </si>
  <si>
    <t xml:space="preserve">R+R PRECISION MACHINING INC (1990; SIC 3599)</t>
  </si>
  <si>
    <t xml:space="preserve">RIO GRANDE WENDELLS PRINT SHOP (1988) | R+R PRECISION MACHINING INC (1990) | WENDELL'S PRINT SHOP (1990)</t>
  </si>
  <si>
    <t xml:space="preserve">KAIZEN COLLISION CENTER - GUNNISON [CDPHE RCRA; 2 m]</t>
  </si>
  <si>
    <t xml:space="preserve">KAIZEN COLLISION CENTER - GUNNISON</t>
  </si>
  <si>
    <t xml:space="preserve">S00408</t>
  </si>
  <si>
    <t xml:space="preserve">5860 LAMAR</t>
  </si>
  <si>
    <t xml:space="preserve">1965;1977;1980;1983;1990</t>
  </si>
  <si>
    <t xml:space="preserve">ROYAL METAL PRODUCTS, INC.. (1965; SIC 3499) | ROYAL METAL PRODUCTS INC (1977-1990; SIC 3444)</t>
  </si>
  <si>
    <t xml:space="preserve">ROYAL METAL PRODUCTS, INC.. (1965) | ROYAL METAL PRODUCTS INC (1977)</t>
  </si>
  <si>
    <t xml:space="preserve">MARK VII EQUIPMENT INC [FRS; 7 m]</t>
  </si>
  <si>
    <t xml:space="preserve">HILL PETROLEUM - HILL PETROLEUM - [FRS; 10 m] | MACHINE MASTER, INC. [FRS; 39 m]</t>
  </si>
  <si>
    <t xml:space="preserve">Twins Inn Thoro</t>
  </si>
  <si>
    <t xml:space="preserve">MARK VII EQUIPMENT INC</t>
  </si>
  <si>
    <t xml:space="preserve">S00717</t>
  </si>
  <si>
    <t xml:space="preserve">1510 SWADLEY</t>
  </si>
  <si>
    <t xml:space="preserve">ARMSTRONG CHEMICAL CO INC (1980; SIC 2869,2842,3851)</t>
  </si>
  <si>
    <t xml:space="preserve">ARMSTRONG CHEMICAL (1966)</t>
  </si>
  <si>
    <t xml:space="preserve">SHANAHAN FUNERAL SUPPLY INC [FRS] (address match)</t>
  </si>
  <si>
    <t xml:space="preserve">ACE FURNITURE &amp; CABINET REFINISHING [FRS; 31 m]</t>
  </si>
  <si>
    <t xml:space="preserve">A-1 Stop Cleaners</t>
  </si>
  <si>
    <t xml:space="preserve">SHANAHAN FUNERAL SUPPLY INC</t>
  </si>
  <si>
    <t xml:space="preserve">S00738</t>
  </si>
  <si>
    <t xml:space="preserve">1357 HARLAN</t>
  </si>
  <si>
    <t xml:space="preserve">1967;1968;1970;1974;1977;1980;1983;1988;1990;1992</t>
  </si>
  <si>
    <t xml:space="preserve">A-1 PATTERN CC INC (1967-1992; SIC 3565,3369) | LIFE-TIME GATE CC (1968-1970; SIC 3481) | METROPOLITAN INDUSTRIES INC (1970; SIC 3442,3446,3444) | LABOR SAVING DEVICES (1990; SIC 3423,2399,3496)</t>
  </si>
  <si>
    <t xml:space="preserve">BINKS MFG CO (1966) | A-1L PATTERN CO INC (1966) | WESTERN SEATING, INC 3589 SERVICE INDUSTRY MACHINES N EC (1967) | LIFE-TIME GATE CC (1968) | WESTERN SEATING, INC (1968) | METROPOLITAN INDUSTRIES INC (1970) | STUDIOS MARBLE CRAFT (1973) | ASPEN STUDIOS (1974) | THIXON CCRPCRATION (1974) | ADDISON CONSOLIDATED ENGINEERS (1980) | NEILS MILLWORK (1983) | LABOR SAVING DEVICES (1990)</t>
  </si>
  <si>
    <t xml:space="preserve">TOP NOTCH AUTOMOTIVE RECONDITIONING LLC [FRS; 2 m]</t>
  </si>
  <si>
    <t xml:space="preserve">PAPPAS PAINTING [FRS; 2 m]</t>
  </si>
  <si>
    <t xml:space="preserve">TOP NOTCH AUTOMOTIVE RECONDITIONING LLC</t>
  </si>
  <si>
    <t xml:space="preserve">S01089</t>
  </si>
  <si>
    <t xml:space="preserve">5891 NOLAN ST</t>
  </si>
  <si>
    <t xml:space="preserve">BLUHILL-NEVADA INC (1966; SIC 3441)</t>
  </si>
  <si>
    <t xml:space="preserve">BLUHILL-NEVADA INC (1966) | BLUHILL FOODS (1968)</t>
  </si>
  <si>
    <t xml:space="preserve">ARVADA TREATMENT CENTER LLC [CDPHE RCRA; 78 m] | ARVADA TREATMENT CENTER LLC [FRS; 78 m] | LECTRA PRODUCTS [FRS; 116 m] | BORN AGAIN CABINETS [FRS; 140 m] | FEDEX WHHA [FRS; 140 m] | COLORADO CIRCUITS [FRS; 167 m] | WADSWORTH CONTROL SYSTEMS INC [FRS; 182 m] | BARBER - NICHOLS INC [CDPHE RCRA; 183 m] | ROCKY MOUNTAIN ANALYTICAL LABORATORY [FRS; 183 m] | THE KING'S GARAGE INC [FRS; 188 m] | ENVIRON</t>
  </si>
  <si>
    <t xml:space="preserve">ARVADA TREATMENT CENTER LLC [FRS; 78 m] | S P C [FRS; 129 m] | SCHMIDT PRODUCTS CO [FRS; 129 m] | FENIMORE DRYWALL INC [FRS; 152 m] | MARSHALL HOMES [FRS; 157 m] | CHEVRON U.S.A. PRODUCTION CO [FRS; 183 m] | MCGOVERNS GRAPHIC SERVICE [FRS; 203 m] | SOLANA OLDE TOWN STATION [FRS; 245 m]</t>
  </si>
  <si>
    <t xml:space="preserve">S01093</t>
  </si>
  <si>
    <t xml:space="preserve">5879 W 58TH AVE</t>
  </si>
  <si>
    <t xml:space="preserve">ROYAL METAL PRODUCTS INC (1966-1973; SIC 3441) | ROYAL METAL PRODUCTS INC ADVANCED ALUMINUM ENG CO (1967; SIC 3444) | ROYAL METAL FROCUCTS INC (1968; SIC 3444,2391)</t>
  </si>
  <si>
    <t xml:space="preserve">ROYAL METAL PRODUCTS INC (1966) | ROYAL METAL PRODUCTS INC ADVANCED ALUMINUM ENG CO (1967) | ROYAL METAL FROCUCTS INC (1968) | BARONE INC 3442 METAL DOORS, SASH» AND TRIM (1973)</t>
  </si>
  <si>
    <t xml:space="preserve">BARONE INC [FRS] (address match) | BARONE INC [CDPHE RCRA] (address match)</t>
  </si>
  <si>
    <t xml:space="preserve">RMCAT ENVIRONMENTAL SERVICES INC</t>
  </si>
  <si>
    <t xml:space="preserve">S01107</t>
  </si>
  <si>
    <t xml:space="preserve">10060 W 27TH AVE</t>
  </si>
  <si>
    <t xml:space="preserve">KNUDSON ENTERPRISES (1966; SIC 3441)</t>
  </si>
  <si>
    <t xml:space="preserve">KNUDSON ENTERPRISES (1966) | CAPITAL LITHO INC (1973) | CAPITAL LITHO INC (1983)</t>
  </si>
  <si>
    <t xml:space="preserve">PARAMOUNT HGTS 66 SERVICE [FRS; 11 m]</t>
  </si>
  <si>
    <t xml:space="preserve">STINKER STORES - STINKER #339 [FRS; 11 m]</t>
  </si>
  <si>
    <t xml:space="preserve">PARAMOUNT HGTS 66 SERVICE</t>
  </si>
  <si>
    <t xml:space="preserve">S01109</t>
  </si>
  <si>
    <t xml:space="preserve">1530 CARR</t>
  </si>
  <si>
    <t xml:space="preserve">MARBLE CRAFT (1974; SIC 3079)</t>
  </si>
  <si>
    <t xml:space="preserve">MARTIN MEAT CO INC (1966) | MARBLE CRAFT (1974)</t>
  </si>
  <si>
    <t xml:space="preserve">LAKEWOOD ENDOSCOPY CENTER [CDPHE RCRA; 2 m] | GERBER COLLISON &amp; GLASS [CDPHE RCRA; 2 m] | WALMART SUPERCENTER #2125 [CDPHE RCRA; 2 m] | AUTOZONE #803 [CDPHE RCRA; 2 m] | FAMILY DOLLAR #2804 [CDPHE RCRA; 2 m] | WESTERN HILLS HEALTHCARE CENTER [CDPHE RCRA; 4 m] | YOUR PREFERRED CLEANERS [FRS; 30 m] | ATLAS HEATING SERVICE [FRS; 36 m] | FAMILY DOLLAR #7218 [FRS; 42 m] | ROTH JERRY ISUZU KIA  VW [FRS;</t>
  </si>
  <si>
    <t xml:space="preserve">JERRY ROTH CHEVROLET INC [FRS; 98 m] | COYOTE MOTEL-GOLD DUST LODGE WTP [FRS; 113 m] | EEM CONSULTING [FRS; 128 m]</t>
  </si>
  <si>
    <t xml:space="preserve">LAKEWOOD ENDOSCOPY CENTER</t>
  </si>
  <si>
    <t xml:space="preserve">S01116</t>
  </si>
  <si>
    <t xml:space="preserve">902 11TH</t>
  </si>
  <si>
    <t xml:space="preserve">JEFFCO PUBLICATIONS (1967; SIC 2711,3444) | BULLION MANAGEMENT CO» INC (1983; SIC 3356)</t>
  </si>
  <si>
    <t xml:space="preserve">GOLDEN OUTLOOK (1966) | JEFFCO PUBLICATIONS (1967) | BULLION MANAGEMENT CO» INC (1983)</t>
  </si>
  <si>
    <t xml:space="preserve">GOLDEN COIN OP LAUNDRY AND DRY CLEANER [FRS; 28 m]</t>
  </si>
  <si>
    <t xml:space="preserve">GOLDEN COIN OP LAUNDRY AND DRY CLEANER</t>
  </si>
  <si>
    <t xml:space="preserve">S01121</t>
  </si>
  <si>
    <t xml:space="preserve">15860 W 5TH AVE</t>
  </si>
  <si>
    <t xml:space="preserve">1966;1967;1968;1973;1974;1983;1988;1990</t>
  </si>
  <si>
    <t xml:space="preserve">SPEEDSTER INC SALES + SERVICE (1966-1968; SIC 3589) | UPTIME CORPCRATION (1967; SIC 3571) | MARKET MAKERS LTD (1973; SIC 3585,3949) |  (1974; SIC 3585) | GOLDEN TOOL + MACHINE CO INC (1983; SIC 3499,3599) | INTERNATIONAL BINDING CORP. (1983; SIC 3079,3579) | TAPES INTER-BINDING CO (1988; SIC 3089,3879) | MOUNTAIN CABLE INDUSTRIES INC (1988; SIC 3577) | MOUNTAIN CABLE INDUSTRIES INC (1990; SIC 3577,3613)</t>
  </si>
  <si>
    <t xml:space="preserve">SPEEDSTER INC SALES + SERVICE (1966) | UPTIME CORPCRATION (1967) | MARKET MAKERS LTD (1973) |  (1974) | UOVELIGHE CREATIONS, INC. (1980) | COLORADO ELECTRIC COIL MFG (1983) | CORK SPECIALTY CO (1983) | GOLDEN TOOL + MACHINE CO INC (1983) | INTERNATIONAL BINDING CORP. (1983) | Pp -T TEMPLET CO (1983) | TAPES INTER-BINDING CO (1988) | MOUNTAIN CABLE INDUSTRIES INC (1988) | WINDOVATIONS INC (1988) | MOUNTAIN CABLE INDUSTRIES INC (1990)</t>
  </si>
  <si>
    <t xml:space="preserve">COLORADO ELECTRIC COIL INC [FRS; name match, 41 m] | P-T TEMPLET CO [FRS; name match, 106 m] | XRAL LABORATORIES [FRS; 12 m] | MARTINS AUTOWORKS [FRS; 16 m] | BRITE-LINE INDUSTRIES INC [FRS; 21 m] | COMMERCIAL TESTING &amp; ENG [FRS; 38 m] | P-T TEMPLET CO [FRS] (address match)</t>
  </si>
  <si>
    <t xml:space="preserve">WINDOVATIONS INC [FRS; name match, 143 m] | ROCKY MOUNTAIN REFINISHERS [FRS; 19 m] | ADVANCED FURNITURE RESTORATION [FRS; 19 m] | FOOTHILLS POWDER COATING [FRS; 21 m]</t>
  </si>
  <si>
    <t xml:space="preserve">XRAL LABORATORIES</t>
  </si>
  <si>
    <t xml:space="preserve">S01565</t>
  </si>
  <si>
    <t xml:space="preserve">256 S PIERCE</t>
  </si>
  <si>
    <t xml:space="preserve">MID-CONTINENT MFG CO (1967; SIC 2511,3444,2015)</t>
  </si>
  <si>
    <t xml:space="preserve">MID-CONTINENT MFG CO (1967) | BC PRINTING INC (1988)</t>
  </si>
  <si>
    <t xml:space="preserve">BC PRINTING INCORPORATED [FRS; name match, 145 m]</t>
  </si>
  <si>
    <t xml:space="preserve">NISSEN CUSTOM UPHOLSTERY [FRS; 7 m]</t>
  </si>
  <si>
    <t xml:space="preserve">PICKERING AUTO INC.</t>
  </si>
  <si>
    <t xml:space="preserve">S01570</t>
  </si>
  <si>
    <t xml:space="preserve">420 ORCHARD</t>
  </si>
  <si>
    <t xml:space="preserve">GREEN MOUNTAIN CAMPER MFG (1967; SIC 3714,3791) | ADVANCED COMPOSITE TECHNOLOGY INC (1988; SIC 3714,3728,3949)</t>
  </si>
  <si>
    <t xml:space="preserve">GREEN MOUNTAIN CAMPER MFG (1967) | ADVANCED COMPOSITE TECHNOLOGY INC (1988)</t>
  </si>
  <si>
    <t xml:space="preserve">KAIZEN AUTO CARE - GOLDEN [FRS; 46 m]</t>
  </si>
  <si>
    <t xml:space="preserve">EDS WASTE GOLDEN FACILITY [FRS; 15 m] | ALLIED WASTE TRANSPORTATION GOLDEN [FRS; 15 m]</t>
  </si>
  <si>
    <t xml:space="preserve">S01876</t>
  </si>
  <si>
    <t xml:space="preserve">9549 25TH AVE</t>
  </si>
  <si>
    <t xml:space="preserve">CCLORADCG CONVEYOR CO (1968; SIC 3535)</t>
  </si>
  <si>
    <t xml:space="preserve">CCLORADCG CONVEYOR CO (1968)</t>
  </si>
  <si>
    <t xml:space="preserve">U S DRUG ENFORCEMENT ADMIN [FRS; 7 m]</t>
  </si>
  <si>
    <t xml:space="preserve">S01879</t>
  </si>
  <si>
    <t xml:space="preserve">100 S UNION BLVO</t>
  </si>
  <si>
    <t xml:space="preserve">ROCKY MOUNTAIN FABRICATORS (1968-1970; SIC 3441)</t>
  </si>
  <si>
    <t xml:space="preserve">ROCKY MOUNTAIN FABRICATORS (1968) | CREATIVE STAINED GLASS (1990) | MOLFTRON CO INC (1990)</t>
  </si>
  <si>
    <t xml:space="preserve">AA LAUNDRY AND CLEANERS [FRS; 29 m] | G.B.C. INC [FRS; 50 m]</t>
  </si>
  <si>
    <t xml:space="preserve">AA LAUNDRY AND CLEANERS</t>
  </si>
  <si>
    <t xml:space="preserve">S01886</t>
  </si>
  <si>
    <t xml:space="preserve">1615 REED ST</t>
  </si>
  <si>
    <t xml:space="preserve">1968;1970;1973;1974;1977;1980;1983</t>
  </si>
  <si>
    <t xml:space="preserve">LAKEWOOD WELCING + IRCN» INC (1968-1970; SIC 3441,3591) | ZOT MANUFACTURING (1973-1977; SIC 3069,3949) | PRECISION METAL FABRICATORS, INC. (1973-1974; SIC 3441,3535,3591) | ZOT MANUFACTURING (1974; SIC 3069,3949,3499) | EMCO MACHINE PRODUCTS» INC. (1974-1977; SIC 3599,3555) | CENTURY DYNAMEC*S CORP. (1980; SIC 3544,3599) | AMERICAN WOOD PRODUCTS CO (1983; SIC 2434,3444)</t>
  </si>
  <si>
    <t xml:space="preserve">LAKEWOOD WELCING + IRCN» INC (1968) | ZOT MANUFACTURING (1973) | PRECISION METAL FABRICATORS, INC. (1973) | ZOT MANUFACTURING (1974) | EMCO MACHINE PRODUCTS» INC. (1974) | CENTURY DYNAMEC*S CORP. (1980) | AMERICAN WOOD PRODUCTS CO (1983)</t>
  </si>
  <si>
    <t xml:space="preserve">MASTER CRAFT AUTOMOTIVE INC [FRS; 3 m] | MASTER CRAFT AUTOMOTIVE INC [FRS] (address match)</t>
  </si>
  <si>
    <t xml:space="preserve">Your One Hour Cleaners</t>
  </si>
  <si>
    <t xml:space="preserve">MASTER CRAFT AUTOMOTIVE INC</t>
  </si>
  <si>
    <t xml:space="preserve">S02132</t>
  </si>
  <si>
    <t xml:space="preserve">190 S UNION</t>
  </si>
  <si>
    <t xml:space="preserve">1970;1973;1974;1977;1983;1990</t>
  </si>
  <si>
    <t xml:space="preserve">STERLING INDUSTRIES INC (1970; SIC 3449) | STERLING INDUSTRIES INC (1973; SIC 3449) | G BC INC (1974-1977; SIC 3551,3449,3469) | 66 Cc INC (1983; SIC 3551,3569,3599) | COMPACTION SPECIALIST INC (1990; SIC 3531) | GBC INC (1990; SIC 3556,3569,3599)</t>
  </si>
  <si>
    <t xml:space="preserve">STERLING INDUSTRIES INC (1970) | STERLING INDUSTRIES INC (1973) | G BC INC (1974) | BROOK TROUT PRESS (1983) | 66 Cc INC (1983) | COMPACTION SPECIALIST INC (1990) | GBC INC (1990)</t>
  </si>
  <si>
    <t xml:space="preserve">G.B.C. INC [FRS; name match, 146 m]</t>
  </si>
  <si>
    <t xml:space="preserve">DILLON COMPANIES - KING SOOPERS  #640 [FRS; 23 m] | CEDAR LAKEWOOD - EVERYDAY 5714 [FRS; 43 m] | AMOCO GAS STA NO 32014 [FRS; 50 m]</t>
  </si>
  <si>
    <t xml:space="preserve">GREEN MT FAMLIY CLEANERS &amp; LAUNDRY</t>
  </si>
  <si>
    <t xml:space="preserve">S02136</t>
  </si>
  <si>
    <t xml:space="preserve">4322 WADSWORTH BLVD</t>
  </si>
  <si>
    <t xml:space="preserve">STARBUCK KUSTOM BOATS + PRODUCTS (1970; SIC 3732,3714,3711)</t>
  </si>
  <si>
    <t xml:space="preserve">STARBUCK KUSTOM BOATS + PRODUCTS (1970) | A + A PRINTING LTD (1973) | ACE PRINTING (1977)</t>
  </si>
  <si>
    <t xml:space="preserve">SHERWIN-WILLIAMS CO [FRS; 29 m]</t>
  </si>
  <si>
    <t xml:space="preserve">WHEAT RIDGE 44TH &amp; WADSWORTH</t>
  </si>
  <si>
    <t xml:space="preserve">S02182</t>
  </si>
  <si>
    <t xml:space="preserve">4787 W 58TH AVE</t>
  </si>
  <si>
    <t xml:space="preserve">THE JAUNTER CORPORATION (1973; SIC 3792)</t>
  </si>
  <si>
    <t xml:space="preserve">THE JAUNTER CORPORATION (1973)</t>
  </si>
  <si>
    <t xml:space="preserve">BRENNTAG PACIFIC LLC [CDPHE RCRA; 20 m]</t>
  </si>
  <si>
    <t xml:space="preserve">BRENNTAG PACIFIC LLC</t>
  </si>
  <si>
    <t xml:space="preserve">S02221</t>
  </si>
  <si>
    <t xml:space="preserve">5952 SHERIDAN BLVD</t>
  </si>
  <si>
    <t xml:space="preserve">WOODCRAFT ARTS (1977; SIC 3993,2499,3231) | FABRICATION SPECIALTIES INC (1980-1983; SIC 3441,3599,3079) | LYNCH MANUFACTURING (1980; SIC 3799) | ALL PURPOSE PLASTICS CO (1990-1992; SIC 3089,3479)</t>
  </si>
  <si>
    <t xml:space="preserve">CIRCUIT AUTOMATION R + D INC (1973) | ALL PURPGSE AUTO TRIM INC (1977) | TUMBLEWEED PRESS (1977) | WOODCRAFT ARTS (1977) | CENTRAL TIE SERVICE INC. (1980) | FABRICATION SPECIALTIES INC (1980) | LYNCH MANUFACTURING (1980) | CENTRAL EQUIP + SUPPLY DISTRIB CO INC (1983) | ALL PURPOSE PLASTICS CO (1990) | SUPERIOR FLY PRODUCTS (1990)</t>
  </si>
  <si>
    <t xml:space="preserve">SALCO [FRS; 66 m] | QUALITY SURFACE OF METRO DENVER [FRS; 67 m]</t>
  </si>
  <si>
    <t xml:space="preserve">SALCO</t>
  </si>
  <si>
    <t xml:space="preserve">S02426</t>
  </si>
  <si>
    <t xml:space="preserve">345 SHERIDAN</t>
  </si>
  <si>
    <t xml:space="preserve">COAST TO COAST MFG. CO (1973; SIC 3792,3714,3443)</t>
  </si>
  <si>
    <t xml:space="preserve">COAST TO COAST MFG. CO (1973)</t>
  </si>
  <si>
    <t xml:space="preserve">DYNALECTRIC COMPANY [FRS; 7 m] | SANDRA LUBY [FRS; 39 m]</t>
  </si>
  <si>
    <t xml:space="preserve">DYNALECTRIC COMPANY</t>
  </si>
  <si>
    <t xml:space="preserve">S02609</t>
  </si>
  <si>
    <t xml:space="preserve">3278 S WADSWORTH BLVD</t>
  </si>
  <si>
    <t xml:space="preserve">MERIDAN BIO-MEDICAL INC (1974-1977; SIC 2831)</t>
  </si>
  <si>
    <t xml:space="preserve">MERIDAN BIO-MEDICAL INC (1973) | POSTAL INSTANT PRESS 847 (1988)</t>
  </si>
  <si>
    <t xml:space="preserve">MISSION TRACE CLEANERS [FRS; 36 m]</t>
  </si>
  <si>
    <t xml:space="preserve">CENTURA EMERGENCY DEPT LAKEWOOD [FRS; 11 m]</t>
  </si>
  <si>
    <t xml:space="preserve">MISSION TRACE CLEANERS</t>
  </si>
  <si>
    <t xml:space="preserve">S02610</t>
  </si>
  <si>
    <t xml:space="preserve">1620 TELLER</t>
  </si>
  <si>
    <t xml:space="preserve">1973;1974;1977;1983;1990;1992</t>
  </si>
  <si>
    <t xml:space="preserve">RAM BOAT CO (1973-1992; SIC 3732)</t>
  </si>
  <si>
    <t xml:space="preserve">RAM BOAT CO (1973)</t>
  </si>
  <si>
    <t xml:space="preserve">DILLIGAFF, INC. DBA PERRY &amp; TERRY AUTO B [FRS; 37 m]</t>
  </si>
  <si>
    <t xml:space="preserve">DILLIGAFF, INC. DBA PERRY &amp; TERRY AUTO B</t>
  </si>
  <si>
    <t xml:space="preserve">S02630</t>
  </si>
  <si>
    <t xml:space="preserve">4835 VAN GORDON ST</t>
  </si>
  <si>
    <t xml:space="preserve">ALPINE ENGINEERING CO (1973-1974; SIC 3544) | ALPHA TOOL GRINDING (1977; SIC 3541) | COLORADO STEEL IVC (1977-1990; SIC 3441,3446) | FOSS MACHINING INC (1980; SIC 3599)</t>
  </si>
  <si>
    <t xml:space="preserve">ALPINE ENGINEERING CO (1973) | CREATIONS UNLIMITED (1973) | ALPHA TOOL GRINDING (1977) | COLORADO STEEL IVC (1977) | FOSS MACHINING INC (1980)</t>
  </si>
  <si>
    <t xml:space="preserve">COLORADO STEEL INCORPORATED [FRS; name match, 82 m] | COLORADO STEEL INC [CDPHE RCRA; name match, 113 m]</t>
  </si>
  <si>
    <t xml:space="preserve">COLORADO STEEL INC [FRS; name match, 82 m]</t>
  </si>
  <si>
    <t xml:space="preserve">DECALS INC</t>
  </si>
  <si>
    <t xml:space="preserve">COLORADO STEEL INCORPORATED</t>
  </si>
  <si>
    <t xml:space="preserve">S02634</t>
  </si>
  <si>
    <t xml:space="preserve">12275 WW 48TH</t>
  </si>
  <si>
    <t xml:space="preserve">ECONOMY MFG CO (1973-1974; SIC 3589)</t>
  </si>
  <si>
    <t xml:space="preserve">ECONOMY MFG CO (1973)</t>
  </si>
  <si>
    <t xml:space="preserve">BESMIR - BMR AUTO [FRS; 8 m] | GOBI ANALYTICAL [FRS; 24 m]</t>
  </si>
  <si>
    <t xml:space="preserve">BESMIR - BMR AUTO</t>
  </si>
  <si>
    <t xml:space="preserve">S02637</t>
  </si>
  <si>
    <t xml:space="preserve">11771 W 49TH</t>
  </si>
  <si>
    <t xml:space="preserve">MIR-MAR CORP (1973-1974; SIC 3079)</t>
  </si>
  <si>
    <t xml:space="preserve">MIR-MAR CORP (1973) | MIR-MAR CULTURED MARBLE PRODUCTS (1977)</t>
  </si>
  <si>
    <t xml:space="preserve">MAR-PRO [FRS] (address match)</t>
  </si>
  <si>
    <t xml:space="preserve">MOUNTAIN VISTA HEALTH CENTER</t>
  </si>
  <si>
    <t xml:space="preserve">S03055</t>
  </si>
  <si>
    <t xml:space="preserve">5612 KENDALL CT SUITE 8</t>
  </si>
  <si>
    <t xml:space="preserve">1974;1980;1983;1992</t>
  </si>
  <si>
    <t xml:space="preserve">AIR-ELECTRO PANELS INC ™ GINSBURG PRES (1974; SIC 3444,3622) | TRADEMARK INDUSTRIES INC (1980; SIC 3079,2541) | JAY BEE ENGINEERING INC. (1983; SIC 3079,3599) | FRIELS IRON PRODUCTS (1992; SIC 3442,3599,2782) | ‘SWISS-LENOX INC (1992; SIC 3471,3479,2013)</t>
  </si>
  <si>
    <t xml:space="preserve">AIR-ELECTRO PANELS INC ™ GINSBURG PRES (1974) | SANI-PUFF PILLOWS (1977) | A-«K INDUSTRIES INC (1977) | TRADEMARK GRAPHICS INC (1977) | TRADEMARK INDUSTRIES INC (1980) | JAY BEE ENGINEERING INC. (1983) | FRIELS IRON PRODUCTS (1992) | ‘SWISS-LENOX INC (1992)</t>
  </si>
  <si>
    <t xml:space="preserve">SWISS LENOX [FRS; name match, 53 m] | SOILS &amp; MATERIALS CONSULTANTS [FRS; 13 m] | LK PRINTING [FRS; 46 m] | ARVADA AUTO BODY INC [CDPHE RCRA; 53 m] | SAS FLIGHT FACTORY [CDPHE RCRA; 53 m] | ALPINE PRINTING CORP [CDPHE RCRA; 53 m] | LK PRINTING [CDPHE RCRA; 56 m] | KAIZEN COLLISION CENTER - ARVADA [CDPHE RCRA; 56 m] | FEDERAL EXPRESS CORPORATION [CDPHE RCRA; 56 m] | ALPINE DEMOLITION AND RECYCLING </t>
  </si>
  <si>
    <t xml:space="preserve">MILE-HI MACHINE, INC. [FRS; 41 m] | R GOODS AUTOWORKS - ARVADA [FRS; 46 m]</t>
  </si>
  <si>
    <t xml:space="preserve">SOILS &amp; MATERIALS CONSULTANTS</t>
  </si>
  <si>
    <t xml:space="preserve">S03057</t>
  </si>
  <si>
    <t xml:space="preserve">6827 W 96TH AVE</t>
  </si>
  <si>
    <t xml:space="preserve">UECTRA PRODUCTS CO (1980; SIC 3429)</t>
  </si>
  <si>
    <t xml:space="preserve">COLORADO CIRCUITS CORP H IT OWENS PRES (1974) |  (1977) | UECTRA PRODUCTS CO (1980)</t>
  </si>
  <si>
    <t xml:space="preserve">MANDALAY MIDDLE SCHOOL [FRS; 75 m]</t>
  </si>
  <si>
    <t xml:space="preserve">MANDALAY MIDDLE SCHOOL</t>
  </si>
  <si>
    <t xml:space="preserve">S03060</t>
  </si>
  <si>
    <t xml:space="preserve">5475 HARLAN</t>
  </si>
  <si>
    <t xml:space="preserve">HARTMEISTER MACHINE WORKS (1974; SIC 3599) | AUTOMATED CONTROLS INC (1977-1983; SIC 3823,3622,3829) | - HARTMEISTER MACHINE WORKS 2752 COMMERCIAL PRINTING, LITHOGRAPHIC (1977; SIC 3599) | MACKENZIE'S MERIT TOOL CO. (1983; SIC 3599,3544)</t>
  </si>
  <si>
    <t xml:space="preserve">HARTMEISTER MACHINE WORKS (1974) | AUTOMATED CONTROLS INC (1977) | - HARTMEISTER MACHINE WORKS 2752 COMMERCIAL PRINTING, LITHOGRAPHIC (1977) | MACKENZIE'S MERIT TOOL CO. (1983) | JOHNSON MACHINE (1990)</t>
  </si>
  <si>
    <t xml:space="preserve">SUSTAINABILITY [FRS; 42 m]</t>
  </si>
  <si>
    <t xml:space="preserve">ELEVADO ESTATES LLC [FRS; 17 m] | PERMAGREEN PRODUCTS [FRS; 51 m]</t>
  </si>
  <si>
    <t xml:space="preserve">SIGMAN MEAT COMPANY</t>
  </si>
  <si>
    <t xml:space="preserve">SUSTAINABILITY</t>
  </si>
  <si>
    <t xml:space="preserve">S03063</t>
  </si>
  <si>
    <t xml:space="preserve">6611 W 96TH PL</t>
  </si>
  <si>
    <t xml:space="preserve">THORO PRODUCTS CO (1974; SIC 2842,2899)</t>
  </si>
  <si>
    <t xml:space="preserve">THORO PRODUCTS CO (1974)</t>
  </si>
  <si>
    <t xml:space="preserve">MANDALAY MIDDLE SCHOOL [FRS; 155 m]</t>
  </si>
  <si>
    <t xml:space="preserve">KITTY &amp; CO. [FRS; 93 m]</t>
  </si>
  <si>
    <t xml:space="preserve">S03067</t>
  </si>
  <si>
    <t xml:space="preserve">11111 W 8TH AVE</t>
  </si>
  <si>
    <t xml:space="preserve">NATLONAL EQUIPMENT CORPORATION (1974; SIC 3589,3711)</t>
  </si>
  <si>
    <t xml:space="preserve">NATLONAL EQUIPMENT CORPORATION (1974) | ROCKY MOUNTAIN BANK NCTE CO (1974)</t>
  </si>
  <si>
    <t xml:space="preserve">AVANT SYSTEMS INC [FRS; 20 m] | JOHN H HARLAND CO [FRS; 45 m]</t>
  </si>
  <si>
    <t xml:space="preserve">ROCKY MOUNTAIN BANK NOTE/JOHN HARLAN CO. [FRS; name match, 45 m] | EXEMPLA HEALTHCARE- DATA CENTER [FRS; 45 m] | TK MORRISON CONSTRUCTION LLC [FRS; 45 m]</t>
  </si>
  <si>
    <t xml:space="preserve">NPS-DENVER SERVICE CENTER</t>
  </si>
  <si>
    <t xml:space="preserve">PLASTRON LAKEWOOD</t>
  </si>
  <si>
    <t xml:space="preserve">AVANT SYSTEMS INC</t>
  </si>
  <si>
    <t xml:space="preserve">S03092</t>
  </si>
  <si>
    <t xml:space="preserve">12750 W 42ND AVE</t>
  </si>
  <si>
    <t xml:space="preserve">BIOGEN INC (1974-1977; SIC 2831) | SMITH, PAUL Ay LAB ( (1974; SIC 2831) | PASCO LABORATORIES INC (1977-1992; SIC 2831)</t>
  </si>
  <si>
    <t xml:space="preserve">BIOGEN INC (1974) | SMITH, PAUL Ay LAB ( (1974) | PASCO LABORATORIES INC (1977)</t>
  </si>
  <si>
    <t xml:space="preserve">PASCO LABS [FRS; 15 m] | PASCO LABS [FRS] (address match) | PASCO LABS [CDPHE RCRA] (address match)</t>
  </si>
  <si>
    <t xml:space="preserve">PASCO LABS</t>
  </si>
  <si>
    <t xml:space="preserve">S03097</t>
  </si>
  <si>
    <t xml:space="preserve">11437 W 48TH AVE</t>
  </si>
  <si>
    <t xml:space="preserve">CONTAINER TECHNOLOGY CORPORATION (1983; SIC 3551) | WILOLIFE VACCINES INC (1983; SIC 2831) | IMMUNOVET INC (1988; SIC 2833) | INTERPRETER INC (1988-1990; SIC 3577)</t>
  </si>
  <si>
    <t xml:space="preserve">SYSTEMS ENGINEERING ASSOCIATES (1974) | DUCA RICHARDSON CORP (1977) | WILOLIFE VACCINES INC (1980) | CONTAINER TECHNOLOGY CORPORATION (1983) | IMMUNOVET INC (1988) | INTERPRETER INC (1988) | SUN CO INC (1988) | HYDRO-PETRO TECHNOLOGY INC (1990)</t>
  </si>
  <si>
    <t xml:space="preserve">USA RARE EARTH [FRS; 41 m] | CALIBER BODYWORKS -WHEAT RIDGE - ROBB ST [FRS; 58 m]</t>
  </si>
  <si>
    <t xml:space="preserve">ALPINE WINDOW AND DOOR [FRS; 34 m]</t>
  </si>
  <si>
    <t xml:space="preserve">USA RARE EARTH</t>
  </si>
  <si>
    <t xml:space="preserve">S03425</t>
  </si>
  <si>
    <t xml:space="preserve">5541 MARSHALL ST</t>
  </si>
  <si>
    <t xml:space="preserve">WADSWORTH CONTROL SYSTEM INC (1980-1990; SIC 3822,3566) | HEINRICH MARKETING (1983; SIC 3079,3993)</t>
  </si>
  <si>
    <t xml:space="preserve">WADSWORTH CONTROL SYSTEM INC (1977) | HEINRICH MARKETING (1983) | PRINTING HOUSE (1983)</t>
  </si>
  <si>
    <t xml:space="preserve">WADSWORTH CONTROL SYSTEMS INC [FRS; name match, 21 m] | ROCKY MOUNTAIN ANALYTICAL LABORATORY [FRS; 11 m] | ENVIRONMENTAL RESOURCE ASSOC [FRS; 42 m] | WADSWORTH CONTROL SYSTEMS INC [FRS] (address match) | WADSWORTH CONTROL SYSTEMS  [CDPHE RCRA] (address match)</t>
  </si>
  <si>
    <t xml:space="preserve">CHEVRON U.S.A. PRODUCTION CO [FRS; 11 m]</t>
  </si>
  <si>
    <t xml:space="preserve">ROCKY MOUNTAIN ANALYTICAL LABORATORY</t>
  </si>
  <si>
    <t xml:space="preserve">S03426</t>
  </si>
  <si>
    <t xml:space="preserve">5583 GRAY ST</t>
  </si>
  <si>
    <t xml:space="preserve">WOODLAND PLASTICS INC (1977; SIC 3544,3079) | @RVADA ALAONECS, INCZ (1980; SIC 3569) | MIG-WEST MACHINE PRODUCTS, INC (1980-1983; SIC 3444,3599,2499) | PREMIER MANUFACTURING OF ARVADA (1980; SIC 3544,3497,3999)</t>
  </si>
  <si>
    <t xml:space="preserve"> (1977) | TELL-RAY INC (1977) | WOODLAND PLASTICS INC (1977) | @RVADA ALAONECS, INCZ (1980) | MIG-WEST MACHINE PRODUCTS, INC (1980) | PREMIER MANUFACTURING OF ARVADA (1980) | SCOTT ORTHOTIC LABS INC (1990)</t>
  </si>
  <si>
    <t xml:space="preserve">DENA GRAPHICS [FRS; 23 m] | PPG INDUSTRIES-PACKAGING INK PLANT [FRS; 27 m]</t>
  </si>
  <si>
    <t xml:space="preserve">Tower Three, LLC</t>
  </si>
  <si>
    <t xml:space="preserve">DENA GRAPHICS</t>
  </si>
  <si>
    <t xml:space="preserve">S03437</t>
  </si>
  <si>
    <t xml:space="preserve">12340 W CEDAR OR</t>
  </si>
  <si>
    <t xml:space="preserve">DENVER DIE MOLD INC (1977-1980; SIC 3079) | DENVER OIE MOLD INC (1983; SIC 3079) | M+S MOLDING (1990; SIC 3089)</t>
  </si>
  <si>
    <t xml:space="preserve">DENVER DIE MOLD INC (1977) | DENVER OIE MOLD INC (1983) | M+S MOLDING (1990)</t>
  </si>
  <si>
    <t xml:space="preserve">MARTIN'S AUTOWORKS INC [FRS; 1 m] | CARS COLLISION CENTER 20 [FRS; 30 m]</t>
  </si>
  <si>
    <t xml:space="preserve">ROCKY MT BANDAG    (DELETED) [FRS; 1 m] | ALL COUNTY SUMMIT [FRS; 11 m] | BUILD3 [FRS; 11 m] | HIMMELMAN CONSTRUCTION [FRS; 29 m]</t>
  </si>
  <si>
    <t xml:space="preserve">MARTIN'S AUTOWORKS INC</t>
  </si>
  <si>
    <t xml:space="preserve">S03556</t>
  </si>
  <si>
    <t xml:space="preserve">6395 W 56TH AVE</t>
  </si>
  <si>
    <t xml:space="preserve">MILE“HE MACHINE INCORPORATED (1980-1990; SIC 3544,3599)</t>
  </si>
  <si>
    <t xml:space="preserve">MILE“HE MACHINE INCORPORATED (1980)</t>
  </si>
  <si>
    <t xml:space="preserve">JAMES DRILLING COMPANY [FRS; 15 m] | LK PRINTING [CDPHE RCRA; 16 m] | KAIZEN COLLISION CENTER - ARVADA [CDPHE RCRA; 16 m] | ALPINE DEMOLITION AND RECYCLING LLC [CDPHE RCRA; 16 m] | FEDERAL EXPRESS CORPORATION [CDPHE RCRA; 16 m] | LK PRINTING [FRS; 27 m]</t>
  </si>
  <si>
    <t xml:space="preserve">MILE-HI MACHINE, INC. [FRS; name match, 104 m] | BARBER NICHOLS BUILDING #10 [FRS; 19 m] | R GOODS AUTOWORKS - ARVADA [FRS; 27 m] | MILE-HI MACHINE, INC. [FRS] (address match)</t>
  </si>
  <si>
    <t xml:space="preserve">JAMES DRILLING COMPANY</t>
  </si>
  <si>
    <t xml:space="preserve">S03843</t>
  </si>
  <si>
    <t xml:space="preserve">1448 ESTES</t>
  </si>
  <si>
    <t xml:space="preserve">ALF PROOUCTS (1980; SIC 3651,3573)</t>
  </si>
  <si>
    <t xml:space="preserve">ALF PROOUCTS (1980)</t>
  </si>
  <si>
    <t xml:space="preserve">CENIKO FOUNDATION [FRS; 29 m]</t>
  </si>
  <si>
    <t xml:space="preserve">CENIKO FOUNDATION</t>
  </si>
  <si>
    <t xml:space="preserve">S04168</t>
  </si>
  <si>
    <t xml:space="preserve">475 HARLAN</t>
  </si>
  <si>
    <t xml:space="preserve">HARTMEISTER MACHINE WORKS (1980; SIC 3599,3544)</t>
  </si>
  <si>
    <t xml:space="preserve">HARTMEISTER MACHINE WORKS (1980)</t>
  </si>
  <si>
    <t xml:space="preserve">U S DRUG ENFORCEMENT ADMIN [FRS; 154 m]</t>
  </si>
  <si>
    <t xml:space="preserve">ASP INC [FRS; 62 m]</t>
  </si>
  <si>
    <t xml:space="preserve">S04169</t>
  </si>
  <si>
    <t xml:space="preserve">6385 W 92ND AVE</t>
  </si>
  <si>
    <t xml:space="preserve">HIEGRATH « ANDREWS CORPORATION (1980; SIC 3576)</t>
  </si>
  <si>
    <t xml:space="preserve">HIEGRATH « ANDREWS CORPORATION (1980)</t>
  </si>
  <si>
    <t xml:space="preserve">COSTCO WHOLESALE NUMBER 440 [FRS; 41 m] | INSULATION TECHNOLOGY CORP [FRS; 158 m]</t>
  </si>
  <si>
    <t xml:space="preserve">COSTCO WHOLESALE NUMBER 440</t>
  </si>
  <si>
    <t xml:space="preserve">S04174</t>
  </si>
  <si>
    <t xml:space="preserve">6105 W 55TH AVE</t>
  </si>
  <si>
    <t xml:space="preserve">PRECISION METAL FABRICATORS, INC. (1980-1983; SIC 3599,3535,3441) | BARBER=NICHOLS ENGINEERING CO (1983-1990; SIC 3561,3511,3462) | MEYER CONVEYAIR INC (1990; SIC 3535,3589) | BARBER-NICHOLS INC (1992; SIC 3511,3561,3566)</t>
  </si>
  <si>
    <t xml:space="preserve">PRECISION METAL FABRICATORS, INC. (1980) | BARBER=NICHOLS ENGINEERING CO (1983) | MEYER CONVEYAIR INC (1990) | PLATEN PRESS (1990) | WONDER WOODS OF COLORADO. (1990) | BARBER-NICHOLS INC (1992)</t>
  </si>
  <si>
    <t xml:space="preserve">BARBER - NICHOLS INC [FRS; name match, 99 m] | WONDER WOODS OF COLORADO, INC. [FRS; name match, 113 m]</t>
  </si>
  <si>
    <t xml:space="preserve">WASTEQUIP MANUFACTURING COMPANY</t>
  </si>
  <si>
    <t xml:space="preserve">THE KING'S GARAGE INC</t>
  </si>
  <si>
    <t xml:space="preserve">S04204</t>
  </si>
  <si>
    <t xml:space="preserve">1830 KIPLING ST SO2TS</t>
  </si>
  <si>
    <t xml:space="preserve">AW J MACHINE WORKS (1980; SIC 3599)</t>
  </si>
  <si>
    <t xml:space="preserve">AW J MACHINE WORKS (1980)</t>
  </si>
  <si>
    <t xml:space="preserve">LUBE &amp; LATTE LLC [CDPHE RCRA; 69 m]</t>
  </si>
  <si>
    <t xml:space="preserve">TWIN STAR ENERGY #018 [FRS; 233 m]</t>
  </si>
  <si>
    <t xml:space="preserve">LUBE &amp; LATTE LLC</t>
  </si>
  <si>
    <t xml:space="preserve">S04217</t>
  </si>
  <si>
    <t xml:space="preserve">833 PARFET ST</t>
  </si>
  <si>
    <t xml:space="preserve">HEADWAY INDUSTRIES INC (1980; SIC 3069)</t>
  </si>
  <si>
    <t xml:space="preserve">HEADWAY INDUSTRIES INC (1980) | POC SPAS INC (1983)</t>
  </si>
  <si>
    <t xml:space="preserve">VANTAGE BOWLING [FRS; 39 m]</t>
  </si>
  <si>
    <t xml:space="preserve">VANTAGE BOWLING</t>
  </si>
  <si>
    <t xml:space="preserve">S04218</t>
  </si>
  <si>
    <t xml:space="preserve">6701 W ALAMEDA AVE</t>
  </si>
  <si>
    <t xml:space="preserve">HOWARD MECHANICAL CO (1980-1983; SIC 3444)</t>
  </si>
  <si>
    <t xml:space="preserve">HOWARD MECHANICAL CO (1980)</t>
  </si>
  <si>
    <t xml:space="preserve">HOME DEPOT STORE #1514 [FRS] (address match) | HOME DEPOT STORE #1514 [CDPHE RCRA] (address match)</t>
  </si>
  <si>
    <t xml:space="preserve">HOME DEPOT STORE #1514</t>
  </si>
  <si>
    <t xml:space="preserve">S04229</t>
  </si>
  <si>
    <t xml:space="preserve">190 S TAFT</t>
  </si>
  <si>
    <t xml:space="preserve">BENRAY MARBLE PRODUCTS (1988; SIC 3089) | HEADWAY INDUSTRIES INC (1990; SIC 3069)</t>
  </si>
  <si>
    <t xml:space="preserve">SAN JUAN POOLS INC (1980) | BENRAY MARBLE PRODUCTS (1988) | HEADWAY INDUSTRIES INC (1990)</t>
  </si>
  <si>
    <t xml:space="preserve">HEADWAY IND INC [FRS; name match, 31 m]</t>
  </si>
  <si>
    <t xml:space="preserve">BENRAY DESIGNER MARBLE [FRS; name match, 28 m] | DESIGNER MARBLE DBA BENRAY DESIGNER MARB [FRS; name match, 28 m]</t>
  </si>
  <si>
    <t xml:space="preserve">S04231</t>
  </si>
  <si>
    <t xml:space="preserve">11005 W 9TH AVE</t>
  </si>
  <si>
    <t xml:space="preserve">THERMALEX CORP. (1980; SIC 3079)</t>
  </si>
  <si>
    <t xml:space="preserve">THERMALEX CORP. (1980)</t>
  </si>
  <si>
    <t xml:space="preserve">ADVANCED TERRA TESTING INC [FRS; 175 m]</t>
  </si>
  <si>
    <t xml:space="preserve">OAK ST TOWNHOMES [FRS; 40 m] | CITY OF LAKEWOOD PARKS DEPARTMENT [FRS; 222 m]</t>
  </si>
  <si>
    <t xml:space="preserve">ADVANCED TERRA TESTING INC</t>
  </si>
  <si>
    <t xml:space="preserve">S05000</t>
  </si>
  <si>
    <t xml:space="preserve">765 INDIAN PEAKS RD</t>
  </si>
  <si>
    <t xml:space="preserve">ALPINE RESEARCH INC (1983-1988; SIC 3949,3021,3662)</t>
  </si>
  <si>
    <t xml:space="preserve">ALPINE RESEARCH INC (1983)</t>
  </si>
  <si>
    <t xml:space="preserve">STEVINSON TOYOTA WEST [FRS; 10 m] | STEVINSON LEXUS INC [FRS; 115 m] | STEVINSON TOYOTA WEST [CDPHE RCRA; 115 m] | STEVINSON LEXUS INC [CDPHE RCRA; 115 m]</t>
  </si>
  <si>
    <t xml:space="preserve">TOTAL PETROLEUM NO 4114 [FRS; 139 m] | STEVINSON AUTOMOTIVE COMPLEX [FRS; 158 m]</t>
  </si>
  <si>
    <t xml:space="preserve">STEVINSON TOYOTA WEST</t>
  </si>
  <si>
    <t xml:space="preserve">S05018</t>
  </si>
  <si>
    <t xml:space="preserve">5756 LAMAR</t>
  </si>
  <si>
    <t xml:space="preserve">CONTINENTAL SOLAR SYSTEMS INC (1983; SIC 3433) | PANTA PRECISION, INC. (1983-1990; SIC 3444) | CREAM OF THE VALLEY PLASTICS (1990; SIC 3085) | FORD TOOL + MACHINE CO (1990; SIC 3599,3499,3469) | ARVADA, CONT. (1992; SIC 3085)</t>
  </si>
  <si>
    <t xml:space="preserve">CONTINENTAL SOLAR SYSTEMS INC (1983) | PANTA PRECISION, INC. (1983) | CREAM OF THE VALLEY PLASTICS (1990) | FORD TOOL + MACHINE CO (1990) | KD KANOPY (1990) | ARVADA, CONT. (1992)</t>
  </si>
  <si>
    <t xml:space="preserve">RMCAT ENVIRONMENTAL SERVICES INC [FRS; 2 m]</t>
  </si>
  <si>
    <t xml:space="preserve">STIMACK CONSTRUCTION COMPANY [FRS; 2 m]</t>
  </si>
  <si>
    <t xml:space="preserve">S05027</t>
  </si>
  <si>
    <t xml:space="preserve">6855 W 56TH AVE</t>
  </si>
  <si>
    <t xml:space="preserve">LECTRA PRODUCTS CO (1983; SIC 3429)</t>
  </si>
  <si>
    <t xml:space="preserve">LECTRA PRODUCTS CO (1983)</t>
  </si>
  <si>
    <t xml:space="preserve">LECTRA PRODUCTS [FRS; name match, 102 m] | COLORADO CIRCUITS [FRS; 39 m] | LECTRA PRODUCTS [FRS] (address match)</t>
  </si>
  <si>
    <t xml:space="preserve">COLORADO CIRCUITS</t>
  </si>
  <si>
    <t xml:space="preserve">S05032</t>
  </si>
  <si>
    <t xml:space="preserve">4941 ALLISON NO 7</t>
  </si>
  <si>
    <t xml:space="preserve">UNIVERSAL PATTERN COMPANY (1983; SIC 3565,3079,3544) | WHIPCHEK MANUFACTURING CORP (1983-1990; SIC 3069)</t>
  </si>
  <si>
    <t xml:space="preserve">UNIVERSAL PATTERN COMPANY (1983) | WHIPCHEK MANUFACTURING CORP (1983) | HR KIRKLAND CO INC (1990) | PAPILLON GRAPHICS ING (1990) | PANTA PRECISION INC (1992)</t>
  </si>
  <si>
    <t xml:space="preserve">ACCURATE INDUSTRIES INC [FRS; 41 m] | ARGUS CONTRACTING LP [FRS; 43 m]</t>
  </si>
  <si>
    <t xml:space="preserve">PAPILLON GRAPHICS [FRS; name match, 41 m] | BLACK HOUND DESIGN COMPANY [FRS; 41 m]</t>
  </si>
  <si>
    <t xml:space="preserve">ALLISON STREET DRUM - USEPA</t>
  </si>
  <si>
    <t xml:space="preserve">ACCURATE INDUSTRIES INC</t>
  </si>
  <si>
    <t xml:space="preserve">S05051</t>
  </si>
  <si>
    <t xml:space="preserve">15864 W 6TH AVE</t>
  </si>
  <si>
    <t xml:space="preserve">AG S MACHINE CO (1983; SIC 3451)</t>
  </si>
  <si>
    <t xml:space="preserve">AG S MACHINE CO (1983)</t>
  </si>
  <si>
    <t xml:space="preserve">JOHN ELWAY PONTIAC BUICK GMC W [FRS; 230 m] | JOHN ELWAY CHRYSLER PLYMOUTH JEEP WEST [FRS; 237 m]</t>
  </si>
  <si>
    <t xml:space="preserve">RTD FASTRACKS WEST CORRIDOR [FRS; 65 m] | LENA GULCH TRIBUTARY H DETENTION [FRS; 123 m]</t>
  </si>
  <si>
    <t xml:space="preserve">JOHN ELWAY PONTIAC BUICK GMC W</t>
  </si>
  <si>
    <t xml:space="preserve">S05052</t>
  </si>
  <si>
    <t xml:space="preserve">550 ORCHARD ST</t>
  </si>
  <si>
    <t xml:space="preserve">A W J MACHINE WORKS INC (1983; SIC 3599) | JET INDUSTRIES INC. (1983-1988; SIC 3479) | RF P MFG INC (1988; SIC 3089) | JET INDUSTRIAL COATINGS (1990; SIC 3479) | POLYMER SYSTEMS INC (1990; SIC 2821)</t>
  </si>
  <si>
    <t xml:space="preserve">A W J MACHINE WORKS INC (1983) | JET INDUSTRIES INC. (1983) | RF P MFG INC (1988) | JET INDUSTRIAL COATINGS (1990) | POLYMER SYSTEMS INC (1990)</t>
  </si>
  <si>
    <t xml:space="preserve">COLORADO ELECTRIC COIL INC [FRS; 18 m] | POWDER COATING SPECIALTIES INC [CDPHE RCRA; 22 m] | POWDER COATING SPECIALITIES - PCS [FRS; 29 m] | WORLD ENVIRONMENTAL REMEDIATION [FRS; 44 m]</t>
  </si>
  <si>
    <t xml:space="preserve">COLORADO ELECTRIC COIL INC</t>
  </si>
  <si>
    <t xml:space="preserve">S05057</t>
  </si>
  <si>
    <t xml:space="preserve">1035 W 4TH AVE</t>
  </si>
  <si>
    <t xml:space="preserve">MOUNTAIN CHEMICALS INC (1983; SIC 2899)</t>
  </si>
  <si>
    <t xml:space="preserve">MOUNTAIN CHEMICALS INC (1983)</t>
  </si>
  <si>
    <t xml:space="preserve">COLORADO DEPT OF TRANSPORTATION REGION 1 SECTION 5 [CDPHE RCRA; 135 m]</t>
  </si>
  <si>
    <t xml:space="preserve">ECHEVERRIA RENTAL PROPERTY 510 [FRS; 206 m] | ECHEVERRIA RENTAL PROPERTY 505 [FRS; 209 m]</t>
  </si>
  <si>
    <t xml:space="preserve">S05062</t>
  </si>
  <si>
    <t xml:space="preserve">16399 GOLDEN RD G</t>
  </si>
  <si>
    <t xml:space="preserve">SPYOERCO (1983-1992; SIC 3421)</t>
  </si>
  <si>
    <t xml:space="preserve">SPYOERCO (1983)</t>
  </si>
  <si>
    <t xml:space="preserve">JE-MERIT CONSTRUCTION [FRS; 135 m]</t>
  </si>
  <si>
    <t xml:space="preserve">7-ELEVEN # 25581 [FRS; 38 m] | 16500 SOUTH GOLDEN ROAD [FRS; 127 m] | ROGERS STREET SUBDIVISION [FRS; 237 m]</t>
  </si>
  <si>
    <t xml:space="preserve">JE-MERIT CONSTRUCTION</t>
  </si>
  <si>
    <t xml:space="preserve">S05067</t>
  </si>
  <si>
    <t xml:space="preserve">5805 W 6TH AVE BLDG</t>
  </si>
  <si>
    <t xml:space="preserve">SYSTEMS STADIA COLO CORP (1988; SIC 2672,2893,3958) | STADIA COLO CORP (1990-1992; SIC 2672,2893,3955)</t>
  </si>
  <si>
    <t xml:space="preserve">BRADFORD PUBLISHING (1983) | HEATER METER INC (1983) | BRADFORD PUBLISHING (1988) | SYSTEMS STADIA COLO CORP (1988) | BRADFORD + WILL GRAPHICS (1990) | CENTENNIAL GRAPHICS, INC (1990) | STADIA COLO CORP (1990)</t>
  </si>
  <si>
    <t xml:space="preserve">STADIA CO CORP [FRS; name match, 37 m] | LUBE BUTLER INC [FRS; 7 m] | EMICH AUTO BODY [FRS; 17 m] | 50'S CRUSIN PAINT &amp; BODY [FRS; 17 m] | CONTINENTAL MECHANINCAL SYSTEMS [FRS; 22 m]</t>
  </si>
  <si>
    <t xml:space="preserve">CENTENNIAL GRAPHICS [FRS; name match, 30 m] | DEFIANCE HARDWOODS LLC [FRS; 2 m]</t>
  </si>
  <si>
    <t xml:space="preserve">LUBE BUTLER INC</t>
  </si>
  <si>
    <t xml:space="preserve">S05074</t>
  </si>
  <si>
    <t xml:space="preserve">870 PARFET ST</t>
  </si>
  <si>
    <t xml:space="preserve">INTERNATIONAL INNERTIREs DBA NO-MORFLATS (1983; SIC 3011)</t>
  </si>
  <si>
    <t xml:space="preserve">INTERNATIONAL INNERTIREs DBA NO-MORFLATS (1983) | TECHNICRAFT-CLASSIC CLOSETS (1990)</t>
  </si>
  <si>
    <t xml:space="preserve">VANTAGE BOWLING [FRS] (address match)</t>
  </si>
  <si>
    <t xml:space="preserve">S05092</t>
  </si>
  <si>
    <t xml:space="preserve">5160 N PARFET</t>
  </si>
  <si>
    <t xml:space="preserve">ZOT PINSETTER PARTS (1990; SIC 3499)</t>
  </si>
  <si>
    <t xml:space="preserve">CREATIONS UNLIMITED (1983) | MOBILE SAFETY EQUIPMENT INC (1988) | ZOT PINSETTER PARTS (1990)</t>
  </si>
  <si>
    <t xml:space="preserve">ABSOLUTE CONTROL SYSTEMS [FRS; 10 m] | PARFET SHOP [FRS; 83 m] | PARFET SHOP [CDPHE RCRA; 83 m]</t>
  </si>
  <si>
    <t xml:space="preserve">AMERICAN WOOD PROD CO [FRS; 11 m] | JDI VENTURES INC. [FRS; 11 m] | GRAND OAK ANTIQUES &amp; REFINISHING [FRS; 37 m] | N-SCIENCE CORP [FRS; 43 m] | INTEGRATED RES - IM 70 SNOW MELTER [FRS; 54 m] | INTEGRATED RES - IM - 69 SNOW MELTER [FRS; 54 m] | RIDGE SUBSTATION PHYSICAL SECURITY PROJECT (DE) [FRS; 136 m] | QUAIL RIDGE ESTATES [FRS; 196 m]</t>
  </si>
  <si>
    <t xml:space="preserve">S05560</t>
  </si>
  <si>
    <t xml:space="preserve">1355 S WADSWORTH BLVD</t>
  </si>
  <si>
    <t xml:space="preserve">BAUMER ENTERPRISES (1990; SIC 3599)</t>
  </si>
  <si>
    <t xml:space="preserve">ROLLAWAYS BAUMER ENTERPRISES (1988) | CHAMPLAIN ORTHOPEDICS INC (1990)</t>
  </si>
  <si>
    <t xml:space="preserve">ECONO LUBE N TUNE #272 [FRS; 32 m] | SUN BRIGHT CLEANERS #G [FRS; 53 m] | GUNG HO CLEANERS [FRS; 140 m] | GO TO YOU LUBE [FRS; 166 m] | SUPERCLEAN [FRS; 223 m]</t>
  </si>
  <si>
    <t xml:space="preserve">AMRP WADSWORTH AND W ALAMEDA REPLACEMENT [FRS; 10 m] | YOUR STORE INC. - SHOP N SAVE [FRS; 29 m] | NNN WADS MISS LLC [FRS; 90 m] | CST METRO LLC DBA CORNER STORE #4120 [FRS; 95 m] | J.F. HURLBUT COMPANY [FRS; 133 m] | BRADLEY PETROLEUM INC NO 403 [FRS; 204 m] | RONNYS EXPRESS CARWASH LAKEWOOD [FRS; 222 m]</t>
  </si>
  <si>
    <t xml:space="preserve">ECONO LUBE N TUNE #272</t>
  </si>
  <si>
    <t xml:space="preserve">S05609</t>
  </si>
  <si>
    <t xml:space="preserve">3333 S WADSWORTH UNIT D 207</t>
  </si>
  <si>
    <t xml:space="preserve">COPYING MICRO R+D INC (1988; SIC 3577)</t>
  </si>
  <si>
    <t xml:space="preserve">D.B.A-HEALTHCARE COMPUTING AND COMMUNICATIONS (1988) | FLOTATION BLOCKS ECO SYSTEMS INC (1988) | COPYING MICRO R+D INC (1988) | HEALTH DATA ANALYSIS INC (1990) | ECO SYSTEMS INC (1990)</t>
  </si>
  <si>
    <t xml:space="preserve">MISSION TRACE CLEANERS [FRS; 18 m]</t>
  </si>
  <si>
    <t xml:space="preserve">S05844</t>
  </si>
  <si>
    <t xml:space="preserve">525 VIOLET ST</t>
  </si>
  <si>
    <t xml:space="preserve">SHARPENERS STARCO MFG INC (1988; SIC 3823,3533) | STARCO MANUFACTURING INC (1990; SIC 3523,3533)</t>
  </si>
  <si>
    <t xml:space="preserve">SHARPENERS STARCO MFG INC (1988) | BROOK TROUT PRESS (1990) | STARCO MANUFACTURING INC (1990)</t>
  </si>
  <si>
    <t xml:space="preserve">Z CRAFT LTD [FRS; 29 m]</t>
  </si>
  <si>
    <t xml:space="preserve">CIC PRECISION MACHINING [FRS; 32 m]</t>
  </si>
  <si>
    <t xml:space="preserve">Z CRAFT LTD</t>
  </si>
  <si>
    <t xml:space="preserve">S05846</t>
  </si>
  <si>
    <t xml:space="preserve">4325 KILMER ST</t>
  </si>
  <si>
    <t xml:space="preserve">} sYoT Eee TURNING TECHNOLOGY (1988-1990; SIC 3451,3569)</t>
  </si>
  <si>
    <t xml:space="preserve">} sYoT Eee TURNING TECHNOLOGY (1988)</t>
  </si>
  <si>
    <t xml:space="preserve">A-1 AUTO AND METAL STRIPPING [FRS; 0 m]</t>
  </si>
  <si>
    <t xml:space="preserve">S05919</t>
  </si>
  <si>
    <t xml:space="preserve">3232 S VANCE ST110</t>
  </si>
  <si>
    <t xml:space="preserve">GEOTECHNICAL ENGINEERING+ MINING (1988; SIC 3571,3661,3663)</t>
  </si>
  <si>
    <t xml:space="preserve">GEOTECHNICAL ENGINEERING+ MINING (1988)</t>
  </si>
  <si>
    <t xml:space="preserve">POWERBACK REHABILITATION LAKEWOOD [FRS; 28 m] | WHITE COLLAR CLNRS [FRS; 223 m] | LUCKY CLEANERS [FRS; 237 m]</t>
  </si>
  <si>
    <t xml:space="preserve">HUMANEX ACADEMY [FRS; 68 m] | CHRISTIAN FELLOWSHIP SCHOOL [FRS; 158 m] | PIONEER H2O TECHNOLOGIES INC [FRS; 213 m] | HOT TUB SOLUTIONS, INC. D/B/A BLU WATER TECHNOLOGY [FRS; 213 m] | SIGNAL GRAPHICS PRINTING [FRS; 219 m] | PIONEER H2O TECHNOLOGIES, INC [FRS; 229 m]</t>
  </si>
  <si>
    <t xml:space="preserve">POWERBACK REHABILITATION LAKEWOOD</t>
  </si>
  <si>
    <t xml:space="preserve">S05956</t>
  </si>
  <si>
    <t xml:space="preserve">2305 E ARAPAHOE RD</t>
  </si>
  <si>
    <t xml:space="preserve">S C T SALES INC (1988; SIC 2819,3229,3669)</t>
  </si>
  <si>
    <t xml:space="preserve">S C T SALES INC (1988) | SCT SALES INC (1990)</t>
  </si>
  <si>
    <t xml:space="preserve">SOUTHGLENN MODERN DENTISTRY [FRS; 15 m]</t>
  </si>
  <si>
    <t xml:space="preserve">SOUTHGLENN MODERN DENTISTRY</t>
  </si>
  <si>
    <t xml:space="preserve">S06118</t>
  </si>
  <si>
    <t xml:space="preserve">12555 W 52ND AVE</t>
  </si>
  <si>
    <t xml:space="preserve">BONDS CUSTOM MFG INC (1990; SIC 3444)</t>
  </si>
  <si>
    <t xml:space="preserve">BONDS CUSTOM MFG INC (1990)</t>
  </si>
  <si>
    <t xml:space="preserve">BONDS CUSTOM MFG INC [FRS; name match, 201 m] | BONDS CUSTOM MFG INC [FRS] (address match)</t>
  </si>
  <si>
    <t xml:space="preserve">BONDS CUSTOM MFG INC [FRS; name match, 201 m] | WEATHERFORD LABORATORIES, INC. [FRS] (address match) | BONDS CUSTOM MFG INC [FRS] (address match)</t>
  </si>
  <si>
    <t xml:space="preserve">BONDS CUSTOM MFG INC</t>
  </si>
  <si>
    <t xml:space="preserve">S06123</t>
  </si>
  <si>
    <t xml:space="preserve">14045 W 66TH AVE</t>
  </si>
  <si>
    <t xml:space="preserve">EVERGREEN SAFETY SYSTEMS INC (1990; SIC 3448,3711,3713)</t>
  </si>
  <si>
    <t xml:space="preserve">EVERGREEN SAFETY SYSTEMS INC (1990)</t>
  </si>
  <si>
    <t xml:space="preserve">MT2 LLC - METALS TREATMENT TECHNOLOGIES [FRS; 22 m] | MT2 LLC - METALS TREATMENT TECHNOLOGIES [FRS] (address match) | MT2 LLC - METALS TREATMENT TECHNOLOGIES [CDPHE RCRA] (address match)</t>
  </si>
  <si>
    <t xml:space="preserve">DENVER INSTRUMENT CO</t>
  </si>
  <si>
    <t xml:space="preserve">MT2 LLC - METALS TREATMENT TECHNOLOGIES</t>
  </si>
  <si>
    <t xml:space="preserve">S06617</t>
  </si>
  <si>
    <t xml:space="preserve">407 CORPORATE CIR</t>
  </si>
  <si>
    <t xml:space="preserve">ADVANCED PURIFICATION INC (1990; SIC 3589)</t>
  </si>
  <si>
    <t xml:space="preserve">ADVANCED PURIFICATION INC (1990)</t>
  </si>
  <si>
    <t xml:space="preserve">ROCKY MOUNTAIN BANK [FRS; 4 m] | NFT INCORPORATED [FRS; 7 m]</t>
  </si>
  <si>
    <t xml:space="preserve">ROCKY MOUNTAIN BANK</t>
  </si>
  <si>
    <t xml:space="preserve">S06628</t>
  </si>
  <si>
    <t xml:space="preserve">15611 W 6TH AVE</t>
  </si>
  <si>
    <t xml:space="preserve">RAM-LINE (1990; SIC 3489)</t>
  </si>
  <si>
    <t xml:space="preserve">RAM-LINE (1990)</t>
  </si>
  <si>
    <t xml:space="preserve">RAM-LINE INC [FRS] (address match)</t>
  </si>
  <si>
    <t xml:space="preserve">GOLTRA CASTINGS CO INC</t>
  </si>
  <si>
    <t xml:space="preserve">S06704</t>
  </si>
  <si>
    <t xml:space="preserve">12410 W CEDAR DR</t>
  </si>
  <si>
    <t xml:space="preserve">DENVER DIE MOLD INC (1990; SIC 3544)</t>
  </si>
  <si>
    <t xml:space="preserve">DENVER DIE MOLD INC (1990)</t>
  </si>
  <si>
    <t xml:space="preserve">GERBER COLLISION &amp; GLASS [CDPHE RCRA; 7 m] | WORLD COMPASS COLLISION &amp; REFINISHING [CDPHE RCRA; 7 m] | BRISTLECONE SHOOTING [CDPHE RCRA; 7 m]</t>
  </si>
  <si>
    <t xml:space="preserve">HIMMELMAN CONSTRUCTION [FRS; 18 m]</t>
  </si>
  <si>
    <t xml:space="preserve">S06705</t>
  </si>
  <si>
    <t xml:space="preserve">1600 CARR STE 3</t>
  </si>
  <si>
    <t xml:space="preserve">A DESIGN + TYPOGRAPHY HOUSE (1990; SIC 2791,3460,3541)</t>
  </si>
  <si>
    <t xml:space="preserve">A DESIGN + TYPOGRAPHY HOUSE (1990)</t>
  </si>
  <si>
    <t xml:space="preserve">CARDINAL CLNRS [FRS; 22 m] | JEWELL AUTO BODY &amp; PAINT NORTH [FRS; 60 m] | FAMILY DOLLAR #2804 [CDPHE RCRA; 84 m] | GERBER COLLISON &amp; GLASS [CDPHE RCRA; 84 m] | WALMART SUPERCENTER #2125 [CDPHE RCRA; 84 m] | LAKEWOOD ENDOSCOPY CENTER [CDPHE RCRA; 84 m] | AUTOZONE #803 [CDPHE RCRA; 84 m] | WESTERN HILLS HEALTHCARE CENTER [CDPHE RCRA; 91 m] | ATLAS HEATING SERVICE [FRS; 92 m] | FAMILY DOLLAR #7218 [F</t>
  </si>
  <si>
    <t xml:space="preserve">JERRY ROTH CHEVROLET INC [FRS; 129 m] | COYOTE MOTEL-GOLD DUST LODGE WTP [FRS; 142 m] | EEM CONSULTING [FRS; 153 m] | PERFORMANCE BROKERS, INC. [FRS; 216 m] | BYRON APARTMENTS [FRS; 247 m]</t>
  </si>
  <si>
    <t xml:space="preserve">CARDINAL CLNRS</t>
  </si>
  <si>
    <t xml:space="preserve">S06853</t>
  </si>
  <si>
    <t xml:space="preserve">12100 W 52ND UNIT 123</t>
  </si>
  <si>
    <t xml:space="preserve">AMERICAN TECHNICAL MACHINING (1990; SIC 3499,3999,3545) | INNOVATIVE MACHINING INC (1992; SIC 3599,3841,3499)</t>
  </si>
  <si>
    <t xml:space="preserve">AMERICAN TECHNICAL MACHINING (1990) | INNOVATIVE MACHINING INC (1992)</t>
  </si>
  <si>
    <t xml:space="preserve">SORENSON SPECIALITY SHOP [FRS; 37 m]</t>
  </si>
  <si>
    <t xml:space="preserve">DELAWARE (REGENCY) - LASTING PAWS PET [FRS; 18 m]</t>
  </si>
  <si>
    <t xml:space="preserve">RESIDENTIAL PROPERTY AT 11818 W. 52ND</t>
  </si>
  <si>
    <t xml:space="preserve">SORENSON SPECIALITY SHOP</t>
  </si>
  <si>
    <t xml:space="preserve">S06855</t>
  </si>
  <si>
    <t xml:space="preserve">4890 VAN GORDON NO 102</t>
  </si>
  <si>
    <t xml:space="preserve">THE END (1990; SIC 3089)</t>
  </si>
  <si>
    <t xml:space="preserve">THE END (1990)</t>
  </si>
  <si>
    <t xml:space="preserve">COLORADO STEEL INCORPORATED [FRS; 15 m] | COLORADO STEEL INC [CDPHE RCRA; 15 m]</t>
  </si>
  <si>
    <t xml:space="preserve">COLORADO STEEL INC [FRS; 15 m]</t>
  </si>
  <si>
    <t xml:space="preserve">S06858</t>
  </si>
  <si>
    <t xml:space="preserve">4050 YOUNGFIELD ST</t>
  </si>
  <si>
    <t xml:space="preserve">MATRIX MEMBRANES INC (1990; SIC 2869,2821)</t>
  </si>
  <si>
    <t xml:space="preserve">MATRIX MEMBRANES INC (1990)</t>
  </si>
  <si>
    <t xml:space="preserve">ENVIRONMENTAL HAZMAT SERVICES INC [FRS; 2 m]</t>
  </si>
  <si>
    <t xml:space="preserve">MOUNTAIN VIEW CORP LLC [FRS; 14 m]</t>
  </si>
  <si>
    <t xml:space="preserve">ENVIRONMENTAL HAZMAT SERVICES INC</t>
  </si>
  <si>
    <t xml:space="preserve">S06863</t>
  </si>
  <si>
    <t xml:space="preserve">3970 YOUNGFIELD ST</t>
  </si>
  <si>
    <t xml:space="preserve">TRAC-VAC INC. (1990; SIC 3523,3599)</t>
  </si>
  <si>
    <t xml:space="preserve">TRAC-VAC INC. (1990)</t>
  </si>
  <si>
    <t xml:space="preserve">SGS NORTH AMERICA - TESTING LABORATORY [FRS; 29 m]</t>
  </si>
  <si>
    <t xml:space="preserve">SGS NORTH AMERICA - TESTING LABORATORY</t>
  </si>
  <si>
    <t xml:space="preserve">S06870</t>
  </si>
  <si>
    <t xml:space="preserve">5055 W 98TH AVE</t>
  </si>
  <si>
    <t xml:space="preserve">CCW PRODUCTS INC (1992; SIC 3089)</t>
  </si>
  <si>
    <t xml:space="preserve">CCW PRODUCTS INC (1992)</t>
  </si>
  <si>
    <t xml:space="preserve">BROOMFIELD SKILLED NURSING AND REHABILITATION CENTER [CDPHE RCRA; 188 m]</t>
  </si>
  <si>
    <t xml:space="preserve">BROOMFIELD SKILLED NURSING AND REHABILITATION CENTER</t>
  </si>
  <si>
    <t xml:space="preserve">S06871</t>
  </si>
  <si>
    <t xml:space="preserve">6155 W 4TH AVE</t>
  </si>
  <si>
    <t xml:space="preserve">‘CUSTOM MOLDING INC (1992; SIC 3089,3544)</t>
  </si>
  <si>
    <t xml:space="preserve">‘CUSTOM MOLDING INC (1992)</t>
  </si>
  <si>
    <t xml:space="preserve">MAPLETON CARE CENTER [CDPHE RCRA; 229 m] | U S DRUG ENFORCEMENT ADMIN [FRS; 246 m]</t>
  </si>
  <si>
    <t xml:space="preserve">ASP INC [FRS; 156 m]</t>
  </si>
  <si>
    <t xml:space="preserve">S07079</t>
  </si>
  <si>
    <t xml:space="preserve">9150 W JEWELL AVE</t>
  </si>
  <si>
    <t xml:space="preserve">PYRAMID WATER SYSTEMS INC (1992; SIC 3589)</t>
  </si>
  <si>
    <t xml:space="preserve">PYRAMID WATER SYSTEMS INC (1992)</t>
  </si>
  <si>
    <t xml:space="preserve">SWAN CLEANERS [FRS; 0 m]</t>
  </si>
  <si>
    <t xml:space="preserve">D.R. WYRICK INC. [FRS; 36 m] | DARREL LAND REALTY [FRS; 36 m] | UNIQUE PROPERTIES [FRS; 36 m]</t>
  </si>
  <si>
    <t xml:space="preserve">SWAN CLEANERS</t>
  </si>
  <si>
    <t xml:space="preserve">S07081</t>
  </si>
  <si>
    <t xml:space="preserve">7590 QUINCY AVE</t>
  </si>
  <si>
    <t xml:space="preserve">‘SEW BEIT (1992; SIC 2395,3069)</t>
  </si>
  <si>
    <t xml:space="preserve">‘SEW BEIT (1992)</t>
  </si>
  <si>
    <t xml:space="preserve">WAL-MART #1308 [FRS; 141 m]</t>
  </si>
  <si>
    <t xml:space="preserve">WAL-MART #1308</t>
  </si>
  <si>
    <t xml:space="preserve">S07089</t>
  </si>
  <si>
    <t xml:space="preserve">8501 W BOWLES AVA</t>
  </si>
  <si>
    <t xml:space="preserve">INCREDIBLE MACHINE (1992; SIC 2796,3089,3479)</t>
  </si>
  <si>
    <t xml:space="preserve">INCREDIBLE MACHINE (1992)</t>
  </si>
  <si>
    <t xml:space="preserve">IN-SITU INC [FRS; 88 m] | RAINBOW CLEANERS [FRS; 135 m]</t>
  </si>
  <si>
    <t xml:space="preserve">IN-SITU INC</t>
  </si>
  <si>
    <t xml:space="preserve">S05103</t>
  </si>
  <si>
    <t xml:space="preserve">63 13TH ST</t>
  </si>
  <si>
    <t xml:space="preserve">DUERST MACHINE WORKS (1983; SIC 3714)</t>
  </si>
  <si>
    <t xml:space="preserve">DUERST MACHINE WORKS (1983)</t>
  </si>
  <si>
    <t xml:space="preserve">FAMILY DOLLAR #7265 [CDPHE RCRA; 91 m] | HITCHCOCK INC [CDPHE RCRA; 126 m]</t>
  </si>
  <si>
    <t xml:space="preserve">BURLINGTON CHRISTIAN SCHOOL [FRS; 179 m]</t>
  </si>
  <si>
    <t xml:space="preserve">FAMILY DOLLAR #7265</t>
  </si>
  <si>
    <t xml:space="preserve">S01136</t>
  </si>
  <si>
    <t xml:space="preserve">1502 MAIN</t>
  </si>
  <si>
    <t xml:space="preserve">1966;1967;1973;1977</t>
  </si>
  <si>
    <t xml:space="preserve">DURANGO ORNAMENTAL IRON INC (1966-1973; SIC 3441) | SON (1977; SIC 3444,3446)</t>
  </si>
  <si>
    <t xml:space="preserve">DURANGO ORNAMENTAL IRON INC (1966) | SON (1977) | R+M PRINTING+REPRODUCTI (1988) | R+M PRINTING + REPRODUCTIONS (1990)</t>
  </si>
  <si>
    <t xml:space="preserve">CITY CLEANERS [FRS; 29 m]</t>
  </si>
  <si>
    <t xml:space="preserve">THE PROPERTY MANAGER [FRS; 30 m]</t>
  </si>
  <si>
    <t xml:space="preserve">S01137</t>
  </si>
  <si>
    <t xml:space="preserve">639 2ND AVE</t>
  </si>
  <si>
    <t xml:space="preserve">MACHINE WORKS (1966-1967; SIC 3599) | SUBSURFACE MACHINE + FFG (1968; SIC 3591)</t>
  </si>
  <si>
    <t xml:space="preserve">MACHINE WORKS (1966) | SUBSURFACE MACHINE + FFG (1968)</t>
  </si>
  <si>
    <t xml:space="preserve">DESERT DRY CLEANERS [FRS; 26 m] | MOREHART CHEVROLET CO [FRS; 36 m] | DURANGO &amp; SILVERTON RAILROAD [FRS; 210 m] | PAT MURPHY MOTOR CO [FRS; 225 m] | COLORADO DEPT OF TRANSPORTATION [FRS; 237 m]</t>
  </si>
  <si>
    <t xml:space="preserve">DURANGO PROPERTY MANAGEMENT [FRS; 36 m] | CLIFF BRICE STATIONS INC NO 601 [FRS; 111 m] | ARTISIC TILE &amp; GRANITE [FRS; 111 m] | PRUDENTIAL TRIPLE S REALTORS [FRS; 147 m] | ROCKY MOUNTAIN CHOCOLATE FACTORY [FRS; 174 m] | DSNG RR DEPOT YARD AND MUSEUM [FRS; 210 m] | COLDWELL BANKER HERITAGE HOUSE REALTORS [FRS; 217 m] | PEAK BREWING CO., LLC DBA STEAMWORKS [FRS; 226 m] | HAMPTON INN BY MARRIOTT DURAN</t>
  </si>
  <si>
    <t xml:space="preserve">DESERT DRY CLEANERS</t>
  </si>
  <si>
    <t xml:space="preserve">S01584</t>
  </si>
  <si>
    <t xml:space="preserve">210 9TH</t>
  </si>
  <si>
    <t xml:space="preserve">FARMERS SUPPLY OF DURANGC INC - (1967; SIC 2942,2872)</t>
  </si>
  <si>
    <t xml:space="preserve">FARMERS SUPPLY OF DURANGC INC - (1967)</t>
  </si>
  <si>
    <t xml:space="preserve">PAT MURPHY MOTOR CO [FRS; 127 m]</t>
  </si>
  <si>
    <t xml:space="preserve">DURANGO EARLY LEARNING CENTER [FRS; 69 m] | U.S. BUREAU OF RECLAMATION PARADOX WELL [FRS; 100 m] | PURDY AND COMPANY [FRS; 105 m] | DURANGO CITY OF [FRS; 118 m] | CITY OF DURANGO PARKS AND RECREATION [FRS; 118 m] | DURANGO CITY OF-SANTA RITA PUMP STATION [FRS; 118 m] | DURANGO MS4 [FRS; 123 m] | PEAK BREWING CO., LLC DBA STEAMWORKS [FRS; 126 m] | THE WELLS GROUP [FRS; 200 m] | CENTURY 21 PREMIERE,</t>
  </si>
  <si>
    <t xml:space="preserve">S04253</t>
  </si>
  <si>
    <t xml:space="preserve">72 SUTTLE ST</t>
  </si>
  <si>
    <t xml:space="preserve">DURANGO GRNAMENTAL IRON INC (1980-1983; SIC 3446,3444)</t>
  </si>
  <si>
    <t xml:space="preserve">DURANGO GRNAMENTAL IRON INC (1980) | FIJI WEAR INC (1990)</t>
  </si>
  <si>
    <t xml:space="preserve">ACCULABS INC [FRS; 41 m]</t>
  </si>
  <si>
    <t xml:space="preserve">DURANGO TIRE, INC. [FRS; 14 m]</t>
  </si>
  <si>
    <t xml:space="preserve">La Plata County Detention Center</t>
  </si>
  <si>
    <t xml:space="preserve">ACCULABS INC</t>
  </si>
  <si>
    <t xml:space="preserve">S05706</t>
  </si>
  <si>
    <t xml:space="preserve">463 TURNER DR STE 110</t>
  </si>
  <si>
    <t xml:space="preserve">RISGOVER CONTROL (1988-1990; SIC 3577)</t>
  </si>
  <si>
    <t xml:space="preserve">RISGOVER CONTROL (1988)</t>
  </si>
  <si>
    <t xml:space="preserve">PLUMMER PRECISION OPTICS WESTERN DIV [FRS; 20 m]</t>
  </si>
  <si>
    <t xml:space="preserve">3D CORPORATION [FRS; 38 m] | K W EXCAVATION [FRS; 38 m]</t>
  </si>
  <si>
    <t xml:space="preserve">DURANGO CLINIC / USEPA</t>
  </si>
  <si>
    <t xml:space="preserve">PLUMMER PRECISION OPTICS WESTERN DIV</t>
  </si>
  <si>
    <t xml:space="preserve">S00428</t>
  </si>
  <si>
    <t xml:space="preserve">133 W 4TH ST</t>
  </si>
  <si>
    <t xml:space="preserve">1966;1968;1977</t>
  </si>
  <si>
    <t xml:space="preserve">QUALITY MACHINE Co (1966-1977; SIC 3599) |  (1968; SIC 3079)</t>
  </si>
  <si>
    <t xml:space="preserve">CUTCH OVEN BAKERY (1965) | QUALITY MACHINE Co (1966) |  (1968) | DUTCH OVEN BAKERY (1970) |  (1974) | QUICK - PRINT SHOP (1977) | GARINER COUNTY PUBLISHING CO (1980) | J L PRINTING (1988) | JOHNSON PRINTING (1992)</t>
  </si>
  <si>
    <t xml:space="preserve">JOHNSON PRINTING [FRS; name match, 41 m]</t>
  </si>
  <si>
    <t xml:space="preserve">S00429</t>
  </si>
  <si>
    <t xml:space="preserve">207 S RAILROAD AVE</t>
  </si>
  <si>
    <t xml:space="preserve">1965;1966;1967;1968;1970;1974</t>
  </si>
  <si>
    <t xml:space="preserve">GOLC STAR MOBILE HOMES, INC. (1965-1974; SIC 3791) | COLORADO STEEL + WIRE CO (1970; SIC 3423,2499)</t>
  </si>
  <si>
    <t xml:space="preserve">GOLC STAR MOBILE HOMES, INC. (1965) | COLORADO STEEL + WIRE CO (1970)</t>
  </si>
  <si>
    <t xml:space="preserve">COLORADO STEEL &amp; WIRE CO [FRS; name match, 103 m] | COLORADO STEEL &amp; WIRE CO [FRS; name match, 183 m]</t>
  </si>
  <si>
    <t xml:space="preserve">COLORADO STEEL &amp; WIRE CO [FRS; name match, 102 m] | COLORADO STEEL &amp; WIRE CO [FRS; name match, 173 m]</t>
  </si>
  <si>
    <t xml:space="preserve">S01156</t>
  </si>
  <si>
    <t xml:space="preserve">227 JEFFERSON</t>
  </si>
  <si>
    <t xml:space="preserve">BLUEBIRD MFG (1977-1980; SIC 3559) | BLUEBIRD MANUFACTURING (1983; SIC 3559)</t>
  </si>
  <si>
    <t xml:space="preserve">CONCRETE, GYPSUM PRODUCTS (1966) | INC 1325 RIVERSIDE (1973) | INTERFACE INC (1974) | BLUEBIRD MFG (1977) | BLUEBIRD MANUFACTURING (1983)</t>
  </si>
  <si>
    <t xml:space="preserve">HIDDEN TREASURE STRIPPING [CDPHE RCRA; 41 m]</t>
  </si>
  <si>
    <t xml:space="preserve">A BEAR ALIGNMENT, INC. [FRS; 5 m] | DOWNTOWN RIVER DISTRICT [FRS; 43 m]</t>
  </si>
  <si>
    <t xml:space="preserve">Legacy Senior Residence II</t>
  </si>
  <si>
    <t xml:space="preserve">S01157</t>
  </si>
  <si>
    <t xml:space="preserve">360 LINDEN</t>
  </si>
  <si>
    <t xml:space="preserve">KIEFER CONCRETE INC (1967; SIC 3272,3442)</t>
  </si>
  <si>
    <t xml:space="preserve"> (1966) | KIEFER CONCRETE INC (1967) | INTERMOUNTAIN COUOR INC (1980) | PLANK GRATING INTERMOUNTAIN COLOR (1988)</t>
  </si>
  <si>
    <t xml:space="preserve">HIDDEN TREASURE STRIPPING [CDPHE RCRA; 30 m]</t>
  </si>
  <si>
    <t xml:space="preserve">DOWNTOWN RIVER DISTRICT [FRS; 29 m] | XYLEM DESIGN INC [FRS; 44 m]</t>
  </si>
  <si>
    <t xml:space="preserve">S01158</t>
  </si>
  <si>
    <t xml:space="preserve">320 MAPLE</t>
  </si>
  <si>
    <t xml:space="preserve">CUSTGM WOODWORKS INC (1980; SIC 3442)</t>
  </si>
  <si>
    <t xml:space="preserve">SCHUMACHER'S MILLWORK (1966) | COLORACO CUSTCH PRODUCTS (1974) | COLLINS CARPENTRY INC (1977) | COLLINS WOID PRODUCTS INC (1977) | CUSTGM WOODWORKS INC (1980)</t>
  </si>
  <si>
    <t xml:space="preserve">CRAMER'S BODY SHOP INC [FRS; 21 m]</t>
  </si>
  <si>
    <t xml:space="preserve">FORT COLLINS TROLLEY CAR BARN</t>
  </si>
  <si>
    <t xml:space="preserve">CRAMER'S BODY SHOP INC</t>
  </si>
  <si>
    <t xml:space="preserve">S02655</t>
  </si>
  <si>
    <t xml:space="preserve">1721 WILLOX CT</t>
  </si>
  <si>
    <t xml:space="preserve">1966;1968;1973;1977;1983;1988</t>
  </si>
  <si>
    <t xml:space="preserve">STMPSON'S SHEET METAL (1966; SIC 3441) | SIMPSON*S SHEET META ee (1968; SIC 3444) | MISCELLANEOUS PLASTICS PRODUCTS MEL SIMPSON SHEET METAL CO (1973; SIC 3079) | STORM PROCUCTS (1973; SIC 3679,3549) | CROWN PLATING UNLIMITED INC 2511 WOOD HOUSEHOLD FURNITURE (1977; SIC 3471) | vON MFG CO INC (1977; SIC 3443) | munca INC (1983; SIC 3599,3544) | CHIPS MUNCO INC (1988; SIC 3542,3544)</t>
  </si>
  <si>
    <t xml:space="preserve">STMPSON'S SHEET METAL (1966) | SIMPSON*S SHEET META ee (1968) | MISCELLANEOUS PLASTICS PRODUCTS MEL SIMPSON SHEET METAL CO (1973) | STORM PROCUCTS (1973) | GAMESON LEATHER GOODS (1974) | CROWN PLATING UNLIMITED INC 2511 WOOD HOUSEHOLD FURNITURE (1977) | vON MFG CO INC (1977) | HI-V INSTRUMENTS INC (1980) | munca INC (1983) | CHIPS MUNCO INC (1988)</t>
  </si>
  <si>
    <t xml:space="preserve">R &amp; D AUTO BODY [FRS; 26 m] | COLORADO RECOVERY [FRS; 35 m]</t>
  </si>
  <si>
    <t xml:space="preserve">R &amp; D AUTO BODY</t>
  </si>
  <si>
    <t xml:space="preserve">S01595</t>
  </si>
  <si>
    <t xml:space="preserve">1811 E MULBERRY</t>
  </si>
  <si>
    <t xml:space="preserve">FORT COLLINS WELCING FABRICATURS (1967; SIC 3591)</t>
  </si>
  <si>
    <t xml:space="preserve">FORT COLLINS WELCING FABRICATURS (1967) | ROCKY MOUNTAIN PRINTING (1980) | TOPS + SHOWERS ROCKY MTN PRINTING (1988)</t>
  </si>
  <si>
    <t xml:space="preserve">RUDY'S STAR SERVICE, INC. [FRS; 21 m] | SCOTCHIES CLNRS [FRS; 38 m]</t>
  </si>
  <si>
    <t xml:space="preserve">GALLEGOS SANITATION, INC. [FRS; 21 m]</t>
  </si>
  <si>
    <t xml:space="preserve">RUDY'S STAR SERVICE, INC.</t>
  </si>
  <si>
    <t xml:space="preserve">S01598</t>
  </si>
  <si>
    <t xml:space="preserve">5CO INDUSTRIAL PARK</t>
  </si>
  <si>
    <t xml:space="preserve">LAHM HEATING (1967; SIC 3444,2499,3444)</t>
  </si>
  <si>
    <t xml:space="preserve">LAHM HEATING (1967)</t>
  </si>
  <si>
    <t xml:space="preserve">STAINLESS DESIGNS INC.CN [FRS; 125 m] | STAINLESS DESIGNS [CDPHE RCRA; 137 m] | CACTUS HILL TRUCKS CENTER [FRS; 154 m] | A-1 DISCOUNT DOORS &amp; WINDOWS [FRS; 157 m] | FORT COLLINS USARC [FRS; 167 m] | MAXEY MANUFACTURING [FRS; 205 m] | BEN'S DIESEL SERVICE [FRS; 210 m] | HELI SUPPORT [FRS; 235 m]</t>
  </si>
  <si>
    <t xml:space="preserve">GALLEGOS RECYCLING CENTER [CDPHE Solid_Waste_Facilities; 226 m]</t>
  </si>
  <si>
    <t xml:space="preserve">DESIGN METAL MANUFACTURING [FRS; 125 m] | COLORADO GROWERS SUPPLY [FRS; 148 m] | 1941 HEATH PARKWAY [FRS; 161 m] | FORT COLLINS PRIMARY YARD [FRS; 167 m] | ALLIED WASTE - FORT COLLINS HAULING [FRS; 167 m] | DRIVE TRAIN INDUSTRIES [FRS; 238 m]</t>
  </si>
  <si>
    <t xml:space="preserve">STAINLESS DESIGNS INC.CN</t>
  </si>
  <si>
    <t xml:space="preserve">S01600</t>
  </si>
  <si>
    <t xml:space="preserve">1295 N COLLEGE</t>
  </si>
  <si>
    <t xml:space="preserve">PCUCRE VALLEY SHEET METAL (1967-1968; SIC 3444)</t>
  </si>
  <si>
    <t xml:space="preserve">PCUCRE VALLEY SHEET METAL (1967)</t>
  </si>
  <si>
    <t xml:space="preserve">COLORADO RECOVERY [FRS; 30 m]</t>
  </si>
  <si>
    <t xml:space="preserve">SCHRADER ENVIRONMENTAL SERVICES [FRS; 24 m] | RULONS TEXACO SER INC [FRS; 24 m]</t>
  </si>
  <si>
    <t xml:space="preserve">1475 NORTH COLLEGE</t>
  </si>
  <si>
    <t xml:space="preserve">COLORADO RECOVERY</t>
  </si>
  <si>
    <t xml:space="preserve">S02142</t>
  </si>
  <si>
    <t xml:space="preserve">2050 AIRWAY AVE</t>
  </si>
  <si>
    <t xml:space="preserve">1970;1977;1980;1983;1988;1990</t>
  </si>
  <si>
    <t xml:space="preserve">BURTON INSTRUMENTATION, LNC (1970; SIC 3729) | MAXEY MFG CO INC (1977; SIC 3799,3713,3715) | MAXEY INC (1980-1990; SIC 3715,3711,3713)</t>
  </si>
  <si>
    <t xml:space="preserve">BURTON INSTRUMENTATION, LNC (1970) | MAXEY MFG COy INC (1974) | MAXEY MFG CO INC (1977) | MAXEY INC (1980)</t>
  </si>
  <si>
    <t xml:space="preserve">MAXEY MANUFACTURING [FRS; name match, 2 m]</t>
  </si>
  <si>
    <t xml:space="preserve">MAXEY MANUFACTURING</t>
  </si>
  <si>
    <t xml:space="preserve">S02651</t>
  </si>
  <si>
    <t xml:space="preserve">906 W VINE OR</t>
  </si>
  <si>
    <t xml:space="preserve">COLORADO PANO-VIEW INC (1977; SIC 3714)</t>
  </si>
  <si>
    <t xml:space="preserve">CANADA ORY BOTTLING (1973) | COLORADO PANO-VIEW INC (1977) | UNION MANUFACTURING + SupPLY C2 INC (1977)</t>
  </si>
  <si>
    <t xml:space="preserve">CITY OF FORT COLLINS STREETS [FRS; 10 m]</t>
  </si>
  <si>
    <t xml:space="preserve">CITY OF FORT COLLINS STREETS</t>
  </si>
  <si>
    <t xml:space="preserve">S02662</t>
  </si>
  <si>
    <t xml:space="preserve">160 SW 2ND</t>
  </si>
  <si>
    <t xml:space="preserve">COLORADO STEEL + WIRE CO (1973; SIC 3446,3312) | PRO MOLD INC (1988; SIC 3089)</t>
  </si>
  <si>
    <t xml:space="preserve">COLORADO STEEL + WIRE CO (1973) | PRO MOLD INC 3648 STEM-LITE EMERGENCY LIGHTING (1983) | PRO MOLD INC (1988)</t>
  </si>
  <si>
    <t xml:space="preserve">COLORADO STEEL &amp; WIRE CO [FRS; name match, 14 m] | COLORADO STEEL &amp; WIRE CO [FRS; name match, 66 m] | TECHCYCLE [FRS; 2 m] | TECHCYCLE [CDPHE RCRA; 37 m]</t>
  </si>
  <si>
    <t xml:space="preserve">COLORADO STEEL &amp; WIRE CO [FRS; name match, 14 m]</t>
  </si>
  <si>
    <t xml:space="preserve">TECHCYCLE</t>
  </si>
  <si>
    <t xml:space="preserve">S03106</t>
  </si>
  <si>
    <t xml:space="preserve">2001 AIRWAY AVE</t>
  </si>
  <si>
    <t xml:space="preserve">HF E INC (1980-1983; SIC 3523) | ALPINE MANUFACTURING (1983; SIC 3599,3544,3541)</t>
  </si>
  <si>
    <t xml:space="preserve">HEATH FARM EQUIPMENT» INC WAYNE S BISHCP PARTNER (1974) | CARAVELLE CORPORATION (1977) | FINE CINE DESIGNS INC (1980) | HF E INC (1980) | ALPINE MANUFACTURING (1983) | WOODEN WORKBENCH (1990)</t>
  </si>
  <si>
    <t xml:space="preserve">ALPINE MANUFACTURING [FRS; name match, 91 m] | ALPINE MANUFACTURING [FRS] (address match)</t>
  </si>
  <si>
    <t xml:space="preserve">ALPINE MANUFACTURING</t>
  </si>
  <si>
    <t xml:space="preserve">S03113</t>
  </si>
  <si>
    <t xml:space="preserve">253 SW 42ND ST</t>
  </si>
  <si>
    <t xml:space="preserve">FOUR C*S EXTRUSION INC (1974; SIC 3079)</t>
  </si>
  <si>
    <t xml:space="preserve">FOUR C*S EXTRUSION INC (1974)</t>
  </si>
  <si>
    <t xml:space="preserve">CAMPION ACADEMY INDUSTRIES BLD [FRS; 101 m] | SEVENTH DAY ADVENTIST ASSOC [FRS; 120 m] | LOVELAND WAREHOUSE [FRS; 122 m] | SILVER STATE PLASTICS [FRS; 227 m] | SILVER STATE PLASTICS [FRS] (address match)</t>
  </si>
  <si>
    <t xml:space="preserve">HMS RICHARDS ELEMENTARY SCHOOL [FRS; 10 m] | CAMPION SEVENTH DAY ADVENTIST CHURCH ADDITION [FRS; 63 m] | THE SEVENTH DAY ADVENTIST ASSOC. OF COLO [FRS; 101 m]</t>
  </si>
  <si>
    <t xml:space="preserve">CAMPION ACADEMY INDUSTRIES BLD</t>
  </si>
  <si>
    <t xml:space="preserve">S03445</t>
  </si>
  <si>
    <t xml:space="preserve">1090 2ND ST</t>
  </si>
  <si>
    <t xml:space="preserve">BERTHOUD SCREW MACHINE PRODUCTS (1977-1983; SIC 3451) | BURKHARD MFG COs INC (1977; SIC 2542,3498,3444) | INDUSTRIAL TOOLING SERVICES INC (1988-1992; SIC 3544,3599) | RRHHAR? SCREW (1988; SIC 3452)</t>
  </si>
  <si>
    <t xml:space="preserve">BERTHOUD SCREW MACHINE PRODUCTS (1977) | BURKHARD MFG COs INC (1977) | INDUSTRIAL TOOLING SERVICES INC (1988) | RRHHAR? SCREW (1988)</t>
  </si>
  <si>
    <t xml:space="preserve">FOOTHILLS SPECIALTY ELECTRONICS [CDPHE RCRA; 105 m]</t>
  </si>
  <si>
    <t xml:space="preserve">TREES AND PLANTS [FRS; 168 m]</t>
  </si>
  <si>
    <t xml:space="preserve">S03447</t>
  </si>
  <si>
    <t xml:space="preserve">606 2ND ST</t>
  </si>
  <si>
    <t xml:space="preserve">MOUNTAIN MOULDING LTD (1977-1990; SIC 3079)</t>
  </si>
  <si>
    <t xml:space="preserve">MOUNTAIN MOULDING LTD (1977)</t>
  </si>
  <si>
    <t xml:space="preserve">SILVER RECOVERY INC [FRS; 38 m]</t>
  </si>
  <si>
    <t xml:space="preserve">SILVER RECOVERY INC</t>
  </si>
  <si>
    <t xml:space="preserve">S03448</t>
  </si>
  <si>
    <t xml:space="preserve">205 TURNER AVE</t>
  </si>
  <si>
    <t xml:space="preserve">R AND € INC (1977; SIC 3679,3479,3079) | ASSOCIATED FIBERGLASS IND LTO (1980-1983; SIC 3079,3995,3993) | ROTATIONAL ENGINEERING, INCe (1983-1990; SIC 3542) | THERMAL SPECIALTIES (1983-1990; SIC 3398) | ASSOCIATED THERMOFORMING INC (1990-1992; SIC 3089)</t>
  </si>
  <si>
    <t xml:space="preserve">R AND € INC (1977) | ASSOCIATED FIBERGLASS IND LTO (1980) | MOUNTAIN STATES STANDAROS, INC. (1980) | ROTATIONAL ENGINEERING, INCe (1983) | THERMAL SPECIALTIES (1983) | ASSOCIATED THERMOFORMING INC (1990)</t>
  </si>
  <si>
    <t xml:space="preserve">THERMAL SPECIALTIES [FRS; name match, 9 m] | ASSOCIATED THERMOFORMING INC [CDPHE RCRA; name match, 13 m] | ASSOCIATED THERMOFORMING INC [FRS; name match, 73 m] | SILVER RECOVERY INC [FRS; 88 m] | DISIGNED CONVEYING SYSTEMS INC [FRS; 159 m] | ANTIQUE REFINISHERS INC [FRS; 188 m]</t>
  </si>
  <si>
    <t xml:space="preserve">NORTHERN COLORADO CUSTOM COATINGS [FRS; 96 m] | POWDER PRO, INC. [FRS; 96 m] | ADVANTA U.S. DBA AGRIPRO WHEAT [FRS; 174 m] | PORT-A-POUR [FRS; 178 m] | AMARE PCS - AMARE PET CREMATION SERVICES [FRS; 188 m] | BERT'S CORNER REAL ESTATE [FRS; 218 m] | BERT'S CORNER REAL ESTATE [FRS; 219 m]</t>
  </si>
  <si>
    <t xml:space="preserve">THERMAL SPECIALTIES</t>
  </si>
  <si>
    <t xml:space="preserve">S03454</t>
  </si>
  <si>
    <t xml:space="preserve">2716 E MULBERRY</t>
  </si>
  <si>
    <t xml:space="preserve">CORNERSTONE PORTABLE BUILDINGS (1988-1990; SIC 3448)</t>
  </si>
  <si>
    <t xml:space="preserve">CITIZEN PRINTING C3y INC (1977) | CORNERSTONE PORTABLE BUILDINGS (1988)</t>
  </si>
  <si>
    <t xml:space="preserve">CITIZEN PRINTING COMPANY [FRS] (address match)</t>
  </si>
  <si>
    <t xml:space="preserve">RUSPORT INC</t>
  </si>
  <si>
    <t xml:space="preserve">S03457</t>
  </si>
  <si>
    <t xml:space="preserve">120 HEMLOCK</t>
  </si>
  <si>
    <t xml:space="preserve">MEL SIMPSOV SHEET METAL CO (1977-1983; SIC 3444) | SIMPSON SHEET METAL CO INC (1990; SIC 3444)</t>
  </si>
  <si>
    <t xml:space="preserve">MEL SIMPSOV SHEET METAL CO (1977) | SIMPSON SHEET METAL CO INC (1990)</t>
  </si>
  <si>
    <t xml:space="preserve">FOREST SERVICE ADMINISTRATION SITE [FRS; 17 m] | USDA FOREST SERVICE (FT COLLINS ADMIN SITE) [FRS; 17 m]</t>
  </si>
  <si>
    <t xml:space="preserve">S03463</t>
  </si>
  <si>
    <t xml:space="preserve">1816 HEATH PKY</t>
  </si>
  <si>
    <t xml:space="preserve">PRALON WELDING + MACHINE (1977; SIC 3599)</t>
  </si>
  <si>
    <t xml:space="preserve">PRALON WELDING + MACHINE (1977)</t>
  </si>
  <si>
    <t xml:space="preserve">AUTO ELECTRIC SERVICE &amp; EXCHANGE [FRS; 94 m] | TOLMAR INC [CDPHE RCRA; 115 m] | TOLMAR INC [FRS; 136 m] | INNOVATIVE PROMOTIONS INC [FRS; 136 m] | LT ACTION SCREEN PRINTING, INC [FRS; 174 m] | COLORADO HISTO-PREP [FRS; 191 m] | COLORADO HISTO-PREP [FRS; 227 m] | ONSITE ELECTRONICS RECYCLING LLC DBA IT REFRESH [FRS; 232 m] | CALIBER COLLISION CENTERS- FORT COLLINS- COMMERCE DR 0893 [FRS; 233 m] | F</t>
  </si>
  <si>
    <t xml:space="preserve">LARIMER ELECTRIC MOTOR CO [FRS; 158 m] | GREELEY SPRAY SERVICE (KINCAID) [FRS; 195 m] | XYJ INC [FRS; 198 m] | CALIBER COLLISION CENTER # 0893 [FRS; 233 m]</t>
  </si>
  <si>
    <t xml:space="preserve">AUTO ELECTRIC SERVICE &amp; EXCHANGE</t>
  </si>
  <si>
    <t xml:space="preserve">S03470</t>
  </si>
  <si>
    <t xml:space="preserve">334 MOUNTAIN AYVE</t>
  </si>
  <si>
    <t xml:space="preserve">SCHNEIOMILLER INDUSTRIES INC (1977; SIC 3599)</t>
  </si>
  <si>
    <t xml:space="preserve">SCHNEIOMILLER INDUSTRIES INC (1977)</t>
  </si>
  <si>
    <t xml:space="preserve">LARIMER COUNTY COURTHOUSE [FRS; 205 m]</t>
  </si>
  <si>
    <t xml:space="preserve">STEELE MARKET #1 [FRS; 20 m] | MAXIMUM PAINTING, LLC [FRS; 99 m] | RE/MAX ALLIANCE [FRS; 123 m] | OAK STREET STORMWATER [FRS; 166 m] | LARIMER COUNTY - PRINTING SERVICES DEPT [FRS; 205 m] | CITY OF FORT COLLINS POLICE SERVICES [FRS; 216 m] | FORT COLLINS, CITY OF [FRS; 226 m] | GRAVES RANCH CO [FRS; 226 m] | FORT COLLINS UTILITIES ADMIN BLDG [FRS; 238 m]</t>
  </si>
  <si>
    <t xml:space="preserve">S03486</t>
  </si>
  <si>
    <t xml:space="preserve">233 SW 14TH ST</t>
  </si>
  <si>
    <t xml:space="preserve">WINTERGREEN INOUSTRIES INC (1977; SIC 2499,3423,2299) | WINTERGREEN DIV-PIEDMONT SALES INC (1980; SIC 2499,3423,2299)</t>
  </si>
  <si>
    <t xml:space="preserve">WINTERGREEN INOUSTRIES INC (1977) | WINTERGREEN DIV-PIEDMONT SALES INC (1980)</t>
  </si>
  <si>
    <t xml:space="preserve">US WEST COMMUNICATIONS [FRS; 8 m] | WARNERS AUTO BODY &amp; SALES INC [FRS; 60 m] | CIRCLE CIRCUITS INC [CDPHE RCRA; 130 m] | FERRERO AUTO CENTER [FRS; 137 m] | WM-PRODUCT RECOVERY SERVICES [CDPHE RCRA; 205 m] | WM-PRODUCT RECOVERY SERVICES [FRS; 234 m]</t>
  </si>
  <si>
    <t xml:space="preserve">SONOCO PRODUCTS COMPANY [FRS; 207 m] | PRG MORDELL [FRS; 216 m] | BEAUDREY AMERICAN SERVICES, LLC [FRS; 224 m]</t>
  </si>
  <si>
    <t xml:space="preserve">US WEST COMMUNICATIONS</t>
  </si>
  <si>
    <t xml:space="preserve">S03488</t>
  </si>
  <si>
    <t xml:space="preserve">8017 1ST ST</t>
  </si>
  <si>
    <t xml:space="preserve">BLAKELEY-WELL-GROe INC. (1977; SIC 2875,2879)</t>
  </si>
  <si>
    <t xml:space="preserve">BLAKELEY-WELL-GROe INC. (1977)</t>
  </si>
  <si>
    <t xml:space="preserve">SEAWORTH AGENT INC [FRS] (address match)</t>
  </si>
  <si>
    <t xml:space="preserve">KAISER ESTECH DIVISON OF VIGORO INDUSTRIES [FRS; 11 m]</t>
  </si>
  <si>
    <t xml:space="preserve">SEAWORTH AGENT INC</t>
  </si>
  <si>
    <t xml:space="preserve">S04258</t>
  </si>
  <si>
    <t xml:space="preserve">295 BUNYAN AVE</t>
  </si>
  <si>
    <t xml:space="preserve">PHGHASON VALLEY MACHINE SHOP INC (1980; SIC 3599) | THOMPSON VALLEY MACHINE SHOP INC (1983-1990; SIC 3599) | MACHINE SHOP INS (1988; SIC 3599)</t>
  </si>
  <si>
    <t xml:space="preserve">PHGHASON VALLEY MACHINE SHOP INC (1980) | CHILO CaRE CO (1980) | ROCKY MOUNTAIN NUGGETS» LTD (1983) | THOMPSON VALLEY MACHINE SHOP INC (1983) | MACHINE SHOP INS (1988)</t>
  </si>
  <si>
    <t xml:space="preserve">PROTREAT TECHNOLOGY CORP [FRS; 20 m] | SUMMIT TECHNOLOGIES INC [FRS] (address match)</t>
  </si>
  <si>
    <t xml:space="preserve">PROTREAT TECHNOLOGY CORP</t>
  </si>
  <si>
    <t xml:space="preserve">S04265</t>
  </si>
  <si>
    <t xml:space="preserve">1725 HEATH PKY</t>
  </si>
  <si>
    <t xml:space="preserve">ALPINE PLASTICS INC (1980; SIC 3544,3599) | PRECISION MACHINING (1983; SIC 3599)</t>
  </si>
  <si>
    <t xml:space="preserve">ALPINE PLASTICS INC (1980) | PRECISION MACHINING (1983)</t>
  </si>
  <si>
    <t xml:space="preserve">PROMATS LANDALITE [FRS; 50 m] | FINISHMASTER INC #244 [FRS; 52 m] | ONSITE ELECTRONICS RECYCLING LLC DBA IT REFRESH [FRS; 57 m] | INNOVATIVE PROMOTIONS INC [FRS; 57 m] | TOLMAR INC [FRS; 57 m] | CALIBER COLLISION CENTERS- FORT COLLINS- COMMERCE DR 0893 [FRS; 84 m] | PARAGON ANALYTICS [FRS; 96 m] | CALIBER COLLISION CENTERS- FORT COLLINS- COMMERCE DR 0893 [CDPHE RCRA; 106 m] | CHECK POINT AUTO [FRS</t>
  </si>
  <si>
    <t xml:space="preserve">I.T. Refresh/ITR [CDPHE Solid_Waste_Facilities; 249 m]</t>
  </si>
  <si>
    <t xml:space="preserve">CALIBER COLLISION CENTER # 0893 [FRS; 84 m] | BINGHAM HILL CHEESE COMPANY [FRS; 197 m] | ONSITE ELECTRONIC RECYCLING DBA IT REFRESH [FRS; 245 m]</t>
  </si>
  <si>
    <t xml:space="preserve">PROMATS LANDALITE</t>
  </si>
  <si>
    <t xml:space="preserve">S04277</t>
  </si>
  <si>
    <t xml:space="preserve">1405 E OLIVE CT</t>
  </si>
  <si>
    <t xml:space="preserve">TECHNICAL MOLDED PRODUCTS» INC. (1980; SIC 3079,3842) | TECHNICAL MOLDED PRODUCTS INC (1990; SIC 3089,3842)</t>
  </si>
  <si>
    <t xml:space="preserve">LANDALITE INC (1980) | TECHNICAL MOLDED PRODUCTS» INC. (1980) | LANDALITE INC (1983) | TECHNICAL MOLDED PRODUCTS» INC. 2791 COMPOSITION VIA TYPSETTER=WORDPRCSR (1983) | TECHNICAL MOLDED PRODUCTS INC (1990)</t>
  </si>
  <si>
    <t xml:space="preserve">JIM WELTY PROPERTY [FRS; 21 m] | JEFFCO DESIGNS [FRS; 21 m] | JIM WELTY PROPERTY [FRS] (address match)</t>
  </si>
  <si>
    <t xml:space="preserve">JIM WELTY PROPERTY</t>
  </si>
  <si>
    <t xml:space="preserve">S04281</t>
  </si>
  <si>
    <t xml:space="preserve">6024 S COLLEGE AVE</t>
  </si>
  <si>
    <t xml:space="preserve">RECYCLED CYCLES (1980-1983; SIC 3752) | COLLINS PLATING (1983; SIC 3471)</t>
  </si>
  <si>
    <t xml:space="preserve">RECYCLED CYCLES (1980) | COLLINS PLATING (1983)</t>
  </si>
  <si>
    <t xml:space="preserve">COLLINS PLATING [FRS; name match, 16 m]</t>
  </si>
  <si>
    <t xml:space="preserve">SOUTH COLLEGE SELF STORAGE [FRS; 10 m]</t>
  </si>
  <si>
    <t xml:space="preserve">COLLINS PLATING</t>
  </si>
  <si>
    <t xml:space="preserve">S04284</t>
  </si>
  <si>
    <t xml:space="preserve">1730 E PROSPECT ST</t>
  </si>
  <si>
    <t xml:space="preserve">TELEDYNE WATER PIK (1980; SIC 3843,3079) | TELEDYNE WATER PIK (1990; SIC 3089,3843)</t>
  </si>
  <si>
    <t xml:space="preserve">TELEDYNE WATER PIK (1980) | TELEDYNE WATER PIK (1990)</t>
  </si>
  <si>
    <t xml:space="preserve">WATER PIK INC [FRS; name match, 30 m] | SURGERY CENTER OF NORTHERN COLORADO [FRS; 9 m] | WHIP MIX CORPORATION [FRS; 30 m] | ROBERTSHAW CONTROLS COON [FRS; 177 m]</t>
  </si>
  <si>
    <t xml:space="preserve">RIVERSIDE STORAGE [FRS; 238 m]</t>
  </si>
  <si>
    <t xml:space="preserve">SURGERY CENTER OF NORTHERN COLORADO</t>
  </si>
  <si>
    <t xml:space="preserve">S04295</t>
  </si>
  <si>
    <t xml:space="preserve">260 SW 2ND</t>
  </si>
  <si>
    <t xml:space="preserve">COLORADO STEEL + WIRE CO (1980; SIC 3312)</t>
  </si>
  <si>
    <t xml:space="preserve">COLORADO STEEL + WIRE CO (1980)</t>
  </si>
  <si>
    <t xml:space="preserve">COLORADO STEEL &amp; WIRE CO [FRS; name match, 33 m] | COLORADO STEEL &amp; WIRE CO [FRS; name match, 113 m] | MOTOR SPORTS WAREHOUSE [FRS; 44 m] | TECHCYCLE [CDPHE RCRA; 61 m] | TECHCYCLE [FRS; 101 m]</t>
  </si>
  <si>
    <t xml:space="preserve">COLORADO STEEL &amp; WIRE CO [FRS; name match, 114 m] | GARFIELD-HARRISON STORM DRAINAGE IMPROVEMENTS [FRS; 125 m] | LOVELAND FAIRGROUNDS PARK [FRS; 225 m] | ARM PETROLEUM [FRS; 243 m]</t>
  </si>
  <si>
    <t xml:space="preserve">COLORADO STEEL &amp; WIRE CO</t>
  </si>
  <si>
    <t xml:space="preserve">S04300</t>
  </si>
  <si>
    <t xml:space="preserve">893 DES MOINES AVE</t>
  </si>
  <si>
    <t xml:space="preserve">QUALITY MACHINE INCORPORATED (1980; SIC 3079)</t>
  </si>
  <si>
    <t xml:space="preserve">QUALITY MACHINE INCORPORATED (1980)</t>
  </si>
  <si>
    <t xml:space="preserve">LINDE INC [FRS; 15 m]</t>
  </si>
  <si>
    <t xml:space="preserve">S04306</t>
  </si>
  <si>
    <t xml:space="preserve">1303 E 11TH ST</t>
  </si>
  <si>
    <t xml:space="preserve">1980;1990;1992</t>
  </si>
  <si>
    <t xml:space="preserve">SUPER VACUUM MFG CO (1980-1992; SIC 3564,3648)</t>
  </si>
  <si>
    <t xml:space="preserve">SUPER VACUUM MFG CO (1980) | POWER BLAST INC SUPER VACUUM MFG CO (1983)</t>
  </si>
  <si>
    <t xml:space="preserve">SUPER VACUUM MANUFACTURING COMPANY, INCORPORATED [FRS; name match, 4 m] | SUPER VACUUM MANUFACTURING COMPANY, INCORPORATED [FRS] (address match)</t>
  </si>
  <si>
    <t xml:space="preserve">TGWSC AGR MGR [FRS; 5 m] | WARD CONST - GREAT WESTERN SALVAGE SITE [FRS; 5 m] | OMNITRAX LEASING LTD [FRS; 5 m]</t>
  </si>
  <si>
    <t xml:space="preserve">SUPER VACUUM MANUFACTURING COMPANY, INCORPORATED</t>
  </si>
  <si>
    <t xml:space="preserve">S04308</t>
  </si>
  <si>
    <t xml:space="preserve">4604 MEDFORD OR</t>
  </si>
  <si>
    <t xml:space="preserve">WEATHER SHIELD MANUFACTURING INC (1980-1990; SIC 2431,3442)</t>
  </si>
  <si>
    <t xml:space="preserve">WEATHER SHIELD MANUFACTURING INC (1980)</t>
  </si>
  <si>
    <t xml:space="preserve">CASCADE WINDOWS [FRS; 20 m] | GENESIS INNOVATIONS INC [FRS; 21 m]</t>
  </si>
  <si>
    <t xml:space="preserve">CASCADE WINDOWS</t>
  </si>
  <si>
    <t xml:space="preserve">S05122</t>
  </si>
  <si>
    <t xml:space="preserve">1422 WEBSTER AVE</t>
  </si>
  <si>
    <t xml:space="preserve">CENTENNIAL ARC PRODUCTS INC (1983; SIC 3469,3623) | HELIOS HEAT (1983; SIC 3433,3623) | SAVERGYs INC. (1983; SIC 3573)</t>
  </si>
  <si>
    <t xml:space="preserve">CENTENNIAL ARC PRODUCTS INC (1983) | HELIOS HEAT (1983) | SAVERGYs INC. (1983)</t>
  </si>
  <si>
    <t xml:space="preserve">FRONTIER PRINTING [FRS; 20 m] | KUSTOM PAINT &amp; TRIM INC [FRS; 24 m]</t>
  </si>
  <si>
    <t xml:space="preserve">FRONTIER PRINTING</t>
  </si>
  <si>
    <t xml:space="preserve">S05123</t>
  </si>
  <si>
    <t xml:space="preserve">1309 WEBSTER AVE</t>
  </si>
  <si>
    <t xml:space="preserve">SHAW SIGN + AWNING INC (1990; SIC 3444,3993,3953)</t>
  </si>
  <si>
    <t xml:space="preserve">CITIZEN PRINTING COs INC (1983) | ELECTRONIC TECHNIQUES INC (1983) | ETI INSTRUMENT SYSTEMS = (1990) | SHAW SIGN + AWNING INC (1990)</t>
  </si>
  <si>
    <t xml:space="preserve">SHAW SIGN &amp; AWNING INC [FRS; name match, 35 m]</t>
  </si>
  <si>
    <t xml:space="preserve">CITIZEN PRINTING CO INC [FRS; name match, 6 m] | CITIZEN PRINTING CO INC [FRS] (address match)</t>
  </si>
  <si>
    <t xml:space="preserve">SHAW SIGN &amp; AWNING INC</t>
  </si>
  <si>
    <t xml:space="preserve">S05129</t>
  </si>
  <si>
    <t xml:space="preserve">404 S SUMMIT VIEW</t>
  </si>
  <si>
    <t xml:space="preserve">TILES, BARTHENWR FORT COLLINS PRECAST (1988; SIC 3272,3449) | FORT COLLINS PRECAST (1990; SIC 3272,3449)</t>
  </si>
  <si>
    <t xml:space="preserve">FORT COLLINS PRECAST (1983) | TILES, BARTHENWR FORT COLLINS PRECAST (1988)</t>
  </si>
  <si>
    <t xml:space="preserve">RUSPORT INC [FRS; 21 m]</t>
  </si>
  <si>
    <t xml:space="preserve">LINCOLN SEWER REHABILITATION [FRS; 7 m]</t>
  </si>
  <si>
    <t xml:space="preserve">HD SUPPLY CONSTRUCTION SUPPLY, LTD WC043</t>
  </si>
  <si>
    <t xml:space="preserve">S05137</t>
  </si>
  <si>
    <t xml:space="preserve">300 LINCON CT</t>
  </si>
  <si>
    <t xml:space="preserve">POINT-FIVE WINDOWS MFGe (1983; SIC 3442,3211) | GENERAL CUSTOM BLENDING INC (1988; SIC 2087,2869,3108)</t>
  </si>
  <si>
    <t xml:space="preserve">POINT-FIVE WINDOWS MFGe (1983) | GENERAL CUSTOM BLENDING INC (1988)</t>
  </si>
  <si>
    <t xml:space="preserve">COLORADO HISTO-PREP [FRS; 12 m]</t>
  </si>
  <si>
    <t xml:space="preserve">COLORADO HISTO-PREP</t>
  </si>
  <si>
    <t xml:space="preserve">S05150</t>
  </si>
  <si>
    <t xml:space="preserve">1065 POPLAR STS</t>
  </si>
  <si>
    <t xml:space="preserve">CLASSIC PLASTICS INC (1990-1992; SIC 3089) | ARTISAN PATTERN CO INC. (1992; SIC 3565,3999)</t>
  </si>
  <si>
    <t xml:space="preserve">INNOVATIVE KITCHENS INC. (1983) | CLASSIC PLASTICS INC (1990) | ARTISAN PATTERN CO INC. (1992)</t>
  </si>
  <si>
    <t xml:space="preserve">EARTHENTERRISES INC DBA WASTE-NOT RECYC [FRS; 61 m] | EARTHENTERRISES INC DBA WASTE-NOT RECYC [CDPHE RCRA; 61 m] | WELD COUNTY JOHNSTOWN SHOP [FRS; 147 m]</t>
  </si>
  <si>
    <t xml:space="preserve">EARTH ENTERPRISES INC - WASTE NOT RECYCL [FRS; 72 m]</t>
  </si>
  <si>
    <t xml:space="preserve">EARTHENTERRISES INC DBA WASTE-NOT RECYC</t>
  </si>
  <si>
    <t xml:space="preserve">S05154</t>
  </si>
  <si>
    <t xml:space="preserve">2307 W 6TH</t>
  </si>
  <si>
    <t xml:space="preserve">LOVELAND INDUSTRIES INC (1983; SIC 2879,2048)</t>
  </si>
  <si>
    <t xml:space="preserve">LOVELAND INDUSTRIES INC (1983)</t>
  </si>
  <si>
    <t xml:space="preserve">WALT CLARK MIDDLE SCHOOL [CDPHE RCRA; 206 m]</t>
  </si>
  <si>
    <t xml:space="preserve">WALT CLARK MIDDLE SCHOOL</t>
  </si>
  <si>
    <t xml:space="preserve">S05156</t>
  </si>
  <si>
    <t xml:space="preserve">1402 W EISENHOWER</t>
  </si>
  <si>
    <t xml:space="preserve">LOVELAND RUBBER STAMP + COPY COMPANY (1983; SIC 3953,3079)</t>
  </si>
  <si>
    <t xml:space="preserve">LOVELAND RUBBER STAMP + COPY COMPANY (1983)</t>
  </si>
  <si>
    <t xml:space="preserve">SAFEWAY 804 [FRS; 11 m] | SALLY BEAUTY SUPPLY #1800 [FRS; 21 m]</t>
  </si>
  <si>
    <t xml:space="preserve">SAFEWAY 804</t>
  </si>
  <si>
    <t xml:space="preserve">S05309</t>
  </si>
  <si>
    <t xml:space="preserve">210 BUNYAN AVE</t>
  </si>
  <si>
    <t xml:space="preserve">LURES + BAITS Macs? PROBUCrs (1988; SIC 3482) | BERTHOUD SCREW MACHINE PRODUCTS (1990-1992; SIC 3452)</t>
  </si>
  <si>
    <t xml:space="preserve">LURES + BAITS Macs? PROBUCrs (1988) | BERTHOUD SCREW MACHINE PRODUCTS (1990)</t>
  </si>
  <si>
    <t xml:space="preserve">BERTHOUD ANODIZING INC. [FRS] (address match) | ASPEN LEAF KITCHENS LTD [CDPHE RCRA] (address match)</t>
  </si>
  <si>
    <t xml:space="preserve">S05780</t>
  </si>
  <si>
    <t xml:space="preserve">1413 DUFF DR</t>
  </si>
  <si>
    <t xml:space="preserve">AMERICAN VETERINARY PRODUCTS INC (1990; SIC 2834)</t>
  </si>
  <si>
    <t xml:space="preserve">PRINARY ING (1988) | AMERICAN VETERINARY PRODUCTS INC (1990)</t>
  </si>
  <si>
    <t xml:space="preserve">TOLMAR INC [FRS] (address match) | AKTIV PHARMA [CDPHE RCRA] (address match)</t>
  </si>
  <si>
    <t xml:space="preserve">WILDLIFE PHARMACEUTICALS INC</t>
  </si>
  <si>
    <t xml:space="preserve">S05782</t>
  </si>
  <si>
    <t xml:space="preserve">2643 MIDPOINT DR</t>
  </si>
  <si>
    <t xml:space="preserve">APOGEE ROBOTICS INC (1988; SIC 2643,3569,3829)</t>
  </si>
  <si>
    <t xml:space="preserve">APOGEE ROBOTICS INC (1988)</t>
  </si>
  <si>
    <t xml:space="preserve">INTERSTATES CONSTRUCTION SERVICES [FRS; 17 m]</t>
  </si>
  <si>
    <t xml:space="preserve">INTERSTATES CONSTRUCTION SERVICES</t>
  </si>
  <si>
    <t xml:space="preserve">S05789</t>
  </si>
  <si>
    <t xml:space="preserve">343 W DRAKE RD STE 105</t>
  </si>
  <si>
    <t xml:space="preserve">MANAGEMENT SYSTEMS INC. (1992; SIC 3713,3715)</t>
  </si>
  <si>
    <t xml:space="preserve">268 FORT COLLINS - FORT COLLINS A FEW CHOICE WORDS (1988) | MANAGEMENT SYSTEMS INC (1990)</t>
  </si>
  <si>
    <t xml:space="preserve">CSU VETERINARY TEACHING HOSPITAL [FRS; 14 m]</t>
  </si>
  <si>
    <t xml:space="preserve">COLORADO STATE UNIVERSITY VET TEACHING HOSPITAL [FRS; 14 m]</t>
  </si>
  <si>
    <t xml:space="preserve">CSU VETERINARY TEACHING HOSPITAL</t>
  </si>
  <si>
    <t xml:space="preserve">S05805</t>
  </si>
  <si>
    <t xml:space="preserve">617 N SUMMIT VIEW</t>
  </si>
  <si>
    <t xml:space="preserve">SECRETARY STEEL FABRICATORS (1988-1990; SIC 3441,3446,3449)</t>
  </si>
  <si>
    <t xml:space="preserve">SECRETARY STEEL FABRICATORS (1988)</t>
  </si>
  <si>
    <t xml:space="preserve">STEEL FABRICATORS, INC. [FRS; name match, 53 m]</t>
  </si>
  <si>
    <t xml:space="preserve">STEEL FABRICATORS, INC.</t>
  </si>
  <si>
    <t xml:space="preserve">S05812</t>
  </si>
  <si>
    <t xml:space="preserve">3350 EASTBROOK</t>
  </si>
  <si>
    <t xml:space="preserve">VALUE PLASTICS INC (1988-1992; SIC 3089)</t>
  </si>
  <si>
    <t xml:space="preserve">VALUE PLASTICS INC (1988)</t>
  </si>
  <si>
    <t xml:space="preserve">VALUE PLASTICS INC - A NORDSON COMPANY [FRS; name match, 184 m] | USDA/APHIS/WS/NWRC [FRS; 18 m]</t>
  </si>
  <si>
    <t xml:space="preserve">VALUE PLASTICS FORT COLLINS [FRS; name match, 182 m]</t>
  </si>
  <si>
    <t xml:space="preserve">LSI Facility</t>
  </si>
  <si>
    <t xml:space="preserve">SYMBIOS LOGIC INC</t>
  </si>
  <si>
    <t xml:space="preserve">USDA/APHIS/WS/NWRC</t>
  </si>
  <si>
    <t xml:space="preserve">S05817</t>
  </si>
  <si>
    <t xml:space="preserve">112 RACQUETTE DR</t>
  </si>
  <si>
    <t xml:space="preserve">PERNICKA CORP (1988-1990; SIC 3559,3821,3829) | YANT MFG INC (1988-1990; SIC 3499) | TELEDYNE WATER PK (1992; SIC 3069,3843,2672)</t>
  </si>
  <si>
    <t xml:space="preserve">PERNICKA CORP (1988) | YANT MFG INC (1988) | TELETECH TYPESETTING + LABEL CO INC (1990) | TELEDYNE WATER PK (1992)</t>
  </si>
  <si>
    <t xml:space="preserve">TELETECH LABEL COMPANY INC [FRS; name match, 17 m] | TRE ENVIRONMENTAL STRATEGIES LLC [FRS; 10 m] | GENERAL AVIATION COMPONENTS [FRS; 10 m] | ENVIRONMENTAL OFFICE SOLUTIONS [FRS; 28 m] | FORTE ANALYTICAL LLC [FRS; 28 m]</t>
  </si>
  <si>
    <t xml:space="preserve">FRONT RANGE POWDER COATING [FRS; 28 m] | GEO-SEIS HELICOPTERS [FRS; 43 m] | LIQUID IMPACT WATER JET [FRS; 48 m]</t>
  </si>
  <si>
    <t xml:space="preserve">TRE ENVIRONMENTAL STRATEGIES LLC</t>
  </si>
  <si>
    <t xml:space="preserve">S05997</t>
  </si>
  <si>
    <t xml:space="preserve">1410 E 11TH ST</t>
  </si>
  <si>
    <t xml:space="preserve">80853</t>
  </si>
  <si>
    <t xml:space="preserve">CHEYENNE WESTERN CORP (1988; SIC 3081)</t>
  </si>
  <si>
    <t xml:space="preserve">CHEYENNE WESTERN CORP (1988)</t>
  </si>
  <si>
    <t xml:space="preserve">GENESIS INNOVATIONS [FRS; 16 m]</t>
  </si>
  <si>
    <t xml:space="preserve">GENESIS INNOVATIONS</t>
  </si>
  <si>
    <t xml:space="preserve">S05998</t>
  </si>
  <si>
    <t xml:space="preserve">5726 BYRD DR</t>
  </si>
  <si>
    <t xml:space="preserve">EQUIPMENT COLLINS PLATING CORP (1988-1990; SIC 3471,3714)</t>
  </si>
  <si>
    <t xml:space="preserve">EQUIPMENT COLLINS PLATING CORP (1988)</t>
  </si>
  <si>
    <t xml:space="preserve">COLLINS COLLISION PRODUCTS [FRS; 3 m] | COLLINS COLLISION PRODUCTS [FRS] (address match) | COLLINS COLLISION PRODUCTS INC [CDPHE RCRA] (address match)</t>
  </si>
  <si>
    <t xml:space="preserve">COLLINS COLLISION PRODUCTS</t>
  </si>
  <si>
    <t xml:space="preserve">S05999</t>
  </si>
  <si>
    <t xml:space="preserve">165 SW 2ND</t>
  </si>
  <si>
    <t xml:space="preserve">COLORADO STEEL+WIRE (1988-1990; SIC 3312)</t>
  </si>
  <si>
    <t xml:space="preserve">COLORADO STEEL+WIRE (1988)</t>
  </si>
  <si>
    <t xml:space="preserve">COLORADO STEEL &amp; WIRE CO [FRS; name match, 1 m] | COLORADO STEEL &amp; WIRE CO [FRS; name match, 79 m] | MOTOR SPORTS WAREHOUSE [FRS; 9 m] | TECHCYCLE [CDPHE RCRA; 27 m] | TECHCYCLE [FRS; 67 m] | FOOTHILLS SPECIALTY ELECTRONICS [FRS; 227 m]</t>
  </si>
  <si>
    <t xml:space="preserve">COLORADO STEEL &amp; WIRE CO [FRS; name match, 79 m] | GARFIELD-HARRISON STORM DRAINAGE IMPROVEMENTS [FRS; 115 m] | LOVELAND FAIRGROUNDS PARK [FRS; 194 m] | ARM PETROLEUM [FRS; 211 m]</t>
  </si>
  <si>
    <t xml:space="preserve">S06004</t>
  </si>
  <si>
    <t xml:space="preserve">5600 LINDBERGH DR</t>
  </si>
  <si>
    <t xml:space="preserve">CENTRLS GRIND HACH CO (1988; SIC 2819,3821) | HACH CO (1990; SIC 2819,3821)</t>
  </si>
  <si>
    <t xml:space="preserve">CENTRLS GRIND HACH CO (1988) | HACH CO (1990)</t>
  </si>
  <si>
    <t xml:space="preserve">HACH COMPANY [CDPHE RCRA] (address match)</t>
  </si>
  <si>
    <t xml:space="preserve">EAGLE AIR JET SERVICES LLC</t>
  </si>
  <si>
    <t xml:space="preserve">S06016</t>
  </si>
  <si>
    <t xml:space="preserve">609 14TH ST SW</t>
  </si>
  <si>
    <t xml:space="preserve">TRUCKS TELEDYNE WATER PIK (1988; SIC 3589,3842)</t>
  </si>
  <si>
    <t xml:space="preserve">TRUCKS TELEDYNE WATER PIK (1988)</t>
  </si>
  <si>
    <t xml:space="preserve">TDP INC DBA/VERGENT PRODUCTS [FRS; 39 m] | TDP INC DBA/VERGENT PRODUCTS [FRS] (address match) | TDP INC DBA/VERGENT PRODUCTS [CDPHE RCRA] (address match)</t>
  </si>
  <si>
    <t xml:space="preserve">SITESTONE SW [FRS; 39 m] | WATERPIK TECHNOLOGIES, INC [FRS; 39 m]</t>
  </si>
  <si>
    <t xml:space="preserve">TDP INC DBA/VERGENT PRODUCTS</t>
  </si>
  <si>
    <t xml:space="preserve">S06574</t>
  </si>
  <si>
    <t xml:space="preserve">2421 INTERNATIONAL BIVD</t>
  </si>
  <si>
    <t xml:space="preserve">ALPINE MANUFACTURING INC (1990; SIC 3089,3499,3599)</t>
  </si>
  <si>
    <t xml:space="preserve">ALPINE MANUFACTURING INC (1990)</t>
  </si>
  <si>
    <t xml:space="preserve">ALPINE MANUFACTURING INCORPORATED [FRS; name match, 45 m]</t>
  </si>
  <si>
    <t xml:space="preserve">ALPINE MANUFACTURING INCORPORATED</t>
  </si>
  <si>
    <t xml:space="preserve">S06599</t>
  </si>
  <si>
    <t xml:space="preserve">2625 MIDPOINT DR STE F</t>
  </si>
  <si>
    <t xml:space="preserve">RICHARDSON INTERNATIONAL INC (1990; SIC 3544)</t>
  </si>
  <si>
    <t xml:space="preserve">RICHARDSON INTERNATIONAL INC (1990)</t>
  </si>
  <si>
    <t xml:space="preserve">VARIAN NMRI [FRS; 34 m] | INDIVIOR INC [FRS; 34 m]</t>
  </si>
  <si>
    <t xml:space="preserve">VARIAN NMRI</t>
  </si>
  <si>
    <t xml:space="preserve">S06764</t>
  </si>
  <si>
    <t xml:space="preserve">4105 N GARFIELD 102</t>
  </si>
  <si>
    <t xml:space="preserve">BEAR RUBBER STAMPS (1990; SIC 3089,3069)</t>
  </si>
  <si>
    <t xml:space="preserve">BEAR RUBBER STAMPS (1990)</t>
  </si>
  <si>
    <t xml:space="preserve">CALIBER COLLISION CENTER - LOVELAND 0831 [CDPHE RCRA; 192 m]</t>
  </si>
  <si>
    <t xml:space="preserve">COMPSON SELF STORAGE [FRS; 2 m] | MM SOLUTIONS WAREHOUSE [FRS; 47 m] | DUTCH BROTHERS COFFEE [FRS; 228 m] | KELLER WILLIAMS LOVELAND [FRS; 242 m]</t>
  </si>
  <si>
    <t xml:space="preserve">CALIBER COLLISION CENTER - LOVELAND 0831</t>
  </si>
  <si>
    <t xml:space="preserve">S06772</t>
  </si>
  <si>
    <t xml:space="preserve">950 DES MOINES AVE</t>
  </si>
  <si>
    <t xml:space="preserve">INDUSTRIAL GASES INC (1990; SIC 2813)</t>
  </si>
  <si>
    <t xml:space="preserve">INDUSTRIAL GASES INC (1990)</t>
  </si>
  <si>
    <t xml:space="preserve">PRECISION AUTOMOTIVE [FRS; 12 m] | LINDE INC [FRS] (address match) | LINDE INC [CDPHE RCRA] (address match)</t>
  </si>
  <si>
    <t xml:space="preserve">PRECISION AUTOMOTIVE</t>
  </si>
  <si>
    <t xml:space="preserve">S06233</t>
  </si>
  <si>
    <t xml:space="preserve">166 8TH ST</t>
  </si>
  <si>
    <t xml:space="preserve">ANDREWS SAND + GRAVEL (1992; SIC 3295,2951)</t>
  </si>
  <si>
    <t xml:space="preserve">ANDREWS SAND + GRAVEL (1990)</t>
  </si>
  <si>
    <t xml:space="preserve">COLORADO DEPT OF TRANS - LIMON [CDPHE RCRA; 216 m]</t>
  </si>
  <si>
    <t xml:space="preserve">COLORADO DEPT OF TRANS - LIMON</t>
  </si>
  <si>
    <t xml:space="preserve">S00448</t>
  </si>
  <si>
    <t xml:space="preserve">111 N FRONT ST</t>
  </si>
  <si>
    <t xml:space="preserve">1965;1973;1974</t>
  </si>
  <si>
    <t xml:space="preserve">MAXWELL SHEET METAL (1965-1974; SIC 3449)</t>
  </si>
  <si>
    <t xml:space="preserve">MAXWELL SHEET METAL (1965)</t>
  </si>
  <si>
    <t xml:space="preserve">UNION PACIFIC RAILROAD [FRS; 22 m]</t>
  </si>
  <si>
    <t xml:space="preserve">WOOLWORTH BUILDING</t>
  </si>
  <si>
    <t xml:space="preserve">S05166</t>
  </si>
  <si>
    <t xml:space="preserve">108 SUGAR MILL RD</t>
  </si>
  <si>
    <t xml:space="preserve">STRONG BOND MFG CO 2099 PICKLING MXS»SPICES+MEAT SEASONINGS (1983; SIC 3523)</t>
  </si>
  <si>
    <t xml:space="preserve">STRONG BOND MFG CO 2099 PICKLING MXS»SPICES+MEAT SEASONINGS (1983)</t>
  </si>
  <si>
    <t xml:space="preserve">GRIFFITH AUTO ELECTRIC [FRS] (address match) | GRIFFITH AUTO ELECTRIC LLC [CDPHE RCRA] (address match)</t>
  </si>
  <si>
    <t xml:space="preserve">GRIFFITH AUTO ELECTRIC LLC</t>
  </si>
  <si>
    <t xml:space="preserve">S00456</t>
  </si>
  <si>
    <t xml:space="preserve">705 INDEPENCENT AVE</t>
  </si>
  <si>
    <t xml:space="preserve">BERRY, DON, INC.” (1965; SIC 3549)</t>
  </si>
  <si>
    <t xml:space="preserve">BERRY, DON, INC.” (1965)</t>
  </si>
  <si>
    <t xml:space="preserve">WESERN SLOPE IMAGING [FRS; 15 m] | TRI-STAR CORP [FRS; 59 m] | MONTES MOTOR CITY TRANS CENTER [FRS; 134 m] | LINCOLN DEVORE TESTING LABORATORY INC [FRS; 145 m] | PRECISION ENGINE AND AUTOMOTIVE [FRS; 150 m] | METRIC AUTOMOTIVE INC [FRS; 170 m]</t>
  </si>
  <si>
    <t xml:space="preserve">WEST LAKE DETENTION [FRS; 87 m] | POWDER COATING SPECIALTIES [FRS; 109 m]</t>
  </si>
  <si>
    <t xml:space="preserve">WESERN SLOPE IMAGING</t>
  </si>
  <si>
    <t xml:space="preserve">S00457</t>
  </si>
  <si>
    <t xml:space="preserve">513 UTE AVE</t>
  </si>
  <si>
    <t xml:space="preserve">BRATTON WINDOW COMPANY (1966-1977; SIC 3714)</t>
  </si>
  <si>
    <t xml:space="preserve">RATTCN WINCOW COMPANY (1965) | BRATTON WINDOW COMPANY (1966) | BRATTON WINDOR COMPANY 2011 MEAT PACKING PLANTS (1974)</t>
  </si>
  <si>
    <t xml:space="preserve">J.S. AUTO [FRS; 5 m]</t>
  </si>
  <si>
    <t xml:space="preserve">GREYHOUND LINES INC [FRS; 36 m]</t>
  </si>
  <si>
    <t xml:space="preserve">J.S. AUTO</t>
  </si>
  <si>
    <t xml:space="preserve">S00458</t>
  </si>
  <si>
    <t xml:space="preserve">2020 N AVE</t>
  </si>
  <si>
    <t xml:space="preserve">BRAWLEY, Re Fee AUTCMOTIVE MACH. (1965; SIC 3714)</t>
  </si>
  <si>
    <t xml:space="preserve">BRAWLEY, Re Fee AUTCMOTIVE MACH. (1965)</t>
  </si>
  <si>
    <t xml:space="preserve">TEAL CO (SIMPSON HOLLOWAY ETAL) [FRS; 28 m]</t>
  </si>
  <si>
    <t xml:space="preserve">STOP N SAVE [FRS; 19 m]</t>
  </si>
  <si>
    <t xml:space="preserve">WESTCOURT GROUP, INC.</t>
  </si>
  <si>
    <t xml:space="preserve">TEAL CO (SIMPSON HOLLOWAY ETAL)</t>
  </si>
  <si>
    <t xml:space="preserve">S00461</t>
  </si>
  <si>
    <t xml:space="preserve">420 S 6TH</t>
  </si>
  <si>
    <t xml:space="preserve">ALUMINUM SPECIALTIES CO (1977; SIC 3499,3589)</t>
  </si>
  <si>
    <t xml:space="preserve">COCA-COLA BOTTLING CO. (1965) | ALUMINUM SPECIALTIES CO (1977)</t>
  </si>
  <si>
    <t xml:space="preserve">MESA SUPPLY [FRS; 26 m]</t>
  </si>
  <si>
    <t xml:space="preserve">MESA SUPPLY</t>
  </si>
  <si>
    <t xml:space="preserve">S00467</t>
  </si>
  <si>
    <t xml:space="preserve">543 LAWRENCE AVE</t>
  </si>
  <si>
    <t xml:space="preserve">LAYTON SROTHERS DRUM CO. (1965; SIC 3459) | LAYTON BROTHERS DRUM CO (1973; SIC 3412) | LAYTON BROTHERS ORUM CO (1983; SIC 3412)</t>
  </si>
  <si>
    <t xml:space="preserve">LAYTON SROTHERS DRUM CO. (1965) | LAYTON BROTHERS DRUM CO (1973) |  (1977) | LAYTON BROTHERS ORUM CO (1983)</t>
  </si>
  <si>
    <t xml:space="preserve">HANSON CONTAINER [FRS; 2 m] | HANSON CONTAINER [FRS] (address match)</t>
  </si>
  <si>
    <t xml:space="preserve">LAYTON BROS DRUM CO AKA HANSEN CONTAINER [FRS; 2 m] | LAYTON BROS DRUM CO AKA HANSEN CONTAINER [FRS] (address match)</t>
  </si>
  <si>
    <t xml:space="preserve">HANSON CONTAINER</t>
  </si>
  <si>
    <t xml:space="preserve">S00468</t>
  </si>
  <si>
    <t xml:space="preserve">755 25 RO</t>
  </si>
  <si>
    <t xml:space="preserve">1965;1966;1968;1983</t>
  </si>
  <si>
    <t xml:space="preserve">MORRISCN REFINING CO. (1965-1968; SIC 2911) | SOUTHWESTERN REFINING COMPANY (1983; SIC 2911)</t>
  </si>
  <si>
    <t xml:space="preserve">MORRISCN REFINING CO. (1965) | SOUTHWESTERN REFINING COMPANY (1983)</t>
  </si>
  <si>
    <t xml:space="preserve">UTE PRODUCTION COMPANY FACILITY [FRS; 3 m]</t>
  </si>
  <si>
    <t xml:space="preserve">UTE PRODUCTION COMPANY FACILITY</t>
  </si>
  <si>
    <t xml:space="preserve">S01175</t>
  </si>
  <si>
    <t xml:space="preserve">700 INDEPENDENT AVE</t>
  </si>
  <si>
    <t xml:space="preserve">GRAND JUNCTION MACHINE + PLASTICS CO (1980; SIC 3532,3079)</t>
  </si>
  <si>
    <t xml:space="preserve">BERRY» DON, INC (1966) | TRI-STAR CORP (1974) | 354% SPECIAL DIES,TIOLS, JIGS + FIXTURES (1977) | GRAND JUNCTION MACHINE + PLASTICS CO (1980) | TRI-STAR CORP (1983) | UNIVERSAL CORP (1990)</t>
  </si>
  <si>
    <t xml:space="preserve">TRI-STAR CORP [FRS; name match, 66 m]</t>
  </si>
  <si>
    <t xml:space="preserve">WEST LAKE DETENTION [FRS; 39 m]</t>
  </si>
  <si>
    <t xml:space="preserve">TRI-STAR CORP</t>
  </si>
  <si>
    <t xml:space="preserve">S01177</t>
  </si>
  <si>
    <t xml:space="preserve">338 S 2ND ST</t>
  </si>
  <si>
    <t xml:space="preserve">1966;1967;1980</t>
  </si>
  <si>
    <t xml:space="preserve">CANVAS PRODUCTS CO (1966-1967; SIC 3532) | RAINBOW MARBLE PRODUCTS (1980; SIC 3079)</t>
  </si>
  <si>
    <t xml:space="preserve">CANVAS PRODUCTS CO (1966) | RAINBOW MARBLE PRODUCTS (1980)</t>
  </si>
  <si>
    <t xml:space="preserve">XPO - UGJ [CDPHE RCRA; 32 m]</t>
  </si>
  <si>
    <t xml:space="preserve">XPO - UGJ</t>
  </si>
  <si>
    <t xml:space="preserve">S01191</t>
  </si>
  <si>
    <t xml:space="preserve">2962 N AVE</t>
  </si>
  <si>
    <t xml:space="preserve">GRAND MATRESS CO (1980; SIC 2915)</t>
  </si>
  <si>
    <t xml:space="preserve">GRAND MATTRESS + UPHOLSTERY FACTORY (1966) | VEHICLES» THE 3829 MEASURING + CONTROLLING DEVICES, NEC (1973) | GRANC MATTRESS FACTORY (1974) | GRAND MATRESS CO (1980)</t>
  </si>
  <si>
    <t xml:space="preserve">WALGREENS STORE #9769 [FRS; 39 m] | WALGREENS STORE #9769 [CDPHE RCRA; 39 m]</t>
  </si>
  <si>
    <t xml:space="preserve">STINKER #322 29 ROAD [FRS; 46 m]</t>
  </si>
  <si>
    <t xml:space="preserve">492 Sparn</t>
  </si>
  <si>
    <t xml:space="preserve">WALGREENS STORE #9769</t>
  </si>
  <si>
    <t xml:space="preserve">S01197</t>
  </si>
  <si>
    <t xml:space="preserve">1325 N 9TH ST</t>
  </si>
  <si>
    <t xml:space="preserve">—— + COMPANY (1966; SIC 3441)</t>
  </si>
  <si>
    <t xml:space="preserve">—— + COMPANY (1966)</t>
  </si>
  <si>
    <t xml:space="preserve">SHERWIN WILLIAMS #7194 [FRS; 79 m]</t>
  </si>
  <si>
    <t xml:space="preserve">Sherwin-Williams #7194 [CDPHE Solid_Waste_Facilities; 78 m]</t>
  </si>
  <si>
    <t xml:space="preserve">CMU CENTENNIAL VILLAGE [FRS; 107 m] | TPI PETROLEUM INC  #4116 [FRS; 155 m] | BRAY AND COMPANY REAL ESTATE SALES [FRS; 174 m] | MESA STATE COLLEGE BUNTING AVE STUDENT HOUSING [FRS; 193 m] | CMU ROBINSON THEATRE RENOVATION [FRS; 234 m]</t>
  </si>
  <si>
    <t xml:space="preserve">S01198</t>
  </si>
  <si>
    <t xml:space="preserve">2749 US HUY 50</t>
  </si>
  <si>
    <t xml:space="preserve">MESA PIPE + BRIDGE (1966-1968; SIC 3449)</t>
  </si>
  <si>
    <t xml:space="preserve">MESA PIPE + BRIDGE (1966)</t>
  </si>
  <si>
    <t xml:space="preserve">SUPERIOR BODY SHOP INC [FRS; 144 m] | ED BOZARTH CHEVROLET BUICK PONTAIC INC [FRS; 189 m]</t>
  </si>
  <si>
    <t xml:space="preserve">SUPERIOR BODY SHOP INC</t>
  </si>
  <si>
    <t xml:space="preserve">S01199</t>
  </si>
  <si>
    <t xml:space="preserve">831 WINTERS</t>
  </si>
  <si>
    <t xml:space="preserve">1966;1970;1980;1990</t>
  </si>
  <si>
    <t xml:space="preserve">NORTHWEST MACHINE WORKS (1966-1990; SIC 3599) | NORTHWEST MACHINE WORKS (1980; SIC 3532,3599,3533)</t>
  </si>
  <si>
    <t xml:space="preserve">NORTHWEST MACHINE WORKS (1966) | NORTHWEST MACHINE WORKS 3679 ELECTRONIC (1973) | NORTHWEST MACHINE WORKS (1980)</t>
  </si>
  <si>
    <t xml:space="preserve">NORTHWEST MACHINE WORKS INC [FRS; name match, 18 m] | ORKIN EXTERMINATING CO INC [FRS; 18 m] | NATIVE NAVIGATION [FRS; 25 m]</t>
  </si>
  <si>
    <t xml:space="preserve">NORTHWEST MACHINE WORKS INC</t>
  </si>
  <si>
    <t xml:space="preserve">S01610</t>
  </si>
  <si>
    <t xml:space="preserve">1921 E MAIN</t>
  </si>
  <si>
    <t xml:space="preserve">Electronic components; Metal mining / ore milling</t>
  </si>
  <si>
    <t xml:space="preserve">1968;1970;1980;1983;1988;1990;1992</t>
  </si>
  <si>
    <t xml:space="preserve">SPARTON-COLCRACO INC (1968-1970; SIC 3679,3612,3564) | BRATTON WINDOW CORPORATION (1980-1992; SIC 3442,3231,3444) | CABINET MAKERS BRATTON WINDOW CORP (1988; SIC 3231,3442,3444)</t>
  </si>
  <si>
    <t xml:space="preserve"> (1967) | SPARTON-COLCRACO INC (1968) | BRATTON WINDOW CORPORATION (1980) | CABINET MAKERS BRATTON WINDOW CORP (1988)</t>
  </si>
  <si>
    <t xml:space="preserve">PERFORMANCE RADIATOR PACIFIC LLC [CDPHE RCRA; 37 m] | TELTECH COMMUNICATIONS LLC [CDPHE RCRA; 37 m] | SHRUMS AIR AUTOMOTIVE &amp; TRANSMISSION [CDPHE RCRA; 37 m] | NATIONAL COATINGS &amp; SUPPLIES [FRS; 37 m]</t>
  </si>
  <si>
    <t xml:space="preserve">BRATTON WINDOW AND DOOR [FRS; name match, 91 m]</t>
  </si>
  <si>
    <t xml:space="preserve">PERFORMANCE RADIATOR PACIFIC LLC</t>
  </si>
  <si>
    <t xml:space="preserve">S01611</t>
  </si>
  <si>
    <t xml:space="preserve">156 W GRAND AVE</t>
  </si>
  <si>
    <t xml:space="preserve">WESTERN SLOPE PLUMBING HEATING+SHEET METAL (1967-1970; SIC 3444)</t>
  </si>
  <si>
    <t xml:space="preserve">WESTERN SLOPE PLUMBING HEATING+SHEET METAL (1967)</t>
  </si>
  <si>
    <t xml:space="preserve">GAY JOHNSON'S INC. 1ST &amp; GRAND [FRS; 1 m]</t>
  </si>
  <si>
    <t xml:space="preserve">GAY JOHNSON'S INC. 1ST &amp; GRAND</t>
  </si>
  <si>
    <t xml:space="preserve">S02158</t>
  </si>
  <si>
    <t xml:space="preserve">2583 HWY 6 50</t>
  </si>
  <si>
    <t xml:space="preserve">WESTERN SLOPE WELOING SU! LY CO INC THE (1974-1983; SIC 2813) | THE WESTERN SLOPE WELDING SUPPLY CO (1990; SIC 2813) | GREAT WESTERN AIRGAS (1992; SIC 2813)</t>
  </si>
  <si>
    <t xml:space="preserve">URINCO (1970) | URANIUM INSTRUMENT CO Ze (1974) | WESTERN SLOPE WELOING SU! LY CO INC THE (1974) | THE WESTERN SLOPE WELDING SUPPLY CO (1990) | GREAT WESTERN AIRGAS (1992)</t>
  </si>
  <si>
    <t xml:space="preserve">LOWE'S OF GRAND JUNCTION, CO #1554 [FRS; 109 m] | SAM'S CLUB  #6360 [FRS; 110 m] | WAGNER EQUIPMENT CO [CDPHE RCRA; 191 m] | WAGNER EQUIPMENT CO [FRS; 191 m] | LOWE'S OF GRAND JUNCTION, CO #1554 [CDPHE RCRA; 238 m]</t>
  </si>
  <si>
    <t xml:space="preserve">CR BROWN OIL CO GO FER FOODS NO 10 [FRS; 133 m] | PANERA BREAD CAFE - GRAND JUNCTION [FRS; 175 m] | PURE COUNTY REAL ESTATE [FRS; 184 m] | ERA MURPHY AND ASSOCIATES [FRS; 195 m] | MODERN CLASSIC MOTORS SERVICE BUILDING [FRS; 235 m] | LOCO #54 [FRS; 248 m]</t>
  </si>
  <si>
    <t xml:space="preserve">LOWE'S OF GRAND JUNCTION, CO #1554</t>
  </si>
  <si>
    <t xml:space="preserve">S02678</t>
  </si>
  <si>
    <t xml:space="preserve">2848 N AVE</t>
  </si>
  <si>
    <t xml:space="preserve">BRAWLEY. R Fy JR. AUTOMOTIVE MACHINE SHOP (1973; SIC 3599)</t>
  </si>
  <si>
    <t xml:space="preserve">BRAWLEY. R Fy JR. AUTOMOTIVE MACHINE SHOP (1973) | BRAWLEY, KF, JR. AUTOMOTIVE MACHINE SKOP (1974)</t>
  </si>
  <si>
    <t xml:space="preserve">AUTOZONE #0817 [FRS; 6 m] | AUTOZONE #0817 [CDPHE RCRA; 34 m] | AUTOZONE #0817 [FRS] (address match) | AUTOZONE #0817 [CDPHE RCRA] (address match)</t>
  </si>
  <si>
    <t xml:space="preserve">AUTOZONE #0817</t>
  </si>
  <si>
    <t xml:space="preserve">S02684</t>
  </si>
  <si>
    <t xml:space="preserve">630 S 7TH</t>
  </si>
  <si>
    <t xml:space="preserve">DELTA PRODUCTS INC (1973-1980; SIC 3679,3714,3728)</t>
  </si>
  <si>
    <t xml:space="preserve">DELTA PRODUCTS INC (1973) |  (1977) | MESA FEED+FARM SUPPLY CO (1988)</t>
  </si>
  <si>
    <t xml:space="preserve">THE CD SMITH CO [FRS; 42 m]</t>
  </si>
  <si>
    <t xml:space="preserve">JIM DIBLE OIL COMPANY [FRS; 24 m]</t>
  </si>
  <si>
    <t xml:space="preserve">Lewco Metals</t>
  </si>
  <si>
    <t xml:space="preserve">CORRECYCLING INC</t>
  </si>
  <si>
    <t xml:space="preserve">THE CD SMITH CO</t>
  </si>
  <si>
    <t xml:space="preserve">S02689</t>
  </si>
  <si>
    <t xml:space="preserve">1325 N 5TH ST</t>
  </si>
  <si>
    <t xml:space="preserve">LANE + COMPANY (1973; SIC 3444)</t>
  </si>
  <si>
    <t xml:space="preserve">LANE + COMPANY (1973)</t>
  </si>
  <si>
    <t xml:space="preserve">MESA COUNTY VALLEY SCHOOL DIST 51 [CDPHE RCRA] (address match)</t>
  </si>
  <si>
    <t xml:space="preserve">NORTH AVE CLEANERS</t>
  </si>
  <si>
    <t xml:space="preserve">MESA COUNTY VALLEY SCHOOL DIST 51</t>
  </si>
  <si>
    <t xml:space="preserve">S02690</t>
  </si>
  <si>
    <t xml:space="preserve">309 PITKIN AVE</t>
  </si>
  <si>
    <t xml:space="preserve">LASER-DATA CORP (1973; SIC 3079,3861)</t>
  </si>
  <si>
    <t xml:space="preserve">LASER-DATA CORP (1973)</t>
  </si>
  <si>
    <t xml:space="preserve">TABER BODY PAINT &amp; FRAME [FRS; 33 m]</t>
  </si>
  <si>
    <t xml:space="preserve">S03120</t>
  </si>
  <si>
    <t xml:space="preserve">3300 F RO</t>
  </si>
  <si>
    <t xml:space="preserve">GARDNER REFINGIL PRODUCTS (1974-1980; SIC 2992)</t>
  </si>
  <si>
    <t xml:space="preserve">GARDNER REFINGIL PRODUCTS (1974)</t>
  </si>
  <si>
    <t xml:space="preserve">XPO INC - UCL [FRS; 16 m]</t>
  </si>
  <si>
    <t xml:space="preserve">XPO INC - UCL</t>
  </si>
  <si>
    <t xml:space="preserve">S03128</t>
  </si>
  <si>
    <t xml:space="preserve">1748 PALMER AVE</t>
  </si>
  <si>
    <t xml:space="preserve">WESTERN SLOPE FEATING # SHEET METAL (1974-1988; SIC 3444)</t>
  </si>
  <si>
    <t xml:space="preserve">WESTERN SLOPE FEATING # SHEET METAL (1974)</t>
  </si>
  <si>
    <t xml:space="preserve">TELTECH COMMUNICATIONS LLC [CDPHE RCRA; 206 m]</t>
  </si>
  <si>
    <t xml:space="preserve">TELTECH COMMUNICATIONS LLC</t>
  </si>
  <si>
    <t xml:space="preserve">S03499</t>
  </si>
  <si>
    <t xml:space="preserve">531 S AVE</t>
  </si>
  <si>
    <t xml:space="preserve">COLO INVESTMENT CASTING INC (1983; SIC 3324)</t>
  </si>
  <si>
    <t xml:space="preserve"> (1977) | COLO INVESTMENT CASTING INC (1983)</t>
  </si>
  <si>
    <t xml:space="preserve">PUBLIC SERVICE CO OF COLORADO [FRS; 3 m] | PUBLIC SERVICE CO OF COLORADO [FRS] (address match)</t>
  </si>
  <si>
    <t xml:space="preserve">PUBLIC SERVICE CO OF COLORADO</t>
  </si>
  <si>
    <t xml:space="preserve">S04318</t>
  </si>
  <si>
    <t xml:space="preserve">929 GRAND AVE</t>
  </si>
  <si>
    <t xml:space="preserve">SCREW MACHINE SPECIALTEES INC (1980; SIC 3451)</t>
  </si>
  <si>
    <t xml:space="preserve">SCREW MACHINE SPECIALTEES INC (1980)</t>
  </si>
  <si>
    <t xml:space="preserve">SCREW MACHINE SPECIALTIES [CDPHE RCRA; name match, 133 m] | FRUITA BODY &amp; PAINTS [FRS; 187 m]</t>
  </si>
  <si>
    <t xml:space="preserve">S04319</t>
  </si>
  <si>
    <t xml:space="preserve">1707 PITKIN AVE</t>
  </si>
  <si>
    <t xml:space="preserve">ALUMINUM SPECIALTIES CO (1980-1990; SIC 3499) | Eas co (1988; SIC 3499)</t>
  </si>
  <si>
    <t xml:space="preserve">ALUMINUM SPECIALTIES CO (1980) | Eas co (1988)</t>
  </si>
  <si>
    <t xml:space="preserve">BEAR AUTOMOTIVE SERVICE [FRS; 25 m] | A-1 MUFFLER [FRS; 36 m]</t>
  </si>
  <si>
    <t xml:space="preserve">ABC INDUSTRIES INC.</t>
  </si>
  <si>
    <t xml:space="preserve">BEAR AUTOMOTIVE SERVICE</t>
  </si>
  <si>
    <t xml:space="preserve">S04320</t>
  </si>
  <si>
    <t xml:space="preserve">739 KIMBALL AVE</t>
  </si>
  <si>
    <t xml:space="preserve">AMERICAN TRASFIC SIGN MANUFACTURING, INC (1980; SIC 3993,3499)</t>
  </si>
  <si>
    <t xml:space="preserve">AMERICAN TRASFIC SIGN MANUFACTURING, INC (1980)</t>
  </si>
  <si>
    <t xml:space="preserve">COLOMASTERS PAINT &amp; BODY WORKS [FRS; 16 m] | COLOMASTERS PAINT &amp; BODY WORKS [FRS] (address match)</t>
  </si>
  <si>
    <t xml:space="preserve">COLOMASTERS PAINT &amp; BODY WORKS</t>
  </si>
  <si>
    <t xml:space="preserve">S04330</t>
  </si>
  <si>
    <t xml:space="preserve">943 LAWRENCE AVE</t>
  </si>
  <si>
    <t xml:space="preserve">UAYTGN BROTHERS DRUM CO (1980; SIC 3412)</t>
  </si>
  <si>
    <t xml:space="preserve">UAYTGN BROTHERS DRUM CO (1980)</t>
  </si>
  <si>
    <t xml:space="preserve">HANSON CONTAINER [FRS; 166 m]</t>
  </si>
  <si>
    <t xml:space="preserve">DOS RIOS [FRS; 63 m] | RIVER FRONT AT DOS RIOS PHASE 2 [FRS; 93 m] | LAYTON BROS DRUM CO AKA HANSEN CONTAINER [FRS; 166 m] | CONFLUENCE CENTER [FRS; 232 m]</t>
  </si>
  <si>
    <t xml:space="preserve">S04331</t>
  </si>
  <si>
    <t xml:space="preserve">568 32 142 RD</t>
  </si>
  <si>
    <t xml:space="preserve">SCHAUENBURG FLEXADUX CORP (1990-1992; SIC 3089,3564)</t>
  </si>
  <si>
    <t xml:space="preserve">4 L COUNTER Tar {NC (1980) | A+B WOOD SPECIALTIES (1990) | M+L COUNTERTOP INC (1990) | SCHAUENBURG FLEXADUX CORP (1990)</t>
  </si>
  <si>
    <t xml:space="preserve">WALGREENS STORE #6108 [CDPHE RCRA; 41 m] | WALGREENS STORE #6108 [FRS; 41 m] | MILPRO DRY CLNRS [FRS; 98 m] | CITY MARKET 425 [CDPHE RCRA; 176 m] | DILLON COS - CITY MARKET FUEL FAC #425 [FRS; 247 m]</t>
  </si>
  <si>
    <t xml:space="preserve">LOCO F S 13 [FRS; 63 m] | LOCO F S 13 [FRS; 73 m]</t>
  </si>
  <si>
    <t xml:space="preserve">WALGREENS STORE #6108</t>
  </si>
  <si>
    <t xml:space="preserve">S04337</t>
  </si>
  <si>
    <t xml:space="preserve">633 24 RD</t>
  </si>
  <si>
    <t xml:space="preserve">ANVIL MACHINE COMPANY INC (1983; SIC 3533,3534,3531)</t>
  </si>
  <si>
    <t xml:space="preserve">SOLS HOUSE OF HEAT (1980) | ANVIL MACHINE COMPANY INC (1983)</t>
  </si>
  <si>
    <t xml:space="preserve">PLATING SPECIALITIES [FRS; 151 m] | GARDEN VILLAGE PHYSICIANS [FRS; 196 m] | EAGLE RIDGE OF GRAND VALLEY [FRS; 216 m]</t>
  </si>
  <si>
    <t xml:space="preserve">PLATING SPECIALITIES</t>
  </si>
  <si>
    <t xml:space="preserve">S04339</t>
  </si>
  <si>
    <t xml:space="preserve">588 RD 24 1 2</t>
  </si>
  <si>
    <t xml:space="preserve">URINCO (1980-1983; SIC 3829,3532)</t>
  </si>
  <si>
    <t xml:space="preserve">URINCO (1980)</t>
  </si>
  <si>
    <t xml:space="preserve">O’REILLY AUTO PARTS #5749 [CDPHE RCRA; 203 m]</t>
  </si>
  <si>
    <t xml:space="preserve">GRAND VALLEY BUS TRANSFER STATION [FRS; 245 m]</t>
  </si>
  <si>
    <t xml:space="preserve">O’REILLY AUTO PARTS #5749</t>
  </si>
  <si>
    <t xml:space="preserve">S05167</t>
  </si>
  <si>
    <t xml:space="preserve">2791 WINTERS AVE</t>
  </si>
  <si>
    <t xml:space="preserve">AMERICAN TRAFFIC SIGN MANUFACTURING, INC (1983; SIC 3993,3499) | AMERICAN, Ne FFIC (1988; SIC 2769,3499,3993)</t>
  </si>
  <si>
    <t xml:space="preserve">AMERICAN TRAFFIC SIGN MANUFACTURING, INC (1983) | HAUSCHULZ SCREEN PRINTING (1983) | AMERICAN, Ne FFIC (1988) | ATS SCREEN PRINTING+SIGNS INC (1988)</t>
  </si>
  <si>
    <t xml:space="preserve">VALOR TACTICAL INNOVATION [CDPHE RCRA; 27 m] | NATIVE NAVIGATION [CDPHE RCRA; 27 m] | MESA FORKLIFT [FRS] (address match)</t>
  </si>
  <si>
    <t xml:space="preserve">VALOR TACTICAL INNOVATION</t>
  </si>
  <si>
    <t xml:space="preserve">S05170</t>
  </si>
  <si>
    <t xml:space="preserve">320 SE FIRST STE</t>
  </si>
  <si>
    <t xml:space="preserve">ARTISTS WORKSHOPs THE (1983; SIC 2752,3323)</t>
  </si>
  <si>
    <t xml:space="preserve">ARTISTS WORKSHOPs THE (1983)</t>
  </si>
  <si>
    <t xml:space="preserve">CLIFTON AUTO BODY [FRS; 228 m]</t>
  </si>
  <si>
    <t xml:space="preserve">US6 CLIFTON IMPROVEMENTS (21415) [FRS; 108 m] | MAVERIK, INC - #417 [FRS; 131 m] | US6 CLIFTON IMPROVEMENTS [FRS; 144 m] | BARRICK ESTATES [FRS; 159 m] | CLIFTON 1ST STREET  &amp;  GRAND AVENUE ROAD IMPROVEMENTS [FRS; 164 m] | FEATHER PETROLEUM - STOP N SAVE #6 [FRS; 246 m]</t>
  </si>
  <si>
    <t xml:space="preserve">S05186</t>
  </si>
  <si>
    <t xml:space="preserve">2510 FORESIGHT CIR</t>
  </si>
  <si>
    <t xml:space="preserve">POMA OF AMERICA INC. (1983-1992; SIC 3534,3537) | WESTERN SLOPE INDUSTRIES INC (1990; SIC 3559)</t>
  </si>
  <si>
    <t xml:space="preserve">POMA OF AMERICA INC. (1983) | WESTERN SLOPE INDUSTRIES INC (1990) | WESTERN SLOPE INDUSTRIES INC (1992)</t>
  </si>
  <si>
    <t xml:space="preserve">WESTERN SLOPE INDUSTRIES [FRS; name match, 242 m] | LEITNER-POMA OF AMERICA INC [FRS] (address match) | POMA OF AMERICA [CDPHE RCRA] (address match)</t>
  </si>
  <si>
    <t xml:space="preserve">THERMO ASSEMBLY AND TEST</t>
  </si>
  <si>
    <t xml:space="preserve">S05852</t>
  </si>
  <si>
    <t xml:space="preserve">711 ARROWEST CT</t>
  </si>
  <si>
    <t xml:space="preserve">BOOKCLIF MFG (1988; SIC 3429)</t>
  </si>
  <si>
    <t xml:space="preserve">BOOKCLIF MFG (1988) | GRAND MESA GLASS INC (1990)</t>
  </si>
  <si>
    <t xml:space="preserve">WOODGROUP PRESSURE CONTROL [FRS; 5 m] | FRANK HENRY EQUIPMENT USA LLC [CDPHE RCRA; 39 m] | ROGUE PRESSURE SERVICES LTD [FRS; 122 m] | FRANK HENRY EQUIPMENT USA LLC [FRS; 214 m]</t>
  </si>
  <si>
    <t xml:space="preserve">2264 G RD [FRS; 214 m] | RYAN'S DIESEL [FRS; 247 m]</t>
  </si>
  <si>
    <t xml:space="preserve">WOODGROUP PRESSURE CONTROL</t>
  </si>
  <si>
    <t xml:space="preserve">S05871</t>
  </si>
  <si>
    <t xml:space="preserve">682 W GUNNISON</t>
  </si>
  <si>
    <t xml:space="preserve">D+M WIRE ROPE INC (1990; SIC 3496)</t>
  </si>
  <si>
    <t xml:space="preserve">W_D OSBURN INC D.B.A.-OSBURN AND SONS (1988) | D+M WIRE ROPE INC (1990) | WD OS8URN ING (1992)</t>
  </si>
  <si>
    <t xml:space="preserve">THE IRON FACTORY, INC. [FRS; 12 m] | ENVIRO-CHEM ANALYTICAL INC [FRS; 13 m] | KOLONEL INC DBA OSBURN &amp; SONS [FRS] (address match)</t>
  </si>
  <si>
    <t xml:space="preserve">Dos Rios Riverside Parkway</t>
  </si>
  <si>
    <t xml:space="preserve">THE IRON FACTORY, INC.</t>
  </si>
  <si>
    <t xml:space="preserve">S05879</t>
  </si>
  <si>
    <t xml:space="preserve">2624 FORSIGHT CIR</t>
  </si>
  <si>
    <t xml:space="preserve">81508</t>
  </si>
  <si>
    <t xml:space="preserve">WESTERN SLOPE INDUSTRIES INC (1988; SIC 3559)</t>
  </si>
  <si>
    <t xml:space="preserve">WESTERN SLOPE INDUSTRIES INC (1988)</t>
  </si>
  <si>
    <t xml:space="preserve">WESTERN SLOPE INDUSTRIES [FRS; name match, 173 m] | WESTERN SLOPE INDUSTRIES [CDPHE RCRA; name match, 216 m] | THERMO ASSEMBLY AND TEST [FRS; 23 m] | SCIENTIFIC MEASUREMENT SYSTEMS [FRS; 177 m] | POMA OF AMERICA [CDPHE RCRA; 216 m] | LEITNER-POMA OF AMERICA INC [FRS; 231 m]</t>
  </si>
  <si>
    <t xml:space="preserve">GRAND JUNCTION SKILLED NURSING FACILITY [FRS; 36 m] | SCI COLORADO FUNERAL - CALLAHAN EDFAST [FRS; 164 m] | HALLIBURTON DRILL BITS AND SERVICES [FRS; 180 m] | GRAND JUNCTION WELLAGE PACIFICA LLC [FRS; 206 m]</t>
  </si>
  <si>
    <t xml:space="preserve">S06632</t>
  </si>
  <si>
    <t xml:space="preserve">ARNHOLD WELDING + FABRICATING (1990; SIC 3532,3533,3537)</t>
  </si>
  <si>
    <t xml:space="preserve">ARNHOLD WELDING + FABRICATING (1990)</t>
  </si>
  <si>
    <t xml:space="preserve">CENTURY EQUIP COMPANY [FRS; 32 m]</t>
  </si>
  <si>
    <t xml:space="preserve">DILLON COMPANIES DBA CITY MARKET, INC [FRS; 0 m]</t>
  </si>
  <si>
    <t xml:space="preserve">S06637</t>
  </si>
  <si>
    <t xml:space="preserve">2460 E MAIN</t>
  </si>
  <si>
    <t xml:space="preserve">DRIVE LINE SERVICE CO (1990; SIC 3714)</t>
  </si>
  <si>
    <t xml:space="preserve">DRIVE LINE SERVICE CO (1990)</t>
  </si>
  <si>
    <t xml:space="preserve">JIM LOVE REAL ESTATE [FRS; 1 m] | BARTLEY PROPERTY [FRS; 7 m]</t>
  </si>
  <si>
    <t xml:space="preserve">JIM LOVE REAL ESTATE</t>
  </si>
  <si>
    <t xml:space="preserve">S06638</t>
  </si>
  <si>
    <t xml:space="preserve">611 EISENHAUER ST</t>
  </si>
  <si>
    <t xml:space="preserve">EMERSON MUSICAL INSTRUMENTS CO (1990; SIC 3471,3931)</t>
  </si>
  <si>
    <t xml:space="preserve">EMERSON MUSICAL INSTRUMENTS CO (1990)</t>
  </si>
  <si>
    <t xml:space="preserve">X-CEL CONTACTS [FRS] (address match)</t>
  </si>
  <si>
    <t xml:space="preserve">WESTERN FILAMENT INC</t>
  </si>
  <si>
    <t xml:space="preserve">REYNOLDS POLYMER TECHNOLOGY INCORPORATED</t>
  </si>
  <si>
    <t xml:space="preserve">S06652</t>
  </si>
  <si>
    <t xml:space="preserve">2768 C 1 2 RD</t>
  </si>
  <si>
    <t xml:space="preserve">SPENDRUP FAN CO (1990; SIC 3564,3634,3613)</t>
  </si>
  <si>
    <t xml:space="preserve">SPENDRUP FAN CO (1990)</t>
  </si>
  <si>
    <t xml:space="preserve">SPENDRUP FAN CO [CDPHE RCRA] (address match)</t>
  </si>
  <si>
    <t xml:space="preserve">S05194</t>
  </si>
  <si>
    <t xml:space="preserve">340 SCHOOL ST</t>
  </si>
  <si>
    <t xml:space="preserve">CAL@AG REFINING (1983; SIC 3829,3561) | CREAM CAL-AG MFG INC (1988; SIC 3567,3568,3829)</t>
  </si>
  <si>
    <t xml:space="preserve">CAL@AG REFINING (1983) | CREAM CAL-AG MFG INC (1988) | CAL-AG MANUFACTURING INC (1990)</t>
  </si>
  <si>
    <t xml:space="preserve">CAL-AG REFINING [FRS; name match, 43 m] | CAL-AG REFINING [FRS] (address match)</t>
  </si>
  <si>
    <t xml:space="preserve">403 TAYLOR STREET</t>
  </si>
  <si>
    <t xml:space="preserve">CAL-AG REFINING</t>
  </si>
  <si>
    <t xml:space="preserve">S01212</t>
  </si>
  <si>
    <t xml:space="preserve">1430 E MAIN</t>
  </si>
  <si>
    <t xml:space="preserve">CORTEZ NEON SIGN (1968-1973; SIC 3093,3953,2011)</t>
  </si>
  <si>
    <t xml:space="preserve">CORTEZ NEON SIGN (1966) | LA PLATA COLOR PRINTING (1983)</t>
  </si>
  <si>
    <t xml:space="preserve">HARRYS TIRE AND ALIGNMENT (HARRY BURDICK) [FRS; 1 m] | RAINBOW BATTERY [FRS; 4 m]</t>
  </si>
  <si>
    <t xml:space="preserve">HARRYS TIRE AND ALIGNMENT (HARRY BURDICK)</t>
  </si>
  <si>
    <t xml:space="preserve">S03508</t>
  </si>
  <si>
    <t xml:space="preserve">633 E MAIN BOX 1087</t>
  </si>
  <si>
    <t xml:space="preserve">CUSTOM MARBLE (1977-1983; SIC 3079,2541)</t>
  </si>
  <si>
    <t xml:space="preserve">CUSTOM MARBLE (1977)</t>
  </si>
  <si>
    <t xml:space="preserve">CITY MARKET 408 [CDPHE RCRA; 119 m] | DILLON COMPANIES DBA CITY MARKET  INC [FRS; 132 m]</t>
  </si>
  <si>
    <t xml:space="preserve">CITY MARKET 408</t>
  </si>
  <si>
    <t xml:space="preserve">S04346</t>
  </si>
  <si>
    <t xml:space="preserve">200 APOLLO RD</t>
  </si>
  <si>
    <t xml:space="preserve">APGLLO FEBERGLASS MANUFACTORING CO (1980; SIC 3079) | TRIENCO,e INCe (1980; SIC 3811,3829,3674) | TECHNOLOGICAL ENTERPRISES INC (1990-1992; SIC 3532,3429,3599) | TRIENCO INC (1990; SIC 3674,3821)</t>
  </si>
  <si>
    <t xml:space="preserve">APGLLO FEBERGLASS MANUFACTORING CO (1980) | TRIENCO,e INCe (1980) | Reg! Y MTN MEDICAL (1988) | TECHNOLOGICAL ENTERPRISES INC (1990) | TRIENCO INC (1990)</t>
  </si>
  <si>
    <t xml:space="preserve">TEI ROCK DRILLS LLC [CDPHE RCRA; 4 m] | TEI ROCK DRILLS INC [FRS; 11 m]</t>
  </si>
  <si>
    <t xml:space="preserve">MONTROSE POWER OPERATIONS CENTER</t>
  </si>
  <si>
    <t xml:space="preserve">TEI ROCK DRILLS LLC</t>
  </si>
  <si>
    <t xml:space="preserve">S04347</t>
  </si>
  <si>
    <t xml:space="preserve">1855 LAUNA DR</t>
  </si>
  <si>
    <t xml:space="preserve">MONTROSE (1990; SIC 3544,3599)</t>
  </si>
  <si>
    <t xml:space="preserve">COLORADD STONE CO (1980) | MONTROSE (1990)</t>
  </si>
  <si>
    <t xml:space="preserve">MONTROSE AUTO BODY [CDPHE RCRA; name match, 202 m] | TSA-MONTROSE REGIONAL AIRPORT [CDPHE RCRA; name match, 202 m]</t>
  </si>
  <si>
    <t xml:space="preserve">CDOT MONTROSE ROAD MAINTENANCE FACILITY [FRS; name match, 136 m] | PARISH OIL BULK PLANT [FRS; 34 m]</t>
  </si>
  <si>
    <t xml:space="preserve">WESTERN SKYWAYS INC</t>
  </si>
  <si>
    <t xml:space="preserve">S04348</t>
  </si>
  <si>
    <t xml:space="preserve">67749 RIDGE VIEW DR</t>
  </si>
  <si>
    <t xml:space="preserve">LLORRY'S (1980; SIC 3079,2399) | Luorryes % (1983; SIC 3079)</t>
  </si>
  <si>
    <t xml:space="preserve">LLORRY'S (1980) | Luorryes % (1983)</t>
  </si>
  <si>
    <t xml:space="preserve">WESTERN GREEN INC [FRS; 33 m]</t>
  </si>
  <si>
    <t xml:space="preserve">WESTERN GREEN INC</t>
  </si>
  <si>
    <t xml:space="preserve">S04879</t>
  </si>
  <si>
    <t xml:space="preserve">1002 COLORADO AVE</t>
  </si>
  <si>
    <t xml:space="preserve">81402</t>
  </si>
  <si>
    <t xml:space="preserve">M=L MANUFACTURING INC (1983; SIC 3443)</t>
  </si>
  <si>
    <t xml:space="preserve">M=L MANUFACTURING INC (1983)</t>
  </si>
  <si>
    <t xml:space="preserve">FIRST STUDENT INC #20250 [FRS; 24 m]</t>
  </si>
  <si>
    <t xml:space="preserve">FIRST STUDENT INC [FRS; 24 m]</t>
  </si>
  <si>
    <t xml:space="preserve">Montrose UP Railroad Corridor</t>
  </si>
  <si>
    <t xml:space="preserve">FIRST STUDENT INC #20250</t>
  </si>
  <si>
    <t xml:space="preserve">S05201</t>
  </si>
  <si>
    <t xml:space="preserve">1640 N TOWNSEND</t>
  </si>
  <si>
    <t xml:space="preserve">FOUR SEASONS (1983; SIC 3079)</t>
  </si>
  <si>
    <t xml:space="preserve">FOUR SEASONS (1983)</t>
  </si>
  <si>
    <t xml:space="preserve">FEDERAL EXPRESS CORPORATION [FRS; 22 m] | FEDERAL EXPRESS CORPORATION [FRS] (address match) | FEDERAL EXPRESS CORPORATION [CDPHE RCRA] (address match)</t>
  </si>
  <si>
    <t xml:space="preserve">FEDEX MTJA [FRS; 22 m] | FEDEX MTJA [FRS] (address match)</t>
  </si>
  <si>
    <t xml:space="preserve">HABITAT FOR HUMANITY</t>
  </si>
  <si>
    <t xml:space="preserve">FEDERAL EXPRESS CORPORATION</t>
  </si>
  <si>
    <t xml:space="preserve">S06021</t>
  </si>
  <si>
    <t xml:space="preserve">737 S TOWNSEND AVE</t>
  </si>
  <si>
    <t xml:space="preserve">ALPINE DATA INC (1988; SIC 7372,3792)</t>
  </si>
  <si>
    <t xml:space="preserve">ALPINE DATA INC (1988)</t>
  </si>
  <si>
    <t xml:space="preserve">WALMART SUPERCENTER #1058 [CDPHE RCRA; 13 m] | MONTROSE CHIROPRACTIC CENTER [CDPHE RCRA; 13 m] | SAFEWAY STORE #1131 [CDPHE RCRA; 13 m]</t>
  </si>
  <si>
    <t xml:space="preserve">WALMART SUPERCENTER #1058</t>
  </si>
  <si>
    <t xml:space="preserve">S01926</t>
  </si>
  <si>
    <t xml:space="preserve">118 W RAILROAD</t>
  </si>
  <si>
    <t xml:space="preserve">1968;1970;1973;1977</t>
  </si>
  <si>
    <t xml:space="preserve">CLARK-FEATHER MFG CO (1968-1977; SIC 3423,3499) | CLARK-FEATHER MFG CO ROONEY ELEVATOR CO 2011 MEAT PACKING PLANTS (1970; SIC 3423,3799)</t>
  </si>
  <si>
    <t xml:space="preserve">CLARK-FEATHER MFG CO (1968) | NUCLA (1970) | CLARK-FEATHER MFG CO ROONEY ELEVATOR CO 2011 MEAT PACKING PLANTS (1970)</t>
  </si>
  <si>
    <t xml:space="preserve">CLARK FEATHER DIV PARKER HANNIFIN [FRS; name match, 124 m]</t>
  </si>
  <si>
    <t xml:space="preserve">FORT MORGAN AUTO BODY</t>
  </si>
  <si>
    <t xml:space="preserve">S02701</t>
  </si>
  <si>
    <t xml:space="preserve">210 BURLINGTON</t>
  </si>
  <si>
    <t xml:space="preserve">PORTABLE WELDING SERVICE (1973-1988; SIC 3446,2873,2874)</t>
  </si>
  <si>
    <t xml:space="preserve">PORTABLE WELDING SERVICE (1973)</t>
  </si>
  <si>
    <t xml:space="preserve">CLARK FEATHER DIV PARKER HANNIFIN [FRS; 194 m]</t>
  </si>
  <si>
    <t xml:space="preserve">MORGAN CO BEEF CO [FRS; 29 m] | ED'S GARAGE [FRS; 124 m] | DEAN'S OIL &amp; SUPPLY [FRS; 154 m] | URDIALES REALTY [FRS; 220 m]</t>
  </si>
  <si>
    <t xml:space="preserve">CLARK FEATHER DIV PARKER HANNIFIN</t>
  </si>
  <si>
    <t xml:space="preserve">S03509</t>
  </si>
  <si>
    <t xml:space="preserve">1110 N CAMERON</t>
  </si>
  <si>
    <t xml:space="preserve">MOHRLANG. MF, INC. (1977-1990; SIC 3523,3715,3711) | HEALTH MOHRLANG MFG INC (1988; SIC 3623,3715)</t>
  </si>
  <si>
    <t xml:space="preserve">MOHRLANG. MF, INC. (1977) | HEALTH MOHRLANG MFG INC (1988)</t>
  </si>
  <si>
    <t xml:space="preserve">MOHRLANG MANUFACTURING INC [FRS; name match, 52 m] | MOHRLANG MANUFACTURING INC [FRS] (address match) | MOHRLANG MANUFACTURING INC [CDPHE RCRA] (address match)</t>
  </si>
  <si>
    <t xml:space="preserve">PSCO -  BRUSH SERVICE CENTER</t>
  </si>
  <si>
    <t xml:space="preserve">S04355</t>
  </si>
  <si>
    <t xml:space="preserve">128 ENSIGN</t>
  </si>
  <si>
    <t xml:space="preserve">CLARK-FEATHER MFG-DIV OF PARKER HANNIFIN (1980-1983; SIC 3423)</t>
  </si>
  <si>
    <t xml:space="preserve">CLARK-FEATHER MFG-DIV OF PARKER HANNIFIN (1980)</t>
  </si>
  <si>
    <t xml:space="preserve">CLARK FEATHER DIV PARKER HANNIFIN [FRS; name match, 45 m]</t>
  </si>
  <si>
    <t xml:space="preserve">S00491</t>
  </si>
  <si>
    <t xml:space="preserve">422 COLORADO</t>
  </si>
  <si>
    <t xml:space="preserve">LA JUNTA TRIBUNE-DEMOCRAT (1973; SIC 2711,2512,3444)</t>
  </si>
  <si>
    <t xml:space="preserve">LA JUNTA TRIBUNE-DEMOCRAT (1965) | VALLEY OFFSET INC (1966) | LA JUNTA TRIBUNE-DEMOCRAT 2051 BREAD: CAKE, AND RELATED PROCUCTS (1974) | HOME BAKERY (1983) | PRINTING AaB Democrat (1988) | DEMOCRAT PUBLISHING CO (1990)</t>
  </si>
  <si>
    <t xml:space="preserve">PHILLIPS PIPELINE-LA JUNTA [FRS; 18 m] | PHILLIPS PIPELINE-LA JUNTA [CDPHE RCRA; 18 m] | AT&amp;T TIMPAS [FRS; 23 m] | AT&amp;T TIMPAS [CDPHE RCRA; 23 m]</t>
  </si>
  <si>
    <t xml:space="preserve">302 COLORADO AVENUE</t>
  </si>
  <si>
    <t xml:space="preserve">PHILLIPS PIPELINE-LA JUNTA</t>
  </si>
  <si>
    <t xml:space="preserve">S01231</t>
  </si>
  <si>
    <t xml:space="preserve">1315 ELM AVE</t>
  </si>
  <si>
    <t xml:space="preserve">1966;1967;1973;1983;1988;1990</t>
  </si>
  <si>
    <t xml:space="preserve">CLUTE, FRANCIS H + SON INC (1966-1967; SIC 3559) | E€0CO MFG CO (1973; SIC 3599,3523,3444) | EOCO METAL WORKS (1983-1990; SIC 3599,3523,3444) | ROCKY FORD EDCO METAL WORKS (1988; SIC 3444,3523,3585)</t>
  </si>
  <si>
    <t xml:space="preserve">CLUTE, FRANCIS H + SON INC (1966) | E€0CO MFG CO (1973) | EDCO METAL WORKS 2711 NEWSPAPERS (1977) | EOCO METAL WORKS (1983) | ROCKY FORD EDCO METAL WORKS (1988)</t>
  </si>
  <si>
    <t xml:space="preserve">FAMILY DOLLAR #4785 [FRS; 209 m] | AQUILA, INC. - ROCKY FORD STATION [FRS; 246 m]</t>
  </si>
  <si>
    <t xml:space="preserve">S03135</t>
  </si>
  <si>
    <t xml:space="preserve">868 N 8TH</t>
  </si>
  <si>
    <t xml:space="preserve">TRUCKWEIGH INC (1974; SIC 3496)</t>
  </si>
  <si>
    <t xml:space="preserve">TRUCKWEIGH INC (1974) | DOUBLE H STEEL + WIRE CO OURAY 3523 FARM MACHINERY AND EQUIPMENT (1977)</t>
  </si>
  <si>
    <t xml:space="preserve">NAGEL WIRE [FRS; 40 m]</t>
  </si>
  <si>
    <t xml:space="preserve">NAGEL WIRE</t>
  </si>
  <si>
    <t xml:space="preserve">S05902</t>
  </si>
  <si>
    <t xml:space="preserve">28057 RAILROAD AVE</t>
  </si>
  <si>
    <t xml:space="preserve">COMPACTION SPECIALIST INC (1988; SIC 3531) | FALCON INDUSTRIES (1988-1992; SIC 3593)</t>
  </si>
  <si>
    <t xml:space="preserve">COMPACTION SPECIALIST INC (1988) | FALCON INDUSTRIES (1988)</t>
  </si>
  <si>
    <t xml:space="preserve">UNITED PARCEL SERVICE - LA JUNTA [CDPHE RCRA; 79 m] | LEWIS BOLT &amp; NUT COMPANY [FRS; 193 m]</t>
  </si>
  <si>
    <t xml:space="preserve">ARROWHEAD ENGINEERING INC [FRS; 54 m] | UPS LA JUNTA CENTER [FRS; 79 m]</t>
  </si>
  <si>
    <t xml:space="preserve">UNITED PARCEL SERVICE - LA JUNTA</t>
  </si>
  <si>
    <t xml:space="preserve">S01240</t>
  </si>
  <si>
    <t xml:space="preserve">431 S INTEROCEAN</t>
  </si>
  <si>
    <t xml:space="preserve">HOLYOKE</t>
  </si>
  <si>
    <t xml:space="preserve">80734</t>
  </si>
  <si>
    <t xml:space="preserve">SPEER CUSHION CO (1988-1990; SIC 2399,3523)</t>
  </si>
  <si>
    <t xml:space="preserve">SPEER CUSHION + UPHOLSTERY (1966) | WESTERN VAULT CO (1966) | SPEER CUSHION CO (1988)</t>
  </si>
  <si>
    <t xml:space="preserve">SPEER CUSHION COMPANY [FRS; name match, 24 m]</t>
  </si>
  <si>
    <t xml:space="preserve">SPEER CUSHION COMPANY</t>
  </si>
  <si>
    <t xml:space="preserve">S06684</t>
  </si>
  <si>
    <t xml:space="preserve">249 W DENVER</t>
  </si>
  <si>
    <t xml:space="preserve">HOLYOKE COOPERATIVE ASSOCIATION (1990; SIC 2047,2048,2875)</t>
  </si>
  <si>
    <t xml:space="preserve">HOLYOKE COOPERATIVE ASSOCIATION (1990)</t>
  </si>
  <si>
    <t xml:space="preserve">CENEX [FRS; 5 m]</t>
  </si>
  <si>
    <t xml:space="preserve">GRAINLAND COOPERATIVE [FRS; 5 m] | HOLYOKE COOP / HYLINE SEVEN ELEVATOR [FRS; 22 m] | CHS INC - HOLYOKE REIMER [FRS; 23 m] | GRAINLAND COOPERATIVE [FRS] (address match)</t>
  </si>
  <si>
    <t xml:space="preserve">PHILLIPS COUNTY GRAIN COMPANY</t>
  </si>
  <si>
    <t xml:space="preserve">CENEX</t>
  </si>
  <si>
    <t xml:space="preserve">S02164</t>
  </si>
  <si>
    <t xml:space="preserve">918 N MAIN</t>
  </si>
  <si>
    <t xml:space="preserve">C + S MACHINE SHOP + AUTO PARTSs INC (1970; SIC 3591,2086)</t>
  </si>
  <si>
    <t xml:space="preserve">C + S MACHINE SHOP + AUTO PARTSs INC (1970)</t>
  </si>
  <si>
    <t xml:space="preserve">AMERICAN TRANSIT WORKS INC [FRS; 31 m] | C&amp;L AUSTIN ENTERPRISES LLC DBA AUSTIN REPAIR SHOP [CDPHE RCRA; 31 m] | AMERICAN TRANSIT WORKS INC [CDPHE RCRA; 31 m]</t>
  </si>
  <si>
    <t xml:space="preserve">WHO MANUFACTURING</t>
  </si>
  <si>
    <t xml:space="preserve">AMERICAN TRANSIT WORKS INC</t>
  </si>
  <si>
    <t xml:space="preserve">S07083</t>
  </si>
  <si>
    <t xml:space="preserve">310 9TH</t>
  </si>
  <si>
    <t xml:space="preserve">HOLUINGER INC (1992; SIC 3648,3848,3541)</t>
  </si>
  <si>
    <t xml:space="preserve">HOLUINGER INC (1992)</t>
  </si>
  <si>
    <t xml:space="preserve">TRI-STATE BODY SHOP INC [CDPHE RCRA; 136 m]</t>
  </si>
  <si>
    <t xml:space="preserve">TRI-STATE BODY SHOP INC</t>
  </si>
  <si>
    <t xml:space="preserve">S00511</t>
  </si>
  <si>
    <t xml:space="preserve">821 S UNION AVE</t>
  </si>
  <si>
    <t xml:space="preserve">AZTEC VENETIAN BLIND AND AWNING CC. (1965; SIC 3449)</t>
  </si>
  <si>
    <t xml:space="preserve">AZTEC VENETIAN BLIND AND AWNING CC. (1965)</t>
  </si>
  <si>
    <t xml:space="preserve">MERCAN TILE PRINTING INC [CDPHE RCRA; 89 m] | FAMILY DOLLAR #7137 [FRS; 109 m] | PDQ PRINTERS [FRS; 136 m] | FAMILY DOLLAR #7137 [CDPHE RCRA; 202 m] | SHARMAR VILLAGE CARE CENTER [CDPHE RCRA; 202 m] | A-1 RENTAL [FRS; 206 m] | MERCAN TILE PRINTING INC [FRS; 237 m]</t>
  </si>
  <si>
    <t xml:space="preserve">DAVIS MORTUARY [FRS; 189 m]</t>
  </si>
  <si>
    <t xml:space="preserve">MERCAN TILE PRINTING INC</t>
  </si>
  <si>
    <t xml:space="preserve">S00514</t>
  </si>
  <si>
    <t xml:space="preserve">220 S VICTORIA</t>
  </si>
  <si>
    <t xml:space="preserve">BIFF BROOM MFG.CO.,THE (1965; SIC 2842) | WELLS MFG. CO. (1965; SIC 2841)</t>
  </si>
  <si>
    <t xml:space="preserve">BIFF BROOM MFG.CO.,THE (1965) | WELLS MFG. CO. (1965) | SIFF BROOM MFG co (1966)</t>
  </si>
  <si>
    <t xml:space="preserve">BLACK HILLS COLORADO ELECTRIC LLC [CDPHE RCRA; 12 m]</t>
  </si>
  <si>
    <t xml:space="preserve">ROWLAND MANAGEMENT [FRS; 41 m] | METRO BROKERS [FRS; 41 m]</t>
  </si>
  <si>
    <t xml:space="preserve">AQUILA, INC. - PUEBLO POWER PLANT</t>
  </si>
  <si>
    <t xml:space="preserve">BLACK HILLS COLORADO ELECTRIC LLC</t>
  </si>
  <si>
    <t xml:space="preserve">S01250</t>
  </si>
  <si>
    <t xml:space="preserve">621 S UNION AVE</t>
  </si>
  <si>
    <t xml:space="preserve">1968;1973;1983;1988;1992</t>
  </si>
  <si>
    <t xml:space="preserve">AZTEC VENETIAN BLINC + AWNING CO (1968; SIC 2591,3446) | AZTEC VENETIAN BLIND + AWNING MFG CO 447 PARK DR (1973; SIC 2751,3442,2591) | AZTEC VENETIAN BLIND ¢ AWNING MFG CO (1983-1992; SIC 3444,2591,3442) | BEMIS, KONA Sie 'G CO (1988; SIC 2591,3089,3442)</t>
  </si>
  <si>
    <t xml:space="preserve">ALTEC VENETIAN BLIND + AWNING CO (1966) | MERCANTILE PRINTING INC (1967) | AZTEC VENETIAN BLINC + AWNING CO (1968) | MERCANTILE PRINTING INC (1968) | AZTEC VENETIAN BLIND + AWNING MFG CO 447 PARK DR (1973) | MERCANTILE PRINTING ENC (1977) |  (1980) | AZTEC VENETIAN BLIND ¢ AWNING MFG CO (1983) | BEMIS, KONA Sie 'G CO (1988) | UNION BRIDGE TEXTILE WORKS (1990)</t>
  </si>
  <si>
    <t xml:space="preserve">MERCAN TILE PRINTING INC [FRS; name match, 31 m] | MERCAN TILE PRINTING INC [CDPHE RCRA; name match, 177 m]</t>
  </si>
  <si>
    <t xml:space="preserve">PUEBLO WINDOW AND DOOR [FRS; 2 m] | WRIGHT JONES PLUMBING AND HEATING CO [FRS; 10 m]</t>
  </si>
  <si>
    <t xml:space="preserve">S01251</t>
  </si>
  <si>
    <t xml:space="preserve">231 S MAIN</t>
  </si>
  <si>
    <t xml:space="preserve">1967;1968;1977;1988;1990</t>
  </si>
  <si>
    <t xml:space="preserve">LA TOLTECA FOODS INC (1967-1968; SIC 3446) |  (1977; SIC 3855,3361) | TUFF STUFF FABRICATIONS (1988-1990; SIC 3446,3496,3531)</t>
  </si>
  <si>
    <t xml:space="preserve">BARBERA NEON SIGN CO (1966) | BOSTON FOOD PRODUCTS CO (1966) | LA TOLTECA FOODS INC (1966) |  (1967) | BOSTON FCCD PROOUCTS CC (1974) |  (1977) | LA TOLTECA FOODS, INC (1983) | TUFF STUFF FABRICATIONS (1988)</t>
  </si>
  <si>
    <t xml:space="preserve">SUPERIOR AUTOMOTIVE ENTERPRISES INC [FRS; 11 m] | PUEBLO -- CITY OF [FRS; 14 m] | CITY OF PUEBLO [FRS; 45 m]</t>
  </si>
  <si>
    <t xml:space="preserve">SITE LOCATED ON A LOW USE SIDE STREET [FRS; 45 m] | BEULAH WATER WORKS DISTRICT [FRS; 45 m] | PUEBLO JUSTICE CENTER NO. 08-068 [FRS; 45 m]</t>
  </si>
  <si>
    <t xml:space="preserve">SUPERIOR AUTOMOTIVE ENTERPRISES INC</t>
  </si>
  <si>
    <t xml:space="preserve">S01252</t>
  </si>
  <si>
    <t xml:space="preserve">3002 W NORTHERN</t>
  </si>
  <si>
    <t xml:space="preserve">BILL'S SWEET SHOP (1968; SIC 2051,2431,2952)</t>
  </si>
  <si>
    <t xml:space="preserve">BILL'S SWEET SHOP (1966)</t>
  </si>
  <si>
    <t xml:space="preserve">WALGREENS STORE #4721 [FRS; 69 m] | WALGREENS STORE #4721 [CDPHE RCRA; 69 m] | O'REILLY AUTO PARTS [FRS; 171 m] | KING SOOPERS 12 [CDPHE RCRA; 193 m] | KING SOOPERS 12 [FRS; 193 m] | AUTOZONE #0809 [FRS; 203 m]</t>
  </si>
  <si>
    <t xml:space="preserve">PEERLESS TYRE CO INC NO 926 [FRS; 61 m]</t>
  </si>
  <si>
    <t xml:space="preserve">WALGREENS STORE #4721</t>
  </si>
  <si>
    <t xml:space="preserve">S01266</t>
  </si>
  <si>
    <t xml:space="preserve">102 S VICTORIA AVE</t>
  </si>
  <si>
    <t xml:space="preserve">PRODUCTS MODERN CORP (1966; SIC 3079)</t>
  </si>
  <si>
    <t xml:space="preserve">PRODUCTS MODERN CORP (1966) | SEVEN-UP BOTTLING co (1967)</t>
  </si>
  <si>
    <t xml:space="preserve">COPE OFFICE SUPPLY [FRS; 8 m]</t>
  </si>
  <si>
    <t xml:space="preserve">COPE OFFICE SUPPLY</t>
  </si>
  <si>
    <t xml:space="preserve">S01271</t>
  </si>
  <si>
    <t xml:space="preserve">309 S VICTORIA</t>
  </si>
  <si>
    <t xml:space="preserve">1967;1968;1973;1974;1980</t>
  </si>
  <si>
    <t xml:space="preserve">WELLS MFG CO (1967-1980; SIC 2841) |  (1973; SIC 2841,2842)</t>
  </si>
  <si>
    <t xml:space="preserve">SEVEN-UP BOTTLING CO (1966) | WELLS MFG CO (1966) | NEHI-ROYAL CROWN BOTTLING CO (1967) |  (1973) | 7-UP ROYAL CROWN BOTTLING CO (1988)</t>
  </si>
  <si>
    <t xml:space="preserve">AMBIPAR RESPONSE COLORADO INC- PUEBLO [FRS; 37 m] | AMBIPAR RESPONSE COLORADO INC- PUEBLO  [CDPHE RCRA; 42 m]</t>
  </si>
  <si>
    <t xml:space="preserve">Union Pacific Railroad Pueblo Yard</t>
  </si>
  <si>
    <t xml:space="preserve">AMBIPAR RESPONSE COLORADO INC- PUEBLO</t>
  </si>
  <si>
    <t xml:space="preserve">S01273</t>
  </si>
  <si>
    <t xml:space="preserve">700 CHESTER</t>
  </si>
  <si>
    <t xml:space="preserve">SINGLETON SHEET METAL WORKS INC (1977-1983; SIC 3444)</t>
  </si>
  <si>
    <t xml:space="preserve">SINGLETON SHEET METAL WORKS (1966) |  (1974) | SINGLETON SHEET METAL WORKS INC (1977)</t>
  </si>
  <si>
    <t xml:space="preserve">RAINBO BAKING CO OF PUEBLO [FRS; 111 m] | FAMILY DOLLAR #4987 [CDPHE RCRA; 142 m] | FAMILY DOLLAR #4987 [FRS; 169 m] | VIDMAR HONDA INC [CDPHE RCRA; 241 m]</t>
  </si>
  <si>
    <t xml:space="preserve">S01634</t>
  </si>
  <si>
    <t xml:space="preserve">918 4TH</t>
  </si>
  <si>
    <t xml:space="preserve">OFFICE SPECIALISTS, INC (1967; SIC 3953,3499,3641)</t>
  </si>
  <si>
    <t xml:space="preserve">OFFICE SPECIALISTS, INC (1967)</t>
  </si>
  <si>
    <t xml:space="preserve">CASIAS RADIATOR [FRS; 160 m]</t>
  </si>
  <si>
    <t xml:space="preserve">SUMMIT BRICK &amp; TILE - NATIVE PIT [FRS; 102 m] | SOUTHLAND 7 11 NO 20638 [FRS; 136 m]</t>
  </si>
  <si>
    <t xml:space="preserve">CASIAS RADIATOR</t>
  </si>
  <si>
    <t xml:space="preserve">S01636</t>
  </si>
  <si>
    <t xml:space="preserve">1100 NORTHERN</t>
  </si>
  <si>
    <t xml:space="preserve">WESTERN PIPE + TUBE CO INC (1967; SIC 3498)</t>
  </si>
  <si>
    <t xml:space="preserve">WESTERN PIPE + TUBE CO INC (1967)</t>
  </si>
  <si>
    <t xml:space="preserve">FAMILY DOLLAR #3487 [FRS; 13 m] | ACME CLEANERS AND RUDOLFS TUXEDOS [FRS; 73 m]</t>
  </si>
  <si>
    <t xml:space="preserve">SOUTHLAND 7 11 NO 17127 [FRS; 222 m]</t>
  </si>
  <si>
    <t xml:space="preserve">FAMILY DOLLAR #3487</t>
  </si>
  <si>
    <t xml:space="preserve">S02168</t>
  </si>
  <si>
    <t xml:space="preserve">1015 NORTHEN AVE</t>
  </si>
  <si>
    <t xml:space="preserve">MLOWEST STEEL + IRON WORKS CO INC (1970-1973; SIC 3441,3993,3449)</t>
  </si>
  <si>
    <t xml:space="preserve">MLOWEST STEEL + IRON WORKS CO INC (1970) | UNION CARBIDE CORP, LINDE DIV (1977)</t>
  </si>
  <si>
    <t xml:space="preserve">FAMILY DOLLAR #3487 [FRS; 164 m] | ACME CLEANERS AND RUDOLFS TUXEDOS [FRS; 224 m]</t>
  </si>
  <si>
    <t xml:space="preserve">SOUTHLAND 7 11 NO 17127 [FRS; 71 m] | CONCENTRIX CALL CENTER DEMO [FRS; 125 m] | PESTER MARKETING COMPANY [FRS; 231 m]</t>
  </si>
  <si>
    <t xml:space="preserve">S02713</t>
  </si>
  <si>
    <t xml:space="preserve">2955 LAKEVIEW AVE</t>
  </si>
  <si>
    <t xml:space="preserve">HUMANE COYOTE GETTER INC (1973-1990; SIC 3429)</t>
  </si>
  <si>
    <t xml:space="preserve">HUMANE COYOTE GETTER INC (1973)</t>
  </si>
  <si>
    <t xml:space="preserve">PROGRESS RAIL SERVICES CORP [FRS; 69 m] | CALIBER BODYWORKS - PUEBLO #0824 [FRS; 205 m] | CALIBER BODYWORKS OF COLORADO INC [CDPHE RCRA; 243 m] | VALLEY CHEMICAL [FRS; 245 m]</t>
  </si>
  <si>
    <t xml:space="preserve">PRAIRIE AVE DISTRIBUTION SUBSTATION [FRS; 101 m] | HUMANE COYOTE GETTER, INCORPORATION [FRS] (address match)</t>
  </si>
  <si>
    <t xml:space="preserve">S04365</t>
  </si>
  <si>
    <t xml:space="preserve">1801 S LACROSSE AVE</t>
  </si>
  <si>
    <t xml:space="preserve">FOUNTAIN SAND # GRAVEL CO (1980-1983; SIC 3273,3295,2951)</t>
  </si>
  <si>
    <t xml:space="preserve">FOUNTAIN SAND # GRAVEL CO (1980)</t>
  </si>
  <si>
    <t xml:space="preserve">AMERICAN IRON &amp; METAL PUEBLO [FRS; 47 m] | AMERICAN IRON &amp; METAL [CDPHE RCRA; 147 m] | AMERICAN IRON &amp; METAL PUEBLO [FRS] (address match) | AMERICAN IRON &amp; METAL [CDPHE RCRA] (address match)</t>
  </si>
  <si>
    <t xml:space="preserve">LAFARGE WEST, INC. - CARMBE RECYCLE YARD [FRS; 47 m]</t>
  </si>
  <si>
    <t xml:space="preserve">AMERICAN IRON &amp; METAL PUEBLO</t>
  </si>
  <si>
    <t xml:space="preserve">S05235</t>
  </si>
  <si>
    <t xml:space="preserve">2018 S PRAIRIE</t>
  </si>
  <si>
    <t xml:space="preserve">CoP. WELDING + FAB. INC (1983; SIC 3499,3444,3443) | cp WELDING+FABRICATION (1988-1990; SIC 3443,3444,3499)</t>
  </si>
  <si>
    <t xml:space="preserve">CoP. WELDING + FAB. INC (1983) | cp WELDING+FABRICATION (1988)</t>
  </si>
  <si>
    <t xml:space="preserve">PROGRESS RAIL SERVICES CORP [FRS] (address match)</t>
  </si>
  <si>
    <t xml:space="preserve">2127 S PRAIRIE AVE</t>
  </si>
  <si>
    <t xml:space="preserve">VALLEY CHEMICAL</t>
  </si>
  <si>
    <t xml:space="preserve">S05244</t>
  </si>
  <si>
    <t xml:space="preserve">2840 GRANADA BLVD 8</t>
  </si>
  <si>
    <t xml:space="preserve">PUEBLO DIVERSIFIED INDUSTRIES INC. (1990; SIC 2771,3423,3496)</t>
  </si>
  <si>
    <t xml:space="preserve">TONYS KUSTOM KITCHENS + TANCES (1983) | ORTHOTIC DEVICES REACHERST APPL ances (1988) | PUEBLO DIVERSIFIED INDUSTRIES INC. (1990) | TONYS KUSTOM KITCHENS + APPLIANCES (1990)</t>
  </si>
  <si>
    <t xml:space="preserve">PUEBLO DIVERSIFIED INDUSTRIES [FRS; name match, 62 m]</t>
  </si>
  <si>
    <t xml:space="preserve">PUEBLO DIVERSIFIED INDUSTRIES</t>
  </si>
  <si>
    <t xml:space="preserve">S06055</t>
  </si>
  <si>
    <t xml:space="preserve">3040 E 4TH ST</t>
  </si>
  <si>
    <t xml:space="preserve">PETERSON PAINT CO (1988; SIC 2851)</t>
  </si>
  <si>
    <t xml:space="preserve">PETERSON PAINT CO (1988)</t>
  </si>
  <si>
    <t xml:space="preserve">BONAKEMI USA INC. [FRS] (address match) | BONAKEMI PRODUCTION [CDPHE RCRA] (address match)</t>
  </si>
  <si>
    <t xml:space="preserve">SAFETY-KLEEN SYSTEMS (605204)</t>
  </si>
  <si>
    <t xml:space="preserve">SAFETY-KLEEN SYSTEMS PUEBLO (PUE) (605204)</t>
  </si>
  <si>
    <t xml:space="preserve">SAFETY-KLEEN SYSTEMS INC - PUEBLO</t>
  </si>
  <si>
    <t xml:space="preserve">S06059</t>
  </si>
  <si>
    <t xml:space="preserve">1742 E PLATTEVILLE</t>
  </si>
  <si>
    <t xml:space="preserve">ASSEMBLIES J-M MFG CO INC (1988; SIC 3089) | J-M MANUFACTURING CO INC (1990; SIC 3089)</t>
  </si>
  <si>
    <t xml:space="preserve">ASSEMBLIES J-M MFG CO INC (1988) | J-M MANUFACTURING CO INC (1990)</t>
  </si>
  <si>
    <t xml:space="preserve">J-M MANUFACTURING CO., INC. DBA JM EAGLE [FRS; name match, 205 m]</t>
  </si>
  <si>
    <t xml:space="preserve">J-M MANUFACTURING CO., INC. DBA JM EAGLE</t>
  </si>
  <si>
    <t xml:space="preserve">S06063</t>
  </si>
  <si>
    <t xml:space="preserve">38 N SILICON DR</t>
  </si>
  <si>
    <t xml:space="preserve">URBAN INDUSTRIES INC (1988; SIC 3449,3443)</t>
  </si>
  <si>
    <t xml:space="preserve">URBAN INDUSTRIES INC (1988)</t>
  </si>
  <si>
    <t xml:space="preserve">COLORADO BUREAU OF INVESTIGATION [CDPHE RCRA; 73 m] | COLORADO BUREAU OF INVESTIGATION [FRS; 188 m] | COLORADO TOTAL CONTAINER [FRS; 242 m]</t>
  </si>
  <si>
    <t xml:space="preserve">WAREHOUSE PUEBLO WEST [FRS; 20 m] | SUMMIT CO OF SOUTHERN COLORADO [FRS; 97 m] | PUEBLO CONCRETE PRODUCTS [FRS; 169 m] | COLORADO BUREAU OF INVESTIGATION PUEBLO CRIME LAB [FRS; 188 m] | HANDCRAFTED CREATIONS INC [FRS; 188 m]</t>
  </si>
  <si>
    <t xml:space="preserve">COLORADO BUREAU OF INVESTIGATION</t>
  </si>
  <si>
    <t xml:space="preserve">S01947</t>
  </si>
  <si>
    <t xml:space="preserve">259 N BROADWAY</t>
  </si>
  <si>
    <t xml:space="preserve">HOLT SHEET METAL WORKS € J HEGGIE ChNER (1968; SIC 3444) | HOLT HEATING + VENTILATING (1973-1974; SIC 3441) | COOPER MANUFACTURING INC (1974-1977; SIC 3564,3715)</t>
  </si>
  <si>
    <t xml:space="preserve">HOLT SHEET METAL WORKS € J HEGGIE ChNER (1968) | HOLT HEATING + VENTILATING (1973) | COOPER MANUFACTURING INC (1974) | MONTE CANVAS + UPHOLSTERY (1977) | UPNVEs upnoisrery (1988)</t>
  </si>
  <si>
    <t xml:space="preserve">SAFEWAY STORE #2810 [CDPHE RCRA; 101 m]</t>
  </si>
  <si>
    <t xml:space="preserve">MONTE VISTA CITY [FRS; 246 m] | TERRA INTERNATIONAL [FRS] (address match)</t>
  </si>
  <si>
    <t xml:space="preserve">S05254</t>
  </si>
  <si>
    <t xml:space="preserve">202 2ND</t>
  </si>
  <si>
    <t xml:space="preserve">JULESBURG</t>
  </si>
  <si>
    <t xml:space="preserve">Sedgwick</t>
  </si>
  <si>
    <t xml:space="preserve">80737</t>
  </si>
  <si>
    <t xml:space="preserve">GREAT WESTERN SOLAR (1983; SIC 3433)</t>
  </si>
  <si>
    <t xml:space="preserve">GREAT WESTERN SOLAR (1983)</t>
  </si>
  <si>
    <t xml:space="preserve">FARMERS ELEVATOR CO-OP [FRS; 222 m]</t>
  </si>
  <si>
    <t xml:space="preserve">SH138 AT LODGEPOLE CREEK [FRS; 143 m] | AMALGAMATED SUGAR CO OVID TASCO [FRS; 221 m] | TOWN OF OVID [FRS; 221 m]</t>
  </si>
  <si>
    <t xml:space="preserve">FARMERS ELEVATOR CO-OP</t>
  </si>
  <si>
    <t xml:space="preserve">S05258</t>
  </si>
  <si>
    <t xml:space="preserve">100 ASPEN GARDEN WY</t>
  </si>
  <si>
    <t xml:space="preserve">WOODLAND PARK</t>
  </si>
  <si>
    <t xml:space="preserve">80863</t>
  </si>
  <si>
    <t xml:space="preserve">av ® CORP (1983; SIC 2421,2340,3433)</t>
  </si>
  <si>
    <t xml:space="preserve">av ® CORP (1983)</t>
  </si>
  <si>
    <t xml:space="preserve">BREXUN ENTERPRIZES INC [FRS; 91 m] | WALGREENS STORE #9561 [FRS; 136 m] | WALGREENS STORE #9561 [CDPHE RCRA; 136 m] | NOAH S DRY CLEANERS [FRS; 144 m] | SAFEWAY STORE #1578 [CDPHE RCRA; 150 m] | WALMART SUPERCENTER #3805 [CDPHE RCRA; 150 m] | SAFEWAY STORE #1578 [FRS; 153 m] | SALLY BEAUTY SUPPLY #10205 [FRS; 202 m] | PARADISE RANCH PROPERTIES [FRS; 240 m]</t>
  </si>
  <si>
    <t xml:space="preserve">THE AUTO SPA DETAILING (FORMERLY A V R CORPORATION) [FRS; 54 m] | FOUNTAIN CREEK STABILIZATION AND EROSION CONTROL PROJECT [FRS; 60 m] | ASPEN GARDENS GREENHOUSE AND NURSERY [FRS; 60 m] | ALPINE AUTO CENTER [FRS; 114 m] | GOODWILL WOODLAND PARK [FRS; 122 m] | ASPENGARDENS GREENHOUSE &amp; NURSERY [FRS; 123 m] | GANA INC DBA NOAH'S DRY CLEANERS [FRS; 144 m]</t>
  </si>
  <si>
    <t xml:space="preserve">BREXUN ENTERPRIZES INC</t>
  </si>
  <si>
    <t xml:space="preserve">S06867</t>
  </si>
  <si>
    <t xml:space="preserve">815 W LORRAINE</t>
  </si>
  <si>
    <t xml:space="preserve">THE ROBOT FACTORY INC (1990-1992; SIC 3569)</t>
  </si>
  <si>
    <t xml:space="preserve">THE ROBOT FACTORY INC (1990)</t>
  </si>
  <si>
    <t xml:space="preserve">PIKES PEAK AUTOBODY [FRS; 12 m]</t>
  </si>
  <si>
    <t xml:space="preserve">PIKES PEAK AUTOBODY</t>
  </si>
  <si>
    <t xml:space="preserve">S00549</t>
  </si>
  <si>
    <t xml:space="preserve">GREELEY TENT + AWNING CO (1974; SIC 2394,3442)</t>
  </si>
  <si>
    <t xml:space="preserve">GREELEY TENT + AWNING CO. (1965) |  (1967) | GREELEY TENT + AWNING CO 2048 PREPARED FEEDS, NEC (1973) | NORTHERN COLORADO CANVAS (1980)</t>
  </si>
  <si>
    <t xml:space="preserve">DELLENBACH MOTORS INC [FRS; 4 m] | GREELEY DAILY TRIBUNE [FRS; 33 m]</t>
  </si>
  <si>
    <t xml:space="preserve">ACADEMY OF NATURAL THERAPY</t>
  </si>
  <si>
    <t xml:space="preserve">DELLENBACH MOTORS INC</t>
  </si>
  <si>
    <t xml:space="preserve">S00560</t>
  </si>
  <si>
    <t xml:space="preserve">531 6TH ST</t>
  </si>
  <si>
    <t xml:space="preserve">NOFFSINGER MFG. CO. ote he fe (1965; SIC 3522) | WERNER FFG CO (1968; SIC 3423,3623,3548)</t>
  </si>
  <si>
    <t xml:space="preserve">NOFFSINGER MFG. CO. ote he fe (1965) | WERNER FFG CO (1968)</t>
  </si>
  <si>
    <t xml:space="preserve">NOFFSINGER MFG. CO., INC. [FRS; name match, 151 m] | DEPOT AUTO BODY [FRS; 28 m]</t>
  </si>
  <si>
    <t xml:space="preserve">REGAL FIBERGLASS INC</t>
  </si>
  <si>
    <t xml:space="preserve">DEPOT AUTO BODY</t>
  </si>
  <si>
    <t xml:space="preserve">S00564</t>
  </si>
  <si>
    <t xml:space="preserve">701 6TH AVE</t>
  </si>
  <si>
    <t xml:space="preserve">GILCREST</t>
  </si>
  <si>
    <t xml:space="preserve">WILES MACHINE WORKS (1965; SIC 3591)</t>
  </si>
  <si>
    <t xml:space="preserve">WILES MACHINE WORKS (1965)</t>
  </si>
  <si>
    <t xml:space="preserve">SIMPLOT SOILBUILDERS [CDPHE RCRA; 144 m] | BURNT MOUNTAIN SERVICES LLC [CDPHE RCRA; 144 m] | SIMPLOT SOILBUILDERS [FRS; 144 m] | BURNT MOUNTAIN SERVICES LLC [FRS; 144 m] | LIBERTY ENERGY SERVICES - PLATTEVILLE PDP [CDPHE RCRA; 153 m]</t>
  </si>
  <si>
    <t xml:space="preserve">KLEVE ENTERPRISES INC. - CORNER MART [FRS; 118 m] | TJT, INC. [FRS; 128 m] | WHITAKER OIL [FRS; 164 m]</t>
  </si>
  <si>
    <t xml:space="preserve">SIMPLOT SOILBUILDERS</t>
  </si>
  <si>
    <t xml:space="preserve">S01289</t>
  </si>
  <si>
    <t xml:space="preserve">610 10TH</t>
  </si>
  <si>
    <t xml:space="preserve">BALCOM INDUSTRIES, THE (1966; SIC 2879)</t>
  </si>
  <si>
    <t xml:space="preserve">BALCOM INDUSTRIES, THE (1966)</t>
  </si>
  <si>
    <t xml:space="preserve">BALCOM CHEMICALS [FRS; name match, 22 m] | BALCOM CHEMICALS [FRS; name match, 26 m]</t>
  </si>
  <si>
    <t xml:space="preserve">D&amp;D BEAN CO [FRS; 35 m]</t>
  </si>
  <si>
    <t xml:space="preserve">BALCOM CHEMICALS</t>
  </si>
  <si>
    <t xml:space="preserve">S01292</t>
  </si>
  <si>
    <t xml:space="preserve">237 22ND ST</t>
  </si>
  <si>
    <t xml:space="preserve">BALCOM CHEMICALS, INC (1970; SIC 2842) | CENTRAL INDUSTRIES INC (1970; SIC 3791)</t>
  </si>
  <si>
    <t xml:space="preserve">CENTRAL INDUSTRIES INC (1966) | BALCOM CHEMICALS, INC (1970) | CENTRAL INDUSTRIES INC (1970) | | CENTRAL HOMES, INC. (1973)</t>
  </si>
  <si>
    <t xml:space="preserve">CENTRAL HOMES SITE [FRS; name match, 49 m] | CALIBER BODYWORKS - CALIBER COLLISON [FRS; 22 m] | CROP PRODUCTION SERVICES 5528 [FRS; 37 m] | UAP PUEBLO [FRS; 37 m] | CENTRAL HOMES SITE [FRS] (address match)</t>
  </si>
  <si>
    <t xml:space="preserve">CENTRAL WELD CNTY WD [FRS; name match, 121 m] | CENTRAL WELD CNTY WD-LASALLE BOOSTER CHLORINATION FACILITY [FRS; name match, 121 m]</t>
  </si>
  <si>
    <t xml:space="preserve">CALIBER BODYWORKS - CALIBER COLLISON</t>
  </si>
  <si>
    <t xml:space="preserve">S01301</t>
  </si>
  <si>
    <t xml:space="preserve">821 18TH ST</t>
  </si>
  <si>
    <t xml:space="preserve">UNIVERSAL PLASTIC INC (1966-1968; SIC 3079)</t>
  </si>
  <si>
    <t xml:space="preserve">UNIVERSAL PLASTIC INC (1966)</t>
  </si>
  <si>
    <t xml:space="preserve">THE DENT-IST [FRS; 117 m]</t>
  </si>
  <si>
    <t xml:space="preserve">STINKER STORES - STINKER #306 [FRS; 85 m] | A-1 PEST CONTROL [FRS; 111 m] | SCOTT WEBER [FRS; 201 m]</t>
  </si>
  <si>
    <t xml:space="preserve">THE DENT-IST</t>
  </si>
  <si>
    <t xml:space="preserve">S01953</t>
  </si>
  <si>
    <t xml:space="preserve">600 5TH ST</t>
  </si>
  <si>
    <t xml:space="preserve">DYERCO FABRICATORS INC (1977-1983; SIC 3499) | NOFFSINGER MANUFACTURING CO (1980; SIC 3523,3496) | NOFFSINGER MANUFACTURING CO (1983-1990; SIC 3523,3496)</t>
  </si>
  <si>
    <t xml:space="preserve">GRAPETTE BOTTLING CO (1968) | DYERCO FABRICATORS INC (1977) | NOFFSINGER MANUFACTURING CO (1980) | NOFFSINGER MANUFACTURING CO (1983)</t>
  </si>
  <si>
    <t xml:space="preserve">NOFFSINGER MFG. CO., INC. [FRS; name match, 44 m]</t>
  </si>
  <si>
    <t xml:space="preserve">NOFFSINGER MFG. CO., INC.</t>
  </si>
  <si>
    <t xml:space="preserve">S02739</t>
  </si>
  <si>
    <t xml:space="preserve">401 N 1ST</t>
  </si>
  <si>
    <t xml:space="preserve">EWING, JOHN: CO (1980-1990; SIC 2634,2879) | LA SALLE JOHN EWING CO (1988; SIC 2834,2844,3829)</t>
  </si>
  <si>
    <t xml:space="preserve">EWING, JOHN, CO (1973) | LA SALLE JOHN EWING CO (1988) | GOLD AUTHENTICS (1988)</t>
  </si>
  <si>
    <t xml:space="preserve">LA SALLE OIL CO [CDPHE RCRA; 28 m]</t>
  </si>
  <si>
    <t xml:space="preserve">LA SALLE [FRS; name match, 120 m]</t>
  </si>
  <si>
    <t xml:space="preserve">LA SALLE OIL CO</t>
  </si>
  <si>
    <t xml:space="preserve">S03158</t>
  </si>
  <si>
    <t xml:space="preserve">540 MAIN AVE</t>
  </si>
  <si>
    <t xml:space="preserve">HUDSON + HAMILTON INC/WALKER TRUCK BCDIES (1974; SIC 3713) | WALKER TRUCK BODIES (1977; SIC 3713,3536,3792)</t>
  </si>
  <si>
    <t xml:space="preserve">HUDSON + HAMILTON INC/WALKER TRUCK BCDIES (1974) | WALKER TRUCK BODIES (1977)</t>
  </si>
  <si>
    <t xml:space="preserve">KAIZEN AUTO CARE - FORT LUPTON [FRS; 0 m] | CARQUEST AUTO PARTS OF FORT LUPTON [FRS; 44 m] | AGRICHEM INC [FRS; 65 m] | PURIFOY CHEVROLET [FRS; 127 m] | KAIZEN COLLISION CENTER - FORT LUPTON [CDPHE RCRA; 146 m] | COVER-ALL SERVICES INC [FRS; 147 m] | A &amp; W WATER SERVICE INC [CDPHE RCRA; 202 m] | FLINT ENGINEERING &amp; CONSTRUCTION CO [CDPHE RCRA; 202 m] | OMEGA DRY CLEANERS [FRS; 242 m]</t>
  </si>
  <si>
    <t xml:space="preserve">JJ KANE [FRS; 153 m] | GRAY OIL CO [FRS; 170 m] | 330 PARK AVE [FRS; 239 m]</t>
  </si>
  <si>
    <t xml:space="preserve">KAIZEN AUTO CARE - FORT LUPTON</t>
  </si>
  <si>
    <t xml:space="preserve">S03161</t>
  </si>
  <si>
    <t xml:space="preserve">401 17TH ST</t>
  </si>
  <si>
    <t xml:space="preserve">HESCO MFG. CORP. (1980-1983; SIC 3724,3892,3694)</t>
  </si>
  <si>
    <t xml:space="preserve"> (1974) | HESCO MFG. CORP. (1980)</t>
  </si>
  <si>
    <t xml:space="preserve">HESCO MFG CORP [FRS; name match, 19 m] | HESCO MFG CORP [FRS] (address match)</t>
  </si>
  <si>
    <t xml:space="preserve">401 17 ST IMPROVEMENTS [FRS; 19 m] | 401 ABC BUILDING [FRS; 19 m] | R&amp;R CUSTOM WOODWORKING INC [FRS; 19 m] | R&amp;R CUSTOM WOODWORKING INC [FRS] (address match)</t>
  </si>
  <si>
    <t xml:space="preserve">HESCO MFG CORP</t>
  </si>
  <si>
    <t xml:space="preserve">S03546</t>
  </si>
  <si>
    <t xml:space="preserve">527 6TH AVE</t>
  </si>
  <si>
    <t xml:space="preserve">BREWER STEEL CORP (1977-1992; SIC 3444,3443,3441)</t>
  </si>
  <si>
    <t xml:space="preserve">BREWER STEEL CORP (1977)</t>
  </si>
  <si>
    <t xml:space="preserve">NOFFSINGER MFG. CO., INC. [FRS; 4 m]</t>
  </si>
  <si>
    <t xml:space="preserve">S03549</t>
  </si>
  <si>
    <t xml:space="preserve">1324 N 7TH AVE</t>
  </si>
  <si>
    <t xml:space="preserve">BYCO SALES LTO (1977; SIC 3523) | SUNDANCE BYCO INC (1980-1983; SIC 3523)</t>
  </si>
  <si>
    <t xml:space="preserve">BYCO SALES LTO (1977) | SUNDANCE BYCO INC (1980)</t>
  </si>
  <si>
    <t xml:space="preserve">INTERGRATED PRODUCTION SERVICES INC [FRS; 21 m]</t>
  </si>
  <si>
    <t xml:space="preserve">TRI-STATE COMMODITIES INC [FRS; 9 m]</t>
  </si>
  <si>
    <t xml:space="preserve">INTERGRATED PRODUCTION SERVICES INC</t>
  </si>
  <si>
    <t xml:space="preserve">S04421</t>
  </si>
  <si>
    <t xml:space="preserve">1138 N 11TH AVE</t>
  </si>
  <si>
    <t xml:space="preserve">BrPRoBversY (1988; SIC 2011,2077,2875)</t>
  </si>
  <si>
    <t xml:space="preserve">WELD COUNTY SI-PRODUCTS (1980) | BrPRoBversY (1988)</t>
  </si>
  <si>
    <t xml:space="preserve">WELD COUNTY GOVERNMENT BUILDING &amp; GROUNDS [CDPHE RCRA; name match, 126 m] | WELD COUNTY GOVERNMENT BUILDING &amp; GROUNDS [FRS; name match, 140 m]</t>
  </si>
  <si>
    <t xml:space="preserve">WELD COUNTY PUBLIC WORKS [FRS; name match, 73 m] | WELD COUNTY MATERIALS DIVISION [FRS; name match, 73 m] | WELD COUNTY PUBLIC WORKS - GEISERT PIT [FRS; name match, 73 m] | WELD COUNTY PUBLIC WORKS - PORT CRSHR #2 [FRS; name match, 134 m] | WELD COUNTY PUBLIC WORKS - P. SCREEN #3 [FRS; name match, 138 m] | WELD COUNTY BI PRODUCTS [FRS; name match, 182 m]</t>
  </si>
  <si>
    <t xml:space="preserve">WELD COUNTY GOVERNMENT BUILDING &amp; GROUNDS</t>
  </si>
  <si>
    <t xml:space="preserve">S05280</t>
  </si>
  <si>
    <t xml:space="preserve">1120 25TH AVE</t>
  </si>
  <si>
    <t xml:space="preserve">WESTERN EQUIPMENT # TRUCK CO (1983; SIC 3713)</t>
  </si>
  <si>
    <t xml:space="preserve">WESTERN EQUIPMENT # TRUCK CO (1983)</t>
  </si>
  <si>
    <t xml:space="preserve">METZ BAKING CO - GREELEY WHSE [CDPHE RCRA; 216 m]</t>
  </si>
  <si>
    <t xml:space="preserve">FARR NEIGHBORHOOD WATER MAIN RELOCATION PROJECT [FRS; 62 m] | 7-ELEVEN INC - STORE #41130 [FRS; 108 m] | SAV O MAT [FRS; 218 m] | BRADLEY SAV-O-MAT (BRADY PETROLEUM) [FRS; 218 m]</t>
  </si>
  <si>
    <t xml:space="preserve">METZ BAKING CO - GREELEY WHSE</t>
  </si>
  <si>
    <t xml:space="preserve">S05883</t>
  </si>
  <si>
    <t xml:space="preserve">1612 1ST AVE</t>
  </si>
  <si>
    <t xml:space="preserve">EISENMAN ENTERPRISES INC (1988; SIC 3448)</t>
  </si>
  <si>
    <t xml:space="preserve">EISENMAN ENTERPRISES INC (1988)</t>
  </si>
  <si>
    <t xml:space="preserve">EISENMAN ENTERPRISES INC [FRS; name match, 244 m]</t>
  </si>
  <si>
    <t xml:space="preserve">LYONS FILTER [FRS; 22 m] | PITTS STOP [FRS; 39 m] | HRM ENTERPRISES INC [FRS; 39 m]</t>
  </si>
  <si>
    <t xml:space="preserve">PRECISION AUTO BODY REPAIR &amp; REFINISHING</t>
  </si>
  <si>
    <t xml:space="preserve">S05886</t>
  </si>
  <si>
    <t xml:space="preserve">521 8TH ST</t>
  </si>
  <si>
    <t xml:space="preserve">JIM’S AUTOMOTIVE MACHINE SHOP (1988-1990; SIC 3714)</t>
  </si>
  <si>
    <t xml:space="preserve">JIM’S AUTOMOTIVE MACHINE SHOP (1988)</t>
  </si>
  <si>
    <t xml:space="preserve">JIMS AUTOMOTIVE MACHINE SHOP [CDPHE RCRA; name match, 7 m] | JIMS AUTOMOTIVE MACHINE SHOP [FRS; name match, 70 m] | WELD COUNTY SCHOOL DISTRICT #6 [CDPHE RCRA; 31 m] | JIMS AUTOMOTIVE MACHINE SHOP [FRS] (address match) | JIMS AUTOMOTIVE MACHINE SHOP [CDPHE RCRA] (address match)</t>
  </si>
  <si>
    <t xml:space="preserve">S05889</t>
  </si>
  <si>
    <t xml:space="preserve">506 O ST</t>
  </si>
  <si>
    <t xml:space="preserve">GREELEY - GREELEY 285 MAXANN’S INC (1988; SIC 2522,3449) | MAXANN'S INC (1990; SIC 2522,3449)</t>
  </si>
  <si>
    <t xml:space="preserve">GREELEY - GREELEY 285 MAXANN’S INC (1988) | MAXANN'S INC (1990)</t>
  </si>
  <si>
    <t xml:space="preserve">H H WILLIAMS TRUCKING LLC [FRS; 21 m]</t>
  </si>
  <si>
    <t xml:space="preserve">MAXANNS INC [FRS; name match, 32 m] | MAXANNS INC [FRS] (address match)</t>
  </si>
  <si>
    <t xml:space="preserve">H H WILLIAMS TRUCKING LLC</t>
  </si>
  <si>
    <t xml:space="preserve">S05890</t>
  </si>
  <si>
    <t xml:space="preserve">1831 4TH AVE</t>
  </si>
  <si>
    <t xml:space="preserve">DENNIS MORLANG+CO (1988; SIC 3441)</t>
  </si>
  <si>
    <t xml:space="preserve">DENNIS MORLANG+CO (1988)</t>
  </si>
  <si>
    <t xml:space="preserve">FAIRACRES MANOR [CDPHE RCRA; 103 m]</t>
  </si>
  <si>
    <t xml:space="preserve">UNIV OF NORTHERN COLORADO [FRS; 203 m]</t>
  </si>
  <si>
    <t xml:space="preserve">FAIRACRES MANOR</t>
  </si>
  <si>
    <t xml:space="preserve">S05893</t>
  </si>
  <si>
    <t xml:space="preserve">931 D ST</t>
  </si>
  <si>
    <t xml:space="preserve">TRU-BILT TRAILERS (1988-1990; SIC 3523)</t>
  </si>
  <si>
    <t xml:space="preserve">TRU-BILT TRAILERS (1988)</t>
  </si>
  <si>
    <t xml:space="preserve">JOHNNIES PAINT &amp; BODY SHOP [FRS; 24 m]</t>
  </si>
  <si>
    <t xml:space="preserve">LEXINGTON ANIMAL HEALTH [FRS; 33 m]</t>
  </si>
  <si>
    <t xml:space="preserve">S06659</t>
  </si>
  <si>
    <t xml:space="preserve">1216 N 11TH AVE</t>
  </si>
  <si>
    <t xml:space="preserve">ARCTIC MANUFACTURING (1990; SIC 2899)</t>
  </si>
  <si>
    <t xml:space="preserve">ARCTIC MANUFACTURING (1990)</t>
  </si>
  <si>
    <t xml:space="preserve">ARCTIC INSULATION INC [FRS; name match, 134 m] | ARCTIC INSULATION INC [FRS] (address match)</t>
  </si>
  <si>
    <t xml:space="preserve">Northern Colorado Recycle [CDPHE Solid_Waste_Facilities; 69 m]</t>
  </si>
  <si>
    <t xml:space="preserve">ARCTIC INSULATION INC</t>
  </si>
  <si>
    <t xml:space="preserve">S06669</t>
  </si>
  <si>
    <t xml:space="preserve">2322 W 9TH ST</t>
  </si>
  <si>
    <t xml:space="preserve">HOME OWNERS REPAIR &amp; MFG (1990; SIC 3089)</t>
  </si>
  <si>
    <t xml:space="preserve">HOME OWNERS REPAIR &amp; MFG (1990)</t>
  </si>
  <si>
    <t xml:space="preserve">ATMOS ENERGY CORP [FRS; 182 m]</t>
  </si>
  <si>
    <t xml:space="preserve">PSCO GREELEY SUBSTATION [FRS; 84 m] | NORTHERN COLORADO HOME IMPROVEMENT [FRS; 125 m] | UNIVERSITY AMOCO [FRS; 186 m]</t>
  </si>
  <si>
    <t xml:space="preserve">ATMOS ENERGY CORP</t>
  </si>
  <si>
    <t xml:space="preserve">S06685</t>
  </si>
  <si>
    <t xml:space="preserve">101 W 51ST</t>
  </si>
  <si>
    <t xml:space="preserve">JOHNSTOWN</t>
  </si>
  <si>
    <t xml:space="preserve">80534</t>
  </si>
  <si>
    <t xml:space="preserve">AG AIR INC (1990; SIC 2875,2879)</t>
  </si>
  <si>
    <t xml:space="preserve">AG AIR INC (1990)</t>
  </si>
  <si>
    <t xml:space="preserve">U S DRUG ENFORCEMENT ADMINISTRATION [FRS; 1 m]</t>
  </si>
  <si>
    <t xml:space="preserve">ALPINE STATION #2 [FRS; 164 m] | ALPINE STATION #2 [FRS; 182 m] | SCOOTER'S COFFEE [FRS; 184 m]</t>
  </si>
  <si>
    <t xml:space="preserve">U S DRUG ENFORCEMENT ADMINISTRATION</t>
  </si>
  <si>
    <t xml:space="preserve">S06686</t>
  </si>
  <si>
    <t xml:space="preserve">310 W S 1ST ST</t>
  </si>
  <si>
    <t xml:space="preserve">UNISCOPE (1990-1992; SIC 2834)</t>
  </si>
  <si>
    <t xml:space="preserve">UNISCOPE (1990)</t>
  </si>
  <si>
    <t xml:space="preserve">NEVCO SERVICES INC. [CDPHE RCRA; 46 m]</t>
  </si>
  <si>
    <t xml:space="preserve">UNISCOPE, INC. [FRS; name match, 190 m]</t>
  </si>
  <si>
    <t xml:space="preserve">NEVCO SERVICES INC.</t>
  </si>
  <si>
    <t xml:space="preserve">S06891</t>
  </si>
  <si>
    <t xml:space="preserve">1015 2ND ST</t>
  </si>
  <si>
    <t xml:space="preserve">LOVELAND SCREW MACHINE LID (1992; SIC 3452)</t>
  </si>
  <si>
    <t xml:space="preserve">LOVELAND SCREW MACHINE LID (1992)</t>
  </si>
  <si>
    <t xml:space="preserve">A&amp;F SALVAGE [FRS; 23 m]</t>
  </si>
  <si>
    <t xml:space="preserve">TWELFTH STREET OUTFALL PHASE 1 [FRS; 93 m] | 12TH STREET STORMWATER IMPROVEMENTS [FRS; 103 m] | SUNRISE NEIGHBORHOOD DRAINAGE IMPROVEMENTS [FRS; 126 m] | COLORADO SODA BLASTING INC [FRS; 177 m] | SUNRISE NEIGHBORHOOD DRAINAGE IMPROVEMENTS 9 ST OUTFALL [FRS; 183 m] | SUNRISE NEIGHBORHOOD DRAINAGE IMPROVEMENTS [FRS; 191 m] | 9TH AND POUDRE RIVER WATER QUALITY VAULT [FRS; 228 m] | LEPRINO FOODS GREEL</t>
  </si>
  <si>
    <t xml:space="preserve">A&amp;F SALVAGE</t>
  </si>
  <si>
    <t xml:space="preserve">S07032</t>
  </si>
  <si>
    <t xml:space="preserve">3808 CARSON</t>
  </si>
  <si>
    <t xml:space="preserve">COLORADO METALLIZING &amp; MACHINE (1992; SIC 3499)</t>
  </si>
  <si>
    <t xml:space="preserve">COLORADO METALLIZING &amp; MACHINE (1992)</t>
  </si>
  <si>
    <t xml:space="preserve">ALL PRO AUTOBODY [FRS; 19 m]</t>
  </si>
  <si>
    <t xml:space="preserve">S05970</t>
  </si>
  <si>
    <t xml:space="preserve">20 SUNSET</t>
  </si>
  <si>
    <t xml:space="preserve">EEARRRN PAVING co (1988; SIC 2499,3496)</t>
  </si>
  <si>
    <t xml:space="preserve">EEARRRN PAVING co (1988)</t>
  </si>
  <si>
    <t xml:space="preserve">Green Girl Recycling [CDPHE Solid_Waste_Facilities; 44 m]</t>
  </si>
  <si>
    <t xml:space="preserve">RIVERSET</t>
  </si>
  <si>
    <t xml:space="preserve">GOLDEN CONCRETE LLLP (SEC SCREEN)</t>
  </si>
  <si>
    <t xml:space="preserve">S02393</t>
  </si>
  <si>
    <t xml:space="preserve">2140 S LIPAN</t>
  </si>
  <si>
    <t xml:space="preserve">DESIGN WINDOW INC (1977-1990; SIC 3442) | CHRIS CHAM CO (1980; SIC 3499)</t>
  </si>
  <si>
    <t xml:space="preserve">AZTEC SOUND CORP (1968) | A+A SANOWICH + CATERING CO (1973) | A + A SANDWICH COs INC (1974) |  (1977) | DESIGN WINDOW INC (1977) | CHRIS CHAM CO (1980)</t>
  </si>
  <si>
    <t xml:space="preserve">PPG Paints #8028 [CDPHE Solid_Waste_Facilities; 96 m]</t>
  </si>
  <si>
    <t xml:space="preserve">S04036</t>
  </si>
  <si>
    <t xml:space="preserve">13300 E 38TH AVE</t>
  </si>
  <si>
    <t xml:space="preserve">STEAOLY CO, ENC/DENVER INNER SPRING OLY (1980; SIC 3496)</t>
  </si>
  <si>
    <t xml:space="preserve">STEAOLY CO, ENC/DENVER INNER SPRING OLY (1980) | PILLOW KINGDOM (1990)</t>
  </si>
  <si>
    <t xml:space="preserve">Fortune Plastic Metal Mountain States LLC/FPM [CDPHE Solid_Waste_Facilities; 57 m] | RECYCLE CARE [CDPHE Solid_Waste_Facilities; 57 m]</t>
  </si>
  <si>
    <t xml:space="preserve">PILLOW KINGDOM/BIG SUR WATER BED [FRS; name match, 177 m]</t>
  </si>
  <si>
    <t xml:space="preserve">S04428</t>
  </si>
  <si>
    <t xml:space="preserve">5440 FRANKLIN ST</t>
  </si>
  <si>
    <t xml:space="preserve">MCCONNELL*S WELDING» INC. (1983-1990; SIC 3441,3446)</t>
  </si>
  <si>
    <t xml:space="preserve">MCCONNELL*S WELDING» INC. (1983)</t>
  </si>
  <si>
    <t xml:space="preserve">Waste Management - Recycle America - Franklin Street/WMRFRA [CDPHE Solid_Waste_Facilities; 13 m]</t>
  </si>
  <si>
    <t xml:space="preserve">MCCONNELLS WELDING INC [FRS; name match, 98 m] | MARS STEEL CORP. - DENVER ROCK ISLAND TS [FRS; 26 m] | 54 AVE AND FRANKLIN SANITARY SEWER [FRS; 26 m] | DENVER FRANKLIN ST MATERIAL RECOVERY FACILITY [FRS; 33 m] | RECYCLE AMERICA ALLIANCE [FRS; 33 m] | MCCONNELLS WELDING INC [FRS] (address match)</t>
  </si>
  <si>
    <t xml:space="preserve">CMC REBAR INC</t>
  </si>
  <si>
    <t xml:space="preserve">S06070</t>
  </si>
  <si>
    <t xml:space="preserve">5453 N PETERSON RD</t>
  </si>
  <si>
    <t xml:space="preserve">SEDALIA</t>
  </si>
  <si>
    <t xml:space="preserve">80135</t>
  </si>
  <si>
    <t xml:space="preserve">BRICK, HEARTHS WESTERN SLING CO (1988; SIC 3496,3743) | WESTERN SLING + SUPPLY CO (1990; SIC 3496,3743)</t>
  </si>
  <si>
    <t xml:space="preserve">BRICK, HEARTHS WESTERN SLING CO (1988) | WESTERN SLING + SUPPLY CO (1990)</t>
  </si>
  <si>
    <t xml:space="preserve">Sedalia Recycling Center And Depository [CDPHE Solid_Waste_Facilities; 210 m]</t>
  </si>
  <si>
    <t xml:space="preserve">WESTERN SLING &amp; SUPPLY [FRS; name match, 34 m] | WASTE MANAGEMENT OF CO-DENVER SOUTH [FRS; 9 m] | COLORADO POWERLINE, INC. [FRS; 100 m] | INTEGRATED SURGICAL SCIENCES [FRS; 205 m] | SEDALIA RV STORAGE [FRS; 215 m] | WESTERN SLING &amp; SUPPLY [FRS] (address match)</t>
  </si>
  <si>
    <t xml:space="preserve">S02091</t>
  </si>
  <si>
    <t xml:space="preserve">602 4TH ST</t>
  </si>
  <si>
    <t xml:space="preserve">ENRESCO INC (1970-1973; SIC 3522) | ENRESCO INC (1974; SIC 3523) | HIGROMATIC DIVISION, BUTLER MFR CO (1977; SIC 3523)</t>
  </si>
  <si>
    <t xml:space="preserve">ENRESCO INC (1970) | ENRESCO INC (1974) | HIGROMATIC DIVISION, BUTLER MFR CO (1977)</t>
  </si>
  <si>
    <t xml:space="preserve">Waste Management - Recycle America - Colorado Springs [CDPHE Solid_Waste_Facilities; 14 m]</t>
  </si>
  <si>
    <t xml:space="preserve">COLO SPGS MATERIAL RECOVERY FACILITY [FRS; 20 m]</t>
  </si>
  <si>
    <t xml:space="preserve">S03392</t>
  </si>
  <si>
    <t xml:space="preserve">601 S WAHSATCH</t>
  </si>
  <si>
    <t xml:space="preserve">WESTERN AGRICULTURAL CHEMICALS CO (1977-1980; SIC 2873,2879)</t>
  </si>
  <si>
    <t xml:space="preserve">WESTERN AGRICULTURAL CHEMICALS CO (1977)</t>
  </si>
  <si>
    <t xml:space="preserve">Individual Dynamics dba Wahsatch Recycling Depot/WRD [CDPHE Solid_Waste_Facilities; 68 m]</t>
  </si>
  <si>
    <t xml:space="preserve">S04140</t>
  </si>
  <si>
    <t xml:space="preserve">309 11TH</t>
  </si>
  <si>
    <t xml:space="preserve">BMI/COLORADO REFRACTORIES DIV (1992; SIC 2899,3297)</t>
  </si>
  <si>
    <t xml:space="preserve">COLORADO REFRACTORIES CORP (1980)</t>
  </si>
  <si>
    <t xml:space="preserve">Shermin Williams #7184 [CDPHE Solid_Waste_Facilities; 237 m]</t>
  </si>
  <si>
    <t xml:space="preserve">2019-2A N. 12TH STREET [FRS; 134 m] | MCMILLAN REAL ESTATE [FRS; 231 m]</t>
  </si>
  <si>
    <t xml:space="preserve">S04276</t>
  </si>
  <si>
    <t xml:space="preserve">1941 HEATH PKWY</t>
  </si>
  <si>
    <t xml:space="preserve">HEATH ENGINEERING CO INC (1980-1983; SIC 3549) | ESAB AUTOMATION INC (1990; SIC 3589,3559)</t>
  </si>
  <si>
    <t xml:space="preserve">HEATH ENGINEERING CO INC (1980) | ESAB AUTOMATION INC (1990)</t>
  </si>
  <si>
    <t xml:space="preserve">GALLEGOS RECYCLING CENTER [CDPHE Solid_Waste_Facilities; 19 m]</t>
  </si>
  <si>
    <t xml:space="preserve">ALLIED WASTE - FORT COLLINS HAULING [FRS] (address match) | 1941 HEATH PARKWAY [FRS] (address match) | FORT COLLINS PRIMARY YARD [FRS] (address match)</t>
  </si>
  <si>
    <t xml:space="preserve">IMPORT AUTO SALES INC</t>
  </si>
  <si>
    <t xml:space="preserve">S06594</t>
  </si>
  <si>
    <t xml:space="preserve">201 N LINK LN</t>
  </si>
  <si>
    <t xml:space="preserve">NESCH BRASS FOUNDRY (1990-1992; SIC 3363)</t>
  </si>
  <si>
    <t xml:space="preserve">NESCH BRASS FOUNDRY (1990)</t>
  </si>
  <si>
    <t xml:space="preserve">I.T. Refresh/ITR [CDPHE Solid_Waste_Facilities; 54 m]</t>
  </si>
  <si>
    <t xml:space="preserve">BP EXPLORATION AND PRODUCTION INC</t>
  </si>
  <si>
    <t xml:space="preserve">S05185</t>
  </si>
  <si>
    <t xml:space="preserve">1111 S 12TH</t>
  </si>
  <si>
    <t xml:space="preserve">PIPELINE SERVICE INC. (1983; SIC 3533,3317,3443)</t>
  </si>
  <si>
    <t xml:space="preserve">PIPELINE SERVICE INC. (1983)</t>
  </si>
  <si>
    <t xml:space="preserve">Waste Management of Colorado - Grand Junction/WMCGRA [CDPHE Solid_Waste_Facilities; 54 m]</t>
  </si>
  <si>
    <t xml:space="preserve">CAPCO LLC</t>
  </si>
  <si>
    <t xml:space="preserve">S00575</t>
  </si>
  <si>
    <t xml:space="preserve">5501 BRIGHTON BLVD</t>
  </si>
  <si>
    <t xml:space="preserve">BIRKO CHEMICAL CORP (1974; SIC 2899)</t>
  </si>
  <si>
    <t xml:space="preserve">PACKAGING CORP OF AMERICA (1966) | BUILDERS BLOCK CO (1967) | BIRKO CHEMICAL CORP (1973) | BUNS, ROLLS REPUBLIC PAPERBOARD (1988)</t>
  </si>
  <si>
    <t xml:space="preserve">REPUBLIC PAPERBOARD CO [TRI; name match, 64 m] | REPUBLIC PAPERBOARD CO. [FRS; name match, 229 m] | REPUBLIC PAPERBOARD CO. [FRS] (address match) | REPUBLIC PAPERBOARD CO [TRI] (address match)</t>
  </si>
  <si>
    <t xml:space="preserve">BIRKO CORP [FRS; name match, 210 m]</t>
  </si>
  <si>
    <t xml:space="preserve">PACKAGING CORPORATION OF AMERICA [FRS; name match, 229 m] | PCA DENVER [FRS] (address match) | PACKAGING CORPORATION OF AMERICA [FRS] (address match)</t>
  </si>
  <si>
    <t xml:space="preserve">REPUBLIC PAPERBOARD CO</t>
  </si>
  <si>
    <t xml:space="preserve">ENERGY TECHNOLOGIES</t>
  </si>
  <si>
    <t xml:space="preserve">S00583</t>
  </si>
  <si>
    <t xml:space="preserve">6151 BRIGHTON BLVD</t>
  </si>
  <si>
    <t xml:space="preserve">DENVER FEFD CC (1974; SIC 2047,2948)</t>
  </si>
  <si>
    <t xml:space="preserve">DENVER FEED CO (1966) | 3 WIRE PRODUCTS DENVER FEED CO (1988)</t>
  </si>
  <si>
    <t xml:space="preserve">PURINA ANIMAL NUTRITION, LLC [FRS] (address match) | PURINA ANIMAL NUTRITION LLC - COMMERCE CITY [TRI] (address match)</t>
  </si>
  <si>
    <t xml:space="preserve">DENVER FEED [CDPHE RCRA] (address match)</t>
  </si>
  <si>
    <t xml:space="preserve">PURINA ANIMAL NUTRITION, LLC [FRS] (address match)</t>
  </si>
  <si>
    <t xml:space="preserve">PURINA ANIMAL NUTRITION, LLC</t>
  </si>
  <si>
    <t xml:space="preserve">S00590</t>
  </si>
  <si>
    <t xml:space="preserve">5801 PECOS ST</t>
  </si>
  <si>
    <t xml:space="preserve">STANLEY STRUCTURES/PECO STEEL Ol¥ (1980-1988; SIC 3272,3441)</t>
  </si>
  <si>
    <t xml:space="preserve">PRESTRESSED CONCRETE OF COLORADO (1966) | REIN PRINTING + OFFICE SUPPLY (1966) |  (1967) | STANLEY STRUCTURES/PECO STEEL Ol¥ (1980) | ROCKY MIN PATTERN (1992)</t>
  </si>
  <si>
    <t xml:space="preserve">ROCKY MOUNTAIN PRESTRESS LLC (STRUCTURAL PLANT) [FRS; 90 m] | ROCKY MOUNTAIN PRESTRESS LLC (STRUCTURAL PLANT) [FRS] (address match)</t>
  </si>
  <si>
    <t xml:space="preserve">ROCKY MOUNTAIN PRESTRESS [CDPHE RCRA] (address match)</t>
  </si>
  <si>
    <t xml:space="preserve">STANLEY WORKS [FRS; 21 m] | DENVER'S LAST MILE [FRS; 25 m] | ALPINE LUMBER CO DBA ROCKY MTN PRESTAIN [FRS; 29 m] | DENVER'S LAST MILE [FRS] (address match)</t>
  </si>
  <si>
    <t xml:space="preserve">S00803</t>
  </si>
  <si>
    <t xml:space="preserve">4304 E 60TH AVE</t>
  </si>
  <si>
    <t xml:space="preserve">DENVER DE HAAS CO INC S H STREATER PRES (1966; SIC 2911) | RIFFE PETROLEUM CO - DENVER DIVISION (1973; SIC 2951,2911)</t>
  </si>
  <si>
    <t xml:space="preserve">DENVER DE HAAS CO INC S H STREATER PRES (1966) | RIFFE PETROLEUM CO - DENVER DIVISION (1973)</t>
  </si>
  <si>
    <t xml:space="preserve">BKEP MATERIALS - DENVER C &amp; K [FRS; 45 m]</t>
  </si>
  <si>
    <t xml:space="preserve">ADVANCED TRAILER COMPANY LEASING INCORPORATED [FRS] (address match) | COMPLETE FLEET INC [FRS] (address match)</t>
  </si>
  <si>
    <t xml:space="preserve">S01332</t>
  </si>
  <si>
    <t xml:space="preserve">6300 CLERMONT AC2C0</t>
  </si>
  <si>
    <t xml:space="preserve">STEEL INC HENDERSON PICKLE CO, INC 2032 CANNED SPECIALITIES (1967; SIC 3441)</t>
  </si>
  <si>
    <t xml:space="preserve">STEEL INC HENDERSON PICKLE CO, INC 2032 CANNED SPECIALITIES (1967)</t>
  </si>
  <si>
    <t xml:space="preserve">HYDROGATE ACQUISITION CORP [TRI; 206 m]</t>
  </si>
  <si>
    <t xml:space="preserve">CONTECH ENGINEERED SOLUTIONS [FRS; 59 m] | BARTON MATERIALS LLC DBA BARTON SUPPLY [FRS; 90 m] | STEEL STORAGE SYSTEMS INC [CDPHE RCRA; 217 m] | CORNERSTON COATINGS / CLERMONT PRODUCTION FACILITY [FRS; 220 m]</t>
  </si>
  <si>
    <t xml:space="preserve">CONTECH ENGINEERED SOLUTIONS</t>
  </si>
  <si>
    <t xml:space="preserve">S01651</t>
  </si>
  <si>
    <t xml:space="preserve">7677 WASHINGTON</t>
  </si>
  <si>
    <t xml:space="preserve">Chemicals; Fabricated metals; Industrial machinery; Petroleum refining; Rubber &amp; plastics</t>
  </si>
  <si>
    <t xml:space="preserve">1968;1970;1974;1980;1983</t>
  </si>
  <si>
    <t xml:space="preserve">HARPEL*S SALAD DRESSING (1968-1970; SIC 2841) | ZEFER PRODUCTS INC (1968; SIC 2035,2841) | CLARETT-MCCCY INC (1974; SIC 2842) | AFTCO FORMING SYSTEMS (1974; SIC 3449,3444) | CLARETT-MCCOY ENC © MACALOY ARODUCTS (1980; SIC 2941,2842) | COMMUNITY CORPORATION (1983; SIC 3079,2751,3599)</t>
  </si>
  <si>
    <t xml:space="preserve">HARPEL*S SALAD DRESSING (1968) | ZEFER PRODUCTS INC (1968) | CLARETT-MCCCY INC (1974) | AFTCO FORMING SYSTEMS (1974) | CLARETT-MCCOY ENC © MACALOY ARODUCTS (1980) | COMMUNITY CORPORATION (1983)</t>
  </si>
  <si>
    <t xml:space="preserve">MAJESTIC METALS INCORPORATED [FRS; 6 m]</t>
  </si>
  <si>
    <t xml:space="preserve">MAJESTIC METALS INCORPORATED</t>
  </si>
  <si>
    <t xml:space="preserve">S02216</t>
  </si>
  <si>
    <t xml:space="preserve">6720 FRANKLIN ST</t>
  </si>
  <si>
    <t xml:space="preserve">ATLAS ENERGY PRODUCTS (1992; SIC 3086)</t>
  </si>
  <si>
    <t xml:space="preserve">ABCU MOULDING + MILLWORK, INC (1973) | ATLAS ENERGY PRODUCTS (1992)</t>
  </si>
  <si>
    <t xml:space="preserve">ATLAS ENERGY PRODUCTS [FRS; name match, 25 m]</t>
  </si>
  <si>
    <t xml:space="preserve">STOCK BUILDING SUPPLY INC - FRANKLIN [FRS] (address match)</t>
  </si>
  <si>
    <t xml:space="preserve">STOCK BUILDING SUPPLY INC - FRANKLIN</t>
  </si>
  <si>
    <t xml:space="preserve">S02778</t>
  </si>
  <si>
    <t xml:space="preserve">5855 PECOS ST</t>
  </si>
  <si>
    <t xml:space="preserve">PLASTI-FOAM INC + DIV OF DENVER BRICKAPIPE (1974; SIC 2519,3079)</t>
  </si>
  <si>
    <t xml:space="preserve">PLASTI-FOAM INC + DIV OF DENVER BRICKAPIPE (1974)</t>
  </si>
  <si>
    <t xml:space="preserve">ROCKY MOUNTAIN PRESTRESS LLC (STRUCTURAL PLANT) [FRS; 2 m]</t>
  </si>
  <si>
    <t xml:space="preserve">S02780</t>
  </si>
  <si>
    <t xml:space="preserve">8221 E 96TH AVE SCZOL</t>
  </si>
  <si>
    <t xml:space="preserve">GARDNER-DENVER CO, DENVER CIVISICN (1974; SIC 3561,3533,3532)</t>
  </si>
  <si>
    <t xml:space="preserve">GARDNER-DENVER CO, DENVER CIVISICN (1974)</t>
  </si>
  <si>
    <t xml:space="preserve">REBAR COATING &amp; FABRICATION [FRS; 66 m] | DENVER ARCHITECHURAL PRECAST INC [FRS; 168 m]</t>
  </si>
  <si>
    <t xml:space="preserve">GARDNER DENVER [FRS; name match, 158 m] | CUMMINS INC - HENDERSON BRANCH [CDPHE RCRA; 146 m] | CUMMINS ROCKY MOUNTAIN LLC [FRS; 147 m] | INTERMOUNTAIN ELECTRONICS INC [FRS; 158 m] | PATRIOT ENVIRONMENTAL SERVICES INC [CDPHE RCRA; 210 m] | PATRIOT ENVIRONMENTAL SERVICES INC [FRS; 214 m]</t>
  </si>
  <si>
    <t xml:space="preserve">HOLCIM (US), INC. [FRS; 43 m] | COMMERCIAL RESINS COMPANY INC. [FRS; 89 m] | 8000 E 96TH AVENUE [FRS; 95 m] | EVANS MATERIAL STORAGE YARD [FRS; 152 m] | IFCO SYSTEMS NA INC. DBA PALLET COMPANIES INC. [FRS; 158 m] | WASTE MANAGEMENT OF CO - DENVER NORTH [FRS; 194 m] | DENVER NORTH HAULING FACILITY [FRS; 194 m]</t>
  </si>
  <si>
    <t xml:space="preserve">S03090</t>
  </si>
  <si>
    <t xml:space="preserve">5600 W 88TH AVE</t>
  </si>
  <si>
    <t xml:space="preserve">MOPECO, GENERAL CABLE APPARATUS DIV (1974-1990; SIC 3634,3444,3564)</t>
  </si>
  <si>
    <t xml:space="preserve">MOPECO, GENERAL CABLE APPARATUS DIV (1974)</t>
  </si>
  <si>
    <t xml:space="preserve">MOBILE TOOL INTERNATIONAL INCORPORATED [FRS] (address match) | MOBILE TOOL INTERNATIONAL INC [TRI] (address match)</t>
  </si>
  <si>
    <t xml:space="preserve">WESTMINSTER MANUFACTURING  LLC [FRS] (address match) | LOWE'S OF WESTMINSTER, CO #1989 [CDPHE RCRA] (address match)</t>
  </si>
  <si>
    <t xml:space="preserve">GENERAL CABLE CORPORATION [FRS] (address match)</t>
  </si>
  <si>
    <t xml:space="preserve">S03183</t>
  </si>
  <si>
    <t xml:space="preserve">5800 BRIGHTON BLVD</t>
  </si>
  <si>
    <t xml:space="preserve">ASAMERA OIL (1977; SIC 2911) | COLORADO REFINING CO (1988-1992; SIC 2819) | VAN TRAILERS TOTAL PETROLEUM (1988; SIC 2911)</t>
  </si>
  <si>
    <t xml:space="preserve">ASAMERA OIL (1977) | COLORADO REFINING CO (1988) | VAN TRAILERS TOTAL PETROLEUM (1988)</t>
  </si>
  <si>
    <t xml:space="preserve">COLORADO REFINING CO [TRI] (address match)</t>
  </si>
  <si>
    <t xml:space="preserve">BETZDEARBORN INC [FRS] (address match) | SUNCOR ENERGY (USA) INC EAST PLANT [CDPHE RCRA] (address match)</t>
  </si>
  <si>
    <t xml:space="preserve">DENVER TERMINAL [FRS] (address match)</t>
  </si>
  <si>
    <t xml:space="preserve">REPUBLIC PAPERBOARD CO.</t>
  </si>
  <si>
    <t xml:space="preserve">US EPA CLEANUP - FARMERS DITCH</t>
  </si>
  <si>
    <t xml:space="preserve">S03184</t>
  </si>
  <si>
    <t xml:space="preserve">6375 COLORADO BLVD</t>
  </si>
  <si>
    <t xml:space="preserve">KEENE CORPORATION (1977; SIC 3441,3446) | FORT JAY LUMBER CORPORATION (1983; SIC 3079,2421)</t>
  </si>
  <si>
    <t xml:space="preserve">KEENE CORPORATION (1977) | FORT JAY LUMBER CORPORATION (1983)</t>
  </si>
  <si>
    <t xml:space="preserve">DIXIE PETRO CHEMICAL [FRS; 109 m]</t>
  </si>
  <si>
    <t xml:space="preserve">DIXIE PETRO CHEMICAL</t>
  </si>
  <si>
    <t xml:space="preserve">GOP DIESEL SERVICE</t>
  </si>
  <si>
    <t xml:space="preserve">S03579</t>
  </si>
  <si>
    <t xml:space="preserve">6101 DEXTER ST</t>
  </si>
  <si>
    <t xml:space="preserve">ARMCG INC.» METAL PROOUCTS OV (1980; SIC 3443,3322,3333) | HYDRO GATE CORPORATION (1992; SIC 3822,3446,3523)</t>
  </si>
  <si>
    <t xml:space="preserve">ARMCG INC.» METAL PROOUCTS OV (1980) | HYDRO GATE CORPORATION (1992)</t>
  </si>
  <si>
    <t xml:space="preserve">HYDRO GATE ACQUISITION CORPORATION [FRS; name match, 109 m] | HYDROGATE ACQUISITION CORP [TRI] (address match)</t>
  </si>
  <si>
    <t xml:space="preserve">OMEGA PRODUCTS INTERNATIONAL, INC. [FRS] (address match)</t>
  </si>
  <si>
    <t xml:space="preserve">HYDRO GATE ACQUISITION CORPORATION</t>
  </si>
  <si>
    <t xml:space="preserve">GREASE MONKEY</t>
  </si>
  <si>
    <t xml:space="preserve">S03602</t>
  </si>
  <si>
    <t xml:space="preserve">470 E 76TH AVE</t>
  </si>
  <si>
    <t xml:space="preserve">ENGINEERED DATA PRODUCTS INC (1980-1983; SIC 3573,2542) | LW BERG VENTURES INC. (1990; SIC 3543,3544) | CABLE-READY INC HS (1990; SIC 3089)</t>
  </si>
  <si>
    <t xml:space="preserve">ARS AUTOMOTIVE PROOS OLV/SHELLER-GLOSE (1980) | ENGINEERED DATA PRODUCTS INC (1980) | HUGHES + COMPANY (1980) | UNIVERSAL FITNESS PRODUCTS INC. (1983) | LUBRICATION-SERVICE CHARLES HUGHES+CO (1988) | LW BERG VENTURES INC. (1990) | CABLE-READY INC HS (1990) | CHARLES HUGHES + CO (1990)</t>
  </si>
  <si>
    <t xml:space="preserve">HUGHES &amp; CO [FRS; name match, 56 m] | CHARLES HUGHES &amp; CO [TRI; name match, 81 m]</t>
  </si>
  <si>
    <t xml:space="preserve">ENGINEERED DATA PRODUCTS [FRS; name match, 20 m] | ENGINEERED DATA PRODUCTS [FRS] (address match)</t>
  </si>
  <si>
    <t xml:space="preserve">GUARD ASSOC [FRS] (address match)</t>
  </si>
  <si>
    <t xml:space="preserve">HUGHES &amp; CO</t>
  </si>
  <si>
    <t xml:space="preserve">ENGINEERED DATA PRODUCTS</t>
  </si>
  <si>
    <t xml:space="preserve">S04461</t>
  </si>
  <si>
    <t xml:space="preserve">6425 N WASHINGTON</t>
  </si>
  <si>
    <t xml:space="preserve">Blast furnaces &amp; coke; Electronic components</t>
  </si>
  <si>
    <t xml:space="preserve"> (1983; SIC 3573) | SPRINGS MACHINING INC (1983; SIC 3079,3312,3354) | MAJESTIC METALS INC (1983; SIC 3444,3679)</t>
  </si>
  <si>
    <t xml:space="preserve"> (1983) | SPRINGS MACHINING INC (1983) | MAJESTIC METALS INC (1983)</t>
  </si>
  <si>
    <t xml:space="preserve">REGION 8 ENVIRO LLC - UNIT K [FRS; 216 m] | CRYENCO INC [FRS; 220 m]</t>
  </si>
  <si>
    <t xml:space="preserve">DIVISION 7 CONSTRUCTION INC [FRS; 60 m] | BEACON BUILDING PRODUCTS #2306 [FRS; 159 m] | BUFFALO EXPRESS INC [FRS; 202 m] | WESTERN FREIGHTWAYS INC [FRS; 202 m] | MAVERICK BIOFUELS, INC. - M2 FACILITY [FRS; 224 m] | PRECISION PIPE SERVICES LLC [FRS; 224 m] | DIVISION 7 CONSTRUCTION INC [FRS; 228 m]</t>
  </si>
  <si>
    <t xml:space="preserve">SURCORE INC [FRS; 60 m] | 7-ELEVEN NO27022 [FRS; 73 m] | 7-ELEVEN - STORE #27022 [FRS; 79 m] | THEKLA INC [FRS; 98 m] | DENVER POST COMMERCIAL PRESS [FRS; 130 m] | EVERS GENERAL CONSTRUCTION [FRS; 130 m] | REDDY ICE-DENVER A &amp; K (230) [FRS; 130 m] | JAMES NURSERY [FRS; 145 m] | HUB 25 [FRS; 159 m] | FRONT RANGE FABRICATIONS INC [FRS; 180 m] | MILLER BROTHERS INC [FRS; 202 m] | WASHINGTON ST &amp; 64 A</t>
  </si>
  <si>
    <t xml:space="preserve">REGION 8 ENVIRO LLC - UNIT K</t>
  </si>
  <si>
    <t xml:space="preserve">S05088</t>
  </si>
  <si>
    <t xml:space="preserve">6521 W 91ST AVE</t>
  </si>
  <si>
    <t xml:space="preserve">TRADEMARK INC (1983; SIC 3079) | (CABLE CONCEPTS INC (1992; SIC 3679)</t>
  </si>
  <si>
    <t xml:space="preserve">TRADEMARK INC (1983) | (CABLE CONCEPTS INC (1992)</t>
  </si>
  <si>
    <t xml:space="preserve">ASPEN ELECTRONICS MANUFACTURING INC [FRS; 97 m] | ASPEN ELECTRONICS MANUFACTURING INC [TRI; 164 m]</t>
  </si>
  <si>
    <t xml:space="preserve">COLORADO LITHO, INCORPORATED [FRS; 2 m] | GOLF PRO SHOP [FRS; 22 m] | OMNITECH INDUSTRIES, INC [FRS; 37 m] | GENERAL ENGINE [FRS; 38 m] | NEXT FRONTIER BRANDS US INC [FRS; 59 m] | COLORADO LITHO, INC [CDPHE RCRA; 122 m] | SERPENTIX CONVEYOR CORPORATION [FRS; 129 m] | INSULATION TECHNOLOGY CORP [FRS; 199 m] | CALIBER BODYWORKS - WESTMINSTER - #0846 [FRS; 213 m] | CALIBER COLLISION CENTER - WESTMINS</t>
  </si>
  <si>
    <t xml:space="preserve">SERVPRO OF GREATER BOULDER, BROOMFIELD, ARVADA [FRS; 129 m] | SPECIALTY CONTRACTING SERVICES [FRS; 129 m] | SEMPER HSPS [FRS; 214 m] | CITY OF WESTMINSTER - HIGH SERVICE PUMP [FRS; 214 m]</t>
  </si>
  <si>
    <t xml:space="preserve">ASPEN ELECTRONICS MANUFACTURING INC</t>
  </si>
  <si>
    <t xml:space="preserve">COLORADO LITHO, INCORPORATED</t>
  </si>
  <si>
    <t xml:space="preserve">S05383</t>
  </si>
  <si>
    <t xml:space="preserve">1095 S 4TH AVE</t>
  </si>
  <si>
    <t xml:space="preserve">REINF STEEL ALLTAC CORP (1988; SIC 2891) | ALLTAC CORP (1990; SIC 2891)</t>
  </si>
  <si>
    <t xml:space="preserve">REINF STEEL ALLTAC CORP (1988) | ALLTAC CORP (1990)</t>
  </si>
  <si>
    <t xml:space="preserve">CENTRAL PRODUCTS COMPANY [FRS] (address match) | INTERTAPE POLYMER GROUP BRIGHTON FACILITY [TRI] (address match)</t>
  </si>
  <si>
    <t xml:space="preserve">INTERTAPE POLYMER GROUP [CDPHE RCRA] (address match)</t>
  </si>
  <si>
    <t xml:space="preserve">WELL 26 WDID 0205555 [FRS; 27 m]</t>
  </si>
  <si>
    <t xml:space="preserve">CENTRAL PRODUCTS COMPANY</t>
  </si>
  <si>
    <t xml:space="preserve">INTERTAPE POLYMER GROUP</t>
  </si>
  <si>
    <t xml:space="preserve">S05613</t>
  </si>
  <si>
    <t xml:space="preserve">8600 N WELBY RD</t>
  </si>
  <si>
    <t xml:space="preserve">HYDRO CONDUIT CORP (1990; SIC 3272,3572,3577)</t>
  </si>
  <si>
    <t xml:space="preserve">METAL PRODCT HYDRO CONDUIT CORP (1988) | HYDRO CONDUIT CORP (1990)</t>
  </si>
  <si>
    <t xml:space="preserve">RINKER MATERIALS HYDRO CONDUIT [FRS] (address match)</t>
  </si>
  <si>
    <t xml:space="preserve">LOWER HOFFMAN 86TH AVE IMPROVEMENTS [FRS; 16 m] | LOWER HOFFMAN 86TH AVE IMPROVEMENTS [FRS; 21 m] | DEVONSHIRE DITCH [FRS; 149 m] | ENCON COLORADO, LLC [FRS; 221 m]</t>
  </si>
  <si>
    <t xml:space="preserve">S06097</t>
  </si>
  <si>
    <t xml:space="preserve">9085 MARSHALL CT</t>
  </si>
  <si>
    <t xml:space="preserve">SERPENTIX CONVEYOR CORP (1988-1990; SIC 3535)</t>
  </si>
  <si>
    <t xml:space="preserve">SERPENTIX CONVEYOR CORP (1988)</t>
  </si>
  <si>
    <t xml:space="preserve">ASPEN ELECTRONICS MANUFACTURING INC [FRS; 140 m] | ASPEN ELECTRONICS MANUFACTURING INC [TRI; 197 m]</t>
  </si>
  <si>
    <t xml:space="preserve">SERPENTIX CONVEYOR CORPORATION [FRS; name match, 226 m] | COLORADO LITHO, INCORPORATED [FRS; 98 m] | OMNITECH INDUSTRIES, INC [FRS; 103 m] | INSULATION TECHNOLOGY CORP [FRS; 105 m] | GENERAL ENGINE [FRS; 106 m] | NEXT FRONTIER BRANDS US INC [FRS; 113 m] | GOLF PRO SHOP [FRS; 118 m] | COLORADO LITHO, INC [CDPHE RCRA; 158 m] | COSTCO WHOLESALE NUMBER 440 [FRS; 188 m] | CALIBER BODYWORKS - WESTMINSTE</t>
  </si>
  <si>
    <t xml:space="preserve">CALIBER BODYWORKS - WESTMINSTER - #0846 [FRS; 224 m] | SERVPRO OF GREATER BOULDER, BROOMFIELD, ARVADA [FRS; 226 m] | SPECIALTY CONTRACTING SERVICES [FRS; 226 m] | SEMPER HSPS [FRS; 238 m] | CITY OF WESTMINSTER - HIGH SERVICE PUMP [FRS; 238 m] | SERVPRO OF GREATER BOULDER, BROOMFIELD, ARVADA [FRS] (address match) | SPECIALTY CONTRACTING SERVICES [FRS] (address match)</t>
  </si>
  <si>
    <t xml:space="preserve">S06151</t>
  </si>
  <si>
    <t xml:space="preserve">21000 E 32ND PKWY</t>
  </si>
  <si>
    <t xml:space="preserve">ELECTRONIC METAL PRODUCTS INC (1990; SIC 3444,3599)</t>
  </si>
  <si>
    <t xml:space="preserve">ELECTRONIC METAL PRODUCTS INC (1990)</t>
  </si>
  <si>
    <t xml:space="preserve">ADVANCEDPCB [TRI; 91 m]</t>
  </si>
  <si>
    <t xml:space="preserve">COOPER B-LINE [FRS] (address match)</t>
  </si>
  <si>
    <t xml:space="preserve">ADVANCEDPCB</t>
  </si>
  <si>
    <t xml:space="preserve">COOPER B-LINE</t>
  </si>
  <si>
    <t xml:space="preserve">S06449</t>
  </si>
  <si>
    <t xml:space="preserve">1680 E 69TH AVE</t>
  </si>
  <si>
    <t xml:space="preserve">METAL TREATING + RESEARCH CO (1990; SIC 3398)</t>
  </si>
  <si>
    <t xml:space="preserve">METAL TREATING + RESEARCH CO (1990)</t>
  </si>
  <si>
    <t xml:space="preserve">METAL TREATING &amp; RESEARCH CO [FRS; name match, 12 m] | METAL TREATING &amp; RESEARCH CO [TRI; name match, 104 m] | METAL TREATING &amp; RESEARCH CO [FRS] (address match) | METAL TREATING &amp; RESEARCH CO [TRI] (address match)</t>
  </si>
  <si>
    <t xml:space="preserve">METAL TREATING &amp; RESEARCH CO [CDPHE RCRA; name match, 28 m] | METAL TREATING &amp; RESEARCH CO [CDPHE RCRA] (address match)</t>
  </si>
  <si>
    <t xml:space="preserve">PRECISION POWDER COATING INC [FRS; 23 m] | IMPERIAL MACHINING CO [FRS; 23 m]</t>
  </si>
  <si>
    <t xml:space="preserve">METAL TREATING &amp; RESEARCH CO</t>
  </si>
  <si>
    <t xml:space="preserve">S06681</t>
  </si>
  <si>
    <t xml:space="preserve">9155 BOSTON ST</t>
  </si>
  <si>
    <t xml:space="preserve">DELTA ROCKY MTN PETROLEUM (1990; SIC 2899,2992)</t>
  </si>
  <si>
    <t xml:space="preserve">DELTA ROCKY MTN PETROLEUM (1990)</t>
  </si>
  <si>
    <t xml:space="preserve">DELTA ROCKY MOUNTAIN PETROLEUM [FRS; name match, 1 m] | DELTA ROCKY MOUNTAIN PETROLEUM [FRS] (address match) | CRYSTAL PACKAGING INC [TRI] (address match)</t>
  </si>
  <si>
    <t xml:space="preserve">CRYSTAL PACKAGING INC [CDPHE RCRA] (address match)</t>
  </si>
  <si>
    <t xml:space="preserve">D-A PACKAGING LLC [FRS; 19 m] | CRYSTAL PACKAGING, INC. [FRS; 19 m] | CRYSTAL PACKAGING [FRS; 19 m] | CRYSTAL PACKAGING [FRS] (address match) | CRYSTAL PACKAGING, INC. [FRS] (address match) | D-A PACKAGING LLC [FRS] (address match)</t>
  </si>
  <si>
    <t xml:space="preserve">DELTA ROCKY MOUNTAIN PETROLEUM</t>
  </si>
  <si>
    <t xml:space="preserve">S06797</t>
  </si>
  <si>
    <t xml:space="preserve">11020 LEROY DR</t>
  </si>
  <si>
    <t xml:space="preserve">FUTURE FOAM CORP (1990; SIC 2821)</t>
  </si>
  <si>
    <t xml:space="preserve">FUTURE FOAM CORP (1990)</t>
  </si>
  <si>
    <t xml:space="preserve">B&amp;B BLENDING LLC [FRS; 51 m] | ATLAS ROOFING CORPORATION [FRS] (address match) | ATLAS ROOFING CORP [TRI] (address match)</t>
  </si>
  <si>
    <t xml:space="preserve">ATLAS ROOFING [CDPHE RCRA] (address match)</t>
  </si>
  <si>
    <t xml:space="preserve">B&amp;B BLENDING LLC</t>
  </si>
  <si>
    <t xml:space="preserve">S00606</t>
  </si>
  <si>
    <t xml:space="preserve">1325 WW OXFORD</t>
  </si>
  <si>
    <t xml:space="preserve">1968;1970;1973;1974;1983;1990</t>
  </si>
  <si>
    <t xml:space="preserve">REAM VENTILATING + SKEET METAL (1968-1990; SIC 3444)</t>
  </si>
  <si>
    <t xml:space="preserve">SEALTEST DAIRY PRODUCTS, COLO DIV (1966) | REAM VENTILATING + SKEET METAL (1968) | SEALTEST FOODS (1970) | BEATRICE FOODS CO (1974) | «+ SUPPLIES »NEC 3999 MANUFACTURING INDUSTRIES: NeC (1977) | MEADOW GOLD OAIRIES (1980) | MEADOW GOLD DAIRIES (1990) | MOUNTAIN HIGH YOGHURT (1990)</t>
  </si>
  <si>
    <t xml:space="preserve">SOUTHERN FOODS GROUP LLC D/B/A MEADOW GOLD DAIRIES [FRS; name match, 54 m]</t>
  </si>
  <si>
    <t xml:space="preserve">SOUTHERN FOODS GROUP LLC [FRS; 17 m]</t>
  </si>
  <si>
    <t xml:space="preserve">SAM'S AUTOMOTIVE - 1314 W. OXFORD AVE</t>
  </si>
  <si>
    <t xml:space="preserve">S00607</t>
  </si>
  <si>
    <t xml:space="preserve">1360 W OXFORD</t>
  </si>
  <si>
    <t xml:space="preserve">1966;1967;1968;1974;1980;1983</t>
  </si>
  <si>
    <t xml:space="preserve">MARTIN SHIPPER SUPPLY CO (1966; SIC 3079) | CONSOLIDATED MANUFACTURING CO INC (1967-1968; SIC 3433,3730) | MARTIN SHIPPER SUPPLY INC (1974-1983; SIC 3079) | WARTIN SHIPPER SUPPLY INC (1980; SIC 3079,2449)</t>
  </si>
  <si>
    <t xml:space="preserve">Cc W PERRY DIST MGR COLORADO CONTAINER CORP (1966) | MARTIN SHIPPER SUPPLY CO (1966) | CONSOLIDATED MANUFACTURING CO INC (1967) | CCLORADO CONTAINER CORP (1968) | MARTIN SHIPPER SUPPLY INC (1974) |  (1977) | WARTIN SHIPPER SUPPLY INC (1980)</t>
  </si>
  <si>
    <t xml:space="preserve">SOUTHERN FOODS GROUP LLC D/B/A MEADOW GOLD DAIRIES [FRS; 48 m]</t>
  </si>
  <si>
    <t xml:space="preserve">SAM'S AUTOMOTIVE - 1314 W. OXFORD AVE [FRS; 22 m]</t>
  </si>
  <si>
    <t xml:space="preserve">MARTIN PLASTIC CONVERTERS INC [FRS; 38 m] | OXFORD STATION TOD [FRS; 38 m]</t>
  </si>
  <si>
    <t xml:space="preserve">S00611</t>
  </si>
  <si>
    <t xml:space="preserve">2025 W UNION</t>
  </si>
  <si>
    <t xml:space="preserve">AMERICAN STRESS WIRE CORP (1973-1974; SIC 3449,3496)</t>
  </si>
  <si>
    <t xml:space="preserve">AMERICAN STRESS WIRE CORP MISC MFG INDUSTRIES (1966) | AMERICAN STRESS WIRE CORP (1973) | COFFELT ELECTRONICS CO INC (1980)</t>
  </si>
  <si>
    <t xml:space="preserve">21ST CENTURY ENVIRONMENTAL MANAGEMENT OF NEVADA LLC - BLDG F [FRS; 107 m]</t>
  </si>
  <si>
    <t xml:space="preserve">RALLYE COACHWORKS LLC [FRS; 2 m] | BODYS BY BROWN INC [FRS; 2 m] | AUTOWORKS INTERNATIONAL [FRS; 2 m] | REFRIGERANT RECLAMATION INC [FRS; 6 m] | JOHNS COLLISION REPAIR [FRS; 6 m] | WEST UNION AUTO CENTER [FRS; 6 m] | PACAR [FRS; 8 m] | PROFESSIONAL AUTO BODY [FRS; 8 m] | PACAFICA AUTOWORKS [FRS; 10 m] | IRECYCLEHERE [FRS; 31 m] | TIMA ENGINEERING &amp; SERVICE INC [FRS; 31 m] | LORAN CHEMICAL CORPORAT</t>
  </si>
  <si>
    <t xml:space="preserve">TORO AUTO REFINISHING [FRS; 2 m] | P&amp;W AUTO BODY SHOP [FRS; 6 m] | JOHNS COLLISION REPAIR [FRS; 6 m] | L AND N INSTITUTIONAL SUPPLY COMPANY, INCORPORATED [FRS; 31 m] | JP MARBLE &amp; GRANITE, LLC [FRS; 31 m] | MTG CORPORATION [FRS; 31 m] | CLM INTL CORP [FRS; 31 m]</t>
  </si>
  <si>
    <t xml:space="preserve">RALLYE COACHWORKS LLC</t>
  </si>
  <si>
    <t xml:space="preserve">S00621</t>
  </si>
  <si>
    <t xml:space="preserve">3890 S JASON</t>
  </si>
  <si>
    <t xml:space="preserve">1967;1968;1970;1973;1974;1980;1983;1988;1990;1992</t>
  </si>
  <si>
    <t xml:space="preserve">COLORADO MOLTED PROCUCTS CO (1967-1992; SIC 3069) |  (1967; SIC 3537) | MINOCK MFG CO (1967-1990; SIC 3499) | CURTICE MANUFACTURING CO (1968; SIC 3423) | —-v PROOUCTS CO (1968; SIC 3591,3444) | ROCKY MOUNTAIN TCOL + MACHINE CO (1968-1970; SIC 3591) | PRECISION TOOL CO (1970; SIC 3591) | DENVER MOLD ENGINEERING (1973; SIC 3544) | EMJO CORPORATION (1973; SIC 3469,3444) | MARTIN MANUFACTURING CO INC (1980-1990; SIC 3599) | MENOCK KFG CORP (1980; SIC 3523) | BEE-JAY IRON INC (1988-1990; SIC 3442,3446) | MPG HEAD SERVICE (1990; SIC 3599)</t>
  </si>
  <si>
    <t xml:space="preserve">FIRE KING CO INC (1966) | WORLD-WIDE PRODUCTS (1966) | COLORADO MOLTED PROCUCTS CO (1967) |  (1967) | MINOCK MFG CO (1967) | BINGO KING INC (1968) | CURTICE MANUFACTURING CO (1968) | —-v PROOUCTS CO (1968) | ROCKY MOUNTAIN TCOL + MACHINE CO (1968) | PRECISION TOOL CO (1970) | DENVER MOLD ENGINEERING (1973) | EMJO CORPORATION (1973) |  (1973) |  (1977) | MARTIN MANUFACTURING CO INC (1980) | MENOCK KFG CORP (1980) | TUFFTOYS, INC. (1980) | ZINN THE PRINTER INK ENC (1980) | JACKSON SOUND PRODUCTIONS LTD (1983) | BEE-JAY IRON INC (1988) | MPG HEAD SERVICE (1990)</t>
  </si>
  <si>
    <t xml:space="preserve">PARKER HANNIFIN CORP WILKERSON [TRI; 168 m]</t>
  </si>
  <si>
    <t xml:space="preserve">BEE JAY IRON INC [FRS; name match, 4 m] | COLORADO MOLDED PRODUCTS CO [FRS; name match, 41 m] | COLORADO MOLDED PRODUCTS CO [CDPHE RCRA; name match, 190 m] | PMR [FRS; 8 m] | HMC CARS [FRS; 30 m]</t>
  </si>
  <si>
    <t xml:space="preserve">ZINN THE PRINTER [FRS; name match, 143 m] | R&amp;R AUTO BODY &amp; PAINT INC [FRS; 30 m] | RAGSDALE INDUSTRIES, INC. [FRS; 102 m]</t>
  </si>
  <si>
    <t xml:space="preserve">BEE JAY IRON INC</t>
  </si>
  <si>
    <t xml:space="preserve">S00631</t>
  </si>
  <si>
    <t xml:space="preserve">1967;1968;1970;1973;1974;1977;1983;1988;1990</t>
  </si>
  <si>
    <t xml:space="preserve">o797 07S) (1967; SIC 3079) | AUTOMATED PRCDUCTS INC (1968-1977; SIC 3079) | STALNLESS EQUIPMENT CO (1970-1973; SIC 3585,3589) | STAINLESS EQUIPMENT CO DIV MOLITOR IND (1983-1988; SIC 3444,3585,3589) | CRYENCO INC (1990; SIC 3443,3559,3599)</t>
  </si>
  <si>
    <t xml:space="preserve">STAINLESS EQUIPMENT CO (1966) | -o797 07S) (1967) | AUTOMATED PRCDUCTS INC (1968) | STAINLESS EQUIPMENT CO DIV MOLITOR IND (1983) | CRYENCO INC (1990)</t>
  </si>
  <si>
    <t xml:space="preserve">DENVER FORMS COMPANY [FRS; 64 m] | DENVER FORMS CO [TRI; 77 m] | DENVER FORMS COMPANY [FRS] (address match) | DENVER FORMS CO [TRI] (address match)</t>
  </si>
  <si>
    <t xml:space="preserve">COLORADO SIGN COMPANY</t>
  </si>
  <si>
    <t xml:space="preserve">S00640</t>
  </si>
  <si>
    <t xml:space="preserve">5400 S DELAWARE</t>
  </si>
  <si>
    <t xml:space="preserve">1966;1967;1970;1974;1990</t>
  </si>
  <si>
    <t xml:space="preserve">NORGREN, C Ay CO (1966-1974; SIC 3532) | NORGREN (1990; SIC 3492)</t>
  </si>
  <si>
    <t xml:space="preserve">NORGREN, C Ay CO (1966) | NORGREN (1990)</t>
  </si>
  <si>
    <t xml:space="preserve">NORGREN INC [FRS; name match, 119 m] | IMI NORGREN INC [TRI; name match, 229 m]</t>
  </si>
  <si>
    <t xml:space="preserve">NORGREN INC</t>
  </si>
  <si>
    <t xml:space="preserve">S01343</t>
  </si>
  <si>
    <t xml:space="preserve">4640 S GARDEN ST</t>
  </si>
  <si>
    <t xml:space="preserve">1968;1973;1974;1980;1983;1988;1990</t>
  </si>
  <si>
    <t xml:space="preserve">DELCA NAME PLATE CC (1968-1990; SIC 3599) | SCARRY+ E J» + CO (1974; SIC 2899) | S S PLASTICS INC (1980-1990; SIC 3079)</t>
  </si>
  <si>
    <t xml:space="preserve">DELCA NAME PLATE CO (1967) | SCARRY+ E J» + CO (1974) | GOCD DECAL (1980) | S S PLASTICS INC (1980) | 6000 DECAL (1983)</t>
  </si>
  <si>
    <t xml:space="preserve">GOOD DECAL CO [TRI; name match, 55 m] | GOOD DECAL CO [FRS; name match, 73 m]</t>
  </si>
  <si>
    <t xml:space="preserve">GOOD DECAL CO. [FRS; name match, 12 m]</t>
  </si>
  <si>
    <t xml:space="preserve">GOOD DECAL CO</t>
  </si>
  <si>
    <t xml:space="preserve">S01349</t>
  </si>
  <si>
    <t xml:space="preserve">3701 S KALAMATH</t>
  </si>
  <si>
    <t xml:space="preserve">1967;1968;1970;1973;1974;1983</t>
  </si>
  <si>
    <t xml:space="preserve">JOY INDUSTRIES INC (1967-1968; SIC 3441) | CAPITAL PRODUCTS OF COLORADO (1970-1974; SIC 3446) | AMERICAN DYNAMICS INC (1973-1974; SIC 3444) |  (1973; SIC 3441) | J-THREE INC (1983; SIC 3599)</t>
  </si>
  <si>
    <t xml:space="preserve">JOY INDUSTRIES INC (1967) | CAPITAL PRODUCTS OF COLORADO (1970) | AMERICAN DYNAMICS INC (1973) |  (1973) | J-THREE INC (1983)</t>
  </si>
  <si>
    <t xml:space="preserve">PREFERRED MACHINING [FRS; 70 m]</t>
  </si>
  <si>
    <t xml:space="preserve">THREE R AUTOMOTIVE [FRS; 29 m]</t>
  </si>
  <si>
    <t xml:space="preserve">THREE R AUTOMOTIVE</t>
  </si>
  <si>
    <t xml:space="preserve">S01358</t>
  </si>
  <si>
    <t xml:space="preserve">2778 S TEJON ST</t>
  </si>
  <si>
    <t xml:space="preserve">RENTAL EQUIPMENT MFG CO (1967-1973; SIC 3522) | OVER-LOWE CO (1973-1983; SIC 3537,3564,3536) | BLUE BIRD INTERNATIONAL INC (1974-1990; SIC 3536,3524) | BLUE BIRD INTERNATIONAL INC BILL HEINRICH VePes SALES 2541 WOOD PARTITIIVS AND FIXTURES (1977; SIC 3524)</t>
  </si>
  <si>
    <t xml:space="preserve">RENTAL EQUIPMENT MFG CO (1967) | OVER-LOWE CO (1973) | BLUE BIRD INTERNATIONAL INC (1974) | BLUE BIRD INTERNATIONAL INC BILL HEINRICH VePes SALES 2541 WOOD PARTITIIVS AND FIXTURES (1977)</t>
  </si>
  <si>
    <t xml:space="preserve">SAFETY-KLEEN SYSTEMS INC - ENGLEWOOD FACILITY [FRS; 82 m]</t>
  </si>
  <si>
    <t xml:space="preserve">OVER-LOWE CO INC [FRS; name match, 67 m] | STANLEY CIRCUIT [FRS; 39 m]</t>
  </si>
  <si>
    <t xml:space="preserve">BLUEBIRD INTL [FRS; 47 m] | CHATEAU SHUTTER DBA AMATO SHUTTER [FRS; 52 m] | BLUEBIRD INTL [FRS] (address match)</t>
  </si>
  <si>
    <t xml:space="preserve">STANLEY CIRCUIT</t>
  </si>
  <si>
    <t xml:space="preserve">S02286</t>
  </si>
  <si>
    <t xml:space="preserve">3937 S LIPAN</t>
  </si>
  <si>
    <t xml:space="preserve">1967;1968;1973;1974;1977;1980;1983;1988;1990</t>
  </si>
  <si>
    <t xml:space="preserve">1-585 5852 (1967; SIC 3544) | JOBUD MANUFACTURING CO (1967; SIC 3791) | ALGERFAN + PCCL TOCL + OIE INC (1968; SIC 3544,3361) | ALDERMAN TOOL + OIE INC (1973-1990; SIC 3361,3544) | OUBACH TOOL CO (1973-1988; SIC 3591) | POOL MACHINE CO INC (1973; SIC 3361) | PRECISION TOOL CO (1973-1990; SIC 3591) | CUBACH TOGL CC (1974; SIC 3591) | PRECIS{ON TOOL CO (1974; SIC 3591,2426) | GUARD ASSOCIATES INC (1977-1983; SIC 3559,3554) | CHAPMAN BROS INC (1980; SIC 3714) | PLAYNIX INC (1988; SIC 3530,2512)</t>
  </si>
  <si>
    <t xml:space="preserve">1-585 5852 (1967) | JOBUD MANUFACTURING CO (1967) | ALGERFAN + PCCL TOCL + OIE INC (1968) | ALDERMAN TOOL + OIE INC (1973) | OUBACH TOOL CO (1973) | POOL MACHINE CO INC (1973) | PRECISION TOOL CO (1973) | CUBACH TOGL CC (1974) | MAR-LES CABINETS INC (1974) | PRECIS{ON TOOL CO (1974) | GUARD ASSOCIATES INC (1977) | MODEL MASTERPIECESe LTO. (1980) | CHAPMAN BROS INC (1980) | PLAYNIX INC (1988)</t>
  </si>
  <si>
    <t xml:space="preserve">PARKER HANNIFIN CORPORATION, WILKERSON [FRS; 95 m] | PARKER HANNIFIN CORP WILKERSON [TRI; 163 m] | DFA DAIRY BRANDS FLUID LLC D/B/A MEADOW GOLD DAIRY [TRI; 179 m]</t>
  </si>
  <si>
    <t xml:space="preserve">CELEHRITY AUTO BODY [FRS; 13 m] | MOSER PRINTING INC [CDPHE RCRA; 95 m] | UDDEHOLM CORPORATION [CDPHE RCRA; 95 m] | RICKSHAW AUTO BODY [FRS; 98 m] | BOYD SIGN SYSTEMS LLC [FRS; 108 m] | BROWNS AUTO BODY [FRS; 119 m]</t>
  </si>
  <si>
    <t xml:space="preserve">MAR LES CABINETS INC [FRS; name match, 28 m] | SMOOTH AS GLASS LTD [FRS; 13 m] | COPY CRAFT PRINTING CENTER [FRS; 45 m] | OURAY SPORTSWEAR [FRS; 95 m] | CSTM TRADING COMPANY [FRS; 95 m] | JIMS EXCAVATING CO INC [FRS; 96 m] | QUALITY PRESS INC [FRS; 103 m]</t>
  </si>
  <si>
    <t xml:space="preserve">CELEHRITY AUTO BODY</t>
  </si>
  <si>
    <t xml:space="preserve">S01664</t>
  </si>
  <si>
    <t xml:space="preserve">3733 S KALAMATH</t>
  </si>
  <si>
    <t xml:space="preserve">1968;1970;1980;1983;1990;1992</t>
  </si>
  <si>
    <t xml:space="preserve">FLEXI-LITE FORMED PRODUCTS OF DENVER (1968-1970; SIC 3993,3079) | PREFERRED MACHINING CORP (1980-1992; SIC 3599) | BENDING PRODUCTS INC (1983; SIC 3542)</t>
  </si>
  <si>
    <t xml:space="preserve">FLEXI-LITE FORMED PRODUCTS OF DENVER (1968) | PREFERRED MACHINING CORP (1980) | BENDING PRODUCTS INC (1983)</t>
  </si>
  <si>
    <t xml:space="preserve">PREFERRED MACHINING [FRS; name match, 8 m]</t>
  </si>
  <si>
    <t xml:space="preserve">PHIL'S AUTO CLINIC INC [FRS; 10 m] | THREE R AUTOMOTIVE [FRS; 33 m] | COVERT AUTO BODY INC [FRS; 37 m]</t>
  </si>
  <si>
    <t xml:space="preserve">STOLLE MACHINERY CO ENGLEWOOD [FRS; 3 m]</t>
  </si>
  <si>
    <t xml:space="preserve">PHIL'S AUTO CLINIC INC</t>
  </si>
  <si>
    <t xml:space="preserve">S01975</t>
  </si>
  <si>
    <t xml:space="preserve">3730 S JASON</t>
  </si>
  <si>
    <t xml:space="preserve">1968;1970;1973;1974;1980;1988;1990</t>
  </si>
  <si>
    <t xml:space="preserve">AMERICAN SILICCNE CO (1968-1974; SIC 2842) | DESIGNER*S MFG INC (1970; SIC 3712,3714) | UNIQUE MOBILITY INC (1973; SIC 3711,3714) | AMERICAN SILICONE MFG + SALES CORP (1980; SIC 2842) | ENGLEWOOD - ENGLEWOOD 255 EMPIRE METAL SPRAY (1988; SIC 3471) | EMPIRE METAL SPRAY INC (1990; SIC 3471)</t>
  </si>
  <si>
    <t xml:space="preserve">AMERICAN SILICCNE CO (1968) | DESIGNER*S MFG INC (1970) | UNIQUE MOBILITY INC (1973) | AMERICAN SILICONE MFG + SALES CORP (1980) | ENGLEWOOD - ENGLEWOOD 255 EMPIRE METAL SPRAY (1988) | EMPIRE METAL SPRAY INC (1990)</t>
  </si>
  <si>
    <t xml:space="preserve">PREFERRED MACHINING [FRS; 100 m]</t>
  </si>
  <si>
    <t xml:space="preserve">EMPIRE METAL SPRAY INC [FRS; name match, 45 m] | UNIQUE MOBILITY INC [FRS; name match, 59 m] | AUTO BODY &amp; FRAME CLINIC OF CO INC [FRS; 22 m]</t>
  </si>
  <si>
    <t xml:space="preserve">S01979</t>
  </si>
  <si>
    <t xml:space="preserve">2780 S RARITAN</t>
  </si>
  <si>
    <t xml:space="preserve">PQ@LYCcO INC (1970; SIC 3079)</t>
  </si>
  <si>
    <t xml:space="preserve">PQ@LYCcO INC (1970) | STOREY ELECTRIC CO (1980) | LORD ELECTRIC CO-STOREY DIVISION (1983) | EDISON PRESS INC (1988) | ADX FIRE SYSTEMS INC (1990) | A PRINTING PLACE INC (1990) | RED COMET INTERNATIONAL, (1992)</t>
  </si>
  <si>
    <t xml:space="preserve">FRONT RANGE STONE [FRS; 45 m]</t>
  </si>
  <si>
    <t xml:space="preserve">ADX FIRE SYSTEMS INC [FRS; name match, 18 m] | QUALITY REBUILT ENGINE &amp; MACHINE SHOP [FRS; 4 m] | QUALITY REBUILT ENGINE &amp; MACHINE SHOP [FRS] (address match)</t>
  </si>
  <si>
    <t xml:space="preserve">JR WHOLESALE APPLIANCES [FRS; 4 m] | PARK RANGE CONSTRUCTION [FRS; 35 m] | STATIC COATINGS [FRS; 45 m] | FGM-PARALLEL LLC [FRS; 45 m]</t>
  </si>
  <si>
    <t xml:space="preserve">QUALITY REBUILT ENGINE &amp; MACHINE SHOP</t>
  </si>
  <si>
    <t xml:space="preserve">S01980</t>
  </si>
  <si>
    <t xml:space="preserve">2837 S RARITAN</t>
  </si>
  <si>
    <t xml:space="preserve">1970;1977</t>
  </si>
  <si>
    <t xml:space="preserve">WILLIAMS, R We + COv LNC (1970; SIC 3651,3679,3564) | KELTNER RESEARCHe INC (1977; SIC 3662,3679,3622)</t>
  </si>
  <si>
    <t xml:space="preserve">WILLIAMS, R We + COv LNC (1970) | KELTNER RESEARCHe INC (1977) | E C I TABLE READI MEATS (1980) | ROCKY MOUNTAIN FOOD FACTORY INC. (1990)</t>
  </si>
  <si>
    <t xml:space="preserve">H D SUPPLY CONSTRUCTION SUPPLY WC0042 [FRS; 66 m]</t>
  </si>
  <si>
    <t xml:space="preserve">ADX FIRE SYSTEMS INC</t>
  </si>
  <si>
    <t xml:space="preserve">S02255</t>
  </si>
  <si>
    <t xml:space="preserve">2801 S TEJON</t>
  </si>
  <si>
    <t xml:space="preserve">A+ 5 MFG CO (1973; SIC 3599,3544,3591) | A+ J MFG CO (1974-1977; SIC 3599,3544,3591) | A «¢ § HFG CO (1980; SIC 3544,3599) | aA + J HFG CO (1983; SIC 3599,3441) | CUSTOM ENGINEERING INC (1983; SIC 3622,3825,3699)</t>
  </si>
  <si>
    <t xml:space="preserve">A+ 5 MFG CO (1973) | A+ J MFG CO (1974) | A «¢ § HFG CO (1980) | CUSTOM ENGINEERING INC (1980) | aA + J HFG CO (1983)</t>
  </si>
  <si>
    <t xml:space="preserve">SAFETY-KLEEN SYSTEMS INC - ENGLEWOOD FACILITY [FRS; 32 m] | SAFETY-KLEEN SYSTEMS ENGLEWOOD (ECO) [TRI] (address match)</t>
  </si>
  <si>
    <t xml:space="preserve">STANLEY CIRCUIT [FRS; 10 m] | SAFETY-KLEEN SYSTEMS INC - ENGLEWOOD [FRS; 32 m] | PROTO DYNE [FRS; 43 m] | SAFETY-KLEEN SYSTEMS INC - ENGLEWOOD [FRS] (address match) | SAFETY-KLEEN SYSTEMS INC - ENGLEWOOD [CDPHE RCRA] (address match)</t>
  </si>
  <si>
    <t xml:space="preserve">BLUEBIRD INTL [FRS; 2 m] | CHATEAU SHUTTER DBA AMATO SHUTTER [FRS; 2 m]</t>
  </si>
  <si>
    <t xml:space="preserve">S02260</t>
  </si>
  <si>
    <t xml:space="preserve">2300 S TEJON</t>
  </si>
  <si>
    <t xml:space="preserve">AMERICAN STAINLESS STEEL CORP (1973-1990; SIC 3589,3499)</t>
  </si>
  <si>
    <t xml:space="preserve">AMERICAN STAINLESS STEEL CORP (1973) | FOLIO PRODUCTS (1977)</t>
  </si>
  <si>
    <t xml:space="preserve">AMERICAN STAINLESS STEEL CORP [FRS; name match, 29 m] | AMERICAN STAINLESS STEEL CORP [TRI; name match, 69 m] | ROSE MANUFACTURING CO [TRI; 86 m] | ROSE MANUFACTURING CO [FRS; 95 m] | MODERN PLASTICS INC [TRI; 104 m] | AMERICAN STAINLESS STEEL CORP [FRS] (address match) | AMERICAN STAINLESS STEEL CORP [TRI] (address match)</t>
  </si>
  <si>
    <t xml:space="preserve">SHARP INC</t>
  </si>
  <si>
    <t xml:space="preserve">S02269</t>
  </si>
  <si>
    <t xml:space="preserve">2800 S VALLEJO ST</t>
  </si>
  <si>
    <t xml:space="preserve">METRO MACHINE INC (1974-1992; SIC 3591,3544) | COLORADO TOOL ¢ STAMPING CO (1980; SIC 3469,3541,3599) | NATIONAL WIRE SPECIALTIES Care (1980; SIC 3496,3469,3493) | READING SYSTEM CUSTOM WOOD PRODUCTS (1988; SIC 2821,2641) | NATIONAL WIRE + STAMPING INC (1990; SIC 3469,3493,3496)</t>
  </si>
  <si>
    <t xml:space="preserve">CUSTOM WOOD PRODUCTS (1973) | METRO MACHINE INC (1974) |  (1977) | COLORADO TOOL ¢ STAMPING CO (1980) | NATIONAL WIRE SPECIALTIES Care (1980) | READING SYSTEM CUSTOM WOOD PRODUCTS (1988) | EDISON PRESS INC (1990) | NATIONAL WIRE + STAMPING INC (1990) | R &amp; M COLOUR GRAPHICS (1992)</t>
  </si>
  <si>
    <t xml:space="preserve">NATIONAL WIRE &amp; STAMPING INC DBA ACCELLENT [FRS; name match, 3 m] | NATIONAL WIRE &amp; STAMPING INC DBA ACCELLENT [TRI; name match, 69 m]</t>
  </si>
  <si>
    <t xml:space="preserve">R &amp; M COLOUR GRAPHICS INC [FRS; name match, 24 m] | R &amp; M COLOUR GRAPHICS INC [FRS] (address match)</t>
  </si>
  <si>
    <t xml:space="preserve">MCSWAIN METAL FABRICATION, INC. [FRS; 24 m] | MCSWAIN METAL FABRICATION, INC. [FRS] (address match)</t>
  </si>
  <si>
    <t xml:space="preserve">R &amp; M COLOUR GRAPHICS INC</t>
  </si>
  <si>
    <t xml:space="preserve">S02277</t>
  </si>
  <si>
    <t xml:space="preserve">2750 S RARITAN</t>
  </si>
  <si>
    <t xml:space="preserve">MODERN PLASTIC LAMINATING CO (1974; SIC 2541,3079) | MODERN PLASTIC INC (1980-1990; SIC 3079)</t>
  </si>
  <si>
    <t xml:space="preserve">MODERN PLASTIC LAMINATING CO (1973) | MODERN PLASTIC INC (1980)</t>
  </si>
  <si>
    <t xml:space="preserve">FRONT RANGE STONE [FRS; 27 m]</t>
  </si>
  <si>
    <t xml:space="preserve">WESTERN CINEMA LAB [FRS; 5 m]</t>
  </si>
  <si>
    <t xml:space="preserve">ROCKY MOUNTAIN RADIOGRAPHIC [FRS; 10 m] | STATIC COATINGS [FRS; 27 m] | FGM-PARALLEL LLC [FRS; 27 m] | PARK RANGE CONSTRUCTION [FRS; 37 m]</t>
  </si>
  <si>
    <t xml:space="preserve">WESTERN CINEMA LAB</t>
  </si>
  <si>
    <t xml:space="preserve">S02283</t>
  </si>
  <si>
    <t xml:space="preserve">2860 S RARITAN</t>
  </si>
  <si>
    <t xml:space="preserve">BUDGET ENERGY SYSTEMS INC (1990; SIC 3089)</t>
  </si>
  <si>
    <t xml:space="preserve">NYCO INC (1973) | ULTRAPHASE INC (1977) | BUDGET ENERGY SYSTEMS INC (1990)</t>
  </si>
  <si>
    <t xml:space="preserve">H D SUPPLY CONSTRUCTION SUPPLY WC0042 [FRS; 2 m]</t>
  </si>
  <si>
    <t xml:space="preserve">HAWKINS AUTO BODY INC [FRS; 14 m]</t>
  </si>
  <si>
    <t xml:space="preserve">HAWKINS AUTO BODY INC</t>
  </si>
  <si>
    <t xml:space="preserve">S02288</t>
  </si>
  <si>
    <t xml:space="preserve">2560 W UNION</t>
  </si>
  <si>
    <t xml:space="preserve">ROCKY MTN MELMIX INC (1988; SIC 2899,3272,3900)</t>
  </si>
  <si>
    <t xml:space="preserve">ROCKWELL CONCRETE PRODUCTS INC (1973) | ROCKY MTN MELMIX INC (1988)</t>
  </si>
  <si>
    <t xml:space="preserve">BRANNAN READY MIX - SOUTH READY MIX [FRS; 102 m]</t>
  </si>
  <si>
    <t xml:space="preserve">TRUE KUSTOM [CDPHE RCRA; 14 m] | THE TIME MACHINE INC [CDPHE RCRA; 14 m] | WASTE MANAGEMENT OF COLORADO [CDPHE RCRA; 16 m] | JOHN'S COLLISION REPAIR INC [CDPHE RCRA; 16 m]</t>
  </si>
  <si>
    <t xml:space="preserve">TRUE KUSTOM</t>
  </si>
  <si>
    <t xml:space="preserve">S03218</t>
  </si>
  <si>
    <t xml:space="preserve">2750 S VALLEJO</t>
  </si>
  <si>
    <t xml:space="preserve">HERON-WRIGHT CHAIRLIFT CO (1977-1980; SIC 3535,3585)</t>
  </si>
  <si>
    <t xml:space="preserve">HERON-WRIGHT CHAIRLIFT CO (1977) | MOUNTAIN SCREEN IMPRESSIONS. (1992)</t>
  </si>
  <si>
    <t xml:space="preserve">NATIONAL WIRE &amp; STAMPING INC DBA ACCELLENT [FRS; 107 m]</t>
  </si>
  <si>
    <t xml:space="preserve">NATKIN &amp; COMPANY [FRS; 20 m]</t>
  </si>
  <si>
    <t xml:space="preserve">VEOLIA TRANSPORTATION DENVER [FRS; 3 m] | CUSTOM WINDOW CO. [FRS; 33 m]</t>
  </si>
  <si>
    <t xml:space="preserve">NATKIN &amp; COMPANY</t>
  </si>
  <si>
    <t xml:space="preserve">S03221</t>
  </si>
  <si>
    <t xml:space="preserve">2775 S VALLEJO</t>
  </si>
  <si>
    <t xml:space="preserve">NATKIN CO (1990; SIC 3444)</t>
  </si>
  <si>
    <t xml:space="preserve">ROSE MANUFACTURING CO 2649 CONVERTED PAPER PRODUCTS» NEC (1977) | NATKIN CO (1990)</t>
  </si>
  <si>
    <t xml:space="preserve">NATIONAL WIRE &amp; STAMPING INC DBA ACCELLENT [FRS; 51 m] | NATIONAL WIRE &amp; STAMPING INC DBA ACCELLENT [TRI; 90 m]</t>
  </si>
  <si>
    <t xml:space="preserve">NATKIN &amp; COMPANY [FRS; name match, 34 m] | NATKIN [FRS; name match, 157 m] | R &amp; M COLOUR GRAPHICS INC [FRS; 24 m]</t>
  </si>
  <si>
    <t xml:space="preserve">CUSTOM WINDOW CO. [FRS; 22 m] | MCSWAIN METAL FABRICATION, INC. [FRS; 24 m]</t>
  </si>
  <si>
    <t xml:space="preserve">S03568</t>
  </si>
  <si>
    <t xml:space="preserve">3313 MOLINE ST</t>
  </si>
  <si>
    <t xml:space="preserve">80016</t>
  </si>
  <si>
    <t xml:space="preserve">PEARGE WOODCAAFT CO (1980; SIC 2448,2449,2441)</t>
  </si>
  <si>
    <t xml:space="preserve">PEARGE WOODCAAFT CO (1980) | PEARCE WOODCRAFT CO (1983)</t>
  </si>
  <si>
    <t xml:space="preserve">HOLCIM-WCR INC - SAND CREE [FRS; 8 m] | VANCE BROS INC [FRS; 8 m] | VANCE BROS INC [FRS] (address match) | VANCE BROTHERS INC [TRI] (address match)</t>
  </si>
  <si>
    <t xml:space="preserve">Pull-N-Save Auto Parts</t>
  </si>
  <si>
    <t xml:space="preserve">HOLCIM-WCR INC - SAND CREE</t>
  </si>
  <si>
    <t xml:space="preserve">S03675</t>
  </si>
  <si>
    <t xml:space="preserve">1480 W THOMAS AVE</t>
  </si>
  <si>
    <t xml:space="preserve">ANTHONY RESEARCH CORP (1983-1990; SIC 3498) | RESEARCH D.B.A.-ANTEC CORP (1988; SIC 3498,3954) | ANTEC CORP (1990; SIC 3317)</t>
  </si>
  <si>
    <t xml:space="preserve">ENGLEWOOD BUELDERS SUPPLY (1980) | ANTHONY RESEARCH CORP (1983) | RESEARCH D.B.A.-ANTEC CORP (1988) | ANTEC CORP (1990)</t>
  </si>
  <si>
    <t xml:space="preserve">GOOD DECAL CO [TRI; 15 m] | GOOD DECAL CO [FRS; 36 m]</t>
  </si>
  <si>
    <t xml:space="preserve">PRO-TECH POWDER COATING [FRS; 34 m] | GOOD DECAL CO. [FRS; 35 m]</t>
  </si>
  <si>
    <t xml:space="preserve">PORTER AUTO BODY</t>
  </si>
  <si>
    <t xml:space="preserve">S03683</t>
  </si>
  <si>
    <t xml:space="preserve">1555 W THOMAS AVE</t>
  </si>
  <si>
    <t xml:space="preserve">RELLTEK PLASTICS INC (1980; SIC 3079)</t>
  </si>
  <si>
    <t xml:space="preserve">RELLTEK PLASTICS INC (1980)</t>
  </si>
  <si>
    <t xml:space="preserve">GOOD DECAL CO [FRS; 54 m] | VERTICAL, INCORPORATED [FRS; 59 m] | GOOD DECAL CO [TRI; 88 m]</t>
  </si>
  <si>
    <t xml:space="preserve">WALLACE COMPUTER SERVICES [FRS; 38 m]</t>
  </si>
  <si>
    <t xml:space="preserve">S03699</t>
  </si>
  <si>
    <t xml:space="preserve">ROSE MANUFACTURING CO (1983-1990; SIC 2399,3199,3714) | + PROTOTYPE ROSE MFG CO (1988; SIC 2399,3199,3714)</t>
  </si>
  <si>
    <t xml:space="preserve">ROSE MANUFACTURING CO (1980) | + PROTOTYPE ROSE MFG CO (1988)</t>
  </si>
  <si>
    <t xml:space="preserve">ROSE MANUFACTURING CO [FRS; name match, 53 m] | ROSE MANUFACTURING CO [TRI; name match, 107 m]</t>
  </si>
  <si>
    <t xml:space="preserve">ROSE MANUFACTURING CO</t>
  </si>
  <si>
    <t xml:space="preserve">COLORADO CREATIVE CABINETRY</t>
  </si>
  <si>
    <t xml:space="preserve">S04529</t>
  </si>
  <si>
    <t xml:space="preserve">2895 S RARITAN</t>
  </si>
  <si>
    <t xml:space="preserve">CUSTOM FOOD EQUIPMENT FABRICATORS INC (1983; SIC 3551,3431) | GULLEY METAL SERVICES INC (1990; SIC 3446,3534)</t>
  </si>
  <si>
    <t xml:space="preserve">CUSTOM FOOD EQUIPMENT FABRICATORS INC (1983) | GULLEY METAL SERVICES INC (1990)</t>
  </si>
  <si>
    <t xml:space="preserve">H D SUPPLY CONSTRUCTION SUPPLY WC0042 [FRS; 63 m]</t>
  </si>
  <si>
    <t xml:space="preserve">S04534</t>
  </si>
  <si>
    <t xml:space="preserve">1496 W TUFTS AVE</t>
  </si>
  <si>
    <t xml:space="preserve">FORUM ENGRAVING INC (1983-1988; SIC 2753,3953,3479) | TECHNIMET INC (1983; SIC 3599) | PROTO SHEET METAL PRODUCTS (1990; SIC 3444)</t>
  </si>
  <si>
    <t xml:space="preserve">FORUM ENGRAVING INC (1983) | TECHNIMET INC (1983) | PROTO SHEET METAL PRODUCTS (1990)</t>
  </si>
  <si>
    <t xml:space="preserve">GOOD DECAL CO [TRI; 82 m] | GOOD DECAL CO [FRS; 92 m] | VERTICAL, INCORPORATED [FRS; 96 m]</t>
  </si>
  <si>
    <t xml:space="preserve">Front Range Plating I</t>
  </si>
  <si>
    <t xml:space="preserve">S05734</t>
  </si>
  <si>
    <t xml:space="preserve">7103 S REVERE PKWY</t>
  </si>
  <si>
    <t xml:space="preserve">HEMOTEC INC (1988; SIC 2599,3841,3842)</t>
  </si>
  <si>
    <t xml:space="preserve">HEMOTEC INC (1988)</t>
  </si>
  <si>
    <t xml:space="preserve">HEMO TEC [FRS; name match, 32 m] | MEDTRONIC HEMOTEC INC [TRI; name match, 243 m]</t>
  </si>
  <si>
    <t xml:space="preserve">CHRYSLER CORP SERVICE TRNG CENTER [FRS; 11 m]</t>
  </si>
  <si>
    <t xml:space="preserve">PROEDGE DENTAL PRODUCTS [FRS; 18 m]</t>
  </si>
  <si>
    <t xml:space="preserve">HEMO TEC</t>
  </si>
  <si>
    <t xml:space="preserve">CHRYSLER CORP SERVICE TRNG CENTER</t>
  </si>
  <si>
    <t xml:space="preserve">S06529</t>
  </si>
  <si>
    <t xml:space="preserve">7315 S REVERE PKWY UNIT 604</t>
  </si>
  <si>
    <t xml:space="preserve">AUTOMATION ASSOCIATES INC (1990; SIC 3535,3536,3537)</t>
  </si>
  <si>
    <t xml:space="preserve">AUTOMATION ASSOCIATES INC (1990)</t>
  </si>
  <si>
    <t xml:space="preserve">ELECTROMEDICS INC_(MOVED- SEE 0350151) [FRS; 17 m]</t>
  </si>
  <si>
    <t xml:space="preserve">DIVERSIFIED MEDICAL TECH [FRS; 33 m]</t>
  </si>
  <si>
    <t xml:space="preserve">DIVERSIFIED MEDICAL TECH</t>
  </si>
  <si>
    <t xml:space="preserve">S06541</t>
  </si>
  <si>
    <t xml:space="preserve">1545 W TUFTS UNIT C</t>
  </si>
  <si>
    <t xml:space="preserve">DEB'S ENTERPRISES (1990; SIC 3599)</t>
  </si>
  <si>
    <t xml:space="preserve">DEB'S ENTERPRISES (1990)</t>
  </si>
  <si>
    <t xml:space="preserve">VERTICAL, INCORPORATED [FRS; 65 m] | GOOD DECAL CO [FRS; 91 m] | GOOD DECAL CO [TRI; 94 m]</t>
  </si>
  <si>
    <t xml:space="preserve">S00051</t>
  </si>
  <si>
    <t xml:space="preserve">218 KIMBARK</t>
  </si>
  <si>
    <t xml:space="preserve">1965;1966;1967</t>
  </si>
  <si>
    <t xml:space="preserve">EMPIRE SUPPLY CO, (1965-1967; SIC 2879)</t>
  </si>
  <si>
    <t xml:space="preserve">EMPIRE SUPPLY CO, (1965) | LONGMONT TURKEY PROCESSORS, INC. (1965) |  (1974) | RADIANT GLASS DESIGNS INC (1980)</t>
  </si>
  <si>
    <t xml:space="preserve">CONAGRA FOODS [TRI; 104 m] | CONAGRA FOODS [FRS; 104 m]</t>
  </si>
  <si>
    <t xml:space="preserve">ABSS INC [FRS; 27 m] | JERRY'S TIRE &amp; AUTO SERVICE [FRS; 70 m]</t>
  </si>
  <si>
    <t xml:space="preserve">Butterball Facility II</t>
  </si>
  <si>
    <t xml:space="preserve">CONAGRA FOODS</t>
  </si>
  <si>
    <t xml:space="preserve">ABSS INC</t>
  </si>
  <si>
    <t xml:space="preserve">S00665</t>
  </si>
  <si>
    <t xml:space="preserve">4700 PEARL ST 1</t>
  </si>
  <si>
    <t xml:space="preserve">1966;1968;1970;1983;1988;1990</t>
  </si>
  <si>
    <t xml:space="preserve">MOUNTAIN STATES FERTILIZER (1966-1968; SIC 2873) | TREPLE S INDUSTRIES INC (1970; SIC 3714,3541,3591) | VELTEC SPORTS INC (1983; SIC 3829,3751,2389) | RESOURCES TAY D.B.A.-FOAM SOURCE (1988; SIC 3086) | BETTER FUTURE RESOURCES LTD (1990; SIC 3086)</t>
  </si>
  <si>
    <t xml:space="preserve">MOUNTAIN STATES FERTILIZER (1966) | TREPLE S INDUSTRIES INC (1970) | VELTEC SPORTS INC (1983) | RESOURCES TAY D.B.A.-FOAM SOURCE (1988) | TYPEWRITERS DIAL ONE (1988) | BETTER FUTURE RESOURCES LTD (1990) | DIAL ONE (1990)</t>
  </si>
  <si>
    <t xml:space="preserve">HAUSER CHEMICAL RESEARCH INC [FRS; 94 m]</t>
  </si>
  <si>
    <t xml:space="preserve">PRECISION RADIATOR [FRS; 21 m] | GERBER COLLISION &amp;  GLASS 4700 PEARL [FRS; 27 m] | IMPORT COACHWORKS LTD [FRS; 31 m] | KOPLIN RADIATOR [FRS; 31 m] | OVERLAND TRUCK REPAIR INC [FRS; 31 m]</t>
  </si>
  <si>
    <t xml:space="preserve">PRECISION RADIATOR</t>
  </si>
  <si>
    <t xml:space="preserve">S00675</t>
  </si>
  <si>
    <t xml:space="preserve">520 2ND AVE</t>
  </si>
  <si>
    <t xml:space="preserve">1967;1968;1983;1988;1990</t>
  </si>
  <si>
    <t xml:space="preserve">LONGMONT WELDING * MACHINE SHOP (1967-1990; SIC 3591,2015) | PRODUCTS WRBINGY acHine co (1988; SIC 3441,3449)</t>
  </si>
  <si>
    <t xml:space="preserve">LONGMONT WELDING + MACHINE SHOP (1966) | PRODUCTS WRBINGY acHine co (1988)</t>
  </si>
  <si>
    <t xml:space="preserve">CONAGRA FOODS [FRS; 97 m] | CONAGRA FOODS [TRI; 97 m]</t>
  </si>
  <si>
    <t xml:space="preserve">JERRY'S TIRE &amp; AUTO SERVICE</t>
  </si>
  <si>
    <t xml:space="preserve">S00683</t>
  </si>
  <si>
    <t xml:space="preserve">100 S MARTIN</t>
  </si>
  <si>
    <t xml:space="preserve">WESTERN FOUNDRIES INC (1973; SIC 3325)</t>
  </si>
  <si>
    <t xml:space="preserve">WESTERN FOUNDRIES INC (1966)</t>
  </si>
  <si>
    <t xml:space="preserve">WESTERN FOUNDRIES INC [FRS; name match, 33 m] | WESTERN FOUNDRIES INC [TRI; name match, 138 m]</t>
  </si>
  <si>
    <t xml:space="preserve">LONGMONT WASTE WATER TREATMENT PLANT ST VRAIN RIVER BANK [FRS; 33 m]</t>
  </si>
  <si>
    <t xml:space="preserve">WESTERN FOUNDRIES INC</t>
  </si>
  <si>
    <t xml:space="preserve">S01685</t>
  </si>
  <si>
    <t xml:space="preserve">3127 BLUFF</t>
  </si>
  <si>
    <t xml:space="preserve">VARCO PRODUCTS CO (1968; SIC 3079) | PROTOTYPE CIRCUITS INC (1980; SIC 3679) | THERMOPLASTIC PRTS COLUMBINE TOOL+DIE (1988; SIC 3079,3544,3559)</t>
  </si>
  <si>
    <t xml:space="preserve">VARCO PRODUCTS CO (1968) | PROTOTYPE CIRCUITS INC (1980) | THERMOPLASTIC PRTS COLUMBINE TOOL+DIE (1988) | MYKLAS MUSIC PRESS Bovenen (1988)</t>
  </si>
  <si>
    <t xml:space="preserve">CIRCUIT IMAGES, INC [FRS; 46 m] | CIRCUIT IMAGES INC [TRI; 88 m]</t>
  </si>
  <si>
    <t xml:space="preserve">ESTEY PRINTING COMPANY [CDPHE RCRA; 34 m] | 3085 BLUFF ST LLC [FRS; 53 m]</t>
  </si>
  <si>
    <t xml:space="preserve">SPARK WEST TOWNHOMES [FRS; 53 m] | S'PARK WEST AFFORDABLE HOUSING [FRS; 63 m]</t>
  </si>
  <si>
    <t xml:space="preserve">ESTEY PRINTING COMPANY</t>
  </si>
  <si>
    <t xml:space="preserve">S01993</t>
  </si>
  <si>
    <t xml:space="preserve">3195 BLUFF</t>
  </si>
  <si>
    <t xml:space="preserve">VARCO PRODUCTS CO (1970; SIC 3079) | PRECISION PLASTICS CORPORATION (1973-1977; SIC 3079) | COLUMBEINE PLASTICS CORPORATION (1980-1990; SIC 3079) | COLUMBINE TOOL + DIE INC (1990; SIC 3079,3544,3469)</t>
  </si>
  <si>
    <t xml:space="preserve">VARCO PRODUCTS CO (1970) | PRECISION PLASTICS CORPORATION (1973) | COLUMBEINE PLASTICS CORPORATION (1980) | COLUMBINE TOOL + DIE INC (1990)</t>
  </si>
  <si>
    <t xml:space="preserve">CIRCUIT IMAGES, INC [FRS; 7 m] | CIRCUIT IMAGES INC [TRI; 56 m]</t>
  </si>
  <si>
    <t xml:space="preserve">ELEMENT PROPERTIES [FRS; 20 m]</t>
  </si>
  <si>
    <t xml:space="preserve">COLUMBINE PLASTIC CORP [FRS; name match, 20 m]</t>
  </si>
  <si>
    <t xml:space="preserve">ELEMENT PROPERTIES</t>
  </si>
  <si>
    <t xml:space="preserve">S02345</t>
  </si>
  <si>
    <t xml:space="preserve">4730 PEARL</t>
  </si>
  <si>
    <t xml:space="preserve">KSA HYDROMEC INC (1973; SIC 3469,3546,3949) | MARTIN METAL FABRICATION (1973; SIC 3449,3799,3441) | MARTIN METAL FABRICATION (1974; SIC 3441,3449,3799) | ARTISAN PRECISION MFG. (1980; SIC 3444,3469,3599)</t>
  </si>
  <si>
    <t xml:space="preserve">KSA HYDROMEC INC (1973) | MARTIN METAL FABRICATION (1973) | MARTIN METAL FABRICATION (1974) | ELEVERY INC GRANVILLE-PHILLIPS CD (1977) | ELEVEY INC 443-7431 3811 ENGINEERING + SCIENTIFIC INSTRUMENT (1977) | eee ee 2791 TYPESETTING (1977) | ARTISAN PRECISION MFG. (1980) | CONTEMPORARY COMFORT INC (1983) | BOULDER PRINTWORKS &lt; (1990) | CREATIVE PRODUCTIONS INC (1990) | BILA CORPORATION (1992)</t>
  </si>
  <si>
    <t xml:space="preserve">HAUSER CHEMICAL RESEARCH INC [FRS; 16 m]</t>
  </si>
  <si>
    <t xml:space="preserve">CONTEMPORARY COMFORT INC [FRS; name match, 16 m] | PUBLIC SERVICE CO OF CO - BOULDER CATALY [FRS; 16 m] | 28TH STREET GARAGE INC [FRS; 27 m]</t>
  </si>
  <si>
    <t xml:space="preserve">PUBLIC SERVICE CO OF CO - BOULDER CATALY</t>
  </si>
  <si>
    <t xml:space="preserve">S02384</t>
  </si>
  <si>
    <t xml:space="preserve">2270 S 88TH ST</t>
  </si>
  <si>
    <t xml:space="preserve">STORAGE TECHNOLOGY CORP (1973-1980; SIC 3573) | 5S T C MICROTECHNOLOGY INC (1983; SIC 3674) | STORAGE TECHNOLOGY CORP (1983-1990; SIC 3573)</t>
  </si>
  <si>
    <t xml:space="preserve">STORAGE TECHNOLOGY CORP (1973) | 5S T C MICROTECHNOLOGY INC (1983) | STORAGE TECHNOLOGY CORP (1983)</t>
  </si>
  <si>
    <t xml:space="preserve">MKE - QUANTUM COMPONENTS [FRS; 86 m] | MKE - QUANTUM COMPONENTS [FRS] (address match)</t>
  </si>
  <si>
    <t xml:space="preserve">MKE - QUANTUM COMPONENTS</t>
  </si>
  <si>
    <t xml:space="preserve">CENTENNIAL PEAKS HOSPITAL</t>
  </si>
  <si>
    <t xml:space="preserve">S02822</t>
  </si>
  <si>
    <t xml:space="preserve">1990 N 57TH CT</t>
  </si>
  <si>
    <t xml:space="preserve">WHITE WAVE INC (1992; SIC 3999,3732,3949)</t>
  </si>
  <si>
    <t xml:space="preserve">MOUNTAIN KIGH INC (1974) | WHITE WAVE INC (1988)</t>
  </si>
  <si>
    <t xml:space="preserve">KRYPTONICS INC [FRS; 158 m] | KRYPTONICS INC [TRI; 174 m]</t>
  </si>
  <si>
    <t xml:space="preserve">CLEARFLOW INC [FRS; 150 m] | HAUSER LABORATORIES [FRS; 150 m] | PARTICLE MEASURING SYSTEMS INC [FRS; 169 m] | INTEGRAL PERIPHERALS INC [FRS; 171 m] | 1855 S 57TH COURT LLC [CDPHE RCRA; 185 m] | MOSAIC BIOSCIENCES [FRS; 203 m] | MOSAIC BIOSCIENCES [CDPHE RCRA; 203 m] | ENVEDA BIOSCIENCES [CDPHE RCRA; 209 m] | ENVEDA BIOSCIENCES [FRS; 209 m] | UNIVERSITY OF COLORADO - BOULDER [FRS; 214 m] | JOHNSON </t>
  </si>
  <si>
    <t xml:space="preserve">BOULDER PUBLISHING INC DBA BOULDER DAILY [FRS; 14 m] | SEA TO SUMMIT [FRS; 153 m] | 0456 - CENTRAL AVE BRIDGE REPLACEMENT [FRS; 158 m] | ALLEGRO COFFEE CO [FRS; 169 m] | COALESCE DESIGN AND FABRICATION [FRS; 169 m] | FEDERAL EXPRESS [FRS; 235 m] | 55 ST AND CENTRAL AVE ELECTRICAL FEEDER TIE IN [FRS; 237 m]</t>
  </si>
  <si>
    <t xml:space="preserve">CLEARFLOW INC</t>
  </si>
  <si>
    <t xml:space="preserve">S02842</t>
  </si>
  <si>
    <t xml:space="preserve">1225 BOSTON AVE</t>
  </si>
  <si>
    <t xml:space="preserve">DAVIS MACHINE SHOP 3523 FARM MACHINERY AND EQUIPMENT (1974; SIC 3599) | DAVIS MACHINE SHOP INC (1980; SIC 3544,3599) | pavIS MACHINE SHOP INC (1983; SIC 3544,3599)</t>
  </si>
  <si>
    <t xml:space="preserve">DAVIS MACHINE SHOP 3523 FARM MACHINERY AND EQUIPMENT (1974) | DAVIS MACHINE SHOP INC (1980) | GREEN*S SAUSAGE COee INCA (1980) | SEWING INC (1980) | pavIS MACHINE SHOP INC (1983) | SAUSAGE+MEAT D.B.A..GREENS SAUSAGE (1988) | NEOGRAPHICS (1990)</t>
  </si>
  <si>
    <t xml:space="preserve">AGGREGATE INDUSTRIES WCR INC FRANCIS ST READY MIX PLANT [FRS; 80 m]</t>
  </si>
  <si>
    <t xml:space="preserve">KMG INDUSTRIAL SCREENING &amp; METAL FINISHI [FRS] (address match)</t>
  </si>
  <si>
    <t xml:space="preserve">BOSTON AVE OVER ST VRAIN BRIDGE REPLACEMENT [FRS; 15 m]</t>
  </si>
  <si>
    <t xml:space="preserve">1270 BOSTON AVE</t>
  </si>
  <si>
    <t xml:space="preserve">AGGREGATE INDUSTRIES WCR INC FRANCIS ST READY MIX PLANT</t>
  </si>
  <si>
    <t xml:space="preserve">S02844</t>
  </si>
  <si>
    <t xml:space="preserve">605 LINCOLN</t>
  </si>
  <si>
    <t xml:space="preserve">TECHNOLOGY PRODUCTS INC (1980; SIC 3079,3544)</t>
  </si>
  <si>
    <t xml:space="preserve">TERRASYN INC (1974) | KATUR CORP (1980) | TECHNOLOGY PRODUCTS INC (1980)</t>
  </si>
  <si>
    <t xml:space="preserve">AVEDON ENGINEERING INC [TRI; 88 m]</t>
  </si>
  <si>
    <t xml:space="preserve">NORTHERN COLORADO BOCES [FRS; 37 m]</t>
  </si>
  <si>
    <t xml:space="preserve">S02845</t>
  </si>
  <si>
    <t xml:space="preserve">100 MARTIN</t>
  </si>
  <si>
    <t xml:space="preserve">1974;1980;1983;1990;1992</t>
  </si>
  <si>
    <t xml:space="preserve">WESTERN FOUNDRIES INC (1974-1992; SIC 3325) | STELLAR INDUSTRIES INC (1990; SIC 3321,3363,3499)</t>
  </si>
  <si>
    <t xml:space="preserve">WESTERN FOUNDRIES INC (1974) | STELLAR INDUSTRIES INC (1990)</t>
  </si>
  <si>
    <t xml:space="preserve">WESTERN FOUNDRIES INC [TRI; name match, 110 m] | WESTERN FOUNDRIES INC [FRS; name match, 171 m]</t>
  </si>
  <si>
    <t xml:space="preserve">BIZZY BS RECYCLING [FRS; 19 m] | SLACK HORNER FOUNDRY [FRS; 59 m]</t>
  </si>
  <si>
    <t xml:space="preserve">S03234</t>
  </si>
  <si>
    <t xml:space="preserve">1855 S 57TH CT</t>
  </si>
  <si>
    <t xml:space="preserve">PARTICLE MEASURING SYSTEMS INC (1983; SIC 3832,3861) | JOHNSON PUBLISHING CO (1992; SIC 3446)</t>
  </si>
  <si>
    <t xml:space="preserve">PARTICLE MEASURING SYSTEMS INC PO BOX 2020 BOULDER 89302 (1977) | JOHNSON PUBLISHING CO (1983) | PARTICLE MEASURING SYSTEMS INC (1983) | PMS ELECTRO-OPTICS (1990)</t>
  </si>
  <si>
    <t xml:space="preserve">KRYPTONICS INC [TRI; 15 m] | KRYPTONICS INC [FRS; 68 m]</t>
  </si>
  <si>
    <t xml:space="preserve">PARTICLE MEASURING SYSTEMS INC [FRS; name match, 137 m] | PARTICLE MEASURING SYSTEMS INC [FRS; name match, 245 m] | 1855 S 57TH COURT LLC [CDPHE RCRA; 11 m] | CLEARFLOW INC [FRS; 45 m] | HAUSER LABORATORIES [FRS; 45 m] | JOHNSON PRINTING [FRS; 51 m] | RESEARCH ELECTRO OPTICS INC [FRS; 51 m] | 1855 S 57TH COURT LLC [FRS; 51 m] | TYNT TECHNOLOGIES INC [FRS; 52 m] | TYNT TECHNOLOGIES INC [CDPHE RCRA;</t>
  </si>
  <si>
    <t xml:space="preserve">SEA TO SUMMIT [FRS; 26 m] | 0456 - CENTRAL AVE BRIDGE REPLACEMENT [FRS; 68 m] | COALESCE DESIGN AND FABRICATION [FRS; 137 m] | ALLEGRO COFFEE CO [FRS; 137 m] | BOULDER PUBLISHING INC DBA BOULDER DAILY [FRS; 188 m] | 55 ST AND CENTRAL AVE ELECTRICAL FEEDER TIE IN [FRS; 188 m] | ONLY NATURAL PET STORE [FRS; 204 m] | QWEST CORP. [FRS; 212 m] | CENTURYLINK COMMUNICATIONS [FRS; 249 m]</t>
  </si>
  <si>
    <t xml:space="preserve">1855 S 57TH COURT LLC</t>
  </si>
  <si>
    <t xml:space="preserve">S03752</t>
  </si>
  <si>
    <t xml:space="preserve">5541 CENTRAL AVE</t>
  </si>
  <si>
    <t xml:space="preserve">BELTING INDUSTRIES co INC (1988; SIC 3052) | VACUUM INC (1988-1990; SIC 3559,3869,3671) | E-LINE SYSTEMS INC (1990; SIC 3569,3577)</t>
  </si>
  <si>
    <t xml:space="preserve">FLATERON STRUCTURES COMPANY (1980) | ALTRA INC (1983) | BELTING INDUSTRIES co INC (1988) | VACUUM INC (1988) | E-LINE SYSTEMS INC (1990) | DATA STORAGE MARKETING INC (1992)</t>
  </si>
  <si>
    <t xml:space="preserve">SPECTRALINK CORP [FRS; 68 m] | SPECTRALINK CORP [TRI; 68 m]</t>
  </si>
  <si>
    <t xml:space="preserve">BELTING INDUSTRIES CO INC [FRS] (address match) | INDUSTRIAL HOUSING [FRS] (address match)</t>
  </si>
  <si>
    <t xml:space="preserve">S03759</t>
  </si>
  <si>
    <t xml:space="preserve">5660 CENTRAL AVE</t>
  </si>
  <si>
    <t xml:space="preserve">KRYPTONICS, ENC (1980-1990; SIC 3079)</t>
  </si>
  <si>
    <t xml:space="preserve">KRYPTONICS, ENC (1980) | HAUSER LABORATORIES (1983)</t>
  </si>
  <si>
    <t xml:space="preserve">KRYPTONICS INC [FRS] (address match) | KRYPTONICS INC [TRI] (address match)</t>
  </si>
  <si>
    <t xml:space="preserve">KRYPTONICS INC [FRS; name match, 132 m] | UNIVERSITY OF COLORADO - BOULDER [FRS; 27 m]</t>
  </si>
  <si>
    <t xml:space="preserve">0456 - CENTRAL AVE BRIDGE REPLACEMENT [FRS] (address match)</t>
  </si>
  <si>
    <t xml:space="preserve">UNIVERSITY OF COLORADO - BOULDER</t>
  </si>
  <si>
    <t xml:space="preserve">S03810</t>
  </si>
  <si>
    <t xml:space="preserve">550 WEAVER PARK RD</t>
  </si>
  <si>
    <t xml:space="preserve">AMERICAN NATIONAL CHEMICAL COMPANY (1980; SIC 2842) | SOIL SYSTEMS TECH. CORP. (1983; SIC 3564,2879) | C BFOX INC (1990; SIC 3672)</t>
  </si>
  <si>
    <t xml:space="preserve">AMERICAN NATIONAL CHEMICAL COMPANY (1980) | SOIL SYSTEMS TECH. CORP. (1983) | C BFOX INC (1990) | LK BUSINESS SERVICES INC (1990) | NUTRONICS CORP (1990)</t>
  </si>
  <si>
    <t xml:space="preserve">RELIANT MANUFACTURING LLC [FRS; 116 m]</t>
  </si>
  <si>
    <t xml:space="preserve">AMERICAN NATIONAL CHEMICAL CO [FRS; name match, 20 m] | SCOTT SPECIALITY GASES [FRS; 13 m] | SCOTT SPECIALTY GASES [CDPHE RCRA; 52 m] | AMERICAN NATIONAL CHEMICAL CO [FRS] (address match)</t>
  </si>
  <si>
    <t xml:space="preserve">RELIANT MANUFACTURING LLC</t>
  </si>
  <si>
    <t xml:space="preserve">SCOTT SPECIALITY GASES</t>
  </si>
  <si>
    <t xml:space="preserve">S04587</t>
  </si>
  <si>
    <t xml:space="preserve">5378 STERLING DR</t>
  </si>
  <si>
    <t xml:space="preserve">BRISCOE MAPHIS INC (1983; SIC 3523,3623)</t>
  </si>
  <si>
    <t xml:space="preserve">BRISCOE MAPHIS INC (1983)</t>
  </si>
  <si>
    <t xml:space="preserve">CORDEN PHARMA COLORADO STERLING DRIVE [TRI; 63 m]</t>
  </si>
  <si>
    <t xml:space="preserve">NORTH AMERICAN TECHNOLOGY EXCHANGE -UNIT B</t>
  </si>
  <si>
    <t xml:space="preserve">S04592</t>
  </si>
  <si>
    <t xml:space="preserve">4635 NAUTILUS CT</t>
  </si>
  <si>
    <t xml:space="preserve">COMPLEX TOOLING INC (1983-1988; SIC 3544,3079,3599)</t>
  </si>
  <si>
    <t xml:space="preserve">COMPLEX TOOLING INC (1983)</t>
  </si>
  <si>
    <t xml:space="preserve">HAUSER CHEMICAL RESEARCH INC [FRS; 14 m] | PROLIGO L.L.C. [FRS; 60 m]</t>
  </si>
  <si>
    <t xml:space="preserve">NEW SKY ENERGY LLC [FRS; 4 m] | JW AUTOMATIC MACHINE INC [CDPHE RCRA; 12 m] | PLANNED PRODUCTS LLC [CDPHE RCRA; 12 m] | EPPENDORF-5  PRIME [CDPHE RCRA; 12 m]</t>
  </si>
  <si>
    <t xml:space="preserve">COMPLEX TOOLING &amp; MOLDING INC [FRS; name match, 82 m]</t>
  </si>
  <si>
    <t xml:space="preserve">NEW SKY ENERGY LLC</t>
  </si>
  <si>
    <t xml:space="preserve">S04596</t>
  </si>
  <si>
    <t xml:space="preserve">4735 WALNUT</t>
  </si>
  <si>
    <t xml:space="preserve">ADK PRESSURE EQUIPMENT CORP (1990-1992; SIC 3569)</t>
  </si>
  <si>
    <t xml:space="preserve">OBS OFFICE FURNISHINGS (1983) | DESIGN, PROTOTYPES CLINICOM INC (1988) | COMMERCIAL PRINTING PERNISHINGs (1988) | DIAMAGNETIC TECHNOLOGY INC (1988) | - SORICON CORP (1988) | ADK PRESSURE EQUIPMENT CORP (1990) | CLINICOM INC. (1990)</t>
  </si>
  <si>
    <t xml:space="preserve">JAY MEDICAL LTD DIV OF SUNRISE MEDICAL [FRS; 112 m]</t>
  </si>
  <si>
    <t xml:space="preserve">JAY MEDICAL LTD DIV OF SUNRISE MEDICAL</t>
  </si>
  <si>
    <t xml:space="preserve">ADK PRESSURE EQPT</t>
  </si>
  <si>
    <t xml:space="preserve">S04604</t>
  </si>
  <si>
    <t xml:space="preserve">4725 NAUTILUS CT</t>
  </si>
  <si>
    <t xml:space="preserve">DT M PRODUCTSs INC (1983-1990; SIC 3079) | FRONT RANGE TOOLING (1988-1990; SIC 3089) | HAUSET CHEMICAL RESEARCH (1988-1990; SIC 2869,2550) | PLASTIC TECHNOLOGY CORP (1990; SIC 3089)</t>
  </si>
  <si>
    <t xml:space="preserve">DT M PRODUCTSs INC (1983) | HINE SNOWBRIDGE INC (1983) | FRONT RANGE TOOLING (1988) | HAUSET CHEMICAL RESEARCH (1988) | PLASTIC TECHNOLOGY CORP (1990) | FRONT RANGE PUBLISHING CO INC (1992)</t>
  </si>
  <si>
    <t xml:space="preserve">HAUSER INC [TRI; name match, 108 m] | HAUSER CHEMICAL RESEARCH INC [FRS; name match, 126 m] | PROLIGO L.L.C. [FRS; 61 m] | PROLIGO LLC [TRI; 81 m]</t>
  </si>
  <si>
    <t xml:space="preserve">USGS GUNBARREL WAREHOUSE [FRS; 19 m] | USGS GUNBARREL WAREHOUSE [FRS] (address match)</t>
  </si>
  <si>
    <t xml:space="preserve">BIG ARCHWAY LLC [FRS; 19 m]</t>
  </si>
  <si>
    <t xml:space="preserve">PROLIGO L.L.C.</t>
  </si>
  <si>
    <t xml:space="preserve">USGS GUNBARREL WAREHOUSE</t>
  </si>
  <si>
    <t xml:space="preserve">S04620</t>
  </si>
  <si>
    <t xml:space="preserve">4765 WALNUT ST</t>
  </si>
  <si>
    <t xml:space="preserve">GTRONA ADVANCED SYSTEMS CORPORATION (1983; SIC 3573)</t>
  </si>
  <si>
    <t xml:space="preserve">BIOX TECHNOLOGY INC (1983) | FYTRON INC (1983) | GTRONA ADVANCED SYSTEMS CORPORATION (1983) | {AMER ANon aL co (1988) | EMERGIN IG RCHNOLOGY (1988) | OHMEDA D.B.A.-BIOXIMETRY TECHNOLOGY (1988) | AMERICAN INT COMMUNICATIONS CORP (1990) | TRUMARK MANUFACTURING CO INC (1990)</t>
  </si>
  <si>
    <t xml:space="preserve">JAY MEDICAL LTD DIV OF SUNRISE MEDICAL [FRS; 20 m]</t>
  </si>
  <si>
    <t xml:space="preserve">ETTA INDUSTRIES [FRS; 31 m] | ADK PRESSURE EQPT [FRS; 56 m] | AMGEN INC - WALNUT ST [FRS] (address match)</t>
  </si>
  <si>
    <t xml:space="preserve">ETTA INDUSTRIES</t>
  </si>
  <si>
    <t xml:space="preserve">S04651</t>
  </si>
  <si>
    <t xml:space="preserve">711 S LINCOLN</t>
  </si>
  <si>
    <t xml:space="preserve">AVEDON ENGINEERING CO. (1983-1990; SIC 3079,3544)</t>
  </si>
  <si>
    <t xml:space="preserve">AVEDON ENGINEERING CO. (1983)</t>
  </si>
  <si>
    <t xml:space="preserve">AVEDON ENGINEERING INC [TRI; name match, 193 m]</t>
  </si>
  <si>
    <t xml:space="preserve">AVEDON ENGINEERING INC [CDPHE RCRA] (address match)</t>
  </si>
  <si>
    <t xml:space="preserve">S04666</t>
  </si>
  <si>
    <t xml:space="preserve">1840 INDUSTRIAL CIR</t>
  </si>
  <si>
    <t xml:space="preserve">LESTRONICS INC (1983; SIC 3612,3677,3679) | CONSOLINK (1990; SIC 3572,3577,3669)</t>
  </si>
  <si>
    <t xml:space="preserve">LESTRONICS INC (1983) | CONSOLINK (1990) | PRECISION POWER SYSTEMS INC (1990)</t>
  </si>
  <si>
    <t xml:space="preserve">CENTERLINE CIRCUITS INC [FRS; 4 m]</t>
  </si>
  <si>
    <t xml:space="preserve">LESTRONICS INC [FRS; name match, 54 m] | LESTRONICS INC [FRS] (address match)</t>
  </si>
  <si>
    <t xml:space="preserve">CENTERLINE CIRCUITS INC [FRS; 8 m] | STORED POWER SYSTEMS [FRS] (address match)</t>
  </si>
  <si>
    <t xml:space="preserve">CENTERLINE CIRCUITS INC</t>
  </si>
  <si>
    <t xml:space="preserve">LESTRONICS INC</t>
  </si>
  <si>
    <t xml:space="preserve">S04667</t>
  </si>
  <si>
    <t xml:space="preserve">1302 IOWA AVE</t>
  </si>
  <si>
    <t xml:space="preserve">MELROE BUFFALO CORP (1983; SIC 3531)</t>
  </si>
  <si>
    <t xml:space="preserve">MELROE BUFFALO CORP (1983)</t>
  </si>
  <si>
    <t xml:space="preserve">I D RUSSELL COMPANY LABORATORIES [FRS; 12 m] | HUVEPHARMA,INC [TRI; 93 m]</t>
  </si>
  <si>
    <t xml:space="preserve">HUVERPHARMA LONGMONT BLENDING PLANT [FRS; 12 m]</t>
  </si>
  <si>
    <t xml:space="preserve">GIVES INCORPORATED</t>
  </si>
  <si>
    <t xml:space="preserve">S04668</t>
  </si>
  <si>
    <t xml:space="preserve">1871 LEFTHAND CIR</t>
  </si>
  <si>
    <t xml:space="preserve">MINI SCRIBE CORPORATION (1983; SIC 3573)</t>
  </si>
  <si>
    <t xml:space="preserve">MINI SCRIBE CORPORATION (1983)</t>
  </si>
  <si>
    <t xml:space="preserve">MAXTOR COLORADO CORP [FRS; 21 m] | MATHESON TRIGAS - LONGMONT BRANCH [FRS; 85 m]</t>
  </si>
  <si>
    <t xml:space="preserve">MATHESON TRI-GAS INC - LONGMONT [CDPHE RCRA; 12 m]</t>
  </si>
  <si>
    <t xml:space="preserve">MAXTOR COLORADO CORP</t>
  </si>
  <si>
    <t xml:space="preserve">MATHESON TRI-GAS INC - LONGMONT</t>
  </si>
  <si>
    <t xml:space="preserve">S04675</t>
  </si>
  <si>
    <t xml:space="preserve">1900 PIKE RD</t>
  </si>
  <si>
    <t xml:space="preserve">WESTERN CUTLERY CO (1983; SIC 3421) | SOLVOURNE COMPUTER INC (1990; SIC 3571)</t>
  </si>
  <si>
    <t xml:space="preserve">WESTERN CUTLERY CO (1983) | SOLVOURNE COMPUTER INC (1990)</t>
  </si>
  <si>
    <t xml:space="preserve">WESTERN CUTLERY CO [FRS; name match, 29 m] | PACKAGING RESOURCES INC [FRS; 29 m]</t>
  </si>
  <si>
    <t xml:space="preserve">MICRON TECHNOLOGY [FRS] (address match) | MICRON TECHNOLOGY [CDPHE RCRA] (address match)</t>
  </si>
  <si>
    <t xml:space="preserve">TEGRANT DIVERSIFIED BRANDS, INC [FRS; 29 m] | CREATIVE FOAM COMPOSITE SYSTEMS [FRS; 29 m] | OSKAR BLUES BREWERY [FRS; 29 m] | CANARCHY CRAFT BREWERY COLLECTIVE LONGMONT [FRS; 29 m]</t>
  </si>
  <si>
    <t xml:space="preserve">PACKAGING RESOURCES INC</t>
  </si>
  <si>
    <t xml:space="preserve">MICRON TECHNOLOGY</t>
  </si>
  <si>
    <t xml:space="preserve">S05321</t>
  </si>
  <si>
    <t xml:space="preserve">4665 NAUTILUS CT</t>
  </si>
  <si>
    <t xml:space="preserve">QUARTERDECK SYSTEMS (1990; SIC 3577)</t>
  </si>
  <si>
    <t xml:space="preserve">ASPEN TEST ENGINEERING INC (1988) | QUARTERDECK SYSTEMS (1990)</t>
  </si>
  <si>
    <t xml:space="preserve">PROLIGO L.L.C. [FRS; 24 m] | HAUSER CHEMICAL RESEARCH INC [FRS; 50 m]</t>
  </si>
  <si>
    <t xml:space="preserve">JW AUTOMATIC MACHINE INC [CDPHE RCRA; 24 m] | EPPENDORF-5  PRIME [CDPHE RCRA; 24 m] | PLANNED PRODUCTS LLC [CDPHE RCRA; 24 m] | EXPONENT BOULDER LAB [FRS; 24 m] | PLANNED PRODUCTS LLC [FRS; 24 m] | JW AUTOMATIC MACHINE INC [FRS; 24 m] | NEW SKY ENERGY LLC [FRS; 32 m]</t>
  </si>
  <si>
    <t xml:space="preserve">ASHER BREWING COMPANY [FRS; 24 m]</t>
  </si>
  <si>
    <t xml:space="preserve">JW AUTOMATIC MACHINE INC</t>
  </si>
  <si>
    <t xml:space="preserve">S05339</t>
  </si>
  <si>
    <t xml:space="preserve">5300 STERLING DR</t>
  </si>
  <si>
    <t xml:space="preserve">ENERGY SPECIALTIES CORP INC (1988-1990; SIC 3563)</t>
  </si>
  <si>
    <t xml:space="preserve">ENERGY SPECIALTIES CORP INC (1988)</t>
  </si>
  <si>
    <t xml:space="preserve">MKS INSTRUMENTS INC. HPS PRO DUCTS DIV [FRS; 55 m]</t>
  </si>
  <si>
    <t xml:space="preserve">MKS INSTRUMENTS HPS PRODUCTS GROUP [FRS; 6 m] | MKS INSTRUMENTS HPS PRODUCTS GROUP [FRS] (address match)</t>
  </si>
  <si>
    <t xml:space="preserve">MKS INSTRUMENTS INC. HPS PRO DUCTS DIV</t>
  </si>
  <si>
    <t xml:space="preserve">MKS INSTRUMENTS HPS PRODUCTS GROUP</t>
  </si>
  <si>
    <t xml:space="preserve">S05344</t>
  </si>
  <si>
    <t xml:space="preserve">5330 STERLING DR</t>
  </si>
  <si>
    <t xml:space="preserve">HP SINC D.B.A-M K S INSTRUMENTS INC (1988; SIC 3499) | HPS INC (1990; SIC 3499)</t>
  </si>
  <si>
    <t xml:space="preserve">HP SINC D.B.A-M K S INSTRUMENTS INC (1988) | SIMPLSOFT PRODUCTS (1988) | HPS INC (1990)</t>
  </si>
  <si>
    <t xml:space="preserve">MKS INSTRUMENTS INC. HPS PRO DUCTS DIV [FRS; name match, 58 m] | MKS INSTRUMENTS INC. HPS PRO DUCTS DIV [FRS] (address match) | MKS INSTRUMENTS INC HPS PRO DUCTS DIV [TRI] (address match)</t>
  </si>
  <si>
    <t xml:space="preserve">MKS INSTRUMENTS HPS PRODUCTS GROUP [FRS; name match, 107 m] | BOULDER 2 [FRS; 8 m] | CORDEN PHARMA COLORADO INC [CDPHE RCRA; 20 m] | CALIBER COLLISION CENTER - BOULDER - STERLING DR 0843 [CDPHE RCRA; 20 m] | BOULDER 2 [CDPHE RCRA; 20 m] | CELLULAR RECYCLER [CDPHE RCRA; 20 m]</t>
  </si>
  <si>
    <t xml:space="preserve">BOULDER 2</t>
  </si>
  <si>
    <t xml:space="preserve">S05349</t>
  </si>
  <si>
    <t xml:space="preserve">4699 NAUTILUS CT 5</t>
  </si>
  <si>
    <t xml:space="preserve">J W AUTOMATIC MACHINE INC (1988-1990; SIC 3451) | FARMER PLASTICS INC (1990; SIC 3599,3089,3751) | H20 ENGINEERING INC (1990; SIC 3589) | J WAUTOMATIC MACHINE INC (1992; SIC 3451) | METRIC FASTENER MACHINING (1992; SIC 3599)</t>
  </si>
  <si>
    <t xml:space="preserve">J W AUTOMATIC MACHINE INC (1988) | FARMER PLASTICS INC (1990) | H20 ENGINEERING INC (1990) | J WAUTOMATIC MACHINE INC (1992) | METRIC FASTENER MACHINING (1992)</t>
  </si>
  <si>
    <t xml:space="preserve">PROLIGO L.L.C. [FRS; 17 m] | HAUSER CHEMICAL RESEARCH INC [FRS; 89 m]</t>
  </si>
  <si>
    <t xml:space="preserve">JW AUTOMATIC MACHINE INC [FRS; name match, 17 m] | JW AUTOMATIC MACHINE INC [CDPHE RCRA; name match, 65 m] | EXPONENT BOULDER LAB [FRS; 17 m] | PLANNED PRODUCTS LLC [FRS; 17 m] | USGS GUNBARREL WAREHOUSE [FRS; 25 m]</t>
  </si>
  <si>
    <t xml:space="preserve">ASHER BREWING COMPANY [FRS; 17 m] | BIG ARCHWAY LLC [FRS; 25 m]</t>
  </si>
  <si>
    <t xml:space="preserve">EXPONENT BOULDER LAB</t>
  </si>
  <si>
    <t xml:space="preserve">S05358</t>
  </si>
  <si>
    <t xml:space="preserve">6101 BEN PL</t>
  </si>
  <si>
    <t xml:space="preserve">MIRRYCLE CORP (1988-1992; SIC 3751) | SCHACHT SPINDLE CO (1988-1990; SIC 2431,2499,3552)</t>
  </si>
  <si>
    <t xml:space="preserve">MIRRYCLE CORP (1988) | SCHACHT SPINDLE CO (1988)</t>
  </si>
  <si>
    <t xml:space="preserve">TECNETICS INC [TRI; 68 m]</t>
  </si>
  <si>
    <t xml:space="preserve">WHITE WAVE</t>
  </si>
  <si>
    <t xml:space="preserve">S05372</t>
  </si>
  <si>
    <t xml:space="preserve">4894 STERLING DR</t>
  </si>
  <si>
    <t xml:space="preserve">WESTERN MOBILE (1990; SIC 2951) | PICOSECOND PULSE LABS INC (1992; SIC 3663,3825,2499)</t>
  </si>
  <si>
    <t xml:space="preserve">MFG, PC SOPTWARE SMALL SYSTEM DESIGN (1988) | PICOSECOND PULSE LABS INC (1990) | WESTERN MOBILE (1990) | NAPRO (1992)</t>
  </si>
  <si>
    <t xml:space="preserve">CORDEN PHARMA - STERLING DRIVE [FRS; 15 m] | MKS INSTRUMENTS INC HPS PRO DUCTS DIV [TRI; 77 m]</t>
  </si>
  <si>
    <t xml:space="preserve">CORDEN PHARMA BOULDER INC [FRS; 55 m]</t>
  </si>
  <si>
    <t xml:space="preserve">PURITAN-BENNETT CORP</t>
  </si>
  <si>
    <t xml:space="preserve">S05960</t>
  </si>
  <si>
    <t xml:space="preserve">138 GAY ST</t>
  </si>
  <si>
    <t xml:space="preserve">LONGMONT A+H SERVICE INC (1988; SIC 3444)</t>
  </si>
  <si>
    <t xml:space="preserve">LONGMONT A+H SERVICE INC (1988)</t>
  </si>
  <si>
    <t xml:space="preserve">ACCURATE PLASTICS [FRS; 78 m]</t>
  </si>
  <si>
    <t xml:space="preserve">MOUNTAIN COACH INC [FRS; 1 m]</t>
  </si>
  <si>
    <t xml:space="preserve">ACCURATE PLASTICS</t>
  </si>
  <si>
    <t xml:space="preserve">MOUNTAIN COACH INC</t>
  </si>
  <si>
    <t xml:space="preserve">S05973</t>
  </si>
  <si>
    <t xml:space="preserve">1822 SUNSET PL</t>
  </si>
  <si>
    <t xml:space="preserve">HELIOS INC (1988-1990; SIC 3599,3699,2063)</t>
  </si>
  <si>
    <t xml:space="preserve">HELIOS INC (1988)</t>
  </si>
  <si>
    <t xml:space="preserve">CENTURY DATA AMCODYNE DIV [FRS; 28 m]</t>
  </si>
  <si>
    <t xml:space="preserve">PROMETHEUS MATERIALS INC</t>
  </si>
  <si>
    <t xml:space="preserve">S05976</t>
  </si>
  <si>
    <t xml:space="preserve">2120 MILLER DR</t>
  </si>
  <si>
    <t xml:space="preserve">INTELLIGENT STORAGE D.B.A-INTELLISTOR (1988; SIC 3577) | INTELLISTOR INC (1990; SIC 3577)</t>
  </si>
  <si>
    <t xml:space="preserve">INTELLIGENT STORAGE D.B.A-INTELLISTOR (1988) | INTELLISTOR INC (1990)</t>
  </si>
  <si>
    <t xml:space="preserve">ADVANCED FORMING TECHNOLOGY [FRS; 12 m] | ADVANCED FORMING TECH INC [TRI; 45 m]</t>
  </si>
  <si>
    <t xml:space="preserve">MAXTOR CORP [FRS; 30 m]</t>
  </si>
  <si>
    <t xml:space="preserve">PCC COMPOSITES.CN [FRS] (address match)</t>
  </si>
  <si>
    <t xml:space="preserve">ADVANCED FORMING TECHNOLOGY</t>
  </si>
  <si>
    <t xml:space="preserve">MAXTOR CORP</t>
  </si>
  <si>
    <t xml:space="preserve">S05980</t>
  </si>
  <si>
    <t xml:space="preserve">7343 MINERAL RD</t>
  </si>
  <si>
    <t xml:space="preserve">PLASTIC TOOLING AIDS LAB INC (1988; SIC 3089,3544,3993) | PTA INC (1990; SIC 3089,3544)</t>
  </si>
  <si>
    <t xml:space="preserve">PLASTIC TOOLING AIDS LAB INC (1988) | PTA INC (1990)</t>
  </si>
  <si>
    <t xml:space="preserve">BROOKS AUTOMATION INC GRANVILLE PHILLIPS PRODUCT [TRI; 225 m]</t>
  </si>
  <si>
    <t xml:space="preserve">PTA CORPORATION [FRS; name match, 174 m]</t>
  </si>
  <si>
    <t xml:space="preserve">FRONT RANGE TOOLING INC [FRS; 102 m] | PLASTIC TOOLING AIDS LAB INC [FRS] (address match)</t>
  </si>
  <si>
    <t xml:space="preserve">BROOKS AUTOMATION INC GRANVILLE PHILLIPS PRODUCT</t>
  </si>
  <si>
    <t xml:space="preserve">PTA CORPORATION</t>
  </si>
  <si>
    <t xml:space="preserve">S05985</t>
  </si>
  <si>
    <t xml:space="preserve">500 WEAVER PARK RD</t>
  </si>
  <si>
    <t xml:space="preserve">PRODUCTS D.B.A..SCOTT SPECIALTY GASES (1988-1990; SIC 2813) | SCENTIIC GAS PRODUCTS (1992; SIC 2813)</t>
  </si>
  <si>
    <t xml:space="preserve">PRODUCTS D.B.A..SCOTT SPECIALTY GASES (1988) | SCENTIIC GAS PRODUCTS (1992)</t>
  </si>
  <si>
    <t xml:space="preserve">RELIANT MANUFACTURING LLC [FRS; 39 m]</t>
  </si>
  <si>
    <t xml:space="preserve">SCOTT SPECIALITY GASES [FRS; name match, 63 m] | SCOTT SPECIALTY GASES [CDPHE RCRA; name match, 129 m] | SCOTT SPECIALITY GASES [FRS] (address match) | SCOTT SPECIALTY GASES [CDPHE RCRA] (address match)</t>
  </si>
  <si>
    <t xml:space="preserve">CHROME ZONE, INC [FRS; 39 m]</t>
  </si>
  <si>
    <t xml:space="preserve">S05988</t>
  </si>
  <si>
    <t xml:space="preserve">1920 PIKE RD UNIT B</t>
  </si>
  <si>
    <t xml:space="preserve">EQUIP ELECTRONC VETTECH INC (1988; SIC 3086,3089)</t>
  </si>
  <si>
    <t xml:space="preserve">EQUIP ELECTRONC VETTECH INC (1988)</t>
  </si>
  <si>
    <t xml:space="preserve">PACKAGING RESOURCES INC [FRS; 84 m] | WESTERN CUTLERY CO [FRS; 84 m]</t>
  </si>
  <si>
    <t xml:space="preserve">S06185</t>
  </si>
  <si>
    <t xml:space="preserve">1600 COMMERCE ST</t>
  </si>
  <si>
    <t xml:space="preserve">BALL AEROSPACE SYSTEMS GROUP (1990; SIC 3651,3761,3826)</t>
  </si>
  <si>
    <t xml:space="preserve">BALL AEROSPACE SYSTEMS GROUP (1990)</t>
  </si>
  <si>
    <t xml:space="preserve">BAE SYSTEMS SPACE - BOULDER CAMPUS [FRS] (address match) | BALL AEROSPACE &amp; TECHNOLOGIES CORP [TRI] (address match)</t>
  </si>
  <si>
    <t xml:space="preserve">BAE SYSTEMS SPACE &amp; MISSION SYSTEMS INC - BOULDER [CDPHE RCRA] (address match)</t>
  </si>
  <si>
    <t xml:space="preserve">BALL AEROSPACE BOULDER [FRS] (address match) | BAE SYSTEMS SPACE &amp; MISSION SYSTEMS BOULDER [FRS] (address match)</t>
  </si>
  <si>
    <t xml:space="preserve">BAE SYSTEMS SPACE &amp; MISSION SYSTEMS INC - BOULDER</t>
  </si>
  <si>
    <t xml:space="preserve">S06689</t>
  </si>
  <si>
    <t xml:space="preserve">555 ASPEN RIDGE DR</t>
  </si>
  <si>
    <t xml:space="preserve">ASPEN RIBBONS INC (1990; SIC 3572,3955)</t>
  </si>
  <si>
    <t xml:space="preserve">ASPEN RIBBONS INC (1990)</t>
  </si>
  <si>
    <t xml:space="preserve">DESIGN FABRICATORS INC. [FRS; 16 m] | DESIGN FABRICATORS INC. [FRS] (address match)</t>
  </si>
  <si>
    <t xml:space="preserve">JOHNS CLEANERS INC</t>
  </si>
  <si>
    <t xml:space="preserve">S06736</t>
  </si>
  <si>
    <t xml:space="preserve">135 GAY ST</t>
  </si>
  <si>
    <t xml:space="preserve">A+H SERVICE INC (1990; SIC 3444)</t>
  </si>
  <si>
    <t xml:space="preserve">A+H SERVICE INC (1990) | RA&amp;LINDUSTRES (1992)</t>
  </si>
  <si>
    <t xml:space="preserve">ACCURATE PLASTICS [FRS; 19 m] | ACCURATE PLASTICS INC [TRI; 72 m]</t>
  </si>
  <si>
    <t xml:space="preserve">MOUNTAIN COACH INC [FRS] (address match)</t>
  </si>
  <si>
    <t xml:space="preserve">ALTRATEK PLASTICS, INC. [FRS; 19 m]</t>
  </si>
  <si>
    <t xml:space="preserve">S06737</t>
  </si>
  <si>
    <t xml:space="preserve">2150 MILLER DR</t>
  </si>
  <si>
    <t xml:space="preserve">ADVANCED FORMING TECHNOLOGY INC (1990; SIC 3089)</t>
  </si>
  <si>
    <t xml:space="preserve">ADVANCED FORMING TECHNOLOGY INC (1990)</t>
  </si>
  <si>
    <t xml:space="preserve">ADVANCED FORMING TECHNOLOGY [FRS; name match, 42 m] | ADVANCED FORMING TECH INC [TRI; 99 m] | ADVANCED FORMING TECHNOLOGY [FRS] (address match) | ADVANCED FORMING TECH INC [TRI] (address match)</t>
  </si>
  <si>
    <t xml:space="preserve">S06762</t>
  </si>
  <si>
    <t xml:space="preserve">765 S PIERCE AVE</t>
  </si>
  <si>
    <t xml:space="preserve">MARK WILLIAMS ENTERPRISES INC (1990-1992; SIC 3498,3599,3714)</t>
  </si>
  <si>
    <t xml:space="preserve">MARK WILLIAMS ENTERPRISES INC (1990)</t>
  </si>
  <si>
    <t xml:space="preserve">KRYPTANE SYSTEMS [FRS; 56 m]</t>
  </si>
  <si>
    <t xml:space="preserve">MARK WILLIAMS ENTERPRISES INC [FRS; name match, 29 m] | MARK WILLIAMS ENTERPRISES INC [FRS] (address match) | MARK WILLIAMS ENTERPRISES INC [CDPHE RCRA] (address match)</t>
  </si>
  <si>
    <t xml:space="preserve">MARK WILLIAMS ENTERPRISES INC</t>
  </si>
  <si>
    <t xml:space="preserve">S06904</t>
  </si>
  <si>
    <t xml:space="preserve">4775 WALNUT ST STE A</t>
  </si>
  <si>
    <t xml:space="preserve">MOUNTAIN OPTECH INC (1992; SIC 3572)</t>
  </si>
  <si>
    <t xml:space="preserve">MOUNTAIN OPTECH INC (1992)</t>
  </si>
  <si>
    <t xml:space="preserve">JAY MEDICAL LTD DIV OF SUNRISE MEDICAL [FRS; 74 m]</t>
  </si>
  <si>
    <t xml:space="preserve">ETTA INDUSTRIES [FRS; 23 m] | AMGEN INC - WALNUT ST [FRS; 27 m]</t>
  </si>
  <si>
    <t xml:space="preserve">S02374</t>
  </si>
  <si>
    <t xml:space="preserve">580 ALTER</t>
  </si>
  <si>
    <t xml:space="preserve">STORAGE TECHNOLOGY CORP (1973; SIC 3573) | STORAGE TECHNOLOGY CORP METAL FAB CIV (1974; SIC 3573)</t>
  </si>
  <si>
    <t xml:space="preserve">STORAGE TECHNOLOGY CORP (1973) | STORAGE TECHNOLOGY CORP METAL FAB CIV (1974)</t>
  </si>
  <si>
    <t xml:space="preserve">VELIE CIRCUITS OF COLORADO INCORPORATED [FRS; 91 m]</t>
  </si>
  <si>
    <t xml:space="preserve">HUNTER DOUGLAS WINDOW FASHIONS [FRS; 8 m]</t>
  </si>
  <si>
    <t xml:space="preserve">S03244</t>
  </si>
  <si>
    <t xml:space="preserve">2555 W MIDWAY BLVD</t>
  </si>
  <si>
    <t xml:space="preserve">TUTAG PHARMACEUTICALS, INC (1977; SIC 2834) | CORD LABORATORIES INC (1980-1990; SIC 2834) | ENGINEERED DATA PRODUCTS INC (1990; SIC 2542,3577)</t>
  </si>
  <si>
    <t xml:space="preserve">TUTAG PHARMACEUTICALS, INC (1977) | CORD LABORATORIES INC (1980) | ENGINEERED DATA PRODUCTS INC (1990)</t>
  </si>
  <si>
    <t xml:space="preserve">MILE HIGH LABS, INC [FRS; 13 m] | MILE HIGH LABS, INC [FRS] (address match) | SANDOZ INC [TRI] (address match)</t>
  </si>
  <si>
    <t xml:space="preserve">ENGINEERED DATA PRODUCTS [FRS; name match, 17 m]</t>
  </si>
  <si>
    <t xml:space="preserve">GENEVA PHARMACEUTICALS [FRS] (address match) | SKB - MIDWAY [FRS] (address match)</t>
  </si>
  <si>
    <t xml:space="preserve">MILE HIGH LABS, INC</t>
  </si>
  <si>
    <t xml:space="preserve">S03796</t>
  </si>
  <si>
    <t xml:space="preserve">640 COMPTON ST</t>
  </si>
  <si>
    <t xml:space="preserve">CROCKETT + KELLY. INC. (1980; SIC 2842) | R-CO FABRICATIONS INC (1990; SIC 3429,3444,3599)</t>
  </si>
  <si>
    <t xml:space="preserve">CROCKETT + KELLY. INC. (1980) | WESTERN SALES @ SUPPLY CO (1980) | ALLEN COMPANY INC (1983) | ULTRAK INC (1983) | INDUSTRY CONTROL MOTION INC (1988) | LOWE ALPINE SYSTEMS (1988) | QMC TECHNOLOGIES INC (1990) | R-CO FABRICATIONS INC (1990)</t>
  </si>
  <si>
    <t xml:space="preserve">HOLCIM-WCR INC - BROOMFIELD PLANT [FRS; 8 m] | CHECKERS INDUSTRIAL SAFETY PRODUCTS [FRS] (address match) | CHECKERS INDUSTRIAL SAFETY PRODUCTS [TRI] (address match)</t>
  </si>
  <si>
    <t xml:space="preserve">HOYT STREET PROPERTY</t>
  </si>
  <si>
    <t xml:space="preserve">PACIFIC SCIENTIFIC</t>
  </si>
  <si>
    <t xml:space="preserve">S03800</t>
  </si>
  <si>
    <t xml:space="preserve">500 ALTER ST</t>
  </si>
  <si>
    <t xml:space="preserve">WEJ-IT CORPORATION (1980-1983; SIC 3452,3429)</t>
  </si>
  <si>
    <t xml:space="preserve">WEJ-IT CORPORATION (1980)</t>
  </si>
  <si>
    <t xml:space="preserve">VELIE CIRCUITS OF COLORADO INCORPORATED [FRS; 71 m]</t>
  </si>
  <si>
    <t xml:space="preserve">WEJ-IT CORPORATION [FRS; name match, 0 m] | AEROSUDS ACCESSORIES [CDPHE RCRA; 12 m] | SVE  AUTOBODY [CDPHE RCRA; 12 m] | WEJ-IT CORPORATION [FRS] (address match)</t>
  </si>
  <si>
    <t xml:space="preserve">SVE OPERATING CO DBA SVE AUTOBODY [FRS; 37 m]</t>
  </si>
  <si>
    <t xml:space="preserve">WEJ-IT CORPORATION</t>
  </si>
  <si>
    <t xml:space="preserve">S04645</t>
  </si>
  <si>
    <t xml:space="preserve">800 HOYT ST</t>
  </si>
  <si>
    <t xml:space="preserve">SIEMENS COMPONENTS INC COLO COMP DIV (1983; SIC 3674,3433,3444) | MICROSEMI CORP COLORADO (1988; SIC 3679) | MSC CO (1990; SIC 3674)</t>
  </si>
  <si>
    <t xml:space="preserve">SIEMENS COMPONENTS INC COLO COMP DIV (1983) | MICROSEMI CORP COLORADO (1988) | MSC CO (1990)</t>
  </si>
  <si>
    <t xml:space="preserve">MICROSEMI CONSORTIUM, C/O FMC CORPORATIO [FRS; name match, 206 m] | MICROSEMI CONSORTIUM, C/O FMC CORPORATIO [FRS] (address match) | MICROSEMI CORP COLORADO [TRI] (address match)</t>
  </si>
  <si>
    <t xml:space="preserve">MICROSEMI CONSORTIUM, C/O FMC CORPORATIO [FRS; name match, 1 m] | MICROSEMI CONSORTIUM FACILITY/MICROSEMI CONSORTIUM C/O BRIAN MCGINNIS (FMC CORP) [CDPHE RCRA; name match, 187 m]</t>
  </si>
  <si>
    <t xml:space="preserve">MICROSEMI CONSORTIUM [FRS; name match, 1 m] | HOYT STREET INDUSTRIAL PHASE 2 [FRS; 15 m] | 800 HOYT ST WAREHOUSE [FRS] (address match)</t>
  </si>
  <si>
    <t xml:space="preserve">MICROSEMI CONSORTIUM, C/O FMC CORPORATIO</t>
  </si>
  <si>
    <t xml:space="preserve">S00104</t>
  </si>
  <si>
    <t xml:space="preserve">2600 S DELAWARE</t>
  </si>
  <si>
    <t xml:space="preserve">1965;1977;1988;1990;1992</t>
  </si>
  <si>
    <t xml:space="preserve">ANCERSON, JOE, DIE CASTING Co. (1965; SIC 3369) | ANDERSON DIE CASTING CO (1977-1992; SIC 3361,3369,3544) | APRN N 0) RP IE (1988; SIC 3535,3568,3714)</t>
  </si>
  <si>
    <t xml:space="preserve">ANCERSON, JOE, DIE CASTING Co. (1965) | ANDERSON DIE CASTING CO (1977) | APRN N 0) RP IE (1988)</t>
  </si>
  <si>
    <t xml:space="preserve">POWER ENGINEERING [FRS; 64 m]</t>
  </si>
  <si>
    <t xml:space="preserve">SANTE FE RAILROAD [FRS; 6 m] | WOODY'S WELDING SERVICE INC [FRS; 26 m]</t>
  </si>
  <si>
    <t xml:space="preserve">ANDERSON DIE CASTING, LLC [FRS; name match, 25 m]</t>
  </si>
  <si>
    <t xml:space="preserve">SANTE FE RAILROAD</t>
  </si>
  <si>
    <t xml:space="preserve">S00118</t>
  </si>
  <si>
    <t xml:space="preserve">2900 LARIMER</t>
  </si>
  <si>
    <t xml:space="preserve">D.B.A.-ORIGINAL VENETIAN BLIND LAUNDRY (1988; SIC 3728)</t>
  </si>
  <si>
    <t xml:space="preserve">ATLAS VENETIAN SLIND CO. (1965) | ARCHER'S DECORATIVE GLASS CCRP (1968) | GRIGINAL VENETIAN BLIND LAUNORY (1974) | SUN-GLO VENETIAN BLIND CO (1977)</t>
  </si>
  <si>
    <t xml:space="preserve">AAA PLATING INC [TRI; 120 m]</t>
  </si>
  <si>
    <t xml:space="preserve">LARIMER GARAGE &amp; SALVAGE [FRS; 55 m]</t>
  </si>
  <si>
    <t xml:space="preserve">LARIMER GARAGE &amp; SALVAGE</t>
  </si>
  <si>
    <t xml:space="preserve">S00181</t>
  </si>
  <si>
    <t xml:space="preserve">4650 STEELE</t>
  </si>
  <si>
    <t xml:space="preserve">EBERHARCT-CENVER PLANT, MORSE CHAIN 2615 E2 FIBRE PROCUCTSy INC. (1965; SIC 3586) | MORSE INDUSTRIAL CORP, GEARING (1988; SIC 3566)</t>
  </si>
  <si>
    <t xml:space="preserve">EBERHARCT-CENVER PLANT, MORSE CHAIN 2615 E2 FIBRE PROCUCTSy INC. (1965) | MORSE INDUSTRIAL CORP, GEARING (1988)</t>
  </si>
  <si>
    <t xml:space="preserve">MORSE EMERSON POWER TRANSMISSION [FRS; 24 m] | MORSE EMERSON POWER TRANSMISSION [FRS] (address match)</t>
  </si>
  <si>
    <t xml:space="preserve">PACIFIC INTERMOUNTAIN EXPRESS CO</t>
  </si>
  <si>
    <t xml:space="preserve">MORSE EMERSON POWER TRANSMISSION</t>
  </si>
  <si>
    <t xml:space="preserve">PIE TERMINAL</t>
  </si>
  <si>
    <t xml:space="preserve">S00246</t>
  </si>
  <si>
    <t xml:space="preserve">785 VALLEJO</t>
  </si>
  <si>
    <t xml:space="preserve">OLGUEN MFG INC (1980; SIC 3444)</t>
  </si>
  <si>
    <t xml:space="preserve">LIGHTING UNLIMITED, INC. (1965) | AUTO-RUGG CO (1966) | COLORADO ANODIZERS INC (1966) | OLGUEN MFG INC (1980) | GLGUIN MANUFACTURING INC (1983)</t>
  </si>
  <si>
    <t xml:space="preserve">LINCOLN PLATING CO [FRS; 85 m]</t>
  </si>
  <si>
    <t xml:space="preserve">CINTAS CORPORATION </t>
  </si>
  <si>
    <t xml:space="preserve">S00279</t>
  </si>
  <si>
    <t xml:space="preserve">485 OSAGE</t>
  </si>
  <si>
    <t xml:space="preserve">MUELLER BRASS CO. (1965-1967; SIC 3585)</t>
  </si>
  <si>
    <t xml:space="preserve">MUELLER BRASS CO. (1965)</t>
  </si>
  <si>
    <t xml:space="preserve">CALIFORNIA EXPANDED METALS CO [FRS; 66 m]</t>
  </si>
  <si>
    <t xml:space="preserve">BOYD DISTRIBUTING CO INC</t>
  </si>
  <si>
    <t xml:space="preserve">S00301</t>
  </si>
  <si>
    <t xml:space="preserve">2185 S JASON</t>
  </si>
  <si>
    <t xml:space="preserve">1965;1966;1967;1968;1970;1973;1974;1980;1983;1988;1990</t>
  </si>
  <si>
    <t xml:space="preserve">POWER-CURVE CONVEYOR CO. (1965-1970; SIC 3525) | POWER MATERIALS HANDLING SYSTEMS INC (1973; SIC 3535,3536) | ADMIRAL MANUFACTURING CC (1974; SIC 3792) | C-D WHEEL CO (1974; SIC 3714) | MARTIN MANUFACTURING CC INC (1974; SIC 3599) | WPM SYSTEMS, INC (1974; SIC 3535,3576,3569) | ARK-SEAL CORPORATION (1980-1990; SIC 3589) | ABIFF MFG CORP (1983; SIC 3563) | WILSA INC D 8B A OPTIKEM INTERNATIONAL (1983-1990; SIC 2834,3079,2699) | ARK-SEAL INC D.B.A.-ABIFF MANUFACTURING (1988; SIC 3563)</t>
  </si>
  <si>
    <t xml:space="preserve">POWER-CURVE CONVEYOR CO. (1965) | MARTIN MANUFACTURING CO INC (1973) | POWER MATERIALS HANDLING SYSTEMS INC (1973) | ADMIRAL MANUFACTURING CC (1974) | C-D WHEEL CO (1974) | WPM SYSTEMS, INC (1974) | ADMIRAL MANUFACTURING CO €O WINTERSTELLER VeP. 2034 DEHYDRATED FRUITS, VESETABLES, SOUP (1977) | ARK-SEAL CORPORATION (1980) | ABIFF MFG CORP (1983) | WILSA INC D 8B A OPTIKEM INTERNATIONAL (1983) | ARK-SEAL INC D.B.A.-ABIFF MANUFACTURING (1988) | ACANVAS AWNING COMPANY INC (1992)</t>
  </si>
  <si>
    <t xml:space="preserve">J D GRANT INCORPORATED [FRS; 62 m]</t>
  </si>
  <si>
    <t xml:space="preserve">AUTOMOTIVE RESTYLING CENTER [FRS; 55 m]</t>
  </si>
  <si>
    <t xml:space="preserve">OPTIKEM INTL [FRS; 23 m]</t>
  </si>
  <si>
    <t xml:space="preserve">AUTOMOTIVE RESTYLING CENTER</t>
  </si>
  <si>
    <t xml:space="preserve">S00312</t>
  </si>
  <si>
    <t xml:space="preserve">1423 S BROADWAY</t>
  </si>
  <si>
    <t xml:space="preserve">1965;1968;1988</t>
  </si>
  <si>
    <t xml:space="preserve">RED ROCK INCINERATORS (1965; SIC 3433) | SOUTH DENVER SHEET METAL AND FURNACE (1965; SIC 3444) | SCUTH DENVER SHEET METAL + FURNACE (1968; SIC 3444) | AJAX CUSTOM PLATING (1988; SIC 3471,2782)</t>
  </si>
  <si>
    <t xml:space="preserve">RED ROCK INCINERATORS (1965) | SOUTH DENVER SHEET METAL AND FURNACE (1965) | SCUTH DENVER SHEET METAL + FURNACE (1968) | LITTLE LITHCGRAPHERSs INC. (1974) | MONARCH PRESS (1974) | AJAX CUSTOM PLATING (1988)</t>
  </si>
  <si>
    <t xml:space="preserve">SASHCO INC [TRI; 93 m]</t>
  </si>
  <si>
    <t xml:space="preserve">AJAX CUSTOM PLATING COMPANY [FRS; name match, 10 m] | AJAX CUSTOM PLATING COMPANY [FRS] (address match) | AJAX CUSTOM PLATING CO [CDPHE RCRA] (address match)</t>
  </si>
  <si>
    <t xml:space="preserve">AJAX CUSTOM PLATING COMPANY</t>
  </si>
  <si>
    <t xml:space="preserve">S00314</t>
  </si>
  <si>
    <t xml:space="preserve">1636 LAWRENCE ST</t>
  </si>
  <si>
    <t xml:space="preserve">RICAROO INC (1966; SIC 3423) | RICARDG INC (1968; SIC 3425)</t>
  </si>
  <si>
    <t xml:space="preserve">ROCKMCUNT RANCH WEAR MFG. CO. (1965) | RICAROO INC (1966) | COLORADO TENT + AWNING CO, THE (1967) |  (1967) | RICARDG INC (1968)</t>
  </si>
  <si>
    <t xml:space="preserve">CROWHEART ENERGY (WAMSUTTER SOUTH EVAPORATION BASIN) [FRS; 101 m]</t>
  </si>
  <si>
    <t xml:space="preserve">WESTIN HOTEL TABOR CENTER</t>
  </si>
  <si>
    <t xml:space="preserve">S00342</t>
  </si>
  <si>
    <t xml:space="preserve">2944 LARIMER ST</t>
  </si>
  <si>
    <t xml:space="preserve">1965;1966;1968;1970;1973;1974;1983;1988;1990</t>
  </si>
  <si>
    <t xml:space="preserve">SNYDER METAL EQUIPMENT CO. (1965-1974; SIC 3459) | EMPIRE SPRING + SHOCK SERVICE INC (1966; SIC 3599) | INDEPENCENT CERTIFIEC WELDERS INC (1968-1970; SIC 3591) | EMPIRE SPRING + CHASSIS CO (1973-1990; SIC 3493)</t>
  </si>
  <si>
    <t xml:space="preserve">SNYDER METAL EQUIPMENT CO. (1965) | EMPIRE SPRING + SHOCK SERVICE INC (1966) | SNYDER METAL EQUIPMENT CU core —ST-1960 DIST 20 TU 99 (1966) | INDEPENCENT CERTIFIEC WELDERS INC (1968) | ALLYN-HOWARD MFG CO INC € MARDELT PRES (1973) | EMPIRE SPRING + CHASSIS CO (1973) | EMPIRE SPRING + CHASSIS CC 2752 COMMERCIAL PRINTING, LITHOGRAPHIC (1974) | SNYDER (1977)</t>
  </si>
  <si>
    <t xml:space="preserve">AAA PLATING INC [TRI; 61 m]</t>
  </si>
  <si>
    <t xml:space="preserve">LARIMER GARAGE &amp; SALVAGE [FRS; 6 m] | EMPIRE SUSPENSION CO [FRS; 20 m] | APCNA HOLDINGS LLC [FRS; 35 m] | APCNA HOLDINGS LLC [FRS] (address match) | APCNA HOLDINGS LLC [CDPHE RCRA] (address match)</t>
  </si>
  <si>
    <t xml:space="preserve">S00358</t>
  </si>
  <si>
    <t xml:space="preserve">1438 S CHEROKEE</t>
  </si>
  <si>
    <t xml:space="preserve">1965;1967;1970;1974;1990</t>
  </si>
  <si>
    <t xml:space="preserve">VAN GENDEREN, WM. CO. (1965-1974; SIC 3444) | ELKEE CORP (1990; SIC 2842)</t>
  </si>
  <si>
    <t xml:space="preserve">VAN GENDEREN, WM. CO. (1965) | HARCO INC (1980) | ELKEE CORP (1990)</t>
  </si>
  <si>
    <t xml:space="preserve">CYCLO MANUFACTURING CO [FRS; 4 m]</t>
  </si>
  <si>
    <t xml:space="preserve">BELLAGIO STONE INC. [FRS; 21 m]</t>
  </si>
  <si>
    <t xml:space="preserve">S00382</t>
  </si>
  <si>
    <t xml:space="preserve">4400 GARFIELD</t>
  </si>
  <si>
    <t xml:space="preserve">METAL FORMS MFGe COe INCe (1983; SIC 3599)</t>
  </si>
  <si>
    <t xml:space="preserve">WILMAC FOODS CO. (1965) | METAL FORMS MFGe COe INCe (1983)</t>
  </si>
  <si>
    <t xml:space="preserve">AET ENVIRONMENTAL [FRS; 52 m] | KBP COIL COATERS INC - 3600 E 44TH AVE [FRS; 62 m]</t>
  </si>
  <si>
    <t xml:space="preserve">ASPEN WASTE SERVICES AND DISPOSAL LLC [FRS; 43 m] | PATRIOT ENVIRONMENTAL SERVICES INC [CDPHE RCRA; 52 m]</t>
  </si>
  <si>
    <t xml:space="preserve">DENVER MARBLE CONCEPTS [FRS; 16 m]</t>
  </si>
  <si>
    <t xml:space="preserve">S01412</t>
  </si>
  <si>
    <t xml:space="preserve">1523 WAZEE</t>
  </si>
  <si>
    <t xml:space="preserve">SAND + SAGE ¥FG CO (1968; SIC 2387,3564)</t>
  </si>
  <si>
    <t xml:space="preserve">SAND + SAGE MFG. CO. (1965) | SLUMBERLANC (1965) | WESTERN FASHIONS, INC. (1965) | KARMAN INC (1966) | LANDE MFG CO (1966) | PRIOR CU, THE (1966) | CADLEs P HICKS, + CO (1967) | PRIOR CO, THE (1967) |  (1967) | COLORADO SADDLERY CO (1970) | KARMAN WESTERN WEAR (1973) |  (1973) | ALL AMERICAN SEASONINGS ENC (1980) | WESTWORD INC. (1983) | SEKsSMNGS Ne (1988) | MOUNTAIN STONE CO (1990)</t>
  </si>
  <si>
    <t xml:space="preserve">A R WILFLEY &amp; SONS INC [TRI; 112 m] | US DEPARTMENT OF THE TREASURY US MINT DENVER [TRI; 112 m]</t>
  </si>
  <si>
    <t xml:space="preserve">SPRUNG CONSTRUCTION [FRS; 64 m] | US POSTAL SERVICE [FRS; 92 m]</t>
  </si>
  <si>
    <t xml:space="preserve">APOLLO OPERATING - REG 7 REPORTING ONLY [FRS; 64 m] | COLORADO MOUNTAIN RESORT INVESTORS LLC [FRS; 92 m] | 1515 WYNKOOP STREET [FRS; 95 m] | BEAR PEAK COOPER LLC [FRS; 98 m] | PUREWEST [FRS; 99 m]</t>
  </si>
  <si>
    <t xml:space="preserve">SPRUNG CONSTRUCTION</t>
  </si>
  <si>
    <t xml:space="preserve">S01791</t>
  </si>
  <si>
    <t xml:space="preserve">1621 BLAKE</t>
  </si>
  <si>
    <t xml:space="preserve">AMERICAN PENNANT MFE CO (1968-1970; SIC 2399,3444,3339) | RENALDE, CROCKETT + KELLY INC (1968; SIC 3429,2842) | MILNE MFG CC (1974; SIC 3955,3079) | MILNE MFG CO (1980; SIC 3955,3079)</t>
  </si>
  <si>
    <t xml:space="preserve">AMERICAN PENNANT MFG. CC. (1965) | HORWITZ BOX + PAPER CO (1966) | BEATRICE FOors cc (1968) | BRENT-RADELL CO (1968) | RENALDE, CROCKETT + KELLY INC (1968) | SCHIVP BRCS CUSTOM FIXTURES (1968) | GOLDEN WEST LITHOPLATE SERVICE HH OONSTOTT OWNER (1970) | BRENT-RADELL CO 3949 SPORTING AND ATHLETIC GOODS, NEC (1973) |  (1974) | MILNE MFG CC (1974) | NATIONAL DEVICES CO ANNA MAE HISGINBOTHAM OWNER (1977) | INC (1977) | MILNE MFG CO (1980) | NATIONAL DEVICES Co (1980) | ROSS COMPANY (1980) | SAFESPORT MFG CO (1980) | B08 GOAO GENERAL MANAGER (1983)</t>
  </si>
  <si>
    <t xml:space="preserve">US DEPARTMENT OF THE TREASURY US MINT DENVER [TRI; 132 m] | A R WILFLEY &amp; SONS INC [TRI; 132 m]</t>
  </si>
  <si>
    <t xml:space="preserve">CAIN T-SQUARE [FRS; 27 m] | RTD 20TH ST - CONSTRUCTION PROJECT [FRS; 37 m] | GREAT WESTERN SUGAR BUILDING [FRS; 80 m] | RTD 20TH ST - CONSTRUCTION PROJECT [CDPHE RCRA; 89 m] | CAIN T-SQUARE [CDPHE RCRA; 89 m]</t>
  </si>
  <si>
    <t xml:space="preserve">SUGAR 3 BUILDING [FRS; 73 m] | MARKET STATION [FRS; 73 m] | VALIDUS ENERGY AQUILAS ASSETCO, LLC [FRS; 80 m] | VALIDUS ENERGY II MIDCON, LLC - ALL FACILITIES [FRS; 80 m]</t>
  </si>
  <si>
    <t xml:space="preserve">RTD GoldLine and Maintenance Facility</t>
  </si>
  <si>
    <t xml:space="preserve">S01802</t>
  </si>
  <si>
    <t xml:space="preserve">1530 BLAKE</t>
  </si>
  <si>
    <t xml:space="preserve">AMERICAN COSTUME CO (1988-1990; SIC 2389,2844,3931)</t>
  </si>
  <si>
    <t xml:space="preserve">ABEGG PRINTING CO. (1965) | SHAFER UPHOLSTERING CC (1968) | SHAFER COMMERCIAL SEATING INC. (1973) | MERRY PLAQUESTERS THE (1974) | STRAIGHT CREEK JOURNAL (1974) | AMERICAN COSTUME COMPANY (1977) | DENVER MAGAZINE (1980) | PROFESSIONAL SERVICES UNLIMITD. (1992)</t>
  </si>
  <si>
    <t xml:space="preserve">A R WILFLEY &amp; SONS INC [TRI; 33 m] | US DEPARTMENT OF THE TREASURY US MINT DENVER [TRI; 33 m]</t>
  </si>
  <si>
    <t xml:space="preserve">SPRUNG CONSTRUCTION INC [FRS; 32 m] | BLAKE STREET PROPERTIES [FRS; 50 m]</t>
  </si>
  <si>
    <t xml:space="preserve">DENVER CITY &amp; COUNTY OF [FRS; 33 m]</t>
  </si>
  <si>
    <t xml:space="preserve">SPRUNG CONSTRUCTION INC</t>
  </si>
  <si>
    <t xml:space="preserve">S00579</t>
  </si>
  <si>
    <t xml:space="preserve">305 W 56TH AVE</t>
  </si>
  <si>
    <t xml:space="preserve">ARCH STEEL BLDG INC (1966; SIC 3441)</t>
  </si>
  <si>
    <t xml:space="preserve">ARCH STEEL BLDG INC (1966) | DENVER SYRUP + BAR SUPPLY INC (1990)</t>
  </si>
  <si>
    <t xml:space="preserve">UNIVAR SOLUTIONS USA INC [FRS; 51 m]</t>
  </si>
  <si>
    <t xml:space="preserve">ENERGY REPAIR SERVICE INC [FRS; 22 m]</t>
  </si>
  <si>
    <t xml:space="preserve">DENVER SYRUP AND BAR SUPPLY INCORPORATED [FRS; name match, 17 m] | DENVER SYRUP AND BAR SUPPLY INCORPORATED [FRS] (address match)</t>
  </si>
  <si>
    <t xml:space="preserve">ENERGY REPAIR SERVICE INC</t>
  </si>
  <si>
    <t xml:space="preserve">S00595</t>
  </si>
  <si>
    <t xml:space="preserve">201 E 58TH</t>
  </si>
  <si>
    <t xml:space="preserve">1970;1974;1980;1990;1992</t>
  </si>
  <si>
    <t xml:space="preserve">ZIMMERMAN, WILLIAM Gy ARCHITECTURAL METALS (1970-1980; SIC 3449,3471,3441) | ZIMMERMAN METALS INC (1990-1992; SIC 3441,3449,3599)</t>
  </si>
  <si>
    <t xml:space="preserve">ZIMMERMAN, WILLIAM G, ARCHITECTURAL METAL 3 (1966) | ZIMMERMAN METALS INC (1990)</t>
  </si>
  <si>
    <t xml:space="preserve">ZIMMERMAN METALS INC [FRS; name match, 147 m]</t>
  </si>
  <si>
    <t xml:space="preserve">S00712</t>
  </si>
  <si>
    <t xml:space="preserve">4801 E 46TH AVE</t>
  </si>
  <si>
    <t xml:space="preserve">AMERICAN CAN CO (1966-1968; SIC 3411)</t>
  </si>
  <si>
    <t xml:space="preserve">AMERICAN CAN CO (1966)</t>
  </si>
  <si>
    <t xml:space="preserve">SAFEWAY INCORPORATED DENVER BREAD PLANT [FRS; 76 m]</t>
  </si>
  <si>
    <t xml:space="preserve">SAFEWAY INCORPORATED DENVER BREAD PLANT</t>
  </si>
  <si>
    <t xml:space="preserve">3M ADVERTISING</t>
  </si>
  <si>
    <t xml:space="preserve">S00720</t>
  </si>
  <si>
    <t xml:space="preserve">5909 E 38TH AVE</t>
  </si>
  <si>
    <t xml:space="preserve">ARROW PRINTING INC CORP EST-1937 INTL 20 TO $9 M FEDER = PRES (1967; SIC 3599)</t>
  </si>
  <si>
    <t xml:space="preserve">ARROW PRINTING INC (1966) | ARROW PRINTING INC CORP EST-1937 INTL 20 TO $9 M FEDER = PRES (1967)</t>
  </si>
  <si>
    <t xml:space="preserve">BRASS SMITH [TRI; 36 m]</t>
  </si>
  <si>
    <t xml:space="preserve">METRO TAXI INC [FRS] (address match)</t>
  </si>
  <si>
    <t xml:space="preserve">METRO TAXI INC</t>
  </si>
  <si>
    <t xml:space="preserve">S00737</t>
  </si>
  <si>
    <t xml:space="preserve">4305 ONEIDA ST</t>
  </si>
  <si>
    <t xml:space="preserve">BEST QUALITY PLASTICS INC (1966-1967; SIC 3079) |  (1974; SIC 1035)</t>
  </si>
  <si>
    <t xml:space="preserve">BEST QUALITY PLASTICS INC (1966) | RED SEAL POTATO CHIP CO (1973) |  (1974) | SETCO INC OF OENVER (1980) | RED SEAL POTATO CHIP CO (1983) | CLOVER CLUB FOODS CO (1990) | RED SEAL SNACK COMPANY (1990) | ‘COLO LEISURE SPORTSWEAR CORP (1992)</t>
  </si>
  <si>
    <t xml:space="preserve">RED SEAL SNACKS [FRS; name match, 150 m]</t>
  </si>
  <si>
    <t xml:space="preserve">GELCO TRUCK LEASING DIVISION</t>
  </si>
  <si>
    <t xml:space="preserve">S00745</t>
  </si>
  <si>
    <t xml:space="preserve">301 W 60TH PL</t>
  </si>
  <si>
    <t xml:space="preserve">STANLEY STRUCTURES=ARCH.CONCRETE DIV= (1983; SIC 3272,3272,3441)</t>
  </si>
  <si>
    <t xml:space="preserve">BUEHNER-SCHOKBETON CO (1966) | COLORADO SCHOKBETON CO (1973) | STANLEY STRUCTURES~ARCH.CONCRETE DIV. (1980)</t>
  </si>
  <si>
    <t xml:space="preserve">BRANNAN WEST PLANT [FRS; 96 m] | WELLS CONCRETE - ARCHITECTURAL PLANT [FRS] (address match)</t>
  </si>
  <si>
    <t xml:space="preserve">COLO DIV OF WILDLIFE DENVER HQ [FRS; 1 m] | CDOT STORM SEWER REPLACEMENT [FRS; 1 m]</t>
  </si>
  <si>
    <t xml:space="preserve">CDPW [FRS; 1 m]</t>
  </si>
  <si>
    <t xml:space="preserve">BRANNAN WEST PLANT</t>
  </si>
  <si>
    <t xml:space="preserve">COLO DIV OF WILDLIFE DENVER HQ</t>
  </si>
  <si>
    <t xml:space="preserve">S00775</t>
  </si>
  <si>
    <t xml:space="preserve">1395 S ACOMA</t>
  </si>
  <si>
    <t xml:space="preserve">1966;1968;1970;1973;1980;1983</t>
  </si>
  <si>
    <t xml:space="preserve">COLORADO STEEL SASH CO (1966-1970; SIC 2851) | FASHCO INC (1973-1983; SIC 2891)</t>
  </si>
  <si>
    <t xml:space="preserve">COLORADO STEEL SASH CO (1966) | FASHCO INC (1973)</t>
  </si>
  <si>
    <t xml:space="preserve">SASHCO INC [FRS; name match, 28 m] | SASHCO INC [TRI; name match, 35 m] | SASHCO INC [TRI] (address match)</t>
  </si>
  <si>
    <t xml:space="preserve">S00779</t>
  </si>
  <si>
    <t xml:space="preserve">3001 BLAKE</t>
  </si>
  <si>
    <t xml:space="preserve">1968;1980;1983;1990;1992</t>
  </si>
  <si>
    <t xml:space="preserve">CONTINENTAL PLASTICS INDUSTRIES INC (1968; SIC 3079) | PRECISION FOUNDRIES INC (1980-1983; SIC 3369,3333,3334) | PRECISION DIE CASTING (1990-1992; SIC 3363,3366,3369)</t>
  </si>
  <si>
    <t xml:space="preserve">CONTINENTAL PLASTICS INDUSTRIES INC (1966) | PRECISION FOUNDRIES INC (1980) | PRECISION DIE CASTING (1990)</t>
  </si>
  <si>
    <t xml:space="preserve">AAA PLATING INC [FRS; 40 m]</t>
  </si>
  <si>
    <t xml:space="preserve">RESOLUTION TRUST CORP./RFI [CDPHE RCRA; 26 m]</t>
  </si>
  <si>
    <t xml:space="preserve">PRECISION FOUNDRIES INC (CLOSED) [FRS; name match, 24 m]</t>
  </si>
  <si>
    <t xml:space="preserve">S00782</t>
  </si>
  <si>
    <t xml:space="preserve">904 S LIPAN</t>
  </si>
  <si>
    <t xml:space="preserve">COPELAND ENTERPRISES, INC (1977-1992; SIC 3499,3272)</t>
  </si>
  <si>
    <t xml:space="preserve">COPELAND CONCRETE PROD CO (1966) | COPELAND ENTERPRISES, INC (1973)</t>
  </si>
  <si>
    <t xml:space="preserve">ELECTRO-MECHANICAL PRODUCTS INC [TRI; 92 m]</t>
  </si>
  <si>
    <t xml:space="preserve">S00804</t>
  </si>
  <si>
    <t xml:space="preserve">3033 BLAKE</t>
  </si>
  <si>
    <t xml:space="preserve">A A A PLATING INC (1988-1990; SIC 3471)</t>
  </si>
  <si>
    <t xml:space="preserve">DENVER FIRE CLay CO ORUGS (1966) | A A A PLATING INC (1988)</t>
  </si>
  <si>
    <t xml:space="preserve">AAA PLATING INC [FRS; name match, 4 m] | AAA PLATING INC [TRI; name match, 248 m]</t>
  </si>
  <si>
    <t xml:space="preserve">STEW JACKSON ENTERPRISES [FRS; 25 m]</t>
  </si>
  <si>
    <t xml:space="preserve">PRECISION FOUNDRIES INC (CLOSED) [FRS; 21 m]</t>
  </si>
  <si>
    <t xml:space="preserve">S00833</t>
  </si>
  <si>
    <t xml:space="preserve">7801 E 40TH</t>
  </si>
  <si>
    <t xml:space="preserve">1966;1983</t>
  </si>
  <si>
    <t xml:space="preserve">GOULD NATIONAL BATTERIES INC (1966; SIC 3599) | SCIENTIFIC SUPPLY CO (1983; SIC 2841,2842,3599)</t>
  </si>
  <si>
    <t xml:space="preserve">GOULD NATIONAL BATTERIES INC (1966) | SCIENTIFIC SUPPLY CO (1983)</t>
  </si>
  <si>
    <t xml:space="preserve">FINTECH INC [FRS; 59 m] | FINTECH INC [TRI; 107 m]</t>
  </si>
  <si>
    <t xml:space="preserve">PHILIP SERVICES CORPORATION</t>
  </si>
  <si>
    <t xml:space="preserve">S00929</t>
  </si>
  <si>
    <t xml:space="preserve">615 W 14TH</t>
  </si>
  <si>
    <t xml:space="preserve">NEWLANDER MACHINE SHOP (1966-1990; SIC 3599) |  (1973; SIC 2752,3079)</t>
  </si>
  <si>
    <t xml:space="preserve">NEWLANDER MACHINE SHOP (1966) | PANNEBAKER, FREDERIC M, LITHOGRAPHER (1966) |  (1973) | PARREBKKUR uirHocRa (1988)</t>
  </si>
  <si>
    <t xml:space="preserve">RMO INC [TRI; 105 m]</t>
  </si>
  <si>
    <t xml:space="preserve">ROCKY MOUNTAIN/ORTHODONTICS</t>
  </si>
  <si>
    <t xml:space="preserve">RMO INC</t>
  </si>
  <si>
    <t xml:space="preserve">S00932</t>
  </si>
  <si>
    <t xml:space="preserve">2240 S KALAMATH</t>
  </si>
  <si>
    <t xml:space="preserve">1966;1967;1973;1974;1977;1980;1983;1988;1990</t>
  </si>
  <si>
    <t xml:space="preserve">*OGDEN MACHINE SHOP (1966-1974; SIC 3599) | N # S MACHINE SHOP (1973-1974; SIC 3591) | MC KIM WELDING + MACHINE SHOP (1974; SIC 3591) | PACKAGING RESEARCH CGRPORATION (1977; SIC 3551) | MILE-HI SAW + TOOL INC (1980-1983; SIC 3799,3499) | C=D WHEEL CO (1983; SIC 3714) | ALUMAGUARD D.B.A-BETTINGER WEST (1988; SIC 3442,3449,3499) | GIRTHS ERSHAGEO (1988; SIC 3679,3714,3842) | MACHINERY ERECTORS (1990; SIC 3441,3535)</t>
  </si>
  <si>
    <t xml:space="preserve">*OGDEN MACHINE SHOP (1966) | N # S MACHINE SHOP (1973) | MC KIM WELDING + MACHINE SHOP (1974) | PACKAGING RESEARCH CGRPORATION (1977) | HARTLAND MANUFACTURING INC (1980) | MILE-HI SAW + TOOL INC (1980) | PIONEER METAL FINISHING INC (1980) | C=D WHEEL CO (1983) | ALUMAGUARD D.B.A-BETTINGER WEST (1988) | GIRTHS ERSHAGEO (1988) | ACCURATE SCREEN PRINTING (1990) | MACHINERY ERECTORS (1990)</t>
  </si>
  <si>
    <t xml:space="preserve">J D GRANT INCORPORATED [FRS; 104 m]</t>
  </si>
  <si>
    <t xml:space="preserve">MASTER COLLISION SPECIALISTS INC [FRS; 24 m] | PREMIER FURNITURE CO. [FRS; 53 m]</t>
  </si>
  <si>
    <t xml:space="preserve">ACCURATE SCREEN PRINTING [FRS; name match, 53 m] | CUTTING EDGE GRANITE [FRS; 5 m]</t>
  </si>
  <si>
    <t xml:space="preserve">MASTER COLLISION SPECIALISTS INC</t>
  </si>
  <si>
    <t xml:space="preserve">S00983</t>
  </si>
  <si>
    <t xml:space="preserve">3000 LARIMER</t>
  </si>
  <si>
    <t xml:space="preserve">THOMPSON PIPE ¢ STEEL CO (1973; SIC 3317,3523,3443) | THOMPSON PIPE + STEEL CO (1977; SIC 3317,3443,3498)</t>
  </si>
  <si>
    <t xml:space="preserve">UNION MATTRESS + PILLOW CO (1966) | THOMPSON PIPE ¢ STEEL CO (1973) | THOMPSON PIPE + STEEL CO (1977) | CREATIVE WOOD MFG INC (1980) | UNION MATTRESS ¢ PILLOW CO (1980)</t>
  </si>
  <si>
    <t xml:space="preserve">AAA PLATING INC [TRI; 37 m]</t>
  </si>
  <si>
    <t xml:space="preserve">SPRUNG CONSTRUCTION [FRS; 19 m]</t>
  </si>
  <si>
    <t xml:space="preserve">2945 LARIMER MIX [FRS; 33 m]</t>
  </si>
  <si>
    <t xml:space="preserve">S02057</t>
  </si>
  <si>
    <t xml:space="preserve">4490 GARFIELD</t>
  </si>
  <si>
    <t xml:space="preserve">1967;1970;1974;1977;1980;1988;1990</t>
  </si>
  <si>
    <t xml:space="preserve"> (1967; SIC 3522) | ROOFING EQUIPMENT INC (1970-1980; SIC 3589) | TRANSMISSION PARTS CO (1970-1990; SIC 3714) | HEART MANUFACTURING COMPANY (1974; SIC 3429) |  (1977; SIC 3429)</t>
  </si>
  <si>
    <t xml:space="preserve">K-4 ENTERPRISES CORP (1966) |  (1967) | ROOFING EQUIPMENT INC (1970) | TRANSMISSION PARTS CO (1970) | HEART MANUFACTURING COMPANY (1974) |  (1977)</t>
  </si>
  <si>
    <t xml:space="preserve">AET ENVIRONMENTAL [FRS; 97 m] | KBP COIL COATERS INC - 3600 E 44TH AVE [FRS; 103 m]</t>
  </si>
  <si>
    <t xml:space="preserve">ROOFING EQP INC [FRS; 4 m] | ASPEN WASTE SERVICES AND DISPOSAL LLC [FRS; 26 m] | DRAN V SILER PRINTING CO [FRS; 32 m]</t>
  </si>
  <si>
    <t xml:space="preserve">Direct Polymers - 3601 E 44th Ave [CDPHE Solid_Waste_Facilities; 112 m]</t>
  </si>
  <si>
    <t xml:space="preserve">DENVER MARBLE CONCEPTS [FRS; 52 m]</t>
  </si>
  <si>
    <t xml:space="preserve">ROOFING EQP INC</t>
  </si>
  <si>
    <t xml:space="preserve">S01352</t>
  </si>
  <si>
    <t xml:space="preserve">4940 E EVANS AVE</t>
  </si>
  <si>
    <t xml:space="preserve">ELCAR FENCE ¢ SUPPLY CC (1968; SIC 2499,3481)</t>
  </si>
  <si>
    <t xml:space="preserve">MURBO PRESS (1967) | ELCAR FENCE ¢ SUPPLY CC (1968)</t>
  </si>
  <si>
    <t xml:space="preserve">ENTENMANNS OROWEAT FOODS COMPANY [FRS; 81 m]</t>
  </si>
  <si>
    <t xml:space="preserve">MURPHY EXPRESS DENVER EVANS/DAHLIA [FRS; 44 m]</t>
  </si>
  <si>
    <t xml:space="preserve">AL' AUTO HAUS</t>
  </si>
  <si>
    <t xml:space="preserve">S01505</t>
  </si>
  <si>
    <t xml:space="preserve">1 W EVANS AVE</t>
  </si>
  <si>
    <t xml:space="preserve">si INDUSTRIES INC (1967; SIC 2992,3272,2899)</t>
  </si>
  <si>
    <t xml:space="preserve">si INDUSTRIES INC (1967)</t>
  </si>
  <si>
    <t xml:space="preserve">J D GRANT INC [TRI; 30 m]</t>
  </si>
  <si>
    <t xml:space="preserve">EURO SERVICE LLC</t>
  </si>
  <si>
    <t xml:space="preserve">S01510</t>
  </si>
  <si>
    <t xml:space="preserve">762 WYANDOT ST</t>
  </si>
  <si>
    <t xml:space="preserve">ROCKY MOUNTAIN ELECTRONICS INC 3272 MISC CONCRETE PRODUCTS AC SCHAEFER PRES (1967; SIC 3679) | TEL TRON ENC. (1970; SIC 3679,3573)</t>
  </si>
  <si>
    <t xml:space="preserve">ROCKY MOUNTAIN ELECTRONICS INC 3272 MISC CONCRETE PRODUCTS AC SCHAEFER PRES (1967) | TEL TRON ENC. (1970) | ADVANTAGE PRINTING CENTERS INC (1974)</t>
  </si>
  <si>
    <t xml:space="preserve">LINCOLN PLATING CO [FRS; 153 m] | LINCOLN PLATING CO - DENVER CENTRAL [TRI; 191 m]</t>
  </si>
  <si>
    <t xml:space="preserve">DENVER BUMPER WORKS INC [FRS; 86 m] | CINTAS CORPORATION  [CDPHE RCRA; 101 m] | KATZSON BROTHERS INC [CDPHE RCRA; 101 m] | TIMKEN MOTOR &amp; CRANE SERVICES LLC (WAZEE) [FRS; 192 m] | AUTO HAUS OF COLORADO DBA TRAILER MADE CUSTOM TRAILERS LLC [FRS; 212 m] | E N MURRAY CO INC [FRS; 220 m] | OLD WESTERN PAINT CO INC [FRS; 222 m] | STADIUM AUTO PARTS [FRS; 241 m]</t>
  </si>
  <si>
    <t xml:space="preserve">FEDERAL BOULEVARD [FRS; 93 m] | PEPPERDINES PRINTING [FRS; 173 m] | UFP TECHNOLOGIES MAIN BUILDING [FRS; 220 m] | CUSTOM EDGE MARBLE &amp; GRANITE LLC [FRS; 229 m]</t>
  </si>
  <si>
    <t xml:space="preserve">S01697</t>
  </si>
  <si>
    <t xml:space="preserve">355 YUMA</t>
  </si>
  <si>
    <t xml:space="preserve">1968;1970;1980;1988;1990;1992</t>
  </si>
  <si>
    <t xml:space="preserve">AIRWAY INC (1968-1970; SIC 3444) | STUART RADIATOR CO. (1980; SIC 3714) | MODINE- WESTERN INC (1988-1992; SIC 3714)</t>
  </si>
  <si>
    <t xml:space="preserve">AIRWAY INC (1968) | KEY PRODUCTS. INC. (1980) | STUART RADIATOR CO. (1980) | JACKSON ICE CREAM CO INC (1983) | DATATRAN CORP (1988) | LITHOGRAPHIC KEY PRODUCTS INC (1988) | MODINE- WESTERN INC (1988)</t>
  </si>
  <si>
    <t xml:space="preserve">JACKSON ICE CREAM [TRI; name match, 218 m] | VISTA-PRO AUTOMOTIVE LLC [FRS; 14 m] | NRG RELIABILTY - ZIEGENFELDER [FRS; 66 m]</t>
  </si>
  <si>
    <t xml:space="preserve">ACCU-TUBE, LLC [FRS; 14 m]</t>
  </si>
  <si>
    <t xml:space="preserve">S01711</t>
  </si>
  <si>
    <t xml:space="preserve">1550 S BANNOCK ST</t>
  </si>
  <si>
    <t xml:space="preserve">BISHOP TOOL CO (1968; SIC 3591)</t>
  </si>
  <si>
    <t xml:space="preserve">BISHOP TOOL CO (1968)</t>
  </si>
  <si>
    <t xml:space="preserve">CYCLO MANUFACTURING CO [FRS; 115 m] | WOODWORKERS OF DENVER INC [TRI; 155 m] | WOODWORKERS OF DENVER INC [FRS; 156 m] | CYCLO MANUFACTURING CO [TRI; 222 m]</t>
  </si>
  <si>
    <t xml:space="preserve">ABACUS CABINETRY INC [FRS; 150 m] | DENVER OIL LLC [FRS; 209 m]</t>
  </si>
  <si>
    <t xml:space="preserve">BELLAGIO STONE INC. [FRS; 130 m] | AJS HOLDINGS, LLC [FRS; 156 m] | SWEET LEAF [FRS; 156 m] | FOR NONE INC. [FRS; 162 m] | W IOWA AVE UNDERPASS SIDEWALK IMPROVEMENTS [FRS; 187 m] | W. IOWA AVE UNDERPASS SIDEWALK IMPROVEMENTS [FRS; 207 m] | CIRCLE K STORES - STORE #3290 [FRS; 226 m] | OMNIPRO GROUP CORP. [FRS; 243 m] | S BROADWAY RECONSTRUCTION [FRS; 245 m] | FLORIDA OUTFALL EXTENSION [FRS; 245 m] </t>
  </si>
  <si>
    <t xml:space="preserve">ABACUS CABINETRY INC</t>
  </si>
  <si>
    <t xml:space="preserve">S01714</t>
  </si>
  <si>
    <t xml:space="preserve">781 UMATILLA</t>
  </si>
  <si>
    <t xml:space="preserve">COLORADO ANCDIZERS INC (1968-1983; SIC 3471) | CAI TECHNOLOGIES (1990; SIC 3471)</t>
  </si>
  <si>
    <t xml:space="preserve">COLORADO ANCDIZERS INC (1968) | CAI TECHNOLOGIES (1990)</t>
  </si>
  <si>
    <t xml:space="preserve">LINCOLN PLATING CO - DENVER CENTRAL [TRI; 39 m] | LINCOLN PLATING CO [FRS; 43 m]</t>
  </si>
  <si>
    <t xml:space="preserve">PEPPERDINES PRINTING [FRS; 27 m]</t>
  </si>
  <si>
    <t xml:space="preserve">AUTO HAUS OF COLORADO DBA TRAILER MADE CUSTOM TRAILERS LLC</t>
  </si>
  <si>
    <t xml:space="preserve">S01734</t>
  </si>
  <si>
    <t xml:space="preserve">3240 WALNUT ST</t>
  </si>
  <si>
    <t xml:space="preserve">DENVER SCREEN PRODUCTS (1968-1970; SIC 3442)</t>
  </si>
  <si>
    <t xml:space="preserve">DENVER SCREEN PRODUCTS (1968)</t>
  </si>
  <si>
    <t xml:space="preserve">DENVER SANITARY CO. - DENVER PUMPERS LLC [FRS; 78 m]</t>
  </si>
  <si>
    <t xml:space="preserve">S04706</t>
  </si>
  <si>
    <t xml:space="preserve">745 VALLEJO</t>
  </si>
  <si>
    <t xml:space="preserve">1968;1970;1977;1980;1983;1990;1992</t>
  </si>
  <si>
    <t xml:space="preserve">DENVER WIRE WORKS (1968-1990; SIC 3481) | DENVER INDUSTRIAL PLASTICS INC (1990-1992; SIC 3089)</t>
  </si>
  <si>
    <t xml:space="preserve">DENVER WIRE WORKS (1968) | AMERICAN=WEST PRINTING CORP (1983) | LITHOGRAPHIC SMRANE CORE (1988) | DENVER INDUSTRIAL PLASTICS INC (1990)</t>
  </si>
  <si>
    <t xml:space="preserve">LINCOLN PLATING CO [FRS; 65 m] | LINCOLN PLATING CO - DENVER CENTRAL [TRI; 107 m]</t>
  </si>
  <si>
    <t xml:space="preserve">S02225</t>
  </si>
  <si>
    <t xml:space="preserve">5201 FOX ST</t>
  </si>
  <si>
    <t xml:space="preserve">FRY» LLOYD A, ROOFING CO 3822 ENVIRONMENTAL CONTROLS (1973; SIC 2952) | FRY, LLOYD Ay ROOFING CO (1974; SIC 2952) | OWENS-CORNING FIBERGLASS CORP: (1990; SIC 2952)</t>
  </si>
  <si>
    <t xml:space="preserve">FRY» LLOYD A, ROOFING CO 3822 ENVIRONMENTAL CONTROLS (1973) | FRY, LLOYD Ay ROOFING CO (1974) | OWENS-CORNING FIBERGLASS CORP: (1990)</t>
  </si>
  <si>
    <t xml:space="preserve">OWENS CORNING - DENVER ROOFING PLANT [FRS] (address match) | OWENS CORNING ROOFING &amp; ASPHALT LLC [TRI] (address match)</t>
  </si>
  <si>
    <t xml:space="preserve">B&amp;B BLENDING INC [FRS; 28 m] | OWENS-CORNING ROOFING AND ASPHALT LLC [CDPHE RCRA] (address match)</t>
  </si>
  <si>
    <t xml:space="preserve">OWENS CORNING ROOFING AND ASPHALT [FRS] (address match)</t>
  </si>
  <si>
    <t xml:space="preserve">KOPPERS INDUSTRIES INC</t>
  </si>
  <si>
    <t xml:space="preserve">OWENS CORNING - DENVER ROOFING PLANT</t>
  </si>
  <si>
    <t xml:space="preserve">B&amp;B BLENDING INC</t>
  </si>
  <si>
    <t xml:space="preserve">S02410</t>
  </si>
  <si>
    <t xml:space="preserve">4999 KINGSTON ST</t>
  </si>
  <si>
    <t xml:space="preserve">B + R PLASTIC INC. (1973-1990; SIC 3079) | LETTERHEADS B+R PLASTIC INC (1988; SIC 3089,3544)</t>
  </si>
  <si>
    <t xml:space="preserve">B + R PLASTIC INC. (1973) | . RAL INDUSTRIAL RAC MAI RRCULIERY MEG eae MACHINERY. i“ EX’ (1977) | FEDERAL ENVELOPE, DIV OF CHAMPION INTL (1980) | LETTERHEADS B+R PLASTIC INC (1988) | DIV OF AMER ENVELOP D.B.A.-AMERICAN ENVELOPE CO (1988) | FEDERAL ENVELOPE DIV, AMER ENVELOPE (1990)</t>
  </si>
  <si>
    <t xml:space="preserve">JP LAMBORN CO [FRS; 83 m]</t>
  </si>
  <si>
    <t xml:space="preserve">SPRINT DENVER INC. [FRS] (address match)</t>
  </si>
  <si>
    <t xml:space="preserve">B &amp; R PLASTIC INC [FRS] (address match) | PHM BRANDS, LLC [FRS] (address match)</t>
  </si>
  <si>
    <t xml:space="preserve">JP LAMBORN CO</t>
  </si>
  <si>
    <t xml:space="preserve">VARI-L COMPANY INC</t>
  </si>
  <si>
    <t xml:space="preserve">S02416</t>
  </si>
  <si>
    <t xml:space="preserve">1361 S BROADWAY</t>
  </si>
  <si>
    <t xml:space="preserve">BEVERLY DEVELOPMENT CORP (1973-1974; SIC 3714,3079) | SEVERLY DEVELOPRENT CORP (1980; SIC 3714,2394) | BDCO (1988-1990; SIC 3713,3799)</t>
  </si>
  <si>
    <t xml:space="preserve">BEVERLY DEVELOPMENT CORP (1973) | SEVERLY DEVELOPRENT CORP (1980) | BDCO (1988)</t>
  </si>
  <si>
    <t xml:space="preserve">SASHCO INC [TRI; 91 m]</t>
  </si>
  <si>
    <t xml:space="preserve">LARSEN DEVELOPMENT COMPANY [FRS; 13 m] | LARSEN DEVELOPMENT COMPANY [FRS] (address match)</t>
  </si>
  <si>
    <t xml:space="preserve">S02439</t>
  </si>
  <si>
    <t xml:space="preserve">11155 E 45 AVE</t>
  </si>
  <si>
    <t xml:space="preserve">1973;1974;1977;1983;1990</t>
  </si>
  <si>
    <t xml:space="preserve">DAHLSTROM MFG CORP (1973; SIC 3444) | POWERS METAL PRODUCTS INC (1974; SIC 3444) | WESTERN WIRE OF CILD INC (1977-1990; SIC 3469,3496)</t>
  </si>
  <si>
    <t xml:space="preserve">DAHLSTROM MFG CORP (1973) | POWERS METAL PRODUCTS INC (1974) | WESTERN WIRE OF CILD INC (1977)</t>
  </si>
  <si>
    <t xml:space="preserve">MILE HIGH EQUIPMENT CO [FRS; 58 m]</t>
  </si>
  <si>
    <t xml:space="preserve">WESTERN WIRE [FRS; name match, 24 m]</t>
  </si>
  <si>
    <t xml:space="preserve">Samsonite</t>
  </si>
  <si>
    <t xml:space="preserve">MILE HIGH EQUIPMENT CO</t>
  </si>
  <si>
    <t xml:space="preserve">WESTERN WIRE</t>
  </si>
  <si>
    <t xml:space="preserve">S02441</t>
  </si>
  <si>
    <t xml:space="preserve">2611 W 6 AVE</t>
  </si>
  <si>
    <t xml:space="preserve">DENVER AIR MACHINERY CO (1973-1974; SIC 3591)</t>
  </si>
  <si>
    <t xml:space="preserve">DENVER AIR MACHINERY CO (1973) | KSBN Sr ESzoRADO (1988) | POLICE PROTECTIVE ASSN OF COLORADO (1990)</t>
  </si>
  <si>
    <t xml:space="preserve">ROBINSON DAIRY INC [FRS; 102 m]</t>
  </si>
  <si>
    <t xml:space="preserve">RYDER TRUCK RENTAL [FRS; 135 m] | SQUARE D COMPANY [FRS; 153 m]</t>
  </si>
  <si>
    <t xml:space="preserve">2401 W 6TH AVE LLC [FRS; 102 m] | ROBINSON DAIRY INC [FRS; 108 m] | DENVER WATER PVC INSTALL DECATUR ST [FRS; 112 m] | CDOT NHPP 006A 066 [FRS; 163 m] | BILL Q DAU - BRYANT CONVENIENCE [FRS; 181 m] | AGRICULTURAL INDUSTRIAL CHEMICALS [FRS; 181 m] | GOOD SHEPHERD SCHOOL [FRS; 205 m]</t>
  </si>
  <si>
    <t xml:space="preserve">S02472</t>
  </si>
  <si>
    <t xml:space="preserve">4050 GLOBEVILLE RD</t>
  </si>
  <si>
    <t xml:space="preserve">KOHL + MADDEN PRINTING INK CORP (1973-1980; SIC 2893)</t>
  </si>
  <si>
    <t xml:space="preserve">KOHL + MADDEN PRINTING INK CORP (1973)</t>
  </si>
  <si>
    <t xml:space="preserve">COLORADO PETROLEUM [TRI; 42 m]</t>
  </si>
  <si>
    <t xml:space="preserve">COLORADO PETROLEUM PRODUCTS CO [FRS; 34 m]</t>
  </si>
  <si>
    <t xml:space="preserve">COLORADO PETROLEUM</t>
  </si>
  <si>
    <t xml:space="preserve">S02979</t>
  </si>
  <si>
    <t xml:space="preserve">1146 S KALAMATH</t>
  </si>
  <si>
    <t xml:space="preserve">MOUNTAIN MARINE INC (1973-1974; SIC 3732) | SPORTSMAN MFG CO (1974; SIC 3751,3429)</t>
  </si>
  <si>
    <t xml:space="preserve">MOUNTAIN MARINE INC (1973) | SPORTSMAN MFG CO (1974) | ERGN POT BAKERY INC (1980) | JACKSON SOUND PRODUCTIONS LTD (1980) | TRON POT BAKERY INC (1983) | NATIONAL BARRICADE COMPANY OF DENVER INC (1983) | WESTLAND LUGGAGE CO (1988) | AMERICAN DRUM CO (1990)</t>
  </si>
  <si>
    <t xml:space="preserve">PHARMACEUTICAL BASICS INC [TRI; 95 m]</t>
  </si>
  <si>
    <t xml:space="preserve">DILLEY GRAPHICS INC [FRS; 56 m] | MASTER COLLISION [CDPHE RCRA; 81 m] | OAK STREET MOTORS INC [CDPHE RCRA; 81 m]</t>
  </si>
  <si>
    <t xml:space="preserve">AVALANCHE AUTO PARTS [FRS; 25 m]</t>
  </si>
  <si>
    <t xml:space="preserve">DILLEY GRAPHICS INC</t>
  </si>
  <si>
    <t xml:space="preserve">S02766</t>
  </si>
  <si>
    <t xml:space="preserve">11155 E 47TH AVE</t>
  </si>
  <si>
    <t xml:space="preserve">GRUNDY INDUSTRIES INC (1983-1990; SIC 2851) | ADVERTISING GRUNDY INDUSTRIES (1988; SIC 2851)</t>
  </si>
  <si>
    <t xml:space="preserve">COMPONENT DEVELCPMENT CO (1974) | GRUNDY INDUSTRIES INC (1983) | ADVERTISING GRUNDY INDUSTRIES (1988)</t>
  </si>
  <si>
    <t xml:space="preserve">HENRY CO GRUNDY INDUSTRIES [TRI; name match, 22 m] | HENRY COMPANY [FRS; 28 m] | CARGILL, INC. [FRS; 34 m] | HENRY COMPANY [FRS] (address match) | HENRY CO GRUNDY INDUSTRIES [TRI] (address match)</t>
  </si>
  <si>
    <t xml:space="preserve">S02768</t>
  </si>
  <si>
    <t xml:space="preserve">4939 E 39TH AVE</t>
  </si>
  <si>
    <t xml:space="preserve">CHEMPAK INDUSTRIES (1990; SIC 2841,2843)</t>
  </si>
  <si>
    <t xml:space="preserve">GENERAL CUSHIONING (1974) | CHEMPAK INDUSTRIES (1990)</t>
  </si>
  <si>
    <t xml:space="preserve">KIK (DENVER) LLC [TRI; 67 m] | KIK INCORPORATED [FRS; 78 m]</t>
  </si>
  <si>
    <t xml:space="preserve">BC PRINTING [FRS; 8 m] | HILEX [FRS; 22 m]</t>
  </si>
  <si>
    <t xml:space="preserve">KIK (DENVER), LLC [FRS; 0 m]</t>
  </si>
  <si>
    <t xml:space="preserve">BC PRINTING</t>
  </si>
  <si>
    <t xml:space="preserve">S02868</t>
  </si>
  <si>
    <t xml:space="preserve">5005 E 39TH AVE</t>
  </si>
  <si>
    <t xml:space="preserve">CMI/CHAMPION (1974; SIC 3531)</t>
  </si>
  <si>
    <t xml:space="preserve">CMI/CHAMPION (1974) | LA HACIENDA-MILLA ALTA (1980) | MILLA ALTA FOOD PRODUCTS INC (1980) | MAC PUBLISHING (1990)</t>
  </si>
  <si>
    <t xml:space="preserve">KIK (DENVER) LLC [TRI; 105 m]</t>
  </si>
  <si>
    <t xml:space="preserve">THAN/HARCROS/ELEMNTIS [FRS; 40 m]</t>
  </si>
  <si>
    <t xml:space="preserve">HARCROS CHEMICALS INCORPORATED [FRS; 40 m] | T H AGRICULTURE &amp; NUTRITION LLC [FRS; 40 m]</t>
  </si>
  <si>
    <t xml:space="preserve">THAN/HARCROS/ELEMNTIS</t>
  </si>
  <si>
    <t xml:space="preserve">S02952</t>
  </si>
  <si>
    <t xml:space="preserve">2045 W 8TH AVE</t>
  </si>
  <si>
    <t xml:space="preserve">NEW VENTURE CC.» THE (1974-1990; SIC 3751)</t>
  </si>
  <si>
    <t xml:space="preserve">NEW VENTURE CC.» THE (1974)</t>
  </si>
  <si>
    <t xml:space="preserve">LINCOLN PLATING CO - DENVER CENTRAL [TRI; 82 m]</t>
  </si>
  <si>
    <t xml:space="preserve">AUTO HAUS OF COLORADO DBA TRAILER MADE CUSTOM TRAILERS LLC [FRS; 13 m]</t>
  </si>
  <si>
    <t xml:space="preserve">S02954</t>
  </si>
  <si>
    <t xml:space="preserve">2301 S DELAWARE</t>
  </si>
  <si>
    <t xml:space="preserve">PPG INDUSTRIES» INC. (1974; SIC 3442,3444)</t>
  </si>
  <si>
    <t xml:space="preserve">PPG INDUSTRIES» INC. (1974) | ASARCH PRINTING (1980) | WOODCRAFT UNUMITED INC. (1992)</t>
  </si>
  <si>
    <t xml:space="preserve">PROTECTO WRAP CO [FRS; 69 m]</t>
  </si>
  <si>
    <t xml:space="preserve">WOODCRAFT UNLIMITED INC [FRS; name match, 48 m]</t>
  </si>
  <si>
    <t xml:space="preserve">WOODCRAFT UNLIMITED INC</t>
  </si>
  <si>
    <t xml:space="preserve">S02984</t>
  </si>
  <si>
    <t xml:space="preserve">4595 STAPLETON OR N</t>
  </si>
  <si>
    <t xml:space="preserve">SUBTERRANEAN TOOLS, INC (1974; SIC 3532)</t>
  </si>
  <si>
    <t xml:space="preserve">SUBTERRANEAN TOOLS, INC (1974)</t>
  </si>
  <si>
    <t xml:space="preserve">DENVER DISTRIBUTION CENTER [FRS; 3 m] | SAFEWAY DISTRIBUTION CENTER [TRI; 52 m]</t>
  </si>
  <si>
    <t xml:space="preserve">AMERICAN AIRLINES [FRS; 139 m]</t>
  </si>
  <si>
    <t xml:space="preserve">AERIDYNE, INC. [FRS; 75 m] | WALL BEDS UNLIMITED RAINTREE [FRS; 175 m]</t>
  </si>
  <si>
    <t xml:space="preserve">S03309</t>
  </si>
  <si>
    <t xml:space="preserve">4300 FOREST ST</t>
  </si>
  <si>
    <t xml:space="preserve">MILE HIGH PAPER CO (1980-1983; SIC 2653,2641,3315)</t>
  </si>
  <si>
    <t xml:space="preserve">MILE HIGH PAPER CO (1977)</t>
  </si>
  <si>
    <t xml:space="preserve">SAFEWAY MILK PLANT [FRS; 15 m] | STEMCO MFG [FRS; 17 m]</t>
  </si>
  <si>
    <t xml:space="preserve">NATIONAL TRANSMISSION INC [CDPHE RCRA; 30 m] | DENVER METAL FINISHING [CDPHE RCRA; 30 m]</t>
  </si>
  <si>
    <t xml:space="preserve">SAFEWAY INC DENVER MILK [FRS; 2 m] | DISASTER RESTORATION [FRS; 17 m]</t>
  </si>
  <si>
    <t xml:space="preserve">NATIONAL TRANSMISSION INC</t>
  </si>
  <si>
    <t xml:space="preserve">S03318</t>
  </si>
  <si>
    <t xml:space="preserve">4295 KEARNEY ST</t>
  </si>
  <si>
    <t xml:space="preserve">REEVES PLASTIC PIPE CO (1977-1983; SIC 3079)</t>
  </si>
  <si>
    <t xml:space="preserve">REEVES PLASTIC PIPE CO (1977)</t>
  </si>
  <si>
    <t xml:space="preserve">US GREENFIBER LLC [FRS; 51 m]</t>
  </si>
  <si>
    <t xml:space="preserve">DENVER TRANSFER FACILITY [CDPHE RCRA; 34 m] | ADVANCED CHEMICAL TRANSPORT LLC [CDPHE RCRA; 34 m] | ADVANCED CHEMICAL TRANSPORT LLC [FRS; 34 m] | DENVER TRANSFER FACILITY [FRS; 34 m] | ADVANCED CHEMICAL TRANSPORT LLC [FRS] (address match) | ADVANCED CHEMICAL TRANSPORT LLC [CDPHE RCRA] (address match)</t>
  </si>
  <si>
    <t xml:space="preserve">DENVER TRANSFER FACILITY</t>
  </si>
  <si>
    <t xml:space="preserve">S03336</t>
  </si>
  <si>
    <t xml:space="preserve">1420 WW 6 AVE</t>
  </si>
  <si>
    <t xml:space="preserve">TOOL FACTORY THE (1977; SIC 3544)</t>
  </si>
  <si>
    <t xml:space="preserve">TOOL FACTORY THE (1977)</t>
  </si>
  <si>
    <t xml:space="preserve">CALIFORNIA EXPANDED METALS CO [TRI; 164 m] | CALIFORNIA EXPANDED METALS CO [FRS; 218 m]</t>
  </si>
  <si>
    <t xml:space="preserve">UNION PACIFIC RAILROAD CO. -BURNHAM SHOP [FRS; 101 m] | PPG INDUSTRIES INC [FRS; 126 m] | THE  GLIDDEN CO [CDPHE RCRA; 142 m] | WHITE CAP LTD (WC504) [CDPHE RCRA; 142 m] | THE  GLIDDEN CO [FRS; 155 m] | 701 OSAGE OWNER LLC [FRS; 228 m] | WHITE CAP LTD (WC504) [FRS; 228 m] | SEARS #45416 [FRS; 228 m] | UNION PACIFIC RR  CO BURNHAM SHOPS [CDPHE RCRA; 232 m]</t>
  </si>
  <si>
    <t xml:space="preserve">JOHN PHILLIPS PRINTING [FRS; 133 m] | DENVER WATER WEST SIDE COMPLEX FIBER OPTIC CABLE INSTALLATION [FRS; 155 m] | STONE SYSTEMS [FRS; 156 m] | CO DENVER OSAGE SELF STORAGE [FRS; 166 m] | RIO GRANDE CO RESIDENTIAL PRODCTS DIV [FRS; 179 m] | OSAGE SELF STORAGE [FRS; 228 m] | UNION PACIFIC RAILROAD CO. - BURNHAM RAILYARD [FRS; 228 m] | BURNHAM SHOPS [FRS; 228 m] | UNION PACIFIC RAILROAD COMPANY [FRS</t>
  </si>
  <si>
    <t xml:space="preserve">UNION PACIFIC RAILROAD CO. -BURNHAM SHOP</t>
  </si>
  <si>
    <t xml:space="preserve">S03600</t>
  </si>
  <si>
    <t xml:space="preserve">5680 EMERSON</t>
  </si>
  <si>
    <t xml:space="preserve">HOLLY ENGINEERING + AFG INC (1980; SIC 3544,3599)</t>
  </si>
  <si>
    <t xml:space="preserve">HOLLY ENGINEERING + AFG INC (1980)</t>
  </si>
  <si>
    <t xml:space="preserve">CARDINAL INDL FINISHES INC [TRI; 76 m]</t>
  </si>
  <si>
    <t xml:space="preserve">MTN STATES BATTERY SERVICE (DELETED 90) [FRS; 23 m]</t>
  </si>
  <si>
    <t xml:space="preserve">MTN STATES BATTERY SERVICE (DELETED 90)</t>
  </si>
  <si>
    <t xml:space="preserve">S03618</t>
  </si>
  <si>
    <t xml:space="preserve">383 W 56TH AVE</t>
  </si>
  <si>
    <t xml:space="preserve">Chemicals; Petroleum refining; Transportation equipment</t>
  </si>
  <si>
    <t xml:space="preserve">TEAGUE EQUIPMENT CO (1980-1990; SIC 3713) | ANNOUNCEMENTS, FOLD PAR INDUSTRIES INC (1988; SIC 2834,2875,2899)</t>
  </si>
  <si>
    <t xml:space="preserve">TEAGUE EQUIPMENT CO (1980) | ANNOUNCEMENTS, FOLD PAR INDUSTRIES INC (1988)</t>
  </si>
  <si>
    <t xml:space="preserve">KOPPERS INC (DENVER CO) [FRS; 115 m] | UNIVAR SOLUTIONS USA INC [FRS; 120 m]</t>
  </si>
  <si>
    <t xml:space="preserve">LAYTON TRUCK EQUIPMENT LLC [FRS; 11 m] | ENERGY REPAIR SERVICE INC [FRS; 46 m] | LAYTON TRUCK EQUIPMENT LLC [FRS] (address match)</t>
  </si>
  <si>
    <t xml:space="preserve">DYNAMIC-SOLUTIONS [FRS; 2 m] | AIRVAC SERVICES [FRS; 11 m] | DENVER SYRUP AND BAR SUPPLY INCORPORATED [FRS; 51 m] | KOPPERS [FRS; 56 m] | AIRVAC SERVICES [FRS] (address match)</t>
  </si>
  <si>
    <t xml:space="preserve">KOPPERS INC (DENVER CO)</t>
  </si>
  <si>
    <t xml:space="preserve">LAYTON TRUCK EQUIPMENT LLC</t>
  </si>
  <si>
    <t xml:space="preserve">S03849</t>
  </si>
  <si>
    <t xml:space="preserve">2277 S CHEROKEE</t>
  </si>
  <si>
    <t xml:space="preserve">WLUMINUM BUILOING PRODUCES, INC (1980; SIC 3442,3448,3446)</t>
  </si>
  <si>
    <t xml:space="preserve">WLUMINUM BUILOING PRODUCES, INC (1980)</t>
  </si>
  <si>
    <t xml:space="preserve">PROTECTO WRAP CO [TRI; 41 m]</t>
  </si>
  <si>
    <t xml:space="preserve">HARVARD GULCH MUNICIPAL GOLF COURSE</t>
  </si>
  <si>
    <t xml:space="preserve">S03856</t>
  </si>
  <si>
    <t xml:space="preserve">7900 E 40TH AVE</t>
  </si>
  <si>
    <t xml:space="preserve">8 ¢ D BRAKE SUPPLY CO INC (1980; SIC 3714)</t>
  </si>
  <si>
    <t xml:space="preserve">8 ¢ D BRAKE SUPPLY CO INC (1980)</t>
  </si>
  <si>
    <t xml:space="preserve">FINTECH INC [FRS; 76 m]</t>
  </si>
  <si>
    <t xml:space="preserve">PHILIP SERVICES CORPORATION [FRS; 20 m] | BANNER MFG CO LLC [FRS; 33 m] | BANNER MFG CO LLC [FRS] (address match)</t>
  </si>
  <si>
    <t xml:space="preserve">DEAN ENTERPRISES [FRS; 33 m] | DEAN ENTERPRISES [FRS] (address match)</t>
  </si>
  <si>
    <t xml:space="preserve">S03877</t>
  </si>
  <si>
    <t xml:space="preserve">1331 30TH ST</t>
  </si>
  <si>
    <t xml:space="preserve">RAINTREE WOOD PRODUCTS (1988; SIC 2511,2047,3421)</t>
  </si>
  <si>
    <t xml:space="preserve">COLGRADQ DESIGN CONCEPTS (1980) | RAINTREE WOOD PRODUCTS (1988)</t>
  </si>
  <si>
    <t xml:space="preserve">AAA PLATING INC [TRI; 63 m]</t>
  </si>
  <si>
    <t xml:space="preserve">SPRUNG CONSTRUCTION [FRS; 34 m]</t>
  </si>
  <si>
    <t xml:space="preserve">S03920</t>
  </si>
  <si>
    <t xml:space="preserve">4410 WASHINGTON ST</t>
  </si>
  <si>
    <t xml:space="preserve">RELATED PRODUCTS DAWN INDUSTRIES INC (1988; SIC 3541) | DAWN INDUSTRIES INC (1990; SIC 3088)</t>
  </si>
  <si>
    <t xml:space="preserve">FEATHERWORKS CORPORATION (1980) | RELATED PRODUCTS DAWN INDUSTRIES INC (1988) | DAWN INDUSTRIES INC (1990)</t>
  </si>
  <si>
    <t xml:space="preserve">READY MIXED CONCRETE CO - PLANT 1 [FRS; 4 m]</t>
  </si>
  <si>
    <t xml:space="preserve">DAWN INDUSTRIES [FRS; name match, 117 m] | ON-CALL STRUCTURAL&amp;SAFETY REPS [FRS; 34 m]</t>
  </si>
  <si>
    <t xml:space="preserve">PEARL STREET BROWNFIELDS PROJECT</t>
  </si>
  <si>
    <t xml:space="preserve">S03958</t>
  </si>
  <si>
    <t xml:space="preserve">4455 E 46TH AVE</t>
  </si>
  <si>
    <t xml:space="preserve">K @ UW METAL FAGRICATORS, INC (1980; SIC 3444,3542) | K + W METAL FABRICATORS» INC ROBERT A THOMAS MANAGER (1983; SIC 3444)</t>
  </si>
  <si>
    <t xml:space="preserve">K @ UW METAL FAGRICATORS, INC (1980) | K + W METAL FABRICATORS» INC ROBERT A THOMAS MANAGER (1983)</t>
  </si>
  <si>
    <t xml:space="preserve">DENVER DISTRIBUTION CENTER [FRS; 90 m]</t>
  </si>
  <si>
    <t xml:space="preserve">S03961</t>
  </si>
  <si>
    <t xml:space="preserve">6700 E STAPLETON OR</t>
  </si>
  <si>
    <t xml:space="preserve">KRESTRARR INDUSTRIES OF COLORADO (1980; SIC 3442)</t>
  </si>
  <si>
    <t xml:space="preserve">KRESTRARR INDUSTRIES OF COLORADO (1980)</t>
  </si>
  <si>
    <t xml:space="preserve">RED SEAL SNACKS [FRS; 209 m]</t>
  </si>
  <si>
    <t xml:space="preserve">3M BUSINESS PRODUCTS SALES CENTER [FRS; 46 m] | VEOLIA ES TECHNICAL SOLUTIONS LLC [CDPHE RCRA; 199 m] | DECORATIVE &amp; COATING SYSTEMS INCORPORATED [FRS; 226 m] | HUGHES DELIVERY SERVICE INC [FRS; 242 m]</t>
  </si>
  <si>
    <t xml:space="preserve">PASSPORT FOODS [FRS; 80 m] | ABUNDANT FOODS LLC [FRS; 80 m] | UTZ QUALITY FOODS DBA CONDOR [FRS; 209 m] | CLASSIC DOORWAYS [FRS; 226 m] | DECORATIVE &amp; COATING SYSTEMS INC [FRS; 226 m]</t>
  </si>
  <si>
    <t xml:space="preserve">S03987</t>
  </si>
  <si>
    <t xml:space="preserve">11100 E 45TH AVE</t>
  </si>
  <si>
    <t xml:space="preserve">WILE HIGH EQUIPMENT CO (1980-1983; SIC 3585) | ICE-O-MATIC. (1990; SIC 3585)</t>
  </si>
  <si>
    <t xml:space="preserve">WILE HIGH EQUIPMENT CO (1980) | ICE-O-MATIC. (1990)</t>
  </si>
  <si>
    <t xml:space="preserve">MILE HIGH EQUIPMENT CO [FRS; name match, 32 m] | MILE HIGH EQUIPMENT CO [FRS] (address match) | MILE HIGH EQUIPMENT LLC [TRI] (address match)</t>
  </si>
  <si>
    <t xml:space="preserve">S04002</t>
  </si>
  <si>
    <t xml:space="preserve">3811 JOLIET ST</t>
  </si>
  <si>
    <t xml:space="preserve">PORTAORILL INCORPORATED (1980-1983; SIC 3533)</t>
  </si>
  <si>
    <t xml:space="preserve">PORTAORILL INCORPORATED (1980)</t>
  </si>
  <si>
    <t xml:space="preserve">CHART STORAGE SYSTEMS - DENVER, INC [FRS; 15 m] | CHART INC [TRI; 25 m] | KWAL-HOWELLS INC ( DBA KWAL PAINT INC) [FRS; 92 m] | CHART STORAGE SYSTEMS - DENVER, INC [FRS] (address match) | CHART INC [TRI] (address match)</t>
  </si>
  <si>
    <t xml:space="preserve">R &amp; S STEEL [FRS; 15 m] | R &amp; S STEEL [FRS] (address match)</t>
  </si>
  <si>
    <t xml:space="preserve">CHART STORAGE SYSTEMS - DENVER, INC</t>
  </si>
  <si>
    <t xml:space="preserve">YOUNG ELEC SIGN</t>
  </si>
  <si>
    <t xml:space="preserve">S04054</t>
  </si>
  <si>
    <t xml:space="preserve">760 UMATILLA ST</t>
  </si>
  <si>
    <t xml:space="preserve">UNITED SIGN Co (1988-1992; SIC 3993,2893)</t>
  </si>
  <si>
    <t xml:space="preserve">UNITEO SIGN CO. (1980) | DENVER NEON (1988)</t>
  </si>
  <si>
    <t xml:space="preserve">LINCOLN PLATING CO - DENVER CENTRAL [TRI; 18 m] | LINCOLN PLATING CO [FRS; 26 m]</t>
  </si>
  <si>
    <t xml:space="preserve">PEPPERDINES PRINTING [FRS; 14 m]</t>
  </si>
  <si>
    <t xml:space="preserve">S04469</t>
  </si>
  <si>
    <t xml:space="preserve">975 E 58TH AVE UNIT A</t>
  </si>
  <si>
    <t xml:space="preserve">COLORADO SILVER STAR (1990; SIC 3199,3369,3364)</t>
  </si>
  <si>
    <t xml:space="preserve">ROCKY MOUNTAIN KITCHEN INC (1983) | PLASTIC PRODUCTS UPHOLSTERY STYLISTS (1988) | COLORADO SILVER STAR (1990) | MCKISSACK PRINTING (1990) | WOODGRAIN INC (1990)</t>
  </si>
  <si>
    <t xml:space="preserve">CARDINAL INDL FINISHES INC [TRI; 72 m]</t>
  </si>
  <si>
    <t xml:space="preserve">MTN STATES BATTERY SERVICE (DELETED 90) [FRS; 34 m]</t>
  </si>
  <si>
    <t xml:space="preserve">J&amp;J PRINTED APPAREL [FRS; 12 m] | ACTION GRAPHICS - CANCELLED [FRS] (address match)</t>
  </si>
  <si>
    <t xml:space="preserve">S04697</t>
  </si>
  <si>
    <t xml:space="preserve">3615 FOREST ST</t>
  </si>
  <si>
    <t xml:space="preserve">AwZ SALES CORP. (1983; SIC 3993,3079)</t>
  </si>
  <si>
    <t xml:space="preserve">AwZ SALES CORP. (1983)</t>
  </si>
  <si>
    <t xml:space="preserve">SAFEWAY MILK PLANT [TRI; 58 m]</t>
  </si>
  <si>
    <t xml:space="preserve">S04698</t>
  </si>
  <si>
    <t xml:space="preserve">2219 S JASON</t>
  </si>
  <si>
    <t xml:space="preserve">ACCURATE MACHINING (1983; SIC 3599,3441) | PROGRESSIVE TOOL + DIEs INC. (1983; SIC 3544,3542)</t>
  </si>
  <si>
    <t xml:space="preserve">ACCURATE MACHINING (1983) | PROGRESSIVE TOOL + DIEs INC. (1983)</t>
  </si>
  <si>
    <t xml:space="preserve">J D GRANT INCORPORATED [FRS; 3 m]</t>
  </si>
  <si>
    <t xml:space="preserve">ACCURATE MACHINING INC [FRS; name match, 116 m] | AUTOMOTIVE RESTYLING CENTER [FRS; 3 m]</t>
  </si>
  <si>
    <t xml:space="preserve">S04730</t>
  </si>
  <si>
    <t xml:space="preserve">10685 E 51ST AVE</t>
  </si>
  <si>
    <t xml:space="preserve">CHEMICAL SYSTEMS TECHNOLOGY INC. (1983-1990; SIC 2841,2842,2619)</t>
  </si>
  <si>
    <t xml:space="preserve">CHEMICAL SYSTEMS TECHNOLOGY INC. (1983)</t>
  </si>
  <si>
    <t xml:space="preserve">CHEMICAL SYS TECHNOLOGY INC [FRS; name match, 1 m] | CHEMICAL SYSTEMS TECHNOLOGY INC [TRI; name match, 67 m] | BRITE-LINE LLC - BRITE-LINE LLC [FRS; 92 m] | CHEMICAL SYS TECHNOLOGY INC [FRS] (address match) | CHEMICAL SYSTEMS TECHNOLOGY INC [TRI] (address match)</t>
  </si>
  <si>
    <t xml:space="preserve">AFGO LABORATORIES INC [FRS; 2 m]</t>
  </si>
  <si>
    <t xml:space="preserve">CHEMICAL SYS TECHNOLOGY INC</t>
  </si>
  <si>
    <t xml:space="preserve">COMMERCIAL TESTING &amp; ENGR CO</t>
  </si>
  <si>
    <t xml:space="preserve">S04732</t>
  </si>
  <si>
    <t xml:space="preserve">11295 E 51ST AVE</t>
  </si>
  <si>
    <t xml:space="preserve">COLE MANUFACTURING CORP (1983-1990; SIC 3599,3429,3714)</t>
  </si>
  <si>
    <t xml:space="preserve">COLE MANUFACTURING CORP (1983)</t>
  </si>
  <si>
    <t xml:space="preserve">PEASE INDUSTRIES INC [TRI; 73 m]</t>
  </si>
  <si>
    <t xml:space="preserve">COLE MFG CORP [FRS; name match, 61 m] | COLORADOS BEST [FRS; 26 m] | COLE MFG CORP [FRS] (address match)</t>
  </si>
  <si>
    <t xml:space="preserve">PEASE INDUSTRIES INC</t>
  </si>
  <si>
    <t xml:space="preserve">COLORADOS BEST</t>
  </si>
  <si>
    <t xml:space="preserve">S04738</t>
  </si>
  <si>
    <t xml:space="preserve">2237 S JASON ST</t>
  </si>
  <si>
    <t xml:space="preserve">COLORADO SURFACE GRINDING INC (1983; SIC 3599) | COLORADO SURFACE GRINDING INC (1988-1990; SIC 3599)</t>
  </si>
  <si>
    <t xml:space="preserve">COLORADO SURFACE GRINDING INC (1983) | COLORADO SURFACE GRINDING INC (1988)</t>
  </si>
  <si>
    <t xml:space="preserve">J D GRANT INCORPORATED [FRS; 41 m]</t>
  </si>
  <si>
    <t xml:space="preserve">S04756</t>
  </si>
  <si>
    <t xml:space="preserve">4670 HOLLY ST</t>
  </si>
  <si>
    <t xml:space="preserve">ENERGY THERMAL SYSTEMS INC (1983-1988; SIC 2661,3079)</t>
  </si>
  <si>
    <t xml:space="preserve">ENERGY THERMAL SYSTEMS INC (1983)</t>
  </si>
  <si>
    <t xml:space="preserve">EFI POLYMERS [FRS; 33 m] | FIRESTONE BUILDING PRODUCTS CO [FRS; 43 m] | CARPENTER COMPANY INC [FRS; 85 m] | FIRESTONE BUILDING PRODUCTS CO [FRS] (address match) | FIRESTONE BUILDING PRODUCTS CO [TRI] (address match)</t>
  </si>
  <si>
    <t xml:space="preserve">ARISTOKRAFT DIST CTR #27 [FRS; 37 m] | COOPER LIGHTING INC [FRS; 37 m]</t>
  </si>
  <si>
    <t xml:space="preserve">ARISTOKRAFT DIST CTR #27</t>
  </si>
  <si>
    <t xml:space="preserve">S04763</t>
  </si>
  <si>
    <t xml:space="preserve">5353 FRANKLIN</t>
  </si>
  <si>
    <t xml:space="preserve">HAUSMAN STEEL CORP (1983; SIC 3449)</t>
  </si>
  <si>
    <t xml:space="preserve">HAUSMAN STEEL CORP (1983)</t>
  </si>
  <si>
    <t xml:space="preserve">CMC REBAR INC [FRS; 1 m]</t>
  </si>
  <si>
    <t xml:space="preserve">CMC REBAR INC [FRS; 1 m] | MAVERICK RANCH [FRS; 12 m]</t>
  </si>
  <si>
    <t xml:space="preserve">PSCO  - CHEROKEE STATION</t>
  </si>
  <si>
    <t xml:space="preserve">S04774</t>
  </si>
  <si>
    <t xml:space="preserve">3900 JOLIET ST</t>
  </si>
  <si>
    <t xml:space="preserve">KWAL PAINTS INC (1983-1990; SIC 2851) | KWAL PAINTS INC D.B.A-KWAL HOWELLS INC (1988; SIC 2851) | KWAL-HOWELLS PAINT &amp; WALLCOVERINGS (1992; SIC 2851)</t>
  </si>
  <si>
    <t xml:space="preserve">KWAL PAINTS INC (1983) | KWAL PAINTS INC D.B.A-KWAL HOWELLS INC (1988) | KWAL-HOWELLS PAINT &amp; WALLCOVERINGS (1992)</t>
  </si>
  <si>
    <t xml:space="preserve">KWAL-HOWELLS INC ( DBA KWAL PAINT INC) [FRS; name match, 55 m] | COLORADO SALT PRODUCTS [FRS; 13 m] | KWAL-HOWELLS INC ( DBA KWAL PAINT INC) [FRS] (address match) | KWAL-HOWELLS INC ( DBA KWAL PAINT INC) [TRI] (address match)</t>
  </si>
  <si>
    <t xml:space="preserve">KIK LLC [FRS] (address match)</t>
  </si>
  <si>
    <t xml:space="preserve">KIK LLC</t>
  </si>
  <si>
    <t xml:space="preserve">S04849</t>
  </si>
  <si>
    <t xml:space="preserve">11155 E 51ST AVE</t>
  </si>
  <si>
    <t xml:space="preserve">SUMMIT PRECISION INC (1983-1990; SIC 3544,3499,3599)</t>
  </si>
  <si>
    <t xml:space="preserve">SUMMIT PRECISION INC (1983)</t>
  </si>
  <si>
    <t xml:space="preserve">JP LAMBORN CO [FRS; 78 m]</t>
  </si>
  <si>
    <t xml:space="preserve">VARI-L COMPANY INC [FRS; 11 m] | COLORADOS BEST [FRS] (address match)</t>
  </si>
  <si>
    <t xml:space="preserve">DENVER CORRIDOR [FRS; 32 m]</t>
  </si>
  <si>
    <t xml:space="preserve">S04873</t>
  </si>
  <si>
    <t xml:space="preserve">4990 PARIS ST</t>
  </si>
  <si>
    <t xml:space="preserve">WESTERN PLASTI-TYPE CO (1983; SIC 3953,3079,3555)</t>
  </si>
  <si>
    <t xml:space="preserve">WESTERN PLASTI-TYPE CO (1983)</t>
  </si>
  <si>
    <t xml:space="preserve">CHEMSTATION DENVER [FRS; 80 m]</t>
  </si>
  <si>
    <t xml:space="preserve">FINISHING FIRST INC [FRS; 6 m] | BELFOR ERNVIRONMENTAL INC [FRS; 7 m]</t>
  </si>
  <si>
    <t xml:space="preserve">KIMMEL MECHANICAL, INC [FRS; 7 m] | SUNSHINE PAPER CO [FRS; 7 m] | RIEDEL ENVIRONMENTAL SERVICES [FRS; 7 m] | GUY'S FLOOR SERVICE, INC. [FRS; 35 m]</t>
  </si>
  <si>
    <t xml:space="preserve">FINISHING FIRST INC</t>
  </si>
  <si>
    <t xml:space="preserve">S05618</t>
  </si>
  <si>
    <t xml:space="preserve">345 W 62ND AVE UNIT D</t>
  </si>
  <si>
    <t xml:space="preserve">JARCO INC (1988-1990; SIC 3089,3949)</t>
  </si>
  <si>
    <t xml:space="preserve">JARCO INC (1988)</t>
  </si>
  <si>
    <t xml:space="preserve">VANCE BROTHERS INC [FRS; 53 m]</t>
  </si>
  <si>
    <t xml:space="preserve">GREEN THUM LLC [FRS; 35 m]</t>
  </si>
  <si>
    <t xml:space="preserve">VANCE BROTHERS, INC. - DENVER FACILITY [FRS; 28 m] | ASPHALT SPECIALTIES- SCREEN ASTEC 062504 [FRS; 35 m] | ASPHALT SPECIALTIES - 62ND AVE [FRS; 35 m] | ASPHALT SPECIALTIES CO - PORT SCREEN [FRS; 35 m] | ASPHALT SPECIALTIES - PORTABLE CRUSH/SCR [FRS; 35 m] | ASPHALT SPECIALTIES - PORT CRUSH/SCREEN [FRS; 35 m] | W. 62ND AVE. ASPHALT PLANT [FRS; 35 m]</t>
  </si>
  <si>
    <t xml:space="preserve">605 w. 62nd</t>
  </si>
  <si>
    <t xml:space="preserve">VANCE BROTHERS INC</t>
  </si>
  <si>
    <t xml:space="preserve">GREEN THUM LLC</t>
  </si>
  <si>
    <t xml:space="preserve">S05650</t>
  </si>
  <si>
    <t xml:space="preserve">5000 LIMA ST</t>
  </si>
  <si>
    <t xml:space="preserve">BUSINESS FORM PEASE INDUSTRIES INC (1988; SIC 3442) | PEASE INDUSTRIES INC (1990; SIC 3442)</t>
  </si>
  <si>
    <t xml:space="preserve">BUSINESS FORM PEASE INDUSTRIES INC (1988) | PEASE INDUSTRIES INC (1990)</t>
  </si>
  <si>
    <t xml:space="preserve">PEASE IND INC [FRS; name match, 90 m] | SAMSONITE CORP [TRI; 52 m] | PEASE IND INC [FRS] (address match) | PEASE INDUSTRIES INC [TRI] (address match)</t>
  </si>
  <si>
    <t xml:space="preserve">FLEXOVEYOR INDUSTRIES INC [FRS; 20 m]</t>
  </si>
  <si>
    <t xml:space="preserve">CONVEYING INDUSTRIES, INC. [FRS; 20 m]</t>
  </si>
  <si>
    <t xml:space="preserve">S05655</t>
  </si>
  <si>
    <t xml:space="preserve">5805 E 39TH ST</t>
  </si>
  <si>
    <t xml:space="preserve">PORTADRILL INC (1988; SIC 3533,2752) | PORT-A-DRILL (1990; SIC 3533)</t>
  </si>
  <si>
    <t xml:space="preserve">PORTADRILL INC (1988) | PORT-A-DRILL (1990)</t>
  </si>
  <si>
    <t xml:space="preserve">BRASS SMITH [FRS; 177 m] | BRASS SMITH [TRI; 189 m]</t>
  </si>
  <si>
    <t xml:space="preserve">INGERSOLL-RAND [FRS; 28 m] | PUBLIC SERVICE CO OF COLO ENGIN CENTER [FRS; 84 m] | CITY &amp; CNTY-DENVER POLICE STATION DIST 2 [FRS; 165 m] | CROWN LIFT TRUCKS [FRS; 165 m] | WELCH EQUIPMENT CO [FRS; 193 m] | PHYTATECH CO LLC [CDPHE RCRA; 194 m] | PHYTATECH CO LLC [FRS; 194 m] | MSC INDUSTRIAL SUPPLY [FRS; 200 m] | METRO TAXI INC [FRS; 217 m] | ADAMS MCCLURE [FRS; 249 m]</t>
  </si>
  <si>
    <t xml:space="preserve">THOMPSON HAYWARD CHEMICAL COMPANY [FRS; 40 m] | 38TH &amp; HOLLY [FRS; 114 m] | JSP ENTERPRISES LTD. [FRS; 230 m]</t>
  </si>
  <si>
    <t xml:space="preserve">INGERSOLL-RAND</t>
  </si>
  <si>
    <t xml:space="preserve">S05698</t>
  </si>
  <si>
    <t xml:space="preserve">1771 E 68 AVE E</t>
  </si>
  <si>
    <t xml:space="preserve">WESTERN WELLCHEMS (1988; SIC 2819,2391)</t>
  </si>
  <si>
    <t xml:space="preserve">WESTERN WELLCHEMS (1988)</t>
  </si>
  <si>
    <t xml:space="preserve">ATLAS ROOFING CORP [TRI; 161 m] | METAL TREATING &amp; RESEARCH CO [FRS; 243 m]</t>
  </si>
  <si>
    <t xml:space="preserve">DARANT DISTRIBUTION [FRS; 103 m] | NSO PRESS, LLC [FRS; 143 m] | L &amp; M  PRESSWORKS LLC [CDPHE RCRA; 187 m] | DARANT DISTRIBUTION CORP [CDPHE RCRA; 187 m] | COTTON GRAFIX INC [CDPHE RCRA; 187 m] | PAYLESS CHASHWAYS INC #0916 [CDPHE RCRA; 187 m] | COTTON GRAFIX INC [FRS; 190 m]</t>
  </si>
  <si>
    <t xml:space="preserve">EAST 69TH AVENUE AND RACE STREET WATERLINE [FRS; 204 m] | 69 AVE AND RACE ST WATERLINE REPLACEMENT [FRS; 213 m] | IMPERIAL MACHINING CO [FRS; 237 m] | PRECISION POWDER COATING INC [FRS; 237 m]</t>
  </si>
  <si>
    <t xml:space="preserve">S06397</t>
  </si>
  <si>
    <t xml:space="preserve">4080 GIOBEVILLE RD</t>
  </si>
  <si>
    <t xml:space="preserve">COLORADO PETROLEUM PRODUCTS CO (1990-1992; SIC 2899,2992)</t>
  </si>
  <si>
    <t xml:space="preserve">COLORADO PETROLEUM PRODUCTS CO (1990)</t>
  </si>
  <si>
    <t xml:space="preserve">COLORADO PETROLEUM [TRI; name match, 97 m] | COLORADO PETROLEUM, INC [FRS; name match, 111 m]</t>
  </si>
  <si>
    <t xml:space="preserve">R2 STEWARDSHIP [CDPHE RCRA; 167 m] | RSI INC. DENVER BRANCH [CDPHE RCRA; 167 m] | RSI INC. DENVER BRANCH [FRS; 167 m] | CIVIC CNT PLAZA - LOUISIANA LAND &amp; EXPLO [CDPHE RCRA; 167 m] | ENGINEERED DEMOLITION INC [FRS; 219 m]</t>
  </si>
  <si>
    <t xml:space="preserve">COLORADO PETROLEUM PRODUCTS CO [FRS; name match, 26 m] | 31ST ST [FRS; 233 m]</t>
  </si>
  <si>
    <t xml:space="preserve">S06408</t>
  </si>
  <si>
    <t xml:space="preserve">12555 E 37TH AVE</t>
  </si>
  <si>
    <t xml:space="preserve">ELM CORP INC COATING (1990; SIC 3479,3629,3499) | E/M CORPORATION (1992; SIC 3479)</t>
  </si>
  <si>
    <t xml:space="preserve">ELM CORP INC COATING (1990) | E/M CORPORATION (1992)</t>
  </si>
  <si>
    <t xml:space="preserve">E/M CORP [FRS; name match, 82 m] | COLORADO INDUSTRIAL PAINTING INC [FRS; 82 m] | COLORADO INDUSTRIAL PAINTING INC [FRS] (address match) | E/M CORP [FRS] (address match) | CAI TECHNOLOGIES [TRI] (address match)</t>
  </si>
  <si>
    <t xml:space="preserve">S06472</t>
  </si>
  <si>
    <t xml:space="preserve">11715 E 51ST ST</t>
  </si>
  <si>
    <t xml:space="preserve">PRODUCTION INDUSTRIES INC (1990; SIC 3569)</t>
  </si>
  <si>
    <t xml:space="preserve">PRODUCTION INDUSTRIES INC (1990)</t>
  </si>
  <si>
    <t xml:space="preserve">CHRYSO, INC. [FRS; 38 m]</t>
  </si>
  <si>
    <t xml:space="preserve">GATES [FRS; 21 m] | CHEMLAWN CORP [FRS; 38 m] | JOY RECOVERY TECHNOLOGY [FRS; 104 m] | HEIDELBERG WEST INC [FRS; 133 m] | LUMINOUS RECYCLING [FRS; 134 m] | METECH RECYCLING INC [FRS; 147 m] | CONSTRUCTION TECHNOLOGY INC [FRS; 147 m] | R.S. HUGHES COMPANY INC [FRS; 163 m] | WELCH EQUIPMENT COMPANY INC [FRS; 178 m] | HONDA DEV &amp; MFG OF AMERICA LLC - DENVER [CDPHE RCRA; 205 m] | HONDA DEV &amp; MFG OF AM</t>
  </si>
  <si>
    <t xml:space="preserve">THE JUNGLE INC [FRS; 38 m] | VIE DE FRANCE YAMAZAKI INC. [FRS; 82 m] | GARDEN WISE [FRS; 131 m] | FORMTIGHT, INC. [FRS; 131 m] | ERICKSON METALS OF COLORADO, INC. [FRS; 169 m] | UNIVERSAL STAINLESS [FRS; 169 m] | AMERICAN HONDA MOTOR - HONDA R&amp;D DENVER [FRS; 212 m]</t>
  </si>
  <si>
    <t xml:space="preserve">GATES</t>
  </si>
  <si>
    <t xml:space="preserve">S06486</t>
  </si>
  <si>
    <t xml:space="preserve">4554 LIPAN ST</t>
  </si>
  <si>
    <t xml:space="preserve">SATURN INDUSTRIES LTD (1990; SIC 3444,3599)</t>
  </si>
  <si>
    <t xml:space="preserve">SATURN INDUSTRIES LTD (1990)</t>
  </si>
  <si>
    <t xml:space="preserve">DAWN FOODS PRODUCTS [FRS; 3 m]</t>
  </si>
  <si>
    <t xml:space="preserve">HUSKAR [FRS] (address match) | SBA WELBORNE WAREHOUSE [FRS] (address match)</t>
  </si>
  <si>
    <t xml:space="preserve">S03351</t>
  </si>
  <si>
    <t xml:space="preserve">8311 W CARDER CT</t>
  </si>
  <si>
    <t xml:space="preserve">WESTILE (1988; SIC 3272,3399)</t>
  </si>
  <si>
    <t xml:space="preserve">CARDER CONCRETE PRODUCTS CO (1977) | WESTILE (1988)</t>
  </si>
  <si>
    <t xml:space="preserve">FOLEY PRODUCTS COMPANY - LITTLETON [FRS; 9 m] | FOLEY PRODUCTS COMPANY - LITTLETON [FRS] (address match) | FOLEY PRODUCTS CO - LITTLETON [TRI] (address match)</t>
  </si>
  <si>
    <t xml:space="preserve">RINKER MATERIALS [FRS; 9 m] | RINKER MATERIALS [FRS] (address match) | HYDRO CONDUIT CORP DBA RINKER MATERIALS CONCRETE PIPE DIV [CDPHE RCRA] (address match)</t>
  </si>
  <si>
    <t xml:space="preserve">CARDER CONCRETE PRODUCT COMPANY [FRS; name match, 9 m] | DENVER PIPE PLANT [FRS; 9 m] | CARDER CONCRETE PRODUCT COMPANY [FRS] (address match) | DENVER PIPE PLANT [FRS] (address match)</t>
  </si>
  <si>
    <t xml:space="preserve">FOLEY PRODUCTS COMPANY - LITTLETON</t>
  </si>
  <si>
    <t xml:space="preserve">RINKER MATERIALS</t>
  </si>
  <si>
    <t xml:space="preserve">S04888</t>
  </si>
  <si>
    <t xml:space="preserve">7300 N MOORE RD</t>
  </si>
  <si>
    <t xml:space="preserve">ENSIGN BICKFORD CO (1983; SIC 2892)</t>
  </si>
  <si>
    <t xml:space="preserve">ENSIGN BICKFORD CO (1983)</t>
  </si>
  <si>
    <t xml:space="preserve">ENSIGN BICKFORD CO [FRS; name match, 235 m]</t>
  </si>
  <si>
    <t xml:space="preserve">ZUMA'S RESCUE RANCH [FRS; 49 m]</t>
  </si>
  <si>
    <t xml:space="preserve">ENSIGN BICKFORD CO</t>
  </si>
  <si>
    <t xml:space="preserve">S05950</t>
  </si>
  <si>
    <t xml:space="preserve">9509 TITAN PARK CIR</t>
  </si>
  <si>
    <t xml:space="preserve">J H FOUNDRY INC (1988-1992; SIC 3363,3362)</t>
  </si>
  <si>
    <t xml:space="preserve">J H FOUNDRY INC (1988)</t>
  </si>
  <si>
    <t xml:space="preserve">MARTIN MARIETTA TITAN READY MIX [FRS; 16 m]</t>
  </si>
  <si>
    <t xml:space="preserve">HIGHLANDS RANCH COLLISION - 9509 TITAN [FRS] (address match) | HIGHLANDS RANCH COLLISION CENTER INC [CDPHE RCRA] (address match)</t>
  </si>
  <si>
    <t xml:space="preserve">MARTIN MARIETTA [FRS; 14 m] | COGGINS + SONS, INC. [FRS; 26 m] | COMPUTER CAR [FRS] (address match)</t>
  </si>
  <si>
    <t xml:space="preserve">MARTIN MARIETTA TITAN READY MIX</t>
  </si>
  <si>
    <t xml:space="preserve">HIGHLANDS RANCH COLLISION - 9509 TITAN</t>
  </si>
  <si>
    <t xml:space="preserve">S06720</t>
  </si>
  <si>
    <t xml:space="preserve">9673 S TITAN CT</t>
  </si>
  <si>
    <t xml:space="preserve">BARON HIGH-TECH PRECISION MFG CO (1990; SIC 3499)</t>
  </si>
  <si>
    <t xml:space="preserve">BARON HIGH-TECH PRECISION MFG CO (1990)</t>
  </si>
  <si>
    <t xml:space="preserve">MARTIN MARIETTA TITAN READY MIX [FRS; 190 m] | BESTWAY CONCRETE CO TITAN PLANT [FRS; 231 m]</t>
  </si>
  <si>
    <t xml:space="preserve">BARON HIGH-TECH PRECISION MFG [FRS; name match, 28 m] | INSITUFORM TECHNOLOGIES LLC [FRS; 1 m] | CLASSIC COLLISION - 1978 - HIGHLANDS RANCH [CDPHE RCRA; 162 m] | HIGHLANDS RANCH COLLISION - 9509 TITAN [FRS; 185 m] | BARON HIGH-TECH PRECISION MFG [FRS] (address match)</t>
  </si>
  <si>
    <t xml:space="preserve">INSITUFORMS PLAINS INCORPORATED [FRS; 1 m] | TITAN CAR CONDOS [FRS; 166 m] | COWBOY TRAILER&amp; STORAGE [FRS; 167 m] | COMPUTER CAR [FRS; 185 m] | COGGINS + SONS, INC. [FRS; 189 m] | MARTIN MARIETTA [FRS; 190 m] | PIT ROW AUTO CARE [FRS; 196 m] | ALL SEASONS REPAIR [FRS; 196 m] | LAMB MOTORSPORTS [FRS; 209 m] | DENVER ANIMAL DISP [FRS; 233 m] | US 85 TITAN TO COOK RANCH ESI 0852 095 14976 [FRS; 249 m</t>
  </si>
  <si>
    <t xml:space="preserve">INSITUFORM TECHNOLOGIES LLC</t>
  </si>
  <si>
    <t xml:space="preserve">S06924</t>
  </si>
  <si>
    <t xml:space="preserve">1101 TOPEKA WAY</t>
  </si>
  <si>
    <t xml:space="preserve">‘SCHMIDT CONSTRUCTION COMPANY (1992; SIC 2951)</t>
  </si>
  <si>
    <t xml:space="preserve">‘SCHMIDT CONSTRUCTION COMPANY (1992)</t>
  </si>
  <si>
    <t xml:space="preserve">SCHMIDT CONST CO [FRS; 11 m] | SCHMIDT CONST CO [FRS] (address match)</t>
  </si>
  <si>
    <t xml:space="preserve">AUTO IMAGE COLLISION &amp; MECHANICAL REPAIR [FRS; 24 m]</t>
  </si>
  <si>
    <t xml:space="preserve">SCHMIDT CONST CO</t>
  </si>
  <si>
    <t xml:space="preserve">AUTO IMAGE COLLISION &amp; MECHANICAL REPAIR</t>
  </si>
  <si>
    <t xml:space="preserve">S01012</t>
  </si>
  <si>
    <t xml:space="preserve">600 WOOTEN RD</t>
  </si>
  <si>
    <t xml:space="preserve">AMPEX CORP (1966-1968; SIC 2841) | AMPEX CORP (1973-1974; SIC 3679,3651,3662)</t>
  </si>
  <si>
    <t xml:space="preserve">AMPEX CORP (1966) | AMPEX CORP (1973)</t>
  </si>
  <si>
    <t xml:space="preserve">AMPEX [FRS; name match, 7 m] | AMPEX CORP RSD [TRI; name match, 79 m] | AMPEX [FRS] (address match) | AMPEX CORP RSD [TRI] (address match)</t>
  </si>
  <si>
    <t xml:space="preserve">AMPEX CORP [FRS; name match, 7 m] | FOLIUM BIOSCIENCES, LLC [FRS; 1 m] | AMPEX CORP [FRS] (address match)</t>
  </si>
  <si>
    <t xml:space="preserve">AMPEX</t>
  </si>
  <si>
    <t xml:space="preserve">GENERAL MACHINE INC</t>
  </si>
  <si>
    <t xml:space="preserve">S01050</t>
  </si>
  <si>
    <t xml:space="preserve">3605 STONE</t>
  </si>
  <si>
    <t xml:space="preserve">ACME IRON + WELDING (1973-1974; SIC 3441,3446) | AAA MOLDS INC (1974; SIC 3544)</t>
  </si>
  <si>
    <t xml:space="preserve">PEPSI COLA BOTTLING CO (1966) | ACME IRON + WELDING (1973) | AAA MOLDS INC (1974)</t>
  </si>
  <si>
    <t xml:space="preserve">PEPSI COLA BOTTLING COMPANY [FRS; name match, 182 m] | CURRENT USA INC - STONE [FRS; 36 m] | CURRENT INC [TRI; 68 m] | INNOV WIRE TECHNOLOGY INC [FRS; 100 m]</t>
  </si>
  <si>
    <t xml:space="preserve">CITY OF COLORADO SPRINGS [FRS; 119 m] | BIRDSALL SUBSTATION BLDG [FRS; 122 m] | HALL WOODWORK INC [FRS; 240 m]</t>
  </si>
  <si>
    <t xml:space="preserve">SECC [FRS; 119 m] | COLORADO SPRINGS UTILITIES - BIRDSALL POWER PLANT [FRS; 126 m] | GEORGE BIRDSALL POWER PLANT [FRS; 126 m] | FILLMORE COVERED RV STORAGE LLC [FRS; 169 m] | WESTWOOD FIXTURES, INC [FRS; 171 m] | CHRISTENSEN CUSTOM SHUTTERS [FRS; 194 m] | TAINT PAINT POWDER COATINGS OF COLO SPGS [FRS; 223 m] | PIKES PEAK POWDER WORKS [FRS; 223 m]</t>
  </si>
  <si>
    <t xml:space="preserve">CURRENT USA INC - STONE</t>
  </si>
  <si>
    <t xml:space="preserve">CITY OF COLORADO SPRINGS</t>
  </si>
  <si>
    <t xml:space="preserve">S01545</t>
  </si>
  <si>
    <t xml:space="preserve">3020 N STONE AVE</t>
  </si>
  <si>
    <t xml:space="preserve">1967;1974;1980</t>
  </si>
  <si>
    <t xml:space="preserve">EMA oie bidet (1967; SIC 3444) | PROTO-SHOP/HEAT TREATING + PLATING INC (1974; SIC 3398,3471) | PROTO-SHOP/AUTOMATICS INC. (1980; SIC 3398,3471)</t>
  </si>
  <si>
    <t xml:space="preserve">EMA oie bidet (1967) | PROTO-SHOP/HEAT TREATING + PLATING INC (1974) | PROTO-SHOP/AUTOMATICS INC. (1980)</t>
  </si>
  <si>
    <t xml:space="preserve">MAXCOR MANUFACTURING INC [FRS; 5 m] | MAXCOR MANUFACTURING INC [TRI] (address match)</t>
  </si>
  <si>
    <t xml:space="preserve">PROTO SHOP AUTOMATICS INC [FRS; name match, 16 m]</t>
  </si>
  <si>
    <t xml:space="preserve">MAXCOR [FRS; 5 m] | PLANET GRANITE [FRS; 16 m] | MINCO MFG.CN [FRS; 30 m] | PLANET GRANITE [FRS] (address match)</t>
  </si>
  <si>
    <t xml:space="preserve">PROTO SHOP AUTOMATICS INC</t>
  </si>
  <si>
    <t xml:space="preserve">S01554</t>
  </si>
  <si>
    <t xml:space="preserve">446 E COSTILLA</t>
  </si>
  <si>
    <t xml:space="preserve">TRANSIT MIX CONCRETE CO (1980; SIC 3273,3449) | TRANSIT MIX CONCRETE CO (1983-1990; SIC 3273,3449,3281)</t>
  </si>
  <si>
    <t xml:space="preserve">TRANSIT MIX CONCRETE CO (1967) | NELSON LUMBER CO (1980) | TRANSIT MIX CONCRETE CO (1983)</t>
  </si>
  <si>
    <t xml:space="preserve">HOLCIM WCR - CS-MAIN [FRS; 39 m]</t>
  </si>
  <si>
    <t xml:space="preserve">TRANSIT MIX CONCRETE &amp; MATERIALS COMPANY [FRS; name match, 39 m]</t>
  </si>
  <si>
    <t xml:space="preserve">DELUXE CLEANERS</t>
  </si>
  <si>
    <t xml:space="preserve">S01855</t>
  </si>
  <si>
    <t xml:space="preserve">3608 N STONE</t>
  </si>
  <si>
    <t xml:space="preserve">1968;1970;1973;1983</t>
  </si>
  <si>
    <t xml:space="preserve">R B M ASSOCIATES, INC (1968; SIC 3545,3544) | S + M SHEET METAL, INC (1970-1973; SIC 3444) | AERO PRECISION INC (1973; SIC 3544,3591,3728) | KENCRAFT INDUSTRIES INC (1973; SIC 3469,3591) | DOUBLE B ENTERPRISE + DESIGN INC (1983; SIC 3728,3599)</t>
  </si>
  <si>
    <t xml:space="preserve">R B M ASSOCIATES, INC (1968) | S + M SHEET METAL, INC (1970) | AERO PRECISION INC (1973) | KENCRAFT INDUSTRIES INC (1973) | DOUBLE B ENTERPRISE + DESIGN INC (1983) | J + L BOX INC (1983)</t>
  </si>
  <si>
    <t xml:space="preserve">PEPSI COLA BOTTLING COMPANY [FRS; 36 m]</t>
  </si>
  <si>
    <t xml:space="preserve">PEPSI COLA BOTTLING COMPANY</t>
  </si>
  <si>
    <t xml:space="preserve">COLORADO SPRINGS UTILITIES INVESTMENT RECOVERY OPERATIONS</t>
  </si>
  <si>
    <t xml:space="preserve">S01862</t>
  </si>
  <si>
    <t xml:space="preserve">3100 N STONE</t>
  </si>
  <si>
    <t xml:space="preserve">WESTERN BRICGE + SUPPLY CO (1968; SIC 3498,3441,3443)</t>
  </si>
  <si>
    <t xml:space="preserve">WESTERN BRICGE + SUPPLY CO (1968)</t>
  </si>
  <si>
    <t xml:space="preserve">MAXCOR MANUFACTURING INC [FRS; 66 m]</t>
  </si>
  <si>
    <t xml:space="preserve">EL PASO COUNTY DEPT OF PUBLIC WORKS [FRS; 0 m]</t>
  </si>
  <si>
    <t xml:space="preserve">EL PASO COUNTY DEPT OF PUBLIC WORKS</t>
  </si>
  <si>
    <t xml:space="preserve">S01863</t>
  </si>
  <si>
    <t xml:space="preserve">3850 N NEVADA</t>
  </si>
  <si>
    <t xml:space="preserve"> (1973; SIC 3493)</t>
  </si>
  <si>
    <t xml:space="preserve">WESTERN HORSEMAN INC (1968) |  (1973) | MESTERN HORSEMAN INC (1980) | WRENCHES, ET WESTERN HORSEMAN INC (1988)</t>
  </si>
  <si>
    <t xml:space="preserve">HOLCIM WCR - CS-NORTH [FRS; 88 m]</t>
  </si>
  <si>
    <t xml:space="preserve">HOLCIM WCR - CS-NORTH</t>
  </si>
  <si>
    <t xml:space="preserve">KAST MARBLE</t>
  </si>
  <si>
    <t xml:space="preserve">S02076</t>
  </si>
  <si>
    <t xml:space="preserve">835 EMORY CIR</t>
  </si>
  <si>
    <t xml:space="preserve">1970;1973;1977;1980;1983;1988;1990</t>
  </si>
  <si>
    <t xml:space="preserve">COLORADB SINTERED METALS» INC (1970; SIC 3566,3562) | COLORADO SINTERED METALS, INC (1973; SIC 3562,3566) | COLORADO SINTERED METALS INC (1977-1990; SIC 3599)</t>
  </si>
  <si>
    <t xml:space="preserve">COLORADB SINTERED METALS» INC (1970) | COLORADO SINTERED METALS, INC (1973) | COLORADO SINTERED METALS INC (1977)</t>
  </si>
  <si>
    <t xml:space="preserve">COLORADO SINTERED METALS INC [FRS; name match, 71 m] | COLORADO SINTERED METALS INC [TRI; name match, 160 m] | COLORADO SINTERED METALS INC [FRS] (address match) | COLORADO SINTERED METALS INC [TRI] (address match)</t>
  </si>
  <si>
    <t xml:space="preserve">COLORADO SINTERED METALS INC</t>
  </si>
  <si>
    <t xml:space="preserve">CALIBER COLLISION CENTER - COLORADO SPRINGS  N MURRAY BLVD</t>
  </si>
  <si>
    <t xml:space="preserve">S02086</t>
  </si>
  <si>
    <t xml:space="preserve">520 S SAHWATCH</t>
  </si>
  <si>
    <t xml:space="preserve">DENVER EQUIPMENT CO ~- DIV OF JOY MFG (1970; SIC 3532,3559)</t>
  </si>
  <si>
    <t xml:space="preserve">DENVER EQUIPMENT CO ~- DIV OF JOY MFG (1970)</t>
  </si>
  <si>
    <t xml:space="preserve">METSO MINERALS INDUSTRIES INC [TRI; 22 m] | METSO MINERALS PUMPS &amp; PROCESS [FRS; 211 m]</t>
  </si>
  <si>
    <t xml:space="preserve">ACORN PETROLEUM INC [FRS; 1 m] | TRI-GON PRECISION [CDPHE RCRA; 80 m] | PENSKE TRUCK LEASING CO.,L.P. [FRS; 130 m] | SVEDALA INDUSTRIES INC PUMP &amp; PROCESS [CDPHE RCRA; 160 m] | USPS VEHICLE MAINT FACILITY [CDPHE RCRA; 160 m] | CUSHMAN  AND WAKEFIELD OF COLORADO INC [CDPHE RCRA; 216 m]</t>
  </si>
  <si>
    <t xml:space="preserve">SWITCHBACKS STADIUM [FRS; 75 m] | RESOURCE GEOSCIENCE INC [FRS; 95 m] | CASCADE APARTMENTS [FRS; 171 m] | METSO MINERALS PUMPS &amp; PROCESS [FRS; 175 m] | EPICENTER II FILING NO. 1 [FRS; 206 m] | COLORADO IRON WORKS [FRS; 212 m] | CITY GATE PARCEL 2 FILING NO. 1 [FRS; 225 m] | nan [FRS; 236 m]</t>
  </si>
  <si>
    <t xml:space="preserve">METSO MINERALS INDUSTRIES INC</t>
  </si>
  <si>
    <t xml:space="preserve">ACORN PETROLEUM INC</t>
  </si>
  <si>
    <t xml:space="preserve">S02090</t>
  </si>
  <si>
    <t xml:space="preserve">704 NICHOLS BLVD</t>
  </si>
  <si>
    <t xml:space="preserve">1970;1980;1983;1988;1990</t>
  </si>
  <si>
    <t xml:space="preserve">EDREDE CORP (1970; SIC 3443,3537) | PAN SYSTEMS LNC (1970; SIC 3589,3591) | REGAL PLASTEC SUPPLY CO (1980-1988; SIC 3079) | UNITOCOL MACHINE CORP (1980-1983; SIC 3599,3544) | FLUROCARBON]U $ QUARTZ DIV (1983; SIC 3679) | CARBOTHERM LTD (1990; SIC 2813) | MIKRON MANUFACTURING INC (1990; SIC 3444)</t>
  </si>
  <si>
    <t xml:space="preserve">EDREDE CORP (1970) | PAN SYSTEMS LNC (1970) | PANTRONICS (1970) | REGAL PLASTEC SUPPLY CO (1980) | UNITOCOL MACHINE CORP (1980) | FLUROCARBON]U $ QUARTZ DIV (1983) | CARBOTHERM LTD (1990) | MIKRON MANUFACTURING INC (1990)</t>
  </si>
  <si>
    <t xml:space="preserve">CELLULAR PRODUCT SERVICES INC [TRI; 42 m]</t>
  </si>
  <si>
    <t xml:space="preserve">CALIBER BODYWORKS - COLO SPRINGS - #0865 [FRS; 3 m] | EDEN OAKS DESIGNER WOODWARE INC [CDPHE RCRA; 38 m] | EDEN OAKS DESIGNER WOODWARE INC [FRS; 38 m]</t>
  </si>
  <si>
    <t xml:space="preserve">CALIBER BODYWORKS - COLO SPRINGS - #0865</t>
  </si>
  <si>
    <t xml:space="preserve">S02109</t>
  </si>
  <si>
    <t xml:space="preserve">3615 ROBERTS RD</t>
  </si>
  <si>
    <t xml:space="preserve">1970;1973;1974;1980;1983;1988;1990</t>
  </si>
  <si>
    <t xml:space="preserve">SCHNEEBECK*®S INDUSTRIES (1970; SIC 3561,3591) | SCHNEEBECK CORPORATION (1973; SIC 3591,3561,3599) | SCHNEEBECK'S INDUSTRIES INC (1974-1980; SIC 3591,3561,3599) | SCHNEEBECK*S INDUSTRIES INC (1983-1990; SIC 3599,3561,3494)</t>
  </si>
  <si>
    <t xml:space="preserve">SCHNEEBECK*®S INDUSTRIES (1970) | SCHNEEBECK CORPORATION (1973) | SCHNEEBECK'S INDUSTRIES INC (1974) | SCHNEEBECK*S INDUSTRIES INC (1983)</t>
  </si>
  <si>
    <t xml:space="preserve">TRW INC ELECTRONIC PRODUCTS INC [TRI; 12 m] | ETA TECHNOLOGIES CORP (WAS TRW ELECTRONI [FRS; 79 m]</t>
  </si>
  <si>
    <t xml:space="preserve">SCHNEEBECK'S INDUSTRIES INC [FRS; name match, 19 m] | SCHNEEBECK'S INDUSTRIES INC [FRS] (address match)</t>
  </si>
  <si>
    <t xml:space="preserve">TRW INC ELECTRONIC PRODUCTS INC</t>
  </si>
  <si>
    <t xml:space="preserve">SCHNEEBECK'S INDUSTRIES INC</t>
  </si>
  <si>
    <t xml:space="preserve">S02539</t>
  </si>
  <si>
    <t xml:space="preserve">4045 SINTON RO</t>
  </si>
  <si>
    <t xml:space="preserve">ADAMS, J Dy CO (1973-1980; SIC 3469,3559,3443) |  (1977; SIC 3317,3441,3443) | ADAMS J 0 CO (1983; SIC 3443,3559) | PACKS-EXPANDING FOA IRATHANE SYSTEMS INC (1988; SIC 3089,3679) | IRATHANE SYSTEMS INC (1990; SIC 3086,3089)</t>
  </si>
  <si>
    <t xml:space="preserve">ADAMS, J Dy CO (1973) |  (1977) | ADAMS J 0 CO (1983) | PACKS-EXPANDING FOA IRATHANE SYSTEMS INC (1988) | IRATHANE SYSTEMS INC (1990)</t>
  </si>
  <si>
    <t xml:space="preserve">ITW IRATHANE SYS [FRS; 31 m]</t>
  </si>
  <si>
    <t xml:space="preserve">PHIL LONG FORD - COLLISION CENTER [FRS; 19 m] | PRUDENTIAL PROFESSIONAL REALTORS [FRS; 39 m]</t>
  </si>
  <si>
    <t xml:space="preserve">ITW IRATHANE SYS</t>
  </si>
  <si>
    <t xml:space="preserve">S02540</t>
  </si>
  <si>
    <t xml:space="preserve">3525 N CASCADE</t>
  </si>
  <si>
    <t xml:space="preserve">BRGAYE N METAL (1988; SIC 3471) | ROCKY MTN METAL FINISHERS (1990; SIC 3471) | VISIONEERING INDUSTRIES INC (1990; SIC 3741)</t>
  </si>
  <si>
    <t xml:space="preserve">ADAMS SYRUP CO» INC (1973) | BRGAYE N METAL (1988) | ROCKY MTN METAL FINISHERS (1990) | VISIONEERING INDUSTRIES INC (1990)</t>
  </si>
  <si>
    <t xml:space="preserve">ROCKY MOUNTAIN METAL FINISHERS [FRS; name match, 6 m]</t>
  </si>
  <si>
    <t xml:space="preserve">WASTE MANAGEMENT OF COLO SPGS</t>
  </si>
  <si>
    <t xml:space="preserve">S02559</t>
  </si>
  <si>
    <t xml:space="preserve">3555 N PROSPECT ST</t>
  </si>
  <si>
    <t xml:space="preserve">1973;1977;1980;1983;1988</t>
  </si>
  <si>
    <t xml:space="preserve">KAISER PRODUCTS CO (1973-1988; SIC 3861,3999)</t>
  </si>
  <si>
    <t xml:space="preserve">KAISER PRODUCTS CO (1973)</t>
  </si>
  <si>
    <t xml:space="preserve">PIONEER MANUFACTURING CO. [FRS; 242 m]</t>
  </si>
  <si>
    <t xml:space="preserve">WELLS &amp; WEST GENERAL CONTRACTORS [CDPHE RCRA; 100 m] | HUGHES SMITH INC [FRS; 109 m] | WELLS &amp; WEST GENERAL CONTRACTORS [FRS; 109 m] | FEDERAL MOVING AND STORAGE CO [FRS; 194 m]</t>
  </si>
  <si>
    <t xml:space="preserve">KROHNS COVERINGS INC [FRS; 58 m] | COLORADO CUSTOM TOPS [FRS; 130 m] | MUSTANG PARADISE [FRS; 215 m]</t>
  </si>
  <si>
    <t xml:space="preserve">PIONEER MANUFACTURING CO.</t>
  </si>
  <si>
    <t xml:space="preserve">WELLS &amp; WEST GENERAL CONTRACTORS</t>
  </si>
  <si>
    <t xml:space="preserve">S02560</t>
  </si>
  <si>
    <t xml:space="preserve">4002 N CASCADE</t>
  </si>
  <si>
    <t xml:space="preserve">KAST-KON-KRETE, INC (1973-1983; SIC 3272,3446)</t>
  </si>
  <si>
    <t xml:space="preserve">KAST-KON-KRETE, INC (1973)</t>
  </si>
  <si>
    <t xml:space="preserve">NICHOLAS RECYCLING SOLUTIONS [FRS; 181 m]</t>
  </si>
  <si>
    <t xml:space="preserve">ENVIROCHEM CORPORATION [FRS; 112 m] | PIKES PEAK MOVING AND STORAGE [FRS; 127 m] | E D I SERVICES INC [FRS; 133 m] | ESTES EXPRESS LINES - 256 COLORADO SPRINGS [FRS; 197 m] | ESTES - COLORADO SPRINGS #256 [CDPHE RCRA; 197 m] | FEDEX FREIGHT COS [FRS; 222 m] | KAST MARBLE [FRS; 229 m]</t>
  </si>
  <si>
    <t xml:space="preserve">BLOXOM MANUFACTURING [FRS; 112 m] | D &amp; B PRECISION PRODUCTS, INC. [FRS; 119 m] | ENVIROCHEM [FRS; 136 m] | PASS AT PIKEVIEW [FRS; 192 m]</t>
  </si>
  <si>
    <t xml:space="preserve">NICHOLAS RECYCLING SOLUTIONS</t>
  </si>
  <si>
    <t xml:space="preserve">ENVIROCHEM CORPORATION</t>
  </si>
  <si>
    <t xml:space="preserve">S02569</t>
  </si>
  <si>
    <t xml:space="preserve">212 W BUCHANAN</t>
  </si>
  <si>
    <t xml:space="preserve">OLDACH BUILDING PRODUCTS CC (1973; SIC 3442) | PRODUCTS CO 3841 SURGICAL AND MEDICAL INSTRUMENTS 2335 WOMEN'S AND MISSES‘ DRESSES (1977; SIC 3531) | GLOACH BUILDING BAOOUCTS CO (1980; SIC 3442,2431)</t>
  </si>
  <si>
    <t xml:space="preserve">OLDACH BUILDING PRODUCTS CC (1973) | PRODUCTS CO 3841 SURGICAL AND MEDICAL INSTRUMENTS 2335 WOMEN'S AND MISSES‘ DRESSES (1977) | GLOACH BUILDING BAOOUCTS CO (1980) | OLDACH WOOD WINDOWS+DOORS (1988)</t>
  </si>
  <si>
    <t xml:space="preserve">METAL SOLUTIONS [FRS; 217 m]</t>
  </si>
  <si>
    <t xml:space="preserve">AXIOM ACCIDENT &amp; HAIL REPAIR [CDPHE RCRA; 210 m] | FOGGS AUTO SHOP [FRS; 215 m] | AMERICAN ELECTRO PAINTING [FRS; 241 m] | HIGH COUNTRY AUTO BODY REBUILDERS [FRS; 241 m] | THE AUTOMINT INC [FRS; 241 m]</t>
  </si>
  <si>
    <t xml:space="preserve">OLDACH [FRS; name match, 16 m] | EXCALIBUR MACHINE &amp; SHEETMETAL, INC. [FRS; 11 m] | ZEROREZ OF COLORADO SPRINGS [FRS; 127 m] | MANSTONE LLC - 105 TALAMINE CT [FRS; 211 m] | 4283929 DELAWARE LLC - LASTING PAWS PET [FRS; 211 m] | MULTI DUTI MFG [FRS; 216 m] | ALLEN'S PAINTING &amp; WALLPAPER [FRS; 241 m] | MODERN WINDOWS AND DOORS [FRS; 244 m]</t>
  </si>
  <si>
    <t xml:space="preserve">AXIOM ACCIDENT &amp; HAIL REPAIR</t>
  </si>
  <si>
    <t xml:space="preserve">S02574</t>
  </si>
  <si>
    <t xml:space="preserve">3516 N PROSPECT</t>
  </si>
  <si>
    <t xml:space="preserve">ROCKY MTN HELIARC+FABRICATION (1988; SIC 3444,3449,3548)</t>
  </si>
  <si>
    <t xml:space="preserve">SERVICE TYPOGRAPHER (1973) | GREAT WESTERN PRESS INC (1980) | ROCKY MTN HELIARC+FABRICATION (1988)</t>
  </si>
  <si>
    <t xml:space="preserve">PIONEER MANUFACTURING CO. [FRS; 165 m] | PIONEER MANUFACTURING CO. [TRI; 213 m] | CELLULAR PRODUCT SERVICES INC [FRS; 218 m]</t>
  </si>
  <si>
    <t xml:space="preserve">WELLS &amp; WEST GENERAL CONTRACTORS [CDPHE RCRA; 18 m] | HUGHES SMITH INC [FRS; 28 m] | WELLS &amp; WEST GENERAL CONTRACTORS [FRS; 28 m]</t>
  </si>
  <si>
    <t xml:space="preserve">KROHNS COVERINGS INC [FRS; 28 m] | MUSTANG PARADISE [FRS; 137 m] | COLORADO CUSTOM TOPS [FRS; 144 m] | CAPPADONA'S FAMILY SVCES [FRS; 218 m]</t>
  </si>
  <si>
    <t xml:space="preserve">S02583</t>
  </si>
  <si>
    <t xml:space="preserve">4837 NORTHPARK DR</t>
  </si>
  <si>
    <t xml:space="preserve">VERITECH, INC. (1973; SIC 3599,3567) | SPRINGFIELD PLATING * ANODIZING CORP (1977-1990; SIC 3471)</t>
  </si>
  <si>
    <t xml:space="preserve">VERITECH, INC. (1973) | SPRINGFIELD PLATING * ANODIZING CORP (1977)</t>
  </si>
  <si>
    <t xml:space="preserve">SPRINGFIELD PLATING, &amp; ANODIZING [FRS; name match, 25 m] | SPRINGFIELD PLATING, &amp; ANODIZING [TRI; name match, 129 m]</t>
  </si>
  <si>
    <t xml:space="preserve">XIMPAK INC [CDPHE RCRA; 21 m]</t>
  </si>
  <si>
    <t xml:space="preserve">SPRINGFIELD PLATING [FRS; name match, 25 m]</t>
  </si>
  <si>
    <t xml:space="preserve">XIMPAK INC</t>
  </si>
  <si>
    <t xml:space="preserve">S02587</t>
  </si>
  <si>
    <t xml:space="preserve">4607 RUSINA ORIVE</t>
  </si>
  <si>
    <t xml:space="preserve"> (1973; SIC 3423)</t>
  </si>
  <si>
    <t xml:space="preserve">RIVIERA CABINETS INC [TRI; 247 m]</t>
  </si>
  <si>
    <t xml:space="preserve">CONOCOPHILLIPS # 27611 [FRS; 168 m] | EQUILON ENTERPRISES LLC DBA SHELL OIL [FRS; 231 m]</t>
  </si>
  <si>
    <t xml:space="preserve">SUNCOR - 2706233 [FRS; 168 m] | IN-N-OUT BURGER (GOTG) [FRS; 207 m] | APRO DBA UNITED PACIFIC - MY GOODS #6513 [FRS; 214 m] | AMOCO GAS STA NO 3707 [FRS; 231 m] | CIRCLE K #2709887 [FRS; 231 m]</t>
  </si>
  <si>
    <t xml:space="preserve">RIVIERA CABINETS INC</t>
  </si>
  <si>
    <t xml:space="preserve">CONOCOPHILLIPS # 27611</t>
  </si>
  <si>
    <t xml:space="preserve">S02588</t>
  </si>
  <si>
    <t xml:space="preserve">4401 CASCADE</t>
  </si>
  <si>
    <t xml:space="preserve">WHETS AUSOMCTIVE CORP (1980; SIC 3714) | WHITE AUTOMOTIVE CORP (1983; SIC 3714)</t>
  </si>
  <si>
    <t xml:space="preserve">WHITE AUTOMOTIVE CORP 2842 POLISHES AND SANITATION GOCDS (1973) |  (1974) | WHETS AUSOMCTIVE CORP (1980) | WHITE AUTOMOTIVE CORP (1983)</t>
  </si>
  <si>
    <t xml:space="preserve">NICHOLAS RECYCLING SOLUTIONS [FRS; 221 m]</t>
  </si>
  <si>
    <t xml:space="preserve">ENVIROCHEM CORPORATION [FRS; 190 m] | PIKES PEAK MOVING AND STORAGE [FRS; 192 m] | E D I SERVICES INC [FRS; 195 m] | ESTES EXPRESS LINES - 256 COLORADO SPRINGS [FRS; 233 m] | ESTES - COLORADO SPRINGS #256 [CDPHE RCRA; 233 m]</t>
  </si>
  <si>
    <t xml:space="preserve">PASS AT PIKEVIEW [FRS; 165 m] | BLOXOM MANUFACTURING [FRS; 190 m] | D &amp; B PRECISION PRODUCTS, INC. [FRS; 190 m] | ENVIROCHEM [FRS; 195 m] | INTL PACKAGING INC [FRS; 231 m]</t>
  </si>
  <si>
    <t xml:space="preserve">S03018</t>
  </si>
  <si>
    <t xml:space="preserve">2648 DELTA DR</t>
  </si>
  <si>
    <t xml:space="preserve"> (1974; SIC 3523)</t>
  </si>
  <si>
    <t xml:space="preserve"> (1974)</t>
  </si>
  <si>
    <t xml:space="preserve">BURNCO COLORADO LLC - COLORADO SPRINGS (PLANT 621) [FRS; 12 m]</t>
  </si>
  <si>
    <t xml:space="preserve">PEBBLE HAULERS INC [FRS; 12 m]</t>
  </si>
  <si>
    <t xml:space="preserve">BURNCO COLORADO LLC - COLORADO SPRINGS (PLANT 621)</t>
  </si>
  <si>
    <t xml:space="preserve">PEBBLE HAULERS INC</t>
  </si>
  <si>
    <t xml:space="preserve">S03358</t>
  </si>
  <si>
    <t xml:space="preserve">3501 N EL PASO</t>
  </si>
  <si>
    <t xml:space="preserve">ALPINE ALUMINUM AND GLASS PRODUCTS INC (1977; SIC 3442,3449)</t>
  </si>
  <si>
    <t xml:space="preserve">ALPINE ALUMINUM AND GLASS PRODUCTS INC (1977)</t>
  </si>
  <si>
    <t xml:space="preserve">CELLULAR PRODUCT SERVICES INC [FRS; 20 m]</t>
  </si>
  <si>
    <t xml:space="preserve">CAPPADONA'S FAMILY SVCES [FRS; 20 m]</t>
  </si>
  <si>
    <t xml:space="preserve">CHEN AND ASSOCIATES INC</t>
  </si>
  <si>
    <t xml:space="preserve">S03384</t>
  </si>
  <si>
    <t xml:space="preserve">4205 HIGH COUNTRY RD</t>
  </si>
  <si>
    <t xml:space="preserve">S_skoDack (1977; SIC 3444,3079,3999) | PIKE TOOL + GRENDENG INC (1980-1990; SIC 3444,3544,3599)</t>
  </si>
  <si>
    <t xml:space="preserve">S_skoDack (1977) | PIKE TOOL + GRENDENG INC (1980)</t>
  </si>
  <si>
    <t xml:space="preserve">PIKE TOOL &amp; GRINDING INCORPORATED [FRS; name match, 120 m] | PIKE TOOL &amp; GRINDING INC [TRI; name match, 152 m] | PIKE TOOL &amp; GRINDING INCORPORATED [FRS] (address match) | PIKE TOOL &amp; GRINDING INC [TRI] (address match)</t>
  </si>
  <si>
    <t xml:space="preserve">ACF ALL COAT FINISHING INC [CDPHE RCRA; 25 m] | ACF ALL COAT FINISHING INC [CDPHE RCRA] (address match)</t>
  </si>
  <si>
    <t xml:space="preserve">PIKE TOOL &amp; GRINDING INC [FRS; name match, 126 m] | CREATIVE FABRICATIONS LLC [FRS; 27 m] | ALL COAT FINISHING, INC. [FRS] (address match)</t>
  </si>
  <si>
    <t xml:space="preserve">PIKE TOOL &amp; GRINDING INCORPORATED</t>
  </si>
  <si>
    <t xml:space="preserve">ACF ALL COAT FINISHING INC</t>
  </si>
  <si>
    <t xml:space="preserve">S04110</t>
  </si>
  <si>
    <t xml:space="preserve">3407 N EL PASO ST</t>
  </si>
  <si>
    <t xml:space="preserve">MULOCK WELDING + FABRICATION (1980; SIC 3441) | CELLULAR PRODUCT SERVICES INC (1990; SIC 3089,3086)</t>
  </si>
  <si>
    <t xml:space="preserve">MULOCK WELDING + FABRICATION (1980) | CELLULAR PRODUCT SERVICES INC (1990)</t>
  </si>
  <si>
    <t xml:space="preserve">CELLULAR PRODUCT SERVICES INC [FRS; name match, 23 m] | CELLULAR PRODUCT SERVICES INC [TRI; name match, 95 m]</t>
  </si>
  <si>
    <t xml:space="preserve">CHEN AND ASSOCIATES INC [FRS; 37 m]</t>
  </si>
  <si>
    <t xml:space="preserve">CAPPADONA'S FAMILY SVCES [FRS; 23 m]</t>
  </si>
  <si>
    <t xml:space="preserve">S04122</t>
  </si>
  <si>
    <t xml:space="preserve">3404 N CASCADE</t>
  </si>
  <si>
    <t xml:space="preserve">$ ¢ 4 SHEET METAL, INC (1980-1992; SIC 3444)</t>
  </si>
  <si>
    <t xml:space="preserve">$ ¢ 4 SHEET METAL, INC (1980)</t>
  </si>
  <si>
    <t xml:space="preserve">ROCKY MOUNTAIN METAL FINISHERS [FRS; 69 m]</t>
  </si>
  <si>
    <t xml:space="preserve">S04909</t>
  </si>
  <si>
    <t xml:space="preserve">3339 N CASCADE</t>
  </si>
  <si>
    <t xml:space="preserve">INTERNATIONAL PACKAGINGs INC (1983-1990; SIC 2448,2653,3079) | CLASSIC CONTAINER CORP (1990; SIC 2653,3086)</t>
  </si>
  <si>
    <t xml:space="preserve">CLASSIC CONTAINER CORP (1983) | INTERNATIONAL PACKAGINGs INC (1983)</t>
  </si>
  <si>
    <t xml:space="preserve">MANSTONE LLC [TRI; 96 m]</t>
  </si>
  <si>
    <t xml:space="preserve">Urban Recycling [CDPHE Solid_Waste_Facilities; 11 m]</t>
  </si>
  <si>
    <t xml:space="preserve">INTERNATIONAL PACKAGING, INC. [FRS; name match, 3 m] | I.P.I. LLC [FRS; 3 m] | SPECTRANETICS CORP [FRS; 34 m]</t>
  </si>
  <si>
    <t xml:space="preserve">MANSTONE LLC</t>
  </si>
  <si>
    <t xml:space="preserve">ACCUCIRCUITS INCORPORATED</t>
  </si>
  <si>
    <t xml:space="preserve">S04914</t>
  </si>
  <si>
    <t xml:space="preserve">3250 DRENNAN INDLP</t>
  </si>
  <si>
    <t xml:space="preserve">COLORADO SILICA SAND» INC. (1983-1992; SIC 2819) | WESTERN SCRAP PROCESSING CO INC (1990; SIC 3399)</t>
  </si>
  <si>
    <t xml:space="preserve">COLORADO SILICA SAND» INC. (1983) | WESTERN SCRAP PROCESSING CO INC (1990)</t>
  </si>
  <si>
    <t xml:space="preserve">WESTERN SCRAP PROCESSING CO INC [FRS; name match, 183 m] | SEE 041-2026-001 LAFARGE WEST, INC. [FRS; 93 m] | STRESSCON CORP [FRS; 137 m] | BASALITE CONCRETE PRODUCTS LLC. [FRS; 223 m]</t>
  </si>
  <si>
    <t xml:space="preserve">BASALITE BUILDING PRODUCTS LLC [CDPHE RCRA; 54 m] | BASALITE BUILDING PRODUCTS LLC [FRS; 219 m]</t>
  </si>
  <si>
    <t xml:space="preserve">MACK ARCHITECTURAL CONCRETE [FRS; 167 m] | GENERAL SHALE BRICK COLORADO SPRINGS [FRS; 180 m] | GENERAL SHALE INC. [FRS; 223 m] | ROBINSON BLOCK LLC (WAS COLO CNCRT MFG) [FRS; 223 m]</t>
  </si>
  <si>
    <t xml:space="preserve">SEE 041-2026-001 LAFARGE WEST, INC.</t>
  </si>
  <si>
    <t xml:space="preserve">BASALITE BUILDING PRODUCTS LLC</t>
  </si>
  <si>
    <t xml:space="preserve">S04923</t>
  </si>
  <si>
    <t xml:space="preserve">3025 JANITELL RD</t>
  </si>
  <si>
    <t xml:space="preserve">ELECTRONICS METAL FINISHING CORP (1983-1990; SIC 3471) | FINISAING Gono A (1988; SIC 3471) | EMF CORPORATION (1992; SIC 3728)</t>
  </si>
  <si>
    <t xml:space="preserve">ELECTRONICS METAL FINISHING CORP (1983) | FINISAING Gono A (1988) | EMF CORPORATION (1992)</t>
  </si>
  <si>
    <t xml:space="preserve">ELECTRONICS METAL FINISHING CORP [FRS] (address match) | ELECTRONICS METAL FINISHING CORP [TRI] (address match)</t>
  </si>
  <si>
    <t xml:space="preserve">EMF CORP [CDPHE RCRA] (address match)</t>
  </si>
  <si>
    <t xml:space="preserve">S04926</t>
  </si>
  <si>
    <t xml:space="preserve">4805 NORTHPARK DR</t>
  </si>
  <si>
    <t xml:space="preserve">ENVIRONMENTAL APPLIED SCIENCES (1983; SIC 3564) | MICROTOME PRECISION INC (1983-1988; SIC 3679) | ENGINEERING DEVELOPMENT INC (1988; SIC 3585) | ENGINEERING DEVELOPMENT INC (1990; SIC 3585) | MICROTOME PRECISION INC (1990; SIC 3599)</t>
  </si>
  <si>
    <t xml:space="preserve">ENVIRONMENTAL APPLIED SCIENCES (1983) | MICROTOME PRECISION INC (1983) | ENGINEERING DEVELOPMENT INC (1988) | ENGINEERING DEVELOPMENT INC (1990) | MICROTOME PRECISION INC (1990)</t>
  </si>
  <si>
    <t xml:space="preserve">SPRINGFIELD PLATING, &amp; ANODIZING [FRS; 60 m] | SPRINGFIELD PLATING, &amp; ANODIZING [TRI; 95 m]</t>
  </si>
  <si>
    <t xml:space="preserve">MICROTOME PRECISION INC [FRS; name match, 61 m] | XIMPAK INC [CDPHE RCRA; 13 m] | HANSON CORPORATION DBA BUMPERDOC COLORADO SPRINGS [CDPHE RCRA; 33 m] | MICROTOME PRECISION INC [FRS] (address match)</t>
  </si>
  <si>
    <t xml:space="preserve">S04936</t>
  </si>
  <si>
    <t xml:space="preserve">1080 VALLEY ST A</t>
  </si>
  <si>
    <t xml:space="preserve">INDUSTRIAL CERAMICS INC (1983; SIC 3299,3573) | SUNLIGHT INDUSTRIES INC (1983; SIC 3433)</t>
  </si>
  <si>
    <t xml:space="preserve">INDUSTRIAL CERAMICS INC (1983) | SUNLIGHT INDUSTRIES INC (1983)</t>
  </si>
  <si>
    <t xml:space="preserve">DYNAMIC DETAILS INC [FRS; 170 m] | DYNAMIC DETAILS INC [TRI; 189 m]</t>
  </si>
  <si>
    <t xml:space="preserve">SUPER SPORTS PAINT AND BODY LLC - CHARLES W ALLDRIDGE [FRS; 42 m] | XCITE MANUFACTURING LLC DBA RICHARDSON METALS INC [FRS; 169 m] | GRIFFITH AUTOMOTIVE &amp; TRUCK INC [FRS; 172 m] | SIGNTECH INC [FRS; 211 m] | REDSTONE CAPITAL CORPORATION [FRS; 212 m]</t>
  </si>
  <si>
    <t xml:space="preserve">K.G. ELECTRIC [FRS; 169 m] | WESTERN ROOFING SPECIALISTS [FRS; 211 m]</t>
  </si>
  <si>
    <t xml:space="preserve">S04944</t>
  </si>
  <si>
    <t xml:space="preserve">50 MOUNT VIEW</t>
  </si>
  <si>
    <t xml:space="preserve">MAGNUM TOOL CO INC (1983; SIC 3469,3544,3541) | UNITOOL MACHINE CORP (1990-1992; SIC 3544,3599)</t>
  </si>
  <si>
    <t xml:space="preserve">MAGNUM TOOL CO INC (1983) | INTEGRITY MFC (1990) | UNITOOL MACHINE CORP (1990)</t>
  </si>
  <si>
    <t xml:space="preserve">NICHOLAS RECYCLING SOLUTIONS [FRS; 42 m]</t>
  </si>
  <si>
    <t xml:space="preserve">FEDEX FREIGHT COS [FRS; 6 m] | KAST MARBLE [FRS; 14 m] | ESTES EXPRESS LINES - 256 COLORADO SPRINGS [FRS; 25 m] | ESTES - COLORADO SPRINGS #256 [CDPHE RCRA; 25 m]</t>
  </si>
  <si>
    <t xml:space="preserve">FRONT RANGE COUNTERS [FRS; 46 m]</t>
  </si>
  <si>
    <t xml:space="preserve">FEDEX FREIGHT COS</t>
  </si>
  <si>
    <t xml:space="preserve">S04956</t>
  </si>
  <si>
    <t xml:space="preserve">3102 N BEACON ST</t>
  </si>
  <si>
    <t xml:space="preserve">MAGNUM TOOL CO INC (1990-1992; SIC 3469,3541,3544)</t>
  </si>
  <si>
    <t xml:space="preserve">PERFECT BINDERY INC THE (1983) | MAGNUM TOOL CO INC (1990)</t>
  </si>
  <si>
    <t xml:space="preserve">METAL SOLUTIONS [FRS; 121 m]</t>
  </si>
  <si>
    <t xml:space="preserve">AXIOM ACCIDENT &amp; HAIL REPAIR [CDPHE RCRA; 115 m] | FOGGS AUTO SHOP [FRS; 118 m] | AMERICAN ELECTRO PAINTING [FRS; 225 m] | HIGH COUNTRY AUTO BODY REBUILDERS [FRS; 225 m] | THE AUTOMINT INC [FRS; 225 m] | PHIL LONG COLLISION SOUTH [FRS; 234 m]</t>
  </si>
  <si>
    <t xml:space="preserve">EXCALIBUR MACHINE &amp; SHEETMETAL, INC. [FRS; 106 m] | OLDACH [FRS; 111 m] | 4283929 DELAWARE LLC - LASTING PAWS PET [FRS; 121 m] | MULTI DUTI MFG [FRS; 123 m] | MONUMENT CREEK AT TALEMINE [FRS; 191 m] | ZEROREZ OF COLORADO SPRINGS [FRS; 217 m] | ALLEN'S PAINTING &amp; WALLPAPER [FRS; 225 m]</t>
  </si>
  <si>
    <t xml:space="preserve">S04964</t>
  </si>
  <si>
    <t xml:space="preserve">2180 EXECUTIVE CIR</t>
  </si>
  <si>
    <t xml:space="preserve">UTERAL CORPORATION (1992; SIC 3572)</t>
  </si>
  <si>
    <t xml:space="preserve">ROLM TELECOMMUNICATIONS (1983) | SCHOOL BUTTONS AVX CORP (1988) | AVX CORP (1990) | UTERAL CORPORATION (1992)</t>
  </si>
  <si>
    <t xml:space="preserve">AVX CORP [FRS; name match, 60 m] | AVX CORP [TRI; name match, 208 m]</t>
  </si>
  <si>
    <t xml:space="preserve">CRAY COMPUTER CORP (P.C. OPERATION) [FRS] (address match)</t>
  </si>
  <si>
    <t xml:space="preserve">AVX CORP</t>
  </si>
  <si>
    <t xml:space="preserve">TRANEX, A DIVISION OF BADGER MAGNETICS, INC</t>
  </si>
  <si>
    <t xml:space="preserve">S04969</t>
  </si>
  <si>
    <t xml:space="preserve">3650 N NEVADA AVE</t>
  </si>
  <si>
    <t xml:space="preserve">TRW ELECTRONIC PRODUCTS INC (1990; SIC 3699,3577,3613)</t>
  </si>
  <si>
    <t xml:space="preserve">TR W ELECTRONIC PRODUCTS INC (1983)</t>
  </si>
  <si>
    <t xml:space="preserve">TRW INC ELECTRONIC PRODUCTS INC [TRI; name match, 161 m] | ETA TECHNOLOGIES CORP (WAS TRW ELECTRONI [FRS; 92 m] | ETA TECHNOLOGIES CORP (WAS TRW ELECTRONI [FRS] (address match) | TRW INC ELECTRONIC PRODUCTS INC [TRI] (address match)</t>
  </si>
  <si>
    <t xml:space="preserve">UCCS NATIONAL CYBERSECURITY CENTER [FRS] (address match)</t>
  </si>
  <si>
    <t xml:space="preserve">ETA TECHNOLOGIES CORP (WAS TRW ELECTRONI</t>
  </si>
  <si>
    <t xml:space="preserve">CONSOLIDATED FREIGHTWAYS</t>
  </si>
  <si>
    <t xml:space="preserve">S04971</t>
  </si>
  <si>
    <t xml:space="preserve">1140 GARD OF T GODS</t>
  </si>
  <si>
    <t xml:space="preserve">WESTERN TOOL + DIE INCORP (1983-1988; SIC 3544)</t>
  </si>
  <si>
    <t xml:space="preserve">WESTERN TOOL + DIE INCORP (1983)</t>
  </si>
  <si>
    <t xml:space="preserve">KEYSIGHT TECHNOLOGIES [TRI; 82 m]</t>
  </si>
  <si>
    <t xml:space="preserve">SONOCO PROTECTIVE SOLUTIONS, INC. [FRS; 18 m] | GENERAL ALUMINIUM FORGINGS (CO). INC [FRS; 102 m] | VELCON FILTERS INC [FRS; 171 m] | ASPEN ANALYTICAL [FRS; 213 m] | CHROMATIC TECHNOLOGIES INC [FRS; 219 m] | LINEAR MANUFACTURING [FRS; 221 m] | CHROMATIC TECHNOLOGIES INC. [FRS; 221 m]</t>
  </si>
  <si>
    <t xml:space="preserve">THERMOSAFE TECHOLOGIES INC [FRS; 18 m] | WHATABURGER GARDEN OF THE GODS [FRS; 54 m] | GENERAL ALUMINUM FORGINGS [FRS; 68 m] | DUNKIN' GARDEN OF THE GODS WEST [FRS; 77 m] | ENT GOTG [FRS; 129 m] | CIRCLE K STORES, INC [FRS; 164 m] | DANA CORP [FRS; 171 m] | TOLIN MECHANICAL SYSTEMS COMPANY [FRS; 213 m] | SAIA MOTOR FREIGHT LINE LTL-COS [FRS; 238 m]</t>
  </si>
  <si>
    <t xml:space="preserve">KEYSIGHT TECHNOLOGIES</t>
  </si>
  <si>
    <t xml:space="preserve">SONOCO PROTECTIVE SOLUTIONS, INC.</t>
  </si>
  <si>
    <t xml:space="preserve">S04972</t>
  </si>
  <si>
    <t xml:space="preserve">850 ELKTON DR</t>
  </si>
  <si>
    <t xml:space="preserve">WIGAND CORPORATION (1983-1990; SIC 2541,2599,2491) | CLEANING SYST HOWLAND MACHINE CORP (1988; SIC 3541,3845,3599) | + 4X4 BARS WIGAND CORP (1988; SIC 2491,2541,2599) | HOWLAND MACHINE CORP (1990; SIC 3499,3545,3599)</t>
  </si>
  <si>
    <t xml:space="preserve">WIGAND CORPORATION (1983) | CLEANING SYST HOWLAND MACHINE CORP (1988) | + 4X4 BARS WIGAND CORP (1988) | HOWLAND MACHINE CORP (1990)</t>
  </si>
  <si>
    <t xml:space="preserve">WIGAND CORPORATION [FRS; name match, 85 m] | WIGAND CORP [TRI] (address match)</t>
  </si>
  <si>
    <t xml:space="preserve">HOWLAND MACHINE CORP [FRS; name match, 17 m] | BAL SEAL ENGINEERING-MEDICAL PARTS GROUP [FRS; 7 m]</t>
  </si>
  <si>
    <t xml:space="preserve">WIGAND CORPORATION</t>
  </si>
  <si>
    <t xml:space="preserve">BAL SEAL ENGINEERING-MEDICAL PARTS GROUP</t>
  </si>
  <si>
    <t xml:space="preserve">S05429</t>
  </si>
  <si>
    <t xml:space="preserve">3540 N PROSPECT ST</t>
  </si>
  <si>
    <t xml:space="preserve">C+G MACHINE (1988-1990; SIC 3541,3544)</t>
  </si>
  <si>
    <t xml:space="preserve">C+G MACHINE (1988)</t>
  </si>
  <si>
    <t xml:space="preserve">PIONEER MANUFACTURING CO. [FRS; 218 m]</t>
  </si>
  <si>
    <t xml:space="preserve">WELLS &amp; WEST GENERAL CONTRACTORS [CDPHE RCRA; 72 m] | HUGHES SMITH INC [FRS; 82 m] | WELLS &amp; WEST GENERAL CONTRACTORS [FRS; 82 m] | FEDERAL MOVING AND STORAGE CO [FRS; 226 m]</t>
  </si>
  <si>
    <t xml:space="preserve">KROHNS COVERINGS INC [FRS; 26 m] | COLORADO CUSTOM TOPS [FRS; 146 m] | MUSTANG PARADISE [FRS; 191 m]</t>
  </si>
  <si>
    <t xml:space="preserve">S05442</t>
  </si>
  <si>
    <t xml:space="preserve">621 S SIERRA MADRE</t>
  </si>
  <si>
    <t xml:space="preserve">DRINKING WATER DENVER EQUIPMENT (1988; SIC 3321,3556,3559)</t>
  </si>
  <si>
    <t xml:space="preserve">DRINKING WATER DENVER EQUIPMENT (1988) | DENVER EQUIPMENT COMPANY (1992)</t>
  </si>
  <si>
    <t xml:space="preserve">METSO MINERALS PUMPS &amp; PROCESS [FRS; 32 m]</t>
  </si>
  <si>
    <t xml:space="preserve">SVEDALA INDUSTRIES INC PUMP &amp; PROCESS [CDPHE RCRA] (address match)</t>
  </si>
  <si>
    <t xml:space="preserve">METSO MINERALS PUMPS &amp; PROCESS [FRS; 35 m] | EPICENTER II FILING NO. 1 [FRS; 38 m] | METSO MINERALS PUMPS &amp; PROCESS [FRS] (address match)</t>
  </si>
  <si>
    <t xml:space="preserve">Brookhart Building Center I</t>
  </si>
  <si>
    <t xml:space="preserve">METSO MINERALS PUMPS &amp; PROCESS</t>
  </si>
  <si>
    <t xml:space="preserve">BROOKHART'S SIERRA MADRE</t>
  </si>
  <si>
    <t xml:space="preserve">S05451</t>
  </si>
  <si>
    <t xml:space="preserve">710 WOOTEN RD NO 108</t>
  </si>
  <si>
    <t xml:space="preserve">GENERAL MACHINE (1988-1990; SIC 3544)</t>
  </si>
  <si>
    <t xml:space="preserve">GENERAL MACHINE (1988)</t>
  </si>
  <si>
    <t xml:space="preserve">COMPTRONIX CORP [FRS; 19 m] | COMPTRONIX CORP [TRI; 84 m]</t>
  </si>
  <si>
    <t xml:space="preserve">GENERAL MACHINE INC [FRS; name match, 0 m]</t>
  </si>
  <si>
    <t xml:space="preserve">EVOQUA WATER TECHNOLOGIES PLANT 1080 COS [FRS; 19 m] | KROHN'S COVERING, INC [FRS; 39 m]</t>
  </si>
  <si>
    <t xml:space="preserve">S05460</t>
  </si>
  <si>
    <t xml:space="preserve">180 TALAMINE CT</t>
  </si>
  <si>
    <t xml:space="preserve">MANSTONE INC (1988-1992; SIC 3089) | SCREEN TECH GRAPHICS INC (1990; SIC 3479,2396,3999)</t>
  </si>
  <si>
    <t xml:space="preserve">KIRCHNER’S BAKERY (1988) | MANSTONE INC (1988) | THE PERFECT BINDERY (1988) | ARCHITECTURAL SPECIALTIES INC (1990) | SCREEN TECH GRAPHICS INC (1990) | SPECTRANETICS CORP (1990) | COLORTEK (1992)</t>
  </si>
  <si>
    <t xml:space="preserve">MANSTONE INC [FRS; name match, 77 m] | MANSTONE LLC [TRI; name match, 81 m]</t>
  </si>
  <si>
    <t xml:space="preserve">MANSTONE INC [CDPHE RCRA; name match, 48 m] | SPECTRANETICS 3305 NORTH CASCADE [FRS; name match, 58 m] | SPECTRANETICS CORPORATION THE [FRS; name match, 63 m] | ACCUCIRCUITS INCORPORATED [FRS; 41 m] | INTER CONNECT TECH [CDPHE RCRA; 48 m]</t>
  </si>
  <si>
    <t xml:space="preserve">Urban Recycling [CDPHE Solid_Waste_Facilities; 72 m]</t>
  </si>
  <si>
    <t xml:space="preserve">SPECTRANETICS CORP [FRS; name match, 55 m] | MANSTONE LLC - 105 TALAMINE CT [FRS; name match, 111 m] | ARCHITECTURAL SPECIALTIES [FRS; name match, 117 m] | COLORTEC PRINTING [FRS; 37 m]</t>
  </si>
  <si>
    <t xml:space="preserve">MANSTONE INC</t>
  </si>
  <si>
    <t xml:space="preserve">S05474</t>
  </si>
  <si>
    <t xml:space="preserve">740 WOOTEN RD</t>
  </si>
  <si>
    <t xml:space="preserve">PRESCRIPTION LENSES OPOTECH INC (1988; SIC 3572,3877)</t>
  </si>
  <si>
    <t xml:space="preserve">PRESCRIPTION LENSES OPOTECH INC (1988)</t>
  </si>
  <si>
    <t xml:space="preserve">COMPTRONIX CORP [FRS; 64 m]</t>
  </si>
  <si>
    <t xml:space="preserve">S05488</t>
  </si>
  <si>
    <t xml:space="preserve">2268 EXECUTIVE CR</t>
  </si>
  <si>
    <t xml:space="preserve">BATHROOM VANITIES RO-MAR LTD (1988; SIC 3679) | RO-MAR LTD (1990; SIC 3679) | RO-MAR LID (1992; SIC 3679,3577)</t>
  </si>
  <si>
    <t xml:space="preserve">BATHROOM VANITIES RO-MAR LTD (1988) | RO-MAR LTD (1990) | RO-MAR LID (1992)</t>
  </si>
  <si>
    <t xml:space="preserve">INMOS CORP, DIV/ SGS-THOMSON MICRO INC [FRS; 228 m]</t>
  </si>
  <si>
    <t xml:space="preserve">RO-MAR LIMITED [FRS; name match, 8 m] | HONEYWELL INTERNATIONAL [CDPHE RCRA; 95 m] | WESTONE LABORATORIES INC [FRS; 135 m] | CRAY COMPUTER CORP (P.C. OPERATION) [FRS; 220 m] | TRANEX, A DIVISION OF BADGER MAGNETICS, INC [FRS; 239 m]</t>
  </si>
  <si>
    <t xml:space="preserve">WESTONE LABORATORIES INC [FRS; 116 m] | HONEYWELL TECHNOLOGY SOLUTIONS INC [FRS; 224 m] | REDDY ICE - COLORADO SPRINGS (228) [FRS; 224 m]</t>
  </si>
  <si>
    <t xml:space="preserve">RO-MAR LIMITED</t>
  </si>
  <si>
    <t xml:space="preserve">S05491</t>
  </si>
  <si>
    <t xml:space="preserve">3606 N STONE DE</t>
  </si>
  <si>
    <t xml:space="preserve">TELEPHONE EQUIP S+H MACHINERY INC (1988; SIC 3089,3443,3444)</t>
  </si>
  <si>
    <t xml:space="preserve">TELEPHONE EQUIP S+H MACHINERY INC (1988)</t>
  </si>
  <si>
    <t xml:space="preserve">PEPSI COLA BOTTLING COMPANY [FRS; 3 m] | TRW INC ELECTRONIC PRODUCTS INC [TRI; 192 m] | CURRENT USA INC - STONE [FRS; 215 m] | CURRENT INC [TRI; 222 m]</t>
  </si>
  <si>
    <t xml:space="preserve">COLORADO SPRINGS UTILITIES INVESTMENT RECOVERY OPERATIONS [FRS; 92 m] | COLORADO SPRINGS UTILITIES INVESTMENT RECOVERY OPERATIONS  [CDPHE RCRA; 138 m] | CITY OF COLORADO SPRINGS [FRS; 158 m] | BIRDSALL SUBSTATION BLDG [FRS; 160 m] | SCHNEEBECK'S INDUSTRIES INC [FRS; 196 m] | CONSOLIDATED FREIGHTWAYS [FRS; 229 m]</t>
  </si>
  <si>
    <t xml:space="preserve">INTEGRITY WELDING &amp; FABRICATION, INC. [FRS; 129 m] | SECC [FRS; 158 m] | COLORADO SPRINGS UTILITIES - BIRDSALL POWER PLANT [FRS; 163 m] | GEORGE BIRDSALL POWER PLANT [FRS; 163 m] | FILLMORE COVERED RV STORAGE LLC [FRS; 198 m] | SAIA LTL-COS [FRS; 199 m]</t>
  </si>
  <si>
    <t xml:space="preserve">S05503</t>
  </si>
  <si>
    <t xml:space="preserve">4720 FORGE RD STE 102</t>
  </si>
  <si>
    <t xml:space="preserve">THERM-O-RAY INC (1988; SIC 3423,3469) | FITZ-RITE MACHINE + TOOL (1990; SIC 3423,3469)</t>
  </si>
  <si>
    <t xml:space="preserve">THERM-O-RAY INC (1988) | FITZ-RITE MACHINE + TOOL (1990)</t>
  </si>
  <si>
    <t xml:space="preserve">DIGITAL EQUIPMENT [FRS; 38 m]</t>
  </si>
  <si>
    <t xml:space="preserve">S06269</t>
  </si>
  <si>
    <t xml:space="preserve">1210 GARDEN OF THE GODS RD</t>
  </si>
  <si>
    <t xml:space="preserve">DANA CORP SPICER CLUTCH DIV (1990-1992; SIC 3714)</t>
  </si>
  <si>
    <t xml:space="preserve">DANA CORP SPICER CLUTCH DIV (1990)</t>
  </si>
  <si>
    <t xml:space="preserve">KEYSIGHT TECHNOLOGIES [TRI; 227 m]</t>
  </si>
  <si>
    <t xml:space="preserve">VELCON FILTERS INC [FRS; 25 m] | GENERAL ALUMINIUM FORGINGS (CO). INC [FRS; 44 m] | FUEL PURIFICATION SERVICES [FRS; 124 m] | SONOCO PROTECTIVE SOLUTIONS, INC. [FRS; 127 m] | DROPPING OFF NOW LLC [FRS; 135 m] | JIFFY LUBE [FRS; 137 m] | FEDERAL EXPRESS CORPORATION [CDPHE RCRA; 151 m] | SAFEWAY 879 [CDPHE RCRA; 151 m] | FRONTGRADE COLORADO SPRINGS [CDPHE RCRA; 151 m] | THE CENTER AT CENTENNIAL [CDP</t>
  </si>
  <si>
    <t xml:space="preserve">DANA CORP [FRS; name match, 25 m] | GENERAL ALUMINUM FORGINGS [FRS; 94 m] | CENTENNIAL BLVD RECONSTRUCTION [FRS; 116 m] | FUEL PURIFICTION SERVICES [FRS; 124 m] | THERMOSAFE TECHOLOGIES INC [FRS; 127 m] | WHATABURGER GARDEN OF THE GODS [FRS; 161 m] | CARROLL PAINTING [FRS; 185 m] | CONFIDENT COATINGS BY RAFFERTY [FRS; 185 m] | DUNKIN' GARDEN OF THE GODS WEST [FRS; 213 m]</t>
  </si>
  <si>
    <t xml:space="preserve">VELCON FILTERS INC</t>
  </si>
  <si>
    <t xml:space="preserve">S06279</t>
  </si>
  <si>
    <t xml:space="preserve">8245 N UNION</t>
  </si>
  <si>
    <t xml:space="preserve">HEWLETT-PACKARD CO, LOGIC SYSTEMS (1990; SIC 3577)</t>
  </si>
  <si>
    <t xml:space="preserve">HEWLETT-PACKARD CO, LOGIC SYSTEMS (1990)</t>
  </si>
  <si>
    <t xml:space="preserve">DIRECT CHECKS UNLIMITED, INC. [FRS; 96 m]</t>
  </si>
  <si>
    <t xml:space="preserve">HEWLETT PACKARD [FRS; name match, 96 m]</t>
  </si>
  <si>
    <t xml:space="preserve">DIRECT CHECKS UNLIMITED, INC.</t>
  </si>
  <si>
    <t xml:space="preserve">S06286</t>
  </si>
  <si>
    <t xml:space="preserve">115 E MOUNTVIEW LN</t>
  </si>
  <si>
    <t xml:space="preserve">KAST-MARBLE INC (1990; SIC 3089,3842)</t>
  </si>
  <si>
    <t xml:space="preserve">KAST-MARBLE INC (1990)</t>
  </si>
  <si>
    <t xml:space="preserve">NICHOLAS RECYCLING SOLUTIONS [FRS; 209 m] | HOLCIM WCR - CS-NORTH [FRS; 216 m]</t>
  </si>
  <si>
    <t xml:space="preserve">KAST MARBLE [FRS; name match, 153 m] | AUTOZONE #6286 [CDPHE RCRA; 152 m] | PENROSE HOSPITAL [CDPHE RCRA; 152 m] | MILLENNIUM AUTO CRAFT/MATTHIAS BOBER [CDPHE RCRA; 152 m] | NATIONAL COATINGS &amp; SUPPLIES [CDPHE RCRA; 152 m] | MHC TRUCK LEASING [CDPHE RCRA; 152 m] | KMART 4332 [CDPHE RCRA; 152 m] | TRANSIT MIX CONCRETE CO - NORTH PLANT [CDPHE RCRA; 152 m] | ACADEMY TRANSMISSIONS INC [CDPHE RCRA; 152</t>
  </si>
  <si>
    <t xml:space="preserve">FRONT RANGE COUNTERS [FRS; 121 m] | CREATIVE FABRICATIONS LLC [FRS; 162 m] | NEVADA PLANT [FRS; 168 m] | HOLCIM WCR - CS-NORTH [FRS; 209 m]</t>
  </si>
  <si>
    <t xml:space="preserve">AUTOZONE #6286</t>
  </si>
  <si>
    <t xml:space="preserve">S06319</t>
  </si>
  <si>
    <t xml:space="preserve">3507 N EL PASO</t>
  </si>
  <si>
    <t xml:space="preserve">WALKER BROTHERS CO (1990; SIC 2431,3446)</t>
  </si>
  <si>
    <t xml:space="preserve">WALKER BROTHERS CO (1990)</t>
  </si>
  <si>
    <t xml:space="preserve">CELLULAR PRODUCT SERVICES INC [FRS; 95 m]</t>
  </si>
  <si>
    <t xml:space="preserve">HUGHES SMITH INC</t>
  </si>
  <si>
    <t xml:space="preserve">S06939</t>
  </si>
  <si>
    <t xml:space="preserve">1100 GARDEN OF THE GODS RAD</t>
  </si>
  <si>
    <t xml:space="preserve">‘STYRO-MOLDERS CORP (1992; SIC 3086)</t>
  </si>
  <si>
    <t xml:space="preserve">‘STYRO-MOLDERS CORP (1992)</t>
  </si>
  <si>
    <t xml:space="preserve">KEYSIGHT TECHNOLOGIES [TRI; 18 m]</t>
  </si>
  <si>
    <t xml:space="preserve">SONOCO PROTECTIVE SOLUTIONS, INC. [FRS; 104 m] | CHROMATIC TECHNOLOGIES INC [FRS; 184 m] | GENERAL ALUMINIUM FORGINGS (CO). INC [FRS; 187 m] | ASPEN ANALYTICAL [FRS; 189 m] | CHROMATIC TECHNOLOGIES INC. [FRS; 207 m] | LINEAR MANUFACTURING [FRS; 207 m] | VERTEC TOOL, INC. [FRS; 229 m]</t>
  </si>
  <si>
    <t xml:space="preserve">DUNKIN' GARDEN OF THE GODS WEST [FRS; 52 m] | ENT GOTG [FRS; 68 m] | WHATABURGER GARDEN OF THE GODS [FRS; 96 m] | CIRCLE K STORES, INC [FRS; 102 m] | THERMOSAFE TECHOLOGIES INC [FRS; 104 m] | GENERAL ALUMINUM FORGINGS [FRS; 148 m] | TOLIN MECHANICAL SYSTEMS COMPANY [FRS; 189 m] | MERIT REAL ESTATE COMPANY [FRS; 217 m] | SAIA MOTOR FREIGHT LINE LTL-COS [FRS; 239 m]</t>
  </si>
  <si>
    <t xml:space="preserve">S01071</t>
  </si>
  <si>
    <t xml:space="preserve">309 S 11TH</t>
  </si>
  <si>
    <t xml:space="preserve">COLORADO REFRACTORIES CORP (1983-1990; SIC 3255,2899) | REFRACRSRtEs CORP (1988; SIC 2899,3255,3297)</t>
  </si>
  <si>
    <t xml:space="preserve">HARBISON WALKEK REFRACTORIES CU (1966) | COLORADG REFRACTORIES CORP (1970) | REFRACRSRtEs CORP (1988)</t>
  </si>
  <si>
    <t xml:space="preserve">PREMIER REFRACTORIES INC [TRI; name match, 58 m] | VESUVIUS PREMIER REFRACTORIES USA [FRS; name match, 156 m]</t>
  </si>
  <si>
    <t xml:space="preserve">PREMIER REFRACTORIES INC</t>
  </si>
  <si>
    <t xml:space="preserve">O'REILLY AUTO PARTS 2929</t>
  </si>
  <si>
    <t xml:space="preserve">S01074</t>
  </si>
  <si>
    <t xml:space="preserve">500 S 9TH</t>
  </si>
  <si>
    <t xml:space="preserve">OFC CERAMICS (1973; SIC 3567,3299,3255)</t>
  </si>
  <si>
    <t xml:space="preserve">RITZMAN CEMENT WORKS (1966) | OFC CERAMICS (1973)</t>
  </si>
  <si>
    <t xml:space="preserve">DFC CERAMICS [FRS; name match, 146 m] | DFC CERAMICS  INC [TRI; name match, 190 m]</t>
  </si>
  <si>
    <t xml:space="preserve">ACORN PETROLEUM INC. - CANON CITY [FRS; 3 m]</t>
  </si>
  <si>
    <t xml:space="preserve">DFC CERAMICS</t>
  </si>
  <si>
    <t xml:space="preserve">ESCOD INDUSTRIES - COLO DIV</t>
  </si>
  <si>
    <t xml:space="preserve">S01108</t>
  </si>
  <si>
    <t xml:space="preserve">1317 HARLAN</t>
  </si>
  <si>
    <t xml:space="preserve">LAKEWOGD METAL STAMPING, INC (1970-1974; SIC 3461)</t>
  </si>
  <si>
    <t xml:space="preserve">LAKEWOOD METAL STAMPING (1966)</t>
  </si>
  <si>
    <t xml:space="preserve">OKON INC [FRS; 65 m] | OKON INC [TRI; 75 m]</t>
  </si>
  <si>
    <t xml:space="preserve">MIDWEST ENVIRONMENTAL DBA ELTEX [FRS; 31 m] | PARADISE AUTO BODY [FRS; 38 m]</t>
  </si>
  <si>
    <t xml:space="preserve">CENTRAL READY MIX, LLC [FRS; 31 m]</t>
  </si>
  <si>
    <t xml:space="preserve">MIDWEST ENVIRONMENTAL DBA ELTEX</t>
  </si>
  <si>
    <t xml:space="preserve">S01120</t>
  </si>
  <si>
    <t xml:space="preserve">15000 W 44TH AVE</t>
  </si>
  <si>
    <t xml:space="preserve">1966;1967;1974;1980;1983;1988;1990</t>
  </si>
  <si>
    <t xml:space="preserve">SMITH, RAWLIN I (1966-1967; SIC 3523) | SPECIAL PRODUCTS CU (1966-1990; SIC 3523) | DIB CAST DIES SPECIAL PRODUCTS CO (1988; SIC 3451,3523)</t>
  </si>
  <si>
    <t xml:space="preserve">SMITH, RAWLIN I (1966) | SPECIAL PRODUCTS CU (1966) | DIB CAST DIES SPECIAL PRODUCTS CO (1988)</t>
  </si>
  <si>
    <t xml:space="preserve">SPECIAL PRODUCTS COMPANY - GOLDEN PLANT [FRS; name match, 85 m] | SPECIAL PRODUCTS COMPANY - GOLDEN PLANT [FRS] (address match)</t>
  </si>
  <si>
    <t xml:space="preserve">SPECIAL PRODUCTS COMPANY - GOLDEN PLANT [FRS; name match, 85 m] | WESTWAY MOTOR FREIGHT INC [FRS] (address match)</t>
  </si>
  <si>
    <t xml:space="preserve">SPECIAL PRODUCTS COMPANY - GOLDEN PLANT</t>
  </si>
  <si>
    <t xml:space="preserve">VARTEGA INC HEADQUARTERS</t>
  </si>
  <si>
    <t xml:space="preserve">S04240</t>
  </si>
  <si>
    <t xml:space="preserve">5060 WARD RD</t>
  </si>
  <si>
    <t xml:space="preserve">RATHCO STEEL FABRICATORS INC (1973-1983; SIC 3441) | EASTON BROTHERS MANUFACTURING (1980; SIC 3599) | EDA-GEOCO (1980; SIC 3829,3564,3823) | LITHOGRAPHIC BABSON BROTHERS CO (1988; SIC 3523) | BABSON BROTHERS CO (1990; SIC 3523)</t>
  </si>
  <si>
    <t xml:space="preserve">JOLLY RANCHER INC (1966) | RATHCO STEEL FABRICATORS INC (1973) | B 3D INC - CORPORATE REPRODUCTION CTR (1980) | EASTON BROTHERS MANUFACTURING (1980) | EDA-GEOCO (1980) | EDA (1983) | LITHOGRAPHIC BABSON BROTHERS CO (1988) | BABSON BROTHERS CO (1990) | FAIRMONT PRINTING (1990) | LEAF INC DENVER (1990)</t>
  </si>
  <si>
    <t xml:space="preserve">BOLDER TECHNOLOGIES CORP [FRS; 9 m]</t>
  </si>
  <si>
    <t xml:space="preserve">EDA INSTRUMENTS INC [FRS; name match, 52 m] | HERSHEY CORP/JOLLY RANCHER [FRS; name match, 124 m] | CKY INCORPORATED [FRS; 38 m] | TDA RESEARCH INC [FRS; 74 m] | HERSHEY CORP/JOLLY RANCHER [FRS] (address match)</t>
  </si>
  <si>
    <t xml:space="preserve">PLATINUM CARGO LOGISTICS, INC. [FRS; 9 m] | CF ALTITUDE - ALTA CONVIENCE 1243 [FRS; 19 m] | HERSHEY FOODS, INC. [FRS] (address match) | THE RIDGE AT WARD STATION [FRS] (address match)</t>
  </si>
  <si>
    <t xml:space="preserve">US GEOLOGICAL SURVEY -WATER LAB</t>
  </si>
  <si>
    <t xml:space="preserve">BOLDER TECHNOLOGIES CORP</t>
  </si>
  <si>
    <t xml:space="preserve">CKY INCORPORATED</t>
  </si>
  <si>
    <t xml:space="preserve">S01566</t>
  </si>
  <si>
    <t xml:space="preserve">14802 W 44TH AVE</t>
  </si>
  <si>
    <t xml:space="preserve">1967;1970;1973;1974;1980;1983;1990</t>
  </si>
  <si>
    <t xml:space="preserve">ASPHALT PAVIAG.CC (1967-1990; SIC 2951)</t>
  </si>
  <si>
    <t xml:space="preserve">ASPHALT PAVIAG.CC (1967)</t>
  </si>
  <si>
    <t xml:space="preserve">BALL METAL BEVERAGE CONTAINER CORPORATION [FRS; 50 m]</t>
  </si>
  <si>
    <t xml:space="preserve">ASPHALT PAVING COMPANY [FRS; name match, 1 m] | ASPHALT PAVING COMPANY [FRS] (address match) | ASPHALT PAVING CO SHOP [CDPHE RCRA] (address match)</t>
  </si>
  <si>
    <t xml:space="preserve">OLDCASTLE SW GROUP - LIPPMANN CRUSHER/SC [FRS; 1 m] | OLDCASTLE SW - LAMAR PORTABLE GEN [FRS; 1 m] | OLDCASTLE SW GROUP - PORTABLE SCREEN [FRS; 1 m] | OLDCASTLE SW GROUP -  PORT DIESEL RICE [FRS; 1 m] | OLDCASTLE SW GROUP - LIPPMANN CRUSHER/SC [FRS] (address match) | OLDCASTLE SW - LAMAR PORTABLE GEN [FRS] (address match) | OLDCASTLE SW GROUP - PORTABLE SCREEN [FRS] (address match) | OLDCASTLE SW </t>
  </si>
  <si>
    <t xml:space="preserve">BALL METAL BEVERAGE CONTAINER CORPORATION</t>
  </si>
  <si>
    <t xml:space="preserve">ASPHALT PAVING COMPANY</t>
  </si>
  <si>
    <t xml:space="preserve">S01871</t>
  </si>
  <si>
    <t xml:space="preserve">5783 W 56TH AVE</t>
  </si>
  <si>
    <t xml:space="preserve">1968;1983;1990</t>
  </si>
  <si>
    <t xml:space="preserve">UNITED STATES SUN CCRP (1968; SIC 2899,2842,2844) | HOSECO INC (1983; SIC 3429,3069,3559) | K + H CONSTRUCTION CO (1983-1990; SIC 3442) | NORTHSTAR FIRE PROTECTION (1983; SIC 3569)</t>
  </si>
  <si>
    <t xml:space="preserve">UNITED STATES SUN CCRP (1968) | HOSECO INC (1983) | K + H CONSTRUCTION CO (1983) | NORTHSTAR FIRE PROTECTION (1983)</t>
  </si>
  <si>
    <t xml:space="preserve">MARTIN MARIETTA ARVADA READY MIX [FRS; 51 m]</t>
  </si>
  <si>
    <t xml:space="preserve">KAIZEN AUTO CARE - ARVADA [FRS; 51 m] | ALPINE DEMOLITION - ALPINE DEMOLITION - [FRS; 51 m] | AB&amp;T SHOPPE.CN [FRS; 51 m]</t>
  </si>
  <si>
    <t xml:space="preserve">HOSECO INC [FRS; name match, 22 m] | K&amp;H HOME SOLUTIONS [FRS; 29 m] | K AND H WINDOWS AND EXTERIORS [FRS; 29 m] | MALI INTERNATIONAL USA INC. [FRS; 29 m] | AB&amp;T SHOPPE.CN [FRS; 51 m] | SMYRNA READY MIX - ARVADA MIX PLANT [FRS; 51 m] | MARTIN MARIETTA - PEGSON CRUSHER/SCREEN [FRS; 51 m]</t>
  </si>
  <si>
    <t xml:space="preserve">KAIZEN AUTO CARE - ARVADA</t>
  </si>
  <si>
    <t xml:space="preserve">S02615</t>
  </si>
  <si>
    <t xml:space="preserve">4370 KENDRICK</t>
  </si>
  <si>
    <t xml:space="preserve">GOLDCO INDUSTRIES INC (1973; SIC 3531,3536,3551) | RFP MANUFACTURING INC (1990; SIC 3089)</t>
  </si>
  <si>
    <t xml:space="preserve">GOLDCO INDUSTRIES INC (1973) | RFP MANUFACTURING INC (1990)</t>
  </si>
  <si>
    <t xml:space="preserve">RFP MANUFACTURING [TRI; name match, 204 m]</t>
  </si>
  <si>
    <t xml:space="preserve">ETI GROUP COMPANIES OF NORTH AMERICA INC</t>
  </si>
  <si>
    <t xml:space="preserve">S03174</t>
  </si>
  <si>
    <t xml:space="preserve">5981 TENNYSON</t>
  </si>
  <si>
    <t xml:space="preserve">T-C-D ENTERPRISES (1977-1983; SIC 3599)</t>
  </si>
  <si>
    <t xml:space="preserve">T-C-D ENTERPRISES (1977)</t>
  </si>
  <si>
    <t xml:space="preserve">MARK VII EQUIPMENT LLC [TRI; 37 m] | MARK VII EQUIPMENT INCORPORATED [FRS; 59 m]</t>
  </si>
  <si>
    <t xml:space="preserve">MARK VII EQUIPMENT INC [CDPHE RCRA; 40 m]</t>
  </si>
  <si>
    <t xml:space="preserve">CITY OF ARVADA NORTH TRUNK SEWER IMPROVEMENTS [FRS; 23 m]</t>
  </si>
  <si>
    <t xml:space="preserve">MARK VII EQUIPMENT LLC</t>
  </si>
  <si>
    <t xml:space="preserve">S04073</t>
  </si>
  <si>
    <t xml:space="preserve">10368 W CENTENNIAL</t>
  </si>
  <si>
    <t xml:space="preserve">MAGAZINE COLORADO PLASTICARD (1988-1990; SIC 3086)</t>
  </si>
  <si>
    <t xml:space="preserve">ROTHMAN FRED &amp; + CO (1980) | ROTHMAN FRED B + CO (1983) | MAGAZINE COLORADO PLASTICARD (1988) | PURNITURE FRED B ROTHMAN+CO (1988)</t>
  </si>
  <si>
    <t xml:space="preserve">DELUXE FINANCIAL SERVICES INC [FRS; 82 m]</t>
  </si>
  <si>
    <t xml:space="preserve">COLORADO PLASTICARD INC [FRS; name match, 5 m] | FRED B ROTHMAN &amp; CO [FRS; name match, 5 m]</t>
  </si>
  <si>
    <t xml:space="preserve">CPI CARD GROUP CO [FRS; 5 m]</t>
  </si>
  <si>
    <t xml:space="preserve">DELUXE FINANCIAL SERVICES INC</t>
  </si>
  <si>
    <t xml:space="preserve">COLORADO PLASTICARD INC</t>
  </si>
  <si>
    <t xml:space="preserve">S04192</t>
  </si>
  <si>
    <t xml:space="preserve">30395 BRYANT OR</t>
  </si>
  <si>
    <t xml:space="preserve">WESTERN SYSTEMS INC (1980; SIC 3662,3811,3599)</t>
  </si>
  <si>
    <t xml:space="preserve">WESTERN SYSTEMS INC (1980)</t>
  </si>
  <si>
    <t xml:space="preserve">LAFARGE WEST INC [TRI; 82 m]</t>
  </si>
  <si>
    <t xml:space="preserve">EVERGREEN AUTOWORKS [FRS; 12 m]</t>
  </si>
  <si>
    <t xml:space="preserve">UNIWATER INTERNATIONAL INC [FRS; 12 m] | LAFARGE WEST, INC. [FRS; 29 m]</t>
  </si>
  <si>
    <t xml:space="preserve">LAFARGE WEST INC</t>
  </si>
  <si>
    <t xml:space="preserve">EVERGREEN AUTOWORKS</t>
  </si>
  <si>
    <t xml:space="preserve">S04198</t>
  </si>
  <si>
    <t xml:space="preserve">15097 W 44TH ST</t>
  </si>
  <si>
    <t xml:space="preserve">GOLDCO INDUSTRIES INC (1980; SIC 3535,3551) | GOLOCO INDUSTRIES INC (1983; SIC 3535,3551)</t>
  </si>
  <si>
    <t xml:space="preserve">GOLDCO INDUSTRIES INC (1980) | GOLOCO INDUSTRIES INC (1983)</t>
  </si>
  <si>
    <t xml:space="preserve">SPECIAL PRODUCTS COMPANY - GOLDEN PLANT [FRS; 3 m] | RFP MANUFACTURING [TRI; 47 m] | C.F. MAIER COMPOSITES INC - SEE 059/1318 [FRS; 113 m]</t>
  </si>
  <si>
    <t xml:space="preserve">GOLDCO ENGINEERING [FRS; name match, 11 m] | ALLWASTE EXPLOSIVE SERVICES INC [FRS; 19 m] | VARTEGA INC HEADQUARTERS [FRS; 36 m] | ADVANCED COMPOSITE TECHNOLOGY [FRS; 51 m] | ADVANCED COMPOSITE TECHNOLOGY [FRS] (address match)</t>
  </si>
  <si>
    <t xml:space="preserve">SPECIAL PRODUCTS COMPANY - GOLDEN PLANT [FRS; 3 m] | SPEECO [FRS; 36 m] | WESTWAY MOTOR FREIGHT INC [FRS; 36 m] | CNR TRANSPORTATION [FRS; 145 m]</t>
  </si>
  <si>
    <t xml:space="preserve">GOLDCO ENGINEERING</t>
  </si>
  <si>
    <t xml:space="preserve">S04201</t>
  </si>
  <si>
    <t xml:space="preserve">15061 W 44TH AVE</t>
  </si>
  <si>
    <t xml:space="preserve">STONE ENVIRONMENTAL ENGR SERVICES INC (1980; SIC 3589)</t>
  </si>
  <si>
    <t xml:space="preserve">STONE ENVIRONMENTAL ENGR SERVICES INC (1980)</t>
  </si>
  <si>
    <t xml:space="preserve">SPECIAL PRODUCTS COMPANY - GOLDEN PLANT [FRS; 31 m] | RFP MANUFACTURING [TRI; 72 m]</t>
  </si>
  <si>
    <t xml:space="preserve">VARTEGA INC HEADQUARTERS [FRS; 4 m] | GOLDCO ENGINEERING [FRS; 21 m]</t>
  </si>
  <si>
    <t xml:space="preserve">SPEECO [FRS; 4 m] | WESTWAY MOTOR FREIGHT INC [FRS; 4 m] | SPECIAL PRODUCTS COMPANY - GOLDEN PLANT [FRS; 31 m]</t>
  </si>
  <si>
    <t xml:space="preserve">S04209</t>
  </si>
  <si>
    <t xml:space="preserve">11575 W 13TH AVE</t>
  </si>
  <si>
    <t xml:space="preserve">COLORADO CONVEYOR CO (1980-1983; SIC 3535) | CONVEYORS WEST CORP (1990; SIC 3535)</t>
  </si>
  <si>
    <t xml:space="preserve">COLORADO CONVEYOR CO (1980) | CONVEYORS WEST CORP (1990)</t>
  </si>
  <si>
    <t xml:space="preserve">QUALITY METAL PRODUCTS INC [TRI; 64 m]</t>
  </si>
  <si>
    <t xml:space="preserve">CORE INTERNATIONAL/LES NELSON [FRS; 37 m] | CORE INTERNATIONAL/LES NELSON [FRS] (address match)</t>
  </si>
  <si>
    <t xml:space="preserve">S05832</t>
  </si>
  <si>
    <t xml:space="preserve">6250 JOYCE DR</t>
  </si>
  <si>
    <t xml:space="preserve">ANDERSON + FORRESTER (1980-1990; SIC 3498,3423) | CENTURY INTERNATIONAL CORP (1980-1992; SIC 3589) | MID-WEST MACHINE PRODUCTS INC (1988-1990; SIC 2499,3444,3499)</t>
  </si>
  <si>
    <t xml:space="preserve">ANDERSON + FORRESTER (1980) | CENTURY INTERNATIONAL CORP (1980) | SILKSCREENED LOGOS DENVER SPECTRUM INC (1988) | MID-WEST MACHINE PRODUCTS INC (1988) | DENVER SPECTRUM INC (1990)</t>
  </si>
  <si>
    <t xml:space="preserve">AMF CENTURY [TRI] (address match)</t>
  </si>
  <si>
    <t xml:space="preserve">MIDWEST MACHINE PRODUCTS INCORPORATED [FRS; name match, 145 m] | INDUSTRIALEX CORPORATION [CDPHE RCRA; 8 m] | PHENOVA INC [CDPHE RCRA; 8 m]</t>
  </si>
  <si>
    <t xml:space="preserve">DENVER SPECTRUM INC [FRS; name match, 28 m] | MIDWEST MACHINE PRODUCTS INC [FRS; name match, 145 m]</t>
  </si>
  <si>
    <t xml:space="preserve">INDUSTRIALEX MANUFACTURING, CORP.</t>
  </si>
  <si>
    <t xml:space="preserve">INDUSTRIALEX CORPORATION</t>
  </si>
  <si>
    <t xml:space="preserve">S05056</t>
  </si>
  <si>
    <t xml:space="preserve">6800 JOYCE ST</t>
  </si>
  <si>
    <t xml:space="preserve">MARKON MANUFACTURING INC (1983; SIC 3499,3079)</t>
  </si>
  <si>
    <t xml:space="preserve">MARKON MANUFACTURING INC (1983)</t>
  </si>
  <si>
    <t xml:space="preserve">HONEYWELL, INC. [FRS; 246 m] | HONEYWELL GOLDEN OPERATIONS [TRI; 249 m]</t>
  </si>
  <si>
    <t xml:space="preserve">SYSTEMS ENGINEERING ASSOC INC [FRS; 76 m] | US DOE NLR JOYCE ST. FACILITY [FRS; 133 m] | GLASSTECH SOLAR INC [FRS; 133 m] | PASTIME  RESTORATION [FRS; 174 m] | GO GREEN RECYCLING DBA SUSTAINABILITY [FRS; 246 m] | US DOE NLR JOYCE ST. FACILITY [FRS] (address match)</t>
  </si>
  <si>
    <t xml:space="preserve">CITY OF ARVADA 2020 WATER MAIN REPLACEMENT20-WA-01 [FRS; 19 m] | COLORADO TAP HOUSE [FRS; 77 m] | SYSTEMS ELECTRONIC GROUP [FRS; 105 m] | WESTWOODS MESA [FRS; 183 m] | FAUSTON TOOL CORP [FRS; 184 m] | GEOS FILING 2 [FRS; 224 m] | GEOS NEIGHBORHOOD BLOCK 1-4 SUBDIVISION [FRS; 226 m] | RALSTON VALLEY SELF STORAGE [FRS; 227 m] | CLIMAX PERFORMANCE MATERIAL [FRS; 237 m] | RALSTON CREEK AND JOYCE ST [F</t>
  </si>
  <si>
    <t xml:space="preserve">HONEYWELL, INC.</t>
  </si>
  <si>
    <t xml:space="preserve">SYSTEMS ENGINEERING ASSOC INC</t>
  </si>
  <si>
    <t xml:space="preserve">S05905</t>
  </si>
  <si>
    <t xml:space="preserve">955 ASPEN RIDGE DR</t>
  </si>
  <si>
    <t xml:space="preserve">80021</t>
  </si>
  <si>
    <t xml:space="preserve">ASPEN RIBBONS INC (1988; SIC 3572,3955)</t>
  </si>
  <si>
    <t xml:space="preserve">ASPEN RIBBONS INC (1988)</t>
  </si>
  <si>
    <t xml:space="preserve">DESIGN FABRICATORS INC. [FRS; 165 m]</t>
  </si>
  <si>
    <t xml:space="preserve">DIAMOND PEAK CENTER [FRS; 245 m]</t>
  </si>
  <si>
    <t xml:space="preserve">S06100</t>
  </si>
  <si>
    <t xml:space="preserve">10790 W 50 AVE 1200</t>
  </si>
  <si>
    <t xml:space="preserve">ASSOCIATED METAL FABRICATIONS (1988; SIC 3499) | MOUNTAIN STATES CABINETS INC (1988; SIC 2611,2841)</t>
  </si>
  <si>
    <t xml:space="preserve">ASSOCIATED METAL FABRICATIONS (1988) | MOUNTAIN STATES CABINETS INC (1988)</t>
  </si>
  <si>
    <t xml:space="preserve">INTERNATIONAL PAPER-WHEAT RIDGE [FRS; 6 m] | INLAND CONTAINER CORP [TRI; 47 m]</t>
  </si>
  <si>
    <t xml:space="preserve">INTERNATIONAL PAPER-WHEAT RIDGE</t>
  </si>
  <si>
    <t xml:space="preserve">SKYLINE ENTERPRISES INC</t>
  </si>
  <si>
    <t xml:space="preserve">S06104</t>
  </si>
  <si>
    <t xml:space="preserve">4975 MILLER STC</t>
  </si>
  <si>
    <t xml:space="preserve">RIGRRDUSTRL SB (1988; SIC 3479)</t>
  </si>
  <si>
    <t xml:space="preserve">RIGRRDUSTRL SB (1988)</t>
  </si>
  <si>
    <t xml:space="preserve">ROCKY MOUNTAIN BOTTLE CO - 10619 W 50TH [FRS; 174 m]</t>
  </si>
  <si>
    <t xml:space="preserve">KRESCO INDUSTRIAL COATINGS [FRS; 13 m] | SCOTT EQUIPMENT COMPANY [FRS; 54 m] | ROCKY MOUNTAIN BOTTLE COMPANY [CDPHE RCRA; 214 m] | ABSOLUTE CAULKING &amp; WATERPROOFING INC [CDPHE RCRA; 245 m]</t>
  </si>
  <si>
    <t xml:space="preserve">ROCKY MOUNTAIN BOTTLE COMPANY [CDPHE Solid_Waste_Facilities; 198 m]</t>
  </si>
  <si>
    <t xml:space="preserve">TENERE INC WHEAT RIDGE DIV.CN [FRS; 13 m]</t>
  </si>
  <si>
    <t xml:space="preserve">ROCKY MOUNTAIN BOTTLE CO - 10619 W 50TH</t>
  </si>
  <si>
    <t xml:space="preserve">KRESCO INDUSTRIAL COATINGS</t>
  </si>
  <si>
    <t xml:space="preserve">S06121</t>
  </si>
  <si>
    <t xml:space="preserve">6542 FIG ST</t>
  </si>
  <si>
    <t xml:space="preserve">DENVER INSTRUMENT CO, AINSWORTH (1990; SIC 3596,3821,3829) | EASTER-OWENS ELECTRIC CO (1990; SIC 3469,3613,3625)</t>
  </si>
  <si>
    <t xml:space="preserve">DENVER INSTRUMENT CO, AINSWORTH (1990) | EASTER-OWENS ELECTRIC CO (1990)</t>
  </si>
  <si>
    <t xml:space="preserve">DENVER INSTRUMENT CO [FRS; name match, 41 m] | DENVER INSTRUMENT CO [TRI; name match, 62 m] | DENVER INSTRUMENT CO [FRS] (address match) | DENVER INSTRUMENT CO [TRI] (address match)</t>
  </si>
  <si>
    <t xml:space="preserve">EASTER-OWENS ELECTRIC CO [FRS; name match, 90 m]</t>
  </si>
  <si>
    <t xml:space="preserve">SARTORIUS CORPORATION [FRS; 41 m] | SARTORIUS CORPORATION [FRS] (address match)</t>
  </si>
  <si>
    <t xml:space="preserve">EASTER-OWENS ELECTRIC CO</t>
  </si>
  <si>
    <t xml:space="preserve">S06133</t>
  </si>
  <si>
    <t xml:space="preserve">14845 W 64TH AVE</t>
  </si>
  <si>
    <t xml:space="preserve">SUNDSTRAND, FLUID HANDLING (1990; SIC 3561,3563,3564)</t>
  </si>
  <si>
    <t xml:space="preserve">SUNDSTRAND, FLUID HANDLING (1990)</t>
  </si>
  <si>
    <t xml:space="preserve">SUNDYNE CORP [FRS; 186 m] | SUNDYNE CORP [FRS] (address match) | SUNDYNE LLC [TRI] (address match)</t>
  </si>
  <si>
    <t xml:space="preserve">ARVADA MODERN DENTISTRY [FRS; 57 m] | CVS PHARMACY #11138 [FRS; 173 m] | PHENOVA INC [FRS; 193 m] | INDUSTRIALEX CORPORATION [CDPHE RCRA; 223 m] | PHENOVA INC [CDPHE RCRA; 223 m] | SUNDYNE LLC [CDPHE RCRA] (address match)</t>
  </si>
  <si>
    <t xml:space="preserve">LEARNING EXPERIENCE ARVADA [FRS; 62 m] | LEARNING EXPERIENCE [FRS; 62 m] | LECTRA PRODUCTS COMPANY [FRS; 199 m] | DENVER SPECTRUM INC [FRS; 240 m]</t>
  </si>
  <si>
    <t xml:space="preserve">SUNDYNE CORP</t>
  </si>
  <si>
    <t xml:space="preserve">ARVADA MODERN DENTISTRY</t>
  </si>
  <si>
    <t xml:space="preserve">S06134</t>
  </si>
  <si>
    <t xml:space="preserve">6893 JOYCE ST</t>
  </si>
  <si>
    <t xml:space="preserve">SYSTEMS ENGINEERING ASSOCIATES (1990; SIC 3444,3625,3999)</t>
  </si>
  <si>
    <t xml:space="preserve">SYSTEMS ENGINEERING ASSOCIATES (1990)</t>
  </si>
  <si>
    <t xml:space="preserve">HONEYWELL, INC. [FRS; 235 m] | HONEYWELL GOLDEN OPERATIONS [TRI; 240 m]</t>
  </si>
  <si>
    <t xml:space="preserve">SYSTEMS ENGINEERING ASSOC INC [FRS; name match, 47 m] | US DOE NLR JOYCE ST. FACILITY [FRS; 163 m] | GLASSTECH SOLAR INC [FRS; 163 m] | PASTIME  RESTORATION [FRS; 166 m] | GO GREEN RECYCLING DBA SUSTAINABILITY [FRS; 235 m]</t>
  </si>
  <si>
    <t xml:space="preserve">CITY OF ARVADA 2020 WATER MAIN REPLACEMENT20-WA-01 [FRS; 16 m] | COLORADO TAP HOUSE [FRS; 48 m] | SYSTEMS ELECTRONIC GROUP [FRS; 78 m] | WESTWOODS MESA [FRS; 181 m] | GEOS NEIGHBORHOOD BLOCK 1-4 SUBDIVISION [FRS; 201 m] | GEOS FILING 2 [FRS; 206 m] | FAUSTON TOOL CORP [FRS; 214 m] | RALSTON VALLEY SELF STORAGE [FRS; 223 m] | CLIMAX PERFORMANCE MATERIAL [FRS; 231 m] | RED SILO DEVELOPMENT [FRS; 235</t>
  </si>
  <si>
    <t xml:space="preserve">S07052</t>
  </si>
  <si>
    <t xml:space="preserve">6945 INDIANA CT</t>
  </si>
  <si>
    <t xml:space="preserve">DAGO CASES (1992; SIC 3449,3089)</t>
  </si>
  <si>
    <t xml:space="preserve">DAGO CASES (1992)</t>
  </si>
  <si>
    <t xml:space="preserve">HONEYWELL, INC. [FRS; 69 m] | HONEYWELL GOLDEN OPERATIONS [TRI; 75 m]</t>
  </si>
  <si>
    <t xml:space="preserve">GO GREEN RECYCLING DBA SUSTAINABILITY [FRS; 69 m] | PASTIME  RESTORATION [FRS; 131 m] | SYSTEMS ENGINEERING ASSOC INC [FRS; 239 m]</t>
  </si>
  <si>
    <t xml:space="preserve">6950 INDIANA CT [FRS; 57 m] | RED SILO DEVELOPMENT [FRS; 69 m] | CLIMAX PERFORMANCE MATERIAL [FRS; 69 m] | CHRISTIAN BROTHERS AUTOMOTIVE CORPORATION [FRS; 103 m] | CLIMAX PERFORMANCE MATERIAL [FRS; 108 m] | RALSTON VALLEY SELF STORAGE [FRS; 122 m] | WESTWOODS MESA [FRS; 155 m] | TACO BELL ARVADA [FRS; 172 m] | LOT 11 CLOMR-F [FRS; 180 m] | SYSTEMS ELECTRONIC GROUP [FRS; 204 m] | ADE [FRS; 227 m] |</t>
  </si>
  <si>
    <t xml:space="preserve">S07162</t>
  </si>
  <si>
    <t xml:space="preserve">4185 WADSWORTH BIVD</t>
  </si>
  <si>
    <t xml:space="preserve">SIGNS PLUS INC (1992; SIC 3993,3499,2759)</t>
  </si>
  <si>
    <t xml:space="preserve">SIGNS PLUS INC (1992)</t>
  </si>
  <si>
    <t xml:space="preserve">ACTION RECYCLING CENTER [FRS; 20 m]</t>
  </si>
  <si>
    <t xml:space="preserve">S02652</t>
  </si>
  <si>
    <t xml:space="preserve">316 LINK LN RO</t>
  </si>
  <si>
    <t xml:space="preserve">1966;1967;1973;1977;1980;1983;1988;1990</t>
  </si>
  <si>
    <t xml:space="preserve">SEDER PLASTIC CORP (1966-1990; SIC 3079) | HOT TRAY INC (1983; SIC 3079) | KUCK SHEET METAL INC (1983; SIC 3444) | TEACHING MATERIALS SEDER PLASTIC CORP (1988; SIC 3089)</t>
  </si>
  <si>
    <t xml:space="preserve">SEDER PLASTIC CORP (1966) | CITIZENS PRINTING CO, INC. (1973) | SALESMARK (1973) | HIGH PINE JF COLORADD INC (1977) | STUDLO OF PRINTCRAFT (1980) | BAKER INSTRUMENT CO (1983) | HOT TRAY INC (1983) | KUCK SHEET METAL INC (1983) | RANCHWOOO PRODUCTS (1983) |  (1983) | POULTRY FEEDS RANCHWOOD PRODUCTS (1988) | TEACHING MATERIALS SEDER PLASTIC CORP (1988)</t>
  </si>
  <si>
    <t xml:space="preserve">MOUNTAIN STATES FINISHING [FRS; 111 m]</t>
  </si>
  <si>
    <t xml:space="preserve">AMS AUTOMOTIVE MACHINE &amp; SUPPLY INC [CDPHE RCRA; 20 m] | CARRIAGE SHOPPE INC [CDPHE RCRA; 20 m] | AMS AUTOMOTIVE MACHINE &amp; SUPPLY INC [FRS; 39 m] | CARRIAGE SHOPPE INC [FRS; 79 m] | WALMART SUPERCENTER  #2729 [CDPHE RCRA; 140 m]</t>
  </si>
  <si>
    <t xml:space="preserve">GENESIS PROJECT [FRS; 14 m] | SCHRADER OIL CO [FRS; 155 m] | FIBERON [FRS; 192 m] | SANDY'S SHELL [FRS; 219 m]</t>
  </si>
  <si>
    <t xml:space="preserve">MOUNTAIN STATES FINISHING</t>
  </si>
  <si>
    <t xml:space="preserve">AMS AUTOMOTIVE MACHINE &amp; SUPPLY INC</t>
  </si>
  <si>
    <t xml:space="preserve">S02152</t>
  </si>
  <si>
    <t xml:space="preserve">511 8TH ST S E</t>
  </si>
  <si>
    <t xml:space="preserve">1970;1973;1980;1983;1988;1990</t>
  </si>
  <si>
    <t xml:space="preserve">CONTROLLED CASTINGS (1970; SIC 3369,3323,3591) | COLORADO SCREW MACHINE (1973-1990; SIC 3451,3451,3591) | ART CASTINGS OF COLO (1980-1983; SIC 3369) | METAL CASTINGS OF COLORADO ING (1988; SIC 3499)</t>
  </si>
  <si>
    <t xml:space="preserve">CONTROLLED CASTINGS (1970) | COLORADO SCREW MACHINE (1973) | COLORADO SCREW MACHINE 3552 TEXTILE MACHINERY 2068 NEC (1977) | ART CASTINGS OF COLO (1980) | METAL CASTINGS OF COLORADO ING (1988)</t>
  </si>
  <si>
    <t xml:space="preserve">METAL CASTINGS OF COLORADO INC. [FRS; name match, 112 m] | METAL CASTINGS OF COLORADO INC. [TRI; name match, 141 m]</t>
  </si>
  <si>
    <t xml:space="preserve">COLORADO SCREW MACHINE [FRS; name match, 36 m]</t>
  </si>
  <si>
    <t xml:space="preserve">ROB'S IMPORT MOTORS [FRS; 35 m]</t>
  </si>
  <si>
    <t xml:space="preserve">METAL CASTINGS OF COLORADO INC.</t>
  </si>
  <si>
    <t xml:space="preserve">COLORADO SCREW MACHINE</t>
  </si>
  <si>
    <t xml:space="preserve">S03459</t>
  </si>
  <si>
    <t xml:space="preserve">446 LINK LN</t>
  </si>
  <si>
    <t xml:space="preserve">MUNCO INC (1977; SIC 3599,3561)</t>
  </si>
  <si>
    <t xml:space="preserve">MUNCO INC (1977) | VERNS TOFFEE HOUSE (1988)</t>
  </si>
  <si>
    <t xml:space="preserve">MOUNTAIN STATES FINISHING [FRS; 179 m]</t>
  </si>
  <si>
    <t xml:space="preserve">AMS AUTOMOTIVE MACHINE &amp; SUPPLY INC [FRS; 118 m] | UNITED RENTALS (NORTH AMERICA) INC [FRS; 136 m] | AMS AUTOMOTIVE MACHINE &amp; SUPPLY INC [CDPHE RCRA; 179 m] | CARRIAGE SHOPPE INC [CDPHE RCRA; 179 m] | WALMART SUPERCENTER  #2729 [CDPHE RCRA; 198 m] | CARRIAGE SHOPPE INC [FRS; 237 m] | AC SPECIALISTS DBA SPECIALTY AUTO BODY [FRS; 243 m] | SORTED [FRS; 246 m] | G&amp;C ENTERPRISE, INC DBA MAACO [FRS; 247</t>
  </si>
  <si>
    <t xml:space="preserve">SCHRADER OIL CO [FRS; 3 m] | SANDY'S SHELL [FRS; 66 m] | GENESIS PROJECT [FRS; 144 m] | COLORADO IRON &amp; METAL INC [FRS; 196 m] | CRASH CHAMPIONS - 1617 E MULBERRY [FRS; 247 m]</t>
  </si>
  <si>
    <t xml:space="preserve">S03468</t>
  </si>
  <si>
    <t xml:space="preserve">401 LINDEN CENTER DR</t>
  </si>
  <si>
    <t xml:space="preserve">ROLLED STEEL PRODUCTS. (1990; SIC 3499)</t>
  </si>
  <si>
    <t xml:space="preserve">ROBINSON PRESS, INC. (1977) | ROLLED STEEL PRODUCTS. (1990)</t>
  </si>
  <si>
    <t xml:space="preserve">NEW BELGIUM BREWING CO INC [FRS; 96 m]</t>
  </si>
  <si>
    <t xml:space="preserve">FORT COLLINS UTILITIES/LINDEN TECH SUBSTATION [FRS; 2 m]</t>
  </si>
  <si>
    <t xml:space="preserve">NEW BELGIUM BREWING CO INC</t>
  </si>
  <si>
    <t xml:space="preserve">S03487</t>
  </si>
  <si>
    <t xml:space="preserve">4125 MAIN</t>
  </si>
  <si>
    <t xml:space="preserve">R+R MACHINING (1990; SIC 3599,3499)</t>
  </si>
  <si>
    <t xml:space="preserve">ALPINE CABINET CO (1977) | R+R MACHINING (1990)</t>
  </si>
  <si>
    <t xml:space="preserve">ALPINE CABINET CO [TRI; name match, 118 m] | ALPINE CABINET CO [FRS; name match, 133 m]</t>
  </si>
  <si>
    <t xml:space="preserve">S04266</t>
  </si>
  <si>
    <t xml:space="preserve">1800 N TAFT HILL RD</t>
  </si>
  <si>
    <t xml:space="preserve">BELT WEIGHING SYSTEMS (1980-1988; SIC 3576)</t>
  </si>
  <si>
    <t xml:space="preserve">BELT WEIGHING SYSTEMS (1980) | ROCKY MTN QUARTZ INC (1988)</t>
  </si>
  <si>
    <t xml:space="preserve">MARTIN MARIETTA - TAFT ASPHALT PLANT [FRS; 20 m] | MARTIN MARIETTA - TAFT ASPHALT PLANT [FRS] (address match) | MARTIN MARIETTA - TAFT ASPHALT [TRI] (address match)</t>
  </si>
  <si>
    <t xml:space="preserve">LAFARGE WEST, INC. [FRS] (address match)</t>
  </si>
  <si>
    <t xml:space="preserve">MARTIN MARIETTA - CEDARAPIDS 3042 [FRS; 20 m] | STERLING PAVING CO [FRS; 20 m] | MARTIN MARIETTA - CEDARAPIDS 6X20 [FRS; 20 m] | STERLING PAVING CO [FRS] (address match) | MARTIN MARIETTA - CEDARAPIDS 3042 [FRS] (address match) | MARTIN MARIETTA CEDARAPIDS C54II [FRS] (address match)</t>
  </si>
  <si>
    <t xml:space="preserve">MARTIN MARIETTA - TAFT ASPHALT PLANT</t>
  </si>
  <si>
    <t xml:space="preserve">S04288</t>
  </si>
  <si>
    <t xml:space="preserve">1839 HARMONY RO</t>
  </si>
  <si>
    <t xml:space="preserve">WALKER MANUFACTURING CO (1980; SIC 3585,3524,3589)</t>
  </si>
  <si>
    <t xml:space="preserve">WALKER MANUFACTURING CO (1980)</t>
  </si>
  <si>
    <t xml:space="preserve">INNOVATIVE COMPANIES [TRI; 235 m]</t>
  </si>
  <si>
    <t xml:space="preserve">CST METRO LLC DBA CORNER STORE #1152 [FRS; 206 m]</t>
  </si>
  <si>
    <t xml:space="preserve">INNOVATIVE COMPANIES</t>
  </si>
  <si>
    <t xml:space="preserve">S05133</t>
  </si>
  <si>
    <t xml:space="preserve">2330 E PROSPECT ST</t>
  </si>
  <si>
    <t xml:space="preserve">ION TECH INC (1983; SIC 3674) | MO E SYSTEMS INC (1983; SIC 3479) | CATTLE PUB M O E SYSTEMS INC (1988; SIC 3479) | ION TECH INC (1990; SIC 3674,3699,3829) | MOE SYSTEMS INC (1990; SIC 3479)</t>
  </si>
  <si>
    <t xml:space="preserve">ION TECH INC (1983) | MO E SYSTEMS INC (1983) | CATTLE PUB M O E SYSTEMS INC (1988) | ION TECH INC (1990) | MOE SYSTEMS INC (1990)</t>
  </si>
  <si>
    <t xml:space="preserve">ADVANCED ENERGY INDUSTRIES [FRS; 92 m]</t>
  </si>
  <si>
    <t xml:space="preserve">VEECO - FORT COLLINS [FRS; 3 m] | GLOBAL PEPTIDE SERVICES LLC [FRS; 88 m] | FORT COLLINS MRI [FRS; 155 m]</t>
  </si>
  <si>
    <t xml:space="preserve">LARIMER ASD/COMCOR EXPANSION [FRS; 238 m] | TIMBERLINE SELF STORAGE [FRS; 244 m]</t>
  </si>
  <si>
    <t xml:space="preserve">VEECO - FORT COLLINS</t>
  </si>
  <si>
    <t xml:space="preserve">S05140</t>
  </si>
  <si>
    <t xml:space="preserve">1730 PROSPECT ST</t>
  </si>
  <si>
    <t xml:space="preserve">VETERINARIAN SPLINT TELEDYNE WATER PIK (1988; SIC 3089,3843)</t>
  </si>
  <si>
    <t xml:space="preserve">TELEDYNE WATER PIK 3442 ALUMINIUM INTERIOR/EXTERIOR STORMS (1983) | VETERINARIAN SPLINT TELEDYNE WATER PIK (1988)</t>
  </si>
  <si>
    <t xml:space="preserve">ADVANCED ENERGY INDUSTRIES [FRS; 24 m]</t>
  </si>
  <si>
    <t xml:space="preserve">GLOBAL PEPTIDE SERVICES LLC [FRS; 1 m] | FORT COLLINS MRI [FRS; 67 m] | VEECO - FORT COLLINS [FRS; 91 m]</t>
  </si>
  <si>
    <t xml:space="preserve">LARIMER COUNTY JAIL [FRS; 229 m]</t>
  </si>
  <si>
    <t xml:space="preserve">GLOBAL PEPTIDE SERVICES LLC</t>
  </si>
  <si>
    <t xml:space="preserve">S05141</t>
  </si>
  <si>
    <t xml:space="preserve">1418 E MAGNOLIA</t>
  </si>
  <si>
    <t xml:space="preserve">PLASTEC PRODUCTS INC (1990; SIC 3089) | TOOLTEC MOLD CORP (1990; SIC 3544)</t>
  </si>
  <si>
    <t xml:space="preserve">TOOLTEC MOLD CORPORATION (1983) | PLASTEC PRODUCTS INC (1990)</t>
  </si>
  <si>
    <t xml:space="preserve">MOUNTAIN STATES FINISHING [FRS; 72 m]</t>
  </si>
  <si>
    <t xml:space="preserve">WALMART SUPERCENTER  #2729</t>
  </si>
  <si>
    <t xml:space="preserve">S05796</t>
  </si>
  <si>
    <t xml:space="preserve">2806 ZURICH DR</t>
  </si>
  <si>
    <t xml:space="preserve">ONAL SOLAR D.B.A.-THERMAL TECHNETICS (1988; SIC 3433)</t>
  </si>
  <si>
    <t xml:space="preserve">ONAL SOLAR D.B.A.-THERMAL TECHNETICS (1988)</t>
  </si>
  <si>
    <t xml:space="preserve">SUMMIT VIEW [FRS; 238 m]</t>
  </si>
  <si>
    <t xml:space="preserve">ALPINE MANUFACTURING INCORPORATED [FRS; 104 m] | PRECISION INCORPORATED [FRS; 192 m]</t>
  </si>
  <si>
    <t xml:space="preserve">WEST MAIN 2014 [FRS; 104 m] | WASSON-ECE INSTRUMENTATION [FRS; 119 m] | ULTIMATE SUPPORT SYSTEM INCORPORATED [FRS; 192 m] | BARKER SAND AND GRAVEL RECLAMATION [FRS; 203 m] | SUMMIT VIEW READY MIX [FRS; 238 m] | SUMMIT VIEW FACILITY AND OFF SITE STORM DRAIN UTILTY [FRS; 238 m] | SUMMIT VIEW FACILITY AND OFF SITE STORM DRAIN UTILITY [FRS; 238 m] | SMYRNA READY MIX - SUMMIT VIEW READY MIX [FRS; 238 m</t>
  </si>
  <si>
    <t xml:space="preserve">SUMMIT VIEW</t>
  </si>
  <si>
    <t xml:space="preserve">S06583</t>
  </si>
  <si>
    <t xml:space="preserve">900 E LINDEN AVE</t>
  </si>
  <si>
    <t xml:space="preserve">COLUMBINE PRODUCTS INC (1990; SIC 3089,3999)</t>
  </si>
  <si>
    <t xml:space="preserve">COLUMBINE PRODUCTS INC (1990)</t>
  </si>
  <si>
    <t xml:space="preserve">NEW BELGIUM BREWING CO INC [FRS; 237 m]</t>
  </si>
  <si>
    <t xml:space="preserve">COLORADO DEPT OF TRANS - FORT COLLINS [FRS; 29 m] | WASTE MANAGEMENT OF NORTHERN COLORADO [FRS; 85 m] | LARIMER COUNTY FLEET SERVICE [FRS; 198 m]</t>
  </si>
  <si>
    <t xml:space="preserve">LINDEN 2016 DUCT BANK [FRS; 199 m]</t>
  </si>
  <si>
    <t xml:space="preserve">COLORADO DEPT OF TRANS - FORT COLLINS</t>
  </si>
  <si>
    <t xml:space="preserve">S01184</t>
  </si>
  <si>
    <t xml:space="preserve">287 27TH RD</t>
  </si>
  <si>
    <t xml:space="preserve">1966;1980;1983;1988;1990;1992</t>
  </si>
  <si>
    <t xml:space="preserve">OIXSON INC (1966; SIC 3714) | DIXSON INC (1980; SIC 3714,3999) | DIXSON INC sats (1983; SIC 3714) | DIXSON INC (1988-1992; SIC 3714)</t>
  </si>
  <si>
    <t xml:space="preserve">OIXSON INC (1966) | DIXSON INC (1973) | OIXSON INC 2431 MILLWORK 2541 WOOD PARTITIONS AND FIXTURES (1977) | DIXSON INC sats (1983) | DIXSON INC (1988)</t>
  </si>
  <si>
    <t xml:space="preserve">AMETEK DIXSON [FRS; name match, 110 m] | AMETEK DIXSON [TRI; name match, 202 m]</t>
  </si>
  <si>
    <t xml:space="preserve">AMETEK DIXSON</t>
  </si>
  <si>
    <t xml:space="preserve">S01190</t>
  </si>
  <si>
    <t xml:space="preserve">1101 3RD AVE 1502</t>
  </si>
  <si>
    <t xml:space="preserve">1966;1983;1988;1990;1992</t>
  </si>
  <si>
    <t xml:space="preserve">GRAND JUNCTION STEEL FAB CO (1966; SIC 3441) | GRAND JUNCTION STEEL (1983-1990; SIC 3441,3443,3449) | TUMAC INDUSTRIES INC (1992; SIC 3523)</t>
  </si>
  <si>
    <t xml:space="preserve">GRAND JUNCTION STEEL FAB CO (1966) | GRAND JUNCTION STEEL (1983) | TUMAC INDUSTRIES INC (1992)</t>
  </si>
  <si>
    <t xml:space="preserve">GRAND JUNCTION STEEL LLC [FRS; name match, 56 m] | GRAND JUNCTION STEEL LLC [TRI; name match, 110 m]</t>
  </si>
  <si>
    <t xml:space="preserve">ENERGY RECOVERY SYSTEMS INC</t>
  </si>
  <si>
    <t xml:space="preserve">S01915</t>
  </si>
  <si>
    <t xml:space="preserve">150 WW MAIN ST</t>
  </si>
  <si>
    <t xml:space="preserve">PLASTA-BOND CC (1968-1970; SIC 3079,2541)</t>
  </si>
  <si>
    <t xml:space="preserve">PLASTA-BOND CC (1968) | STAINED GLASS EMPORIUM INC (1983)</t>
  </si>
  <si>
    <t xml:space="preserve">CASTINGS INC [TRI; 76 m]</t>
  </si>
  <si>
    <t xml:space="preserve">PLUMP AND LUSCIOUS</t>
  </si>
  <si>
    <t xml:space="preserve">FEED LOT RESTAURANT &amp; LOUNGE</t>
  </si>
  <si>
    <t xml:space="preserve">S02680</t>
  </si>
  <si>
    <t xml:space="preserve">839 S 8TH ST</t>
  </si>
  <si>
    <t xml:space="preserve">Fabricated metals; Industrial machinery; Petroleum refining; Primary metals</t>
  </si>
  <si>
    <t xml:space="preserve">CASTINGS» INC (1973-1977; SIC 3321,3362,3361) | SUNCTION IRON WORKS (1980-1988; SIC 3446,3441,3449)</t>
  </si>
  <si>
    <t xml:space="preserve">CASTINGS» INC (1973) | SUNCTION IRON WORKS (1980)</t>
  </si>
  <si>
    <t xml:space="preserve">CASTINGS INC [FRS; name match, 110 m] | CORRECYCLING INC [FRS; 97 m]</t>
  </si>
  <si>
    <t xml:space="preserve">CORRecycling, Inc. - 739 3rd Ave [CDPHE Solid_Waste_Facilities; 55 m]</t>
  </si>
  <si>
    <t xml:space="preserve">BELL ELECTRIC GJ-00506-CS</t>
  </si>
  <si>
    <t xml:space="preserve">S02686</t>
  </si>
  <si>
    <t xml:space="preserve">347 27 1 2 RD</t>
  </si>
  <si>
    <t xml:space="preserve">Chemicals; Primary metals; Rubber &amp; plastics</t>
  </si>
  <si>
    <t xml:space="preserve">GRAND VALLEY BY-PRODUCTS CO (1973; SIC 2077,2048,2813) |  (1977; SIC 3324,2077,2048) | STRESSED SKIN DESIGN INC (1983; SIC 3079) | BESGNIREM™ (1988; SIC 3089)</t>
  </si>
  <si>
    <t xml:space="preserve">GRAND VALLEY BY-PRODUCTS CO (1973) |  (1977) | STRESSED SKIN DESIGN INC (1983) | LUMBER LJP ENTERPRISES INC (1988) | BESGNIREM™ (1988)</t>
  </si>
  <si>
    <t xml:space="preserve">SAFETY KLEEN CORP 6 052 01 [FRS; 114 m]</t>
  </si>
  <si>
    <t xml:space="preserve">GRAND VALLEY BY-PRODUCTS [FRS] (address match)</t>
  </si>
  <si>
    <t xml:space="preserve">S03496</t>
  </si>
  <si>
    <t xml:space="preserve">458 28 1 2 RD</t>
  </si>
  <si>
    <t xml:space="preserve">BRAWLEY, R Fy JRe AUTOMOTIVE MACHINE SHOP (1977-1980; SIC 3714)</t>
  </si>
  <si>
    <t xml:space="preserve">BRAWLEY, R Fy JRe AUTOMOTIVE MACHINE SHOP (1977)</t>
  </si>
  <si>
    <t xml:space="preserve">AMETEK DIXSON [TRI; 98 m]</t>
  </si>
  <si>
    <t xml:space="preserve">HENSLEY BATTERY &amp; ELECTRICALS [FRS; 35 m]</t>
  </si>
  <si>
    <t xml:space="preserve">HENSLEY BATTERY &amp; ELECTRICALS</t>
  </si>
  <si>
    <t xml:space="preserve">S03497</t>
  </si>
  <si>
    <t xml:space="preserve">1444 WINTERS AVE</t>
  </si>
  <si>
    <t xml:space="preserve">CELTITE INC (1977-1990; SIC 2899) | CASTINGS- ALUMINUM CELTITE INC (1988; SIC 2899,3272)</t>
  </si>
  <si>
    <t xml:space="preserve">CELTITE INC (1977) | DOUG JONES SAWMILL (1983) | CASTINGS- ALUMINUM CELTITE INC (1988)</t>
  </si>
  <si>
    <t xml:space="preserve">CELTITE TECHNIK [TRI; name match, 5 m] | CELTITE TECHNIK [FRS; name match, 24 m] | LUXURY WHEELS O E PLATING [FRS; 31 m]</t>
  </si>
  <si>
    <t xml:space="preserve">CELTITE TECHNIK</t>
  </si>
  <si>
    <t xml:space="preserve">CACTUS COATINGS INC</t>
  </si>
  <si>
    <t xml:space="preserve">S04321</t>
  </si>
  <si>
    <t xml:space="preserve">860 4TH AVE</t>
  </si>
  <si>
    <t xml:space="preserve">CASTINGS, INO (1980; SIC 3544,3321) | HEADSTONES CASTINGS INC (1988; SIC 3321,3544) | CASTINGS INC (1990-1992; SIC 3321,3544)</t>
  </si>
  <si>
    <t xml:space="preserve">CASTINGS, INO (1980) | HEADSTONES CASTINGS INC (1988) | CASTINGS INC (1990)</t>
  </si>
  <si>
    <t xml:space="preserve">CASTINGS INC [FRS; name match, 76 m] | CASTINGS INC [FRS] (address match) | CASTINGS INC [TRI] (address match)</t>
  </si>
  <si>
    <t xml:space="preserve">ORKIN EXTERMINATING CO INC</t>
  </si>
  <si>
    <t xml:space="preserve">S04322</t>
  </si>
  <si>
    <t xml:space="preserve">364 BONNY ST</t>
  </si>
  <si>
    <t xml:space="preserve">CHEMECAL SEALANTS INC (1980; SIC 2891,2851,2899) | ALUMINUM SPECIALTIES INC (1992; SIC 3312)</t>
  </si>
  <si>
    <t xml:space="preserve">CHEMECAL SEALANTS INC (1980) | MADDAK OF COLORADO (1990) | ALUMINUM SPECIALTIES INC (1992)</t>
  </si>
  <si>
    <t xml:space="preserve">SAFETY KLEEN CORP 6 052 01 [FRS; 73 m]</t>
  </si>
  <si>
    <t xml:space="preserve">S04332</t>
  </si>
  <si>
    <t xml:space="preserve">601 B STRUTHERS AVE</t>
  </si>
  <si>
    <t xml:space="preserve">NELSON G 8 CO (1980; SIC 3462)</t>
  </si>
  <si>
    <t xml:space="preserve">NELSON G 8 CO (1980)</t>
  </si>
  <si>
    <t xml:space="preserve">VAN GUNDY'S AMPCO [FRS; 131 m] | ERGON ASPHALT PARTNERS LP - GRAND JUNCTION [TRI; 229 m]</t>
  </si>
  <si>
    <t xml:space="preserve">BILL'S BODY SHOP [FRS; 90 m] | ELAM CONST INC V355 ASPHALT PLT [FRS; 224 m] | WATSON ISLAND GJ-90097-CC [FRS; 227 m]</t>
  </si>
  <si>
    <t xml:space="preserve">AMERICAN AUTO SALVAGE [FRS; 90 m] | ELAM CONSTRUCTION INC - X-630 [FRS; 113 m] | ELAM CONSTRUCTION INC - GEN G-096 [FRS; 113 m] | ELAM CONSTRUCTION INC - GEN G-094 [FRS; 113 m] | ELAM CONSTRUCTION - PORT GEN 92.092 [FRS; 113 m] | ELAM CONSTRUCTION INC - GEN G-091 [FRS; 113 m] | ELAM CONST - PORTABLE SCREEN PLANT [FRS; 113 m] | ELAM CONST - PORTABLE CRUSHER/ SCREEN [FRS; 113 m] | ELAM CONSTRUCTION </t>
  </si>
  <si>
    <t xml:space="preserve">VAN GUNDY'S AMPCO</t>
  </si>
  <si>
    <t xml:space="preserve">BILL'S BODY SHOP</t>
  </si>
  <si>
    <t xml:space="preserve">S05856</t>
  </si>
  <si>
    <t xml:space="preserve">569 24 1 4 RD</t>
  </si>
  <si>
    <t xml:space="preserve">COLORADO RESINS INC D.B.A.-COLORADO CHEMICAL (1988; SIC 2821) | COLORADO RESINS INC (1990; SIC 2821)</t>
  </si>
  <si>
    <t xml:space="preserve">COLORADO RESINS INC D.B.A.-COLORADO CHEMICAL (1988) | COLORADO RESINS INC (1990)</t>
  </si>
  <si>
    <t xml:space="preserve">TOTALENERGIES PETROCHEMICALS &amp; REFINING USA INC - GRAND JUNCTION PLANT [FRS; 56 m] | TOTALENERGIES PETROCHEMICALS &amp; REFINING USA INC - GRAND JUNCTION PLANT [FRS] (address match) | TOTALENERGIES PETROCHEMICALS &amp; REFINING USA INC (TOTAL CRAY [TRI] (address match)</t>
  </si>
  <si>
    <t xml:space="preserve">DOWELL SCHLUMBERGER INC [FRS; 18 m] | TOTALENERGIES PETROCHEMICALS &amp; REFINING USA INC - GRAND JUNCTION PLANT [CDPHE RCRA; 30 m] | TOTALENERGIES PETROCHEMICALS &amp; REFINING USA INC - GRAND JUNCTION PLANT [CDPHE RCRA] (address match)</t>
  </si>
  <si>
    <t xml:space="preserve">COLORADO CHEMICAL SPECIALTIES INCORPORATED [FRS] (address match) | RICON RESIN INC [FRS] (address match) | CRAY VALLEY GJ [FRS] (address match) | TOTAL CRAY VALLEY GRAND JUNCTIION [FRS] (address match)</t>
  </si>
  <si>
    <t xml:space="preserve">TOTALENERGIES PETROCHEMICALS &amp; REFINING USA INC - GRAND JUNCTION PLANT</t>
  </si>
  <si>
    <t xml:space="preserve">DOWELL SCHLUMBERGER INC</t>
  </si>
  <si>
    <t xml:space="preserve">S05876</t>
  </si>
  <si>
    <t xml:space="preserve">2800 SUNDSTRAND WAY</t>
  </si>
  <si>
    <t xml:space="preserve">81506</t>
  </si>
  <si>
    <t xml:space="preserve">SUNDSTRAND AVIATION OPERATIONS (1988-1990; SIC 3728,2851)</t>
  </si>
  <si>
    <t xml:space="preserve">SUNDSTRAND AVIATION OPERATIONS (1988)</t>
  </si>
  <si>
    <t xml:space="preserve">HAMILTON SUNDSTRAND [FRS; 122 m] | HAMILTON SUNDSTRAND [TRI; 129 m]</t>
  </si>
  <si>
    <t xml:space="preserve">C P C NEUTEK [FRS; 126 m] | FEDERAL AVIATION ADMINISTRATION [CDPHE RCRA; 158 m] | C P C NEUTEK [CDPHE RCRA; 163 m] | FEDERAL AVIATION ADMINISTRATION [FRS; 189 m] | US BUREAU OF LAND MANAGEMENT [FRS; 238 m] | US GEOLOGICAL SURVEY [FRS; 238 m]</t>
  </si>
  <si>
    <t xml:space="preserve">GRAND JUNCTION SOCCER CLUB [FRS; 105 m] | COLORADO PRINTING CO [FRS; 126 m] | LANDING ON HORIZON [FRS; 185 m] | PRINTERS PARK SELF STORAGE [FRS; 229 m]</t>
  </si>
  <si>
    <t xml:space="preserve">C P C NEUTEK</t>
  </si>
  <si>
    <t xml:space="preserve">S06614</t>
  </si>
  <si>
    <t xml:space="preserve">1110 16 RD</t>
  </si>
  <si>
    <t xml:space="preserve">PABCO INSULATION (1990; SIC 2493,2491,3499) | FIBERBOARD CORP (1992; SIC 2493,2491,3499)</t>
  </si>
  <si>
    <t xml:space="preserve">PABCO INSULATION (1990) | FIBERBOARD CORP (1992)</t>
  </si>
  <si>
    <t xml:space="preserve">JOHNS MANVILLE - INDUSTRIAL INSULATION [FRS; 28 m]</t>
  </si>
  <si>
    <t xml:space="preserve">JOHNS MANVILLE [CDPHE RCRA] (address match)</t>
  </si>
  <si>
    <t xml:space="preserve">MESA INSULATION GROUP WWTF [FRS] (address match)</t>
  </si>
  <si>
    <t xml:space="preserve">JOHNS MANVILLE - INDUSTRIAL INSULATION</t>
  </si>
  <si>
    <t xml:space="preserve">S06640</t>
  </si>
  <si>
    <t xml:space="preserve">347 27 HALF RD</t>
  </si>
  <si>
    <t xml:space="preserve">STRESSED SKIN DESIGN INC (1990; SIC 3089)</t>
  </si>
  <si>
    <t xml:space="preserve">GRAND VALLEY BY-PRODUCTS CO (1990) | LJP ENTERPRISES INC (1990) | STRESSED SKIN DESIGN INC (1990)</t>
  </si>
  <si>
    <t xml:space="preserve">AMETEK DIXSON [FRS; 142 m] | AMETEK DIXSON [TRI; 168 m]</t>
  </si>
  <si>
    <t xml:space="preserve">LOCO INC- SUPER C [FRS; 228 m]</t>
  </si>
  <si>
    <t xml:space="preserve">S06024</t>
  </si>
  <si>
    <t xml:space="preserve">2210 LINDUSTRIAL</t>
  </si>
  <si>
    <t xml:space="preserve">FOUR SEASONS LEISURE PRODUCTS (1988-1990; SIC 3089)</t>
  </si>
  <si>
    <t xml:space="preserve">FOUR SEASONS LEISURE PRODUCTS (1988)</t>
  </si>
  <si>
    <t xml:space="preserve">SMFI DBA FOUR SEASONS LEISURE PRODUCTS [FRS; name match, 80 m]</t>
  </si>
  <si>
    <t xml:space="preserve">FEDERAL EXPRESS - ZMTS [FRS; 109 m] | FEDERAL EXPRESS - ZMTS [CDPHE RCRA; 136 m] | GORDON COMPOSITES INC [CDPHE RCRA; 181 m] | GORDON COMPOSITES INC [FRS; 185 m]</t>
  </si>
  <si>
    <t xml:space="preserve">Bruin Waste Management MRF/BWR [CDPHE Solid_Waste_Facilities; 97 m]</t>
  </si>
  <si>
    <t xml:space="preserve">FEDEX GROUND MONTROSE [FRS; 131 m] | AVIENT CORP - ADVANCED COMPOSITES-GORDON [FRS; 185 m] | SCOTT FLY ROD CO. [FRS; 201 m]</t>
  </si>
  <si>
    <t xml:space="preserve">SMFI DBA FOUR SEASONS LEISURE PRODUCTS</t>
  </si>
  <si>
    <t xml:space="preserve">FEDERAL EXPRESS - ZMTS</t>
  </si>
  <si>
    <t xml:space="preserve">S01224</t>
  </si>
  <si>
    <t xml:space="preserve">617 MAIN</t>
  </si>
  <si>
    <t xml:space="preserve">DOVE'S, JACK, MACHINE SHOP (1966-1973; SIC 3599) | K # R MACHINE SHOP (1973; SIC 3544,3591)</t>
  </si>
  <si>
    <t xml:space="preserve">DOVE'S, JACK, MACHINE SHOP (1966) | K # R MACHINE SHOP (1973) | SHEEP FEEDS FORT MORGAN PRINTING (1988)</t>
  </si>
  <si>
    <t xml:space="preserve">LEPRINO FOODS CO [TRI; 61 m]</t>
  </si>
  <si>
    <t xml:space="preserve">FAMILY DOLLAR #5933 [FRS; 32 m]</t>
  </si>
  <si>
    <t xml:space="preserve">STINKER STORES - STINKER #303 [FRS; 29 m]</t>
  </si>
  <si>
    <t xml:space="preserve">Former Ft Morgan Power Plant</t>
  </si>
  <si>
    <t xml:space="preserve">LEPRINO FOODS CO</t>
  </si>
  <si>
    <t xml:space="preserve">FAMILY DOLLAR #5933</t>
  </si>
  <si>
    <t xml:space="preserve">S00410</t>
  </si>
  <si>
    <t xml:space="preserve">5400 MARSHALL</t>
  </si>
  <si>
    <t xml:space="preserve">1965;1966;1974;1977;1980;1983;1990</t>
  </si>
  <si>
    <t xml:space="preserve">SWANSON, GEORGE + SON BODY + IRON (1965; SIC 3441) | SWANSON, GEORGE, + SON INC (1966-1983; SIC 3599) | MAY MANUFACTURING + DIST CORP (1990; SIC 3444,3469,3639)</t>
  </si>
  <si>
    <t xml:space="preserve">SWANSON, GEORGE + SON BODY + IRON (1965) | SWANSON, GEORGE, + SON INC (1966) | MAY MANUFACTURING + DIST CORP (1990)</t>
  </si>
  <si>
    <t xml:space="preserve">WASTEQUIP MANUFACTURING COMPANY [FRS; 6 m]</t>
  </si>
  <si>
    <t xml:space="preserve">WASTEQUIP MANUFACTURING COMPANY LLC [FRS; 6 m]</t>
  </si>
  <si>
    <t xml:space="preserve">S05932</t>
  </si>
  <si>
    <t xml:space="preserve">801 CORPORATE AVE</t>
  </si>
  <si>
    <t xml:space="preserve">SUETRAK TRANSPORT REFRIGERATOR CO (1988; SIC 3585)</t>
  </si>
  <si>
    <t xml:space="preserve">SUETRAK TRANSPORT REFRIGERATOR CO (1988)</t>
  </si>
  <si>
    <t xml:space="preserve">NEOPLAN USA CORP [FRS; 98 m]</t>
  </si>
  <si>
    <t xml:space="preserve">SUTRAK USA CORPORATION [FRS] (address match) | SUTRAK USA CORPORATION [CDPHE RCRA] (address match)</t>
  </si>
  <si>
    <t xml:space="preserve">NEOPLAN USA CORP</t>
  </si>
  <si>
    <t xml:space="preserve">SUTRAK USA CORPORATION</t>
  </si>
  <si>
    <t xml:space="preserve">S01630</t>
  </si>
  <si>
    <t xml:space="preserve">2700 N FREEWAY</t>
  </si>
  <si>
    <t xml:space="preserve">MC KINNEY CONCRETE PRODUCTS (1990-1992; SIC 3271,3442)</t>
  </si>
  <si>
    <t xml:space="preserve">MCKINNEY CONCRETE PROC IAC (1967) | DISPLAYS Aur RRETSRtes co (1988)</t>
  </si>
  <si>
    <t xml:space="preserve">BURNCO COLORADO LLC - PUEBLO [FRS; 99 m] | BEST BLOCK - SOUTH PLANT [FRS] (address match)</t>
  </si>
  <si>
    <t xml:space="preserve">TERMINIX BRANCH 2482 [FRS; 11 m] | WILCOXSON BUICK CADILAC GMC TRUCK INC [CDPHE RCRA; 123 m]</t>
  </si>
  <si>
    <t xml:space="preserve">A P GREEN REFACTORIES [FRS; 99 m] | READY MIX 2610 SANTA FE PUEBLO [FRS; 128 m] | 23535.10.10 DEMOLITIONS N. FREEWAY [FRS; 239 m] | BEST BLOCK [FRS] (address match)</t>
  </si>
  <si>
    <t xml:space="preserve">BURNCO COLORADO LLC - PUEBLO</t>
  </si>
  <si>
    <t xml:space="preserve">TERMINIX BRANCH 2482</t>
  </si>
  <si>
    <t xml:space="preserve">S04369</t>
  </si>
  <si>
    <t xml:space="preserve">2235 E EVANS AVE</t>
  </si>
  <si>
    <t xml:space="preserve">MINNEQUA ORNAMENTAL IRON (1980; SIC 3449)</t>
  </si>
  <si>
    <t xml:space="preserve">MINNEQUA ORNAMENTAL IRON (1980)</t>
  </si>
  <si>
    <t xml:space="preserve">PUEBLO CHEMICAL AGENT DESTRUCTION PILOT PLANT [FRS; 86 m] | PUEBLO CHEM AGNT-DES PILOT PLANT [FRS; 86 m] | AIRGAS USA, LLC [FRS; 86 m]</t>
  </si>
  <si>
    <t xml:space="preserve">PUEBLO CHEMICAL AGENT DESTRUCTION PILOT PLANT</t>
  </si>
  <si>
    <t xml:space="preserve">TRANSIT MIX CONTRETE CO</t>
  </si>
  <si>
    <t xml:space="preserve">S04372</t>
  </si>
  <si>
    <t xml:space="preserve">32920 AMERICAN AVE</t>
  </si>
  <si>
    <t xml:space="preserve">PUEBLO METAL PROCESSING INC (1980-1990; SIC 3342) | PROCESSING WN (1988; SIC 3361)</t>
  </si>
  <si>
    <t xml:space="preserve">PUEBLO METAL PROCESSING INC (1980) | PROCESSING WN (1988)</t>
  </si>
  <si>
    <t xml:space="preserve">DANA CORP. PUEBLO PLANT ENGINE PRODUCTS DIV. [FRS; 84 m]</t>
  </si>
  <si>
    <t xml:space="preserve">PUEBLO METAL PROCESSING [FRS; name match, 84 m] | PUEBLO METAL PROCESSING [FRS] (address match)</t>
  </si>
  <si>
    <t xml:space="preserve">PUEBLO METALS PROCES [FRS; name match, 84 m]</t>
  </si>
  <si>
    <t xml:space="preserve">PUEBLO ABANDONED CYANIDE</t>
  </si>
  <si>
    <t xml:space="preserve">DANA CORP. PUEBLO PLANT ENGINE PRODUCTS DIV.</t>
  </si>
  <si>
    <t xml:space="preserve">PUEBLO METAL PROCESSING</t>
  </si>
  <si>
    <t xml:space="preserve">S06829</t>
  </si>
  <si>
    <t xml:space="preserve">1 WILLIAM WHITE BIVD</t>
  </si>
  <si>
    <t xml:space="preserve">UNISYS CORP (1990; SIC 3577)</t>
  </si>
  <si>
    <t xml:space="preserve">UNISYS CORP (1990)</t>
  </si>
  <si>
    <t xml:space="preserve">LOCKHEAD MARTIN / UNISYS CORP [FRS; name match, 98 m]</t>
  </si>
  <si>
    <t xml:space="preserve">DOSS AVIATION INITIAL FLIGHT SCREENING [FRS; 6 m]</t>
  </si>
  <si>
    <t xml:space="preserve">LOCKHEAD MARTIN / UNISYS CORP</t>
  </si>
  <si>
    <t xml:space="preserve">S03533</t>
  </si>
  <si>
    <t xml:space="preserve">1021 N US HWY 285</t>
  </si>
  <si>
    <t xml:space="preserve">SCHALL IRON WORKS INC (1977; SIC 3599)</t>
  </si>
  <si>
    <t xml:space="preserve">SCHALL IRON WORKS INC (1977)</t>
  </si>
  <si>
    <t xml:space="preserve">SCHALL CHEMICAL SUPPLY LLC [TRI; 201 m] | SCHALL CHEMICAL SUPPLY LLC [FRS; 229 m]</t>
  </si>
  <si>
    <t xml:space="preserve">TERRA INTERNATIONAL [FRS; 8 m] | GROWER SHIPPER POTATO COMPANY [FRS; 146 m] | GROWER-SHIPPER POTATO COMPANY [FRS; 146 m]</t>
  </si>
  <si>
    <t xml:space="preserve">S00542</t>
  </si>
  <si>
    <t xml:space="preserve">2626 8TH AVE</t>
  </si>
  <si>
    <t xml:space="preserve">SUNCOA FOODS INC (1988; SIC 3556) | SUNCOA SNACKS (1990; SIC 3556)</t>
  </si>
  <si>
    <t xml:space="preserve">CLOVER CLUB FOODS CO. (1965) | BEYDLER CABINET SHOP (1966) | SUNCOA FOODS INC (1988) | SUNCOA SNACKS (1990)</t>
  </si>
  <si>
    <t xml:space="preserve">SUNCOA SNACKS [FRS; name match, 25 m] | SUNCOA SNACKS [FRS] (address match) | SUNCOA SNACKS [TRI] (address match)</t>
  </si>
  <si>
    <t xml:space="preserve">SILVER STATE PLASTICS INC [FRS; 25 m] | SILVER STATE PLASTICS INC [FRS] (address match)</t>
  </si>
  <si>
    <t xml:space="preserve">O'REILLY AUTO PARTS INC (STORE 3029)</t>
  </si>
  <si>
    <t xml:space="preserve">S00548</t>
  </si>
  <si>
    <t xml:space="preserve">423 25TH ST</t>
  </si>
  <si>
    <t xml:space="preserve">GREELEY NEON SIGN COs, INC. (1965; SIC 3593)</t>
  </si>
  <si>
    <t xml:space="preserve">GREELEY NEON SIGN COs, INC. (1965) | GREELEY NEON SIGN (1966)</t>
  </si>
  <si>
    <t xml:space="preserve">SOUTHERN FOODS GROUP LLC D/B/A MEADOW GOLD DAIRIES [FRS; 39 m]</t>
  </si>
  <si>
    <t xml:space="preserve">PARALLEL PRODUCTS OF COLORADO LLC [FRS; 39 m]</t>
  </si>
  <si>
    <t xml:space="preserve">S01295</t>
  </si>
  <si>
    <t xml:space="preserve">2403 4TH AVE</t>
  </si>
  <si>
    <t xml:space="preserve">LA JAGA INC (1974; SIC 3536,3569)</t>
  </si>
  <si>
    <t xml:space="preserve">LA JAGA INC (1966) | PAWNEE PRESS INC (1980) | PROSTHETICS SHEF ENTERPRISES INC (1988) | SHEF ENTERPRISES INC (1990)</t>
  </si>
  <si>
    <t xml:space="preserve">THOMAS PETROLEUM LLC GREELEY [FRS; 78 m]</t>
  </si>
  <si>
    <t xml:space="preserve">SHEF ENTERPRISES [FRS; name match, 28 m] | 4TH AVENUE RECONSTRUCTION [FRS; 34 m] | SHEF ENTERPRISES [FRS] (address match)</t>
  </si>
  <si>
    <t xml:space="preserve">THOMAS PETROLEUM LLC GREELEY</t>
  </si>
  <si>
    <t xml:space="preserve">RUSSEL FURNITURE LLC</t>
  </si>
  <si>
    <t xml:space="preserve">S03164</t>
  </si>
  <si>
    <t xml:space="preserve">03 4TH AVE</t>
  </si>
  <si>
    <t xml:space="preserve">SHELTER SYSTEMS ENC (1980; SIC 3448)</t>
  </si>
  <si>
    <t xml:space="preserve">bas PRESS INC (1974) | SHELTER SYSTEMS ENC (1980)</t>
  </si>
  <si>
    <t xml:space="preserve">REGAL FIBERGLASS INC [TRI; 144 m] | REGAL FIBERGLASS INC [FRS; 158 m]</t>
  </si>
  <si>
    <t xml:space="preserve">DEPOT AUTO BODY [FRS; 224 m] | MATCHLESS MILLWORK, INC. [FRS; 242 m]</t>
  </si>
  <si>
    <t xml:space="preserve">K&amp;B GUTTERS [FRS; 223 m]</t>
  </si>
  <si>
    <t xml:space="preserve">S03552</t>
  </si>
  <si>
    <t xml:space="preserve">2424 S 5 AVE</t>
  </si>
  <si>
    <t xml:space="preserve">WESTERN EQUIPMENT + TRUCK CO (1977-1980; SIC 3713,2425)</t>
  </si>
  <si>
    <t xml:space="preserve">WESTERN EQUIPMENT + TRUCK CO (1977)</t>
  </si>
  <si>
    <t xml:space="preserve">NORTHERN COLORADO FEEDS PLANT [TRI; 151 m] | SOUTHERN FOODS GROUP LLC D/B/A MEADOW GOLD DAIRIES [FRS; 160 m] | THOMAS PETROLEUM LLC GREELEY [FRS; 169 m]</t>
  </si>
  <si>
    <t xml:space="preserve">RUSSEL FURNITURE LLC [FRS; 148 m] | HAMMON'S IMPLEMENT INC [FRS; 169 m]</t>
  </si>
  <si>
    <t xml:space="preserve">SHEF ENTERPRISES [FRS; 122 m] | 4TH AVENUE RECONSTRUCTION [FRS; 145 m] | PARALLEL PRODUCTS OF COLORADO LLC [FRS; 160 m]</t>
  </si>
  <si>
    <t xml:space="preserve">NORTHERN COLORADO FEEDS PLANT</t>
  </si>
  <si>
    <t xml:space="preserve">S04396</t>
  </si>
  <si>
    <t xml:space="preserve">260 FACTORY RD</t>
  </si>
  <si>
    <t xml:space="preserve">AGLAND INC (1990; SIC 2048,2875)</t>
  </si>
  <si>
    <t xml:space="preserve">AGLANO INC (1980)</t>
  </si>
  <si>
    <t xml:space="preserve">AGLAND/LAND O'LAKES FEED MILL [FRS; name match, 115 m] | AGLAND/LAND O'LAKES FEED MILL [FRS] (address match)</t>
  </si>
  <si>
    <t xml:space="preserve">AGLAND INC [CDPHE RCRA; name match, 95 m] | AGLAND INC [CDPHE RCRA] (address match)</t>
  </si>
  <si>
    <t xml:space="preserve">AGLAND/LAND O'LAKES FEED MILL</t>
  </si>
  <si>
    <t xml:space="preserve">AGLAND INC</t>
  </si>
  <si>
    <t xml:space="preserve">S04404</t>
  </si>
  <si>
    <t xml:space="preserve">331 E 8TH ST</t>
  </si>
  <si>
    <t xml:space="preserve">BURRIS COMPANY INC (1980-1983; SIC 3832,3484) | COLLECTORS BURRIS CO INC (1988; SIC 3489,3829)</t>
  </si>
  <si>
    <t xml:space="preserve">BURRIS COMPANY INC (1980) | COLLECTORS BURRIS CO INC (1988)</t>
  </si>
  <si>
    <t xml:space="preserve">BURRIS CO INC [TRI; name match, 28 m] | BURRIS COMPANY INCORPORATED [FRS; name match, 45 m] | BURRIS COMPANY INCORPORATED [FRS] (address match) | BURRIS CO INC [TRI] (address match)</t>
  </si>
  <si>
    <t xml:space="preserve">BURRIS CO INC [CDPHE RCRA] (address match)</t>
  </si>
  <si>
    <t xml:space="preserve">BURRIS CO INC</t>
  </si>
  <si>
    <t xml:space="preserve">B&amp;G EQUIPMENT INC</t>
  </si>
  <si>
    <t xml:space="preserve">S04414</t>
  </si>
  <si>
    <t xml:space="preserve">455 5TH AVE</t>
  </si>
  <si>
    <t xml:space="preserve">REGAL FIBERGLASS INC (1980-1990; SIC 3995,3523)</t>
  </si>
  <si>
    <t xml:space="preserve">REGAL FIBERGLASS INC (1980)</t>
  </si>
  <si>
    <t xml:space="preserve">REGAL FIBERGLASS INC [FRS; name match, 7 m] | REGAL FIBERGLASS INC [TRI; name match, 49 m] | REGAL FIBERGLASS INC [FRS] (address match) | REGAL FIBERGLASS INC [TRI] (address match)</t>
  </si>
  <si>
    <t xml:space="preserve">HENSEL PHELPS CONSTRUCTION CO</t>
  </si>
  <si>
    <t xml:space="preserve">S05269</t>
  </si>
  <si>
    <t xml:space="preserve">700 71ST AVE</t>
  </si>
  <si>
    <t xml:space="preserve">HEWLETT-PACKARD CO (1983-1990; SIC 3679) | HEWLETT-PACKARD CO, TAPE OPERATION (1988-1990; SIC 3679)</t>
  </si>
  <si>
    <t xml:space="preserve">HEWLETT-PACKARD CO (1983) | HEWLETT-PACKARD CO, TAPE OPERATION (1988)</t>
  </si>
  <si>
    <t xml:space="preserve">HEWLETT PACKARD [FRS; name match, 4 m] | HEWLETT-PACKARD CO [TRI; name match, 196 m] | HEWLETT PACKARD [FRS] (address match) | HEWLETT-PACKARD CO [TRI] (address match)</t>
  </si>
  <si>
    <t xml:space="preserve">HEWLETT PACKARD</t>
  </si>
  <si>
    <t xml:space="preserve">S06607</t>
  </si>
  <si>
    <t xml:space="preserve">1405 E 14TH ST</t>
  </si>
  <si>
    <t xml:space="preserve">GOLDEN ALUMINUM CO (1990; SIC 3444)</t>
  </si>
  <si>
    <t xml:space="preserve">GOLDEN ALUMINUM CO (1990)</t>
  </si>
  <si>
    <t xml:space="preserve">GOLDEN ALUMINUM INC. - FORT LUPTON MILL [FRS; name match, 131 m] | GOLDEN ALUMINUM [TRI; name match, 135 m] | GOLDEN ALUMINUM INC. - FORT LUPTON MILL [FRS] (address match) | GOLDEN ALUMINUM [TRI] (address match)</t>
  </si>
  <si>
    <t xml:space="preserve">GOLDEN ALUMINUM INC [CDPHE RCRA; name match, 188 m] | BACH COMPOSITE COLORADO  INC [CDPHE RCRA; 188 m] | GOLDEN ALUMINUM INC [CDPHE RCRA] (address match)</t>
  </si>
  <si>
    <t xml:space="preserve">GOLDEN ALUMINUM INC. - FORT LUPTON MILL</t>
  </si>
  <si>
    <t xml:space="preserve">BACH COMPOSITE COLORADO  INC</t>
  </si>
  <si>
    <t xml:space="preserve">S07058</t>
  </si>
  <si>
    <t xml:space="preserve">101 18TH BRUCE ST</t>
  </si>
  <si>
    <t xml:space="preserve">HORSTCO (1992; SIC 3496)</t>
  </si>
  <si>
    <t xml:space="preserve">HORSTCO (1992)</t>
  </si>
  <si>
    <t xml:space="preserve">MONFORT PORTION FOODS [TRI; 244 m]</t>
  </si>
  <si>
    <t xml:space="preserve">CHAMPION X - GREELEY CO [FRS; 8 m] | CHAMPION X - GREELEY CO [CDPHE RCRA; 8 m] | CUMMINS ROCKY MOUNTAIN INC [FRS; 34 m] | REDLUND EQUIPMENT [FRS; 232 m]</t>
  </si>
  <si>
    <t xml:space="preserve">7-ELEVEN - #18724 [FRS; 34 m] | COLORADO COMMODITIES [FRS; 121 m] | NORTHERN COLORADO TRAFFIC CONTROL INC [FRS; 159 m] | CEMENTER'S WELL SERVICE, INC [FRS; 172 m] | DALE JAY TRUCKING INC [FRS; 177 m] | SINGH FOOD &amp; CONOCO [FRS; 248 m]</t>
  </si>
  <si>
    <t xml:space="preserve">S07154</t>
  </si>
  <si>
    <t xml:space="preserve">3019 W 74TH AVE</t>
  </si>
  <si>
    <t xml:space="preserve">DAIRY QUEEN #4 (1992; SIC 2024,3671)</t>
  </si>
  <si>
    <t xml:space="preserve">DAIRY QUEEN #4 (1992)</t>
  </si>
  <si>
    <t xml:space="preserve">WORLD SAVINGS [FRS; 22 m] | WESTMINSTER PARTNERS [FRS; 23 m]</t>
  </si>
  <si>
    <t xml:space="preserve">SALLY BEAUTY SUPPLY #2750			  [CDPHE RCRA; 29 m]</t>
  </si>
  <si>
    <t xml:space="preserve">SAFEWAY INC. # 1587 [FRS; 21 m]</t>
  </si>
  <si>
    <t xml:space="preserve">WORLD SAVINGS</t>
  </si>
  <si>
    <t xml:space="preserve">SALLY BEAUTY SUPPLY #2750			 </t>
  </si>
  <si>
    <t xml:space="preserve">S01661</t>
  </si>
  <si>
    <t xml:space="preserve">2700 S SHOSHONE ST</t>
  </si>
  <si>
    <t xml:space="preserve">Electronic components; Primary batteries; Semiconductors</t>
  </si>
  <si>
    <t xml:space="preserve">CIRCUIT SCIENCE CORP (1968; SIC 3679) | CIRCUIT SCIENCE CORP (1973-1974; SIC 3679) | MONOLITHIC SYSTEMS CORP (1973; SIC 3692,3825,3674)</t>
  </si>
  <si>
    <t xml:space="preserve">CIRCUIT SCIENCE CORP (1968) | CIRCUIT SCIENCE CORP (1973) | MONOLITHIC SYSTEMS CORP (1973) | COMMUNICATICAS PUBLISHING CORP (1974)</t>
  </si>
  <si>
    <t xml:space="preserve">Servpro [CDPHE Voluntary_Cleanup_and_Redevelopment_Program_(VCUP)_new; 14 m] | Servpro [CDPHE Voluntary_Cleanup_and_Redevelopment_Program_(VCUP)_new] (address match)</t>
  </si>
  <si>
    <t xml:space="preserve">MOTORSPORT INC [FRS; 35 m]</t>
  </si>
  <si>
    <t xml:space="preserve">PPD INC COLORWORKS [FRS; 25 m] | FROST LINE MECHANICAL [FRS; 35 m]</t>
  </si>
  <si>
    <t xml:space="preserve">MOTORSPORT INC</t>
  </si>
  <si>
    <t xml:space="preserve">S03684</t>
  </si>
  <si>
    <t xml:space="preserve">4380 S FEDERAL BLVD</t>
  </si>
  <si>
    <t xml:space="preserve">RELTMER RESEARCH, INC (1980-1983; SIC 3622,3679)</t>
  </si>
  <si>
    <t xml:space="preserve">RELTMER RESEARCH, INC (1980)</t>
  </si>
  <si>
    <t xml:space="preserve">4301 South Federal Boulevard Site [CDPHE Voluntary_Cleanup_and_Redevelopment_Program_(VCUP)_new; 45 m]</t>
  </si>
  <si>
    <t xml:space="preserve">CITY OF SHERIDAN</t>
  </si>
  <si>
    <t xml:space="preserve">S00667</t>
  </si>
  <si>
    <t xml:space="preserve">4525 N BROADWAY</t>
  </si>
  <si>
    <t xml:space="preserve">Leather tanning</t>
  </si>
  <si>
    <t xml:space="preserve">NORTHROPS (1968; SIC 3111,2386)</t>
  </si>
  <si>
    <t xml:space="preserve"> (1966) | NORTHROPS (1968)</t>
  </si>
  <si>
    <t xml:space="preserve">Namaste' Ventures [CDPHE Voluntary_Cleanup_and_Redevelopment_Program_(VCUP)_new; 109 m]</t>
  </si>
  <si>
    <t xml:space="preserve">ELOS ENVIRONMENTAL AND DISASTER INC [FRS; 5 m] | BOULDER MEDICAL CENTER [CDPHE RCRA; 28 m] | SCANDINAVIAN AUTO SERVICE [CDPHE RCRA; 28 m] | LITE CRAFT NEON INC [FRS; 92 m] | SUPER RUPAIR YARMOUTH [FRS; 198 m] | FOOTHILLS AUTO BODY [FRS; 210 m] | GERRY'S AUTO SERVICE [FRS; 223 m] | MEYER SKIDMORE AND COMPANY [FRS; 232 m] | JMB AUTO REPAIR [FRS; 237 m] | FOOTHILLS AUTO BODY [FRS; 245 m] | ELOS ENVIR</t>
  </si>
  <si>
    <t xml:space="preserve">FLASHBACK VIDEO PRODUCTIONS [FRS; 12 m] | HERSHEY INC - HERSHEYS MARKET [FRS; 47 m] | NORTH BOULDER BRANCH LIBRARY [FRS; 116 m] | SELDON AND SONS AUTOMOTIVE REPAIR [FRS; 145 m] | BOULDER TREE COMPANY [FRS; 152 m] | SILCO OIL CO [FRS; 154 m] | NOBO LIBRARY - BOULDER PUBLIC LIBRARY DISTRICT [FRS; 156 m] | PONDEROSA COMMUNITY STABILIZATION PROJECT [FRS; 177 m] | BROADWAY RECONSTRUCTION (VIOLET TO US3</t>
  </si>
  <si>
    <t xml:space="preserve">ELOS ENVIRONMENTAL AND DISASTER INC</t>
  </si>
  <si>
    <t xml:space="preserve">S02364</t>
  </si>
  <si>
    <t xml:space="preserve">3455 WALNUT</t>
  </si>
  <si>
    <t xml:space="preserve">TRIANGLE ELECTRONICS (1973; SIC 3679)</t>
  </si>
  <si>
    <t xml:space="preserve">TRIANGLE ELECTRONICS (1973)</t>
  </si>
  <si>
    <t xml:space="preserve">Amgen Office Building [CDPHE Voluntary_Cleanup_and_Redevelopment_Program_(VCUP)_new; 70 m]</t>
  </si>
  <si>
    <t xml:space="preserve">AMGEN INC [TRI; 26 m]</t>
  </si>
  <si>
    <t xml:space="preserve">MOUNTAIN SKY DESIGNS [FRS; 2 m] | THE UNIVERSITY OF COLORADO BOULDER [FRS; 12 m]</t>
  </si>
  <si>
    <t xml:space="preserve">RUDI'S ORGANIC BAKERY [FRS; 12 m] | BOULDER ELECTRIC MOTOR CO [FRS; 28 m]</t>
  </si>
  <si>
    <t xml:space="preserve">MOUNTAIN SKY DESIGNS</t>
  </si>
  <si>
    <t xml:space="preserve">S02832</t>
  </si>
  <si>
    <t xml:space="preserve">4840 N 63RD ST</t>
  </si>
  <si>
    <t xml:space="preserve"> (1974; SIC 3679) | STANFORD APPLIED ENGINEERING (1988; SIC 3672)</t>
  </si>
  <si>
    <t xml:space="preserve"> (1974) | STANFORD APPLIED ENGINEERING (1988)</t>
  </si>
  <si>
    <t xml:space="preserve">SAE Circuits [CDPHE Voluntary_Cleanup_and_Redevelopment_Program_(VCUP)_new; 29 m] | Head Ski IV [CDPHE Voluntary_Cleanup_and_Redevelopment_Program_(VCUP)_new; 79 m] | Head Ski V [CDPHE Voluntary_Cleanup_and_Redevelopment_Program_(VCUP)_new; 79 m] | Head Ski I [CDPHE Voluntary_Cleanup_and_Redevelopment_Program_(VCUP)_new; 79 m] | Head Ski III [CDPHE Voluntary_Cleanup_and_Redevelopment_Program_(VCUP</t>
  </si>
  <si>
    <t xml:space="preserve">PROLIGO LLC [TRI; 203 m] | HAUSER INC [TRI; 225 m]</t>
  </si>
  <si>
    <t xml:space="preserve">SAE CIRCUITS COLORADO INC [FRS; 12 m] | TECOMET GUNBARREL AVE [CDPHE RCRA; 146 m] | TECOMET GUNBARREL AVE [FRS; 150 m] | ZOLO TECHNOLOGIES [FRS; 182 m] | RAPTOR MEDICINES [CDPHE RCRA; 228 m] | EDITAS MEDICINE INC [FRS; 232 m] | SAE CIRCUITS COLORADO INC [FRS] (address match)</t>
  </si>
  <si>
    <t xml:space="preserve">GE MONITORING SOLUTIONS [FRS; 15 m] | SAE CIRCUITS COLORADO [FRS; 82 m] | HABITAT APARTMENTS [FRS; 242 m]</t>
  </si>
  <si>
    <t xml:space="preserve">SAE Circuits</t>
  </si>
  <si>
    <t xml:space="preserve">SAE CIRCUITS COLORADO INC</t>
  </si>
  <si>
    <t xml:space="preserve">S03825</t>
  </si>
  <si>
    <t xml:space="preserve">695 BOSTON AVE</t>
  </si>
  <si>
    <t xml:space="preserve">&amp; ENTERPRISES INC (1980; SIC 3679)</t>
  </si>
  <si>
    <t xml:space="preserve">&amp; ENTERPRISES INC (1980)</t>
  </si>
  <si>
    <t xml:space="preserve">740 BOSTON AVENUE (NORTH SECTION) [FRS; 41 m]</t>
  </si>
  <si>
    <t xml:space="preserve">740 BOSTON AVENUE (NORTH SECTION)</t>
  </si>
  <si>
    <t xml:space="preserve">S00278</t>
  </si>
  <si>
    <t xml:space="preserve">5105 WASHINGTON ST</t>
  </si>
  <si>
    <t xml:space="preserve">BROCERICK WCOD PRODUCTS CO (1968-1970; SIC 2491,2499,2421) | BRODERICK WOOD PRODUCTS CO WB ANDERSON GEN MGR (1973; SIC 2491)</t>
  </si>
  <si>
    <t xml:space="preserve">MOUNTAIN STATES SUPPLY CO. (1965) | BROCERICK WCOD PRODUCTS CO (1968) | BRODERICK WOOD PRODUCTS CO WB ANDERSON GEN MGR (1973)</t>
  </si>
  <si>
    <t xml:space="preserve">ASARCO GLOBE PLANT [TRI; 51 m]</t>
  </si>
  <si>
    <t xml:space="preserve">EAST 51ST. AVENUE IMPROVEMENTS [FRS; 1 m]</t>
  </si>
  <si>
    <t xml:space="preserve">WESTERN WATERPROOFING INC</t>
  </si>
  <si>
    <t xml:space="preserve">S01419</t>
  </si>
  <si>
    <t xml:space="preserve">1787 S BROADWAY</t>
  </si>
  <si>
    <t xml:space="preserve">1967;1968;1970;1974;1977;1980;1983</t>
  </si>
  <si>
    <t xml:space="preserve">COLORADO TANNING + FUR DRESSING CO (1967-1983; SIC 3111,3199)</t>
  </si>
  <si>
    <t xml:space="preserve">COLORADO TANNING + FUR DRESSING CO (1967)</t>
  </si>
  <si>
    <t xml:space="preserve">COLORADO TANNING &amp; FUR DRESSING [FRS; name match, 7 m] | SKY HOUSE DENVER [FRS; 27 m]</t>
  </si>
  <si>
    <t xml:space="preserve">ARTCRAFT SIGN CO.</t>
  </si>
  <si>
    <t xml:space="preserve">S01478</t>
  </si>
  <si>
    <t xml:space="preserve">3795 WILLIAMS</t>
  </si>
  <si>
    <t xml:space="preserve">MOORE BATTERY CO (1967-1970; SIC 3691)</t>
  </si>
  <si>
    <t xml:space="preserve">MOORE BATTERY CO (1967)</t>
  </si>
  <si>
    <t xml:space="preserve">S01506</t>
  </si>
  <si>
    <t xml:space="preserve">4505 WYNKOOP</t>
  </si>
  <si>
    <t xml:space="preserve">REED MILL + LUMBER CO INC (1990; SIC 2411,2431,2491)</t>
  </si>
  <si>
    <t xml:space="preserve">1370 pe (1967) | REED PLANING MILL INC (1968) | REED PLANING MLLL INC 8B L ROSENBERG PRES (1970) | REED MILL + LAB CO, INC. (1973) | REED MILL + LUMBER CO, INC. A J REECEL PRES (1974) | AM BROWN MANAGER: 2752 COMMERCIAL PRINTINGy LITHOGRAPHIC LUMBER C2, INC. (1977)</t>
  </si>
  <si>
    <t xml:space="preserve">Vasquez/VAS</t>
  </si>
  <si>
    <t xml:space="preserve">S02406</t>
  </si>
  <si>
    <t xml:space="preserve">1219 E 4TH AVE</t>
  </si>
  <si>
    <t xml:space="preserve">AUDIO VISUAL SYSTEMS INC (1973; SIC 3679)</t>
  </si>
  <si>
    <t xml:space="preserve">AUDIO VISUAL SYSTEMS INC (1973)</t>
  </si>
  <si>
    <t xml:space="preserve">Wilamac Building [CDPHE Voluntary_Cleanup_and_Redevelopment_Program_(VCUP)_new; 35 m]</t>
  </si>
  <si>
    <t xml:space="preserve">DOWNING STREET GARAGE [FRS; 31 m]</t>
  </si>
  <si>
    <t xml:space="preserve">Wilamac Building</t>
  </si>
  <si>
    <t xml:space="preserve">DOWNING STREET GARAGE</t>
  </si>
  <si>
    <t xml:space="preserve">S02919</t>
  </si>
  <si>
    <t xml:space="preserve">4350 A KEARNEY ST</t>
  </si>
  <si>
    <t xml:space="preserve">CNEGA INDUSTRIES INC (1974; SIC 2541;3662;3679)</t>
  </si>
  <si>
    <t xml:space="preserve">CNEGA INDUSTRIES INC (1974) | IVANCIE WINES INC (1974) | AU BUCHON + CO INC (1977) | DARALCO INC (1977)</t>
  </si>
  <si>
    <t xml:space="preserve">General Motors Building [CDPHE Voluntary_Cleanup_and_Redevelopment_Program_(VCUP)_new; 42 m]</t>
  </si>
  <si>
    <t xml:space="preserve">US GREENFIBER LLC [FRS; 3 m]</t>
  </si>
  <si>
    <t xml:space="preserve">GOODWILL INDUSTRIES OF DENVER [FRS; 34 m] | 4355 KEARNEY ST LLC [FRS; 34 m]</t>
  </si>
  <si>
    <t xml:space="preserve">DARALCO INC [FRS; name match, 3 m] | ARCLIN SURFACES LLC [FRS; 3 m] | DARALCO INC [FRS] (address match)</t>
  </si>
  <si>
    <t xml:space="preserve">S02947</t>
  </si>
  <si>
    <t xml:space="preserve">3860 BLAKE ST</t>
  </si>
  <si>
    <t xml:space="preserve">1974;1977;1980;1988;1990</t>
  </si>
  <si>
    <t xml:space="preserve">MOORE BATTERY CO (1974; SIC 3691) | CAR-GO BATTERY CO (1977-1990; SIC 3691) | INNER PACKING CAR-GO BATTERY CO (1988; SIC 3691)</t>
  </si>
  <si>
    <t xml:space="preserve">MOORE BATTERY CO (1974) | CAR-GO BATTERY CO (1977) | INNER PACKING CAR-GO BATTERY CO (1988)</t>
  </si>
  <si>
    <t xml:space="preserve">38th and Blake St. II [CDPHE Voluntary_Cleanup_and_Redevelopment_Program_(VCUP)_new; 18 m] | RMS Development [CDPHE Voluntary_Cleanup_and_Redevelopment_Program_(VCUP)_new; 36 m] | Vasquez/VAS [CDPHE CDPHE Superfund] (inside site boundary)</t>
  </si>
  <si>
    <t xml:space="preserve">VACANT INDUSTRIAL BUILDING [FRS; 0 m]</t>
  </si>
  <si>
    <t xml:space="preserve">VACANT INDUSTRIAL BUILDING</t>
  </si>
  <si>
    <t xml:space="preserve">S03597</t>
  </si>
  <si>
    <t xml:space="preserve">3975 N BROADWAY</t>
  </si>
  <si>
    <t xml:space="preserve">BARBATRON CORPORATION (1980; SIC 3679,3674)</t>
  </si>
  <si>
    <t xml:space="preserve">BARBATRON CORPORATION (1980)</t>
  </si>
  <si>
    <t xml:space="preserve">COLORADO PETROLEUM, INC [FRS; 122 m]</t>
  </si>
  <si>
    <t xml:space="preserve">ENGINEERED DEMOLITION INC [FRS; 13 m] | FMH MATERIAL HANDLING [FRS; 64 m] | R2 STEWARDSHIP [CDPHE RCRA; 68 m] | RSI INC. DENVER BRANCH [CDPHE RCRA; 68 m] | RSI INC. DENVER BRANCH [FRS; 68 m] | CIVIC CNT PLAZA - LOUISIANA LAND &amp; EXPLO [CDPHE RCRA; 68 m] | FLUID AIR SYSTEM INC [FRS; 85 m] | GEMINI POOLS INC [FRS; 127 m] | EASTERN ELECTRIC APPARATUS [CDPHE RCRA; 186 m]</t>
  </si>
  <si>
    <t xml:space="preserve">BACKER ROD MFG. [FRS; 98 m]</t>
  </si>
  <si>
    <t xml:space="preserve">ENGINEERED DEMOLITION INC</t>
  </si>
  <si>
    <t xml:space="preserve">S04750</t>
  </si>
  <si>
    <t xml:space="preserve">1240 14TH ST</t>
  </si>
  <si>
    <t xml:space="preserve">THE TYPEHOUSE (1988; SIC 2752,2789,2791)</t>
  </si>
  <si>
    <t xml:space="preserve">DODGE INSTANT PRINTING INC (1983) | THE TYPEHOUSE (1988)</t>
  </si>
  <si>
    <t xml:space="preserve">CU Denver; Dravo Bldg [CDPHE Voluntary_Cleanup_and_Redevelopment_Program_(VCUP)_new; 4 m]</t>
  </si>
  <si>
    <t xml:space="preserve">UNIVERSITY OF COLORADO - DENVER [FRS; 1 m]</t>
  </si>
  <si>
    <t xml:space="preserve">S04815</t>
  </si>
  <si>
    <t xml:space="preserve">840 S ONEIDA A 109</t>
  </si>
  <si>
    <t xml:space="preserve">PRO=MARK INC (1983; SIC 3861)</t>
  </si>
  <si>
    <t xml:space="preserve">PRO=MARK INC (1983)</t>
  </si>
  <si>
    <t xml:space="preserve">Cedar Run Apartments [CDPHE Voluntary_Cleanup_and_Redevelopment_Program_(VCUP)_new; 95 m] | Royal Express Cleaners [CDPHE RCRA_corrective_action; 195 m]</t>
  </si>
  <si>
    <t xml:space="preserve">COUNTRY CLUB FURNITURE SHOP INC [FRS; 40 m] | AUTOZONE #6056 [FRS; 145 m] | PRISTINE GREEN CLEANERS [FRS; 160 m] | ROYAL EXPRESS CLEANERS [FRS; 160 m]</t>
  </si>
  <si>
    <t xml:space="preserve">COUNTRY CLUB FURNITURE SHOP INC [FRS; 40 m] | CEDAR RUN APARTMENTS [FRS; 89 m] | ASPEN SHINE INC. [FRS; 103 m] | TPI PETROLEUM INC  #4075 [FRS; 145 m] | EASTSIDE PRINTING &amp; LITHOGRAPHIC CO .CN [FRS; 160 m] | WARMHOME FURNISHINGS INC [FRS; 240 m]</t>
  </si>
  <si>
    <t xml:space="preserve">Cedar Run Apartments</t>
  </si>
  <si>
    <t xml:space="preserve">COUNTRY CLUB FURNITURE SHOP INC</t>
  </si>
  <si>
    <t xml:space="preserve">S05575</t>
  </si>
  <si>
    <t xml:space="preserve">1790 S BANNOCK</t>
  </si>
  <si>
    <t xml:space="preserve">COLORADO TANNING+FUR DRESSIN (1988-1990; SIC 3111)</t>
  </si>
  <si>
    <t xml:space="preserve">COLORADO TANNING+FUR DRESSIN (1988)</t>
  </si>
  <si>
    <t xml:space="preserve">RJR CIRCUITS INC [TRI; 86 m]</t>
  </si>
  <si>
    <t xml:space="preserve">COLORADO TANNING &amp; FUR DRESSING [FRS; name match, 202 m]</t>
  </si>
  <si>
    <t xml:space="preserve">S05624</t>
  </si>
  <si>
    <t xml:space="preserve">465 W 56TH AVE</t>
  </si>
  <si>
    <t xml:space="preserve">KOPPERS CO INC (1988; SIC 2411,2491)</t>
  </si>
  <si>
    <t xml:space="preserve">KOPPERS CO INC (1988) | KOPPERS INDUSTRIES INC (1990)</t>
  </si>
  <si>
    <t xml:space="preserve">Koppers (Beazer)/BZR [CDPHE Institutional_Controls_PROD_local] (inside site boundary)</t>
  </si>
  <si>
    <t xml:space="preserve">KOPPERS INC (DENVER CO) [FRS; name match, 12 m] | KOPPERS INC (DENVER CO) [FRS] (address match) | KOPPERS INC (DENVER CO) [TRI] (address match)</t>
  </si>
  <si>
    <t xml:space="preserve">BEAZER EAST INC (FORMER KOPPERS WOOD TREATING FACILITY - DENVER) [CDPHE RCRA; name match, 49 m] | BEAZER EAST INC (FORMER KOPPERS WOOD TREATING FACILITY - DENVER) [FRS; name match, 49 m] | KOPPERS INC [CDPHE RCRA; name match, 154 m] | QUANTUM 56 PHASE I LLC [FRS; 12 m] | KOPPERS INC [CDPHE RCRA] (address match)</t>
  </si>
  <si>
    <t xml:space="preserve">KOPPERS [FRS; name match, 70 m]</t>
  </si>
  <si>
    <t xml:space="preserve">QUANTUM 56 PHASE I LLC</t>
  </si>
  <si>
    <t xml:space="preserve">S02557</t>
  </si>
  <si>
    <t xml:space="preserve">1900 GARDEN OF GODS RD 803907</t>
  </si>
  <si>
    <t xml:space="preserve">HEWLETT-PACKARD CO, COLORADO SPRINGS DIV ~ (1977; SIC 3672,3679,3811)</t>
  </si>
  <si>
    <t xml:space="preserve">HEWLETT-PACKARD CO, COLORACO SPRINGS DIV (1973)</t>
  </si>
  <si>
    <t xml:space="preserve">HP-Colo Springs [CDPHE RCRA_corrective_action; name match, 246 m] | AGILENT TECHNOLOGIES [FRS; 29 m]</t>
  </si>
  <si>
    <t xml:space="preserve">KEYSIGHT TECHNOLOGIES INC [FRS; 29 m]</t>
  </si>
  <si>
    <t xml:space="preserve">AGILENT TECHNOLOGIES INC - CO SPRINGS DATA CENTER [FRS; 26 m]</t>
  </si>
  <si>
    <t xml:space="preserve">AGILENT TECHNOLOGIES</t>
  </si>
  <si>
    <t xml:space="preserve">KEYSIGHT TECHNOLOGIES INC</t>
  </si>
  <si>
    <t xml:space="preserve">AGILENT TECHNOLOGIES INC - CO SPRINGS DATA CENTER</t>
  </si>
  <si>
    <t xml:space="preserve">S06929</t>
  </si>
  <si>
    <t xml:space="preserve">540 E KIOWA</t>
  </si>
  <si>
    <t xml:space="preserve">CLARK BATTERY COMPANY INC. (1992; SIC 3692)</t>
  </si>
  <si>
    <t xml:space="preserve">CLARK BATTERY COMPANY INC. (1992)</t>
  </si>
  <si>
    <t xml:space="preserve">ROWTON'S ALIGNMENT [FRS; 47 m]</t>
  </si>
  <si>
    <t xml:space="preserve">ROWTON'S ALIGNMENT</t>
  </si>
  <si>
    <t xml:space="preserve">SUPREME REFINISH</t>
  </si>
  <si>
    <t xml:space="preserve">S02614</t>
  </si>
  <si>
    <t xml:space="preserve">4601 INDIANA ST</t>
  </si>
  <si>
    <t xml:space="preserve">GEOCO, INC (1973; SIC 3825,3679)</t>
  </si>
  <si>
    <t xml:space="preserve">GEOCO, INC (1973)</t>
  </si>
  <si>
    <t xml:space="preserve">Hazen Research [CDPHE RCRA_corrective_action; 45 m] | HAZEN RESEARCH INC [FRS; 61 m] | HAZEN RESEARCH INC [FRS] (address match)</t>
  </si>
  <si>
    <t xml:space="preserve">HAZEN RESEARCH INC [CDPHE RCRA] (address match)</t>
  </si>
  <si>
    <t xml:space="preserve">Hazen Research</t>
  </si>
  <si>
    <t xml:space="preserve">S06593</t>
  </si>
  <si>
    <t xml:space="preserve">2001 DANFIELD CT</t>
  </si>
  <si>
    <t xml:space="preserve">NCR CORP MICROELECTRONICS DIVISION (1990; SIC 3674)</t>
  </si>
  <si>
    <t xml:space="preserve">NCR CORP MICROELECTRONICS DIVISION (1990)</t>
  </si>
  <si>
    <t xml:space="preserve">NCR CORP [FRS] (address match) | LSI Facility [CDPHE Voluntary_Cleanup_and_Redevelopment_Program_(VCUP)_new] (address match)</t>
  </si>
  <si>
    <t xml:space="preserve">SYMBIOS LOGIC INC [FRS; 18 m] | SYMBIOS LOGIC INC [FRS] (address match) | SYMBIOS LOGIC INC [TRI] (address match)</t>
  </si>
  <si>
    <t xml:space="preserve">CO STATE UNIV FLOURESCENT LAMP RECYCLING [CDPHE RCRA; 18 m] | AVAGO TECHNOLOGIES [CDPHE RCRA] (address match)</t>
  </si>
  <si>
    <t xml:space="preserve">CO STATE UNIV FLOURESCENT LAMP RECYCLING</t>
  </si>
  <si>
    <t xml:space="preserve">S00440</t>
  </si>
  <si>
    <t xml:space="preserve">411 MARKET</t>
  </si>
  <si>
    <t xml:space="preserve">BISON BUCKSKIN TRADING COMPANY (1980; SIC 3199,3111)</t>
  </si>
  <si>
    <t xml:space="preserve">MASCN CANDY CO., THE (1965) | BISON BUCKSKIN TRADING COMPANY (1980)</t>
  </si>
  <si>
    <t xml:space="preserve">CITY CARRIAGE [FRS; 152 m] | HUGHES LUMBER [FRS; 192 m] | 101 - 121 PINE STREET [FRS; 215 m]</t>
  </si>
  <si>
    <t xml:space="preserve">CITY CARRIAGE PAINT &amp; BODY [CDPHE RCRA; 165 m] | M&amp;M AUTO [FRS; 210 m] | M&amp;M AUTO [CDPHE RCRA; 218 m]</t>
  </si>
  <si>
    <t xml:space="preserve">PHIL LONG TOYOTA [FRS; 65 m] | FIRE STATION [FRS; 165 m] | OSSOLA LAND AND REALTY CO [FRS; 207 m] | WINTER REAL ESTATE GROUP [FRS; 241 m] | BARRACK REALTY [FRS; 246 m]</t>
  </si>
  <si>
    <t xml:space="preserve">CITY CARRIAGE PAINT &amp; BODY</t>
  </si>
  <si>
    <t xml:space="preserve">S00477</t>
  </si>
  <si>
    <t xml:space="preserve">461 N 22ND ST</t>
  </si>
  <si>
    <t xml:space="preserve">1965;1966;1970;1974;1977;1980;1983;1988;1990</t>
  </si>
  <si>
    <t xml:space="preserve">LLTRONIX, INC. (1965-1990; SIC 3679)</t>
  </si>
  <si>
    <t xml:space="preserve">LLTRONIX, INC. (1965)</t>
  </si>
  <si>
    <t xml:space="preserve">Ultronix, Inc. [CDPHE Voluntary_Cleanup_and_Redevelopment_Program_(VCUP)_new; name match, 105 m]</t>
  </si>
  <si>
    <t xml:space="preserve">ULTRONIX INC [FRS; name match, 0 m] | ULTRONIX INC [FRS] (address match)</t>
  </si>
  <si>
    <t xml:space="preserve">Ultronix, Inc.</t>
  </si>
  <si>
    <t xml:space="preserve">ULTRONIX INC</t>
  </si>
  <si>
    <t xml:space="preserve">S01919</t>
  </si>
  <si>
    <t xml:space="preserve">481 N 22ND ST</t>
  </si>
  <si>
    <t xml:space="preserve">ULTRONIX INC (1968; SIC 3679)</t>
  </si>
  <si>
    <t xml:space="preserve">ULTRONIX INC (1968)</t>
  </si>
  <si>
    <t xml:space="preserve">Ultronix, Inc. [CDPHE Voluntary_Cleanup_and_Redevelopment_Program_(VCUP)_new; name match, 135 m]</t>
  </si>
  <si>
    <t xml:space="preserve">ULTRONIX INC [FRS; name match, 33 m]</t>
  </si>
  <si>
    <t xml:space="preserve">S00555</t>
  </si>
  <si>
    <t xml:space="preserve">514 NE 11TH</t>
  </si>
  <si>
    <t xml:space="preserve">LAURICSEN MFG. CO. (1965; SIC 3691)</t>
  </si>
  <si>
    <t xml:space="preserve">LAURICSEN MFG. CO. (1965)</t>
  </si>
  <si>
    <t xml:space="preserve">Unitog III [CDPHE Voluntary_Cleanup_and_Redevelopment_Program_(VCUP)_new; 160 m] | Unitog II [CDPHE Voluntary_Cleanup_and_Redevelopment_Program_(VCUP)_new; 160 m] | Unitog I [CDPHE Voluntary_Cleanup_and_Redevelopment_Program_(VCUP)_new; 160 m]</t>
  </si>
  <si>
    <t xml:space="preserve">FOCUS ENERGY SERVICES [FRS; 146 m] | CINTAS #737 [FRS; 174 m] | UNITOG RENTAL SVCS [FRS; 174 m] | BALCOM CHEMICALS [FRS; 187 m] | BALCOM CHEMICALS [FRS; 226 m]</t>
  </si>
  <si>
    <t xml:space="preserve">JOHN EWING COMPANY [FRS; 221 m] | D&amp;D BEAN CO [FRS; 232 m]</t>
  </si>
  <si>
    <t xml:space="preserve">FOCUS ENERGY SERVICES</t>
  </si>
  <si>
    <t xml:space="preserve">S03639</t>
  </si>
  <si>
    <t xml:space="preserve">7235 NEWTON ST</t>
  </si>
  <si>
    <t xml:space="preserve">SKYLINE MANUFACTURING INC (1980; SIC 3679,3841)</t>
  </si>
  <si>
    <t xml:space="preserve">SKYLINE MANUFACTURING INC (1980)</t>
  </si>
  <si>
    <t xml:space="preserve">PARAMOUNT CLEANERS</t>
  </si>
  <si>
    <t xml:space="preserve">S06031</t>
  </si>
  <si>
    <t xml:space="preserve">10475 IRMA DR NO 10</t>
  </si>
  <si>
    <t xml:space="preserve">BOB BERNATCHEZ ELECTRONICS CORP (1988-1990; SIC 3674)</t>
  </si>
  <si>
    <t xml:space="preserve">BOB BERNATCHEZ ELECTRONICS CORP (1988)</t>
  </si>
  <si>
    <t xml:space="preserve">YORKSHIRE VILLAGE APTS (LAKE)</t>
  </si>
  <si>
    <t xml:space="preserve">S06098</t>
  </si>
  <si>
    <t xml:space="preserve">4975 W 80TH AVE</t>
  </si>
  <si>
    <t xml:space="preserve">LITHOGRAPHIC VTM MICROWAVES INC (1988; SIC 3674,3679,1316)</t>
  </si>
  <si>
    <t xml:space="preserve">LITHOGRAPHIC VTM MICROWAVES INC (1988)</t>
  </si>
  <si>
    <t xml:space="preserve">AMOCO GAS STA NO 9644</t>
  </si>
  <si>
    <t xml:space="preserve">S02306</t>
  </si>
  <si>
    <t xml:space="preserve">6882 S PRINCE CIR</t>
  </si>
  <si>
    <t xml:space="preserve">HARTECH INC (1973-1974; SIC 3679)</t>
  </si>
  <si>
    <t xml:space="preserve">HARTECH INC (1973)</t>
  </si>
  <si>
    <t xml:space="preserve">Breckenridge Brewery II</t>
  </si>
  <si>
    <t xml:space="preserve">S05934</t>
  </si>
  <si>
    <t xml:space="preserve">1501A W CAMPUS DR</t>
  </si>
  <si>
    <t xml:space="preserve">KELTNER RESEARCH INC (1990; SIC 3625,3679)</t>
  </si>
  <si>
    <t xml:space="preserve">SOFTWARE AIR DEPOT INC (1988) | LITTLETON - LITTLETON 299 SANDHILL SCIENTIFIC (1988) | KELTNER RESEARCH INC (1990) | SANDHILL SCIENTIFIC (1990)</t>
  </si>
  <si>
    <t xml:space="preserve">UNICIRCUIT INC</t>
  </si>
  <si>
    <t xml:space="preserve">M A G COLLISION CENTER</t>
  </si>
  <si>
    <t xml:space="preserve">S06558</t>
  </si>
  <si>
    <t xml:space="preserve">14500 E FREMONT AVE</t>
  </si>
  <si>
    <t xml:space="preserve">POWERTEK INDUSTRIES INC (1990; SIC 3629,3679)</t>
  </si>
  <si>
    <t xml:space="preserve">POWERTEK INDUSTRIES INC (1990)</t>
  </si>
  <si>
    <t xml:space="preserve">KOLOR FUSION INTERNATIONAL</t>
  </si>
  <si>
    <t xml:space="preserve">S01370</t>
  </si>
  <si>
    <t xml:space="preserve">2559 N 75TH ST</t>
  </si>
  <si>
    <t xml:space="preserve">ARF PRODUCTS INC (1967-1968; SIC 3679,3662) | ARE PRODUCTS INC (1970; SIC 3679,3662)</t>
  </si>
  <si>
    <t xml:space="preserve">ARF PRODUCTS INC (1967) | ARE PRODUCTS INC (1970)</t>
  </si>
  <si>
    <t xml:space="preserve">S02360</t>
  </si>
  <si>
    <t xml:space="preserve">1305 WALNUT</t>
  </si>
  <si>
    <t xml:space="preserve">BI INC (1980; SIC 3674)</t>
  </si>
  <si>
    <t xml:space="preserve">SPORTSMAN PRODUCTS (1973) | BI INC (1980) | SHAMBHALA PUBLICATIONSs INC (1983) | TIMBERWOLF PUBLISHING INC (EARTH NEWS) (1983)</t>
  </si>
  <si>
    <t xml:space="preserve">FEDERAL GAS COMPANY</t>
  </si>
  <si>
    <t xml:space="preserve">S03773</t>
  </si>
  <si>
    <t xml:space="preserve">1812 VALTEC LN</t>
  </si>
  <si>
    <t xml:space="preserve">AANON CORPORATION (1983; SIC 3662,3679)</t>
  </si>
  <si>
    <t xml:space="preserve">QUT OF THE WOODS (1980) | AANON CORPORATION (1983)</t>
  </si>
  <si>
    <t xml:space="preserve">S04632</t>
  </si>
  <si>
    <t xml:space="preserve">7945 NEFOOTHILLS HWY</t>
  </si>
  <si>
    <t xml:space="preserve">SWEET + COMPANY (1983; SIC 3679)</t>
  </si>
  <si>
    <t xml:space="preserve">SWEET + COMPANY (1983)</t>
  </si>
  <si>
    <t xml:space="preserve">S05334</t>
  </si>
  <si>
    <t xml:space="preserve">2321 YARMOUTH AVE</t>
  </si>
  <si>
    <t xml:space="preserve">COLUTRON RESEARCH CORP (1990; SIC 3671,3823)</t>
  </si>
  <si>
    <t xml:space="preserve">FPIXTURES-PLASTICS I EQEBTRON RESEARCH (1988) | COLUTRON RESEARCH CORP (1990) | COLUMBINE TOOL + DIEING (1992)</t>
  </si>
  <si>
    <t xml:space="preserve">S01394</t>
  </si>
  <si>
    <t xml:space="preserve">2260 INDUSTRIAL LN</t>
  </si>
  <si>
    <t xml:space="preserve">Oow KEY CO (1967; SIC 3679) | DOW KEY COMPANY (1968-1970; SIC 3679)</t>
  </si>
  <si>
    <t xml:space="preserve">Oow KEY CO (1967) | DOW KEY COMPANY (1968)</t>
  </si>
  <si>
    <t xml:space="preserve">S03798</t>
  </si>
  <si>
    <t xml:space="preserve">1108 7TH AVE CIR</t>
  </si>
  <si>
    <t xml:space="preserve">TECHMET INDUSTRIES INC (1983; SIC 3679)</t>
  </si>
  <si>
    <t xml:space="preserve">K + L ENGINEERING (1980) | TECHMET INDUSTRIES INC (1983)</t>
  </si>
  <si>
    <t xml:space="preserve">S06228</t>
  </si>
  <si>
    <t xml:space="preserve">310 INTERLOCKEN PKWY</t>
  </si>
  <si>
    <t xml:space="preserve">MCDATA CORP (1990; SIC 3829,3669,3679)</t>
  </si>
  <si>
    <t xml:space="preserve">MCDATA CORP (1990)</t>
  </si>
  <si>
    <t xml:space="preserve">COLORADO DEPARTMENT OF AGRICULTURE</t>
  </si>
  <si>
    <t xml:space="preserve">S00061</t>
  </si>
  <si>
    <t xml:space="preserve">1111 S PEARL</t>
  </si>
  <si>
    <t xml:space="preserve">W-F PROOUCTS INC (1974; SIC 3861)</t>
  </si>
  <si>
    <t xml:space="preserve">AA ACTIVE PRINTING (1965) | MB ENTERPRISES INC (1973) | W-F PROOUCTS INC (1974) | CHRISTEL CLEAR TYPESETTING (1983)</t>
  </si>
  <si>
    <t xml:space="preserve">WASHINGTON PARK CLEANERS</t>
  </si>
  <si>
    <t xml:space="preserve">S00722</t>
  </si>
  <si>
    <t xml:space="preserve">580 HUMBOLDT</t>
  </si>
  <si>
    <t xml:space="preserve">AUDIO VISUAL SYSTEMS INC (1966; SIC 3861)</t>
  </si>
  <si>
    <t xml:space="preserve">AUDIO VISUAL SYSTEMS INC (1966)</t>
  </si>
  <si>
    <t xml:space="preserve">USA Cleaners</t>
  </si>
  <si>
    <t xml:space="preserve">USA CLEANERS #7</t>
  </si>
  <si>
    <t xml:space="preserve">S00962</t>
  </si>
  <si>
    <t xml:space="preserve">1315 S CLARKSON</t>
  </si>
  <si>
    <t xml:space="preserve">NATIONAL CAMERA INC (1980; SIC 3861)</t>
  </si>
  <si>
    <t xml:space="preserve">REOFIELD GUN SIGHT Co (1966) | CONSPAN OF DENVER INC (1974) | NATIONAL CAMERA INC (1980)</t>
  </si>
  <si>
    <t xml:space="preserve">S00964</t>
  </si>
  <si>
    <t xml:space="preserve">5595 E JEFFERSON</t>
  </si>
  <si>
    <t xml:space="preserve">RELCO PRODUCTS (1980-1988; SIC 3811,3679)</t>
  </si>
  <si>
    <t xml:space="preserve">RELCO PRODUCTS (1966) | RELCO PRODUCTS 3545 MACHINE TOOL ACCESSORIES (1970)</t>
  </si>
  <si>
    <t xml:space="preserve">S01003</t>
  </si>
  <si>
    <t xml:space="preserve">4747 QUITMAN</t>
  </si>
  <si>
    <t xml:space="preserve">WRIGHT'S INC (1966; SIC 2491)</t>
  </si>
  <si>
    <t xml:space="preserve">WRIGHT'S INC (1966)</t>
  </si>
  <si>
    <t xml:space="preserve">S02522</t>
  </si>
  <si>
    <t xml:space="preserve">4035 MORRISON RD</t>
  </si>
  <si>
    <t xml:space="preserve">ROCKY MOUNTAIN CANVAS INC 2741 MISCELLANEOUS PUBLISHING (1977; SIC 1035)</t>
  </si>
  <si>
    <t xml:space="preserve"> (1973) | ROCKY MOUNTAIN CANVAS INC 2741 MISCELLANEOUS PUBLISHING (1977)</t>
  </si>
  <si>
    <t xml:space="preserve">BUCU WEST</t>
  </si>
  <si>
    <t xml:space="preserve">S03000</t>
  </si>
  <si>
    <t xml:space="preserve">3650 OLIVE</t>
  </si>
  <si>
    <t xml:space="preserve">YARONEY ELECTRIC CORPORATION (1974; SIC 3692)</t>
  </si>
  <si>
    <t xml:space="preserve">YARONEY ELECTRIC CORPORATION (1974)</t>
  </si>
  <si>
    <t xml:space="preserve">S03940</t>
  </si>
  <si>
    <t xml:space="preserve">9250 E EVANS</t>
  </si>
  <si>
    <t xml:space="preserve">HATHAWAY INSTRUMENTS INC (1980; SIC 3825,3679)</t>
  </si>
  <si>
    <t xml:space="preserve">HATHAWAY INSTRUMENTS INC (1980)</t>
  </si>
  <si>
    <t xml:space="preserve">S04064</t>
  </si>
  <si>
    <t xml:space="preserve">2458 W 29TH AVE</t>
  </si>
  <si>
    <t xml:space="preserve">WHIRLWIND POWER CO. (1980; SIC 3621,3679)</t>
  </si>
  <si>
    <t xml:space="preserve">WHIRLWIND POWER CO. (1980)</t>
  </si>
  <si>
    <t xml:space="preserve">S04725</t>
  </si>
  <si>
    <t xml:space="preserve">3660 BLAKE ST</t>
  </si>
  <si>
    <t xml:space="preserve">CAR-GO BATTERY CO (1983; SIC 3691)</t>
  </si>
  <si>
    <t xml:space="preserve">CAR-GO BATTERY CO (1983)</t>
  </si>
  <si>
    <t xml:space="preserve">S05586</t>
  </si>
  <si>
    <t xml:space="preserve">3220 W NEVADA PL</t>
  </si>
  <si>
    <t xml:space="preserve">DAYSTAR DISPLAYS (1988-1990; SIC 3861)</t>
  </si>
  <si>
    <t xml:space="preserve">DAYSTAR DISPLAYS (1988)</t>
  </si>
  <si>
    <t xml:space="preserve">S04077</t>
  </si>
  <si>
    <t xml:space="preserve">2595 LARKSPUR</t>
  </si>
  <si>
    <t xml:space="preserve">FORMISTER CORPORATION (1980; SIC 3674,3675)</t>
  </si>
  <si>
    <t xml:space="preserve">FORMISTER CORPORATION (1980)</t>
  </si>
  <si>
    <t xml:space="preserve">S00391</t>
  </si>
  <si>
    <t xml:space="preserve">809 MANITOU AVE</t>
  </si>
  <si>
    <t xml:space="preserve">MANITOU SPRINGS ADCOM TRANSFORMER (1988; SIC 3612,3677,3679)</t>
  </si>
  <si>
    <t xml:space="preserve">BAMCO LEATHER PRODUCTS Co. (1965) | MANITOU SPRINGS ADCOM TRANSFORMER (1988) | CRIPPLE CREEK DULCIMERS (1990)</t>
  </si>
  <si>
    <t xml:space="preserve">GM PIKES PEAK VEHICLE TEST HDQ</t>
  </si>
  <si>
    <t xml:space="preserve">S02584</t>
  </si>
  <si>
    <t xml:space="preserve">828 WOOTEN RD</t>
  </si>
  <si>
    <t xml:space="preserve">VICON INSTRUMENT CO (1973-1980; SIC 3841,3679,3842)</t>
  </si>
  <si>
    <t xml:space="preserve">VICON INSTRUMENT CO (1973)</t>
  </si>
  <si>
    <t xml:space="preserve">S03357</t>
  </si>
  <si>
    <t xml:space="preserve">559 CASTLE RD</t>
  </si>
  <si>
    <t xml:space="preserve">AMS SERVICE CO INC (1977; SIC 3679)</t>
  </si>
  <si>
    <t xml:space="preserve">AMS SERVICE CO INC (1977) | VISUAL PRODUCTIONS (1980)</t>
  </si>
  <si>
    <t xml:space="preserve">S04091</t>
  </si>
  <si>
    <t xml:space="preserve">3133 N EL PASO</t>
  </si>
  <si>
    <t xml:space="preserve">CHALAANT RESEARCH + GEVELORNENT (1980; SIC 3679)</t>
  </si>
  <si>
    <t xml:space="preserve">CHALAANT RESEARCH + GEVELORNENT (1980)</t>
  </si>
  <si>
    <t xml:space="preserve">El Paso DOT Facility II</t>
  </si>
  <si>
    <t xml:space="preserve">S04907</t>
  </si>
  <si>
    <t xml:space="preserve">2842 N INSTITUTE</t>
  </si>
  <si>
    <t xml:space="preserve">CHALFANT RESEARCH ¢ DEVELOPMENT (1983-1990; SIC 3679) | CRD (1990; SIC 3679,3699)</t>
  </si>
  <si>
    <t xml:space="preserve">CHALFANT RESEARCH ¢ DEVELOPMENT (1983) | CRD (1990)</t>
  </si>
  <si>
    <t xml:space="preserve">S04962</t>
  </si>
  <si>
    <t xml:space="preserve">4182 SANDBERG OR</t>
  </si>
  <si>
    <t xml:space="preserve">RADIX MICROELECTRONICS INC (1983; SIC 3674)</t>
  </si>
  <si>
    <t xml:space="preserve">RADIX MICROELECTRONICS INC (1983)</t>
  </si>
  <si>
    <t xml:space="preserve">S05502</t>
  </si>
  <si>
    <t xml:space="preserve">5825 MARK DABLING BL</t>
  </si>
  <si>
    <t xml:space="preserve">SLIDES-ASTRONOMY + TEXAS INSTRUMENTS (1988; SIC 3899,3679,3851)</t>
  </si>
  <si>
    <t xml:space="preserve">SLIDES-ASTRONOMY + TEXAS INSTRUMENTS (1988)</t>
  </si>
  <si>
    <t xml:space="preserve">S05508</t>
  </si>
  <si>
    <t xml:space="preserve">1828 AUSTIN BLUFPS</t>
  </si>
  <si>
    <t xml:space="preserve">vMI D.B.A-V L $1 MICROSYstTEMs (1988; SIC 3672,3269,1360)</t>
  </si>
  <si>
    <t xml:space="preserve">vMI D.B.A-V L $1 MICROSYstTEMs (1988) | RAMTRON CORPORATION (1990)</t>
  </si>
  <si>
    <t xml:space="preserve">S05894</t>
  </si>
  <si>
    <t xml:space="preserve">6960 LAKE ST</t>
  </si>
  <si>
    <t xml:space="preserve">GREEN MOUNTAIN FALLS</t>
  </si>
  <si>
    <t xml:space="preserve">80819</t>
  </si>
  <si>
    <t xml:space="preserve">LASER SYSTEMS DEVELOPMENT CORP (1990; SIC 3861,3999)</t>
  </si>
  <si>
    <t xml:space="preserve">GREEN MT. FALLS DEVEL SINAN corp (1988) | LASER SYSTEMS DEVELOPMENT CORP (1990) | (GREEN MT FALLS: (1992)</t>
  </si>
  <si>
    <t xml:space="preserve">S06295</t>
  </si>
  <si>
    <t xml:space="preserve">2102 PEACEMAKER TER W</t>
  </si>
  <si>
    <t xml:space="preserve">80920</t>
  </si>
  <si>
    <t xml:space="preserve">NORBERN INC (1990; SIC 3861)</t>
  </si>
  <si>
    <t xml:space="preserve">NORBERN INC (1990)</t>
  </si>
  <si>
    <t xml:space="preserve">S03037</t>
  </si>
  <si>
    <t xml:space="preserve">410 E MAIN</t>
  </si>
  <si>
    <t xml:space="preserve">MULTI-TECH ELECTRONICS INC (1974; SIC 3679,3825)</t>
  </si>
  <si>
    <t xml:space="preserve">MULTI-TECH ELECTRONICS INC (1974)</t>
  </si>
  <si>
    <t xml:space="preserve">FREMONT COUNTY SHOP</t>
  </si>
  <si>
    <t xml:space="preserve">S05406</t>
  </si>
  <si>
    <t xml:space="preserve">911 GARFIELD</t>
  </si>
  <si>
    <t xml:space="preserve">ITEMS RAIMENT (1988; SIC 2311,2321,1043)</t>
  </si>
  <si>
    <t xml:space="preserve">ITEMS RAIMENT (1988)</t>
  </si>
  <si>
    <t xml:space="preserve">USDA FOREST SERVICE SOPRIS RD</t>
  </si>
  <si>
    <t xml:space="preserve">S02991</t>
  </si>
  <si>
    <t xml:space="preserve">3077 S HURLEY CIR</t>
  </si>
  <si>
    <t xml:space="preserve">V_H F ASSOCIATES, INC (1974; SIC 3662,3829,3679)</t>
  </si>
  <si>
    <t xml:space="preserve">V_H F ASSOCIATES, INC (1974)</t>
  </si>
  <si>
    <t xml:space="preserve">S05049</t>
  </si>
  <si>
    <t xml:space="preserve">5364 W 25TH AVE</t>
  </si>
  <si>
    <t xml:space="preserve">DENVER ELEVATOR SYSTEMS INC (1983-1990; SIC 3679)</t>
  </si>
  <si>
    <t xml:space="preserve">DENVER ELEVATOR SYSTEMS INC (1983) | D+S DISCOUNT PRINTING INC (1988)</t>
  </si>
  <si>
    <t xml:space="preserve">S06043</t>
  </si>
  <si>
    <t xml:space="preserve">316 MT EVANS BLVD</t>
  </si>
  <si>
    <t xml:space="preserve">PINE</t>
  </si>
  <si>
    <t xml:space="preserve">80470</t>
  </si>
  <si>
    <t xml:space="preserve">PUBLICATION NOVA ENGINEERING INC (1988; SIC 3679,3699) | NOVA ENGINEERING INC (1990; SIC 3679,3699)</t>
  </si>
  <si>
    <t xml:space="preserve">PUBLICATION NOVA ENGINEERING INC (1988) | NOVA ENGINEERING INC (1990)</t>
  </si>
  <si>
    <t xml:space="preserve">LEMONGRASS SPA PRODUCTS</t>
  </si>
  <si>
    <t xml:space="preserve">S06622</t>
  </si>
  <si>
    <t xml:space="preserve">740 BRAUN ST</t>
  </si>
  <si>
    <t xml:space="preserve">GOLDEN CIRCUITS (1990; SIC 3672)</t>
  </si>
  <si>
    <t xml:space="preserve">GOLDEN CIRCUITS (1990)</t>
  </si>
  <si>
    <t xml:space="preserve">S06874</t>
  </si>
  <si>
    <t xml:space="preserve">6100 FIELD ST</t>
  </si>
  <si>
    <t xml:space="preserve">.. PUBLISHER (1992; SIC 2747,3861)</t>
  </si>
  <si>
    <t xml:space="preserve">.. PUBLISHER (1992)</t>
  </si>
  <si>
    <t xml:space="preserve">S02151</t>
  </si>
  <si>
    <t xml:space="preserve">1535 W EISENHOWER</t>
  </si>
  <si>
    <t xml:space="preserve">COLORADO CRYSTAL CORP (1970; SIC 3679)</t>
  </si>
  <si>
    <t xml:space="preserve">COLORADO CRYSTAL CORP (1970)</t>
  </si>
  <si>
    <t xml:space="preserve">S03455</t>
  </si>
  <si>
    <t xml:space="preserve">210 S MASON</t>
  </si>
  <si>
    <t xml:space="preserve">DATA INC (1980; SIC 3651,3693,3679)</t>
  </si>
  <si>
    <t xml:space="preserve">DATA INC 2051 BREAD, CAKE, AND RELATED PRODUCTS (1977) | DATA INC (1980) | JD'S QUICK PRINTING (1990)</t>
  </si>
  <si>
    <t xml:space="preserve">S03467</t>
  </si>
  <si>
    <t xml:space="preserve">1624 BUCKEYE</t>
  </si>
  <si>
    <t xml:space="preserve">REED CYBERDYNE CORP (1977; SIC 3629,3676,3672) | REED CYBERDYNE CORP (1980-1983; SIC 3629,3679,3612)</t>
  </si>
  <si>
    <t xml:space="preserve">REED CYBERDYNE CORP (1977) | REED CYBERDYNE CORP (1980)</t>
  </si>
  <si>
    <t xml:space="preserve">PAINTERS SUPPLY COMPANY INC</t>
  </si>
  <si>
    <t xml:space="preserve">S05126</t>
  </si>
  <si>
    <t xml:space="preserve">7702 EMERALD AVE</t>
  </si>
  <si>
    <t xml:space="preserve">DATA INC (1983; SIC 3651,3693,3679) | DATA INC (1990; SIC 3694,3679)</t>
  </si>
  <si>
    <t xml:space="preserve">DATA INC (1983) | DATA INC (1990)</t>
  </si>
  <si>
    <t xml:space="preserve">S05783</t>
  </si>
  <si>
    <t xml:space="preserve">2290 E PROSPECT NO 2</t>
  </si>
  <si>
    <t xml:space="preserve">OPTICAL AUDIO PRODUCTIONS (1988-1990; SIC 3861)</t>
  </si>
  <si>
    <t xml:space="preserve">BRAIN TECHNOLOGIES CORP (1988) | OPTICAL AUDIO PRODUCTIONS (1988) | THE OLD ARMY PRESS INC (1990)</t>
  </si>
  <si>
    <t xml:space="preserve">S01196</t>
  </si>
  <si>
    <t xml:space="preserve">350 S 7TH ST</t>
  </si>
  <si>
    <t xml:space="preserve">KUNER-EMPSON CO (1966; SIC 2491)</t>
  </si>
  <si>
    <t xml:space="preserve">KUNER-EMPSON CO (1966)</t>
  </si>
  <si>
    <t xml:space="preserve">7TH AND ROOD</t>
  </si>
  <si>
    <t xml:space="preserve">MUELLER AUTO SERVICE INC</t>
  </si>
  <si>
    <t xml:space="preserve">S05179</t>
  </si>
  <si>
    <t xml:space="preserve">124 TELLER AVE</t>
  </si>
  <si>
    <t xml:space="preserve">LEATHER BARN» THE (1983; SIC 3111)</t>
  </si>
  <si>
    <t xml:space="preserve">LEATHER BARN» THE (1983)</t>
  </si>
  <si>
    <t xml:space="preserve">JIM FUOCO MOTOR COMPANY</t>
  </si>
  <si>
    <t xml:space="preserve">S01299</t>
  </si>
  <si>
    <t xml:space="preserve">322N 21ST AVE</t>
  </si>
  <si>
    <t xml:space="preserve">SHAPLEY, DONALD R (1966; SIC 2491)</t>
  </si>
  <si>
    <t xml:space="preserve">SHAPLEY, DONALD R (1966)</t>
  </si>
  <si>
    <t xml:space="preserve">S05882</t>
  </si>
  <si>
    <t xml:space="preserve">115 N 8TH AVE</t>
  </si>
  <si>
    <t xml:space="preserve">EDGE BATTERY MFG CO D.B.A.-BATTERY MART (1988; SIC 3691)</t>
  </si>
  <si>
    <t xml:space="preserve">EDGE BATTERY MFG CO D.B.A.-BATTERY MART (1988)</t>
  </si>
  <si>
    <t xml:space="preserve">S06081</t>
  </si>
  <si>
    <t xml:space="preserve">12260 PENNSYLVANIA</t>
  </si>
  <si>
    <t xml:space="preserve">THORNTON AUTOMATED CONTROLS (1988; SIC 3679,3822,3823)</t>
  </si>
  <si>
    <t xml:space="preserve">THORNTON AUTOMATED CONTROLS (1988)</t>
  </si>
  <si>
    <t xml:space="preserve">H &amp; H BUILDERS [FRS; 5 m]</t>
  </si>
  <si>
    <t xml:space="preserve">AIR SQUARED</t>
  </si>
  <si>
    <t xml:space="preserve">S07144</t>
  </si>
  <si>
    <t xml:space="preserve">12421 WASHINGTON</t>
  </si>
  <si>
    <t xml:space="preserve">MILLENIUM INDUSTRIES INC (1992; SIC 3672)</t>
  </si>
  <si>
    <t xml:space="preserve">MILLENIUM INDUSTRIES INC (1992)</t>
  </si>
  <si>
    <t xml:space="preserve">FISCHER IMAGING CORP [FRS; 38 m]</t>
  </si>
  <si>
    <t xml:space="preserve">S04489</t>
  </si>
  <si>
    <t xml:space="preserve">1405 FLORENCE UNIT D</t>
  </si>
  <si>
    <t xml:space="preserve">AEROWAVE (1983; SIC 3679)</t>
  </si>
  <si>
    <t xml:space="preserve">AEROWAVE (1983)</t>
  </si>
  <si>
    <t xml:space="preserve">RAINBOW PRESS [FRS; 2 m] | AURORA SC2 SANITARY SEWER IMPROVEMENTS [FRS; 23 m] | SC2 AURORA SANITARY SEWER UPGRADE [FRS; 35 m]</t>
  </si>
  <si>
    <t xml:space="preserve">C P AUTO REPAIR INC</t>
  </si>
  <si>
    <t xml:space="preserve">S05758</t>
  </si>
  <si>
    <t xml:space="preserve">3227 W HAMPDEN</t>
  </si>
  <si>
    <t xml:space="preserve">WESTERN OFFICE SYSTEMS INC. (1992; SIC 2789,3861)</t>
  </si>
  <si>
    <t xml:space="preserve">SUZIES CREATIVE DESIGN+SEWING (1988) | COLEMAN COLLINS INC (1990) | WESTERN OFFICE SYSTEMS INC. (1992)</t>
  </si>
  <si>
    <t xml:space="preserve">COLEMAN COLLINS INC [FRS; name match, 7 m] | SKYLINE GLASS INC [FRS; 2 m] | WALTON DESIGN AND REMODELING [FRS; 21 m]</t>
  </si>
  <si>
    <t xml:space="preserve">COLORADO DATA SYSTEMS INC</t>
  </si>
  <si>
    <t xml:space="preserve">S03768</t>
  </si>
  <si>
    <t xml:space="preserve">695 38TH ST</t>
  </si>
  <si>
    <t xml:space="preserve">8 T INC (1980; SIC 3679)</t>
  </si>
  <si>
    <t xml:space="preserve">8 T INC (1980)</t>
  </si>
  <si>
    <t xml:space="preserve">MOUNTAIN SHADOWS MONTESSORI [FRS; 108 m] | BEAR CANYON CREEK AT GILPIN [FRS; 208 m] | WILLIAMS VILLAGE RAW WATER IRRIGATION [FRS; 249 m]</t>
  </si>
  <si>
    <t xml:space="preserve">S05990</t>
  </si>
  <si>
    <t xml:space="preserve">740 PIERCE AVE</t>
  </si>
  <si>
    <t xml:space="preserve">INFASE INCORPORATED (1988; SIC 3622,3679)</t>
  </si>
  <si>
    <t xml:space="preserve">INFASE INCORPORATED (1988)</t>
  </si>
  <si>
    <t xml:space="preserve">PRIVATE RESIDENCE - EVANS STREET [FRS; 85 m] | TOWN OF ERIE, COLORADO [FRS; 159 m] | ERIE WATER RECLAMATION FACILITY [FRS; 185 m] | ERIE, TOWN OF [FRS; 185 m] | VISTA RIDGE 1A, 2ND AMENDMENT [FRS; 219 m] | PACIFIC AEROMOTIVE CORPORATION [FRS; 225 m]</t>
  </si>
  <si>
    <t xml:space="preserve">S06896</t>
  </si>
  <si>
    <t xml:space="preserve">2930 BOUDER PEARL</t>
  </si>
  <si>
    <t xml:space="preserve">CHRISTMAS LETTERS (1992; SIC 3672)</t>
  </si>
  <si>
    <t xml:space="preserve">CHRISTMAS LETTERS (1992)</t>
  </si>
  <si>
    <t xml:space="preserve">TURNPIKE TEXACO [FRS; 66 m] | BOULDER YELLOW CAB [FRS; 66 m] | PDQ DEVELOPMENT - PDQ 8001 [FRS; 109 m] | UNIVERSITY OF CO BOULDER-EAST CAMPUS [FRS; 199 m]</t>
  </si>
  <si>
    <t xml:space="preserve">S00284</t>
  </si>
  <si>
    <t xml:space="preserve">815 WE 14TH</t>
  </si>
  <si>
    <t xml:space="preserve">NEWLANDER A MACHINE SHOP (1965; SIC 3691)</t>
  </si>
  <si>
    <t xml:space="preserve">NEWLANDER A MACHINE SHOP (1965)</t>
  </si>
  <si>
    <t xml:space="preserve">DENVER HEALTH &amp; HOSP - RMPCD CALL CENTER [FRS; 22 m] | 14TH AVE BRIDGE REPLACEMENT OVER CHERRY CREEK [FRS; 33 m]</t>
  </si>
  <si>
    <t xml:space="preserve">S00326</t>
  </si>
  <si>
    <t xml:space="preserve">1645 MARKET</t>
  </si>
  <si>
    <t xml:space="preserve">SHAROFF, J A * CO (1966; SIC 2491)</t>
  </si>
  <si>
    <t xml:space="preserve">SCHWARTZ PRINTING CO. (1965) | SHAROFF, + CO. (1965) | SHAROFF, J A * CO (1966) | INTERNATIONAL SPORTS GALLERY INC (1990)</t>
  </si>
  <si>
    <t xml:space="preserve">EASY GLOBAL INC [FRS; 12 m] | INTELABE LIMITED [FRS; 27 m]</t>
  </si>
  <si>
    <t xml:space="preserve">38th and Walnut St. II</t>
  </si>
  <si>
    <t xml:space="preserve">S00987</t>
  </si>
  <si>
    <t xml:space="preserve">2762 WALNUT</t>
  </si>
  <si>
    <t xml:space="preserve">UNIVERSAL BLUEPRINT PAPER CO (1966-1983; SIC 3861)</t>
  </si>
  <si>
    <t xml:space="preserve">UNIVERSAL BLUEPRINT PAPER CO (1966)</t>
  </si>
  <si>
    <t xml:space="preserve">WALNUT FLATS [FRS; 34 m]</t>
  </si>
  <si>
    <t xml:space="preserve">FOCUS PROPERTY GROUP</t>
  </si>
  <si>
    <t xml:space="preserve">S01703</t>
  </si>
  <si>
    <t xml:space="preserve">3857 ELM ST</t>
  </si>
  <si>
    <t xml:space="preserve">AUDIO VISUAL SYSTEMS INC (1968; SIC 3861)</t>
  </si>
  <si>
    <t xml:space="preserve">AUDIO VISUAL SYSTEMS INC (1968) | WESTERN STATES LIGHTING CO (1977)</t>
  </si>
  <si>
    <t xml:space="preserve">ALSCO [FRS; 20 m]</t>
  </si>
  <si>
    <t xml:space="preserve">S02012</t>
  </si>
  <si>
    <t xml:space="preserve">955 BANNOCK ST</t>
  </si>
  <si>
    <t xml:space="preserve">1970;1980;1983</t>
  </si>
  <si>
    <t xml:space="preserve">COLORADO VISUAL AIDS SUPPLY CO (1970; SIC 3861) | CHESS ENC (1980; SIC 3261,3674) | CHESS INC (1983; SIC 3161,3674)</t>
  </si>
  <si>
    <t xml:space="preserve">COLORADO VISUAL AIDS SUPPLY CO (1970) | CHESS ENC (1980) | CHESS INC (1983)</t>
  </si>
  <si>
    <t xml:space="preserve">BANNOCK AND SPEER APARTMENTS [FRS; 11 m] | SUNGARD AVAILABILITY - 900 BANNOCK ST [FRS; 23 m]</t>
  </si>
  <si>
    <t xml:space="preserve">10th and Cherokee</t>
  </si>
  <si>
    <t xml:space="preserve">PUBLIC SERVICE CO (CUST OFF 990 BANNOCK)</t>
  </si>
  <si>
    <t xml:space="preserve">S02992</t>
  </si>
  <si>
    <t xml:space="preserve">3883 MONACO PKWY</t>
  </si>
  <si>
    <t xml:space="preserve">VARI-L CCMPANY INC (1974; SIC 3679)</t>
  </si>
  <si>
    <t xml:space="preserve">VARI-L CCMPANY INC (1974) | VARI-L COMPANY INC (1977)</t>
  </si>
  <si>
    <t xml:space="preserve">FREEMAN SIGNS, INC. [FRS; 23 m]</t>
  </si>
  <si>
    <t xml:space="preserve">TEN STRAWBERRY STREET</t>
  </si>
  <si>
    <t xml:space="preserve">S03283</t>
  </si>
  <si>
    <t xml:space="preserve">2195 S ASH ST</t>
  </si>
  <si>
    <t xml:space="preserve">COM-LAB INC (1977; SIC 3679)</t>
  </si>
  <si>
    <t xml:space="preserve">COM-LAB INC (1977)</t>
  </si>
  <si>
    <t xml:space="preserve">VANDELLEN CHRISTIAN SCHOOL [FRS; 9 m] | WARREN TOWNHOMES [FRS; 9 m]</t>
  </si>
  <si>
    <t xml:space="preserve">BRADLEY PETROLEUM INC NO 404</t>
  </si>
  <si>
    <t xml:space="preserve">S04813</t>
  </si>
  <si>
    <t xml:space="preserve">1015 S GAYLORD</t>
  </si>
  <si>
    <t xml:space="preserve">PRODUCTS GAYLORD’S (1988; SIC 1028,2099)</t>
  </si>
  <si>
    <t xml:space="preserve">PRINTERS INK (1983) | PRODUCTS GAYLORD’S (1988) | GAYLORD'S (1990)</t>
  </si>
  <si>
    <t xml:space="preserve">PARKSIDE REMODELING LLC [FRS; 14 m]</t>
  </si>
  <si>
    <t xml:space="preserve">S03375</t>
  </si>
  <si>
    <t xml:space="preserve">1150 CHEYENNE MOUNTAIN</t>
  </si>
  <si>
    <t xml:space="preserve">HONEYWELL INC (1977; SIC 3674)</t>
  </si>
  <si>
    <t xml:space="preserve">HONEYWELL INC (1977)</t>
  </si>
  <si>
    <t xml:space="preserve">CHEYENNE CREEK STREAM STABILIZATION WW 161468 [FRS; 188 m]</t>
  </si>
  <si>
    <t xml:space="preserve">S03433</t>
  </si>
  <si>
    <t xml:space="preserve">17169 S GOLDEN RD</t>
  </si>
  <si>
    <t xml:space="preserve">CONTROL TECHNOLOGY INC. (1983; SIC 3622,3861)</t>
  </si>
  <si>
    <t xml:space="preserve">SILVER STATE PRINTERS (1977) | CONTROL TECHNOLOGY INC. (1983)</t>
  </si>
  <si>
    <t xml:space="preserve">U-PUMP-IT - NO 912 [FRS; 24 m] | DILLON COS - KING SOOPERS FUEL FAC #082 [FRS; 32 m]</t>
  </si>
  <si>
    <t xml:space="preserve">WALGREENS #10117</t>
  </si>
  <si>
    <t xml:space="preserve">S05096</t>
  </si>
  <si>
    <t xml:space="preserve">7105 W 44TH AVE</t>
  </si>
  <si>
    <t xml:space="preserve">VESTA TECHNOLOGY INC (1990; SIC 3672)</t>
  </si>
  <si>
    <t xml:space="preserve">GNATHODONTICS LTD (1983) | VESTA TECHNOLOGY INC (1990)</t>
  </si>
  <si>
    <t xml:space="preserve">EAST JEFFERSON COUNTY SANITATION DISTRICT [FRS; 2 m]</t>
  </si>
  <si>
    <t xml:space="preserve">Crystal Cleaners</t>
  </si>
  <si>
    <t xml:space="preserve">CRYSTAL DRY CLNRS &amp; LAUNDROMAT</t>
  </si>
  <si>
    <t xml:space="preserve">S05222</t>
  </si>
  <si>
    <t xml:space="preserve">67318 US HWY 285</t>
  </si>
  <si>
    <t xml:space="preserve"> (1983; SIC 3679)</t>
  </si>
  <si>
    <t xml:space="preserve">CORE PINE JUNCTION OPERATIONS FACILITY [FRS; 192 m]</t>
  </si>
  <si>
    <t xml:space="preserve">S05809</t>
  </si>
  <si>
    <t xml:space="preserve">2506 ZURICH DR</t>
  </si>
  <si>
    <t xml:space="preserve">ROY E SUPPORT (1988; SIC 2621,3861,3931) | ULTIMATE SUPPORT SYSTEMS (1990; SIC 3861,3931)</t>
  </si>
  <si>
    <t xml:space="preserve">ROY E SUPPORT (1988) | ULTIMATE SUPPORT SYSTEMS (1990)</t>
  </si>
  <si>
    <t xml:space="preserve">ULTIMATE SUPPORT SYSTEM INCORPORATED [FRS; name match, 67 m] | ULTIMATE SUPPORT SYSTEM INCORPORATED [FRS] (address match)</t>
  </si>
  <si>
    <t xml:space="preserve">PRECISION INCORPORATED</t>
  </si>
  <si>
    <t xml:space="preserve">S06015</t>
  </si>
  <si>
    <t xml:space="preserve">2890 N MONROE</t>
  </si>
  <si>
    <t xml:space="preserve">THOM SCHULTZ PUBLICATIONS INC (1988; SIC 2721,2731,3861)</t>
  </si>
  <si>
    <t xml:space="preserve">THOM SCHULTZ PUBLICATIONS INC (1988) | GROUP PUBLISHING (1990)</t>
  </si>
  <si>
    <t xml:space="preserve">29TH ST &amp; MONROE AVE SS IMPS. [FRS; 3 m]</t>
  </si>
  <si>
    <t xml:space="preserve">S06511</t>
  </si>
  <si>
    <t xml:space="preserve">9345 ELM CT UNIT B</t>
  </si>
  <si>
    <t xml:space="preserve">VTM MICROWAVES INC (1990; SIC 3679,3674)</t>
  </si>
  <si>
    <t xml:space="preserve">VTM MICROWAVES INC (1990)</t>
  </si>
  <si>
    <t xml:space="preserve">AJAX USED CARS [FRS; 224 m]</t>
  </si>
  <si>
    <t xml:space="preserve">NETDIRECT DISTRIBUTION [FRS; 189 m]</t>
  </si>
  <si>
    <t xml:space="preserve">AJAX USED CARS</t>
  </si>
  <si>
    <t xml:space="preserve">S01982</t>
  </si>
  <si>
    <t xml:space="preserve">5501 S BROADWAY</t>
  </si>
  <si>
    <t xml:space="preserve">HONEYWELL INC» PHOTOGRAPHIC PRODUCTS DIV (1970-1974; SIC 3861)</t>
  </si>
  <si>
    <t xml:space="preserve">HONEYWELL INC» PHOTOGRAPHIC PRODUCTS DIV (1970) | NEW INTERNATIONAL CUSTOM DESIGNs THE (1983)</t>
  </si>
  <si>
    <t xml:space="preserve">ROYAL LAUNDRY AND CLEANERS [FRS; 5 m] | STEVINSON IMPORTS [FRS; 5 m] | ROYAL LAUNDRY AND CLEANERS [FRS] (address match)</t>
  </si>
  <si>
    <t xml:space="preserve">Groove Toyota III</t>
  </si>
  <si>
    <t xml:space="preserve">ROYAL LAUNDRY AND CLEANERS</t>
  </si>
  <si>
    <t xml:space="preserve">S03212</t>
  </si>
  <si>
    <t xml:space="preserve">99 INVERNESS DR</t>
  </si>
  <si>
    <t xml:space="preserve">GREASE, SPRY CABLEX INC (1988; SIC 3899,3674,3679)</t>
  </si>
  <si>
    <t xml:space="preserve">ELECTROMAX INSTRUMENTS INC (1977) | A BC REPROGRAPHICS INC. (1980) | &amp; B C REPROGRAPHICS INCe (1983) | CEDERROTH INC (1983) | BECKSET TYPESETTING+GRAPHIC (1988) | GREASE, SPRY CABLEX INC (1988) | DAIRY PRODUCTS MEDICAL DYNAMICS INC (1988) | JB PRINTING (1990) | MEDICAL DYNAMICS INC. (1990) | U SFIBER OPTICS (1990)</t>
  </si>
  <si>
    <t xml:space="preserve">MEDICAL DYNAMICS INC [FRS; name match, 18 m] | ROCHE BIOMEDICAL LABORATORIES [FRS; 14 m] | ALLEGIANCE HEALTHCARE [FRS; 31 m] | B &amp; J FURNITURE REPAIR [FRS; 62 m] | ENVIRONMENTAL CHEMISTRY SERVICES [FRS; 62 m] | 96 INVERNESS DR E BUSI CNT DRUM REMOVEL [FRS; 62 m] | ATOKA GEOCHEMICAL [FRS; 66 m] | NCR INFORMATION IMAGING SYSTEMS [FRS; 66 m]</t>
  </si>
  <si>
    <t xml:space="preserve">BAXTER HEALTHCARE CORPORATION [FRS; 31 m] | INVERNESS WATER &amp; SAN DISTRICT [FRS; 62 m]</t>
  </si>
  <si>
    <t xml:space="preserve">ROCHE BIOMEDICAL LABORATORIES</t>
  </si>
  <si>
    <t xml:space="preserve">S01372</t>
  </si>
  <si>
    <t xml:space="preserve">2655 PEARL ST</t>
  </si>
  <si>
    <t xml:space="preserve">1967;1968;1970;1973;1974;1977;1980</t>
  </si>
  <si>
    <t xml:space="preserve">ASTRO ENGINEERING (1967-1977; SIC 3679) |  (1974; SIC 3679) | ASTRO ENOYNE COMPANY INC (1980; SIC 3679)</t>
  </si>
  <si>
    <t xml:space="preserve">ASTRO ENGINEERING (1967) |  (1974) | ASTRO ENOYNE COMPANY INC (1980) | IMDENTIFICATION DESIGN INC. (I/D SIGNS) (1983)</t>
  </si>
  <si>
    <t xml:space="preserve">ASTRO ENDYNE COMPANY INC [FRS; name match, 7 m] | COLORADO DAILY [FRS; 25 m] | MARSHALL FORD INC [FRS; 47 m] | GOOGLE LLC [FRS; 49 m] | ASTRO ENDYNE COMPANY INC [FRS] (address match)</t>
  </si>
  <si>
    <t xml:space="preserve">NATURAL GROCERS BOULDER [FRS; 25 m]</t>
  </si>
  <si>
    <t xml:space="preserve">S03763</t>
  </si>
  <si>
    <t xml:space="preserve">7315 RED DEER OR</t>
  </si>
  <si>
    <t xml:space="preserve">MAGNETEK CORPORATION (1980-1983; SIC 3612,3677,3679) | MAGNELAB CORP (1990; SIC 3612,3677,3679)</t>
  </si>
  <si>
    <t xml:space="preserve">MAGNETEK CORPORATION (1980) | MAGNELAB CORP (1990)</t>
  </si>
  <si>
    <t xml:space="preserve">MAGNELAB CORPORATION [FRS; name match, 48 m]</t>
  </si>
  <si>
    <t xml:space="preserve">MAGNELAB CORPORATION</t>
  </si>
  <si>
    <t xml:space="preserve">S04580</t>
  </si>
  <si>
    <t xml:space="preserve">6395 GUNPARK DR E</t>
  </si>
  <si>
    <t xml:space="preserve">APPLIED TECHNOLOGIES INC (1983; SIC 3679)</t>
  </si>
  <si>
    <t xml:space="preserve">APPLIED TECHNOLOGIES INC (1983) | RAYCOM SYSTEMS INC (1988) | THE HORSE OF COURSE (1988) | BOULDER, CONT. (1992) | BIOHM INC (1992)</t>
  </si>
  <si>
    <t xml:space="preserve">BALL BROTHERS RESEARCH CORP [FRS; 8 m]</t>
  </si>
  <si>
    <t xml:space="preserve">BOULDER METAL PRODUCTS [FRS; 0 m]</t>
  </si>
  <si>
    <t xml:space="preserve">BALL BROTHERS RESEARCH CORP</t>
  </si>
  <si>
    <t xml:space="preserve">S04583</t>
  </si>
  <si>
    <t xml:space="preserve">1770 RANGE ST UNIT A</t>
  </si>
  <si>
    <t xml:space="preserve">ASTRO ENDYNE COMPANY INC (1983-1990; SIC 3679) | 38625 TEST EQUIP-ELEC TESTING ASTRO ENDYNE CO INC (1988; SIC 3672)</t>
  </si>
  <si>
    <t xml:space="preserve">ASTRO ENDYNE COMPANY INC (1983) | 38625 TEST EQUIP-ELEC TESTING ASTRO ENDYNE CO INC (1988)</t>
  </si>
  <si>
    <t xml:space="preserve">ASTRO ENDYNE CO INC [FRS; name match, 89 m] | WEDGEWOOD, LTD. [FRS; 17 m] | ASTRO ENDYNE CO INC [FRS] (address match)</t>
  </si>
  <si>
    <t xml:space="preserve">WEDGEWOOD, LTD.</t>
  </si>
  <si>
    <t xml:space="preserve">S04657</t>
  </si>
  <si>
    <t xml:space="preserve">940 BOSTON AVE</t>
  </si>
  <si>
    <t xml:space="preserve">CUSTOM MICROWAVEs INC. (1983-1988; SIC 3679)</t>
  </si>
  <si>
    <t xml:space="preserve">CUSTOM MICROWAVEs INC. (1983)</t>
  </si>
  <si>
    <t xml:space="preserve">CUSTOM MICROWAVE INC [FRS; name match, 47 m] | CUSTOM MICROWAVE INC [CDPHE RCRA; name match, 125 m] | CUSTOM MICROWAVE-AEROSPACE MICROWV EQPT [FRS; name match, 149 m] | CUSTOM MICROWAVE INC [FRS] (address match)</t>
  </si>
  <si>
    <t xml:space="preserve">CUSTOM MICROWAVE INC</t>
  </si>
  <si>
    <t xml:space="preserve">S05965</t>
  </si>
  <si>
    <t xml:space="preserve">1821 LEFTHAND CIR</t>
  </si>
  <si>
    <t xml:space="preserve">CATALINA CONTROLS CORP (1988-1990; SIC 3679)</t>
  </si>
  <si>
    <t xml:space="preserve">CATALINA CONTROLS CORP (1988)</t>
  </si>
  <si>
    <t xml:space="preserve">CATALINA CONTROLS [FRS; name match, 16 m] | CATALINA CONTROLS [FRS] (address match)</t>
  </si>
  <si>
    <t xml:space="preserve">MEDPRO IMAGING PROBE LABS LLC [FRS; 16 m]</t>
  </si>
  <si>
    <t xml:space="preserve">S03427</t>
  </si>
  <si>
    <t xml:space="preserve">9769 W 119 ORIVE</t>
  </si>
  <si>
    <t xml:space="preserve">NANOTEK INC (1977; SIC 3861)</t>
  </si>
  <si>
    <t xml:space="preserve">NANOTEK INC (1977)</t>
  </si>
  <si>
    <t xml:space="preserve">TRI-STATE GEN &amp; TRANS ASSOC INC-ROCKY MOUNTAIN METROPOLITAN HANGAR [FRS; 14 m]</t>
  </si>
  <si>
    <t xml:space="preserve">TRI-STATE GEN &amp; TRANS ASSOC INC-ROCKY MOUNTAIN METROPOLITAN HANGAR</t>
  </si>
  <si>
    <t xml:space="preserve">S01397</t>
  </si>
  <si>
    <t xml:space="preserve">113 S RAILROAD</t>
  </si>
  <si>
    <t xml:space="preserve">BOYER PRINT SHOP (1967; SIC 2711,2711,2421)</t>
  </si>
  <si>
    <t xml:space="preserve">BOYER PRINT SHOP (1967)</t>
  </si>
  <si>
    <t xml:space="preserve">COLORADO DEPT OF TRANS - JOHNSON VIL [FRS; 202 m]</t>
  </si>
  <si>
    <t xml:space="preserve">COTTONWOOD PASS CO FLAP CHA 306(1) [FRS; 168 m] | CHEVRON NO 7 0424 REMEDIATION [FRS; 171 m] | US 24 BUENA VISTA ENHANCEMENT [FRS; 190 m] | SANDERS OIL CO INC [FRS; 201 m] | SANDERS OIL CO INC [FRS; 220 m]</t>
  </si>
  <si>
    <t xml:space="preserve">COLORADO DEPT OF TRANS - JOHNSON VIL</t>
  </si>
  <si>
    <t xml:space="preserve">S00371</t>
  </si>
  <si>
    <t xml:space="preserve">312 S PEARL</t>
  </si>
  <si>
    <t xml:space="preserve">WESTERN CINE SERVICE, INC. (1965; SIC 3861)</t>
  </si>
  <si>
    <t xml:space="preserve">WESTERN CINE SERVICE, INC. (1965)</t>
  </si>
  <si>
    <t xml:space="preserve">WESTERN CINE FILM AND VIDEO [FRS; 0 m]</t>
  </si>
  <si>
    <t xml:space="preserve">7-ELEVEN, INC. - NO 13198 [FRS; 30 m]</t>
  </si>
  <si>
    <t xml:space="preserve">WESTERN CINE FILM AND VIDEO</t>
  </si>
  <si>
    <t xml:space="preserve">S00837</t>
  </si>
  <si>
    <t xml:space="preserve">643 GRANT</t>
  </si>
  <si>
    <t xml:space="preserve">UNIQUE REPRODUCTIONS (1988; SIC 2752,3861,1141)</t>
  </si>
  <si>
    <t xml:space="preserve">GUESTGUIDE PUBLISHERS INC (1966) | COLORADO TYPELINE INC (1977) | UNIQUE REPRODUCTIONS (1988) | UNIQUE LITHO (1992)</t>
  </si>
  <si>
    <t xml:space="preserve">UNIQUE LITHO [FRS; name match, 22 m]</t>
  </si>
  <si>
    <t xml:space="preserve">7 AVE AND GRANT ST REDEVELOPMENT [FRS; 40 m]</t>
  </si>
  <si>
    <t xml:space="preserve">Red Peak Properties</t>
  </si>
  <si>
    <t xml:space="preserve">UNIQUE LITHO</t>
  </si>
  <si>
    <t xml:space="preserve">S00839</t>
  </si>
  <si>
    <t xml:space="preserve">156 COOK</t>
  </si>
  <si>
    <t xml:space="preserve">GUNTHER + SONS (1966; SIC 3111)</t>
  </si>
  <si>
    <t xml:space="preserve">GUNTHER + SONS (1966) | COMPUTA CONTACT LENS CO (1974)</t>
  </si>
  <si>
    <t xml:space="preserve">SALLY JOBE MAMMOGRAPHY CENTER [FRS; 7 m]</t>
  </si>
  <si>
    <t xml:space="preserve">SALLY JOBE MAMMOGRAPHY CENTER</t>
  </si>
  <si>
    <t xml:space="preserve">S01757</t>
  </si>
  <si>
    <t xml:space="preserve">3200 MARIPOSA</t>
  </si>
  <si>
    <t xml:space="preserve">GUNTHER TANNING AND TAXICERMISTS INC (1968; SIC 3111,3151,3199) | GUNTHER TANNERS + MASTER TAXIDERMISTS (1973-1974; SIC 3111,3999)</t>
  </si>
  <si>
    <t xml:space="preserve">GUNTHER TANNING AND TAXICERMISTS INC (1968) | GUNTHER TANNERS + MASTER TAXIDERMISTS (1973)</t>
  </si>
  <si>
    <t xml:space="preserve">US BANK CPC [FRS; 149 m] | MAIL-WELL ENVELOPE (WAS AMERICAN M-W) [FRS; 154 m] | US BANK CPC [CDPHE RCRA; 169 m]</t>
  </si>
  <si>
    <t xml:space="preserve">33RD AND MARIPOSA [FRS; 34 m] | SPEER AND I-25 [FRS; 89 m] | 3500 ROCKMONT BUILDING DEMOLITION [FRS; 154 m] | CUERNAVACA PARK OFFICE BUILDING [FRS; 235 m]</t>
  </si>
  <si>
    <t xml:space="preserve">S02395</t>
  </si>
  <si>
    <t xml:space="preserve">5310 E PACIFIC PL</t>
  </si>
  <si>
    <t xml:space="preserve">ABC BLUEPRINT + OFFICE SUPPLY CO (1973; SIC 2752,3861,3953)</t>
  </si>
  <si>
    <t xml:space="preserve">ABC BLUEPRINT + OFFICE SUPPLY CO (1973)</t>
  </si>
  <si>
    <t xml:space="preserve">ANEMAS AUTO BODY INC [FRS; 26 m] | SWEDISH AUTOMOTIVE [FRS] (address match)</t>
  </si>
  <si>
    <t xml:space="preserve">S05631</t>
  </si>
  <si>
    <t xml:space="preserve">5085 OAKLAND ST</t>
  </si>
  <si>
    <t xml:space="preserve">M J SYSTEMS (1988; SIC 2741,3861)</t>
  </si>
  <si>
    <t xml:space="preserve">M J SYSTEMS (1988)</t>
  </si>
  <si>
    <t xml:space="preserve">CONSTRUCTION TECHNOLOGY INC [FRS; 31 m] | LUMINOUS RECYCLING [FRS; 33 m]</t>
  </si>
  <si>
    <t xml:space="preserve">S01010</t>
  </si>
  <si>
    <t xml:space="preserve">116 PUEBLO AVE</t>
  </si>
  <si>
    <t xml:space="preserve">wESTONE LABS INC (1968; SIC 3672)</t>
  </si>
  <si>
    <t xml:space="preserve">AMERICAN OPTICAL CO (1966) | wESTONE LABS INC (1968)</t>
  </si>
  <si>
    <t xml:space="preserve">LANIERS SPEED SHOP [FRS; 3 m] | PUEBLO CLEANING CORPORATION 1 [FRS; 53 m]</t>
  </si>
  <si>
    <t xml:space="preserve">JAW 5, INC DBA PREMIER DRY CLEANERS [FRS; 53 m]</t>
  </si>
  <si>
    <t xml:space="preserve">LANIERS SPEED SHOP</t>
  </si>
  <si>
    <t xml:space="preserve">S04913</t>
  </si>
  <si>
    <t xml:space="preserve">4980 CENTENNIAL BLVD</t>
  </si>
  <si>
    <t xml:space="preserve">COLORADO MANUFACTURING TECHNOLOGY INC (1983; SIC 3643,3679,3674)</t>
  </si>
  <si>
    <t xml:space="preserve">COLORADO MANUFACTURING TECHNOLOGY INC (1983)</t>
  </si>
  <si>
    <t xml:space="preserve">FEDERAL EXPRESS - COSA [FRS; 13 m] | KIDDE SAFETY [FRS] (address match)</t>
  </si>
  <si>
    <t xml:space="preserve">FEDERAL EXPRESS - COSA</t>
  </si>
  <si>
    <t xml:space="preserve">S05480</t>
  </si>
  <si>
    <t xml:space="preserve">1050 ELKTON DR</t>
  </si>
  <si>
    <t xml:space="preserve">PROTO CAD INC (1988; SIC 3629,1080) | TRIPLE S ENGINEERING CORP (1990; SIC 3679,3699)</t>
  </si>
  <si>
    <t xml:space="preserve">PROTO CAD INC (1988) | PROTOCAD INC (1990) | TRIPLE S ENGINEERING CORP (1990)</t>
  </si>
  <si>
    <t xml:space="preserve">TRIPLE S ENGINEERING [FRS; name match, 3 m] | PHARMERICA [FRS; 5 m] | GLOBAL ENVIRONMENTAL SERVICES [FRS; 7 m] | DIVERSIFIED MACHINE SYSTEMS [FRS; 7 m] | FOSS INDUSTRIES INC [FRS; 16 m] | CUSTOM ENVIRONMENTAL SVCS INC [FRS; 38 m]</t>
  </si>
  <si>
    <t xml:space="preserve">B &amp; B BLACK OXIDE [FRS; 30 m] | SEMTECH COLORADO - ELKTON FACILITY [FRS; 44 m]</t>
  </si>
  <si>
    <t xml:space="preserve">TRIPLE S ENGINEERING</t>
  </si>
  <si>
    <t xml:space="preserve">S05504</t>
  </si>
  <si>
    <t xml:space="preserve">2350 EXECUTIVE CIR</t>
  </si>
  <si>
    <t xml:space="preserve">SIGNS TRANEX INC (1988; SIC 3612,3679) | TRANEX INC (1990-1992; SIC 3612,3679)</t>
  </si>
  <si>
    <t xml:space="preserve">SIGNS TRANEX INC (1988) | TRANEX INC (1990)</t>
  </si>
  <si>
    <t xml:space="preserve">TRANEX, A DIVISION OF BADGER MAGNETICS, INC [FRS] (address match)</t>
  </si>
  <si>
    <t xml:space="preserve">CRAY COMPUTER CORP (P.C. OPERATION)</t>
  </si>
  <si>
    <t xml:space="preserve">S06252</t>
  </si>
  <si>
    <t xml:space="preserve">2667 DURANGO DR</t>
  </si>
  <si>
    <t xml:space="preserve">ALPINE MATTRESS MFG INC (1990; SIC 2515,3861)</t>
  </si>
  <si>
    <t xml:space="preserve">ALPINE MATTRESS MFG INC (1990)</t>
  </si>
  <si>
    <t xml:space="preserve">COMPUTER &amp; ELECTRONICS RECYCLING [FRS; 37 m]</t>
  </si>
  <si>
    <t xml:space="preserve">AFFORDABLE CREMATORY [FRS; 4 m] | KIM'S AUTO TECH. GALLENTINE BROS. [FRS; 8 m] | 1-800 FLOODED [FRS; 35 m] | RECYCLED FUEL LLC - PYROLYSIS PLANT [FRS; 37 m]</t>
  </si>
  <si>
    <t xml:space="preserve">S06288</t>
  </si>
  <si>
    <t xml:space="preserve">4146 E BIJOU ST</t>
  </si>
  <si>
    <t xml:space="preserve">TEXAS OPTOELECTRONICS INC (1990; SIC 3679)</t>
  </si>
  <si>
    <t xml:space="preserve">MCDONNELL DOUGLAS ELECTRONIC SYSTEM (1990) | TEXAS OPTOELECTRONICS INC (1990)</t>
  </si>
  <si>
    <t xml:space="preserve">HONEYWELL TECHNOLOGY SOLUTIONS INC [FRS; 22 m] | IEE INC (INDUSTRIAL ELECT ENGINEERS INC) [FRS; 31 m]</t>
  </si>
  <si>
    <t xml:space="preserve">CRYSTALOID ELECTRONICS CO [FRS; 31 m]</t>
  </si>
  <si>
    <t xml:space="preserve">HONEYWELL TECHNOLOGY SOLUTIONS INC</t>
  </si>
  <si>
    <t xml:space="preserve">S04162</t>
  </si>
  <si>
    <t xml:space="preserve">6627 W 90TH AVE</t>
  </si>
  <si>
    <t xml:space="preserve">COLORADO CIRCUITS CORP (1980; SIC 3679)</t>
  </si>
  <si>
    <t xml:space="preserve">COLORADO CIRCUITS CORP (1980)</t>
  </si>
  <si>
    <t xml:space="preserve">CALIBER COLLISION CENTER - WESTMINSTER CO - PIERCE ST 0846 [CDPHE RCRA; 149 m] | SEMPER WATER TREATMENT PLANT [CDPHE RCRA; 149 m] | SEMPER WATER TREATMENT FACILITY [FRS; 177 m] | CALIBER BODYWORKS - WESTMINSTER - #0846 [FRS; 178 m]</t>
  </si>
  <si>
    <t xml:space="preserve">CITY OF WESTMINSTER - HIGH SERVICE PUMP [FRS; 167 m] | SEMPER HSPS [FRS; 167 m] | CITY OF WESTMINSTER - COUNTRY SIDE PUMP [FRS; 177 m]</t>
  </si>
  <si>
    <t xml:space="preserve">CALIBER COLLISION CENTER - WESTMINSTER CO - PIERCE ST 0846</t>
  </si>
  <si>
    <t xml:space="preserve">S04235</t>
  </si>
  <si>
    <t xml:space="preserve">I7L RED ROCKS VISTA</t>
  </si>
  <si>
    <t xml:space="preserve">ROLF PAUL GRAPHICS INC (1983; SIC 3999,3861) | MONTROSE - NATURITA 313 PAUL ROLF GRAPHICS (1988; SIC 2675,3861,3999)</t>
  </si>
  <si>
    <t xml:space="preserve">ROLF PAUL GRAPHICS INC (1980) | MONTROSE - NATURITA 313 PAUL ROLF GRAPHICS (1988)</t>
  </si>
  <si>
    <t xml:space="preserve">ROLF PAUL GRAPHICS INC [FRS; name match, 46 m]</t>
  </si>
  <si>
    <t xml:space="preserve">ROLF PAUL GRAPHICS INC</t>
  </si>
  <si>
    <t xml:space="preserve">S05016</t>
  </si>
  <si>
    <t xml:space="preserve">6627 W 56TH AVE</t>
  </si>
  <si>
    <t xml:space="preserve">COLORADO CIRCUITS CORP (1983; SIC 3679)</t>
  </si>
  <si>
    <t xml:space="preserve">COLORADO CIRCUITS CORP (1983)</t>
  </si>
  <si>
    <t xml:space="preserve">COLORADO CIRCUITS [FRS; name match, 170 m]</t>
  </si>
  <si>
    <t xml:space="preserve">BORN AGAIN CABINETS</t>
  </si>
  <si>
    <t xml:space="preserve">S05793</t>
  </si>
  <si>
    <t xml:space="preserve">3404 B HARMONY RD</t>
  </si>
  <si>
    <t xml:space="preserve">HEWLETT-PACKARD CO, INTEGRATED CIRCUITS (1988-1990; SIC 3679) | HEWLETT-PACKARD, TECH SYSTEMS BUSIN (1990-1992; SIC 3672)</t>
  </si>
  <si>
    <t xml:space="preserve">HEWLETT-PACKARD CO, INTEGRATED CIRCUITS (1988) | HEWLETT-PACKARD, TECH SYSTEMS BUSINE (1988)</t>
  </si>
  <si>
    <t xml:space="preserve">BANNER FORT COLLINS MEDICAL CENTER [FRS; 202 m]</t>
  </si>
  <si>
    <t xml:space="preserve">BANNER FORT COLLINS HARMONY MEDICAL CENTER [FRS; 19 m] | HARMONY COMMONS LOTS 1  2 [FRS; 28 m] | EVERBROOK ACADEMY [FRS; 101 m] | CELESTICA CORPORATION - TECH PARKWAY [FRS; 197 m]</t>
  </si>
  <si>
    <t xml:space="preserve">BANNER FORT COLLINS MEDICAL CENTER</t>
  </si>
  <si>
    <t xml:space="preserve">S05799</t>
  </si>
  <si>
    <t xml:space="preserve">2601 RIVERBEND CT</t>
  </si>
  <si>
    <t xml:space="preserve">PROD, DUPLICATION P C B COLORADO INC (1988; SIC 3679) | PCB COLORADO INC. (1990; SIC 3679)</t>
  </si>
  <si>
    <t xml:space="preserve">PROD, DUPLICATION P C B COLORADO INC (1988) | PCB COLORADO INC. (1990)</t>
  </si>
  <si>
    <t xml:space="preserve">ADVANCED ENERGY IND INC [FRS; 6 m] | ADVANCED ENERGY IND INC [FRS] (address match)</t>
  </si>
  <si>
    <t xml:space="preserve">ADVANCED ENERGY IND INC</t>
  </si>
  <si>
    <t xml:space="preserve">S05807</t>
  </si>
  <si>
    <t xml:space="preserve">2600 CANTON CT STE G</t>
  </si>
  <si>
    <t xml:space="preserve">TOUCH DIALOGUES INC D.B.A-INFO AMERICA (1988; SIC 3679,3993) | TOUCH DIALOGUES INC (1990; SIC 3679) | INFO AMERICA INC (1992; SIC 3679)</t>
  </si>
  <si>
    <t xml:space="preserve">TOUCH DIALOGUES INC D.B.A-INFO AMERICA (1988) | THE PRINTING STATION (1990) | TOUCH DIALOGUES INC (1990) | INFO AMERICA INC (1992)</t>
  </si>
  <si>
    <t xml:space="preserve">MMS ENVIRONMENTAL LABS LLC [FRS; 2 m]</t>
  </si>
  <si>
    <t xml:space="preserve">MMS ENVIRONMENTAL LABS LLC</t>
  </si>
  <si>
    <t xml:space="preserve">S06588</t>
  </si>
  <si>
    <t xml:space="preserve">3725 CANAL DR</t>
  </si>
  <si>
    <t xml:space="preserve">GOOD-ALL ELECTRIC INC (1990; SIC 3629,3674)</t>
  </si>
  <si>
    <t xml:space="preserve">GOOD-ALL ELECTRIC INC (1990)</t>
  </si>
  <si>
    <t xml:space="preserve">UNITED PARCEL SERVICE FORT COLLINS [FRS; 14 m] | ADVERTISING CONCEPTS INC [FRS] (address match) | ADVERTISING CONCEPTS INC [CDPHE RCRA] (address match)</t>
  </si>
  <si>
    <t xml:space="preserve">GOOD ALL ELECTRIC [FRS; name match, 51 m] | TECHNICAL MOLDED PRODUCTS, INC. [FRS; 5 m] | AMERICAN TRUCK WASH [FRS; 14 m] | GOOD ALL ELECTRIC [FRS] (address match)</t>
  </si>
  <si>
    <t xml:space="preserve">S01179</t>
  </si>
  <si>
    <t xml:space="preserve">2897 N AVE</t>
  </si>
  <si>
    <t xml:space="preserve">Electronic components; Primary batteries</t>
  </si>
  <si>
    <t xml:space="preserve">SPARTON-COLORADO INC (1974-1977; SIC 3679,3612)</t>
  </si>
  <si>
    <t xml:space="preserve">COLORADO HICKOK (1966) | SPARTON-COLORADO INC (1974)</t>
  </si>
  <si>
    <t xml:space="preserve">SPARTON COLORADO INC [FRS; name match, 49 m] | BIG O TIRES [FRS; 7 m] | SPARTON COLORADO INC [FRS] (address match)</t>
  </si>
  <si>
    <t xml:space="preserve">CLASSIC SURFACES GJ, LLC [FRS; 7 m] | TACO BELL GRAND JUNCTION [FRS] (address match)</t>
  </si>
  <si>
    <t xml:space="preserve">BIG O TIRES</t>
  </si>
  <si>
    <t xml:space="preserve">S06111</t>
  </si>
  <si>
    <t xml:space="preserve">500 RAMPART RANGE RD</t>
  </si>
  <si>
    <t xml:space="preserve">80866</t>
  </si>
  <si>
    <t xml:space="preserve">AGCO PRINTED CIRCUITRY (1990; SIC 3672)</t>
  </si>
  <si>
    <t xml:space="preserve">CIRCUITRY tin SOuNTY (1988) | AGCO PRINTED CIRCUITRY (1990)</t>
  </si>
  <si>
    <t xml:space="preserve">AGCO INC [FRS; name match, 99 m] | AGCO INC [FRS] (address match) | AGCO INC [CDPHE RCRA] (address match)</t>
  </si>
  <si>
    <t xml:space="preserve">AGCO INC</t>
  </si>
  <si>
    <t xml:space="preserve">S06613</t>
  </si>
  <si>
    <t xml:space="preserve">142 6TH ST</t>
  </si>
  <si>
    <t xml:space="preserve">VADE MECUM INC (1990; SIC 3699,3613,3679)</t>
  </si>
  <si>
    <t xml:space="preserve">VADE MECUM INC (1990) | RENAISSANC HOUSE PUBLISHERS (1992)</t>
  </si>
  <si>
    <t xml:space="preserve">SUPERIOR COATING TECHNOLOGIES LLC [FRS; 2 m] | C C &amp; R TIRES AUTOMOTIVE [FRS; 2 m]</t>
  </si>
  <si>
    <t xml:space="preserve">SUPERIOR COATING TECHNOLOGIES LLC</t>
  </si>
  <si>
    <t xml:space="preserve">S02319</t>
  </si>
  <si>
    <t xml:space="preserve">3024 VALMONT RD</t>
  </si>
  <si>
    <t xml:space="preserve">BASELINE INDUSTRIES INC (1973; SIC 3679,3823)</t>
  </si>
  <si>
    <t xml:space="preserve">BASELINE INDUSTRIES INC (1973) | MOUNTAIN PRESS (1980)</t>
  </si>
  <si>
    <t xml:space="preserve">Sherwin-Williams #1638 [CDPHE Solid_Waste_Facilities; 78 m]</t>
  </si>
  <si>
    <t xml:space="preserve">PIP PRINTING [FRS; 12 m] | BLOOMIN FLOWER CARDS [FRS; 15 m] | BUCKNER CONSTRUCTION [FRS; 15 m]</t>
  </si>
  <si>
    <t xml:space="preserve">BIG O LLC #6227</t>
  </si>
  <si>
    <t xml:space="preserve">S03813</t>
  </si>
  <si>
    <t xml:space="preserve">1820 INDUSTRIAL CIR</t>
  </si>
  <si>
    <t xml:space="preserve">CENTER LINE CIRCUITS INC (1980-1990; SIC 3679)</t>
  </si>
  <si>
    <t xml:space="preserve">CENTER LINE CIRCUITS INC (1980)</t>
  </si>
  <si>
    <t xml:space="preserve">C-LINE CCC (DBA CENTERLINE CIRCUITS INC) [TRI; name match, 71 m] | CENTERLINE CIRCUITS INC [FRS; name match, 72 m] | CENTERLINE CIRCUITS INC [FRS] (address match) | C-LINE CCC (DBA CENTERLINE CIRCUITS INC) [TRI] (address match)</t>
  </si>
  <si>
    <t xml:space="preserve">KING AUTO GROUP [FRS; 3 m] | CIRCUITS WEST INC [CDPHE RCRA] (address match)</t>
  </si>
  <si>
    <t xml:space="preserve">CENTERLINE CIRCUITS INC [FRS; name match, 60 m] | VALLEY SUBARU [FRS; 3 m] | CENTERLINE CIRCUITS INC [FRS] (address match)</t>
  </si>
  <si>
    <t xml:space="preserve">KING AUTO GROUP</t>
  </si>
  <si>
    <t xml:space="preserve">S06210</t>
  </si>
  <si>
    <t xml:space="preserve">4854 STERLING DR</t>
  </si>
  <si>
    <t xml:space="preserve">SPECTRUM 2000 INC (1990; SIC 3679,3861,3869)</t>
  </si>
  <si>
    <t xml:space="preserve">SPECTRUM 2000 INC (1990)</t>
  </si>
  <si>
    <t xml:space="preserve">CORDEN PHARMA - STERLING DRIVE [FRS; 60 m]</t>
  </si>
  <si>
    <t xml:space="preserve">CORDEN PHARMA BOULDER INC [FRS; 9 m]</t>
  </si>
  <si>
    <t xml:space="preserve">S06231</t>
  </si>
  <si>
    <t xml:space="preserve">555 ALTER ST NO 19</t>
  </si>
  <si>
    <t xml:space="preserve">VELIE CIRCUITS OF COLORADO INC (1990; SIC 3672)</t>
  </si>
  <si>
    <t xml:space="preserve">VELIE CIRCUITS OF COLORADO INC (1990)</t>
  </si>
  <si>
    <t xml:space="preserve">VELIE CIRCUITS OF COLORADO INCORPORATED [FRS; name match, 38 m]</t>
  </si>
  <si>
    <t xml:space="preserve">BANDB RADIATOR [FRS; 38 m] | A-1 CAR CARE INC [FRS; 38 m] | AAA RADIATOR &amp; AUTO SERVICE [FRS; 38 m]</t>
  </si>
  <si>
    <t xml:space="preserve">MCCUTCHEN SKYWHEELS CORP [FRS; 38 m] | BROOMFIELD [FRS; 38 m] | STRATEGIC RESOURCE OPTIMIZATION, INC. (SRO) [FRS; 38 m] | MCCUTCHEN MFG INC [FRS; 38 m]</t>
  </si>
  <si>
    <t xml:space="preserve">BANDB RADIATOR</t>
  </si>
  <si>
    <t xml:space="preserve">S06761</t>
  </si>
  <si>
    <t xml:space="preserve">650 S TAYLOR ST</t>
  </si>
  <si>
    <t xml:space="preserve">TELEVISION TECHNOLOGY CORP (1990; SIC 3663,3861)</t>
  </si>
  <si>
    <t xml:space="preserve">TELEVISION TECHNOLOGY CORP (1990)</t>
  </si>
  <si>
    <t xml:space="preserve">KRYPTANE SYSTEMS [TRI; 131 m] | KRYPTANE SYSTEMS [FRS; 235 m]</t>
  </si>
  <si>
    <t xml:space="preserve">LARCAN TCC INC [FRS; 43 m] | SUNFLOWER WELLNESS - LOUISVILLE [FRS; 107 m] | COLORFLEX [FRS; 113 m] | SUNFLOWER WELLNESS - LOUISVILLE [CDPHE RCRA; 114 m] | VERTICAL SOLUTIONS INC (VSI) [FRS; 210 m] | MARK WILLIAMS ENTERPRISES INC [FRS; 216 m]</t>
  </si>
  <si>
    <t xml:space="preserve">LOUISVILLE DILLON ROAD IMP. [FRS; 30 m] | BIOTROL INTERNATIONAL [FRS; 43 m] | LARCAN TCC INC [FRS; 43 m] | APERTURE [FRS; 176 m] | MOTHERLODE BLDG [FRS; 179 m] | INNOVATIVE OPENINGS INC [FRS; 230 m] | KRYPTANE SYSTEMS COLORADO TECHNICAL CENTER [FRS; 235 m] | COLORADO TECHNICAL CENTER [FRS; 235 m] | KRYPTONICS INC [FRS; 235 m] | ARAGON ELASTOMERS [FRS; 235 m] | THE HANSON GROUP, LLC [FRS; 235 m]</t>
  </si>
  <si>
    <t xml:space="preserve">LARCAN TCC INC</t>
  </si>
  <si>
    <t xml:space="preserve">S04042</t>
  </si>
  <si>
    <t xml:space="preserve">2535 17TH ST</t>
  </si>
  <si>
    <t xml:space="preserve">T + R ENGRAVING INC (1983; SIC 2795,3861)</t>
  </si>
  <si>
    <t xml:space="preserve">T ¢ R ENGRAVING INC (1980)</t>
  </si>
  <si>
    <t xml:space="preserve">T&amp;R ENGRAVING [FRS; name match, 37 m] | T &amp; R ENGRAVING INC [TRI; name match, 116 m] | T&amp;R ENGRAVING [FRS] (address match) | T &amp; R ENGRAVING INC [TRI] (address match)</t>
  </si>
  <si>
    <t xml:space="preserve">T &amp; R ENGRAVING INC [CDPHE RCRA; name match, 137 m] | T &amp; R ENGRAVING INC [CDPHE RCRA] (address match)</t>
  </si>
  <si>
    <t xml:space="preserve">PLATTE STREET BROWNFIELDS PROJECT</t>
  </si>
  <si>
    <t xml:space="preserve">S05672</t>
  </si>
  <si>
    <t xml:space="preserve">4301 FOREST S</t>
  </si>
  <si>
    <t xml:space="preserve">STEMCO MANUFACTURING CO (1990; SIC 3679)</t>
  </si>
  <si>
    <t xml:space="preserve">SAFEWAY STORES INC, MILK (1988) | STEMCO MANUFACTURING CO (1990)</t>
  </si>
  <si>
    <t xml:space="preserve">STEMCO MFG [FRS; name match, 92 m] | SAFEWAY MILK PLANT [FRS; 59 m]</t>
  </si>
  <si>
    <t xml:space="preserve">SAFEWAY INC DENVER MILK [FRS; name match, 72 m]</t>
  </si>
  <si>
    <t xml:space="preserve">S05684</t>
  </si>
  <si>
    <t xml:space="preserve">2635 17TH ST</t>
  </si>
  <si>
    <t xml:space="preserve">T+R ENGRAVING INC (1988; SIC 2796,3861)</t>
  </si>
  <si>
    <t xml:space="preserve">T+R ENGRAVING INC (1988)</t>
  </si>
  <si>
    <t xml:space="preserve">T&amp;R ENGRAVING [FRS; name match, 108 m] | T &amp; R ENGRAVING INC [TRI; name match, 191 m]</t>
  </si>
  <si>
    <t xml:space="preserve">T &amp; R ENGRAVING INC [CDPHE RCRA; name match, 9 m]</t>
  </si>
  <si>
    <t xml:space="preserve">S06921</t>
  </si>
  <si>
    <t xml:space="preserve">651 TOPEKA WY</t>
  </si>
  <si>
    <t xml:space="preserve">ACCESS-GOD LOVES YOU (1992; SIC 3691)</t>
  </si>
  <si>
    <t xml:space="preserve">ACCESS-GOD LOVES YOU (1992)</t>
  </si>
  <si>
    <t xml:space="preserve">ACME BRICK COMPANY [FRS; 233 m]</t>
  </si>
  <si>
    <t xml:space="preserve">ACCESS/GOD LOVES YOU [FRS; name match, 219 m] | KOLBE STRIPING INC [FRS; 91 m] | STERITEC PRODUCTS MFG CO INC [FRS; 109 m] | STERITEC PRODUCTS MFG CO INC [CDPHE RCRA; 221 m]</t>
  </si>
  <si>
    <t xml:space="preserve">INDUSTRIAL TRIBUTARY STABILIZATION [FRS; 248 m]</t>
  </si>
  <si>
    <t xml:space="preserve">S01531</t>
  </si>
  <si>
    <t xml:space="preserve">82 CHAMBERS ST BO901L</t>
  </si>
  <si>
    <t xml:space="preserve">COSCO RESEARCH, INC (1967; SIC 3679,3843)</t>
  </si>
  <si>
    <t xml:space="preserve">COSCO RESEARCH, INC (1967) | SUPERFLOW CORP (1988) | ROCKY MTN ENGINEERING (1990)</t>
  </si>
  <si>
    <t xml:space="preserve">ROCKY MOUNTAIN METAL FINISHERS [FRS; 153 m]</t>
  </si>
  <si>
    <t xml:space="preserve">WASTE MANAGEMENT OF COLO SPGS [CDPHE RCRA; 38 m] | WASTE MANAGEMENT OF COLO SPGS [FRS; 41 m] | PIKES PEAK LITHOGRAPHING CO [FRS; 75 m] | KAMAN INSTUMENTATION CORP [FRS; 202 m] | ELLIOTT BARRY CO [FRS; 237 m] | ELLIOTT BARRY CO [CDPHE RCRA; 240 m] | ALL AMERICAN FORMS [FRS; 244 m]</t>
  </si>
  <si>
    <t xml:space="preserve">Urban Recycling [CDPHE Solid_Waste_Facilities; 198 m]</t>
  </si>
  <si>
    <t xml:space="preserve">COLORADO SPRINGS HAULING FACILITY [FRS; 41 m] | WM SOUTHERN CO - CO SPRINGS [FRS; 63 m] | PIKES PEAK LITHO [FRS; 75 m] | I.P.I. LLC [FRS; 195 m] | INTERNATIONAL PACKAGING, INC. [FRS; 195 m] | SPECTRANETICS CORP [FRS; 218 m] | TEJON ST S GAS 150P REINFORCEMENT [FRS; 238 m] | ALL AMERICAN FORMS MFG., INC. [FRS; 244 m]</t>
  </si>
  <si>
    <t xml:space="preserve">S05470</t>
  </si>
  <si>
    <t xml:space="preserve">1635 AEROPLAZA DR</t>
  </si>
  <si>
    <t xml:space="preserve">NCR CORP MICROELECTRONICS (1988-1992; SIC 3674)</t>
  </si>
  <si>
    <t xml:space="preserve">NCR CORP MICROELECTRONICS (1988)</t>
  </si>
  <si>
    <t xml:space="preserve">LSI LOGIC [FRS; 0 m] | INNOVAFLEX [TRI; 72 m] | LSI LOGIC [FRS] (address match) | INNOVAFLEX [TRI] (address match)</t>
  </si>
  <si>
    <t xml:space="preserve">LIEB PRECISION TOOL [CDPHE RCRA; 27 m] | GLOBAL TECH LABORATORIES [CDPHE RCRA; 27 m] | INNOVAFLEX [CDPHE RCRA; 27 m] | SPRINGS FABRICATION LLC [CDPHE RCRA; 27 m] | MINCO MANUFACTURING INC [CDPHE RCRA; 27 m] | INNOVAFLEX [CDPHE RCRA] (address match)</t>
  </si>
  <si>
    <t xml:space="preserve">NCR CORPORATION [FRS; name match, 5 m] | NCR CORPORATION [FRS] (address match)</t>
  </si>
  <si>
    <t xml:space="preserve">LSI LOGIC</t>
  </si>
  <si>
    <t xml:space="preserve">LIEB PRECISION TOOL</t>
  </si>
  <si>
    <t xml:space="preserve">S05471</t>
  </si>
  <si>
    <t xml:space="preserve">6035 GALLEY RD</t>
  </si>
  <si>
    <t xml:space="preserve">MICROPROC NTI, DOUBLE SIDED (1988-1990; SIC 3679)</t>
  </si>
  <si>
    <t xml:space="preserve">MICROPROC NTI, DOUBLE SIDED (1988)</t>
  </si>
  <si>
    <t xml:space="preserve">DYNAMIC DETAILS INC [TRI; 69 m] | DYNAMIC DETAILS INC [FRS; 71 m] | DYNAMIC DETAILS INC [FRS] (address match)</t>
  </si>
  <si>
    <t xml:space="preserve">S06303</t>
  </si>
  <si>
    <t xml:space="preserve">4835 CENTENNIAL BLVD</t>
  </si>
  <si>
    <t xml:space="preserve">SCI MFG TECHNOLOGY (1990; SIC 3643,3674,3679)</t>
  </si>
  <si>
    <t xml:space="preserve">SCI MFG TECHNOLOGY (1990)</t>
  </si>
  <si>
    <t xml:space="preserve">SCI MANUFACTURING [FRS; name match, 93 m] | SCI MANUFACTURING [FRS] (address match) | SCI SYS INC [TRI] (address match)</t>
  </si>
  <si>
    <t xml:space="preserve">HEWLETT PARCKARD COMPANY [FRS; 17 m]</t>
  </si>
  <si>
    <t xml:space="preserve">SCI MANUFACTURING</t>
  </si>
  <si>
    <t xml:space="preserve">HEWLETT PARCKARD COMPANY</t>
  </si>
  <si>
    <t xml:space="preserve">S05955</t>
  </si>
  <si>
    <t xml:space="preserve">10570 BRADFORD RD</t>
  </si>
  <si>
    <t xml:space="preserve">SAS CIRCUITS INC (1988; SIC 3672)</t>
  </si>
  <si>
    <t xml:space="preserve">SAS CIRCUITS INC (1988)</t>
  </si>
  <si>
    <t xml:space="preserve">TTM TECHNOLOGIES [FRS] (address match) | TTM TECHNOLOGIES [TRI] (address match)</t>
  </si>
  <si>
    <t xml:space="preserve">TTM TECHNOLOGIES [FRS; 17 m]</t>
  </si>
  <si>
    <t xml:space="preserve">SAS CIRCUITS [FRS; name match, 192 m] | DDI DENVER CORP. [FRS] (address match)</t>
  </si>
  <si>
    <t xml:space="preserve">S06573</t>
  </si>
  <si>
    <t xml:space="preserve">1600 PROSPECT PKWY</t>
  </si>
  <si>
    <t xml:space="preserve">ADVANCED ENERGY INDUSTRIES INC (1990; SIC 3674,3699,3823)</t>
  </si>
  <si>
    <t xml:space="preserve">ADVANCED ENERGY INDUSTRIES INC (1990)</t>
  </si>
  <si>
    <t xml:space="preserve">ADVANCED ENERGY INDUSTRIES INC [FRS; name match, 166 m] | ADVANCED ENERGY INDUSTRIES [FRS; name match, 202 m] | ADVANCED ENERGY INDUSTRIES [FRS] (address match) | ADVANCED ENERGY INDUSTRIES [TRI] (address match)</t>
  </si>
  <si>
    <t xml:space="preserve">ADVANCED ENERGY INDUSTRIES INC [CDPHE RCRA; name match, 160 m]</t>
  </si>
  <si>
    <t xml:space="preserve">LARIMER COUNTY JAIL [FRS; 15 m]</t>
  </si>
  <si>
    <t xml:space="preserve">ADVANCED ENERGY INDUSTRIES INC</t>
  </si>
  <si>
    <t xml:space="preserve">S06767</t>
  </si>
  <si>
    <t xml:space="preserve">715 DENVER AVE</t>
  </si>
  <si>
    <t xml:space="preserve">COLORADO PACIFIC INDUSTRIES (1990; SIC 2491)</t>
  </si>
  <si>
    <t xml:space="preserve">COLORADO PACIFIC INDUSTRIES (1990)</t>
  </si>
  <si>
    <t xml:space="preserve">ALLWEATHER WOOD PRODUCTS INCORPORATED [FRS; 53 m] | ALLWEATER WOOD LLC [TRI; 95 m] | ALLWEATHER WOOD PRODUCTS INCORPORATED [FRS] (address match) | ALLWEATER WOOD LLC [TRI] (address match)</t>
  </si>
  <si>
    <t xml:space="preserve">ALLWEATHER WOOD, LLC [CDPHE RCRA] (address match)</t>
  </si>
  <si>
    <t xml:space="preserve">MILE HIGH LABS - LOVELAND [FRS; 34 m] | ALLWEATHER WOOD, LLC [FRS] (address match)</t>
  </si>
  <si>
    <t xml:space="preserve">ALLWEATHER WOOD PRODUCTS INCORPORATED</t>
  </si>
  <si>
    <t xml:space="preserve">MILE HIGH LABS INC</t>
  </si>
  <si>
    <t xml:space="preserve">year</t>
  </si>
  <si>
    <t xml:space="preserve">listings</t>
  </si>
  <si>
    <t xml:space="preserve">fe_hazard_listings</t>
  </si>
  <si>
    <t xml:space="preserve">with_zip</t>
  </si>
  <si>
    <t xml:space="preserve">located</t>
  </si>
  <si>
    <t xml:space="preserve">vol</t>
  </si>
  <si>
    <t xml:space="preserve">DCM_1965</t>
  </si>
  <si>
    <t xml:space="preserve">DCM_1966_part1, DCM_1966_part2</t>
  </si>
  <si>
    <t xml:space="preserve">DCM_1967_part1, DCM_1967_part2</t>
  </si>
  <si>
    <t xml:space="preserve">DCM_1968_part1</t>
  </si>
  <si>
    <t xml:space="preserve">DCM_1970_part1, DCM_1970_part2</t>
  </si>
  <si>
    <t xml:space="preserve">DCM_1973_part1, DCM_1973_part2</t>
  </si>
  <si>
    <t xml:space="preserve">DCM_1974_part1, DCM_1974_part2</t>
  </si>
  <si>
    <t xml:space="preserve">DCM_1977_part1, DCM_1977_part2</t>
  </si>
  <si>
    <t xml:space="preserve">DCM_1980_part1, DCM_1980_part2</t>
  </si>
  <si>
    <t xml:space="preserve">DCM_1983_part1, DCM_1983_part2</t>
  </si>
  <si>
    <t xml:space="preserve">DCM_1988_part1, DCM_1988_part2, DCM_1988_part3, DCM_1988_part4</t>
  </si>
  <si>
    <t xml:space="preserve">DCM_1990_part1, DCM_1990_part2, DCM_1990_part3</t>
  </si>
  <si>
    <t xml:space="preserve">DCM_1992_part1, DCM_1992_part2, DCM_1992_part3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</si>
</sst>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%"/>
  </numFmts>
  <fonts count="2">
    <font>
      <sz val="10"/>
      <color rgb="FF000000"/>
      <name val="Arial"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DE5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ont="1" applyAlignment="1">
      <alignment vertical="top" wrapText="1"/>
    </xf>
    <xf numFmtId="166" fontId="0" fillId="0" borderId="0" xfId="0" applyFont="1" applyNumberFormat="1"/>
    <xf numFmtId="167" fontId="0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9.71" hidden="0" customWidth="1"/>
    <col min="2" max="2" width="12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s="2"/>
    </row>
    <row r="3">
      <c r="A3" t="s">
        <v>3</v>
      </c>
      <c r="B3" s="2" t="s">
        <v>4</v>
      </c>
    </row>
    <row r="4">
      <c r="A4" t="s">
        <v>5</v>
      </c>
      <c r="B4" s="2" t="s">
        <v>6</v>
      </c>
    </row>
    <row r="5">
      <c r="A5" t="s">
        <v>7</v>
      </c>
      <c r="B5" s="2" t="s">
        <v>8</v>
      </c>
    </row>
    <row r="6">
      <c r="A6" t="s">
        <v>9</v>
      </c>
      <c r="B6" s="2" t="s">
        <v>10</v>
      </c>
    </row>
    <row r="7">
      <c r="A7" t="s">
        <v>11</v>
      </c>
      <c r="B7" s="2" t="s">
        <v>12</v>
      </c>
    </row>
    <row r="8">
      <c r="A8" t="s">
        <v>13</v>
      </c>
      <c r="B8" s="2" t="s">
        <v>14</v>
      </c>
    </row>
    <row r="9">
      <c r="A9" t="s">
        <v>15</v>
      </c>
      <c r="B9" s="2" t="s">
        <v>16</v>
      </c>
    </row>
    <row r="10">
      <c r="A10" t="s">
        <v>17</v>
      </c>
      <c r="B10" s="2" t="s">
        <v>18</v>
      </c>
    </row>
    <row r="11">
      <c r="A11" t="s">
        <v>19</v>
      </c>
      <c r="B11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11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t="s">
        <v>26</v>
      </c>
      <c r="B2" t="str">
        <f>COUNTIF('All F&amp;E hazardous sites'!$B$2:$B$3170,A2)</f>
      </c>
      <c r="C2" s="3" t="str">
        <f>IFERROR(B2/$B$8,0)</f>
      </c>
      <c r="D2" t="str">
        <f>COUNTIFS('All F&amp;E hazardous sites'!$B$2:$B$3170,$A2,'All F&amp;E hazardous sites'!$C$2:$C$3170,"high")</f>
      </c>
      <c r="E2" t="str">
        <f>COUNTIFS('All F&amp;E hazardous sites'!$B$2:$B$3170,$A2,'All F&amp;E hazardous sites'!$C$2:$C$3170,"medium")</f>
      </c>
      <c r="F2" t="str">
        <f>COUNTIFS('All F&amp;E hazardous sites'!$B$2:$B$3170,$A2,'All F&amp;E hazardous sites'!$C$2:$C$3170,"low")</f>
      </c>
    </row>
    <row r="3">
      <c r="A3" t="s">
        <v>27</v>
      </c>
      <c r="B3" t="str">
        <f>COUNTIF('All F&amp;E hazardous sites'!$B$2:$B$3170,A3)</f>
      </c>
      <c r="C3" s="3" t="str">
        <f>IFERROR(B3/$B$8,0)</f>
      </c>
      <c r="D3" t="str">
        <f>COUNTIFS('All F&amp;E hazardous sites'!$B$2:$B$3170,$A3,'All F&amp;E hazardous sites'!$C$2:$C$3170,"high")</f>
      </c>
      <c r="E3" t="str">
        <f>COUNTIFS('All F&amp;E hazardous sites'!$B$2:$B$3170,$A3,'All F&amp;E hazardous sites'!$C$2:$C$3170,"medium")</f>
      </c>
      <c r="F3" t="str">
        <f>COUNTIFS('All F&amp;E hazardous sites'!$B$2:$B$3170,$A3,'All F&amp;E hazardous sites'!$C$2:$C$3170,"low")</f>
      </c>
    </row>
    <row r="4">
      <c r="A4" t="s">
        <v>28</v>
      </c>
      <c r="B4" t="str">
        <f>COUNTIF('All F&amp;E hazardous sites'!$B$2:$B$3170,A4)</f>
      </c>
      <c r="C4" s="3" t="str">
        <f>IFERROR(B4/$B$8,0)</f>
      </c>
      <c r="D4" t="str">
        <f>COUNTIFS('All F&amp;E hazardous sites'!$B$2:$B$3170,$A4,'All F&amp;E hazardous sites'!$C$2:$C$3170,"high")</f>
      </c>
      <c r="E4" t="str">
        <f>COUNTIFS('All F&amp;E hazardous sites'!$B$2:$B$3170,$A4,'All F&amp;E hazardous sites'!$C$2:$C$3170,"medium")</f>
      </c>
      <c r="F4" t="str">
        <f>COUNTIFS('All F&amp;E hazardous sites'!$B$2:$B$3170,$A4,'All F&amp;E hazardous sites'!$C$2:$C$3170,"low")</f>
      </c>
    </row>
    <row r="5">
      <c r="A5" t="s">
        <v>29</v>
      </c>
      <c r="B5" t="str">
        <f>COUNTIF('All F&amp;E hazardous sites'!$B$2:$B$3170,A5)</f>
      </c>
      <c r="C5" s="3" t="str">
        <f>IFERROR(B5/$B$8,0)</f>
      </c>
      <c r="D5" t="str">
        <f>COUNTIFS('All F&amp;E hazardous sites'!$B$2:$B$3170,$A5,'All F&amp;E hazardous sites'!$C$2:$C$3170,"high")</f>
      </c>
      <c r="E5" t="str">
        <f>COUNTIFS('All F&amp;E hazardous sites'!$B$2:$B$3170,$A5,'All F&amp;E hazardous sites'!$C$2:$C$3170,"medium")</f>
      </c>
      <c r="F5" t="str">
        <f>COUNTIFS('All F&amp;E hazardous sites'!$B$2:$B$3170,$A5,'All F&amp;E hazardous sites'!$C$2:$C$3170,"low")</f>
      </c>
    </row>
    <row r="6">
      <c r="A6" t="s">
        <v>30</v>
      </c>
      <c r="B6" t="str">
        <f>COUNTIF('All F&amp;E hazardous sites'!$B$2:$B$3170,A6)</f>
      </c>
      <c r="C6" s="3" t="str">
        <f>IFERROR(B6/$B$8,0)</f>
      </c>
      <c r="D6" t="str">
        <f>COUNTIFS('All F&amp;E hazardous sites'!$B$2:$B$3170,$A6,'All F&amp;E hazardous sites'!$C$2:$C$3170,"high")</f>
      </c>
      <c r="E6" t="str">
        <f>COUNTIFS('All F&amp;E hazardous sites'!$B$2:$B$3170,$A6,'All F&amp;E hazardous sites'!$C$2:$C$3170,"medium")</f>
      </c>
      <c r="F6" t="str">
        <f>COUNTIFS('All F&amp;E hazardous sites'!$B$2:$B$3170,$A6,'All F&amp;E hazardous sites'!$C$2:$C$3170,"low")</f>
      </c>
    </row>
    <row r="7">
      <c r="A7" t="s">
        <v>31</v>
      </c>
      <c r="B7" t="str">
        <f>COUNTIF('All F&amp;E hazardous sites'!$B$2:$B$3170,A7)</f>
      </c>
      <c r="C7" s="3" t="str">
        <f>IFERROR(B7/$B$8,0)</f>
      </c>
      <c r="D7" t="str">
        <f>COUNTIFS('All F&amp;E hazardous sites'!$B$2:$B$3170,$A7,'All F&amp;E hazardous sites'!$C$2:$C$3170,"high")</f>
      </c>
      <c r="E7" t="str">
        <f>COUNTIFS('All F&amp;E hazardous sites'!$B$2:$B$3170,$A7,'All F&amp;E hazardous sites'!$C$2:$C$3170,"medium")</f>
      </c>
      <c r="F7" t="str">
        <f>COUNTIFS('All F&amp;E hazardous sites'!$B$2:$B$3170,$A7,'All F&amp;E hazardous sites'!$C$2:$C$3170,"low")</f>
      </c>
    </row>
    <row r="8">
      <c r="A8" t="s">
        <v>32</v>
      </c>
      <c r="B8" t="str">
        <f>SUM(B2:B7)</f>
      </c>
      <c r="C8" s="3" t="str">
        <f>IFERROR(B8/$B$8,0)</f>
      </c>
      <c r="D8" t="str">
        <f>SUM(D2:D7)</f>
      </c>
      <c r="E8" t="str">
        <f>SUM(E2:E7)</f>
      </c>
      <c r="F8" t="str">
        <f>SUM(F2:F7)</f>
      </c>
    </row>
    <row r="10">
      <c r="A1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7.71" hidden="0" customWidth="1"/>
    <col min="3" max="3" width="10.71" hidden="0" customWidth="1"/>
    <col min="4" max="4" width="30.71" hidden="0" customWidth="1"/>
    <col min="5" max="5" width="19.71" hidden="0" customWidth="1"/>
    <col min="6" max="6" width="12.71" hidden="0" customWidth="1"/>
    <col min="7" max="7" width="10.71" hidden="0" customWidth="1"/>
    <col min="8" max="8" width="18.71" hidden="0" customWidth="1"/>
    <col min="9" max="9" width="19.71" hidden="0" customWidth="1"/>
    <col min="10" max="10" width="10.71" hidden="0" customWidth="1"/>
    <col min="11" max="11" width="60.71" hidden="0" customWidth="1"/>
    <col min="12" max="12" width="50.71" hidden="0" customWidth="1"/>
    <col min="13" max="13" width="10.71" hidden="0" customWidth="1"/>
    <col min="14" max="14" width="10.71" hidden="0" customWidth="1"/>
    <col min="15" max="15" width="46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60.71" hidden="0" customWidth="1"/>
    <col min="21" max="21" width="6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42.71" hidden="0" customWidth="1"/>
    <col min="29" max="29" width="10.71" hidden="0" customWidth="1"/>
    <col min="30" max="30" width="48.71" hidden="0" customWidth="1"/>
    <col min="31" max="31" width="10.71" hidden="0" customWidth="1"/>
    <col min="32" max="32" width="58.71" hidden="0" customWidth="1"/>
    <col min="33" max="33" width="10.71" hidden="0" customWidth="1"/>
  </cols>
  <sheetData>
    <row r="1">
      <c r="A1" s="1" t="s">
        <v>34</v>
      </c>
      <c r="B1" s="1" t="s">
        <v>11</v>
      </c>
      <c r="C1" s="1" t="s">
        <v>13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</row>
    <row r="2">
      <c r="A2" t="s">
        <v>64</v>
      </c>
      <c r="B2" t="s">
        <v>31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n">
        <v>39.8249814489796</v>
      </c>
      <c r="I2" t="n">
        <v>-104.927690612245</v>
      </c>
      <c r="J2" t="s">
        <v>35</v>
      </c>
      <c r="K2" t="s">
        <v>70</v>
      </c>
      <c r="L2"/>
      <c r="M2" t="n">
        <v>1967</v>
      </c>
      <c r="N2" t="n">
        <v>1974</v>
      </c>
      <c r="O2" t="s">
        <v>71</v>
      </c>
      <c r="P2" t="n">
        <v>3</v>
      </c>
      <c r="Q2" t="n">
        <v>2</v>
      </c>
      <c r="R2" t="n">
        <v>2</v>
      </c>
      <c r="S2"/>
      <c r="T2" t="s">
        <v>72</v>
      </c>
      <c r="U2" t="s">
        <v>73</v>
      </c>
      <c r="V2" t="s">
        <v>74</v>
      </c>
      <c r="W2"/>
      <c r="X2"/>
      <c r="Y2"/>
      <c r="Z2"/>
      <c r="AA2"/>
      <c r="AB2" t="s">
        <v>75</v>
      </c>
      <c r="AC2" t="n">
        <v>102</v>
      </c>
      <c r="AD2"/>
      <c r="AE2"/>
      <c r="AF2" t="s">
        <v>76</v>
      </c>
      <c r="AG2" t="n">
        <v>58</v>
      </c>
    </row>
    <row r="3">
      <c r="A3" t="s">
        <v>77</v>
      </c>
      <c r="B3" t="s">
        <v>31</v>
      </c>
      <c r="C3" t="s">
        <v>65</v>
      </c>
      <c r="D3" t="s">
        <v>78</v>
      </c>
      <c r="E3" t="s">
        <v>79</v>
      </c>
      <c r="F3" t="s">
        <v>68</v>
      </c>
      <c r="G3" t="s">
        <v>80</v>
      </c>
      <c r="H3" t="n">
        <v>39.8223488134111</v>
      </c>
      <c r="I3" t="n">
        <v>-105.034465475219</v>
      </c>
      <c r="J3" t="s">
        <v>35</v>
      </c>
      <c r="K3" t="s">
        <v>81</v>
      </c>
      <c r="L3"/>
      <c r="M3" t="n">
        <v>1967</v>
      </c>
      <c r="N3" t="n">
        <v>1988</v>
      </c>
      <c r="O3" t="s">
        <v>82</v>
      </c>
      <c r="P3" t="n">
        <v>5</v>
      </c>
      <c r="Q3" t="n">
        <v>4</v>
      </c>
      <c r="R3" t="n">
        <v>3</v>
      </c>
      <c r="S3" t="n">
        <v>1966</v>
      </c>
      <c r="T3" t="s">
        <v>83</v>
      </c>
      <c r="U3" t="s">
        <v>84</v>
      </c>
      <c r="V3" t="s">
        <v>74</v>
      </c>
      <c r="W3"/>
      <c r="X3"/>
      <c r="Y3"/>
      <c r="Z3"/>
      <c r="AA3"/>
      <c r="AB3" t="s">
        <v>85</v>
      </c>
      <c r="AC3" t="n">
        <v>219</v>
      </c>
      <c r="AD3"/>
      <c r="AE3"/>
      <c r="AF3" t="s">
        <v>86</v>
      </c>
      <c r="AG3" t="n">
        <v>94</v>
      </c>
    </row>
    <row r="4">
      <c r="A4" t="s">
        <v>87</v>
      </c>
      <c r="B4" t="s">
        <v>31</v>
      </c>
      <c r="C4" t="s">
        <v>65</v>
      </c>
      <c r="D4" t="s">
        <v>88</v>
      </c>
      <c r="E4" t="s">
        <v>79</v>
      </c>
      <c r="F4" t="s">
        <v>68</v>
      </c>
      <c r="G4" t="s">
        <v>80</v>
      </c>
      <c r="H4" t="n">
        <v>39.8365581723076</v>
      </c>
      <c r="I4" t="n">
        <v>-105.009777686869</v>
      </c>
      <c r="J4" t="s">
        <v>35</v>
      </c>
      <c r="K4" t="s">
        <v>89</v>
      </c>
      <c r="L4"/>
      <c r="M4" t="n">
        <v>1967</v>
      </c>
      <c r="N4" t="n">
        <v>1974</v>
      </c>
      <c r="O4" t="s">
        <v>90</v>
      </c>
      <c r="P4" t="n">
        <v>4</v>
      </c>
      <c r="Q4" t="n">
        <v>3</v>
      </c>
      <c r="R4" t="n">
        <v>2</v>
      </c>
      <c r="S4" t="n">
        <v>1965</v>
      </c>
      <c r="T4" t="s">
        <v>91</v>
      </c>
      <c r="U4" t="s">
        <v>92</v>
      </c>
      <c r="V4" t="s">
        <v>74</v>
      </c>
      <c r="W4"/>
      <c r="X4"/>
      <c r="Y4"/>
      <c r="Z4"/>
      <c r="AA4"/>
      <c r="AB4"/>
      <c r="AC4"/>
      <c r="AD4"/>
      <c r="AE4"/>
      <c r="AF4"/>
      <c r="AG4"/>
    </row>
    <row r="5">
      <c r="A5" t="s">
        <v>93</v>
      </c>
      <c r="B5" t="s">
        <v>31</v>
      </c>
      <c r="C5" t="s">
        <v>65</v>
      </c>
      <c r="D5" t="s">
        <v>94</v>
      </c>
      <c r="E5" t="s">
        <v>95</v>
      </c>
      <c r="F5" t="s">
        <v>68</v>
      </c>
      <c r="G5" t="s">
        <v>96</v>
      </c>
      <c r="H5" t="n">
        <v>39.7401016938758</v>
      </c>
      <c r="I5" t="n">
        <v>-104.799506544825</v>
      </c>
      <c r="J5" t="s">
        <v>35</v>
      </c>
      <c r="K5" t="s">
        <v>97</v>
      </c>
      <c r="L5" t="s">
        <v>98</v>
      </c>
      <c r="M5" t="n">
        <v>1967</v>
      </c>
      <c r="N5" t="n">
        <v>1973</v>
      </c>
      <c r="O5" t="s">
        <v>99</v>
      </c>
      <c r="P5" t="n">
        <v>2</v>
      </c>
      <c r="Q5" t="n">
        <v>2</v>
      </c>
      <c r="R5" t="n">
        <v>2</v>
      </c>
      <c r="S5" t="n">
        <v>1961</v>
      </c>
      <c r="T5" t="s">
        <v>100</v>
      </c>
      <c r="U5" t="s">
        <v>101</v>
      </c>
      <c r="V5" t="s">
        <v>74</v>
      </c>
      <c r="W5"/>
      <c r="X5"/>
      <c r="Y5"/>
      <c r="Z5"/>
      <c r="AA5"/>
      <c r="AB5"/>
      <c r="AC5"/>
      <c r="AD5"/>
      <c r="AE5"/>
      <c r="AF5" t="s">
        <v>102</v>
      </c>
      <c r="AG5" t="n">
        <v>76</v>
      </c>
    </row>
    <row r="6">
      <c r="A6" t="s">
        <v>103</v>
      </c>
      <c r="B6" t="s">
        <v>31</v>
      </c>
      <c r="C6" t="s">
        <v>65</v>
      </c>
      <c r="D6" t="s">
        <v>104</v>
      </c>
      <c r="E6" t="s">
        <v>79</v>
      </c>
      <c r="F6" t="s">
        <v>68</v>
      </c>
      <c r="G6" t="s">
        <v>80</v>
      </c>
      <c r="H6" t="n">
        <v>39.7669350713377</v>
      </c>
      <c r="I6" t="n">
        <v>-105.006452641369</v>
      </c>
      <c r="J6" t="s">
        <v>35</v>
      </c>
      <c r="K6" t="s">
        <v>105</v>
      </c>
      <c r="L6"/>
      <c r="M6" t="n">
        <v>1967</v>
      </c>
      <c r="N6" t="n">
        <v>1968</v>
      </c>
      <c r="O6" t="s">
        <v>106</v>
      </c>
      <c r="P6" t="n">
        <v>2</v>
      </c>
      <c r="Q6" t="n">
        <v>2</v>
      </c>
      <c r="R6" t="n">
        <v>2</v>
      </c>
      <c r="S6" t="n">
        <v>1956</v>
      </c>
      <c r="T6" t="s">
        <v>107</v>
      </c>
      <c r="U6" t="s">
        <v>108</v>
      </c>
      <c r="V6" t="s">
        <v>74</v>
      </c>
      <c r="W6"/>
      <c r="X6"/>
      <c r="Y6"/>
      <c r="Z6"/>
      <c r="AA6"/>
      <c r="AB6"/>
      <c r="AC6"/>
      <c r="AD6"/>
      <c r="AE6"/>
      <c r="AF6"/>
      <c r="AG6"/>
    </row>
    <row r="7">
      <c r="A7" t="s">
        <v>109</v>
      </c>
      <c r="B7" t="s">
        <v>31</v>
      </c>
      <c r="C7" t="s">
        <v>65</v>
      </c>
      <c r="D7" t="s">
        <v>110</v>
      </c>
      <c r="E7" t="s">
        <v>67</v>
      </c>
      <c r="F7" t="s">
        <v>68</v>
      </c>
      <c r="G7" t="s">
        <v>69</v>
      </c>
      <c r="H7" t="n">
        <v>39.8556109555078</v>
      </c>
      <c r="I7" t="n">
        <v>-104.913624271994</v>
      </c>
      <c r="J7" t="s">
        <v>35</v>
      </c>
      <c r="K7" t="s">
        <v>111</v>
      </c>
      <c r="L7"/>
      <c r="M7" t="n">
        <v>1973</v>
      </c>
      <c r="N7" t="n">
        <v>1983</v>
      </c>
      <c r="O7" t="s">
        <v>112</v>
      </c>
      <c r="P7" t="n">
        <v>5</v>
      </c>
      <c r="Q7" t="n">
        <v>2</v>
      </c>
      <c r="R7" t="n">
        <v>2</v>
      </c>
      <c r="S7" t="n">
        <v>1954</v>
      </c>
      <c r="T7" t="s">
        <v>113</v>
      </c>
      <c r="U7" t="s">
        <v>114</v>
      </c>
      <c r="V7" t="s">
        <v>74</v>
      </c>
      <c r="W7"/>
      <c r="X7"/>
      <c r="Y7"/>
      <c r="Z7"/>
      <c r="AA7"/>
      <c r="AB7"/>
      <c r="AC7"/>
      <c r="AD7"/>
      <c r="AE7"/>
      <c r="AF7" t="s">
        <v>115</v>
      </c>
      <c r="AG7" t="n">
        <v>151</v>
      </c>
    </row>
    <row r="8">
      <c r="A8" t="s">
        <v>116</v>
      </c>
      <c r="B8" t="s">
        <v>31</v>
      </c>
      <c r="C8" t="s">
        <v>65</v>
      </c>
      <c r="D8" t="s">
        <v>117</v>
      </c>
      <c r="E8" t="s">
        <v>118</v>
      </c>
      <c r="F8" t="s">
        <v>68</v>
      </c>
      <c r="G8" t="s">
        <v>119</v>
      </c>
      <c r="H8" t="n">
        <v>39.9815888703204</v>
      </c>
      <c r="I8" t="n">
        <v>-104.82239553499</v>
      </c>
      <c r="J8" t="s">
        <v>35</v>
      </c>
      <c r="K8" t="s">
        <v>120</v>
      </c>
      <c r="L8"/>
      <c r="M8" t="n">
        <v>1973</v>
      </c>
      <c r="N8" t="n">
        <v>1973</v>
      </c>
      <c r="O8" t="s">
        <v>121</v>
      </c>
      <c r="P8" t="n">
        <v>1</v>
      </c>
      <c r="Q8" t="n">
        <v>1</v>
      </c>
      <c r="R8" t="n">
        <v>1</v>
      </c>
      <c r="S8"/>
      <c r="T8" t="s">
        <v>122</v>
      </c>
      <c r="U8" t="s">
        <v>123</v>
      </c>
      <c r="V8" t="s">
        <v>74</v>
      </c>
      <c r="W8"/>
      <c r="X8"/>
      <c r="Y8"/>
      <c r="Z8"/>
      <c r="AA8"/>
      <c r="AB8"/>
      <c r="AC8"/>
      <c r="AD8"/>
      <c r="AE8"/>
      <c r="AF8"/>
      <c r="AG8"/>
    </row>
    <row r="9">
      <c r="A9" t="s">
        <v>124</v>
      </c>
      <c r="B9" t="s">
        <v>31</v>
      </c>
      <c r="C9" t="s">
        <v>65</v>
      </c>
      <c r="D9" t="s">
        <v>125</v>
      </c>
      <c r="E9" t="s">
        <v>67</v>
      </c>
      <c r="F9" t="s">
        <v>68</v>
      </c>
      <c r="G9" t="s">
        <v>69</v>
      </c>
      <c r="H9" t="n">
        <v>39.7853391820153</v>
      </c>
      <c r="I9" t="n">
        <v>-104.906918916938</v>
      </c>
      <c r="J9" t="s">
        <v>35</v>
      </c>
      <c r="K9" t="s">
        <v>126</v>
      </c>
      <c r="L9"/>
      <c r="M9" t="n">
        <v>1973</v>
      </c>
      <c r="N9" t="n">
        <v>1974</v>
      </c>
      <c r="O9" t="s">
        <v>127</v>
      </c>
      <c r="P9" t="n">
        <v>2</v>
      </c>
      <c r="Q9" t="n">
        <v>1</v>
      </c>
      <c r="R9" t="n">
        <v>1</v>
      </c>
      <c r="S9" t="n">
        <v>1968</v>
      </c>
      <c r="T9" t="s">
        <v>128</v>
      </c>
      <c r="U9" t="s">
        <v>129</v>
      </c>
      <c r="V9" t="s">
        <v>74</v>
      </c>
      <c r="W9"/>
      <c r="X9"/>
      <c r="Y9"/>
      <c r="Z9"/>
      <c r="AA9"/>
      <c r="AB9"/>
      <c r="AC9"/>
      <c r="AD9"/>
      <c r="AE9"/>
      <c r="AF9" t="s">
        <v>130</v>
      </c>
      <c r="AG9" t="n">
        <v>59</v>
      </c>
    </row>
    <row r="10">
      <c r="A10" t="s">
        <v>131</v>
      </c>
      <c r="B10" t="s">
        <v>31</v>
      </c>
      <c r="C10" t="s">
        <v>65</v>
      </c>
      <c r="D10" t="s">
        <v>132</v>
      </c>
      <c r="E10" t="s">
        <v>79</v>
      </c>
      <c r="F10" t="s">
        <v>68</v>
      </c>
      <c r="G10" t="s">
        <v>80</v>
      </c>
      <c r="H10" t="n">
        <v>39.805578</v>
      </c>
      <c r="I10" t="n">
        <v>-105.014836</v>
      </c>
      <c r="J10" t="s">
        <v>35</v>
      </c>
      <c r="K10" t="s">
        <v>133</v>
      </c>
      <c r="L10"/>
      <c r="M10" t="n">
        <v>1973</v>
      </c>
      <c r="N10" t="n">
        <v>1983</v>
      </c>
      <c r="O10" t="s">
        <v>134</v>
      </c>
      <c r="P10" t="n">
        <v>3</v>
      </c>
      <c r="Q10" t="n">
        <v>2</v>
      </c>
      <c r="R10" t="n">
        <v>2</v>
      </c>
      <c r="S10" t="n">
        <v>1970</v>
      </c>
      <c r="T10" t="s">
        <v>135</v>
      </c>
      <c r="U10" t="s">
        <v>136</v>
      </c>
      <c r="V10" t="s">
        <v>74</v>
      </c>
      <c r="W10"/>
      <c r="X10"/>
      <c r="Y10"/>
      <c r="Z10"/>
      <c r="AA10"/>
      <c r="AB10" t="s">
        <v>137</v>
      </c>
      <c r="AC10" t="n">
        <v>225</v>
      </c>
      <c r="AD10"/>
      <c r="AE10"/>
      <c r="AF10" t="s">
        <v>138</v>
      </c>
      <c r="AG10" t="n">
        <v>212</v>
      </c>
    </row>
    <row r="11">
      <c r="A11" t="s">
        <v>139</v>
      </c>
      <c r="B11" t="s">
        <v>31</v>
      </c>
      <c r="C11" t="s">
        <v>65</v>
      </c>
      <c r="D11" t="s">
        <v>140</v>
      </c>
      <c r="E11" t="s">
        <v>67</v>
      </c>
      <c r="F11" t="s">
        <v>68</v>
      </c>
      <c r="G11" t="s">
        <v>69</v>
      </c>
      <c r="H11" t="n">
        <v>39.8131700967742</v>
      </c>
      <c r="I11" t="n">
        <v>-104.936777645161</v>
      </c>
      <c r="J11" t="s">
        <v>35</v>
      </c>
      <c r="K11" t="s">
        <v>141</v>
      </c>
      <c r="L11"/>
      <c r="M11" t="n">
        <v>1973</v>
      </c>
      <c r="N11" t="n">
        <v>1990</v>
      </c>
      <c r="O11" t="s">
        <v>142</v>
      </c>
      <c r="P11" t="n">
        <v>5</v>
      </c>
      <c r="Q11" t="n">
        <v>1</v>
      </c>
      <c r="R11" t="n">
        <v>1</v>
      </c>
      <c r="S11" t="n">
        <v>1927</v>
      </c>
      <c r="T11" t="s">
        <v>143</v>
      </c>
      <c r="U11" t="s">
        <v>144</v>
      </c>
      <c r="V11" t="s">
        <v>74</v>
      </c>
      <c r="W11"/>
      <c r="X11"/>
      <c r="Y11"/>
      <c r="Z11"/>
      <c r="AA11"/>
      <c r="AB11"/>
      <c r="AC11"/>
      <c r="AD11"/>
      <c r="AE11"/>
      <c r="AF11" t="s">
        <v>145</v>
      </c>
      <c r="AG11" t="n">
        <v>46</v>
      </c>
    </row>
    <row r="12">
      <c r="A12" t="s">
        <v>146</v>
      </c>
      <c r="B12" t="s">
        <v>31</v>
      </c>
      <c r="C12" t="s">
        <v>65</v>
      </c>
      <c r="D12" t="s">
        <v>147</v>
      </c>
      <c r="E12" t="s">
        <v>67</v>
      </c>
      <c r="F12" t="s">
        <v>68</v>
      </c>
      <c r="G12" t="s">
        <v>69</v>
      </c>
      <c r="H12" t="n">
        <v>39.7848939591837</v>
      </c>
      <c r="I12" t="n">
        <v>-104.910087469388</v>
      </c>
      <c r="J12" t="s">
        <v>35</v>
      </c>
      <c r="K12" t="s">
        <v>70</v>
      </c>
      <c r="L12"/>
      <c r="M12" t="n">
        <v>1973</v>
      </c>
      <c r="N12" t="n">
        <v>1974</v>
      </c>
      <c r="O12" t="s">
        <v>127</v>
      </c>
      <c r="P12" t="n">
        <v>2</v>
      </c>
      <c r="Q12" t="n">
        <v>1</v>
      </c>
      <c r="R12" t="n">
        <v>1</v>
      </c>
      <c r="S12" t="n">
        <v>1969</v>
      </c>
      <c r="T12" t="s">
        <v>148</v>
      </c>
      <c r="U12" t="s">
        <v>149</v>
      </c>
      <c r="V12" t="s">
        <v>74</v>
      </c>
      <c r="W12"/>
      <c r="X12"/>
      <c r="Y12"/>
      <c r="Z12"/>
      <c r="AA12"/>
      <c r="AB12" t="s">
        <v>150</v>
      </c>
      <c r="AC12" t="n">
        <v>180</v>
      </c>
      <c r="AD12" t="s">
        <v>151</v>
      </c>
      <c r="AE12" t="n">
        <v>211</v>
      </c>
      <c r="AF12" t="s">
        <v>152</v>
      </c>
      <c r="AG12" t="n">
        <v>78</v>
      </c>
    </row>
    <row r="13">
      <c r="A13" t="s">
        <v>153</v>
      </c>
      <c r="B13" t="s">
        <v>31</v>
      </c>
      <c r="C13" t="s">
        <v>65</v>
      </c>
      <c r="D13" t="s">
        <v>154</v>
      </c>
      <c r="E13" t="s">
        <v>67</v>
      </c>
      <c r="F13" t="s">
        <v>68</v>
      </c>
      <c r="G13" t="s">
        <v>69</v>
      </c>
      <c r="H13" t="n">
        <v>39.8009879239863</v>
      </c>
      <c r="I13" t="n">
        <v>-104.928397040829</v>
      </c>
      <c r="J13" t="s">
        <v>35</v>
      </c>
      <c r="K13" t="s">
        <v>120</v>
      </c>
      <c r="L13"/>
      <c r="M13" t="n">
        <v>1973</v>
      </c>
      <c r="N13" t="n">
        <v>1974</v>
      </c>
      <c r="O13" t="s">
        <v>127</v>
      </c>
      <c r="P13" t="n">
        <v>2</v>
      </c>
      <c r="Q13" t="n">
        <v>1</v>
      </c>
      <c r="R13" t="n">
        <v>1</v>
      </c>
      <c r="S13" t="n">
        <v>1970</v>
      </c>
      <c r="T13" t="s">
        <v>155</v>
      </c>
      <c r="U13" t="s">
        <v>156</v>
      </c>
      <c r="V13" t="s">
        <v>74</v>
      </c>
      <c r="W13"/>
      <c r="X13"/>
      <c r="Y13"/>
      <c r="Z13"/>
      <c r="AA13"/>
      <c r="AB13" t="s">
        <v>157</v>
      </c>
      <c r="AC13" t="n">
        <v>209</v>
      </c>
      <c r="AD13"/>
      <c r="AE13"/>
      <c r="AF13" t="s">
        <v>158</v>
      </c>
      <c r="AG13" t="n">
        <v>96</v>
      </c>
    </row>
    <row r="14">
      <c r="A14" t="s">
        <v>159</v>
      </c>
      <c r="B14" t="s">
        <v>31</v>
      </c>
      <c r="C14" t="s">
        <v>65</v>
      </c>
      <c r="D14" t="s">
        <v>160</v>
      </c>
      <c r="E14" t="s">
        <v>161</v>
      </c>
      <c r="F14" t="s">
        <v>68</v>
      </c>
      <c r="G14" t="s">
        <v>162</v>
      </c>
      <c r="H14" t="n">
        <v>39.8252700202121</v>
      </c>
      <c r="I14" t="n">
        <v>-104.971142076519</v>
      </c>
      <c r="J14" t="s">
        <v>35</v>
      </c>
      <c r="K14" t="s">
        <v>126</v>
      </c>
      <c r="L14"/>
      <c r="M14" t="n">
        <v>1973</v>
      </c>
      <c r="N14" t="n">
        <v>1973</v>
      </c>
      <c r="O14" t="s">
        <v>121</v>
      </c>
      <c r="P14" t="n">
        <v>1</v>
      </c>
      <c r="Q14" t="n">
        <v>1</v>
      </c>
      <c r="R14" t="n">
        <v>1</v>
      </c>
      <c r="S14" t="n">
        <v>1970</v>
      </c>
      <c r="T14" t="s">
        <v>163</v>
      </c>
      <c r="U14" t="s">
        <v>164</v>
      </c>
      <c r="V14" t="s">
        <v>74</v>
      </c>
      <c r="W14"/>
      <c r="X14"/>
      <c r="Y14"/>
      <c r="Z14"/>
      <c r="AA14"/>
      <c r="AB14" t="s">
        <v>165</v>
      </c>
      <c r="AC14" t="n">
        <v>214</v>
      </c>
      <c r="AD14" t="s">
        <v>166</v>
      </c>
      <c r="AE14" t="n">
        <v>232</v>
      </c>
      <c r="AF14" t="s">
        <v>167</v>
      </c>
      <c r="AG14" t="n">
        <v>171</v>
      </c>
    </row>
    <row r="15">
      <c r="A15" t="s">
        <v>168</v>
      </c>
      <c r="B15" t="s">
        <v>31</v>
      </c>
      <c r="C15" t="s">
        <v>65</v>
      </c>
      <c r="D15" t="s">
        <v>169</v>
      </c>
      <c r="E15" t="s">
        <v>170</v>
      </c>
      <c r="F15" t="s">
        <v>68</v>
      </c>
      <c r="G15" t="s">
        <v>171</v>
      </c>
      <c r="H15" t="n">
        <v>39.9047418021849</v>
      </c>
      <c r="I15" t="n">
        <v>-104.974943127721</v>
      </c>
      <c r="J15" t="s">
        <v>35</v>
      </c>
      <c r="K15" t="s">
        <v>133</v>
      </c>
      <c r="L15"/>
      <c r="M15" t="n">
        <v>1973</v>
      </c>
      <c r="N15" t="n">
        <v>1974</v>
      </c>
      <c r="O15" t="s">
        <v>127</v>
      </c>
      <c r="P15" t="n">
        <v>2</v>
      </c>
      <c r="Q15" t="n">
        <v>1</v>
      </c>
      <c r="R15" t="n">
        <v>1</v>
      </c>
      <c r="S15" t="n">
        <v>1972</v>
      </c>
      <c r="T15" t="s">
        <v>172</v>
      </c>
      <c r="U15" t="s">
        <v>173</v>
      </c>
      <c r="V15" t="s">
        <v>74</v>
      </c>
      <c r="W15"/>
      <c r="X15"/>
      <c r="Y15"/>
      <c r="Z15"/>
      <c r="AA15"/>
      <c r="AB15"/>
      <c r="AC15"/>
      <c r="AD15"/>
      <c r="AE15"/>
      <c r="AF15" t="s">
        <v>174</v>
      </c>
      <c r="AG15" t="n">
        <v>245</v>
      </c>
    </row>
    <row r="16">
      <c r="A16" t="s">
        <v>175</v>
      </c>
      <c r="B16" t="s">
        <v>31</v>
      </c>
      <c r="C16" t="s">
        <v>65</v>
      </c>
      <c r="D16" t="s">
        <v>176</v>
      </c>
      <c r="E16" t="s">
        <v>177</v>
      </c>
      <c r="F16" t="s">
        <v>68</v>
      </c>
      <c r="G16" t="s">
        <v>178</v>
      </c>
      <c r="H16" t="n">
        <v>39.8333660377358</v>
      </c>
      <c r="I16" t="n">
        <v>-105.045224867925</v>
      </c>
      <c r="J16" t="s">
        <v>35</v>
      </c>
      <c r="K16" t="s">
        <v>133</v>
      </c>
      <c r="L16"/>
      <c r="M16" t="n">
        <v>1973</v>
      </c>
      <c r="N16" t="n">
        <v>1973</v>
      </c>
      <c r="O16" t="s">
        <v>121</v>
      </c>
      <c r="P16" t="n">
        <v>1</v>
      </c>
      <c r="Q16" t="n">
        <v>1</v>
      </c>
      <c r="R16" t="n">
        <v>1</v>
      </c>
      <c r="S16" t="n">
        <v>1971</v>
      </c>
      <c r="T16" t="s">
        <v>179</v>
      </c>
      <c r="U16" t="s">
        <v>180</v>
      </c>
      <c r="V16" t="s">
        <v>74</v>
      </c>
      <c r="W16"/>
      <c r="X16"/>
      <c r="Y16"/>
      <c r="Z16"/>
      <c r="AA16"/>
      <c r="AB16" t="s">
        <v>181</v>
      </c>
      <c r="AC16" t="n">
        <v>183</v>
      </c>
      <c r="AD16"/>
      <c r="AE16"/>
      <c r="AF16"/>
      <c r="AG16"/>
    </row>
    <row r="17">
      <c r="A17" t="s">
        <v>182</v>
      </c>
      <c r="B17" t="s">
        <v>31</v>
      </c>
      <c r="C17" t="s">
        <v>65</v>
      </c>
      <c r="D17" t="s">
        <v>183</v>
      </c>
      <c r="E17" t="s">
        <v>177</v>
      </c>
      <c r="F17" t="s">
        <v>68</v>
      </c>
      <c r="G17" t="s">
        <v>178</v>
      </c>
      <c r="H17" t="n">
        <v>39.8480970769231</v>
      </c>
      <c r="I17" t="n">
        <v>-105.046769576923</v>
      </c>
      <c r="J17" t="s">
        <v>35</v>
      </c>
      <c r="K17" t="s">
        <v>120</v>
      </c>
      <c r="L17"/>
      <c r="M17" t="n">
        <v>1973</v>
      </c>
      <c r="N17" t="n">
        <v>1973</v>
      </c>
      <c r="O17" t="s">
        <v>121</v>
      </c>
      <c r="P17" t="n">
        <v>1</v>
      </c>
      <c r="Q17" t="n">
        <v>1</v>
      </c>
      <c r="R17" t="n">
        <v>1</v>
      </c>
      <c r="S17" t="n">
        <v>1971</v>
      </c>
      <c r="T17" t="s">
        <v>184</v>
      </c>
      <c r="U17" t="s">
        <v>185</v>
      </c>
      <c r="V17" t="s">
        <v>74</v>
      </c>
      <c r="W17"/>
      <c r="X17"/>
      <c r="Y17"/>
      <c r="Z17"/>
      <c r="AA17"/>
      <c r="AB17"/>
      <c r="AC17"/>
      <c r="AD17"/>
      <c r="AE17"/>
      <c r="AF17"/>
      <c r="AG17"/>
    </row>
    <row r="18">
      <c r="A18" t="s">
        <v>186</v>
      </c>
      <c r="B18" t="s">
        <v>31</v>
      </c>
      <c r="C18" t="s">
        <v>65</v>
      </c>
      <c r="D18" t="s">
        <v>187</v>
      </c>
      <c r="E18" t="s">
        <v>79</v>
      </c>
      <c r="F18" t="s">
        <v>68</v>
      </c>
      <c r="G18" t="s">
        <v>80</v>
      </c>
      <c r="H18" t="n">
        <v>39.728932</v>
      </c>
      <c r="I18" t="n">
        <v>-104.993495778931</v>
      </c>
      <c r="J18" t="s">
        <v>35</v>
      </c>
      <c r="K18" t="s">
        <v>70</v>
      </c>
      <c r="L18"/>
      <c r="M18" t="n">
        <v>1973</v>
      </c>
      <c r="N18" t="n">
        <v>1973</v>
      </c>
      <c r="O18" t="s">
        <v>121</v>
      </c>
      <c r="P18" t="n">
        <v>1</v>
      </c>
      <c r="Q18" t="n">
        <v>1</v>
      </c>
      <c r="R18" t="n">
        <v>1</v>
      </c>
      <c r="S18" t="n">
        <v>1958</v>
      </c>
      <c r="T18" t="s">
        <v>188</v>
      </c>
      <c r="U18" t="s">
        <v>189</v>
      </c>
      <c r="V18" t="s">
        <v>74</v>
      </c>
      <c r="W18"/>
      <c r="X18"/>
      <c r="Y18"/>
      <c r="Z18"/>
      <c r="AA18"/>
      <c r="AB18"/>
      <c r="AC18"/>
      <c r="AD18"/>
      <c r="AE18"/>
      <c r="AF18" t="s">
        <v>190</v>
      </c>
      <c r="AG18" t="n">
        <v>218</v>
      </c>
    </row>
    <row r="19">
      <c r="A19" t="s">
        <v>191</v>
      </c>
      <c r="B19" t="s">
        <v>31</v>
      </c>
      <c r="C19" t="s">
        <v>65</v>
      </c>
      <c r="D19" t="s">
        <v>192</v>
      </c>
      <c r="E19" t="s">
        <v>177</v>
      </c>
      <c r="F19" t="s">
        <v>68</v>
      </c>
      <c r="G19" t="s">
        <v>178</v>
      </c>
      <c r="H19" t="n">
        <v>39.8257050092481</v>
      </c>
      <c r="I19" t="n">
        <v>-105.036984930533</v>
      </c>
      <c r="J19" t="s">
        <v>35</v>
      </c>
      <c r="K19" t="s">
        <v>193</v>
      </c>
      <c r="L19"/>
      <c r="M19" t="n">
        <v>1974</v>
      </c>
      <c r="N19" t="n">
        <v>1992</v>
      </c>
      <c r="O19" t="s">
        <v>194</v>
      </c>
      <c r="P19" t="n">
        <v>6</v>
      </c>
      <c r="Q19" t="n">
        <v>11</v>
      </c>
      <c r="R19" t="n">
        <v>10</v>
      </c>
      <c r="S19" t="n">
        <v>1963</v>
      </c>
      <c r="T19" t="s">
        <v>195</v>
      </c>
      <c r="U19" t="s">
        <v>196</v>
      </c>
      <c r="V19" t="s">
        <v>74</v>
      </c>
      <c r="W19"/>
      <c r="X19"/>
      <c r="Y19"/>
      <c r="Z19"/>
      <c r="AA19"/>
      <c r="AB19" t="s">
        <v>197</v>
      </c>
      <c r="AC19" t="n">
        <v>227</v>
      </c>
      <c r="AD19"/>
      <c r="AE19"/>
      <c r="AF19" t="s">
        <v>198</v>
      </c>
      <c r="AG19" t="n">
        <v>56</v>
      </c>
    </row>
    <row r="20">
      <c r="A20" t="s">
        <v>199</v>
      </c>
      <c r="B20" t="s">
        <v>31</v>
      </c>
      <c r="C20" t="s">
        <v>65</v>
      </c>
      <c r="D20" t="s">
        <v>200</v>
      </c>
      <c r="E20" t="s">
        <v>95</v>
      </c>
      <c r="F20" t="s">
        <v>68</v>
      </c>
      <c r="G20" t="s">
        <v>96</v>
      </c>
      <c r="H20" t="n">
        <v>39.7425231417535</v>
      </c>
      <c r="I20" t="n">
        <v>-104.806688869</v>
      </c>
      <c r="J20" t="s">
        <v>35</v>
      </c>
      <c r="K20" t="s">
        <v>201</v>
      </c>
      <c r="L20" t="s">
        <v>202</v>
      </c>
      <c r="M20" t="n">
        <v>1974</v>
      </c>
      <c r="N20" t="n">
        <v>1992</v>
      </c>
      <c r="O20" t="s">
        <v>203</v>
      </c>
      <c r="P20" t="n">
        <v>6</v>
      </c>
      <c r="Q20" t="n">
        <v>9</v>
      </c>
      <c r="R20" t="n">
        <v>5</v>
      </c>
      <c r="S20" t="n">
        <v>1969</v>
      </c>
      <c r="T20" t="s">
        <v>204</v>
      </c>
      <c r="U20" t="s">
        <v>205</v>
      </c>
      <c r="V20" t="s">
        <v>74</v>
      </c>
      <c r="W20"/>
      <c r="X20"/>
      <c r="Y20"/>
      <c r="Z20"/>
      <c r="AA20"/>
      <c r="AB20" t="s">
        <v>206</v>
      </c>
      <c r="AC20" t="n">
        <v>153</v>
      </c>
      <c r="AD20"/>
      <c r="AE20"/>
      <c r="AF20" t="s">
        <v>207</v>
      </c>
      <c r="AG20" t="n">
        <v>81</v>
      </c>
    </row>
    <row r="21">
      <c r="A21" t="s">
        <v>208</v>
      </c>
      <c r="B21" t="s">
        <v>31</v>
      </c>
      <c r="C21" t="s">
        <v>65</v>
      </c>
      <c r="D21" t="s">
        <v>209</v>
      </c>
      <c r="E21" t="s">
        <v>79</v>
      </c>
      <c r="F21" t="s">
        <v>68</v>
      </c>
      <c r="G21" t="s">
        <v>80</v>
      </c>
      <c r="H21" t="n">
        <v>39.8341807155733</v>
      </c>
      <c r="I21" t="n">
        <v>-104.99897350531</v>
      </c>
      <c r="J21" t="s">
        <v>35</v>
      </c>
      <c r="K21" t="s">
        <v>70</v>
      </c>
      <c r="L21"/>
      <c r="M21" t="n">
        <v>1974</v>
      </c>
      <c r="N21" t="n">
        <v>1974</v>
      </c>
      <c r="O21" t="s">
        <v>210</v>
      </c>
      <c r="P21" t="n">
        <v>1</v>
      </c>
      <c r="Q21" t="n">
        <v>1</v>
      </c>
      <c r="R21" t="n">
        <v>1</v>
      </c>
      <c r="S21" t="n">
        <v>1969</v>
      </c>
      <c r="T21" t="s">
        <v>211</v>
      </c>
      <c r="U21" t="s">
        <v>212</v>
      </c>
      <c r="V21" t="s">
        <v>74</v>
      </c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213</v>
      </c>
      <c r="B22" t="s">
        <v>31</v>
      </c>
      <c r="C22" t="s">
        <v>65</v>
      </c>
      <c r="D22" t="s">
        <v>214</v>
      </c>
      <c r="E22" t="s">
        <v>161</v>
      </c>
      <c r="F22" t="s">
        <v>68</v>
      </c>
      <c r="G22" t="s">
        <v>162</v>
      </c>
      <c r="H22" t="n">
        <v>39.8770964031989</v>
      </c>
      <c r="I22" t="n">
        <v>-104.982102851524</v>
      </c>
      <c r="J22" t="s">
        <v>35</v>
      </c>
      <c r="K22" t="s">
        <v>89</v>
      </c>
      <c r="L22"/>
      <c r="M22" t="n">
        <v>1974</v>
      </c>
      <c r="N22" t="n">
        <v>1977</v>
      </c>
      <c r="O22" t="s">
        <v>210</v>
      </c>
      <c r="P22" t="n">
        <v>2</v>
      </c>
      <c r="Q22" t="n">
        <v>2</v>
      </c>
      <c r="R22" t="n">
        <v>1</v>
      </c>
      <c r="S22" t="n">
        <v>1973</v>
      </c>
      <c r="T22" t="s">
        <v>215</v>
      </c>
      <c r="U22" t="s">
        <v>216</v>
      </c>
      <c r="V22" t="s">
        <v>74</v>
      </c>
      <c r="W22"/>
      <c r="X22"/>
      <c r="Y22"/>
      <c r="Z22"/>
      <c r="AA22"/>
      <c r="AB22"/>
      <c r="AC22"/>
      <c r="AD22"/>
      <c r="AE22"/>
      <c r="AF22" t="s">
        <v>217</v>
      </c>
      <c r="AG22" t="n">
        <v>153</v>
      </c>
    </row>
    <row r="23">
      <c r="A23" t="s">
        <v>218</v>
      </c>
      <c r="B23" t="s">
        <v>31</v>
      </c>
      <c r="C23" t="s">
        <v>65</v>
      </c>
      <c r="D23" t="s">
        <v>219</v>
      </c>
      <c r="E23" t="s">
        <v>161</v>
      </c>
      <c r="F23" t="s">
        <v>68</v>
      </c>
      <c r="G23" t="s">
        <v>162</v>
      </c>
      <c r="H23" t="n">
        <v>39.812732</v>
      </c>
      <c r="I23" t="n">
        <v>-104.97533618284</v>
      </c>
      <c r="J23" t="s">
        <v>35</v>
      </c>
      <c r="K23" t="s">
        <v>220</v>
      </c>
      <c r="L23"/>
      <c r="M23" t="n">
        <v>1974</v>
      </c>
      <c r="N23" t="n">
        <v>1980</v>
      </c>
      <c r="O23" t="s">
        <v>221</v>
      </c>
      <c r="P23" t="n">
        <v>2</v>
      </c>
      <c r="Q23" t="n">
        <v>2</v>
      </c>
      <c r="R23" t="n">
        <v>2</v>
      </c>
      <c r="S23" t="n">
        <v>1953</v>
      </c>
      <c r="T23" t="s">
        <v>222</v>
      </c>
      <c r="U23" t="s">
        <v>223</v>
      </c>
      <c r="V23" t="s">
        <v>74</v>
      </c>
      <c r="W23"/>
      <c r="X23"/>
      <c r="Y23"/>
      <c r="Z23"/>
      <c r="AA23"/>
      <c r="AB23"/>
      <c r="AC23"/>
      <c r="AD23" t="s">
        <v>224</v>
      </c>
      <c r="AE23" t="n">
        <v>136</v>
      </c>
      <c r="AF23" t="s">
        <v>225</v>
      </c>
      <c r="AG23" t="n">
        <v>49</v>
      </c>
    </row>
    <row r="24">
      <c r="A24" t="s">
        <v>226</v>
      </c>
      <c r="B24" t="s">
        <v>31</v>
      </c>
      <c r="C24" t="s">
        <v>65</v>
      </c>
      <c r="D24" t="s">
        <v>227</v>
      </c>
      <c r="E24" t="s">
        <v>118</v>
      </c>
      <c r="F24" t="s">
        <v>68</v>
      </c>
      <c r="G24" t="s">
        <v>119</v>
      </c>
      <c r="H24" t="n">
        <v>39.9870744693878</v>
      </c>
      <c r="I24" t="n">
        <v>-104.82237577551</v>
      </c>
      <c r="J24" t="s">
        <v>35</v>
      </c>
      <c r="K24" t="s">
        <v>120</v>
      </c>
      <c r="L24"/>
      <c r="M24" t="n">
        <v>1977</v>
      </c>
      <c r="N24" t="n">
        <v>1977</v>
      </c>
      <c r="O24" t="s">
        <v>228</v>
      </c>
      <c r="P24" t="n">
        <v>1</v>
      </c>
      <c r="Q24" t="n">
        <v>1</v>
      </c>
      <c r="R24" t="n">
        <v>1</v>
      </c>
      <c r="S24" t="n">
        <v>1961</v>
      </c>
      <c r="T24" t="s">
        <v>229</v>
      </c>
      <c r="U24" t="s">
        <v>230</v>
      </c>
      <c r="V24" t="s">
        <v>74</v>
      </c>
      <c r="W24"/>
      <c r="X24"/>
      <c r="Y24"/>
      <c r="Z24"/>
      <c r="AA24"/>
      <c r="AB24"/>
      <c r="AC24"/>
      <c r="AD24"/>
      <c r="AE24"/>
      <c r="AF24" t="s">
        <v>231</v>
      </c>
      <c r="AG24" t="n">
        <v>145</v>
      </c>
    </row>
    <row r="25">
      <c r="A25" t="s">
        <v>232</v>
      </c>
      <c r="B25" t="s">
        <v>31</v>
      </c>
      <c r="C25" t="s">
        <v>65</v>
      </c>
      <c r="D25" t="s">
        <v>233</v>
      </c>
      <c r="E25" t="s">
        <v>67</v>
      </c>
      <c r="F25" t="s">
        <v>68</v>
      </c>
      <c r="G25" t="s">
        <v>69</v>
      </c>
      <c r="H25" t="n">
        <v>39.8055124566976</v>
      </c>
      <c r="I25" t="n">
        <v>-104.933668388079</v>
      </c>
      <c r="J25" t="s">
        <v>35</v>
      </c>
      <c r="K25" t="s">
        <v>234</v>
      </c>
      <c r="L25"/>
      <c r="M25" t="n">
        <v>1977</v>
      </c>
      <c r="N25" t="n">
        <v>1990</v>
      </c>
      <c r="O25" t="s">
        <v>235</v>
      </c>
      <c r="P25" t="n">
        <v>4</v>
      </c>
      <c r="Q25" t="n">
        <v>4</v>
      </c>
      <c r="R25" t="n">
        <v>4</v>
      </c>
      <c r="S25" t="n">
        <v>1966</v>
      </c>
      <c r="T25" t="s">
        <v>236</v>
      </c>
      <c r="U25" t="s">
        <v>237</v>
      </c>
      <c r="V25" t="s">
        <v>74</v>
      </c>
      <c r="W25"/>
      <c r="X25"/>
      <c r="Y25"/>
      <c r="Z25"/>
      <c r="AA25"/>
      <c r="AB25" t="s">
        <v>238</v>
      </c>
      <c r="AC25" t="n">
        <v>152</v>
      </c>
      <c r="AD25"/>
      <c r="AE25"/>
      <c r="AF25" t="s">
        <v>239</v>
      </c>
      <c r="AG25" t="n">
        <v>51</v>
      </c>
    </row>
    <row r="26">
      <c r="A26" t="s">
        <v>240</v>
      </c>
      <c r="B26" t="s">
        <v>31</v>
      </c>
      <c r="C26" t="s">
        <v>65</v>
      </c>
      <c r="D26" t="s">
        <v>241</v>
      </c>
      <c r="E26" t="s">
        <v>118</v>
      </c>
      <c r="F26" t="s">
        <v>68</v>
      </c>
      <c r="G26" t="s">
        <v>119</v>
      </c>
      <c r="H26" t="n">
        <v>39.9272047612836</v>
      </c>
      <c r="I26" t="n">
        <v>-104.860806041561</v>
      </c>
      <c r="J26" t="s">
        <v>35</v>
      </c>
      <c r="K26" t="s">
        <v>120</v>
      </c>
      <c r="L26"/>
      <c r="M26" t="n">
        <v>1980</v>
      </c>
      <c r="N26" t="n">
        <v>1990</v>
      </c>
      <c r="O26" t="s">
        <v>242</v>
      </c>
      <c r="P26" t="n">
        <v>3</v>
      </c>
      <c r="Q26" t="n">
        <v>1</v>
      </c>
      <c r="R26" t="n">
        <v>1</v>
      </c>
      <c r="S26" t="n">
        <v>1955</v>
      </c>
      <c r="T26" t="s">
        <v>243</v>
      </c>
      <c r="U26" t="s">
        <v>244</v>
      </c>
      <c r="V26" t="s">
        <v>74</v>
      </c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245</v>
      </c>
      <c r="B27" t="s">
        <v>31</v>
      </c>
      <c r="C27" t="s">
        <v>65</v>
      </c>
      <c r="D27" t="s">
        <v>246</v>
      </c>
      <c r="E27" t="s">
        <v>79</v>
      </c>
      <c r="F27" t="s">
        <v>68</v>
      </c>
      <c r="G27" t="s">
        <v>80</v>
      </c>
      <c r="H27" t="n">
        <v>39.8092257272727</v>
      </c>
      <c r="I27" t="n">
        <v>-105.022671545455</v>
      </c>
      <c r="J27" t="s">
        <v>35</v>
      </c>
      <c r="K27" t="s">
        <v>70</v>
      </c>
      <c r="L27"/>
      <c r="M27" t="n">
        <v>1980</v>
      </c>
      <c r="N27" t="n">
        <v>1992</v>
      </c>
      <c r="O27" t="s">
        <v>247</v>
      </c>
      <c r="P27" t="n">
        <v>3</v>
      </c>
      <c r="Q27" t="n">
        <v>2</v>
      </c>
      <c r="R27" t="n">
        <v>2</v>
      </c>
      <c r="S27" t="n">
        <v>1976</v>
      </c>
      <c r="T27" t="s">
        <v>248</v>
      </c>
      <c r="U27" t="s">
        <v>249</v>
      </c>
      <c r="V27" t="s">
        <v>74</v>
      </c>
      <c r="W27"/>
      <c r="X27"/>
      <c r="Y27"/>
      <c r="Z27"/>
      <c r="AA27"/>
      <c r="AB27"/>
      <c r="AC27"/>
      <c r="AD27"/>
      <c r="AE27"/>
      <c r="AF27" t="s">
        <v>250</v>
      </c>
      <c r="AG27" t="n">
        <v>182</v>
      </c>
    </row>
    <row r="28">
      <c r="A28" t="s">
        <v>251</v>
      </c>
      <c r="B28" t="s">
        <v>31</v>
      </c>
      <c r="C28" t="s">
        <v>65</v>
      </c>
      <c r="D28" t="s">
        <v>252</v>
      </c>
      <c r="E28" t="s">
        <v>253</v>
      </c>
      <c r="F28" t="s">
        <v>68</v>
      </c>
      <c r="G28" t="s">
        <v>254</v>
      </c>
      <c r="H28" t="n">
        <v>39.8997335829192</v>
      </c>
      <c r="I28" t="n">
        <v>-104.830812997741</v>
      </c>
      <c r="J28" t="s">
        <v>35</v>
      </c>
      <c r="K28" t="s">
        <v>120</v>
      </c>
      <c r="L28"/>
      <c r="M28" t="n">
        <v>1980</v>
      </c>
      <c r="N28" t="n">
        <v>1980</v>
      </c>
      <c r="O28" t="s">
        <v>255</v>
      </c>
      <c r="P28" t="n">
        <v>1</v>
      </c>
      <c r="Q28" t="n">
        <v>1</v>
      </c>
      <c r="R28" t="n">
        <v>1</v>
      </c>
      <c r="S28" t="n">
        <v>1978</v>
      </c>
      <c r="T28" t="s">
        <v>256</v>
      </c>
      <c r="U28" t="s">
        <v>257</v>
      </c>
      <c r="V28" t="s">
        <v>74</v>
      </c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258</v>
      </c>
      <c r="B29" t="s">
        <v>31</v>
      </c>
      <c r="C29" t="s">
        <v>65</v>
      </c>
      <c r="D29" t="s">
        <v>259</v>
      </c>
      <c r="E29" t="s">
        <v>177</v>
      </c>
      <c r="F29" t="s">
        <v>68</v>
      </c>
      <c r="G29" t="s">
        <v>178</v>
      </c>
      <c r="H29" t="n">
        <v>39.8689870277778</v>
      </c>
      <c r="I29" t="n">
        <v>-105.063042861111</v>
      </c>
      <c r="J29" t="s">
        <v>35</v>
      </c>
      <c r="K29" t="s">
        <v>120</v>
      </c>
      <c r="L29"/>
      <c r="M29" t="n">
        <v>1980</v>
      </c>
      <c r="N29" t="n">
        <v>1988</v>
      </c>
      <c r="O29" t="s">
        <v>255</v>
      </c>
      <c r="P29" t="n">
        <v>3</v>
      </c>
      <c r="Q29" t="n">
        <v>3</v>
      </c>
      <c r="R29" t="n">
        <v>1</v>
      </c>
      <c r="S29" t="n">
        <v>1967</v>
      </c>
      <c r="T29" t="s">
        <v>260</v>
      </c>
      <c r="U29" t="s">
        <v>261</v>
      </c>
      <c r="V29" t="s">
        <v>74</v>
      </c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262</v>
      </c>
      <c r="B30" t="s">
        <v>31</v>
      </c>
      <c r="C30" t="s">
        <v>65</v>
      </c>
      <c r="D30" t="s">
        <v>263</v>
      </c>
      <c r="E30" t="s">
        <v>95</v>
      </c>
      <c r="F30" t="s">
        <v>68</v>
      </c>
      <c r="G30" t="s">
        <v>96</v>
      </c>
      <c r="H30" t="n">
        <v>39.7645389298228</v>
      </c>
      <c r="I30" t="n">
        <v>-104.820345920497</v>
      </c>
      <c r="J30" t="s">
        <v>35</v>
      </c>
      <c r="K30" t="s">
        <v>70</v>
      </c>
      <c r="L30"/>
      <c r="M30" t="n">
        <v>1983</v>
      </c>
      <c r="N30" t="n">
        <v>1983</v>
      </c>
      <c r="O30" t="s">
        <v>264</v>
      </c>
      <c r="P30" t="n">
        <v>1</v>
      </c>
      <c r="Q30" t="n">
        <v>1</v>
      </c>
      <c r="R30" t="n">
        <v>1</v>
      </c>
      <c r="S30" t="n">
        <v>1976</v>
      </c>
      <c r="T30" t="s">
        <v>265</v>
      </c>
      <c r="U30" t="s">
        <v>266</v>
      </c>
      <c r="V30" t="s">
        <v>74</v>
      </c>
      <c r="W30"/>
      <c r="X30"/>
      <c r="Y30"/>
      <c r="Z30"/>
      <c r="AA30"/>
      <c r="AB30"/>
      <c r="AC30"/>
      <c r="AD30"/>
      <c r="AE30"/>
      <c r="AF30" t="s">
        <v>267</v>
      </c>
      <c r="AG30" t="n">
        <v>45</v>
      </c>
    </row>
    <row r="31">
      <c r="A31" t="s">
        <v>268</v>
      </c>
      <c r="B31" t="s">
        <v>31</v>
      </c>
      <c r="C31" t="s">
        <v>65</v>
      </c>
      <c r="D31" t="s">
        <v>269</v>
      </c>
      <c r="E31" t="s">
        <v>95</v>
      </c>
      <c r="F31" t="s">
        <v>68</v>
      </c>
      <c r="G31" t="s">
        <v>96</v>
      </c>
      <c r="H31" t="n">
        <v>39.7451307080897</v>
      </c>
      <c r="I31" t="n">
        <v>-104.805856087628</v>
      </c>
      <c r="J31" t="s">
        <v>35</v>
      </c>
      <c r="K31" t="s">
        <v>270</v>
      </c>
      <c r="L31"/>
      <c r="M31" t="n">
        <v>1983</v>
      </c>
      <c r="N31" t="n">
        <v>1990</v>
      </c>
      <c r="O31" t="s">
        <v>271</v>
      </c>
      <c r="P31" t="n">
        <v>3</v>
      </c>
      <c r="Q31" t="n">
        <v>3</v>
      </c>
      <c r="R31" t="n">
        <v>2</v>
      </c>
      <c r="S31" t="n">
        <v>1973</v>
      </c>
      <c r="T31" t="s">
        <v>272</v>
      </c>
      <c r="U31" t="s">
        <v>273</v>
      </c>
      <c r="V31" t="s">
        <v>74</v>
      </c>
      <c r="W31"/>
      <c r="X31"/>
      <c r="Y31"/>
      <c r="Z31"/>
      <c r="AA31"/>
      <c r="AB31"/>
      <c r="AC31"/>
      <c r="AD31"/>
      <c r="AE31"/>
      <c r="AF31" t="s">
        <v>274</v>
      </c>
      <c r="AG31" t="n">
        <v>109</v>
      </c>
    </row>
    <row r="32">
      <c r="A32" t="s">
        <v>275</v>
      </c>
      <c r="B32" t="s">
        <v>31</v>
      </c>
      <c r="C32" t="s">
        <v>65</v>
      </c>
      <c r="D32" t="s">
        <v>276</v>
      </c>
      <c r="E32" t="s">
        <v>67</v>
      </c>
      <c r="F32" t="s">
        <v>68</v>
      </c>
      <c r="G32" t="s">
        <v>69</v>
      </c>
      <c r="H32" t="n">
        <v>39.7863764983432</v>
      </c>
      <c r="I32" t="n">
        <v>-104.906928838535</v>
      </c>
      <c r="J32" t="s">
        <v>35</v>
      </c>
      <c r="K32" t="s">
        <v>120</v>
      </c>
      <c r="L32"/>
      <c r="M32" t="n">
        <v>1983</v>
      </c>
      <c r="N32" t="n">
        <v>1983</v>
      </c>
      <c r="O32" t="s">
        <v>264</v>
      </c>
      <c r="P32" t="n">
        <v>1</v>
      </c>
      <c r="Q32" t="n">
        <v>1</v>
      </c>
      <c r="R32" t="n">
        <v>1</v>
      </c>
      <c r="S32" t="n">
        <v>1982</v>
      </c>
      <c r="T32" t="s">
        <v>277</v>
      </c>
      <c r="U32" t="s">
        <v>278</v>
      </c>
      <c r="V32" t="s">
        <v>74</v>
      </c>
      <c r="W32"/>
      <c r="X32"/>
      <c r="Y32"/>
      <c r="Z32"/>
      <c r="AA32"/>
      <c r="AB32"/>
      <c r="AC32"/>
      <c r="AD32"/>
      <c r="AE32"/>
      <c r="AF32" t="s">
        <v>279</v>
      </c>
      <c r="AG32" t="n">
        <v>100</v>
      </c>
    </row>
    <row r="33">
      <c r="A33" t="s">
        <v>280</v>
      </c>
      <c r="B33" t="s">
        <v>31</v>
      </c>
      <c r="C33" t="s">
        <v>65</v>
      </c>
      <c r="D33" t="s">
        <v>281</v>
      </c>
      <c r="E33" t="s">
        <v>253</v>
      </c>
      <c r="F33" t="s">
        <v>68</v>
      </c>
      <c r="G33" t="s">
        <v>254</v>
      </c>
      <c r="H33" t="n">
        <v>39.8707428543689</v>
      </c>
      <c r="I33" t="n">
        <v>-104.873651941748</v>
      </c>
      <c r="J33" t="s">
        <v>35</v>
      </c>
      <c r="K33" t="s">
        <v>282</v>
      </c>
      <c r="L33" t="s">
        <v>98</v>
      </c>
      <c r="M33" t="n">
        <v>1983</v>
      </c>
      <c r="N33" t="n">
        <v>1988</v>
      </c>
      <c r="O33" t="s">
        <v>283</v>
      </c>
      <c r="P33" t="n">
        <v>2</v>
      </c>
      <c r="Q33" t="n">
        <v>2</v>
      </c>
      <c r="R33" t="n">
        <v>2</v>
      </c>
      <c r="S33" t="n">
        <v>1980</v>
      </c>
      <c r="T33" t="s">
        <v>284</v>
      </c>
      <c r="U33" t="s">
        <v>285</v>
      </c>
      <c r="V33" t="s">
        <v>74</v>
      </c>
      <c r="W33"/>
      <c r="X33"/>
      <c r="Y33"/>
      <c r="Z33"/>
      <c r="AA33"/>
      <c r="AB33"/>
      <c r="AC33"/>
      <c r="AD33"/>
      <c r="AE33"/>
      <c r="AF33" t="s">
        <v>286</v>
      </c>
      <c r="AG33" t="n">
        <v>207</v>
      </c>
    </row>
    <row r="34">
      <c r="A34" t="s">
        <v>287</v>
      </c>
      <c r="B34" t="s">
        <v>31</v>
      </c>
      <c r="C34" t="s">
        <v>65</v>
      </c>
      <c r="D34" t="s">
        <v>288</v>
      </c>
      <c r="E34" t="s">
        <v>253</v>
      </c>
      <c r="F34" t="s">
        <v>68</v>
      </c>
      <c r="G34" t="s">
        <v>254</v>
      </c>
      <c r="H34" t="n">
        <v>39.917967969222</v>
      </c>
      <c r="I34" t="n">
        <v>-104.867832063743</v>
      </c>
      <c r="J34" t="s">
        <v>35</v>
      </c>
      <c r="K34" t="s">
        <v>220</v>
      </c>
      <c r="L34"/>
      <c r="M34" t="n">
        <v>1983</v>
      </c>
      <c r="N34" t="n">
        <v>1990</v>
      </c>
      <c r="O34" t="s">
        <v>271</v>
      </c>
      <c r="P34" t="n">
        <v>3</v>
      </c>
      <c r="Q34" t="n">
        <v>3</v>
      </c>
      <c r="R34" t="n">
        <v>3</v>
      </c>
      <c r="S34" t="n">
        <v>1965</v>
      </c>
      <c r="T34" t="s">
        <v>289</v>
      </c>
      <c r="U34" t="s">
        <v>290</v>
      </c>
      <c r="V34" t="s">
        <v>74</v>
      </c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291</v>
      </c>
      <c r="B35" t="s">
        <v>31</v>
      </c>
      <c r="C35" t="s">
        <v>65</v>
      </c>
      <c r="D35" t="s">
        <v>292</v>
      </c>
      <c r="E35" t="s">
        <v>170</v>
      </c>
      <c r="F35" t="s">
        <v>68</v>
      </c>
      <c r="G35" t="s">
        <v>171</v>
      </c>
      <c r="H35" t="n">
        <v>39.8959612052751</v>
      </c>
      <c r="I35" t="n">
        <v>-104.963718611541</v>
      </c>
      <c r="J35" t="s">
        <v>35</v>
      </c>
      <c r="K35" t="s">
        <v>70</v>
      </c>
      <c r="L35"/>
      <c r="M35" t="n">
        <v>1983</v>
      </c>
      <c r="N35" t="n">
        <v>1990</v>
      </c>
      <c r="O35" t="s">
        <v>293</v>
      </c>
      <c r="P35" t="n">
        <v>2</v>
      </c>
      <c r="Q35" t="n">
        <v>1</v>
      </c>
      <c r="R35" t="n">
        <v>1</v>
      </c>
      <c r="S35" t="n">
        <v>1967</v>
      </c>
      <c r="T35" t="s">
        <v>294</v>
      </c>
      <c r="U35" t="s">
        <v>295</v>
      </c>
      <c r="V35" t="s">
        <v>74</v>
      </c>
      <c r="W35"/>
      <c r="X35"/>
      <c r="Y35"/>
      <c r="Z35"/>
      <c r="AA35"/>
      <c r="AB35"/>
      <c r="AC35"/>
      <c r="AD35" t="s">
        <v>296</v>
      </c>
      <c r="AE35" t="n">
        <v>107</v>
      </c>
      <c r="AF35" t="s">
        <v>297</v>
      </c>
      <c r="AG35" t="n">
        <v>77</v>
      </c>
    </row>
    <row r="36">
      <c r="A36" t="s">
        <v>298</v>
      </c>
      <c r="B36" t="s">
        <v>31</v>
      </c>
      <c r="C36" t="s">
        <v>65</v>
      </c>
      <c r="D36" t="s">
        <v>299</v>
      </c>
      <c r="E36" t="s">
        <v>170</v>
      </c>
      <c r="F36" t="s">
        <v>68</v>
      </c>
      <c r="G36" t="s">
        <v>171</v>
      </c>
      <c r="H36" t="n">
        <v>39.897192</v>
      </c>
      <c r="I36" t="n">
        <v>-104.966318</v>
      </c>
      <c r="J36" t="s">
        <v>35</v>
      </c>
      <c r="K36" t="s">
        <v>133</v>
      </c>
      <c r="L36"/>
      <c r="M36" t="n">
        <v>1983</v>
      </c>
      <c r="N36" t="n">
        <v>1992</v>
      </c>
      <c r="O36" t="s">
        <v>283</v>
      </c>
      <c r="P36" t="n">
        <v>4</v>
      </c>
      <c r="Q36" t="n">
        <v>2</v>
      </c>
      <c r="R36" t="n">
        <v>2</v>
      </c>
      <c r="S36" t="n">
        <v>1967</v>
      </c>
      <c r="T36" t="s">
        <v>300</v>
      </c>
      <c r="U36" t="s">
        <v>301</v>
      </c>
      <c r="V36" t="s">
        <v>74</v>
      </c>
      <c r="W36"/>
      <c r="X36"/>
      <c r="Y36"/>
      <c r="Z36"/>
      <c r="AA36"/>
      <c r="AB36"/>
      <c r="AC36"/>
      <c r="AD36"/>
      <c r="AE36"/>
      <c r="AF36" t="s">
        <v>302</v>
      </c>
      <c r="AG36" t="n">
        <v>67</v>
      </c>
    </row>
    <row r="37">
      <c r="A37" t="s">
        <v>303</v>
      </c>
      <c r="B37" t="s">
        <v>31</v>
      </c>
      <c r="C37" t="s">
        <v>65</v>
      </c>
      <c r="D37" t="s">
        <v>304</v>
      </c>
      <c r="E37" t="s">
        <v>79</v>
      </c>
      <c r="F37" t="s">
        <v>68</v>
      </c>
      <c r="G37" t="s">
        <v>80</v>
      </c>
      <c r="H37" t="n">
        <v>39.7859869789944</v>
      </c>
      <c r="I37" t="n">
        <v>-105.016994992646</v>
      </c>
      <c r="J37" t="s">
        <v>35</v>
      </c>
      <c r="K37" t="s">
        <v>141</v>
      </c>
      <c r="L37"/>
      <c r="M37" t="n">
        <v>1983</v>
      </c>
      <c r="N37" t="n">
        <v>1983</v>
      </c>
      <c r="O37" t="s">
        <v>264</v>
      </c>
      <c r="P37" t="n">
        <v>1</v>
      </c>
      <c r="Q37" t="n">
        <v>1</v>
      </c>
      <c r="R37" t="n">
        <v>1</v>
      </c>
      <c r="S37" t="n">
        <v>1962</v>
      </c>
      <c r="T37" t="s">
        <v>305</v>
      </c>
      <c r="U37" t="s">
        <v>306</v>
      </c>
      <c r="V37" t="s">
        <v>74</v>
      </c>
      <c r="W37"/>
      <c r="X37"/>
      <c r="Y37"/>
      <c r="Z37"/>
      <c r="AA37"/>
      <c r="AB37"/>
      <c r="AC37"/>
      <c r="AD37"/>
      <c r="AE37"/>
      <c r="AF37" t="s">
        <v>307</v>
      </c>
      <c r="AG37" t="n">
        <v>100</v>
      </c>
    </row>
    <row r="38">
      <c r="A38" t="s">
        <v>308</v>
      </c>
      <c r="B38" t="s">
        <v>31</v>
      </c>
      <c r="C38" t="s">
        <v>65</v>
      </c>
      <c r="D38" t="s">
        <v>309</v>
      </c>
      <c r="E38" t="s">
        <v>95</v>
      </c>
      <c r="F38" t="s">
        <v>68</v>
      </c>
      <c r="G38" t="s">
        <v>96</v>
      </c>
      <c r="H38" t="n">
        <v>39.7268847906095</v>
      </c>
      <c r="I38" t="n">
        <v>-104.815227431139</v>
      </c>
      <c r="J38" t="s">
        <v>35</v>
      </c>
      <c r="K38" t="s">
        <v>70</v>
      </c>
      <c r="L38"/>
      <c r="M38" t="n">
        <v>1988</v>
      </c>
      <c r="N38" t="n">
        <v>1990</v>
      </c>
      <c r="O38" t="s">
        <v>310</v>
      </c>
      <c r="P38" t="n">
        <v>2</v>
      </c>
      <c r="Q38" t="n">
        <v>2</v>
      </c>
      <c r="R38" t="n">
        <v>2</v>
      </c>
      <c r="S38" t="n">
        <v>1983</v>
      </c>
      <c r="T38" t="s">
        <v>311</v>
      </c>
      <c r="U38" t="s">
        <v>312</v>
      </c>
      <c r="V38" t="s">
        <v>74</v>
      </c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313</v>
      </c>
      <c r="B39" t="s">
        <v>31</v>
      </c>
      <c r="C39" t="s">
        <v>65</v>
      </c>
      <c r="D39" t="s">
        <v>314</v>
      </c>
      <c r="E39" t="s">
        <v>118</v>
      </c>
      <c r="F39" t="s">
        <v>68</v>
      </c>
      <c r="G39" t="s">
        <v>119</v>
      </c>
      <c r="H39" t="n">
        <v>39.96508925</v>
      </c>
      <c r="I39" t="n">
        <v>-104.832147625</v>
      </c>
      <c r="J39" t="s">
        <v>35</v>
      </c>
      <c r="K39" t="s">
        <v>315</v>
      </c>
      <c r="L39"/>
      <c r="M39" t="n">
        <v>1988</v>
      </c>
      <c r="N39" t="n">
        <v>1990</v>
      </c>
      <c r="O39" t="s">
        <v>310</v>
      </c>
      <c r="P39" t="n">
        <v>2</v>
      </c>
      <c r="Q39" t="n">
        <v>2</v>
      </c>
      <c r="R39" t="n">
        <v>2</v>
      </c>
      <c r="S39" t="n">
        <v>1970</v>
      </c>
      <c r="T39" t="s">
        <v>316</v>
      </c>
      <c r="U39" t="s">
        <v>317</v>
      </c>
      <c r="V39" t="s">
        <v>74</v>
      </c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318</v>
      </c>
      <c r="B40" t="s">
        <v>31</v>
      </c>
      <c r="C40" t="s">
        <v>65</v>
      </c>
      <c r="D40" t="s">
        <v>319</v>
      </c>
      <c r="E40" t="s">
        <v>67</v>
      </c>
      <c r="F40" t="s">
        <v>68</v>
      </c>
      <c r="G40" t="s">
        <v>69</v>
      </c>
      <c r="H40" t="n">
        <v>39.8515982066683</v>
      </c>
      <c r="I40" t="n">
        <v>-104.891172115956</v>
      </c>
      <c r="J40" t="s">
        <v>35</v>
      </c>
      <c r="K40" t="s">
        <v>120</v>
      </c>
      <c r="L40"/>
      <c r="M40" t="n">
        <v>1988</v>
      </c>
      <c r="N40" t="n">
        <v>1992</v>
      </c>
      <c r="O40" t="s">
        <v>320</v>
      </c>
      <c r="P40" t="n">
        <v>3</v>
      </c>
      <c r="Q40" t="n">
        <v>1</v>
      </c>
      <c r="R40" t="n">
        <v>1</v>
      </c>
      <c r="S40" t="n">
        <v>1978</v>
      </c>
      <c r="T40" t="s">
        <v>321</v>
      </c>
      <c r="U40" t="s">
        <v>322</v>
      </c>
      <c r="V40" t="s">
        <v>74</v>
      </c>
      <c r="W40"/>
      <c r="X40"/>
      <c r="Y40"/>
      <c r="Z40"/>
      <c r="AA40"/>
      <c r="AB40"/>
      <c r="AC40"/>
      <c r="AD40"/>
      <c r="AE40"/>
      <c r="AF40"/>
      <c r="AG40"/>
    </row>
    <row r="41">
      <c r="A41" t="s">
        <v>323</v>
      </c>
      <c r="B41" t="s">
        <v>31</v>
      </c>
      <c r="C41" t="s">
        <v>65</v>
      </c>
      <c r="D41" t="s">
        <v>324</v>
      </c>
      <c r="E41" t="s">
        <v>79</v>
      </c>
      <c r="F41" t="s">
        <v>68</v>
      </c>
      <c r="G41" t="s">
        <v>80</v>
      </c>
      <c r="H41" t="n">
        <v>39.803094</v>
      </c>
      <c r="I41" t="n">
        <v>-105.034696</v>
      </c>
      <c r="J41" t="s">
        <v>35</v>
      </c>
      <c r="K41" t="s">
        <v>70</v>
      </c>
      <c r="L41"/>
      <c r="M41" t="n">
        <v>1988</v>
      </c>
      <c r="N41" t="n">
        <v>1988</v>
      </c>
      <c r="O41" t="s">
        <v>325</v>
      </c>
      <c r="P41" t="n">
        <v>1</v>
      </c>
      <c r="Q41" t="n">
        <v>1</v>
      </c>
      <c r="R41" t="n">
        <v>1</v>
      </c>
      <c r="S41" t="n">
        <v>1969</v>
      </c>
      <c r="T41" t="s">
        <v>326</v>
      </c>
      <c r="U41" t="s">
        <v>327</v>
      </c>
      <c r="V41" t="s">
        <v>74</v>
      </c>
      <c r="W41"/>
      <c r="X41"/>
      <c r="Y41"/>
      <c r="Z41"/>
      <c r="AA41"/>
      <c r="AB41"/>
      <c r="AC41"/>
      <c r="AD41"/>
      <c r="AE41"/>
      <c r="AF41"/>
      <c r="AG41"/>
    </row>
    <row r="42">
      <c r="A42" t="s">
        <v>328</v>
      </c>
      <c r="B42" t="s">
        <v>31</v>
      </c>
      <c r="C42" t="s">
        <v>65</v>
      </c>
      <c r="D42" t="s">
        <v>329</v>
      </c>
      <c r="E42" t="s">
        <v>79</v>
      </c>
      <c r="F42" t="s">
        <v>68</v>
      </c>
      <c r="G42" t="s">
        <v>80</v>
      </c>
      <c r="H42" t="n">
        <v>39.8128255554107</v>
      </c>
      <c r="I42" t="n">
        <v>-105.023535870488</v>
      </c>
      <c r="J42" t="s">
        <v>35</v>
      </c>
      <c r="K42" t="s">
        <v>70</v>
      </c>
      <c r="L42"/>
      <c r="M42" t="n">
        <v>1988</v>
      </c>
      <c r="N42" t="n">
        <v>1990</v>
      </c>
      <c r="O42" t="s">
        <v>310</v>
      </c>
      <c r="P42" t="n">
        <v>2</v>
      </c>
      <c r="Q42" t="n">
        <v>1</v>
      </c>
      <c r="R42" t="n">
        <v>1</v>
      </c>
      <c r="S42" t="n">
        <v>1977</v>
      </c>
      <c r="T42" t="s">
        <v>330</v>
      </c>
      <c r="U42" t="s">
        <v>331</v>
      </c>
      <c r="V42" t="s">
        <v>74</v>
      </c>
      <c r="W42"/>
      <c r="X42"/>
      <c r="Y42"/>
      <c r="Z42"/>
      <c r="AA42"/>
      <c r="AB42"/>
      <c r="AC42"/>
      <c r="AD42"/>
      <c r="AE42"/>
      <c r="AF42" t="s">
        <v>332</v>
      </c>
      <c r="AG42" t="n">
        <v>47</v>
      </c>
    </row>
    <row r="43">
      <c r="A43" t="s">
        <v>333</v>
      </c>
      <c r="B43" t="s">
        <v>31</v>
      </c>
      <c r="C43" t="s">
        <v>65</v>
      </c>
      <c r="D43" t="s">
        <v>334</v>
      </c>
      <c r="E43" t="s">
        <v>79</v>
      </c>
      <c r="F43" t="s">
        <v>68</v>
      </c>
      <c r="G43" t="s">
        <v>80</v>
      </c>
      <c r="H43" t="n">
        <v>39.8374918086524</v>
      </c>
      <c r="I43" t="n">
        <v>-104.987750128557</v>
      </c>
      <c r="J43" t="s">
        <v>35</v>
      </c>
      <c r="K43" t="s">
        <v>70</v>
      </c>
      <c r="L43"/>
      <c r="M43" t="n">
        <v>1988</v>
      </c>
      <c r="N43" t="n">
        <v>1988</v>
      </c>
      <c r="O43" t="s">
        <v>325</v>
      </c>
      <c r="P43" t="n">
        <v>1</v>
      </c>
      <c r="Q43" t="n">
        <v>1</v>
      </c>
      <c r="R43" t="n">
        <v>1</v>
      </c>
      <c r="S43" t="n">
        <v>1976</v>
      </c>
      <c r="T43" t="s">
        <v>335</v>
      </c>
      <c r="U43" t="s">
        <v>336</v>
      </c>
      <c r="V43" t="s">
        <v>74</v>
      </c>
      <c r="W43"/>
      <c r="X43"/>
      <c r="Y43"/>
      <c r="Z43"/>
      <c r="AA43"/>
      <c r="AB43"/>
      <c r="AC43"/>
      <c r="AD43"/>
      <c r="AE43"/>
      <c r="AF43" t="s">
        <v>337</v>
      </c>
      <c r="AG43" t="n">
        <v>188</v>
      </c>
    </row>
    <row r="44">
      <c r="A44" t="s">
        <v>338</v>
      </c>
      <c r="B44" t="s">
        <v>31</v>
      </c>
      <c r="C44" t="s">
        <v>65</v>
      </c>
      <c r="D44" t="s">
        <v>339</v>
      </c>
      <c r="E44" t="s">
        <v>161</v>
      </c>
      <c r="F44" t="s">
        <v>68</v>
      </c>
      <c r="G44" t="s">
        <v>340</v>
      </c>
      <c r="H44" t="n">
        <v>39.9295052197508</v>
      </c>
      <c r="I44" t="n">
        <v>-104.958399471202</v>
      </c>
      <c r="J44" t="s">
        <v>35</v>
      </c>
      <c r="K44" t="s">
        <v>120</v>
      </c>
      <c r="L44"/>
      <c r="M44" t="n">
        <v>1988</v>
      </c>
      <c r="N44" t="n">
        <v>1988</v>
      </c>
      <c r="O44" t="s">
        <v>325</v>
      </c>
      <c r="P44" t="n">
        <v>1</v>
      </c>
      <c r="Q44" t="n">
        <v>1</v>
      </c>
      <c r="R44" t="n">
        <v>1</v>
      </c>
      <c r="S44" t="n">
        <v>1962</v>
      </c>
      <c r="T44" t="s">
        <v>341</v>
      </c>
      <c r="U44" t="s">
        <v>342</v>
      </c>
      <c r="V44" t="s">
        <v>74</v>
      </c>
      <c r="W44"/>
      <c r="X44"/>
      <c r="Y44"/>
      <c r="Z44"/>
      <c r="AA44"/>
      <c r="AB44"/>
      <c r="AC44"/>
      <c r="AD44"/>
      <c r="AE44"/>
      <c r="AF44"/>
      <c r="AG44"/>
    </row>
    <row r="45">
      <c r="A45" t="s">
        <v>343</v>
      </c>
      <c r="B45" t="s">
        <v>31</v>
      </c>
      <c r="C45" t="s">
        <v>65</v>
      </c>
      <c r="D45" t="s">
        <v>344</v>
      </c>
      <c r="E45" t="s">
        <v>177</v>
      </c>
      <c r="F45" t="s">
        <v>68</v>
      </c>
      <c r="G45" t="s">
        <v>178</v>
      </c>
      <c r="H45" t="n">
        <v>39.8698392173618</v>
      </c>
      <c r="I45" t="n">
        <v>-105.027332828358</v>
      </c>
      <c r="J45" t="s">
        <v>35</v>
      </c>
      <c r="K45" t="s">
        <v>120</v>
      </c>
      <c r="L45"/>
      <c r="M45" t="n">
        <v>1988</v>
      </c>
      <c r="N45" t="n">
        <v>1992</v>
      </c>
      <c r="O45" t="s">
        <v>325</v>
      </c>
      <c r="P45" t="n">
        <v>3</v>
      </c>
      <c r="Q45" t="n">
        <v>2</v>
      </c>
      <c r="R45" t="n">
        <v>1</v>
      </c>
      <c r="S45" t="n">
        <v>1963</v>
      </c>
      <c r="T45" t="s">
        <v>345</v>
      </c>
      <c r="U45" t="s">
        <v>346</v>
      </c>
      <c r="V45" t="s">
        <v>74</v>
      </c>
      <c r="W45"/>
      <c r="X45"/>
      <c r="Y45"/>
      <c r="Z45"/>
      <c r="AA45"/>
      <c r="AB45" t="s">
        <v>347</v>
      </c>
      <c r="AC45" t="n">
        <v>224</v>
      </c>
      <c r="AD45"/>
      <c r="AE45"/>
      <c r="AF45" t="s">
        <v>348</v>
      </c>
      <c r="AG45" t="n">
        <v>194</v>
      </c>
    </row>
    <row r="46">
      <c r="A46" t="s">
        <v>349</v>
      </c>
      <c r="B46" t="s">
        <v>31</v>
      </c>
      <c r="C46" t="s">
        <v>65</v>
      </c>
      <c r="D46" t="s">
        <v>350</v>
      </c>
      <c r="E46" t="s">
        <v>118</v>
      </c>
      <c r="F46" t="s">
        <v>68</v>
      </c>
      <c r="G46" t="s">
        <v>119</v>
      </c>
      <c r="H46" t="n">
        <v>39.9889296938776</v>
      </c>
      <c r="I46" t="n">
        <v>-104.819163122449</v>
      </c>
      <c r="J46" t="s">
        <v>35</v>
      </c>
      <c r="K46" t="s">
        <v>120</v>
      </c>
      <c r="L46"/>
      <c r="M46" t="n">
        <v>1990</v>
      </c>
      <c r="N46" t="n">
        <v>1990</v>
      </c>
      <c r="O46" t="s">
        <v>351</v>
      </c>
      <c r="P46" t="n">
        <v>1</v>
      </c>
      <c r="Q46" t="n">
        <v>2</v>
      </c>
      <c r="R46" t="n">
        <v>1</v>
      </c>
      <c r="S46" t="n">
        <v>1970</v>
      </c>
      <c r="T46" t="s">
        <v>352</v>
      </c>
      <c r="U46" t="s">
        <v>353</v>
      </c>
      <c r="V46" t="s">
        <v>74</v>
      </c>
      <c r="W46"/>
      <c r="X46"/>
      <c r="Y46"/>
      <c r="Z46"/>
      <c r="AA46"/>
      <c r="AB46" t="s">
        <v>354</v>
      </c>
      <c r="AC46" t="n">
        <v>195</v>
      </c>
      <c r="AD46"/>
      <c r="AE46"/>
      <c r="AF46"/>
      <c r="AG46"/>
    </row>
    <row r="47">
      <c r="A47" t="s">
        <v>355</v>
      </c>
      <c r="B47" t="s">
        <v>31</v>
      </c>
      <c r="C47" t="s">
        <v>65</v>
      </c>
      <c r="D47" t="s">
        <v>356</v>
      </c>
      <c r="E47" t="s">
        <v>67</v>
      </c>
      <c r="F47" t="s">
        <v>68</v>
      </c>
      <c r="G47" t="s">
        <v>69</v>
      </c>
      <c r="H47" t="n">
        <v>39.8014685151515</v>
      </c>
      <c r="I47" t="n">
        <v>-104.930399969697</v>
      </c>
      <c r="J47" t="s">
        <v>35</v>
      </c>
      <c r="K47" t="s">
        <v>141</v>
      </c>
      <c r="L47"/>
      <c r="M47" t="n">
        <v>1990</v>
      </c>
      <c r="N47" t="n">
        <v>1992</v>
      </c>
      <c r="O47" t="s">
        <v>357</v>
      </c>
      <c r="P47" t="n">
        <v>2</v>
      </c>
      <c r="Q47" t="n">
        <v>2</v>
      </c>
      <c r="R47" t="n">
        <v>2</v>
      </c>
      <c r="S47" t="n">
        <v>1989</v>
      </c>
      <c r="T47" t="s">
        <v>358</v>
      </c>
      <c r="U47" t="s">
        <v>359</v>
      </c>
      <c r="V47" t="s">
        <v>74</v>
      </c>
      <c r="W47"/>
      <c r="X47"/>
      <c r="Y47"/>
      <c r="Z47"/>
      <c r="AA47"/>
      <c r="AB47" t="s">
        <v>157</v>
      </c>
      <c r="AC47" t="n">
        <v>195</v>
      </c>
      <c r="AD47"/>
      <c r="AE47"/>
      <c r="AF47" t="s">
        <v>360</v>
      </c>
      <c r="AG47" t="n">
        <v>105</v>
      </c>
    </row>
    <row r="48">
      <c r="A48" t="s">
        <v>361</v>
      </c>
      <c r="B48" t="s">
        <v>31</v>
      </c>
      <c r="C48" t="s">
        <v>65</v>
      </c>
      <c r="D48" t="s">
        <v>362</v>
      </c>
      <c r="E48" t="s">
        <v>67</v>
      </c>
      <c r="F48" t="s">
        <v>68</v>
      </c>
      <c r="G48" t="s">
        <v>69</v>
      </c>
      <c r="H48" t="n">
        <v>39.7852452244898</v>
      </c>
      <c r="I48" t="n">
        <v>-104.908871959184</v>
      </c>
      <c r="J48" t="s">
        <v>35</v>
      </c>
      <c r="K48" t="s">
        <v>201</v>
      </c>
      <c r="L48"/>
      <c r="M48" t="n">
        <v>1990</v>
      </c>
      <c r="N48" t="n">
        <v>1992</v>
      </c>
      <c r="O48" t="s">
        <v>357</v>
      </c>
      <c r="P48" t="n">
        <v>2</v>
      </c>
      <c r="Q48" t="n">
        <v>2</v>
      </c>
      <c r="R48" t="n">
        <v>2</v>
      </c>
      <c r="S48" t="n">
        <v>1962</v>
      </c>
      <c r="T48" t="s">
        <v>363</v>
      </c>
      <c r="U48" t="s">
        <v>364</v>
      </c>
      <c r="V48" t="s">
        <v>74</v>
      </c>
      <c r="W48"/>
      <c r="X48"/>
      <c r="Y48"/>
      <c r="Z48"/>
      <c r="AA48"/>
      <c r="AB48" t="s">
        <v>150</v>
      </c>
      <c r="AC48" t="n">
        <v>231</v>
      </c>
      <c r="AD48"/>
      <c r="AE48"/>
      <c r="AF48" t="s">
        <v>365</v>
      </c>
      <c r="AG48" t="n">
        <v>52</v>
      </c>
    </row>
    <row r="49">
      <c r="A49" t="s">
        <v>366</v>
      </c>
      <c r="B49" t="s">
        <v>31</v>
      </c>
      <c r="C49" t="s">
        <v>65</v>
      </c>
      <c r="D49" t="s">
        <v>367</v>
      </c>
      <c r="E49" t="s">
        <v>161</v>
      </c>
      <c r="F49" t="s">
        <v>68</v>
      </c>
      <c r="G49" t="s">
        <v>162</v>
      </c>
      <c r="H49" t="n">
        <v>39.8237555529848</v>
      </c>
      <c r="I49" t="n">
        <v>-104.980473919394</v>
      </c>
      <c r="J49" t="s">
        <v>35</v>
      </c>
      <c r="K49" t="s">
        <v>120</v>
      </c>
      <c r="L49"/>
      <c r="M49" t="n">
        <v>1990</v>
      </c>
      <c r="N49" t="n">
        <v>1992</v>
      </c>
      <c r="O49" t="s">
        <v>357</v>
      </c>
      <c r="P49" t="n">
        <v>2</v>
      </c>
      <c r="Q49" t="n">
        <v>2</v>
      </c>
      <c r="R49" t="n">
        <v>1</v>
      </c>
      <c r="S49" t="n">
        <v>1983</v>
      </c>
      <c r="T49" t="s">
        <v>368</v>
      </c>
      <c r="U49" t="s">
        <v>369</v>
      </c>
      <c r="V49" t="s">
        <v>74</v>
      </c>
      <c r="W49"/>
      <c r="X49"/>
      <c r="Y49"/>
      <c r="Z49"/>
      <c r="AA49"/>
      <c r="AB49"/>
      <c r="AC49"/>
      <c r="AD49"/>
      <c r="AE49"/>
      <c r="AF49" t="s">
        <v>370</v>
      </c>
      <c r="AG49" t="n">
        <v>102</v>
      </c>
    </row>
    <row r="50">
      <c r="A50" t="s">
        <v>371</v>
      </c>
      <c r="B50" t="s">
        <v>31</v>
      </c>
      <c r="C50" t="s">
        <v>65</v>
      </c>
      <c r="D50" t="s">
        <v>372</v>
      </c>
      <c r="E50" t="s">
        <v>161</v>
      </c>
      <c r="F50" t="s">
        <v>68</v>
      </c>
      <c r="G50" t="s">
        <v>162</v>
      </c>
      <c r="H50" t="n">
        <v>39.875008606531</v>
      </c>
      <c r="I50" t="n">
        <v>-104.948238811265</v>
      </c>
      <c r="J50" t="s">
        <v>35</v>
      </c>
      <c r="K50" t="s">
        <v>120</v>
      </c>
      <c r="L50"/>
      <c r="M50" t="n">
        <v>1990</v>
      </c>
      <c r="N50" t="n">
        <v>1990</v>
      </c>
      <c r="O50" t="s">
        <v>351</v>
      </c>
      <c r="P50" t="n">
        <v>1</v>
      </c>
      <c r="Q50" t="n">
        <v>1</v>
      </c>
      <c r="R50" t="n">
        <v>1</v>
      </c>
      <c r="S50" t="n">
        <v>1987</v>
      </c>
      <c r="T50" t="s">
        <v>373</v>
      </c>
      <c r="U50" t="s">
        <v>374</v>
      </c>
      <c r="V50" t="s">
        <v>74</v>
      </c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375</v>
      </c>
      <c r="B51" t="s">
        <v>31</v>
      </c>
      <c r="C51" t="s">
        <v>65</v>
      </c>
      <c r="D51" t="s">
        <v>376</v>
      </c>
      <c r="E51" t="s">
        <v>377</v>
      </c>
      <c r="F51" t="s">
        <v>378</v>
      </c>
      <c r="G51" t="s">
        <v>379</v>
      </c>
      <c r="H51" t="n">
        <v>37.4671142908479</v>
      </c>
      <c r="I51" t="n">
        <v>-105.870326811707</v>
      </c>
      <c r="J51" t="s">
        <v>35</v>
      </c>
      <c r="K51" t="s">
        <v>126</v>
      </c>
      <c r="L51"/>
      <c r="M51" t="n">
        <v>1968</v>
      </c>
      <c r="N51" t="n">
        <v>1992</v>
      </c>
      <c r="O51" t="s">
        <v>380</v>
      </c>
      <c r="P51" t="n">
        <v>7</v>
      </c>
      <c r="Q51" t="n">
        <v>3</v>
      </c>
      <c r="R51" t="n">
        <v>2</v>
      </c>
      <c r="S51" t="n">
        <v>1958</v>
      </c>
      <c r="T51" t="s">
        <v>381</v>
      </c>
      <c r="U51" t="s">
        <v>382</v>
      </c>
      <c r="V51" t="s">
        <v>74</v>
      </c>
      <c r="W51"/>
      <c r="X51"/>
      <c r="Y51"/>
      <c r="Z51"/>
      <c r="AA51"/>
      <c r="AB51"/>
      <c r="AC51"/>
      <c r="AD51"/>
      <c r="AE51"/>
      <c r="AF51" t="s">
        <v>383</v>
      </c>
      <c r="AG51" t="n">
        <v>96</v>
      </c>
    </row>
    <row r="52">
      <c r="A52" t="s">
        <v>384</v>
      </c>
      <c r="B52" t="s">
        <v>31</v>
      </c>
      <c r="C52" t="s">
        <v>65</v>
      </c>
      <c r="D52" t="s">
        <v>385</v>
      </c>
      <c r="E52" t="s">
        <v>386</v>
      </c>
      <c r="F52" t="s">
        <v>387</v>
      </c>
      <c r="G52"/>
      <c r="H52" t="n">
        <v>39.62077</v>
      </c>
      <c r="I52" t="n">
        <v>-104.993242</v>
      </c>
      <c r="J52" t="s">
        <v>35</v>
      </c>
      <c r="K52" t="s">
        <v>126</v>
      </c>
      <c r="L52"/>
      <c r="M52" t="n">
        <v>1965</v>
      </c>
      <c r="N52" t="n">
        <v>1967</v>
      </c>
      <c r="O52" t="s">
        <v>388</v>
      </c>
      <c r="P52" t="n">
        <v>3</v>
      </c>
      <c r="Q52" t="n">
        <v>2</v>
      </c>
      <c r="R52" t="n">
        <v>2</v>
      </c>
      <c r="S52" t="n">
        <v>1942</v>
      </c>
      <c r="T52" t="s">
        <v>389</v>
      </c>
      <c r="U52" t="s">
        <v>390</v>
      </c>
      <c r="V52" t="s">
        <v>74</v>
      </c>
      <c r="W52"/>
      <c r="X52"/>
      <c r="Y52"/>
      <c r="Z52"/>
      <c r="AA52"/>
      <c r="AB52"/>
      <c r="AC52"/>
      <c r="AD52"/>
      <c r="AE52"/>
      <c r="AF52" t="s">
        <v>391</v>
      </c>
      <c r="AG52" t="n">
        <v>148</v>
      </c>
    </row>
    <row r="53">
      <c r="A53" t="s">
        <v>392</v>
      </c>
      <c r="B53" t="s">
        <v>31</v>
      </c>
      <c r="C53" t="s">
        <v>65</v>
      </c>
      <c r="D53" t="s">
        <v>393</v>
      </c>
      <c r="E53" t="s">
        <v>394</v>
      </c>
      <c r="F53" t="s">
        <v>387</v>
      </c>
      <c r="G53" t="s">
        <v>395</v>
      </c>
      <c r="H53" t="n">
        <v>39.6409367653061</v>
      </c>
      <c r="I53" t="n">
        <v>-104.987784877551</v>
      </c>
      <c r="J53" t="s">
        <v>35</v>
      </c>
      <c r="K53" t="s">
        <v>396</v>
      </c>
      <c r="L53"/>
      <c r="M53" t="n">
        <v>1966</v>
      </c>
      <c r="N53" t="n">
        <v>1974</v>
      </c>
      <c r="O53" t="s">
        <v>388</v>
      </c>
      <c r="P53" t="n">
        <v>3</v>
      </c>
      <c r="Q53" t="n">
        <v>4</v>
      </c>
      <c r="R53" t="n">
        <v>1</v>
      </c>
      <c r="S53" t="n">
        <v>1944</v>
      </c>
      <c r="T53" t="s">
        <v>397</v>
      </c>
      <c r="U53" t="s">
        <v>398</v>
      </c>
      <c r="V53" t="s">
        <v>74</v>
      </c>
      <c r="W53"/>
      <c r="X53"/>
      <c r="Y53"/>
      <c r="Z53"/>
      <c r="AA53"/>
      <c r="AB53"/>
      <c r="AC53"/>
      <c r="AD53"/>
      <c r="AE53"/>
      <c r="AF53" t="s">
        <v>399</v>
      </c>
      <c r="AG53" t="n">
        <v>221</v>
      </c>
    </row>
    <row r="54">
      <c r="A54" t="s">
        <v>400</v>
      </c>
      <c r="B54" t="s">
        <v>31</v>
      </c>
      <c r="C54" t="s">
        <v>65</v>
      </c>
      <c r="D54" t="s">
        <v>401</v>
      </c>
      <c r="E54" t="s">
        <v>394</v>
      </c>
      <c r="F54" t="s">
        <v>387</v>
      </c>
      <c r="G54" t="s">
        <v>395</v>
      </c>
      <c r="H54" t="n">
        <v>39.6519827869906</v>
      </c>
      <c r="I54" t="n">
        <v>-104.999380048464</v>
      </c>
      <c r="J54" t="s">
        <v>35</v>
      </c>
      <c r="K54" t="s">
        <v>133</v>
      </c>
      <c r="L54"/>
      <c r="M54" t="n">
        <v>1966</v>
      </c>
      <c r="N54" t="n">
        <v>1990</v>
      </c>
      <c r="O54" t="s">
        <v>402</v>
      </c>
      <c r="P54" t="n">
        <v>7</v>
      </c>
      <c r="Q54" t="n">
        <v>5</v>
      </c>
      <c r="R54" t="n">
        <v>3</v>
      </c>
      <c r="S54" t="n">
        <v>1957</v>
      </c>
      <c r="T54" t="s">
        <v>403</v>
      </c>
      <c r="U54" t="s">
        <v>404</v>
      </c>
      <c r="V54" t="s">
        <v>74</v>
      </c>
      <c r="W54"/>
      <c r="X54"/>
      <c r="Y54"/>
      <c r="Z54"/>
      <c r="AA54"/>
      <c r="AB54" t="s">
        <v>405</v>
      </c>
      <c r="AC54" t="n">
        <v>131</v>
      </c>
      <c r="AD54"/>
      <c r="AE54"/>
      <c r="AF54" t="s">
        <v>406</v>
      </c>
      <c r="AG54" t="n">
        <v>134</v>
      </c>
    </row>
    <row r="55">
      <c r="A55" t="s">
        <v>407</v>
      </c>
      <c r="B55" t="s">
        <v>31</v>
      </c>
      <c r="C55" t="s">
        <v>65</v>
      </c>
      <c r="D55" t="s">
        <v>408</v>
      </c>
      <c r="E55" t="s">
        <v>394</v>
      </c>
      <c r="F55" t="s">
        <v>387</v>
      </c>
      <c r="G55" t="s">
        <v>395</v>
      </c>
      <c r="H55" t="n">
        <v>39.6763857959184</v>
      </c>
      <c r="I55" t="n">
        <v>-105.00863655102</v>
      </c>
      <c r="J55" t="s">
        <v>35</v>
      </c>
      <c r="K55" t="s">
        <v>70</v>
      </c>
      <c r="L55"/>
      <c r="M55" t="n">
        <v>1967</v>
      </c>
      <c r="N55" t="n">
        <v>1970</v>
      </c>
      <c r="O55" t="s">
        <v>409</v>
      </c>
      <c r="P55" t="n">
        <v>2</v>
      </c>
      <c r="Q55" t="n">
        <v>1</v>
      </c>
      <c r="R55" t="n">
        <v>1</v>
      </c>
      <c r="S55" t="n">
        <v>1959</v>
      </c>
      <c r="T55" t="s">
        <v>410</v>
      </c>
      <c r="U55" t="s">
        <v>411</v>
      </c>
      <c r="V55" t="s">
        <v>74</v>
      </c>
      <c r="W55"/>
      <c r="X55"/>
      <c r="Y55"/>
      <c r="Z55"/>
      <c r="AA55"/>
      <c r="AB55"/>
      <c r="AC55"/>
      <c r="AD55" t="s">
        <v>412</v>
      </c>
      <c r="AE55" t="n">
        <v>149</v>
      </c>
      <c r="AF55" t="s">
        <v>413</v>
      </c>
      <c r="AG55" t="n">
        <v>41</v>
      </c>
    </row>
    <row r="56">
      <c r="A56" t="s">
        <v>414</v>
      </c>
      <c r="B56" t="s">
        <v>31</v>
      </c>
      <c r="C56" t="s">
        <v>65</v>
      </c>
      <c r="D56" t="s">
        <v>415</v>
      </c>
      <c r="E56" t="s">
        <v>394</v>
      </c>
      <c r="F56" t="s">
        <v>387</v>
      </c>
      <c r="G56"/>
      <c r="H56" t="n">
        <v>39.650666</v>
      </c>
      <c r="I56" t="n">
        <v>-104.997057</v>
      </c>
      <c r="J56" t="s">
        <v>35</v>
      </c>
      <c r="K56" t="s">
        <v>120</v>
      </c>
      <c r="L56" t="s">
        <v>202</v>
      </c>
      <c r="M56" t="n">
        <v>1967</v>
      </c>
      <c r="N56" t="n">
        <v>1990</v>
      </c>
      <c r="O56" t="s">
        <v>416</v>
      </c>
      <c r="P56" t="n">
        <v>7</v>
      </c>
      <c r="Q56" t="n">
        <v>1</v>
      </c>
      <c r="R56" t="n">
        <v>1</v>
      </c>
      <c r="S56" t="n">
        <v>1957</v>
      </c>
      <c r="T56" t="s">
        <v>417</v>
      </c>
      <c r="U56" t="s">
        <v>418</v>
      </c>
      <c r="V56" t="s">
        <v>74</v>
      </c>
      <c r="W56"/>
      <c r="X56"/>
      <c r="Y56"/>
      <c r="Z56"/>
      <c r="AA56"/>
      <c r="AB56"/>
      <c r="AC56"/>
      <c r="AD56"/>
      <c r="AE56"/>
      <c r="AF56" t="s">
        <v>419</v>
      </c>
      <c r="AG56" t="n">
        <v>185</v>
      </c>
    </row>
    <row r="57">
      <c r="A57" t="s">
        <v>420</v>
      </c>
      <c r="B57" t="s">
        <v>31</v>
      </c>
      <c r="C57" t="s">
        <v>65</v>
      </c>
      <c r="D57" t="s">
        <v>421</v>
      </c>
      <c r="E57" t="s">
        <v>394</v>
      </c>
      <c r="F57" t="s">
        <v>387</v>
      </c>
      <c r="G57" t="s">
        <v>395</v>
      </c>
      <c r="H57" t="n">
        <v>39.6513199470568</v>
      </c>
      <c r="I57" t="n">
        <v>-105.002595248872</v>
      </c>
      <c r="J57" t="s">
        <v>35</v>
      </c>
      <c r="K57" t="s">
        <v>120</v>
      </c>
      <c r="L57"/>
      <c r="M57" t="n">
        <v>1967</v>
      </c>
      <c r="N57" t="n">
        <v>1977</v>
      </c>
      <c r="O57" t="s">
        <v>106</v>
      </c>
      <c r="P57" t="n">
        <v>4</v>
      </c>
      <c r="Q57" t="n">
        <v>4</v>
      </c>
      <c r="R57" t="n">
        <v>1</v>
      </c>
      <c r="S57" t="n">
        <v>1962</v>
      </c>
      <c r="T57" t="s">
        <v>422</v>
      </c>
      <c r="U57" t="s">
        <v>423</v>
      </c>
      <c r="V57" t="s">
        <v>74</v>
      </c>
      <c r="W57"/>
      <c r="X57"/>
      <c r="Y57"/>
      <c r="Z57"/>
      <c r="AA57"/>
      <c r="AB57" t="s">
        <v>424</v>
      </c>
      <c r="AC57" t="n">
        <v>192</v>
      </c>
      <c r="AD57"/>
      <c r="AE57"/>
      <c r="AF57" t="s">
        <v>425</v>
      </c>
      <c r="AG57" t="n">
        <v>88</v>
      </c>
    </row>
    <row r="58">
      <c r="A58" t="s">
        <v>426</v>
      </c>
      <c r="B58" t="s">
        <v>31</v>
      </c>
      <c r="C58" t="s">
        <v>65</v>
      </c>
      <c r="D58" t="s">
        <v>427</v>
      </c>
      <c r="E58" t="s">
        <v>386</v>
      </c>
      <c r="F58" t="s">
        <v>387</v>
      </c>
      <c r="G58" t="s">
        <v>428</v>
      </c>
      <c r="H58" t="n">
        <v>39.5889021692727</v>
      </c>
      <c r="I58" t="n">
        <v>-105.064871347441</v>
      </c>
      <c r="J58" t="s">
        <v>35</v>
      </c>
      <c r="K58" t="s">
        <v>133</v>
      </c>
      <c r="L58" t="s">
        <v>202</v>
      </c>
      <c r="M58" t="n">
        <v>1970</v>
      </c>
      <c r="N58" t="n">
        <v>1973</v>
      </c>
      <c r="O58" t="s">
        <v>121</v>
      </c>
      <c r="P58" t="n">
        <v>2</v>
      </c>
      <c r="Q58" t="n">
        <v>2</v>
      </c>
      <c r="R58" t="n">
        <v>1</v>
      </c>
      <c r="S58" t="n">
        <v>1964</v>
      </c>
      <c r="T58" t="s">
        <v>429</v>
      </c>
      <c r="U58" t="s">
        <v>430</v>
      </c>
      <c r="V58" t="s">
        <v>74</v>
      </c>
      <c r="W58"/>
      <c r="X58"/>
      <c r="Y58"/>
      <c r="Z58"/>
      <c r="AA58"/>
      <c r="AB58"/>
      <c r="AC58"/>
      <c r="AD58"/>
      <c r="AE58"/>
      <c r="AF58"/>
      <c r="AG58"/>
    </row>
    <row r="59">
      <c r="A59" t="s">
        <v>431</v>
      </c>
      <c r="B59" t="s">
        <v>31</v>
      </c>
      <c r="C59" t="s">
        <v>65</v>
      </c>
      <c r="D59" t="s">
        <v>432</v>
      </c>
      <c r="E59" t="s">
        <v>95</v>
      </c>
      <c r="F59" t="s">
        <v>387</v>
      </c>
      <c r="G59" t="s">
        <v>433</v>
      </c>
      <c r="H59" t="n">
        <v>39.7617577161155</v>
      </c>
      <c r="I59" t="n">
        <v>-104.850644431152</v>
      </c>
      <c r="J59" t="s">
        <v>35</v>
      </c>
      <c r="K59" t="s">
        <v>70</v>
      </c>
      <c r="L59"/>
      <c r="M59" t="n">
        <v>1973</v>
      </c>
      <c r="N59" t="n">
        <v>1990</v>
      </c>
      <c r="O59" t="s">
        <v>434</v>
      </c>
      <c r="P59" t="n">
        <v>6</v>
      </c>
      <c r="Q59" t="n">
        <v>2</v>
      </c>
      <c r="R59" t="n">
        <v>2</v>
      </c>
      <c r="S59" t="n">
        <v>1969</v>
      </c>
      <c r="T59" t="s">
        <v>435</v>
      </c>
      <c r="U59" t="s">
        <v>436</v>
      </c>
      <c r="V59" t="s">
        <v>74</v>
      </c>
      <c r="W59"/>
      <c r="X59"/>
      <c r="Y59"/>
      <c r="Z59"/>
      <c r="AA59"/>
      <c r="AB59" t="s">
        <v>437</v>
      </c>
      <c r="AC59" t="n">
        <v>191</v>
      </c>
      <c r="AD59"/>
      <c r="AE59"/>
      <c r="AF59" t="s">
        <v>438</v>
      </c>
      <c r="AG59" t="n">
        <v>131</v>
      </c>
    </row>
    <row r="60">
      <c r="A60" t="s">
        <v>439</v>
      </c>
      <c r="B60" t="s">
        <v>31</v>
      </c>
      <c r="C60" t="s">
        <v>65</v>
      </c>
      <c r="D60" t="s">
        <v>440</v>
      </c>
      <c r="E60" t="s">
        <v>95</v>
      </c>
      <c r="F60" t="s">
        <v>387</v>
      </c>
      <c r="G60" t="s">
        <v>433</v>
      </c>
      <c r="H60" t="n">
        <v>39.7425275528232</v>
      </c>
      <c r="I60" t="n">
        <v>-104.807283812023</v>
      </c>
      <c r="J60" t="s">
        <v>35</v>
      </c>
      <c r="K60" t="s">
        <v>70</v>
      </c>
      <c r="L60"/>
      <c r="M60" t="n">
        <v>1973</v>
      </c>
      <c r="N60" t="n">
        <v>1983</v>
      </c>
      <c r="O60" t="s">
        <v>121</v>
      </c>
      <c r="P60" t="n">
        <v>2</v>
      </c>
      <c r="Q60" t="n">
        <v>2</v>
      </c>
      <c r="R60" t="n">
        <v>1</v>
      </c>
      <c r="S60" t="n">
        <v>1971</v>
      </c>
      <c r="T60" t="s">
        <v>441</v>
      </c>
      <c r="U60" t="s">
        <v>442</v>
      </c>
      <c r="V60" t="s">
        <v>74</v>
      </c>
      <c r="W60"/>
      <c r="X60"/>
      <c r="Y60"/>
      <c r="Z60"/>
      <c r="AA60"/>
      <c r="AB60" t="s">
        <v>206</v>
      </c>
      <c r="AC60" t="n">
        <v>199</v>
      </c>
      <c r="AD60"/>
      <c r="AE60"/>
      <c r="AF60" t="s">
        <v>207</v>
      </c>
      <c r="AG60" t="n">
        <v>132</v>
      </c>
    </row>
    <row r="61">
      <c r="A61" t="s">
        <v>443</v>
      </c>
      <c r="B61" t="s">
        <v>31</v>
      </c>
      <c r="C61" t="s">
        <v>65</v>
      </c>
      <c r="D61" t="s">
        <v>444</v>
      </c>
      <c r="E61" t="s">
        <v>394</v>
      </c>
      <c r="F61" t="s">
        <v>387</v>
      </c>
      <c r="G61" t="s">
        <v>395</v>
      </c>
      <c r="H61" t="n">
        <v>39.663807421969</v>
      </c>
      <c r="I61" t="n">
        <v>-105.013389572003</v>
      </c>
      <c r="J61" t="s">
        <v>35</v>
      </c>
      <c r="K61" t="s">
        <v>120</v>
      </c>
      <c r="L61"/>
      <c r="M61" t="n">
        <v>1973</v>
      </c>
      <c r="N61" t="n">
        <v>1990</v>
      </c>
      <c r="O61" t="s">
        <v>445</v>
      </c>
      <c r="P61" t="n">
        <v>6</v>
      </c>
      <c r="Q61" t="n">
        <v>2</v>
      </c>
      <c r="R61" t="n">
        <v>2</v>
      </c>
      <c r="S61" t="n">
        <v>1972</v>
      </c>
      <c r="T61" t="s">
        <v>446</v>
      </c>
      <c r="U61" t="s">
        <v>447</v>
      </c>
      <c r="V61" t="s">
        <v>74</v>
      </c>
      <c r="W61"/>
      <c r="X61"/>
      <c r="Y61"/>
      <c r="Z61"/>
      <c r="AA61"/>
      <c r="AB61" t="s">
        <v>448</v>
      </c>
      <c r="AC61" t="n">
        <v>127</v>
      </c>
      <c r="AD61" t="s">
        <v>449</v>
      </c>
      <c r="AE61" t="n">
        <v>235</v>
      </c>
      <c r="AF61" t="s">
        <v>450</v>
      </c>
      <c r="AG61" t="n">
        <v>103</v>
      </c>
    </row>
    <row r="62">
      <c r="A62" t="s">
        <v>451</v>
      </c>
      <c r="B62" t="s">
        <v>31</v>
      </c>
      <c r="C62" t="s">
        <v>65</v>
      </c>
      <c r="D62" t="s">
        <v>452</v>
      </c>
      <c r="E62" t="s">
        <v>394</v>
      </c>
      <c r="F62" t="s">
        <v>387</v>
      </c>
      <c r="G62" t="s">
        <v>395</v>
      </c>
      <c r="H62" t="n">
        <v>39.673743</v>
      </c>
      <c r="I62" t="n">
        <v>-105.0110455</v>
      </c>
      <c r="J62" t="s">
        <v>35</v>
      </c>
      <c r="K62" t="s">
        <v>120</v>
      </c>
      <c r="L62"/>
      <c r="M62" t="n">
        <v>1973</v>
      </c>
      <c r="N62" t="n">
        <v>1990</v>
      </c>
      <c r="O62" t="s">
        <v>453</v>
      </c>
      <c r="P62" t="n">
        <v>5</v>
      </c>
      <c r="Q62" t="n">
        <v>3</v>
      </c>
      <c r="R62" t="n">
        <v>2</v>
      </c>
      <c r="S62" t="n">
        <v>1929</v>
      </c>
      <c r="T62" t="s">
        <v>454</v>
      </c>
      <c r="U62" t="s">
        <v>455</v>
      </c>
      <c r="V62" t="s">
        <v>74</v>
      </c>
      <c r="W62"/>
      <c r="X62"/>
      <c r="Y62"/>
      <c r="Z62"/>
      <c r="AA62"/>
      <c r="AB62" t="s">
        <v>456</v>
      </c>
      <c r="AC62" t="n">
        <v>169</v>
      </c>
      <c r="AD62" t="s">
        <v>457</v>
      </c>
      <c r="AE62" t="n">
        <v>111</v>
      </c>
      <c r="AF62" t="s">
        <v>458</v>
      </c>
      <c r="AG62" t="n">
        <v>40</v>
      </c>
    </row>
    <row r="63">
      <c r="A63" t="s">
        <v>459</v>
      </c>
      <c r="B63" t="s">
        <v>31</v>
      </c>
      <c r="C63" t="s">
        <v>65</v>
      </c>
      <c r="D63" t="s">
        <v>460</v>
      </c>
      <c r="E63" t="s">
        <v>394</v>
      </c>
      <c r="F63" t="s">
        <v>387</v>
      </c>
      <c r="G63" t="s">
        <v>395</v>
      </c>
      <c r="H63" t="n">
        <v>39.6749427857143</v>
      </c>
      <c r="I63" t="n">
        <v>-105.008642928571</v>
      </c>
      <c r="J63" t="s">
        <v>35</v>
      </c>
      <c r="K63" t="s">
        <v>141</v>
      </c>
      <c r="L63"/>
      <c r="M63" t="n">
        <v>1973</v>
      </c>
      <c r="N63" t="n">
        <v>1988</v>
      </c>
      <c r="O63" t="s">
        <v>461</v>
      </c>
      <c r="P63" t="n">
        <v>4</v>
      </c>
      <c r="Q63" t="n">
        <v>4</v>
      </c>
      <c r="R63" t="n">
        <v>3</v>
      </c>
      <c r="S63" t="n">
        <v>1962</v>
      </c>
      <c r="T63" t="s">
        <v>462</v>
      </c>
      <c r="U63" t="s">
        <v>463</v>
      </c>
      <c r="V63" t="s">
        <v>74</v>
      </c>
      <c r="W63"/>
      <c r="X63"/>
      <c r="Y63"/>
      <c r="Z63"/>
      <c r="AA63"/>
      <c r="AB63" t="s">
        <v>464</v>
      </c>
      <c r="AC63" t="n">
        <v>170</v>
      </c>
      <c r="AD63" t="s">
        <v>412</v>
      </c>
      <c r="AE63" t="n">
        <v>135</v>
      </c>
      <c r="AF63" t="s">
        <v>465</v>
      </c>
      <c r="AG63" t="n">
        <v>100</v>
      </c>
    </row>
    <row r="64">
      <c r="A64" t="s">
        <v>466</v>
      </c>
      <c r="B64" t="s">
        <v>31</v>
      </c>
      <c r="C64" t="s">
        <v>65</v>
      </c>
      <c r="D64" t="s">
        <v>467</v>
      </c>
      <c r="E64" t="s">
        <v>394</v>
      </c>
      <c r="F64" t="s">
        <v>387</v>
      </c>
      <c r="G64" t="s">
        <v>395</v>
      </c>
      <c r="H64" t="n">
        <v>39.6513194666667</v>
      </c>
      <c r="I64" t="n">
        <v>-104.9947264</v>
      </c>
      <c r="J64" t="s">
        <v>35</v>
      </c>
      <c r="K64" t="s">
        <v>120</v>
      </c>
      <c r="L64"/>
      <c r="M64" t="n">
        <v>1973</v>
      </c>
      <c r="N64" t="n">
        <v>1983</v>
      </c>
      <c r="O64" t="s">
        <v>264</v>
      </c>
      <c r="P64" t="n">
        <v>2</v>
      </c>
      <c r="Q64" t="n">
        <v>2</v>
      </c>
      <c r="R64" t="n">
        <v>1</v>
      </c>
      <c r="S64" t="n">
        <v>1972</v>
      </c>
      <c r="T64" t="s">
        <v>468</v>
      </c>
      <c r="U64" t="s">
        <v>469</v>
      </c>
      <c r="V64" t="s">
        <v>74</v>
      </c>
      <c r="W64"/>
      <c r="X64"/>
      <c r="Y64"/>
      <c r="Z64"/>
      <c r="AA64"/>
      <c r="AB64"/>
      <c r="AC64"/>
      <c r="AD64"/>
      <c r="AE64"/>
      <c r="AF64" t="s">
        <v>470</v>
      </c>
      <c r="AG64" t="n">
        <v>155</v>
      </c>
    </row>
    <row r="65">
      <c r="A65" t="s">
        <v>471</v>
      </c>
      <c r="B65" t="s">
        <v>31</v>
      </c>
      <c r="C65" t="s">
        <v>65</v>
      </c>
      <c r="D65" t="s">
        <v>472</v>
      </c>
      <c r="E65" t="s">
        <v>394</v>
      </c>
      <c r="F65" t="s">
        <v>387</v>
      </c>
      <c r="G65" t="s">
        <v>395</v>
      </c>
      <c r="H65" t="n">
        <v>39.5424765532402</v>
      </c>
      <c r="I65" t="n">
        <v>-104.86850900255</v>
      </c>
      <c r="J65" t="s">
        <v>35</v>
      </c>
      <c r="K65" t="s">
        <v>120</v>
      </c>
      <c r="L65"/>
      <c r="M65" t="n">
        <v>1973</v>
      </c>
      <c r="N65" t="n">
        <v>1974</v>
      </c>
      <c r="O65" t="s">
        <v>127</v>
      </c>
      <c r="P65" t="n">
        <v>2</v>
      </c>
      <c r="Q65" t="n">
        <v>2</v>
      </c>
      <c r="R65" t="n">
        <v>2</v>
      </c>
      <c r="S65" t="n">
        <v>1965</v>
      </c>
      <c r="T65" t="s">
        <v>473</v>
      </c>
      <c r="U65" t="s">
        <v>474</v>
      </c>
      <c r="V65" t="s">
        <v>74</v>
      </c>
      <c r="W65"/>
      <c r="X65"/>
      <c r="Y65"/>
      <c r="Z65"/>
      <c r="AA65"/>
      <c r="AB65"/>
      <c r="AC65"/>
      <c r="AD65"/>
      <c r="AE65"/>
      <c r="AF65" t="s">
        <v>475</v>
      </c>
      <c r="AG65" t="n">
        <v>176</v>
      </c>
    </row>
    <row r="66">
      <c r="A66" t="s">
        <v>476</v>
      </c>
      <c r="B66" t="s">
        <v>31</v>
      </c>
      <c r="C66" t="s">
        <v>65</v>
      </c>
      <c r="D66" t="s">
        <v>477</v>
      </c>
      <c r="E66" t="s">
        <v>386</v>
      </c>
      <c r="F66" t="s">
        <v>387</v>
      </c>
      <c r="G66" t="s">
        <v>428</v>
      </c>
      <c r="H66" t="n">
        <v>39.6080729313619</v>
      </c>
      <c r="I66" t="n">
        <v>-104.995820411214</v>
      </c>
      <c r="J66" t="s">
        <v>35</v>
      </c>
      <c r="K66" t="s">
        <v>133</v>
      </c>
      <c r="L66"/>
      <c r="M66" t="n">
        <v>1973</v>
      </c>
      <c r="N66" t="n">
        <v>1973</v>
      </c>
      <c r="O66" t="s">
        <v>121</v>
      </c>
      <c r="P66" t="n">
        <v>1</v>
      </c>
      <c r="Q66" t="n">
        <v>1</v>
      </c>
      <c r="R66" t="n">
        <v>1</v>
      </c>
      <c r="S66" t="n">
        <v>1972</v>
      </c>
      <c r="T66" t="s">
        <v>478</v>
      </c>
      <c r="U66" t="s">
        <v>479</v>
      </c>
      <c r="V66" t="s">
        <v>74</v>
      </c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480</v>
      </c>
      <c r="B67" t="s">
        <v>31</v>
      </c>
      <c r="C67" t="s">
        <v>65</v>
      </c>
      <c r="D67" t="s">
        <v>481</v>
      </c>
      <c r="E67" t="s">
        <v>95</v>
      </c>
      <c r="F67" t="s">
        <v>387</v>
      </c>
      <c r="G67" t="s">
        <v>433</v>
      </c>
      <c r="H67" t="n">
        <v>39.7621504489796</v>
      </c>
      <c r="I67" t="n">
        <v>-104.85064944898</v>
      </c>
      <c r="J67" t="s">
        <v>35</v>
      </c>
      <c r="K67" t="s">
        <v>141</v>
      </c>
      <c r="L67"/>
      <c r="M67" t="n">
        <v>1974</v>
      </c>
      <c r="N67" t="n">
        <v>1990</v>
      </c>
      <c r="O67" t="s">
        <v>482</v>
      </c>
      <c r="P67" t="n">
        <v>5</v>
      </c>
      <c r="Q67" t="n">
        <v>1</v>
      </c>
      <c r="R67" t="n">
        <v>1</v>
      </c>
      <c r="S67" t="n">
        <v>1964</v>
      </c>
      <c r="T67" t="s">
        <v>483</v>
      </c>
      <c r="U67" t="s">
        <v>484</v>
      </c>
      <c r="V67" t="s">
        <v>74</v>
      </c>
      <c r="W67"/>
      <c r="X67"/>
      <c r="Y67"/>
      <c r="Z67"/>
      <c r="AA67"/>
      <c r="AB67" t="s">
        <v>437</v>
      </c>
      <c r="AC67" t="n">
        <v>174</v>
      </c>
      <c r="AD67"/>
      <c r="AE67"/>
      <c r="AF67" t="s">
        <v>438</v>
      </c>
      <c r="AG67" t="n">
        <v>88</v>
      </c>
    </row>
    <row r="68">
      <c r="A68" t="s">
        <v>485</v>
      </c>
      <c r="B68" t="s">
        <v>31</v>
      </c>
      <c r="C68" t="s">
        <v>65</v>
      </c>
      <c r="D68" t="s">
        <v>486</v>
      </c>
      <c r="E68" t="s">
        <v>394</v>
      </c>
      <c r="F68" t="s">
        <v>387</v>
      </c>
      <c r="G68" t="s">
        <v>395</v>
      </c>
      <c r="H68" t="n">
        <v>39.6387918</v>
      </c>
      <c r="I68" t="n">
        <v>-105.0069178</v>
      </c>
      <c r="J68" t="s">
        <v>35</v>
      </c>
      <c r="K68" t="s">
        <v>126</v>
      </c>
      <c r="L68"/>
      <c r="M68" t="n">
        <v>1974</v>
      </c>
      <c r="N68" t="n">
        <v>1992</v>
      </c>
      <c r="O68" t="s">
        <v>487</v>
      </c>
      <c r="P68" t="n">
        <v>6</v>
      </c>
      <c r="Q68" t="n">
        <v>2</v>
      </c>
      <c r="R68" t="n">
        <v>2</v>
      </c>
      <c r="S68" t="n">
        <v>1959</v>
      </c>
      <c r="T68" t="s">
        <v>488</v>
      </c>
      <c r="U68" t="s">
        <v>489</v>
      </c>
      <c r="V68" t="s">
        <v>74</v>
      </c>
      <c r="W68"/>
      <c r="X68"/>
      <c r="Y68"/>
      <c r="Z68"/>
      <c r="AA68"/>
      <c r="AB68"/>
      <c r="AC68"/>
      <c r="AD68"/>
      <c r="AE68"/>
      <c r="AF68" t="s">
        <v>490</v>
      </c>
      <c r="AG68" t="n">
        <v>96</v>
      </c>
    </row>
    <row r="69">
      <c r="A69" t="s">
        <v>491</v>
      </c>
      <c r="B69" t="s">
        <v>31</v>
      </c>
      <c r="C69" t="s">
        <v>65</v>
      </c>
      <c r="D69" t="s">
        <v>492</v>
      </c>
      <c r="E69" t="s">
        <v>394</v>
      </c>
      <c r="F69" t="s">
        <v>387</v>
      </c>
      <c r="G69" t="s">
        <v>395</v>
      </c>
      <c r="H69" t="n">
        <v>39.6314461020408</v>
      </c>
      <c r="I69" t="n">
        <v>-105.024054632653</v>
      </c>
      <c r="J69" t="s">
        <v>35</v>
      </c>
      <c r="K69" t="s">
        <v>120</v>
      </c>
      <c r="L69"/>
      <c r="M69" t="n">
        <v>1974</v>
      </c>
      <c r="N69" t="n">
        <v>1974</v>
      </c>
      <c r="O69" t="s">
        <v>210</v>
      </c>
      <c r="P69" t="n">
        <v>1</v>
      </c>
      <c r="Q69" t="n">
        <v>1</v>
      </c>
      <c r="R69" t="n">
        <v>1</v>
      </c>
      <c r="S69" t="n">
        <v>1956</v>
      </c>
      <c r="T69" t="s">
        <v>493</v>
      </c>
      <c r="U69" t="s">
        <v>494</v>
      </c>
      <c r="V69" t="s">
        <v>74</v>
      </c>
      <c r="W69"/>
      <c r="X69"/>
      <c r="Y69"/>
      <c r="Z69"/>
      <c r="AA69"/>
      <c r="AB69" t="s">
        <v>495</v>
      </c>
      <c r="AC69" t="n">
        <v>185</v>
      </c>
      <c r="AD69"/>
      <c r="AE69"/>
      <c r="AF69" t="s">
        <v>496</v>
      </c>
      <c r="AG69" t="n">
        <v>193</v>
      </c>
    </row>
    <row r="70">
      <c r="A70" t="s">
        <v>497</v>
      </c>
      <c r="B70" t="s">
        <v>31</v>
      </c>
      <c r="C70" t="s">
        <v>65</v>
      </c>
      <c r="D70" t="s">
        <v>498</v>
      </c>
      <c r="E70" t="s">
        <v>394</v>
      </c>
      <c r="F70" t="s">
        <v>387</v>
      </c>
      <c r="G70" t="s">
        <v>395</v>
      </c>
      <c r="H70" t="n">
        <v>39.664192</v>
      </c>
      <c r="I70" t="n">
        <v>-105.013402</v>
      </c>
      <c r="J70" t="s">
        <v>35</v>
      </c>
      <c r="K70" t="s">
        <v>70</v>
      </c>
      <c r="L70"/>
      <c r="M70" t="n">
        <v>1974</v>
      </c>
      <c r="N70" t="n">
        <v>1990</v>
      </c>
      <c r="O70" t="s">
        <v>499</v>
      </c>
      <c r="P70" t="n">
        <v>5</v>
      </c>
      <c r="Q70" t="n">
        <v>1</v>
      </c>
      <c r="R70" t="n">
        <v>1</v>
      </c>
      <c r="S70" t="n">
        <v>1958</v>
      </c>
      <c r="T70" t="s">
        <v>500</v>
      </c>
      <c r="U70" t="s">
        <v>501</v>
      </c>
      <c r="V70" t="s">
        <v>74</v>
      </c>
      <c r="W70"/>
      <c r="X70"/>
      <c r="Y70"/>
      <c r="Z70"/>
      <c r="AA70"/>
      <c r="AB70" t="s">
        <v>448</v>
      </c>
      <c r="AC70" t="n">
        <v>159</v>
      </c>
      <c r="AD70" t="s">
        <v>449</v>
      </c>
      <c r="AE70" t="n">
        <v>192</v>
      </c>
      <c r="AF70" t="s">
        <v>450</v>
      </c>
      <c r="AG70" t="n">
        <v>125</v>
      </c>
    </row>
    <row r="71">
      <c r="A71" t="s">
        <v>502</v>
      </c>
      <c r="B71" t="s">
        <v>31</v>
      </c>
      <c r="C71" t="s">
        <v>65</v>
      </c>
      <c r="D71" t="s">
        <v>503</v>
      </c>
      <c r="E71" t="s">
        <v>95</v>
      </c>
      <c r="F71" t="s">
        <v>387</v>
      </c>
      <c r="G71" t="s">
        <v>433</v>
      </c>
      <c r="H71" t="n">
        <v>39.7672984369939</v>
      </c>
      <c r="I71" t="n">
        <v>-104.826956343987</v>
      </c>
      <c r="J71" t="s">
        <v>35</v>
      </c>
      <c r="K71" t="s">
        <v>89</v>
      </c>
      <c r="L71"/>
      <c r="M71" t="n">
        <v>1977</v>
      </c>
      <c r="N71" t="n">
        <v>1977</v>
      </c>
      <c r="O71" t="s">
        <v>228</v>
      </c>
      <c r="P71" t="n">
        <v>1</v>
      </c>
      <c r="Q71" t="n">
        <v>1</v>
      </c>
      <c r="R71" t="n">
        <v>1</v>
      </c>
      <c r="S71" t="n">
        <v>1946</v>
      </c>
      <c r="T71" t="s">
        <v>504</v>
      </c>
      <c r="U71" t="s">
        <v>505</v>
      </c>
      <c r="V71" t="s">
        <v>74</v>
      </c>
      <c r="W71"/>
      <c r="X71"/>
      <c r="Y71"/>
      <c r="Z71"/>
      <c r="AA71"/>
      <c r="AB71"/>
      <c r="AC71"/>
      <c r="AD71" t="s">
        <v>506</v>
      </c>
      <c r="AE71" t="n">
        <v>198</v>
      </c>
      <c r="AF71" t="s">
        <v>507</v>
      </c>
      <c r="AG71" t="n">
        <v>81</v>
      </c>
    </row>
    <row r="72">
      <c r="A72" t="s">
        <v>508</v>
      </c>
      <c r="B72" t="s">
        <v>31</v>
      </c>
      <c r="C72" t="s">
        <v>65</v>
      </c>
      <c r="D72" t="s">
        <v>509</v>
      </c>
      <c r="E72" t="s">
        <v>95</v>
      </c>
      <c r="F72" t="s">
        <v>387</v>
      </c>
      <c r="G72" t="s">
        <v>433</v>
      </c>
      <c r="H72" t="n">
        <v>39.725572</v>
      </c>
      <c r="I72" t="n">
        <v>-104.868018122449</v>
      </c>
      <c r="J72" t="s">
        <v>35</v>
      </c>
      <c r="K72" t="s">
        <v>315</v>
      </c>
      <c r="L72"/>
      <c r="M72" t="n">
        <v>1977</v>
      </c>
      <c r="N72" t="n">
        <v>1992</v>
      </c>
      <c r="O72" t="s">
        <v>228</v>
      </c>
      <c r="P72" t="n">
        <v>2</v>
      </c>
      <c r="Q72" t="n">
        <v>1</v>
      </c>
      <c r="R72" t="n">
        <v>1</v>
      </c>
      <c r="S72" t="n">
        <v>1968</v>
      </c>
      <c r="T72" t="s">
        <v>510</v>
      </c>
      <c r="U72" t="s">
        <v>511</v>
      </c>
      <c r="V72" t="s">
        <v>74</v>
      </c>
      <c r="W72"/>
      <c r="X72"/>
      <c r="Y72"/>
      <c r="Z72"/>
      <c r="AA72"/>
      <c r="AB72"/>
      <c r="AC72"/>
      <c r="AD72"/>
      <c r="AE72"/>
      <c r="AF72" t="s">
        <v>512</v>
      </c>
      <c r="AG72" t="n">
        <v>87</v>
      </c>
    </row>
    <row r="73">
      <c r="A73" t="s">
        <v>513</v>
      </c>
      <c r="B73" t="s">
        <v>31</v>
      </c>
      <c r="C73" t="s">
        <v>65</v>
      </c>
      <c r="D73" t="s">
        <v>514</v>
      </c>
      <c r="E73" t="s">
        <v>95</v>
      </c>
      <c r="F73" t="s">
        <v>387</v>
      </c>
      <c r="G73" t="s">
        <v>515</v>
      </c>
      <c r="H73" t="n">
        <v>39.7013119018925</v>
      </c>
      <c r="I73" t="n">
        <v>-104.833222372151</v>
      </c>
      <c r="J73" t="s">
        <v>35</v>
      </c>
      <c r="K73" t="s">
        <v>70</v>
      </c>
      <c r="L73"/>
      <c r="M73" t="n">
        <v>1977</v>
      </c>
      <c r="N73" t="n">
        <v>1977</v>
      </c>
      <c r="O73" t="s">
        <v>228</v>
      </c>
      <c r="P73" t="n">
        <v>1</v>
      </c>
      <c r="Q73" t="n">
        <v>1</v>
      </c>
      <c r="R73" t="n">
        <v>1</v>
      </c>
      <c r="S73" t="n">
        <v>1976</v>
      </c>
      <c r="T73" t="s">
        <v>516</v>
      </c>
      <c r="U73" t="s">
        <v>517</v>
      </c>
      <c r="V73" t="s">
        <v>74</v>
      </c>
      <c r="W73"/>
      <c r="X73"/>
      <c r="Y73"/>
      <c r="Z73"/>
      <c r="AA73"/>
      <c r="AB73"/>
      <c r="AC73"/>
      <c r="AD73"/>
      <c r="AE73"/>
      <c r="AF73" t="s">
        <v>518</v>
      </c>
      <c r="AG73" t="n">
        <v>88</v>
      </c>
    </row>
    <row r="74">
      <c r="A74" t="s">
        <v>519</v>
      </c>
      <c r="B74" t="s">
        <v>31</v>
      </c>
      <c r="C74" t="s">
        <v>65</v>
      </c>
      <c r="D74" t="s">
        <v>520</v>
      </c>
      <c r="E74" t="s">
        <v>394</v>
      </c>
      <c r="F74" t="s">
        <v>387</v>
      </c>
      <c r="G74" t="s">
        <v>395</v>
      </c>
      <c r="H74" t="n">
        <v>39.6642008017493</v>
      </c>
      <c r="I74" t="n">
        <v>-105.015251428571</v>
      </c>
      <c r="J74" t="s">
        <v>35</v>
      </c>
      <c r="K74" t="s">
        <v>126</v>
      </c>
      <c r="L74"/>
      <c r="M74" t="n">
        <v>1977</v>
      </c>
      <c r="N74" t="n">
        <v>1992</v>
      </c>
      <c r="O74" t="s">
        <v>521</v>
      </c>
      <c r="P74" t="n">
        <v>6</v>
      </c>
      <c r="Q74" t="n">
        <v>3</v>
      </c>
      <c r="R74" t="n">
        <v>3</v>
      </c>
      <c r="S74" t="n">
        <v>1945</v>
      </c>
      <c r="T74" t="s">
        <v>522</v>
      </c>
      <c r="U74" t="s">
        <v>523</v>
      </c>
      <c r="V74" t="s">
        <v>74</v>
      </c>
      <c r="W74"/>
      <c r="X74"/>
      <c r="Y74"/>
      <c r="Z74"/>
      <c r="AA74"/>
      <c r="AB74"/>
      <c r="AC74"/>
      <c r="AD74" t="s">
        <v>449</v>
      </c>
      <c r="AE74" t="n">
        <v>204</v>
      </c>
      <c r="AF74" t="s">
        <v>524</v>
      </c>
      <c r="AG74" t="n">
        <v>96</v>
      </c>
    </row>
    <row r="75">
      <c r="A75" t="s">
        <v>525</v>
      </c>
      <c r="B75" t="s">
        <v>31</v>
      </c>
      <c r="C75" t="s">
        <v>65</v>
      </c>
      <c r="D75" t="s">
        <v>526</v>
      </c>
      <c r="E75" t="s">
        <v>394</v>
      </c>
      <c r="F75" t="s">
        <v>387</v>
      </c>
      <c r="G75" t="s">
        <v>395</v>
      </c>
      <c r="H75" t="n">
        <v>39.6617155714286</v>
      </c>
      <c r="I75" t="n">
        <v>-105.012259785714</v>
      </c>
      <c r="J75" t="s">
        <v>35</v>
      </c>
      <c r="K75" t="s">
        <v>527</v>
      </c>
      <c r="L75"/>
      <c r="M75" t="n">
        <v>1977</v>
      </c>
      <c r="N75" t="n">
        <v>1983</v>
      </c>
      <c r="O75" t="s">
        <v>528</v>
      </c>
      <c r="P75" t="n">
        <v>3</v>
      </c>
      <c r="Q75" t="n">
        <v>4</v>
      </c>
      <c r="R75" t="n">
        <v>2</v>
      </c>
      <c r="S75" t="n">
        <v>1973</v>
      </c>
      <c r="T75" t="s">
        <v>529</v>
      </c>
      <c r="U75" t="s">
        <v>530</v>
      </c>
      <c r="V75" t="s">
        <v>74</v>
      </c>
      <c r="W75"/>
      <c r="X75"/>
      <c r="Y75"/>
      <c r="Z75"/>
      <c r="AA75"/>
      <c r="AB75" t="s">
        <v>448</v>
      </c>
      <c r="AC75" t="n">
        <v>151</v>
      </c>
      <c r="AD75"/>
      <c r="AE75"/>
      <c r="AF75" t="s">
        <v>450</v>
      </c>
      <c r="AG75" t="n">
        <v>68</v>
      </c>
    </row>
    <row r="76">
      <c r="A76" t="s">
        <v>531</v>
      </c>
      <c r="B76" t="s">
        <v>31</v>
      </c>
      <c r="C76" t="s">
        <v>65</v>
      </c>
      <c r="D76" t="s">
        <v>532</v>
      </c>
      <c r="E76" t="s">
        <v>394</v>
      </c>
      <c r="F76" t="s">
        <v>387</v>
      </c>
      <c r="G76" t="s">
        <v>395</v>
      </c>
      <c r="H76" t="n">
        <v>39.6611135364432</v>
      </c>
      <c r="I76" t="n">
        <v>-105.012265860058</v>
      </c>
      <c r="J76" t="s">
        <v>35</v>
      </c>
      <c r="K76" t="s">
        <v>533</v>
      </c>
      <c r="L76"/>
      <c r="M76" t="n">
        <v>1977</v>
      </c>
      <c r="N76" t="n">
        <v>1992</v>
      </c>
      <c r="O76" t="s">
        <v>534</v>
      </c>
      <c r="P76" t="n">
        <v>4</v>
      </c>
      <c r="Q76" t="n">
        <v>5</v>
      </c>
      <c r="R76" t="n">
        <v>5</v>
      </c>
      <c r="S76" t="n">
        <v>1968</v>
      </c>
      <c r="T76" t="s">
        <v>535</v>
      </c>
      <c r="U76" t="s">
        <v>536</v>
      </c>
      <c r="V76" t="s">
        <v>74</v>
      </c>
      <c r="W76"/>
      <c r="X76"/>
      <c r="Y76"/>
      <c r="Z76"/>
      <c r="AA76"/>
      <c r="AB76" t="s">
        <v>448</v>
      </c>
      <c r="AC76" t="n">
        <v>218</v>
      </c>
      <c r="AD76"/>
      <c r="AE76"/>
      <c r="AF76" t="s">
        <v>537</v>
      </c>
      <c r="AG76" t="n">
        <v>71</v>
      </c>
    </row>
    <row r="77">
      <c r="A77" t="s">
        <v>538</v>
      </c>
      <c r="B77" t="s">
        <v>31</v>
      </c>
      <c r="C77" t="s">
        <v>65</v>
      </c>
      <c r="D77" t="s">
        <v>539</v>
      </c>
      <c r="E77" t="s">
        <v>95</v>
      </c>
      <c r="F77" t="s">
        <v>387</v>
      </c>
      <c r="G77" t="s">
        <v>433</v>
      </c>
      <c r="H77" t="n">
        <v>39.7661908926175</v>
      </c>
      <c r="I77" t="n">
        <v>-104.854716489933</v>
      </c>
      <c r="J77" t="s">
        <v>35</v>
      </c>
      <c r="K77" t="s">
        <v>234</v>
      </c>
      <c r="L77"/>
      <c r="M77" t="n">
        <v>1980</v>
      </c>
      <c r="N77" t="n">
        <v>1990</v>
      </c>
      <c r="O77" t="s">
        <v>540</v>
      </c>
      <c r="P77" t="n">
        <v>4</v>
      </c>
      <c r="Q77" t="n">
        <v>2</v>
      </c>
      <c r="R77" t="n">
        <v>2</v>
      </c>
      <c r="S77" t="n">
        <v>1964</v>
      </c>
      <c r="T77" t="s">
        <v>541</v>
      </c>
      <c r="U77" t="s">
        <v>542</v>
      </c>
      <c r="V77" t="s">
        <v>74</v>
      </c>
      <c r="W77"/>
      <c r="X77"/>
      <c r="Y77"/>
      <c r="Z77"/>
      <c r="AA77"/>
      <c r="AB77" t="s">
        <v>543</v>
      </c>
      <c r="AC77" t="n">
        <v>103</v>
      </c>
      <c r="AD77" t="s">
        <v>544</v>
      </c>
      <c r="AE77" t="n">
        <v>103</v>
      </c>
      <c r="AF77" t="s">
        <v>545</v>
      </c>
      <c r="AG77" t="n">
        <v>48</v>
      </c>
    </row>
    <row r="78">
      <c r="A78" t="s">
        <v>546</v>
      </c>
      <c r="B78" t="s">
        <v>31</v>
      </c>
      <c r="C78" t="s">
        <v>65</v>
      </c>
      <c r="D78" t="s">
        <v>547</v>
      </c>
      <c r="E78" t="s">
        <v>95</v>
      </c>
      <c r="F78" t="s">
        <v>387</v>
      </c>
      <c r="G78" t="s">
        <v>548</v>
      </c>
      <c r="H78" t="n">
        <v>39.6617320922517</v>
      </c>
      <c r="I78" t="n">
        <v>-104.809226119253</v>
      </c>
      <c r="J78" t="s">
        <v>35</v>
      </c>
      <c r="K78" t="s">
        <v>70</v>
      </c>
      <c r="L78"/>
      <c r="M78" t="n">
        <v>1980</v>
      </c>
      <c r="N78" t="n">
        <v>1980</v>
      </c>
      <c r="O78" t="s">
        <v>255</v>
      </c>
      <c r="P78" t="n">
        <v>1</v>
      </c>
      <c r="Q78" t="n">
        <v>1</v>
      </c>
      <c r="R78" t="n">
        <v>1</v>
      </c>
      <c r="S78" t="n">
        <v>1978</v>
      </c>
      <c r="T78" t="s">
        <v>549</v>
      </c>
      <c r="U78" t="s">
        <v>550</v>
      </c>
      <c r="V78" t="s">
        <v>74</v>
      </c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551</v>
      </c>
      <c r="B79" t="s">
        <v>31</v>
      </c>
      <c r="C79" t="s">
        <v>65</v>
      </c>
      <c r="D79" t="s">
        <v>552</v>
      </c>
      <c r="E79" t="s">
        <v>394</v>
      </c>
      <c r="F79" t="s">
        <v>387</v>
      </c>
      <c r="G79" t="s">
        <v>553</v>
      </c>
      <c r="H79" t="n">
        <v>39.5667645</v>
      </c>
      <c r="I79" t="n">
        <v>-104.8651555</v>
      </c>
      <c r="J79" t="s">
        <v>35</v>
      </c>
      <c r="K79" t="s">
        <v>120</v>
      </c>
      <c r="L79" t="s">
        <v>554</v>
      </c>
      <c r="M79" t="n">
        <v>1980</v>
      </c>
      <c r="N79" t="n">
        <v>1990</v>
      </c>
      <c r="O79" t="s">
        <v>555</v>
      </c>
      <c r="P79" t="n">
        <v>2</v>
      </c>
      <c r="Q79" t="n">
        <v>2</v>
      </c>
      <c r="R79" t="n">
        <v>2</v>
      </c>
      <c r="S79" t="n">
        <v>1956</v>
      </c>
      <c r="T79" t="s">
        <v>556</v>
      </c>
      <c r="U79" t="s">
        <v>557</v>
      </c>
      <c r="V79" t="s">
        <v>74</v>
      </c>
      <c r="W79"/>
      <c r="X79"/>
      <c r="Y79"/>
      <c r="Z79"/>
      <c r="AA79"/>
      <c r="AB79" t="s">
        <v>558</v>
      </c>
      <c r="AC79" t="n">
        <v>207</v>
      </c>
      <c r="AD79"/>
      <c r="AE79"/>
      <c r="AF79" t="s">
        <v>559</v>
      </c>
      <c r="AG79" t="n">
        <v>137</v>
      </c>
    </row>
    <row r="80">
      <c r="A80" t="s">
        <v>560</v>
      </c>
      <c r="B80" t="s">
        <v>31</v>
      </c>
      <c r="C80" t="s">
        <v>65</v>
      </c>
      <c r="D80" t="s">
        <v>561</v>
      </c>
      <c r="E80" t="s">
        <v>394</v>
      </c>
      <c r="F80" t="s">
        <v>387</v>
      </c>
      <c r="G80" t="s">
        <v>395</v>
      </c>
      <c r="H80" t="n">
        <v>39.6627673877551</v>
      </c>
      <c r="I80" t="n">
        <v>-105.014567081633</v>
      </c>
      <c r="J80" t="s">
        <v>35</v>
      </c>
      <c r="K80" t="s">
        <v>126</v>
      </c>
      <c r="L80"/>
      <c r="M80" t="n">
        <v>1980</v>
      </c>
      <c r="N80" t="n">
        <v>1990</v>
      </c>
      <c r="O80" t="s">
        <v>310</v>
      </c>
      <c r="P80" t="n">
        <v>4</v>
      </c>
      <c r="Q80" t="n">
        <v>2</v>
      </c>
      <c r="R80" t="n">
        <v>1</v>
      </c>
      <c r="S80" t="n">
        <v>1974</v>
      </c>
      <c r="T80" t="s">
        <v>562</v>
      </c>
      <c r="U80" t="s">
        <v>563</v>
      </c>
      <c r="V80" t="s">
        <v>74</v>
      </c>
      <c r="W80"/>
      <c r="X80"/>
      <c r="Y80"/>
      <c r="Z80"/>
      <c r="AA80"/>
      <c r="AB80" t="s">
        <v>448</v>
      </c>
      <c r="AC80" t="n">
        <v>201</v>
      </c>
      <c r="AD80"/>
      <c r="AE80"/>
      <c r="AF80" t="s">
        <v>524</v>
      </c>
      <c r="AG80" t="n">
        <v>83</v>
      </c>
    </row>
    <row r="81">
      <c r="A81" t="s">
        <v>564</v>
      </c>
      <c r="B81" t="s">
        <v>31</v>
      </c>
      <c r="C81" t="s">
        <v>65</v>
      </c>
      <c r="D81" t="s">
        <v>565</v>
      </c>
      <c r="E81" t="s">
        <v>394</v>
      </c>
      <c r="F81" t="s">
        <v>387</v>
      </c>
      <c r="G81" t="s">
        <v>553</v>
      </c>
      <c r="H81" t="n">
        <v>39.5895956752262</v>
      </c>
      <c r="I81" t="n">
        <v>-104.883796356937</v>
      </c>
      <c r="J81" t="s">
        <v>35</v>
      </c>
      <c r="K81" t="s">
        <v>120</v>
      </c>
      <c r="L81"/>
      <c r="M81" t="n">
        <v>1980</v>
      </c>
      <c r="N81" t="n">
        <v>1983</v>
      </c>
      <c r="O81" t="s">
        <v>528</v>
      </c>
      <c r="P81" t="n">
        <v>2</v>
      </c>
      <c r="Q81" t="n">
        <v>2</v>
      </c>
      <c r="R81" t="n">
        <v>1</v>
      </c>
      <c r="S81" t="n">
        <v>1979</v>
      </c>
      <c r="T81" t="s">
        <v>566</v>
      </c>
      <c r="U81" t="s">
        <v>567</v>
      </c>
      <c r="V81" t="s">
        <v>74</v>
      </c>
      <c r="W81"/>
      <c r="X81"/>
      <c r="Y81"/>
      <c r="Z81"/>
      <c r="AA81"/>
      <c r="AB81"/>
      <c r="AC81"/>
      <c r="AD81"/>
      <c r="AE81"/>
      <c r="AF81" t="s">
        <v>568</v>
      </c>
      <c r="AG81" t="n">
        <v>196</v>
      </c>
    </row>
    <row r="82">
      <c r="A82" t="s">
        <v>569</v>
      </c>
      <c r="B82" t="s">
        <v>31</v>
      </c>
      <c r="C82" t="s">
        <v>65</v>
      </c>
      <c r="D82" t="s">
        <v>570</v>
      </c>
      <c r="E82" t="s">
        <v>394</v>
      </c>
      <c r="F82" t="s">
        <v>387</v>
      </c>
      <c r="G82" t="s">
        <v>553</v>
      </c>
      <c r="H82" t="n">
        <v>39.5714286705778</v>
      </c>
      <c r="I82" t="n">
        <v>-104.858486245487</v>
      </c>
      <c r="J82" t="s">
        <v>35</v>
      </c>
      <c r="K82" t="s">
        <v>120</v>
      </c>
      <c r="L82"/>
      <c r="M82" t="n">
        <v>1980</v>
      </c>
      <c r="N82" t="n">
        <v>1980</v>
      </c>
      <c r="O82" t="s">
        <v>255</v>
      </c>
      <c r="P82" t="n">
        <v>1</v>
      </c>
      <c r="Q82" t="n">
        <v>1</v>
      </c>
      <c r="R82" t="n">
        <v>1</v>
      </c>
      <c r="S82" t="n">
        <v>1977</v>
      </c>
      <c r="T82" t="s">
        <v>571</v>
      </c>
      <c r="U82" t="s">
        <v>572</v>
      </c>
      <c r="V82" t="s">
        <v>74</v>
      </c>
      <c r="W82"/>
      <c r="X82"/>
      <c r="Y82"/>
      <c r="Z82"/>
      <c r="AA82"/>
      <c r="AB82"/>
      <c r="AC82"/>
      <c r="AD82" t="s">
        <v>573</v>
      </c>
      <c r="AE82" t="n">
        <v>221</v>
      </c>
      <c r="AF82" t="s">
        <v>574</v>
      </c>
      <c r="AG82" t="n">
        <v>215</v>
      </c>
    </row>
    <row r="83">
      <c r="A83" t="s">
        <v>575</v>
      </c>
      <c r="B83" t="s">
        <v>31</v>
      </c>
      <c r="C83" t="s">
        <v>65</v>
      </c>
      <c r="D83" t="s">
        <v>576</v>
      </c>
      <c r="E83" t="s">
        <v>394</v>
      </c>
      <c r="F83" t="s">
        <v>387</v>
      </c>
      <c r="G83" t="s">
        <v>395</v>
      </c>
      <c r="H83" t="n">
        <v>39.6385558571428</v>
      </c>
      <c r="I83" t="n">
        <v>-104.987644714286</v>
      </c>
      <c r="J83" t="s">
        <v>35</v>
      </c>
      <c r="K83" t="s">
        <v>70</v>
      </c>
      <c r="L83"/>
      <c r="M83" t="n">
        <v>1980</v>
      </c>
      <c r="N83" t="n">
        <v>1980</v>
      </c>
      <c r="O83" t="s">
        <v>255</v>
      </c>
      <c r="P83" t="n">
        <v>1</v>
      </c>
      <c r="Q83" t="n">
        <v>1</v>
      </c>
      <c r="R83" t="n">
        <v>1</v>
      </c>
      <c r="S83" t="n">
        <v>1978</v>
      </c>
      <c r="T83" t="s">
        <v>577</v>
      </c>
      <c r="U83" t="s">
        <v>578</v>
      </c>
      <c r="V83" t="s">
        <v>74</v>
      </c>
      <c r="W83"/>
      <c r="X83"/>
      <c r="Y83"/>
      <c r="Z83"/>
      <c r="AA83"/>
      <c r="AB83"/>
      <c r="AC83"/>
      <c r="AD83"/>
      <c r="AE83"/>
      <c r="AF83" t="s">
        <v>579</v>
      </c>
      <c r="AG83" t="n">
        <v>41</v>
      </c>
    </row>
    <row r="84">
      <c r="A84" t="s">
        <v>580</v>
      </c>
      <c r="B84" t="s">
        <v>31</v>
      </c>
      <c r="C84" t="s">
        <v>65</v>
      </c>
      <c r="D84" t="s">
        <v>581</v>
      </c>
      <c r="E84" t="s">
        <v>394</v>
      </c>
      <c r="F84" t="s">
        <v>387</v>
      </c>
      <c r="G84" t="s">
        <v>395</v>
      </c>
      <c r="H84" t="n">
        <v>39.6510057497036</v>
      </c>
      <c r="I84" t="n">
        <v>-104.999385145737</v>
      </c>
      <c r="J84" t="s">
        <v>35</v>
      </c>
      <c r="K84" t="s">
        <v>133</v>
      </c>
      <c r="L84"/>
      <c r="M84" t="n">
        <v>1980</v>
      </c>
      <c r="N84" t="n">
        <v>1990</v>
      </c>
      <c r="O84" t="s">
        <v>582</v>
      </c>
      <c r="P84" t="n">
        <v>3</v>
      </c>
      <c r="Q84" t="n">
        <v>1</v>
      </c>
      <c r="R84" t="n">
        <v>1</v>
      </c>
      <c r="S84" t="n">
        <v>1976</v>
      </c>
      <c r="T84" t="s">
        <v>583</v>
      </c>
      <c r="U84" t="s">
        <v>584</v>
      </c>
      <c r="V84" t="s">
        <v>74</v>
      </c>
      <c r="W84"/>
      <c r="X84"/>
      <c r="Y84"/>
      <c r="Z84"/>
      <c r="AA84"/>
      <c r="AB84" t="s">
        <v>405</v>
      </c>
      <c r="AC84" t="n">
        <v>238</v>
      </c>
      <c r="AD84"/>
      <c r="AE84"/>
      <c r="AF84" t="s">
        <v>419</v>
      </c>
      <c r="AG84" t="n">
        <v>191</v>
      </c>
    </row>
    <row r="85">
      <c r="A85" t="s">
        <v>585</v>
      </c>
      <c r="B85" t="s">
        <v>31</v>
      </c>
      <c r="C85" t="s">
        <v>65</v>
      </c>
      <c r="D85" t="s">
        <v>586</v>
      </c>
      <c r="E85" t="s">
        <v>394</v>
      </c>
      <c r="F85" t="s">
        <v>387</v>
      </c>
      <c r="G85" t="s">
        <v>395</v>
      </c>
      <c r="H85" t="n">
        <v>39.6685472236181</v>
      </c>
      <c r="I85" t="n">
        <v>-105.015027160804</v>
      </c>
      <c r="J85" t="s">
        <v>35</v>
      </c>
      <c r="K85" t="s">
        <v>120</v>
      </c>
      <c r="L85"/>
      <c r="M85" t="n">
        <v>1980</v>
      </c>
      <c r="N85" t="n">
        <v>1990</v>
      </c>
      <c r="O85" t="s">
        <v>528</v>
      </c>
      <c r="P85" t="n">
        <v>4</v>
      </c>
      <c r="Q85" t="n">
        <v>3</v>
      </c>
      <c r="R85" t="n">
        <v>2</v>
      </c>
      <c r="S85" t="n">
        <v>1949</v>
      </c>
      <c r="T85" t="s">
        <v>587</v>
      </c>
      <c r="U85" t="s">
        <v>588</v>
      </c>
      <c r="V85" t="s">
        <v>74</v>
      </c>
      <c r="W85"/>
      <c r="X85"/>
      <c r="Y85"/>
      <c r="Z85"/>
      <c r="AA85"/>
      <c r="AB85" t="s">
        <v>589</v>
      </c>
      <c r="AC85" t="n">
        <v>158</v>
      </c>
      <c r="AD85"/>
      <c r="AE85"/>
      <c r="AF85" t="s">
        <v>590</v>
      </c>
      <c r="AG85" t="n">
        <v>85</v>
      </c>
    </row>
    <row r="86">
      <c r="A86" t="s">
        <v>591</v>
      </c>
      <c r="B86" t="s">
        <v>31</v>
      </c>
      <c r="C86" t="s">
        <v>65</v>
      </c>
      <c r="D86" t="s">
        <v>592</v>
      </c>
      <c r="E86" t="s">
        <v>386</v>
      </c>
      <c r="F86" t="s">
        <v>387</v>
      </c>
      <c r="G86" t="s">
        <v>428</v>
      </c>
      <c r="H86" t="n">
        <v>39.6197515503104</v>
      </c>
      <c r="I86" t="n">
        <v>-104.990335412922</v>
      </c>
      <c r="J86" t="s">
        <v>35</v>
      </c>
      <c r="K86" t="s">
        <v>89</v>
      </c>
      <c r="L86"/>
      <c r="M86" t="n">
        <v>1980</v>
      </c>
      <c r="N86" t="n">
        <v>1983</v>
      </c>
      <c r="O86" t="s">
        <v>528</v>
      </c>
      <c r="P86" t="n">
        <v>2</v>
      </c>
      <c r="Q86" t="n">
        <v>1</v>
      </c>
      <c r="R86" t="n">
        <v>1</v>
      </c>
      <c r="S86" t="n">
        <v>1978</v>
      </c>
      <c r="T86" t="s">
        <v>593</v>
      </c>
      <c r="U86" t="s">
        <v>594</v>
      </c>
      <c r="V86" t="s">
        <v>74</v>
      </c>
      <c r="W86"/>
      <c r="X86"/>
      <c r="Y86"/>
      <c r="Z86"/>
      <c r="AA86"/>
      <c r="AB86" t="s">
        <v>595</v>
      </c>
      <c r="AC86" t="n">
        <v>194</v>
      </c>
      <c r="AD86" t="s">
        <v>596</v>
      </c>
      <c r="AE86" t="n">
        <v>224</v>
      </c>
      <c r="AF86" t="s">
        <v>597</v>
      </c>
      <c r="AG86" t="n">
        <v>199</v>
      </c>
    </row>
    <row r="87">
      <c r="A87" t="s">
        <v>598</v>
      </c>
      <c r="B87" t="s">
        <v>31</v>
      </c>
      <c r="C87" t="s">
        <v>65</v>
      </c>
      <c r="D87" t="s">
        <v>599</v>
      </c>
      <c r="E87" t="s">
        <v>386</v>
      </c>
      <c r="F87" t="s">
        <v>387</v>
      </c>
      <c r="G87" t="s">
        <v>428</v>
      </c>
      <c r="H87" t="n">
        <v>39.615166</v>
      </c>
      <c r="I87" t="n">
        <v>-105.013683</v>
      </c>
      <c r="J87" t="s">
        <v>35</v>
      </c>
      <c r="K87" t="s">
        <v>220</v>
      </c>
      <c r="L87"/>
      <c r="M87" t="n">
        <v>1980</v>
      </c>
      <c r="N87" t="n">
        <v>1980</v>
      </c>
      <c r="O87" t="s">
        <v>255</v>
      </c>
      <c r="P87" t="n">
        <v>1</v>
      </c>
      <c r="Q87" t="n">
        <v>1</v>
      </c>
      <c r="R87" t="n">
        <v>1</v>
      </c>
      <c r="S87"/>
      <c r="T87" t="s">
        <v>600</v>
      </c>
      <c r="U87" t="s">
        <v>601</v>
      </c>
      <c r="V87" t="s">
        <v>74</v>
      </c>
      <c r="W87"/>
      <c r="X87"/>
      <c r="Y87"/>
      <c r="Z87"/>
      <c r="AA87"/>
      <c r="AB87"/>
      <c r="AC87"/>
      <c r="AD87"/>
      <c r="AE87"/>
      <c r="AF87" t="s">
        <v>602</v>
      </c>
      <c r="AG87" t="n">
        <v>243</v>
      </c>
    </row>
    <row r="88">
      <c r="A88" t="s">
        <v>603</v>
      </c>
      <c r="B88" t="s">
        <v>31</v>
      </c>
      <c r="C88" t="s">
        <v>65</v>
      </c>
      <c r="D88" t="s">
        <v>604</v>
      </c>
      <c r="E88" t="s">
        <v>386</v>
      </c>
      <c r="F88" t="s">
        <v>387</v>
      </c>
      <c r="G88" t="s">
        <v>605</v>
      </c>
      <c r="H88" t="n">
        <v>39.5878649303985</v>
      </c>
      <c r="I88" t="n">
        <v>-104.968816615866</v>
      </c>
      <c r="J88" t="s">
        <v>35</v>
      </c>
      <c r="K88" t="s">
        <v>133</v>
      </c>
      <c r="L88"/>
      <c r="M88" t="n">
        <v>1980</v>
      </c>
      <c r="N88" t="n">
        <v>1983</v>
      </c>
      <c r="O88" t="s">
        <v>528</v>
      </c>
      <c r="P88" t="n">
        <v>2</v>
      </c>
      <c r="Q88" t="n">
        <v>1</v>
      </c>
      <c r="R88" t="n">
        <v>1</v>
      </c>
      <c r="S88" t="n">
        <v>1976</v>
      </c>
      <c r="T88" t="s">
        <v>606</v>
      </c>
      <c r="U88" t="s">
        <v>607</v>
      </c>
      <c r="V88" t="s">
        <v>74</v>
      </c>
      <c r="W88"/>
      <c r="X88"/>
      <c r="Y88"/>
      <c r="Z88"/>
      <c r="AA88"/>
      <c r="AB88"/>
      <c r="AC88"/>
      <c r="AD88"/>
      <c r="AE88"/>
      <c r="AF88"/>
      <c r="AG88"/>
    </row>
    <row r="89">
      <c r="A89" t="s">
        <v>608</v>
      </c>
      <c r="B89" t="s">
        <v>31</v>
      </c>
      <c r="C89" t="s">
        <v>65</v>
      </c>
      <c r="D89" t="s">
        <v>609</v>
      </c>
      <c r="E89" t="s">
        <v>95</v>
      </c>
      <c r="F89" t="s">
        <v>387</v>
      </c>
      <c r="G89" t="s">
        <v>610</v>
      </c>
      <c r="H89" t="n">
        <v>39.70357</v>
      </c>
      <c r="I89" t="n">
        <v>-104.785651</v>
      </c>
      <c r="J89" t="s">
        <v>35</v>
      </c>
      <c r="K89" t="s">
        <v>120</v>
      </c>
      <c r="L89"/>
      <c r="M89" t="n">
        <v>1983</v>
      </c>
      <c r="N89" t="n">
        <v>1983</v>
      </c>
      <c r="O89" t="s">
        <v>264</v>
      </c>
      <c r="P89" t="n">
        <v>1</v>
      </c>
      <c r="Q89" t="n">
        <v>1</v>
      </c>
      <c r="R89" t="n">
        <v>1</v>
      </c>
      <c r="S89" t="n">
        <v>1968</v>
      </c>
      <c r="T89" t="s">
        <v>611</v>
      </c>
      <c r="U89" t="s">
        <v>612</v>
      </c>
      <c r="V89" t="s">
        <v>74</v>
      </c>
      <c r="W89"/>
      <c r="X89"/>
      <c r="Y89"/>
      <c r="Z89"/>
      <c r="AA89"/>
      <c r="AB89"/>
      <c r="AC89"/>
      <c r="AD89"/>
      <c r="AE89"/>
      <c r="AF89" t="s">
        <v>613</v>
      </c>
      <c r="AG89" t="n">
        <v>135</v>
      </c>
    </row>
    <row r="90">
      <c r="A90" t="s">
        <v>614</v>
      </c>
      <c r="B90" t="s">
        <v>31</v>
      </c>
      <c r="C90" t="s">
        <v>65</v>
      </c>
      <c r="D90" t="s">
        <v>615</v>
      </c>
      <c r="E90" t="s">
        <v>95</v>
      </c>
      <c r="F90" t="s">
        <v>387</v>
      </c>
      <c r="G90" t="s">
        <v>548</v>
      </c>
      <c r="H90" t="n">
        <v>39.658573</v>
      </c>
      <c r="I90" t="n">
        <v>-104.783686</v>
      </c>
      <c r="J90" t="s">
        <v>35</v>
      </c>
      <c r="K90" t="s">
        <v>616</v>
      </c>
      <c r="L90"/>
      <c r="M90" t="n">
        <v>1983</v>
      </c>
      <c r="N90" t="n">
        <v>1990</v>
      </c>
      <c r="O90" t="s">
        <v>293</v>
      </c>
      <c r="P90" t="n">
        <v>2</v>
      </c>
      <c r="Q90" t="n">
        <v>1</v>
      </c>
      <c r="R90" t="n">
        <v>1</v>
      </c>
      <c r="S90" t="n">
        <v>1976</v>
      </c>
      <c r="T90" t="s">
        <v>617</v>
      </c>
      <c r="U90" t="s">
        <v>618</v>
      </c>
      <c r="V90" t="s">
        <v>74</v>
      </c>
      <c r="W90"/>
      <c r="X90"/>
      <c r="Y90"/>
      <c r="Z90"/>
      <c r="AA90"/>
      <c r="AB90"/>
      <c r="AC90"/>
      <c r="AD90"/>
      <c r="AE90"/>
      <c r="AF90" t="s">
        <v>619</v>
      </c>
      <c r="AG90" t="n">
        <v>117</v>
      </c>
    </row>
    <row r="91">
      <c r="A91" t="s">
        <v>620</v>
      </c>
      <c r="B91" t="s">
        <v>31</v>
      </c>
      <c r="C91" t="s">
        <v>65</v>
      </c>
      <c r="D91" t="s">
        <v>621</v>
      </c>
      <c r="E91" t="s">
        <v>394</v>
      </c>
      <c r="F91" t="s">
        <v>387</v>
      </c>
      <c r="G91" t="s">
        <v>553</v>
      </c>
      <c r="H91" t="n">
        <v>39.5883059593124</v>
      </c>
      <c r="I91" t="n">
        <v>-104.883716426956</v>
      </c>
      <c r="J91" t="s">
        <v>35</v>
      </c>
      <c r="K91" t="s">
        <v>120</v>
      </c>
      <c r="L91"/>
      <c r="M91" t="n">
        <v>1983</v>
      </c>
      <c r="N91" t="n">
        <v>1992</v>
      </c>
      <c r="O91" t="s">
        <v>264</v>
      </c>
      <c r="P91" t="n">
        <v>4</v>
      </c>
      <c r="Q91" t="n">
        <v>5</v>
      </c>
      <c r="R91" t="n">
        <v>1</v>
      </c>
      <c r="S91" t="n">
        <v>1975</v>
      </c>
      <c r="T91" t="s">
        <v>622</v>
      </c>
      <c r="U91" t="s">
        <v>623</v>
      </c>
      <c r="V91" t="s">
        <v>74</v>
      </c>
      <c r="W91"/>
      <c r="X91"/>
      <c r="Y91"/>
      <c r="Z91"/>
      <c r="AA91"/>
      <c r="AB91"/>
      <c r="AC91"/>
      <c r="AD91"/>
      <c r="AE91"/>
      <c r="AF91" t="s">
        <v>624</v>
      </c>
      <c r="AG91" t="n">
        <v>141</v>
      </c>
    </row>
    <row r="92">
      <c r="A92" t="s">
        <v>625</v>
      </c>
      <c r="B92" t="s">
        <v>31</v>
      </c>
      <c r="C92" t="s">
        <v>65</v>
      </c>
      <c r="D92" t="s">
        <v>626</v>
      </c>
      <c r="E92" t="s">
        <v>394</v>
      </c>
      <c r="F92" t="s">
        <v>387</v>
      </c>
      <c r="G92" t="s">
        <v>395</v>
      </c>
      <c r="H92" t="n">
        <v>39.6643464545455</v>
      </c>
      <c r="I92" t="n">
        <v>-105.015776363636</v>
      </c>
      <c r="J92" t="s">
        <v>35</v>
      </c>
      <c r="K92" t="s">
        <v>133</v>
      </c>
      <c r="L92"/>
      <c r="M92" t="n">
        <v>1983</v>
      </c>
      <c r="N92" t="n">
        <v>1990</v>
      </c>
      <c r="O92" t="s">
        <v>271</v>
      </c>
      <c r="P92" t="n">
        <v>3</v>
      </c>
      <c r="Q92" t="n">
        <v>1</v>
      </c>
      <c r="R92" t="n">
        <v>1</v>
      </c>
      <c r="S92" t="n">
        <v>1965</v>
      </c>
      <c r="T92" t="s">
        <v>627</v>
      </c>
      <c r="U92" t="s">
        <v>628</v>
      </c>
      <c r="V92" t="s">
        <v>74</v>
      </c>
      <c r="W92"/>
      <c r="X92"/>
      <c r="Y92"/>
      <c r="Z92"/>
      <c r="AA92"/>
      <c r="AB92"/>
      <c r="AC92"/>
      <c r="AD92" t="s">
        <v>449</v>
      </c>
      <c r="AE92" t="n">
        <v>215</v>
      </c>
      <c r="AF92" t="s">
        <v>629</v>
      </c>
      <c r="AG92" t="n">
        <v>81</v>
      </c>
    </row>
    <row r="93">
      <c r="A93" t="s">
        <v>630</v>
      </c>
      <c r="B93" t="s">
        <v>31</v>
      </c>
      <c r="C93" t="s">
        <v>65</v>
      </c>
      <c r="D93" t="s">
        <v>631</v>
      </c>
      <c r="E93" t="s">
        <v>394</v>
      </c>
      <c r="F93" t="s">
        <v>387</v>
      </c>
      <c r="G93" t="s">
        <v>632</v>
      </c>
      <c r="H93" t="n">
        <v>39.6405941705119</v>
      </c>
      <c r="I93" t="n">
        <v>-105.023577478281</v>
      </c>
      <c r="J93" t="s">
        <v>35</v>
      </c>
      <c r="K93" t="s">
        <v>527</v>
      </c>
      <c r="L93"/>
      <c r="M93" t="n">
        <v>1983</v>
      </c>
      <c r="N93" t="n">
        <v>1983</v>
      </c>
      <c r="O93" t="s">
        <v>264</v>
      </c>
      <c r="P93" t="n">
        <v>1</v>
      </c>
      <c r="Q93" t="n">
        <v>1</v>
      </c>
      <c r="R93" t="n">
        <v>1</v>
      </c>
      <c r="S93" t="n">
        <v>1962</v>
      </c>
      <c r="T93" t="s">
        <v>633</v>
      </c>
      <c r="U93" t="s">
        <v>634</v>
      </c>
      <c r="V93" t="s">
        <v>74</v>
      </c>
      <c r="W93"/>
      <c r="X93"/>
      <c r="Y93"/>
      <c r="Z93"/>
      <c r="AA93"/>
      <c r="AB93" t="s">
        <v>635</v>
      </c>
      <c r="AC93" t="n">
        <v>157</v>
      </c>
      <c r="AD93"/>
      <c r="AE93"/>
      <c r="AF93" t="s">
        <v>636</v>
      </c>
      <c r="AG93" t="n">
        <v>155</v>
      </c>
    </row>
    <row r="94">
      <c r="A94" t="s">
        <v>637</v>
      </c>
      <c r="B94" t="s">
        <v>31</v>
      </c>
      <c r="C94" t="s">
        <v>65</v>
      </c>
      <c r="D94" t="s">
        <v>638</v>
      </c>
      <c r="E94" t="s">
        <v>394</v>
      </c>
      <c r="F94" t="s">
        <v>387</v>
      </c>
      <c r="G94" t="s">
        <v>395</v>
      </c>
      <c r="H94" t="n">
        <v>39.6605057004846</v>
      </c>
      <c r="I94" t="n">
        <v>-105.019423327358</v>
      </c>
      <c r="J94" t="s">
        <v>35</v>
      </c>
      <c r="K94" t="s">
        <v>120</v>
      </c>
      <c r="L94"/>
      <c r="M94" t="n">
        <v>1983</v>
      </c>
      <c r="N94" t="n">
        <v>1983</v>
      </c>
      <c r="O94" t="s">
        <v>264</v>
      </c>
      <c r="P94" t="n">
        <v>1</v>
      </c>
      <c r="Q94" t="n">
        <v>1</v>
      </c>
      <c r="R94" t="n">
        <v>1</v>
      </c>
      <c r="S94" t="n">
        <v>1979</v>
      </c>
      <c r="T94" t="s">
        <v>639</v>
      </c>
      <c r="U94" t="s">
        <v>640</v>
      </c>
      <c r="V94" t="s">
        <v>74</v>
      </c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641</v>
      </c>
      <c r="B95" t="s">
        <v>31</v>
      </c>
      <c r="C95" t="s">
        <v>65</v>
      </c>
      <c r="D95" t="s">
        <v>642</v>
      </c>
      <c r="E95" t="s">
        <v>386</v>
      </c>
      <c r="F95" t="s">
        <v>387</v>
      </c>
      <c r="G95" t="s">
        <v>428</v>
      </c>
      <c r="H95" t="n">
        <v>39.582027</v>
      </c>
      <c r="I95" t="n">
        <v>-104.997801</v>
      </c>
      <c r="J95" t="s">
        <v>35</v>
      </c>
      <c r="K95" t="s">
        <v>282</v>
      </c>
      <c r="L95"/>
      <c r="M95" t="n">
        <v>1983</v>
      </c>
      <c r="N95" t="n">
        <v>1990</v>
      </c>
      <c r="O95" t="s">
        <v>271</v>
      </c>
      <c r="P95" t="n">
        <v>3</v>
      </c>
      <c r="Q95" t="n">
        <v>2</v>
      </c>
      <c r="R95" t="n">
        <v>2</v>
      </c>
      <c r="S95" t="n">
        <v>1976</v>
      </c>
      <c r="T95" t="s">
        <v>643</v>
      </c>
      <c r="U95" t="s">
        <v>644</v>
      </c>
      <c r="V95" t="s">
        <v>74</v>
      </c>
      <c r="W95"/>
      <c r="X95"/>
      <c r="Y95"/>
      <c r="Z95"/>
      <c r="AA95"/>
      <c r="AB95"/>
      <c r="AC95"/>
      <c r="AD95"/>
      <c r="AE95"/>
      <c r="AF95"/>
      <c r="AG95"/>
    </row>
    <row r="96">
      <c r="A96" t="s">
        <v>645</v>
      </c>
      <c r="B96" t="s">
        <v>31</v>
      </c>
      <c r="C96" t="s">
        <v>65</v>
      </c>
      <c r="D96" t="s">
        <v>646</v>
      </c>
      <c r="E96" t="s">
        <v>394</v>
      </c>
      <c r="F96" t="s">
        <v>387</v>
      </c>
      <c r="G96" t="s">
        <v>395</v>
      </c>
      <c r="H96" t="n">
        <v>39.6677348560606</v>
      </c>
      <c r="I96" t="n">
        <v>-105.015097848485</v>
      </c>
      <c r="J96" t="s">
        <v>35</v>
      </c>
      <c r="K96" t="s">
        <v>70</v>
      </c>
      <c r="L96"/>
      <c r="M96" t="n">
        <v>1988</v>
      </c>
      <c r="N96" t="n">
        <v>1992</v>
      </c>
      <c r="O96" t="s">
        <v>325</v>
      </c>
      <c r="P96" t="n">
        <v>3</v>
      </c>
      <c r="Q96" t="n">
        <v>2</v>
      </c>
      <c r="R96" t="n">
        <v>1</v>
      </c>
      <c r="S96" t="n">
        <v>1968</v>
      </c>
      <c r="T96" t="s">
        <v>647</v>
      </c>
      <c r="U96" t="s">
        <v>648</v>
      </c>
      <c r="V96" t="s">
        <v>74</v>
      </c>
      <c r="W96"/>
      <c r="X96"/>
      <c r="Y96"/>
      <c r="Z96"/>
      <c r="AA96"/>
      <c r="AB96" t="s">
        <v>589</v>
      </c>
      <c r="AC96" t="n">
        <v>126</v>
      </c>
      <c r="AD96" t="s">
        <v>449</v>
      </c>
      <c r="AE96" t="n">
        <v>226</v>
      </c>
      <c r="AF96" t="s">
        <v>649</v>
      </c>
      <c r="AG96" t="n">
        <v>98</v>
      </c>
    </row>
    <row r="97">
      <c r="A97" t="s">
        <v>650</v>
      </c>
      <c r="B97" t="s">
        <v>31</v>
      </c>
      <c r="C97" t="s">
        <v>65</v>
      </c>
      <c r="D97" t="s">
        <v>651</v>
      </c>
      <c r="E97" t="s">
        <v>394</v>
      </c>
      <c r="F97" t="s">
        <v>387</v>
      </c>
      <c r="G97" t="s">
        <v>395</v>
      </c>
      <c r="H97" t="n">
        <v>39.6361531116757</v>
      </c>
      <c r="I97" t="n">
        <v>-105.025380511095</v>
      </c>
      <c r="J97" t="s">
        <v>35</v>
      </c>
      <c r="K97" t="s">
        <v>133</v>
      </c>
      <c r="L97"/>
      <c r="M97" t="n">
        <v>1988</v>
      </c>
      <c r="N97" t="n">
        <v>1988</v>
      </c>
      <c r="O97" t="s">
        <v>325</v>
      </c>
      <c r="P97" t="n">
        <v>1</v>
      </c>
      <c r="Q97" t="n">
        <v>1</v>
      </c>
      <c r="R97" t="n">
        <v>1</v>
      </c>
      <c r="S97" t="n">
        <v>1985</v>
      </c>
      <c r="T97" t="s">
        <v>652</v>
      </c>
      <c r="U97" t="s">
        <v>653</v>
      </c>
      <c r="V97" t="s">
        <v>74</v>
      </c>
      <c r="W97"/>
      <c r="X97"/>
      <c r="Y97"/>
      <c r="Z97"/>
      <c r="AA97"/>
      <c r="AB97" t="s">
        <v>654</v>
      </c>
      <c r="AC97" t="n">
        <v>186</v>
      </c>
      <c r="AD97"/>
      <c r="AE97"/>
      <c r="AF97"/>
      <c r="AG97"/>
    </row>
    <row r="98">
      <c r="A98" t="s">
        <v>655</v>
      </c>
      <c r="B98" t="s">
        <v>31</v>
      </c>
      <c r="C98" t="s">
        <v>65</v>
      </c>
      <c r="D98" t="s">
        <v>656</v>
      </c>
      <c r="E98" t="s">
        <v>394</v>
      </c>
      <c r="F98" t="s">
        <v>387</v>
      </c>
      <c r="G98" t="s">
        <v>395</v>
      </c>
      <c r="H98" t="n">
        <v>39.6487542244898</v>
      </c>
      <c r="I98" t="n">
        <v>-105.027981938775</v>
      </c>
      <c r="J98" t="s">
        <v>35</v>
      </c>
      <c r="K98" t="s">
        <v>120</v>
      </c>
      <c r="L98"/>
      <c r="M98" t="n">
        <v>1988</v>
      </c>
      <c r="N98" t="n">
        <v>1988</v>
      </c>
      <c r="O98" t="s">
        <v>325</v>
      </c>
      <c r="P98" t="n">
        <v>1</v>
      </c>
      <c r="Q98" t="n">
        <v>1</v>
      </c>
      <c r="R98" t="n">
        <v>1</v>
      </c>
      <c r="S98" t="n">
        <v>1984</v>
      </c>
      <c r="T98" t="s">
        <v>657</v>
      </c>
      <c r="U98" t="s">
        <v>658</v>
      </c>
      <c r="V98" t="s">
        <v>74</v>
      </c>
      <c r="W98"/>
      <c r="X98"/>
      <c r="Y98"/>
      <c r="Z98"/>
      <c r="AA98"/>
      <c r="AB98" t="s">
        <v>659</v>
      </c>
      <c r="AC98" t="n">
        <v>235</v>
      </c>
      <c r="AD98" t="s">
        <v>660</v>
      </c>
      <c r="AE98" t="n">
        <v>223</v>
      </c>
      <c r="AF98" t="s">
        <v>661</v>
      </c>
      <c r="AG98" t="n">
        <v>180</v>
      </c>
    </row>
    <row r="99">
      <c r="A99" t="s">
        <v>662</v>
      </c>
      <c r="B99" t="s">
        <v>31</v>
      </c>
      <c r="C99" t="s">
        <v>65</v>
      </c>
      <c r="D99" t="s">
        <v>663</v>
      </c>
      <c r="E99" t="s">
        <v>394</v>
      </c>
      <c r="F99" t="s">
        <v>387</v>
      </c>
      <c r="G99" t="s">
        <v>395</v>
      </c>
      <c r="H99" t="n">
        <v>39.6575493130181</v>
      </c>
      <c r="I99" t="n">
        <v>-104.959460224336</v>
      </c>
      <c r="J99" t="s">
        <v>35</v>
      </c>
      <c r="K99" t="s">
        <v>133</v>
      </c>
      <c r="L99"/>
      <c r="M99" t="n">
        <v>1988</v>
      </c>
      <c r="N99" t="n">
        <v>1988</v>
      </c>
      <c r="O99" t="s">
        <v>325</v>
      </c>
      <c r="P99" t="n">
        <v>1</v>
      </c>
      <c r="Q99" t="n">
        <v>1</v>
      </c>
      <c r="R99" t="n">
        <v>1</v>
      </c>
      <c r="S99" t="n">
        <v>1983</v>
      </c>
      <c r="T99" t="s">
        <v>664</v>
      </c>
      <c r="U99" t="s">
        <v>665</v>
      </c>
      <c r="V99" t="s">
        <v>74</v>
      </c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666</v>
      </c>
      <c r="B100" t="s">
        <v>31</v>
      </c>
      <c r="C100" t="s">
        <v>65</v>
      </c>
      <c r="D100" t="s">
        <v>667</v>
      </c>
      <c r="E100" t="s">
        <v>668</v>
      </c>
      <c r="F100" t="s">
        <v>387</v>
      </c>
      <c r="G100" t="s">
        <v>669</v>
      </c>
      <c r="H100" t="n">
        <v>39.614981</v>
      </c>
      <c r="I100" t="n">
        <v>-104.904078</v>
      </c>
      <c r="J100" t="s">
        <v>35</v>
      </c>
      <c r="K100" t="s">
        <v>120</v>
      </c>
      <c r="L100"/>
      <c r="M100" t="n">
        <v>1988</v>
      </c>
      <c r="N100" t="n">
        <v>1990</v>
      </c>
      <c r="O100" t="s">
        <v>325</v>
      </c>
      <c r="P100" t="n">
        <v>2</v>
      </c>
      <c r="Q100" t="n">
        <v>2</v>
      </c>
      <c r="R100" t="n">
        <v>1</v>
      </c>
      <c r="S100" t="n">
        <v>1964</v>
      </c>
      <c r="T100" t="s">
        <v>670</v>
      </c>
      <c r="U100" t="s">
        <v>671</v>
      </c>
      <c r="V100" t="s">
        <v>74</v>
      </c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672</v>
      </c>
      <c r="B101" t="s">
        <v>31</v>
      </c>
      <c r="C101" t="s">
        <v>65</v>
      </c>
      <c r="D101" t="s">
        <v>673</v>
      </c>
      <c r="E101" t="s">
        <v>394</v>
      </c>
      <c r="F101" t="s">
        <v>387</v>
      </c>
      <c r="G101" t="s">
        <v>553</v>
      </c>
      <c r="H101" t="n">
        <v>39.5889904490543</v>
      </c>
      <c r="I101" t="n">
        <v>-104.857274875321</v>
      </c>
      <c r="J101" t="s">
        <v>35</v>
      </c>
      <c r="K101" t="s">
        <v>70</v>
      </c>
      <c r="L101"/>
      <c r="M101" t="n">
        <v>1988</v>
      </c>
      <c r="N101" t="n">
        <v>1990</v>
      </c>
      <c r="O101" t="s">
        <v>310</v>
      </c>
      <c r="P101" t="n">
        <v>2</v>
      </c>
      <c r="Q101" t="n">
        <v>1</v>
      </c>
      <c r="R101" t="n">
        <v>1</v>
      </c>
      <c r="S101" t="n">
        <v>1985</v>
      </c>
      <c r="T101" t="s">
        <v>674</v>
      </c>
      <c r="U101" t="s">
        <v>675</v>
      </c>
      <c r="V101" t="s">
        <v>74</v>
      </c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676</v>
      </c>
      <c r="B102" t="s">
        <v>31</v>
      </c>
      <c r="C102" t="s">
        <v>65</v>
      </c>
      <c r="D102" t="s">
        <v>677</v>
      </c>
      <c r="E102" t="s">
        <v>95</v>
      </c>
      <c r="F102" t="s">
        <v>387</v>
      </c>
      <c r="G102" t="s">
        <v>678</v>
      </c>
      <c r="H102" t="n">
        <v>39.6602897142857</v>
      </c>
      <c r="I102" t="n">
        <v>-104.865274387755</v>
      </c>
      <c r="J102" t="s">
        <v>35</v>
      </c>
      <c r="K102" t="s">
        <v>120</v>
      </c>
      <c r="L102"/>
      <c r="M102" t="n">
        <v>1990</v>
      </c>
      <c r="N102" t="n">
        <v>1992</v>
      </c>
      <c r="O102" t="s">
        <v>357</v>
      </c>
      <c r="P102" t="n">
        <v>2</v>
      </c>
      <c r="Q102" t="n">
        <v>1</v>
      </c>
      <c r="R102" t="n">
        <v>1</v>
      </c>
      <c r="S102" t="n">
        <v>1984</v>
      </c>
      <c r="T102" t="s">
        <v>679</v>
      </c>
      <c r="U102" t="s">
        <v>680</v>
      </c>
      <c r="V102" t="s">
        <v>74</v>
      </c>
      <c r="W102"/>
      <c r="X102"/>
      <c r="Y102"/>
      <c r="Z102"/>
      <c r="AA102"/>
      <c r="AB102"/>
      <c r="AC102"/>
      <c r="AD102"/>
      <c r="AE102"/>
      <c r="AF102" t="s">
        <v>681</v>
      </c>
      <c r="AG102" t="n">
        <v>158</v>
      </c>
    </row>
    <row r="103">
      <c r="A103" t="s">
        <v>682</v>
      </c>
      <c r="B103" t="s">
        <v>31</v>
      </c>
      <c r="C103" t="s">
        <v>65</v>
      </c>
      <c r="D103" t="s">
        <v>683</v>
      </c>
      <c r="E103" t="s">
        <v>668</v>
      </c>
      <c r="F103" t="s">
        <v>387</v>
      </c>
      <c r="G103" t="s">
        <v>669</v>
      </c>
      <c r="H103" t="n">
        <v>39.6128745977409</v>
      </c>
      <c r="I103" t="n">
        <v>-104.897486964734</v>
      </c>
      <c r="J103" t="s">
        <v>35</v>
      </c>
      <c r="K103" t="s">
        <v>120</v>
      </c>
      <c r="L103"/>
      <c r="M103" t="n">
        <v>1990</v>
      </c>
      <c r="N103" t="n">
        <v>1992</v>
      </c>
      <c r="O103" t="s">
        <v>357</v>
      </c>
      <c r="P103" t="n">
        <v>2</v>
      </c>
      <c r="Q103" t="n">
        <v>2</v>
      </c>
      <c r="R103" t="n">
        <v>1</v>
      </c>
      <c r="S103" t="n">
        <v>1964</v>
      </c>
      <c r="T103" t="s">
        <v>684</v>
      </c>
      <c r="U103" t="s">
        <v>685</v>
      </c>
      <c r="V103" t="s">
        <v>74</v>
      </c>
      <c r="W103"/>
      <c r="X103"/>
      <c r="Y103"/>
      <c r="Z103"/>
      <c r="AA103"/>
      <c r="AB103"/>
      <c r="AC103"/>
      <c r="AD103"/>
      <c r="AE103"/>
      <c r="AF103" t="s">
        <v>686</v>
      </c>
      <c r="AG103" t="n">
        <v>171</v>
      </c>
    </row>
    <row r="104">
      <c r="A104" t="s">
        <v>687</v>
      </c>
      <c r="B104" t="s">
        <v>31</v>
      </c>
      <c r="C104" t="s">
        <v>65</v>
      </c>
      <c r="D104" t="s">
        <v>688</v>
      </c>
      <c r="E104" t="s">
        <v>668</v>
      </c>
      <c r="F104" t="s">
        <v>387</v>
      </c>
      <c r="G104" t="s">
        <v>669</v>
      </c>
      <c r="H104" t="n">
        <v>39.6010984661017</v>
      </c>
      <c r="I104" t="n">
        <v>-104.857018825878</v>
      </c>
      <c r="J104" t="s">
        <v>35</v>
      </c>
      <c r="K104" t="s">
        <v>81</v>
      </c>
      <c r="L104"/>
      <c r="M104" t="n">
        <v>1990</v>
      </c>
      <c r="N104" t="n">
        <v>1992</v>
      </c>
      <c r="O104" t="s">
        <v>357</v>
      </c>
      <c r="P104" t="n">
        <v>2</v>
      </c>
      <c r="Q104" t="n">
        <v>2</v>
      </c>
      <c r="R104" t="n">
        <v>2</v>
      </c>
      <c r="S104" t="n">
        <v>1979</v>
      </c>
      <c r="T104" t="s">
        <v>689</v>
      </c>
      <c r="U104" t="s">
        <v>690</v>
      </c>
      <c r="V104" t="s">
        <v>74</v>
      </c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691</v>
      </c>
      <c r="B105" t="s">
        <v>31</v>
      </c>
      <c r="C105" t="s">
        <v>65</v>
      </c>
      <c r="D105" t="s">
        <v>692</v>
      </c>
      <c r="E105" t="s">
        <v>668</v>
      </c>
      <c r="F105" t="s">
        <v>387</v>
      </c>
      <c r="G105" t="s">
        <v>669</v>
      </c>
      <c r="H105" t="n">
        <v>39.6014715126904</v>
      </c>
      <c r="I105" t="n">
        <v>-104.842136203046</v>
      </c>
      <c r="J105" t="s">
        <v>35</v>
      </c>
      <c r="K105" t="s">
        <v>120</v>
      </c>
      <c r="L105"/>
      <c r="M105" t="n">
        <v>1990</v>
      </c>
      <c r="N105" t="n">
        <v>1990</v>
      </c>
      <c r="O105" t="s">
        <v>351</v>
      </c>
      <c r="P105" t="n">
        <v>1</v>
      </c>
      <c r="Q105" t="n">
        <v>1</v>
      </c>
      <c r="R105" t="n">
        <v>1</v>
      </c>
      <c r="S105" t="n">
        <v>1986</v>
      </c>
      <c r="T105" t="s">
        <v>693</v>
      </c>
      <c r="U105" t="s">
        <v>694</v>
      </c>
      <c r="V105" t="s">
        <v>74</v>
      </c>
      <c r="W105"/>
      <c r="X105"/>
      <c r="Y105"/>
      <c r="Z105"/>
      <c r="AA105"/>
      <c r="AB105"/>
      <c r="AC105"/>
      <c r="AD105"/>
      <c r="AE105"/>
      <c r="AF105" t="s">
        <v>695</v>
      </c>
      <c r="AG105" t="n">
        <v>85</v>
      </c>
    </row>
    <row r="106">
      <c r="A106" t="s">
        <v>696</v>
      </c>
      <c r="B106" t="s">
        <v>31</v>
      </c>
      <c r="C106" t="s">
        <v>65</v>
      </c>
      <c r="D106" t="s">
        <v>697</v>
      </c>
      <c r="E106" t="s">
        <v>698</v>
      </c>
      <c r="F106" t="s">
        <v>699</v>
      </c>
      <c r="G106" t="s">
        <v>700</v>
      </c>
      <c r="H106" t="n">
        <v>37.2555802902449</v>
      </c>
      <c r="I106" t="n">
        <v>-107.079459207949</v>
      </c>
      <c r="J106" t="s">
        <v>35</v>
      </c>
      <c r="K106" t="s">
        <v>70</v>
      </c>
      <c r="L106"/>
      <c r="M106" t="n">
        <v>1988</v>
      </c>
      <c r="N106" t="n">
        <v>1990</v>
      </c>
      <c r="O106" t="s">
        <v>310</v>
      </c>
      <c r="P106" t="n">
        <v>2</v>
      </c>
      <c r="Q106" t="n">
        <v>1</v>
      </c>
      <c r="R106" t="n">
        <v>1</v>
      </c>
      <c r="S106" t="n">
        <v>1976</v>
      </c>
      <c r="T106" t="s">
        <v>701</v>
      </c>
      <c r="U106" t="s">
        <v>702</v>
      </c>
      <c r="V106" t="s">
        <v>74</v>
      </c>
      <c r="W106"/>
      <c r="X106"/>
      <c r="Y106"/>
      <c r="Z106"/>
      <c r="AA106"/>
      <c r="AB106"/>
      <c r="AC106"/>
      <c r="AD106"/>
      <c r="AE106"/>
      <c r="AF106" t="s">
        <v>703</v>
      </c>
      <c r="AG106" t="n">
        <v>219</v>
      </c>
    </row>
    <row r="107">
      <c r="A107" t="s">
        <v>704</v>
      </c>
      <c r="B107" t="s">
        <v>31</v>
      </c>
      <c r="C107" t="s">
        <v>65</v>
      </c>
      <c r="D107" t="s">
        <v>705</v>
      </c>
      <c r="E107" t="s">
        <v>706</v>
      </c>
      <c r="F107" t="s">
        <v>707</v>
      </c>
      <c r="G107" t="s">
        <v>708</v>
      </c>
      <c r="H107" t="n">
        <v>37.409309</v>
      </c>
      <c r="I107" t="n">
        <v>-102.619235</v>
      </c>
      <c r="J107" t="s">
        <v>35</v>
      </c>
      <c r="K107" t="s">
        <v>120</v>
      </c>
      <c r="L107"/>
      <c r="M107" t="n">
        <v>1970</v>
      </c>
      <c r="N107" t="n">
        <v>1974</v>
      </c>
      <c r="O107" t="s">
        <v>210</v>
      </c>
      <c r="P107" t="n">
        <v>2</v>
      </c>
      <c r="Q107" t="n">
        <v>2</v>
      </c>
      <c r="R107" t="n">
        <v>1</v>
      </c>
      <c r="S107" t="n">
        <v>1963</v>
      </c>
      <c r="T107" t="s">
        <v>709</v>
      </c>
      <c r="U107" t="s">
        <v>710</v>
      </c>
      <c r="V107" t="s">
        <v>74</v>
      </c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711</v>
      </c>
      <c r="B108" t="s">
        <v>31</v>
      </c>
      <c r="C108" t="s">
        <v>65</v>
      </c>
      <c r="D108" t="s">
        <v>712</v>
      </c>
      <c r="E108" t="s">
        <v>713</v>
      </c>
      <c r="F108" t="s">
        <v>714</v>
      </c>
      <c r="G108" t="s">
        <v>715</v>
      </c>
      <c r="H108" t="n">
        <v>38.0644907959184</v>
      </c>
      <c r="I108" t="n">
        <v>-103.231923979592</v>
      </c>
      <c r="J108" t="s">
        <v>35</v>
      </c>
      <c r="K108" t="s">
        <v>89</v>
      </c>
      <c r="L108"/>
      <c r="M108" t="n">
        <v>1966</v>
      </c>
      <c r="N108" t="n">
        <v>1970</v>
      </c>
      <c r="O108" t="s">
        <v>716</v>
      </c>
      <c r="P108" t="n">
        <v>4</v>
      </c>
      <c r="Q108" t="n">
        <v>1</v>
      </c>
      <c r="R108" t="n">
        <v>1</v>
      </c>
      <c r="S108" t="n">
        <v>1947</v>
      </c>
      <c r="T108" t="s">
        <v>717</v>
      </c>
      <c r="U108" t="s">
        <v>718</v>
      </c>
      <c r="V108" t="s">
        <v>74</v>
      </c>
      <c r="W108"/>
      <c r="X108"/>
      <c r="Y108"/>
      <c r="Z108"/>
      <c r="AA108"/>
      <c r="AB108" t="s">
        <v>719</v>
      </c>
      <c r="AC108" t="n">
        <v>139</v>
      </c>
      <c r="AD108"/>
      <c r="AE108"/>
      <c r="AF108" t="s">
        <v>720</v>
      </c>
      <c r="AG108" t="n">
        <v>66</v>
      </c>
    </row>
    <row r="109">
      <c r="A109" t="s">
        <v>721</v>
      </c>
      <c r="B109" t="s">
        <v>31</v>
      </c>
      <c r="C109" t="s">
        <v>65</v>
      </c>
      <c r="D109" t="s">
        <v>722</v>
      </c>
      <c r="E109" t="s">
        <v>723</v>
      </c>
      <c r="F109" t="s">
        <v>724</v>
      </c>
      <c r="G109" t="s">
        <v>725</v>
      </c>
      <c r="H109" t="n">
        <v>40.0242871836735</v>
      </c>
      <c r="I109" t="n">
        <v>-105.259404061225</v>
      </c>
      <c r="J109" t="s">
        <v>35</v>
      </c>
      <c r="K109" t="s">
        <v>70</v>
      </c>
      <c r="L109"/>
      <c r="M109" t="n">
        <v>1966</v>
      </c>
      <c r="N109" t="n">
        <v>1970</v>
      </c>
      <c r="O109" t="s">
        <v>726</v>
      </c>
      <c r="P109" t="n">
        <v>4</v>
      </c>
      <c r="Q109" t="n">
        <v>2</v>
      </c>
      <c r="R109" t="n">
        <v>1</v>
      </c>
      <c r="S109" t="n">
        <v>1951</v>
      </c>
      <c r="T109" t="s">
        <v>727</v>
      </c>
      <c r="U109" t="s">
        <v>728</v>
      </c>
      <c r="V109" t="s">
        <v>74</v>
      </c>
      <c r="W109"/>
      <c r="X109"/>
      <c r="Y109"/>
      <c r="Z109"/>
      <c r="AA109"/>
      <c r="AB109"/>
      <c r="AC109"/>
      <c r="AD109"/>
      <c r="AE109"/>
      <c r="AF109" t="s">
        <v>729</v>
      </c>
      <c r="AG109" t="n">
        <v>83</v>
      </c>
    </row>
    <row r="110">
      <c r="A110" t="s">
        <v>730</v>
      </c>
      <c r="B110" t="s">
        <v>31</v>
      </c>
      <c r="C110" t="s">
        <v>65</v>
      </c>
      <c r="D110" t="s">
        <v>731</v>
      </c>
      <c r="E110" t="s">
        <v>723</v>
      </c>
      <c r="F110" t="s">
        <v>724</v>
      </c>
      <c r="G110" t="s">
        <v>725</v>
      </c>
      <c r="H110" t="n">
        <v>40.0156103090379</v>
      </c>
      <c r="I110" t="n">
        <v>-105.28583406414</v>
      </c>
      <c r="J110" t="s">
        <v>35</v>
      </c>
      <c r="K110" t="s">
        <v>120</v>
      </c>
      <c r="L110" t="s">
        <v>202</v>
      </c>
      <c r="M110" t="n">
        <v>1966</v>
      </c>
      <c r="N110" t="n">
        <v>1992</v>
      </c>
      <c r="O110" t="s">
        <v>732</v>
      </c>
      <c r="P110" t="n">
        <v>11</v>
      </c>
      <c r="Q110" t="n">
        <v>7</v>
      </c>
      <c r="R110" t="n">
        <v>5</v>
      </c>
      <c r="S110" t="n">
        <v>1892</v>
      </c>
      <c r="T110" t="s">
        <v>733</v>
      </c>
      <c r="U110" t="s">
        <v>734</v>
      </c>
      <c r="V110" t="s">
        <v>74</v>
      </c>
      <c r="W110"/>
      <c r="X110"/>
      <c r="Y110"/>
      <c r="Z110"/>
      <c r="AA110"/>
      <c r="AB110"/>
      <c r="AC110"/>
      <c r="AD110"/>
      <c r="AE110"/>
      <c r="AF110" t="s">
        <v>735</v>
      </c>
      <c r="AG110" t="n">
        <v>116</v>
      </c>
    </row>
    <row r="111">
      <c r="A111" t="s">
        <v>736</v>
      </c>
      <c r="B111" t="s">
        <v>31</v>
      </c>
      <c r="C111" t="s">
        <v>65</v>
      </c>
      <c r="D111" t="s">
        <v>737</v>
      </c>
      <c r="E111" t="s">
        <v>738</v>
      </c>
      <c r="F111" t="s">
        <v>724</v>
      </c>
      <c r="G111" t="s">
        <v>739</v>
      </c>
      <c r="H111" t="n">
        <v>40.1837755869228</v>
      </c>
      <c r="I111" t="n">
        <v>-105.102350280948</v>
      </c>
      <c r="J111" t="s">
        <v>35</v>
      </c>
      <c r="K111" t="s">
        <v>220</v>
      </c>
      <c r="L111"/>
      <c r="M111" t="n">
        <v>1966</v>
      </c>
      <c r="N111" t="n">
        <v>1990</v>
      </c>
      <c r="O111" t="s">
        <v>740</v>
      </c>
      <c r="P111" t="n">
        <v>4</v>
      </c>
      <c r="Q111" t="n">
        <v>2</v>
      </c>
      <c r="R111" t="n">
        <v>2</v>
      </c>
      <c r="S111" t="n">
        <v>1948</v>
      </c>
      <c r="T111" t="s">
        <v>741</v>
      </c>
      <c r="U111" t="s">
        <v>742</v>
      </c>
      <c r="V111" t="s">
        <v>74</v>
      </c>
      <c r="W111"/>
      <c r="X111"/>
      <c r="Y111"/>
      <c r="Z111"/>
      <c r="AA111"/>
      <c r="AB111" t="s">
        <v>743</v>
      </c>
      <c r="AC111" t="n">
        <v>106</v>
      </c>
      <c r="AD111"/>
      <c r="AE111"/>
      <c r="AF111" t="s">
        <v>744</v>
      </c>
      <c r="AG111" t="n">
        <v>72</v>
      </c>
    </row>
    <row r="112">
      <c r="A112" t="s">
        <v>745</v>
      </c>
      <c r="B112" t="s">
        <v>31</v>
      </c>
      <c r="C112" t="s">
        <v>65</v>
      </c>
      <c r="D112" t="s">
        <v>746</v>
      </c>
      <c r="E112" t="s">
        <v>738</v>
      </c>
      <c r="F112" t="s">
        <v>724</v>
      </c>
      <c r="G112" t="s">
        <v>739</v>
      </c>
      <c r="H112" t="n">
        <v>40.1611282059693</v>
      </c>
      <c r="I112" t="n">
        <v>-105.106011626527</v>
      </c>
      <c r="J112" t="s">
        <v>35</v>
      </c>
      <c r="K112" t="s">
        <v>133</v>
      </c>
      <c r="L112" t="s">
        <v>747</v>
      </c>
      <c r="M112" t="n">
        <v>1966</v>
      </c>
      <c r="N112" t="n">
        <v>1980</v>
      </c>
      <c r="O112" t="s">
        <v>748</v>
      </c>
      <c r="P112" t="n">
        <v>7</v>
      </c>
      <c r="Q112" t="n">
        <v>6</v>
      </c>
      <c r="R112" t="n">
        <v>3</v>
      </c>
      <c r="S112" t="n">
        <v>1954</v>
      </c>
      <c r="T112" t="s">
        <v>749</v>
      </c>
      <c r="U112" t="s">
        <v>750</v>
      </c>
      <c r="V112" t="s">
        <v>74</v>
      </c>
      <c r="W112"/>
      <c r="X112"/>
      <c r="Y112"/>
      <c r="Z112"/>
      <c r="AA112"/>
      <c r="AB112" t="s">
        <v>751</v>
      </c>
      <c r="AC112" t="n">
        <v>231</v>
      </c>
      <c r="AD112"/>
      <c r="AE112"/>
      <c r="AF112" t="s">
        <v>752</v>
      </c>
      <c r="AG112" t="n">
        <v>75</v>
      </c>
    </row>
    <row r="113">
      <c r="A113" t="s">
        <v>753</v>
      </c>
      <c r="B113" t="s">
        <v>31</v>
      </c>
      <c r="C113" t="s">
        <v>65</v>
      </c>
      <c r="D113" t="s">
        <v>754</v>
      </c>
      <c r="E113" t="s">
        <v>723</v>
      </c>
      <c r="F113" t="s">
        <v>724</v>
      </c>
      <c r="G113" t="s">
        <v>725</v>
      </c>
      <c r="H113" t="n">
        <v>40.020028087274</v>
      </c>
      <c r="I113" t="n">
        <v>-105.260665793798</v>
      </c>
      <c r="J113" t="s">
        <v>35</v>
      </c>
      <c r="K113" t="s">
        <v>89</v>
      </c>
      <c r="L113"/>
      <c r="M113" t="n">
        <v>1967</v>
      </c>
      <c r="N113" t="n">
        <v>1983</v>
      </c>
      <c r="O113" t="s">
        <v>755</v>
      </c>
      <c r="P113" t="n">
        <v>7</v>
      </c>
      <c r="Q113" t="n">
        <v>2</v>
      </c>
      <c r="R113" t="n">
        <v>1</v>
      </c>
      <c r="S113" t="n">
        <v>1920</v>
      </c>
      <c r="T113" t="s">
        <v>756</v>
      </c>
      <c r="U113" t="s">
        <v>757</v>
      </c>
      <c r="V113" t="s">
        <v>74</v>
      </c>
      <c r="W113"/>
      <c r="X113"/>
      <c r="Y113"/>
      <c r="Z113"/>
      <c r="AA113"/>
      <c r="AB113"/>
      <c r="AC113"/>
      <c r="AD113"/>
      <c r="AE113"/>
      <c r="AF113" t="s">
        <v>758</v>
      </c>
      <c r="AG113" t="n">
        <v>195</v>
      </c>
    </row>
    <row r="114">
      <c r="A114" t="s">
        <v>759</v>
      </c>
      <c r="B114" t="s">
        <v>31</v>
      </c>
      <c r="C114" t="s">
        <v>65</v>
      </c>
      <c r="D114" t="s">
        <v>760</v>
      </c>
      <c r="E114" t="s">
        <v>723</v>
      </c>
      <c r="F114" t="s">
        <v>724</v>
      </c>
      <c r="G114" t="s">
        <v>725</v>
      </c>
      <c r="H114" t="n">
        <v>40.0278121864407</v>
      </c>
      <c r="I114" t="n">
        <v>-105.25367161017</v>
      </c>
      <c r="J114" t="s">
        <v>35</v>
      </c>
      <c r="K114" t="s">
        <v>70</v>
      </c>
      <c r="L114"/>
      <c r="M114" t="n">
        <v>1967</v>
      </c>
      <c r="N114" t="n">
        <v>1968</v>
      </c>
      <c r="O114" t="s">
        <v>106</v>
      </c>
      <c r="P114" t="n">
        <v>2</v>
      </c>
      <c r="Q114" t="n">
        <v>1</v>
      </c>
      <c r="R114" t="n">
        <v>1</v>
      </c>
      <c r="S114" t="n">
        <v>1944</v>
      </c>
      <c r="T114" t="s">
        <v>761</v>
      </c>
      <c r="U114" t="s">
        <v>762</v>
      </c>
      <c r="V114" t="s">
        <v>74</v>
      </c>
      <c r="W114"/>
      <c r="X114"/>
      <c r="Y114"/>
      <c r="Z114"/>
      <c r="AA114"/>
      <c r="AB114"/>
      <c r="AC114"/>
      <c r="AD114" t="s">
        <v>763</v>
      </c>
      <c r="AE114" t="n">
        <v>219</v>
      </c>
      <c r="AF114" t="s">
        <v>764</v>
      </c>
      <c r="AG114" t="n">
        <v>63</v>
      </c>
    </row>
    <row r="115">
      <c r="A115" t="s">
        <v>765</v>
      </c>
      <c r="B115" t="s">
        <v>31</v>
      </c>
      <c r="C115" t="s">
        <v>65</v>
      </c>
      <c r="D115" t="s">
        <v>766</v>
      </c>
      <c r="E115" t="s">
        <v>723</v>
      </c>
      <c r="F115" t="s">
        <v>724</v>
      </c>
      <c r="G115" t="s">
        <v>725</v>
      </c>
      <c r="H115" t="n">
        <v>40.0799140843577</v>
      </c>
      <c r="I115" t="n">
        <v>-105.281991994068</v>
      </c>
      <c r="J115" t="s">
        <v>35</v>
      </c>
      <c r="K115" t="s">
        <v>767</v>
      </c>
      <c r="L115" t="s">
        <v>554</v>
      </c>
      <c r="M115" t="n">
        <v>1967</v>
      </c>
      <c r="N115" t="n">
        <v>1988</v>
      </c>
      <c r="O115" t="s">
        <v>768</v>
      </c>
      <c r="P115" t="n">
        <v>8</v>
      </c>
      <c r="Q115" t="n">
        <v>9</v>
      </c>
      <c r="R115" t="n">
        <v>6</v>
      </c>
      <c r="S115" t="n">
        <v>1960</v>
      </c>
      <c r="T115" t="s">
        <v>769</v>
      </c>
      <c r="U115" t="s">
        <v>770</v>
      </c>
      <c r="V115" t="s">
        <v>74</v>
      </c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771</v>
      </c>
      <c r="B116" t="s">
        <v>31</v>
      </c>
      <c r="C116" t="s">
        <v>65</v>
      </c>
      <c r="D116" t="s">
        <v>772</v>
      </c>
      <c r="E116" t="s">
        <v>723</v>
      </c>
      <c r="F116" t="s">
        <v>724</v>
      </c>
      <c r="G116" t="s">
        <v>725</v>
      </c>
      <c r="H116" t="n">
        <v>40.0194377142857</v>
      </c>
      <c r="I116" t="n">
        <v>-105.269448142857</v>
      </c>
      <c r="J116" t="s">
        <v>35</v>
      </c>
      <c r="K116" t="s">
        <v>120</v>
      </c>
      <c r="L116"/>
      <c r="M116" t="n">
        <v>1967</v>
      </c>
      <c r="N116" t="n">
        <v>1968</v>
      </c>
      <c r="O116" t="s">
        <v>106</v>
      </c>
      <c r="P116" t="n">
        <v>2</v>
      </c>
      <c r="Q116" t="n">
        <v>1</v>
      </c>
      <c r="R116" t="n">
        <v>1</v>
      </c>
      <c r="S116" t="n">
        <v>1945</v>
      </c>
      <c r="T116" t="s">
        <v>773</v>
      </c>
      <c r="U116" t="s">
        <v>774</v>
      </c>
      <c r="V116" t="s">
        <v>74</v>
      </c>
      <c r="W116"/>
      <c r="X116"/>
      <c r="Y116"/>
      <c r="Z116"/>
      <c r="AA116"/>
      <c r="AB116"/>
      <c r="AC116"/>
      <c r="AD116"/>
      <c r="AE116"/>
      <c r="AF116" t="s">
        <v>775</v>
      </c>
      <c r="AG116" t="n">
        <v>98</v>
      </c>
    </row>
    <row r="117">
      <c r="A117" t="s">
        <v>776</v>
      </c>
      <c r="B117" t="s">
        <v>31</v>
      </c>
      <c r="C117" t="s">
        <v>65</v>
      </c>
      <c r="D117" t="s">
        <v>777</v>
      </c>
      <c r="E117" t="s">
        <v>723</v>
      </c>
      <c r="F117" t="s">
        <v>724</v>
      </c>
      <c r="G117" t="s">
        <v>725</v>
      </c>
      <c r="H117" t="n">
        <v>40.0380875918367</v>
      </c>
      <c r="I117" t="n">
        <v>-105.247556306122</v>
      </c>
      <c r="J117" t="s">
        <v>35</v>
      </c>
      <c r="K117" t="s">
        <v>111</v>
      </c>
      <c r="L117"/>
      <c r="M117" t="n">
        <v>1967</v>
      </c>
      <c r="N117" t="n">
        <v>1992</v>
      </c>
      <c r="O117" t="s">
        <v>778</v>
      </c>
      <c r="P117" t="n">
        <v>11</v>
      </c>
      <c r="Q117" t="n">
        <v>6</v>
      </c>
      <c r="R117" t="n">
        <v>5</v>
      </c>
      <c r="S117" t="n">
        <v>1957</v>
      </c>
      <c r="T117" t="s">
        <v>779</v>
      </c>
      <c r="U117" t="s">
        <v>780</v>
      </c>
      <c r="V117" t="s">
        <v>74</v>
      </c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781</v>
      </c>
      <c r="B118" t="s">
        <v>31</v>
      </c>
      <c r="C118" t="s">
        <v>65</v>
      </c>
      <c r="D118" t="s">
        <v>782</v>
      </c>
      <c r="E118" t="s">
        <v>723</v>
      </c>
      <c r="F118" t="s">
        <v>724</v>
      </c>
      <c r="G118" t="s">
        <v>725</v>
      </c>
      <c r="H118" t="n">
        <v>40.0799109081633</v>
      </c>
      <c r="I118" t="n">
        <v>-105.280893571429</v>
      </c>
      <c r="J118" t="s">
        <v>35</v>
      </c>
      <c r="K118" t="s">
        <v>783</v>
      </c>
      <c r="L118"/>
      <c r="M118" t="n">
        <v>1968</v>
      </c>
      <c r="N118" t="n">
        <v>1988</v>
      </c>
      <c r="O118" t="s">
        <v>784</v>
      </c>
      <c r="P118" t="n">
        <v>7</v>
      </c>
      <c r="Q118" t="n">
        <v>5</v>
      </c>
      <c r="R118" t="n">
        <v>4</v>
      </c>
      <c r="S118" t="n">
        <v>1966</v>
      </c>
      <c r="T118" t="s">
        <v>785</v>
      </c>
      <c r="U118" t="s">
        <v>786</v>
      </c>
      <c r="V118" t="s">
        <v>74</v>
      </c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787</v>
      </c>
      <c r="B119" t="s">
        <v>31</v>
      </c>
      <c r="C119" t="s">
        <v>65</v>
      </c>
      <c r="D119" t="s">
        <v>788</v>
      </c>
      <c r="E119" t="s">
        <v>723</v>
      </c>
      <c r="F119" t="s">
        <v>724</v>
      </c>
      <c r="G119" t="s">
        <v>725</v>
      </c>
      <c r="H119" t="n">
        <v>40.018267755102</v>
      </c>
      <c r="I119" t="n">
        <v>-105.278229346939</v>
      </c>
      <c r="J119" t="s">
        <v>35</v>
      </c>
      <c r="K119" t="s">
        <v>141</v>
      </c>
      <c r="L119"/>
      <c r="M119" t="n">
        <v>1968</v>
      </c>
      <c r="N119" t="n">
        <v>1983</v>
      </c>
      <c r="O119" t="s">
        <v>789</v>
      </c>
      <c r="P119" t="n">
        <v>2</v>
      </c>
      <c r="Q119" t="n">
        <v>2</v>
      </c>
      <c r="R119" t="n">
        <v>2</v>
      </c>
      <c r="S119" t="n">
        <v>1982</v>
      </c>
      <c r="T119" t="s">
        <v>790</v>
      </c>
      <c r="U119" t="s">
        <v>791</v>
      </c>
      <c r="V119" t="s">
        <v>74</v>
      </c>
      <c r="W119"/>
      <c r="X119"/>
      <c r="Y119"/>
      <c r="Z119"/>
      <c r="AA119"/>
      <c r="AB119" t="s">
        <v>792</v>
      </c>
      <c r="AC119" t="n">
        <v>199</v>
      </c>
      <c r="AD119"/>
      <c r="AE119"/>
      <c r="AF119" t="s">
        <v>793</v>
      </c>
      <c r="AG119" t="n">
        <v>101</v>
      </c>
    </row>
    <row r="120">
      <c r="A120" t="s">
        <v>794</v>
      </c>
      <c r="B120" t="s">
        <v>31</v>
      </c>
      <c r="C120" t="s">
        <v>65</v>
      </c>
      <c r="D120" t="s">
        <v>795</v>
      </c>
      <c r="E120" t="s">
        <v>738</v>
      </c>
      <c r="F120" t="s">
        <v>724</v>
      </c>
      <c r="G120" t="s">
        <v>739</v>
      </c>
      <c r="H120" t="n">
        <v>40.17319856674</v>
      </c>
      <c r="I120" t="n">
        <v>-105.112988324108</v>
      </c>
      <c r="J120" t="s">
        <v>35</v>
      </c>
      <c r="K120" t="s">
        <v>796</v>
      </c>
      <c r="L120"/>
      <c r="M120" t="n">
        <v>1968</v>
      </c>
      <c r="N120" t="n">
        <v>1992</v>
      </c>
      <c r="O120" t="s">
        <v>797</v>
      </c>
      <c r="P120" t="n">
        <v>7</v>
      </c>
      <c r="Q120" t="n">
        <v>4</v>
      </c>
      <c r="R120" t="n">
        <v>4</v>
      </c>
      <c r="S120" t="n">
        <v>1967</v>
      </c>
      <c r="T120" t="s">
        <v>798</v>
      </c>
      <c r="U120" t="s">
        <v>799</v>
      </c>
      <c r="V120" t="s">
        <v>74</v>
      </c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800</v>
      </c>
      <c r="B121" t="s">
        <v>31</v>
      </c>
      <c r="C121" t="s">
        <v>65</v>
      </c>
      <c r="D121" t="s">
        <v>801</v>
      </c>
      <c r="E121" t="s">
        <v>723</v>
      </c>
      <c r="F121" t="s">
        <v>724</v>
      </c>
      <c r="G121" t="s">
        <v>725</v>
      </c>
      <c r="H121" t="n">
        <v>40.0291703689782</v>
      </c>
      <c r="I121" t="n">
        <v>-105.260360221808</v>
      </c>
      <c r="J121" t="s">
        <v>35</v>
      </c>
      <c r="K121" t="s">
        <v>70</v>
      </c>
      <c r="L121"/>
      <c r="M121" t="n">
        <v>1970</v>
      </c>
      <c r="N121" t="n">
        <v>1970</v>
      </c>
      <c r="O121" t="s">
        <v>726</v>
      </c>
      <c r="P121" t="n">
        <v>1</v>
      </c>
      <c r="Q121" t="n">
        <v>1</v>
      </c>
      <c r="R121" t="n">
        <v>1</v>
      </c>
      <c r="S121" t="n">
        <v>1959</v>
      </c>
      <c r="T121" t="s">
        <v>802</v>
      </c>
      <c r="U121" t="s">
        <v>803</v>
      </c>
      <c r="V121" t="s">
        <v>74</v>
      </c>
      <c r="W121"/>
      <c r="X121"/>
      <c r="Y121"/>
      <c r="Z121"/>
      <c r="AA121"/>
      <c r="AB121"/>
      <c r="AC121"/>
      <c r="AD121"/>
      <c r="AE121"/>
      <c r="AF121" t="s">
        <v>804</v>
      </c>
      <c r="AG121" t="n">
        <v>155</v>
      </c>
    </row>
    <row r="122">
      <c r="A122" t="s">
        <v>805</v>
      </c>
      <c r="B122" t="s">
        <v>31</v>
      </c>
      <c r="C122" t="s">
        <v>65</v>
      </c>
      <c r="D122" t="s">
        <v>806</v>
      </c>
      <c r="E122" t="s">
        <v>723</v>
      </c>
      <c r="F122" t="s">
        <v>724</v>
      </c>
      <c r="G122" t="s">
        <v>725</v>
      </c>
      <c r="H122" t="n">
        <v>40.080424484153</v>
      </c>
      <c r="I122" t="n">
        <v>-105.281164626229</v>
      </c>
      <c r="J122" t="s">
        <v>35</v>
      </c>
      <c r="K122" t="s">
        <v>81</v>
      </c>
      <c r="L122"/>
      <c r="M122" t="n">
        <v>1970</v>
      </c>
      <c r="N122" t="n">
        <v>1990</v>
      </c>
      <c r="O122" t="s">
        <v>807</v>
      </c>
      <c r="P122" t="n">
        <v>7</v>
      </c>
      <c r="Q122" t="n">
        <v>7</v>
      </c>
      <c r="R122" t="n">
        <v>4</v>
      </c>
      <c r="S122" t="n">
        <v>1953</v>
      </c>
      <c r="T122" t="s">
        <v>808</v>
      </c>
      <c r="U122" t="s">
        <v>809</v>
      </c>
      <c r="V122" t="s">
        <v>74</v>
      </c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810</v>
      </c>
      <c r="B123" t="s">
        <v>31</v>
      </c>
      <c r="C123" t="s">
        <v>65</v>
      </c>
      <c r="D123" t="s">
        <v>811</v>
      </c>
      <c r="E123" t="s">
        <v>723</v>
      </c>
      <c r="F123" t="s">
        <v>724</v>
      </c>
      <c r="G123" t="s">
        <v>725</v>
      </c>
      <c r="H123" t="n">
        <v>40.0180012843837</v>
      </c>
      <c r="I123" t="n">
        <v>-105.255907</v>
      </c>
      <c r="J123" t="s">
        <v>35</v>
      </c>
      <c r="K123" t="s">
        <v>120</v>
      </c>
      <c r="L123"/>
      <c r="M123" t="n">
        <v>1970</v>
      </c>
      <c r="N123" t="n">
        <v>1970</v>
      </c>
      <c r="O123" t="s">
        <v>726</v>
      </c>
      <c r="P123" t="n">
        <v>1</v>
      </c>
      <c r="Q123" t="n">
        <v>1</v>
      </c>
      <c r="R123" t="n">
        <v>1</v>
      </c>
      <c r="S123" t="n">
        <v>1969</v>
      </c>
      <c r="T123" t="s">
        <v>812</v>
      </c>
      <c r="U123" t="s">
        <v>813</v>
      </c>
      <c r="V123" t="s">
        <v>74</v>
      </c>
      <c r="W123"/>
      <c r="X123"/>
      <c r="Y123"/>
      <c r="Z123"/>
      <c r="AA123"/>
      <c r="AB123"/>
      <c r="AC123"/>
      <c r="AD123"/>
      <c r="AE123"/>
      <c r="AF123" t="s">
        <v>814</v>
      </c>
      <c r="AG123" t="n">
        <v>129</v>
      </c>
    </row>
    <row r="124">
      <c r="A124" t="s">
        <v>815</v>
      </c>
      <c r="B124" t="s">
        <v>31</v>
      </c>
      <c r="C124" t="s">
        <v>65</v>
      </c>
      <c r="D124" t="s">
        <v>816</v>
      </c>
      <c r="E124" t="s">
        <v>723</v>
      </c>
      <c r="F124" t="s">
        <v>724</v>
      </c>
      <c r="G124" t="s">
        <v>817</v>
      </c>
      <c r="H124" t="n">
        <v>40.0264745120118</v>
      </c>
      <c r="I124" t="n">
        <v>-105.244202280741</v>
      </c>
      <c r="J124" t="s">
        <v>35</v>
      </c>
      <c r="K124" t="s">
        <v>315</v>
      </c>
      <c r="L124"/>
      <c r="M124" t="n">
        <v>1973</v>
      </c>
      <c r="N124" t="n">
        <v>1992</v>
      </c>
      <c r="O124" t="s">
        <v>121</v>
      </c>
      <c r="P124" t="n">
        <v>7</v>
      </c>
      <c r="Q124" t="n">
        <v>10</v>
      </c>
      <c r="R124" t="n">
        <v>1</v>
      </c>
      <c r="S124" t="n">
        <v>1965</v>
      </c>
      <c r="T124" t="s">
        <v>818</v>
      </c>
      <c r="U124" t="s">
        <v>819</v>
      </c>
      <c r="V124" t="s">
        <v>74</v>
      </c>
      <c r="W124"/>
      <c r="X124"/>
      <c r="Y124"/>
      <c r="Z124"/>
      <c r="AA124"/>
      <c r="AB124"/>
      <c r="AC124"/>
      <c r="AD124" t="s">
        <v>820</v>
      </c>
      <c r="AE124" t="n">
        <v>184</v>
      </c>
      <c r="AF124" t="s">
        <v>821</v>
      </c>
      <c r="AG124" t="n">
        <v>53</v>
      </c>
    </row>
    <row r="125">
      <c r="A125" t="s">
        <v>822</v>
      </c>
      <c r="B125" t="s">
        <v>31</v>
      </c>
      <c r="C125" t="s">
        <v>65</v>
      </c>
      <c r="D125" t="s">
        <v>823</v>
      </c>
      <c r="E125" t="s">
        <v>723</v>
      </c>
      <c r="F125" t="s">
        <v>724</v>
      </c>
      <c r="G125" t="s">
        <v>725</v>
      </c>
      <c r="H125" t="n">
        <v>40.0254870918274</v>
      </c>
      <c r="I125" t="n">
        <v>-105.240301381506</v>
      </c>
      <c r="J125" t="s">
        <v>35</v>
      </c>
      <c r="K125" t="s">
        <v>89</v>
      </c>
      <c r="L125"/>
      <c r="M125" t="n">
        <v>1973</v>
      </c>
      <c r="N125" t="n">
        <v>1988</v>
      </c>
      <c r="O125" t="s">
        <v>283</v>
      </c>
      <c r="P125" t="n">
        <v>3</v>
      </c>
      <c r="Q125" t="n">
        <v>3</v>
      </c>
      <c r="R125" t="n">
        <v>2</v>
      </c>
      <c r="S125" t="n">
        <v>1967</v>
      </c>
      <c r="T125" t="s">
        <v>824</v>
      </c>
      <c r="U125" t="s">
        <v>825</v>
      </c>
      <c r="V125" t="s">
        <v>74</v>
      </c>
      <c r="W125"/>
      <c r="X125"/>
      <c r="Y125"/>
      <c r="Z125"/>
      <c r="AA125"/>
      <c r="AB125"/>
      <c r="AC125"/>
      <c r="AD125" t="s">
        <v>820</v>
      </c>
      <c r="AE125" t="n">
        <v>135</v>
      </c>
      <c r="AF125" t="s">
        <v>826</v>
      </c>
      <c r="AG125" t="n">
        <v>184</v>
      </c>
    </row>
    <row r="126">
      <c r="A126" t="s">
        <v>827</v>
      </c>
      <c r="B126" t="s">
        <v>31</v>
      </c>
      <c r="C126" t="s">
        <v>65</v>
      </c>
      <c r="D126" t="s">
        <v>828</v>
      </c>
      <c r="E126" t="s">
        <v>723</v>
      </c>
      <c r="F126" t="s">
        <v>724</v>
      </c>
      <c r="G126" t="s">
        <v>817</v>
      </c>
      <c r="H126" t="n">
        <v>40.0276221670124</v>
      </c>
      <c r="I126" t="n">
        <v>-105.244199940985</v>
      </c>
      <c r="J126" t="s">
        <v>35</v>
      </c>
      <c r="K126" t="s">
        <v>120</v>
      </c>
      <c r="L126"/>
      <c r="M126" t="n">
        <v>1973</v>
      </c>
      <c r="N126" t="n">
        <v>1990</v>
      </c>
      <c r="O126" t="s">
        <v>829</v>
      </c>
      <c r="P126" t="n">
        <v>6</v>
      </c>
      <c r="Q126" t="n">
        <v>8</v>
      </c>
      <c r="R126" t="n">
        <v>2</v>
      </c>
      <c r="S126" t="n">
        <v>1971</v>
      </c>
      <c r="T126" t="s">
        <v>830</v>
      </c>
      <c r="U126" t="s">
        <v>831</v>
      </c>
      <c r="V126" t="s">
        <v>74</v>
      </c>
      <c r="W126"/>
      <c r="X126"/>
      <c r="Y126"/>
      <c r="Z126"/>
      <c r="AA126"/>
      <c r="AB126"/>
      <c r="AC126"/>
      <c r="AD126"/>
      <c r="AE126"/>
      <c r="AF126" t="s">
        <v>832</v>
      </c>
      <c r="AG126" t="n">
        <v>56</v>
      </c>
    </row>
    <row r="127">
      <c r="A127" t="s">
        <v>833</v>
      </c>
      <c r="B127" t="s">
        <v>31</v>
      </c>
      <c r="C127" t="s">
        <v>65</v>
      </c>
      <c r="D127" t="s">
        <v>834</v>
      </c>
      <c r="E127" t="s">
        <v>723</v>
      </c>
      <c r="F127" t="s">
        <v>724</v>
      </c>
      <c r="G127" t="s">
        <v>725</v>
      </c>
      <c r="H127" t="n">
        <v>40.0146114366335</v>
      </c>
      <c r="I127" t="n">
        <v>-105.226170918828</v>
      </c>
      <c r="J127" t="s">
        <v>35</v>
      </c>
      <c r="K127" t="s">
        <v>141</v>
      </c>
      <c r="L127"/>
      <c r="M127" t="n">
        <v>1973</v>
      </c>
      <c r="N127" t="n">
        <v>1988</v>
      </c>
      <c r="O127" t="s">
        <v>461</v>
      </c>
      <c r="P127" t="n">
        <v>4</v>
      </c>
      <c r="Q127" t="n">
        <v>5</v>
      </c>
      <c r="R127" t="n">
        <v>2</v>
      </c>
      <c r="S127" t="n">
        <v>1951</v>
      </c>
      <c r="T127" t="s">
        <v>835</v>
      </c>
      <c r="U127" t="s">
        <v>836</v>
      </c>
      <c r="V127" t="s">
        <v>74</v>
      </c>
      <c r="W127"/>
      <c r="X127"/>
      <c r="Y127"/>
      <c r="Z127"/>
      <c r="AA127"/>
      <c r="AB127" t="s">
        <v>837</v>
      </c>
      <c r="AC127" t="n">
        <v>213</v>
      </c>
      <c r="AD127"/>
      <c r="AE127"/>
      <c r="AF127" t="s">
        <v>838</v>
      </c>
      <c r="AG127" t="n">
        <v>65</v>
      </c>
    </row>
    <row r="128">
      <c r="A128" t="s">
        <v>839</v>
      </c>
      <c r="B128" t="s">
        <v>31</v>
      </c>
      <c r="C128" t="s">
        <v>65</v>
      </c>
      <c r="D128" t="s">
        <v>840</v>
      </c>
      <c r="E128" t="s">
        <v>723</v>
      </c>
      <c r="F128" t="s">
        <v>724</v>
      </c>
      <c r="G128" t="s">
        <v>725</v>
      </c>
      <c r="H128" t="n">
        <v>40.0159010569367</v>
      </c>
      <c r="I128" t="n">
        <v>-105.284417479551</v>
      </c>
      <c r="J128" t="s">
        <v>35</v>
      </c>
      <c r="K128" t="s">
        <v>315</v>
      </c>
      <c r="L128"/>
      <c r="M128" t="n">
        <v>1973</v>
      </c>
      <c r="N128" t="n">
        <v>1973</v>
      </c>
      <c r="O128" t="s">
        <v>121</v>
      </c>
      <c r="P128" t="n">
        <v>1</v>
      </c>
      <c r="Q128" t="n">
        <v>2</v>
      </c>
      <c r="R128" t="n">
        <v>1</v>
      </c>
      <c r="S128" t="n">
        <v>1970</v>
      </c>
      <c r="T128" t="s">
        <v>841</v>
      </c>
      <c r="U128" t="s">
        <v>842</v>
      </c>
      <c r="V128" t="s">
        <v>74</v>
      </c>
      <c r="W128"/>
      <c r="X128"/>
      <c r="Y128"/>
      <c r="Z128"/>
      <c r="AA128"/>
      <c r="AB128"/>
      <c r="AC128"/>
      <c r="AD128"/>
      <c r="AE128"/>
      <c r="AF128" t="s">
        <v>843</v>
      </c>
      <c r="AG128" t="n">
        <v>104</v>
      </c>
    </row>
    <row r="129">
      <c r="A129" t="s">
        <v>844</v>
      </c>
      <c r="B129" t="s">
        <v>31</v>
      </c>
      <c r="C129" t="s">
        <v>65</v>
      </c>
      <c r="D129" t="s">
        <v>845</v>
      </c>
      <c r="E129" t="s">
        <v>723</v>
      </c>
      <c r="F129" t="s">
        <v>724</v>
      </c>
      <c r="G129" t="s">
        <v>725</v>
      </c>
      <c r="H129" t="n">
        <v>40.035934</v>
      </c>
      <c r="I129" t="n">
        <v>-105.291621</v>
      </c>
      <c r="J129" t="s">
        <v>35</v>
      </c>
      <c r="K129" t="s">
        <v>133</v>
      </c>
      <c r="L129"/>
      <c r="M129" t="n">
        <v>1973</v>
      </c>
      <c r="N129" t="n">
        <v>1974</v>
      </c>
      <c r="O129" t="s">
        <v>121</v>
      </c>
      <c r="P129" t="n">
        <v>2</v>
      </c>
      <c r="Q129" t="n">
        <v>2</v>
      </c>
      <c r="R129" t="n">
        <v>1</v>
      </c>
      <c r="S129" t="n">
        <v>1968</v>
      </c>
      <c r="T129" t="s">
        <v>846</v>
      </c>
      <c r="U129" t="s">
        <v>847</v>
      </c>
      <c r="V129" t="s">
        <v>74</v>
      </c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848</v>
      </c>
      <c r="B130" t="s">
        <v>31</v>
      </c>
      <c r="C130" t="s">
        <v>65</v>
      </c>
      <c r="D130" t="s">
        <v>849</v>
      </c>
      <c r="E130" t="s">
        <v>723</v>
      </c>
      <c r="F130" t="s">
        <v>724</v>
      </c>
      <c r="G130" t="s">
        <v>817</v>
      </c>
      <c r="H130" t="n">
        <v>40.0273227415725</v>
      </c>
      <c r="I130" t="n">
        <v>-105.25734803042</v>
      </c>
      <c r="J130" t="s">
        <v>35</v>
      </c>
      <c r="K130" t="s">
        <v>527</v>
      </c>
      <c r="L130" t="s">
        <v>850</v>
      </c>
      <c r="M130" t="n">
        <v>1973</v>
      </c>
      <c r="N130" t="n">
        <v>1992</v>
      </c>
      <c r="O130" t="s">
        <v>416</v>
      </c>
      <c r="P130" t="n">
        <v>7</v>
      </c>
      <c r="Q130" t="n">
        <v>4</v>
      </c>
      <c r="R130" t="n">
        <v>3</v>
      </c>
      <c r="S130" t="n">
        <v>1969</v>
      </c>
      <c r="T130" t="s">
        <v>851</v>
      </c>
      <c r="U130" t="s">
        <v>852</v>
      </c>
      <c r="V130" t="s">
        <v>74</v>
      </c>
      <c r="W130"/>
      <c r="X130"/>
      <c r="Y130"/>
      <c r="Z130"/>
      <c r="AA130"/>
      <c r="AB130" t="s">
        <v>853</v>
      </c>
      <c r="AC130" t="n">
        <v>212</v>
      </c>
      <c r="AD130"/>
      <c r="AE130"/>
      <c r="AF130" t="s">
        <v>854</v>
      </c>
      <c r="AG130" t="n">
        <v>69</v>
      </c>
    </row>
    <row r="131">
      <c r="A131" t="s">
        <v>855</v>
      </c>
      <c r="B131" t="s">
        <v>31</v>
      </c>
      <c r="C131" t="s">
        <v>65</v>
      </c>
      <c r="D131" t="s">
        <v>856</v>
      </c>
      <c r="E131" t="s">
        <v>723</v>
      </c>
      <c r="F131" t="s">
        <v>724</v>
      </c>
      <c r="G131" t="s">
        <v>817</v>
      </c>
      <c r="H131" t="n">
        <v>40.0254782946509</v>
      </c>
      <c r="I131" t="n">
        <v>-105.219434470343</v>
      </c>
      <c r="J131" t="s">
        <v>35</v>
      </c>
      <c r="K131" t="s">
        <v>120</v>
      </c>
      <c r="L131"/>
      <c r="M131" t="n">
        <v>1973</v>
      </c>
      <c r="N131" t="n">
        <v>1983</v>
      </c>
      <c r="O131" t="s">
        <v>264</v>
      </c>
      <c r="P131" t="n">
        <v>3</v>
      </c>
      <c r="Q131" t="n">
        <v>3</v>
      </c>
      <c r="R131" t="n">
        <v>1</v>
      </c>
      <c r="S131" t="n">
        <v>1938</v>
      </c>
      <c r="T131" t="s">
        <v>857</v>
      </c>
      <c r="U131" t="s">
        <v>858</v>
      </c>
      <c r="V131" t="s">
        <v>74</v>
      </c>
      <c r="W131"/>
      <c r="X131"/>
      <c r="Y131"/>
      <c r="Z131"/>
      <c r="AA131"/>
      <c r="AB131"/>
      <c r="AC131"/>
      <c r="AD131" t="s">
        <v>859</v>
      </c>
      <c r="AE131" t="n">
        <v>109</v>
      </c>
      <c r="AF131" t="s">
        <v>860</v>
      </c>
      <c r="AG131" t="n">
        <v>55</v>
      </c>
    </row>
    <row r="132">
      <c r="A132" t="s">
        <v>861</v>
      </c>
      <c r="B132" t="s">
        <v>31</v>
      </c>
      <c r="C132" t="s">
        <v>65</v>
      </c>
      <c r="D132" t="s">
        <v>862</v>
      </c>
      <c r="E132" t="s">
        <v>723</v>
      </c>
      <c r="F132" t="s">
        <v>724</v>
      </c>
      <c r="G132" t="s">
        <v>863</v>
      </c>
      <c r="H132" t="n">
        <v>39.9895886755013</v>
      </c>
      <c r="I132" t="n">
        <v>-105.169896023352</v>
      </c>
      <c r="J132" t="s">
        <v>35</v>
      </c>
      <c r="K132" t="s">
        <v>133</v>
      </c>
      <c r="L132"/>
      <c r="M132" t="n">
        <v>1973</v>
      </c>
      <c r="N132" t="n">
        <v>1980</v>
      </c>
      <c r="O132" t="s">
        <v>127</v>
      </c>
      <c r="P132" t="n">
        <v>4</v>
      </c>
      <c r="Q132" t="n">
        <v>2</v>
      </c>
      <c r="R132" t="n">
        <v>1</v>
      </c>
      <c r="S132" t="n">
        <v>1965</v>
      </c>
      <c r="T132" t="s">
        <v>864</v>
      </c>
      <c r="U132" t="s">
        <v>865</v>
      </c>
      <c r="V132" t="s">
        <v>74</v>
      </c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866</v>
      </c>
      <c r="B133" t="s">
        <v>31</v>
      </c>
      <c r="C133" t="s">
        <v>65</v>
      </c>
      <c r="D133" t="s">
        <v>867</v>
      </c>
      <c r="E133" t="s">
        <v>723</v>
      </c>
      <c r="F133" t="s">
        <v>724</v>
      </c>
      <c r="G133" t="s">
        <v>725</v>
      </c>
      <c r="H133" t="n">
        <v>40.031682</v>
      </c>
      <c r="I133" t="n">
        <v>-105.291542204082</v>
      </c>
      <c r="J133" t="s">
        <v>35</v>
      </c>
      <c r="K133" t="s">
        <v>70</v>
      </c>
      <c r="L133"/>
      <c r="M133" t="n">
        <v>1973</v>
      </c>
      <c r="N133" t="n">
        <v>1990</v>
      </c>
      <c r="O133" t="s">
        <v>121</v>
      </c>
      <c r="P133" t="n">
        <v>2</v>
      </c>
      <c r="Q133" t="n">
        <v>2</v>
      </c>
      <c r="R133" t="n">
        <v>1</v>
      </c>
      <c r="S133" t="n">
        <v>1959</v>
      </c>
      <c r="T133" t="s">
        <v>868</v>
      </c>
      <c r="U133" t="s">
        <v>869</v>
      </c>
      <c r="V133" t="s">
        <v>74</v>
      </c>
      <c r="W133"/>
      <c r="X133"/>
      <c r="Y133"/>
      <c r="Z133"/>
      <c r="AA133"/>
      <c r="AB133"/>
      <c r="AC133"/>
      <c r="AD133"/>
      <c r="AE133"/>
      <c r="AF133" t="s">
        <v>870</v>
      </c>
      <c r="AG133" t="n">
        <v>103</v>
      </c>
    </row>
    <row r="134">
      <c r="A134" t="s">
        <v>871</v>
      </c>
      <c r="B134" t="s">
        <v>31</v>
      </c>
      <c r="C134" t="s">
        <v>65</v>
      </c>
      <c r="D134" t="s">
        <v>872</v>
      </c>
      <c r="E134" t="s">
        <v>723</v>
      </c>
      <c r="F134" t="s">
        <v>724</v>
      </c>
      <c r="G134" t="s">
        <v>725</v>
      </c>
      <c r="H134" t="n">
        <v>40.0256718339689</v>
      </c>
      <c r="I134" t="n">
        <v>-105.23810184087</v>
      </c>
      <c r="J134" t="s">
        <v>35</v>
      </c>
      <c r="K134" t="s">
        <v>315</v>
      </c>
      <c r="L134"/>
      <c r="M134" t="n">
        <v>1973</v>
      </c>
      <c r="N134" t="n">
        <v>1973</v>
      </c>
      <c r="O134" t="s">
        <v>121</v>
      </c>
      <c r="P134" t="n">
        <v>1</v>
      </c>
      <c r="Q134" t="n">
        <v>1</v>
      </c>
      <c r="R134" t="n">
        <v>1</v>
      </c>
      <c r="S134" t="n">
        <v>1962</v>
      </c>
      <c r="T134" t="s">
        <v>873</v>
      </c>
      <c r="U134" t="s">
        <v>874</v>
      </c>
      <c r="V134" t="s">
        <v>74</v>
      </c>
      <c r="W134"/>
      <c r="X134"/>
      <c r="Y134"/>
      <c r="Z134"/>
      <c r="AA134"/>
      <c r="AB134"/>
      <c r="AC134"/>
      <c r="AD134" t="s">
        <v>875</v>
      </c>
      <c r="AE134" t="n">
        <v>216</v>
      </c>
      <c r="AF134" t="s">
        <v>876</v>
      </c>
      <c r="AG134" t="n">
        <v>75</v>
      </c>
    </row>
    <row r="135">
      <c r="A135" t="s">
        <v>877</v>
      </c>
      <c r="B135" t="s">
        <v>31</v>
      </c>
      <c r="C135" t="s">
        <v>65</v>
      </c>
      <c r="D135" t="s">
        <v>878</v>
      </c>
      <c r="E135" t="s">
        <v>723</v>
      </c>
      <c r="F135" t="s">
        <v>724</v>
      </c>
      <c r="G135" t="s">
        <v>725</v>
      </c>
      <c r="H135" t="n">
        <v>40.0484364385397</v>
      </c>
      <c r="I135" t="n">
        <v>-105.264241631757</v>
      </c>
      <c r="J135" t="s">
        <v>35</v>
      </c>
      <c r="K135" t="s">
        <v>133</v>
      </c>
      <c r="L135"/>
      <c r="M135" t="n">
        <v>1973</v>
      </c>
      <c r="N135" t="n">
        <v>1980</v>
      </c>
      <c r="O135" t="s">
        <v>121</v>
      </c>
      <c r="P135" t="n">
        <v>2</v>
      </c>
      <c r="Q135" t="n">
        <v>1</v>
      </c>
      <c r="R135" t="n">
        <v>1</v>
      </c>
      <c r="S135" t="n">
        <v>1969</v>
      </c>
      <c r="T135" t="s">
        <v>879</v>
      </c>
      <c r="U135" t="s">
        <v>880</v>
      </c>
      <c r="V135" t="s">
        <v>74</v>
      </c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881</v>
      </c>
      <c r="B136" t="s">
        <v>31</v>
      </c>
      <c r="C136" t="s">
        <v>65</v>
      </c>
      <c r="D136" t="s">
        <v>882</v>
      </c>
      <c r="E136" t="s">
        <v>883</v>
      </c>
      <c r="F136" t="s">
        <v>724</v>
      </c>
      <c r="G136" t="s">
        <v>884</v>
      </c>
      <c r="H136" t="n">
        <v>39.9957059551066</v>
      </c>
      <c r="I136" t="n">
        <v>-105.090456599327</v>
      </c>
      <c r="J136" t="s">
        <v>35</v>
      </c>
      <c r="K136" t="s">
        <v>885</v>
      </c>
      <c r="L136"/>
      <c r="M136" t="n">
        <v>1973</v>
      </c>
      <c r="N136" t="n">
        <v>1990</v>
      </c>
      <c r="O136" t="s">
        <v>886</v>
      </c>
      <c r="P136" t="n">
        <v>7</v>
      </c>
      <c r="Q136" t="n">
        <v>6</v>
      </c>
      <c r="R136" t="n">
        <v>5</v>
      </c>
      <c r="S136" t="n">
        <v>1950</v>
      </c>
      <c r="T136" t="s">
        <v>887</v>
      </c>
      <c r="U136" t="s">
        <v>888</v>
      </c>
      <c r="V136" t="s">
        <v>74</v>
      </c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889</v>
      </c>
      <c r="B137" t="s">
        <v>31</v>
      </c>
      <c r="C137" t="s">
        <v>65</v>
      </c>
      <c r="D137" t="s">
        <v>890</v>
      </c>
      <c r="E137" t="s">
        <v>883</v>
      </c>
      <c r="F137" t="s">
        <v>724</v>
      </c>
      <c r="G137" t="s">
        <v>884</v>
      </c>
      <c r="H137" t="n">
        <v>39.9650565408424</v>
      </c>
      <c r="I137" t="n">
        <v>-105.071913893801</v>
      </c>
      <c r="J137" t="s">
        <v>35</v>
      </c>
      <c r="K137" t="s">
        <v>120</v>
      </c>
      <c r="L137"/>
      <c r="M137" t="n">
        <v>1973</v>
      </c>
      <c r="N137" t="n">
        <v>1990</v>
      </c>
      <c r="O137" t="s">
        <v>310</v>
      </c>
      <c r="P137" t="n">
        <v>7</v>
      </c>
      <c r="Q137" t="n">
        <v>6</v>
      </c>
      <c r="R137" t="n">
        <v>2</v>
      </c>
      <c r="S137" t="n">
        <v>1965</v>
      </c>
      <c r="T137" t="s">
        <v>891</v>
      </c>
      <c r="U137" t="s">
        <v>892</v>
      </c>
      <c r="V137" t="s">
        <v>74</v>
      </c>
      <c r="W137"/>
      <c r="X137"/>
      <c r="Y137"/>
      <c r="Z137"/>
      <c r="AA137"/>
      <c r="AB137"/>
      <c r="AC137"/>
      <c r="AD137"/>
      <c r="AE137"/>
      <c r="AF137" t="s">
        <v>893</v>
      </c>
      <c r="AG137" t="n">
        <v>206</v>
      </c>
    </row>
    <row r="138">
      <c r="A138" t="s">
        <v>894</v>
      </c>
      <c r="B138" t="s">
        <v>31</v>
      </c>
      <c r="C138" t="s">
        <v>65</v>
      </c>
      <c r="D138" t="s">
        <v>895</v>
      </c>
      <c r="E138" t="s">
        <v>738</v>
      </c>
      <c r="F138" t="s">
        <v>724</v>
      </c>
      <c r="G138" t="s">
        <v>739</v>
      </c>
      <c r="H138" t="n">
        <v>40.1642665102041</v>
      </c>
      <c r="I138" t="n">
        <v>-105.102515632653</v>
      </c>
      <c r="J138" t="s">
        <v>35</v>
      </c>
      <c r="K138" t="s">
        <v>70</v>
      </c>
      <c r="L138"/>
      <c r="M138" t="n">
        <v>1973</v>
      </c>
      <c r="N138" t="n">
        <v>1983</v>
      </c>
      <c r="O138" t="s">
        <v>264</v>
      </c>
      <c r="P138" t="n">
        <v>5</v>
      </c>
      <c r="Q138" t="n">
        <v>5</v>
      </c>
      <c r="R138" t="n">
        <v>1</v>
      </c>
      <c r="S138" t="n">
        <v>1970</v>
      </c>
      <c r="T138" t="s">
        <v>896</v>
      </c>
      <c r="U138" t="s">
        <v>897</v>
      </c>
      <c r="V138" t="s">
        <v>74</v>
      </c>
      <c r="W138"/>
      <c r="X138"/>
      <c r="Y138"/>
      <c r="Z138"/>
      <c r="AA138"/>
      <c r="AB138"/>
      <c r="AC138"/>
      <c r="AD138"/>
      <c r="AE138"/>
      <c r="AF138" t="s">
        <v>898</v>
      </c>
      <c r="AG138" t="n">
        <v>50</v>
      </c>
    </row>
    <row r="139">
      <c r="A139" t="s">
        <v>899</v>
      </c>
      <c r="B139" t="s">
        <v>31</v>
      </c>
      <c r="C139" t="s">
        <v>65</v>
      </c>
      <c r="D139" t="s">
        <v>900</v>
      </c>
      <c r="E139" t="s">
        <v>738</v>
      </c>
      <c r="F139" t="s">
        <v>724</v>
      </c>
      <c r="G139" t="s">
        <v>739</v>
      </c>
      <c r="H139" t="n">
        <v>40.15057865137</v>
      </c>
      <c r="I139" t="n">
        <v>-105.114993027628</v>
      </c>
      <c r="J139" t="s">
        <v>35</v>
      </c>
      <c r="K139" t="s">
        <v>901</v>
      </c>
      <c r="L139"/>
      <c r="M139" t="n">
        <v>1973</v>
      </c>
      <c r="N139" t="n">
        <v>1992</v>
      </c>
      <c r="O139" t="s">
        <v>902</v>
      </c>
      <c r="P139" t="n">
        <v>6</v>
      </c>
      <c r="Q139" t="n">
        <v>5</v>
      </c>
      <c r="R139" t="n">
        <v>5</v>
      </c>
      <c r="S139" t="n">
        <v>1970</v>
      </c>
      <c r="T139" t="s">
        <v>903</v>
      </c>
      <c r="U139" t="s">
        <v>904</v>
      </c>
      <c r="V139" t="s">
        <v>74</v>
      </c>
      <c r="W139"/>
      <c r="X139"/>
      <c r="Y139"/>
      <c r="Z139"/>
      <c r="AA139"/>
      <c r="AB139"/>
      <c r="AC139"/>
      <c r="AD139" t="s">
        <v>905</v>
      </c>
      <c r="AE139" t="n">
        <v>154</v>
      </c>
      <c r="AF139" t="s">
        <v>906</v>
      </c>
      <c r="AG139" t="n">
        <v>75</v>
      </c>
    </row>
    <row r="140">
      <c r="A140" t="s">
        <v>907</v>
      </c>
      <c r="B140" t="s">
        <v>31</v>
      </c>
      <c r="C140" t="s">
        <v>65</v>
      </c>
      <c r="D140" t="s">
        <v>908</v>
      </c>
      <c r="E140" t="s">
        <v>723</v>
      </c>
      <c r="F140" t="s">
        <v>724</v>
      </c>
      <c r="G140" t="s">
        <v>863</v>
      </c>
      <c r="H140" t="n">
        <v>39.9868996162522</v>
      </c>
      <c r="I140" t="n">
        <v>-105.266478446049</v>
      </c>
      <c r="J140" t="s">
        <v>35</v>
      </c>
      <c r="K140" t="s">
        <v>70</v>
      </c>
      <c r="L140"/>
      <c r="M140" t="n">
        <v>1974</v>
      </c>
      <c r="N140" t="n">
        <v>1983</v>
      </c>
      <c r="O140" t="s">
        <v>829</v>
      </c>
      <c r="P140" t="n">
        <v>4</v>
      </c>
      <c r="Q140" t="n">
        <v>1</v>
      </c>
      <c r="R140" t="n">
        <v>1</v>
      </c>
      <c r="S140" t="n">
        <v>1971</v>
      </c>
      <c r="T140" t="s">
        <v>909</v>
      </c>
      <c r="U140" t="s">
        <v>910</v>
      </c>
      <c r="V140" t="s">
        <v>74</v>
      </c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911</v>
      </c>
      <c r="B141" t="s">
        <v>31</v>
      </c>
      <c r="C141" t="s">
        <v>65</v>
      </c>
      <c r="D141" t="s">
        <v>912</v>
      </c>
      <c r="E141" t="s">
        <v>723</v>
      </c>
      <c r="F141" t="s">
        <v>724</v>
      </c>
      <c r="G141" t="s">
        <v>817</v>
      </c>
      <c r="H141" t="n">
        <v>40.0256457356357</v>
      </c>
      <c r="I141" t="n">
        <v>-105.238634348114</v>
      </c>
      <c r="J141" t="s">
        <v>35</v>
      </c>
      <c r="K141" t="s">
        <v>89</v>
      </c>
      <c r="L141"/>
      <c r="M141" t="n">
        <v>1974</v>
      </c>
      <c r="N141" t="n">
        <v>1983</v>
      </c>
      <c r="O141" t="s">
        <v>255</v>
      </c>
      <c r="P141" t="n">
        <v>3</v>
      </c>
      <c r="Q141" t="n">
        <v>2</v>
      </c>
      <c r="R141" t="n">
        <v>1</v>
      </c>
      <c r="S141" t="n">
        <v>1970</v>
      </c>
      <c r="T141" t="s">
        <v>913</v>
      </c>
      <c r="U141" t="s">
        <v>914</v>
      </c>
      <c r="V141" t="s">
        <v>74</v>
      </c>
      <c r="W141"/>
      <c r="X141"/>
      <c r="Y141"/>
      <c r="Z141"/>
      <c r="AA141"/>
      <c r="AB141"/>
      <c r="AC141"/>
      <c r="AD141" t="s">
        <v>915</v>
      </c>
      <c r="AE141" t="n">
        <v>200</v>
      </c>
      <c r="AF141" t="s">
        <v>916</v>
      </c>
      <c r="AG141" t="n">
        <v>112</v>
      </c>
    </row>
    <row r="142">
      <c r="A142" t="s">
        <v>917</v>
      </c>
      <c r="B142" t="s">
        <v>31</v>
      </c>
      <c r="C142" t="s">
        <v>65</v>
      </c>
      <c r="D142" t="s">
        <v>918</v>
      </c>
      <c r="E142" t="s">
        <v>738</v>
      </c>
      <c r="F142" t="s">
        <v>724</v>
      </c>
      <c r="G142" t="s">
        <v>739</v>
      </c>
      <c r="H142" t="n">
        <v>40.188549</v>
      </c>
      <c r="I142" t="n">
        <v>-105.113863</v>
      </c>
      <c r="J142" t="s">
        <v>35</v>
      </c>
      <c r="K142" t="s">
        <v>120</v>
      </c>
      <c r="L142"/>
      <c r="M142" t="n">
        <v>1977</v>
      </c>
      <c r="N142" t="n">
        <v>1992</v>
      </c>
      <c r="O142" t="s">
        <v>283</v>
      </c>
      <c r="P142" t="n">
        <v>5</v>
      </c>
      <c r="Q142" t="n">
        <v>3</v>
      </c>
      <c r="R142" t="n">
        <v>2</v>
      </c>
      <c r="S142" t="n">
        <v>1966</v>
      </c>
      <c r="T142" t="s">
        <v>919</v>
      </c>
      <c r="U142" t="s">
        <v>920</v>
      </c>
      <c r="V142" t="s">
        <v>74</v>
      </c>
      <c r="W142"/>
      <c r="X142"/>
      <c r="Y142"/>
      <c r="Z142"/>
      <c r="AA142"/>
      <c r="AB142"/>
      <c r="AC142"/>
      <c r="AD142"/>
      <c r="AE142"/>
      <c r="AF142" t="s">
        <v>921</v>
      </c>
      <c r="AG142" t="n">
        <v>134</v>
      </c>
    </row>
    <row r="143">
      <c r="A143" t="s">
        <v>922</v>
      </c>
      <c r="B143" t="s">
        <v>31</v>
      </c>
      <c r="C143" t="s">
        <v>65</v>
      </c>
      <c r="D143" t="s">
        <v>923</v>
      </c>
      <c r="E143" t="s">
        <v>723</v>
      </c>
      <c r="F143" t="s">
        <v>724</v>
      </c>
      <c r="G143" t="s">
        <v>725</v>
      </c>
      <c r="H143" t="n">
        <v>40.0163516551506</v>
      </c>
      <c r="I143" t="n">
        <v>-105.287486982956</v>
      </c>
      <c r="J143" t="s">
        <v>35</v>
      </c>
      <c r="K143" t="s">
        <v>120</v>
      </c>
      <c r="L143"/>
      <c r="M143" t="n">
        <v>1980</v>
      </c>
      <c r="N143" t="n">
        <v>1980</v>
      </c>
      <c r="O143" t="s">
        <v>255</v>
      </c>
      <c r="P143" t="n">
        <v>1</v>
      </c>
      <c r="Q143" t="n">
        <v>1</v>
      </c>
      <c r="R143" t="n">
        <v>1</v>
      </c>
      <c r="S143" t="n">
        <v>1955</v>
      </c>
      <c r="T143" t="s">
        <v>924</v>
      </c>
      <c r="U143" t="s">
        <v>925</v>
      </c>
      <c r="V143" t="s">
        <v>74</v>
      </c>
      <c r="W143"/>
      <c r="X143"/>
      <c r="Y143"/>
      <c r="Z143"/>
      <c r="AA143"/>
      <c r="AB143"/>
      <c r="AC143"/>
      <c r="AD143"/>
      <c r="AE143"/>
      <c r="AF143" t="s">
        <v>735</v>
      </c>
      <c r="AG143" t="n">
        <v>111</v>
      </c>
    </row>
    <row r="144">
      <c r="A144" t="s">
        <v>926</v>
      </c>
      <c r="B144" t="s">
        <v>31</v>
      </c>
      <c r="C144" t="s">
        <v>65</v>
      </c>
      <c r="D144" t="s">
        <v>927</v>
      </c>
      <c r="E144" t="s">
        <v>723</v>
      </c>
      <c r="F144" t="s">
        <v>724</v>
      </c>
      <c r="G144" t="s">
        <v>817</v>
      </c>
      <c r="H144" t="n">
        <v>40.0155248100797</v>
      </c>
      <c r="I144" t="n">
        <v>-105.233851713682</v>
      </c>
      <c r="J144" t="s">
        <v>35</v>
      </c>
      <c r="K144" t="s">
        <v>141</v>
      </c>
      <c r="L144"/>
      <c r="M144" t="n">
        <v>1980</v>
      </c>
      <c r="N144" t="n">
        <v>1980</v>
      </c>
      <c r="O144" t="s">
        <v>255</v>
      </c>
      <c r="P144" t="n">
        <v>1</v>
      </c>
      <c r="Q144" t="n">
        <v>1</v>
      </c>
      <c r="R144" t="n">
        <v>1</v>
      </c>
      <c r="S144" t="n">
        <v>1974</v>
      </c>
      <c r="T144" t="s">
        <v>928</v>
      </c>
      <c r="U144" t="s">
        <v>929</v>
      </c>
      <c r="V144" t="s">
        <v>74</v>
      </c>
      <c r="W144"/>
      <c r="X144"/>
      <c r="Y144"/>
      <c r="Z144"/>
      <c r="AA144"/>
      <c r="AB144"/>
      <c r="AC144"/>
      <c r="AD144" t="s">
        <v>930</v>
      </c>
      <c r="AE144" t="n">
        <v>182</v>
      </c>
      <c r="AF144" t="s">
        <v>931</v>
      </c>
      <c r="AG144" t="n">
        <v>106</v>
      </c>
    </row>
    <row r="145">
      <c r="A145" t="s">
        <v>932</v>
      </c>
      <c r="B145" t="s">
        <v>31</v>
      </c>
      <c r="C145" t="s">
        <v>65</v>
      </c>
      <c r="D145" t="s">
        <v>933</v>
      </c>
      <c r="E145" t="s">
        <v>723</v>
      </c>
      <c r="F145" t="s">
        <v>724</v>
      </c>
      <c r="G145" t="s">
        <v>817</v>
      </c>
      <c r="H145" t="n">
        <v>40.0579959714286</v>
      </c>
      <c r="I145" t="n">
        <v>-105.17416</v>
      </c>
      <c r="J145" t="s">
        <v>35</v>
      </c>
      <c r="K145" t="s">
        <v>527</v>
      </c>
      <c r="L145"/>
      <c r="M145" t="n">
        <v>1980</v>
      </c>
      <c r="N145" t="n">
        <v>1990</v>
      </c>
      <c r="O145" t="s">
        <v>582</v>
      </c>
      <c r="P145" t="n">
        <v>3</v>
      </c>
      <c r="Q145" t="n">
        <v>2</v>
      </c>
      <c r="R145" t="n">
        <v>2</v>
      </c>
      <c r="S145" t="n">
        <v>1979</v>
      </c>
      <c r="T145" t="s">
        <v>934</v>
      </c>
      <c r="U145" t="s">
        <v>935</v>
      </c>
      <c r="V145" t="s">
        <v>74</v>
      </c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936</v>
      </c>
      <c r="B146" t="s">
        <v>31</v>
      </c>
      <c r="C146" t="s">
        <v>65</v>
      </c>
      <c r="D146" t="s">
        <v>937</v>
      </c>
      <c r="E146" t="s">
        <v>723</v>
      </c>
      <c r="F146" t="s">
        <v>724</v>
      </c>
      <c r="G146" t="s">
        <v>863</v>
      </c>
      <c r="H146" t="n">
        <v>40.0146759774539</v>
      </c>
      <c r="I146" t="n">
        <v>-105.133528664011</v>
      </c>
      <c r="J146" t="s">
        <v>35</v>
      </c>
      <c r="K146" t="s">
        <v>120</v>
      </c>
      <c r="L146"/>
      <c r="M146" t="n">
        <v>1980</v>
      </c>
      <c r="N146" t="n">
        <v>1980</v>
      </c>
      <c r="O146" t="s">
        <v>255</v>
      </c>
      <c r="P146" t="n">
        <v>1</v>
      </c>
      <c r="Q146" t="n">
        <v>1</v>
      </c>
      <c r="R146" t="n">
        <v>1</v>
      </c>
      <c r="S146" t="n">
        <v>1951</v>
      </c>
      <c r="T146" t="s">
        <v>938</v>
      </c>
      <c r="U146" t="s">
        <v>939</v>
      </c>
      <c r="V146" t="s">
        <v>74</v>
      </c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940</v>
      </c>
      <c r="B147" t="s">
        <v>31</v>
      </c>
      <c r="C147" t="s">
        <v>65</v>
      </c>
      <c r="D147" t="s">
        <v>941</v>
      </c>
      <c r="E147" t="s">
        <v>883</v>
      </c>
      <c r="F147" t="s">
        <v>724</v>
      </c>
      <c r="G147" t="s">
        <v>884</v>
      </c>
      <c r="H147" t="n">
        <v>39.9951026938775</v>
      </c>
      <c r="I147" t="n">
        <v>-105.090460857143</v>
      </c>
      <c r="J147" t="s">
        <v>35</v>
      </c>
      <c r="K147" t="s">
        <v>234</v>
      </c>
      <c r="L147"/>
      <c r="M147" t="n">
        <v>1980</v>
      </c>
      <c r="N147" t="n">
        <v>1980</v>
      </c>
      <c r="O147" t="s">
        <v>255</v>
      </c>
      <c r="P147" t="n">
        <v>1</v>
      </c>
      <c r="Q147" t="n">
        <v>3</v>
      </c>
      <c r="R147" t="n">
        <v>3</v>
      </c>
      <c r="S147" t="n">
        <v>1950</v>
      </c>
      <c r="T147" t="s">
        <v>942</v>
      </c>
      <c r="U147" t="s">
        <v>943</v>
      </c>
      <c r="V147" t="s">
        <v>74</v>
      </c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944</v>
      </c>
      <c r="B148" t="s">
        <v>31</v>
      </c>
      <c r="C148" t="s">
        <v>65</v>
      </c>
      <c r="D148" t="s">
        <v>945</v>
      </c>
      <c r="E148" t="s">
        <v>883</v>
      </c>
      <c r="F148" t="s">
        <v>724</v>
      </c>
      <c r="G148" t="s">
        <v>884</v>
      </c>
      <c r="H148" t="n">
        <v>40.000233</v>
      </c>
      <c r="I148" t="n">
        <v>-105.091474</v>
      </c>
      <c r="J148" t="s">
        <v>35</v>
      </c>
      <c r="K148" t="s">
        <v>70</v>
      </c>
      <c r="L148"/>
      <c r="M148" t="n">
        <v>1980</v>
      </c>
      <c r="N148" t="n">
        <v>1983</v>
      </c>
      <c r="O148" t="s">
        <v>528</v>
      </c>
      <c r="P148" t="n">
        <v>2</v>
      </c>
      <c r="Q148" t="n">
        <v>1</v>
      </c>
      <c r="R148" t="n">
        <v>1</v>
      </c>
      <c r="S148" t="n">
        <v>1978</v>
      </c>
      <c r="T148" t="s">
        <v>946</v>
      </c>
      <c r="U148" t="s">
        <v>947</v>
      </c>
      <c r="V148" t="s">
        <v>74</v>
      </c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948</v>
      </c>
      <c r="B149" t="s">
        <v>31</v>
      </c>
      <c r="C149" t="s">
        <v>65</v>
      </c>
      <c r="D149" t="s">
        <v>949</v>
      </c>
      <c r="E149" t="s">
        <v>883</v>
      </c>
      <c r="F149" t="s">
        <v>724</v>
      </c>
      <c r="G149" t="s">
        <v>884</v>
      </c>
      <c r="H149" t="n">
        <v>39.9634161683035</v>
      </c>
      <c r="I149" t="n">
        <v>-105.095610798145</v>
      </c>
      <c r="J149" t="s">
        <v>35</v>
      </c>
      <c r="K149" t="s">
        <v>133</v>
      </c>
      <c r="L149"/>
      <c r="M149" t="n">
        <v>1980</v>
      </c>
      <c r="N149" t="n">
        <v>1990</v>
      </c>
      <c r="O149" t="s">
        <v>540</v>
      </c>
      <c r="P149" t="n">
        <v>4</v>
      </c>
      <c r="Q149" t="n">
        <v>2</v>
      </c>
      <c r="R149" t="n">
        <v>2</v>
      </c>
      <c r="S149" t="n">
        <v>1956</v>
      </c>
      <c r="T149" t="s">
        <v>950</v>
      </c>
      <c r="U149" t="s">
        <v>951</v>
      </c>
      <c r="V149" t="s">
        <v>74</v>
      </c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952</v>
      </c>
      <c r="B150" t="s">
        <v>31</v>
      </c>
      <c r="C150" t="s">
        <v>65</v>
      </c>
      <c r="D150" t="s">
        <v>953</v>
      </c>
      <c r="E150" t="s">
        <v>738</v>
      </c>
      <c r="F150" t="s">
        <v>724</v>
      </c>
      <c r="G150" t="s">
        <v>739</v>
      </c>
      <c r="H150" t="n">
        <v>40.1660260816327</v>
      </c>
      <c r="I150" t="n">
        <v>-105.093131908163</v>
      </c>
      <c r="J150" t="s">
        <v>35</v>
      </c>
      <c r="K150" t="s">
        <v>120</v>
      </c>
      <c r="L150"/>
      <c r="M150" t="n">
        <v>1980</v>
      </c>
      <c r="N150" t="n">
        <v>1990</v>
      </c>
      <c r="O150" t="s">
        <v>540</v>
      </c>
      <c r="P150" t="n">
        <v>4</v>
      </c>
      <c r="Q150" t="n">
        <v>1</v>
      </c>
      <c r="R150" t="n">
        <v>1</v>
      </c>
      <c r="S150" t="n">
        <v>1971</v>
      </c>
      <c r="T150" t="s">
        <v>954</v>
      </c>
      <c r="U150" t="s">
        <v>955</v>
      </c>
      <c r="V150" t="s">
        <v>74</v>
      </c>
      <c r="W150"/>
      <c r="X150"/>
      <c r="Y150"/>
      <c r="Z150"/>
      <c r="AA150"/>
      <c r="AB150"/>
      <c r="AC150"/>
      <c r="AD150"/>
      <c r="AE150"/>
      <c r="AF150" t="s">
        <v>956</v>
      </c>
      <c r="AG150" t="n">
        <v>170</v>
      </c>
    </row>
    <row r="151">
      <c r="A151" t="s">
        <v>957</v>
      </c>
      <c r="B151" t="s">
        <v>31</v>
      </c>
      <c r="C151" t="s">
        <v>65</v>
      </c>
      <c r="D151" t="s">
        <v>958</v>
      </c>
      <c r="E151" t="s">
        <v>723</v>
      </c>
      <c r="F151" t="s">
        <v>724</v>
      </c>
      <c r="G151" t="s">
        <v>817</v>
      </c>
      <c r="H151" t="n">
        <v>40.0325684077605</v>
      </c>
      <c r="I151" t="n">
        <v>-105.17853671759</v>
      </c>
      <c r="J151" t="s">
        <v>35</v>
      </c>
      <c r="K151" t="s">
        <v>141</v>
      </c>
      <c r="L151"/>
      <c r="M151" t="n">
        <v>1983</v>
      </c>
      <c r="N151" t="n">
        <v>1983</v>
      </c>
      <c r="O151" t="s">
        <v>264</v>
      </c>
      <c r="P151" t="n">
        <v>1</v>
      </c>
      <c r="Q151" t="n">
        <v>2</v>
      </c>
      <c r="R151" t="n">
        <v>2</v>
      </c>
      <c r="S151" t="n">
        <v>1978</v>
      </c>
      <c r="T151" t="s">
        <v>959</v>
      </c>
      <c r="U151" t="s">
        <v>960</v>
      </c>
      <c r="V151" t="s">
        <v>74</v>
      </c>
      <c r="W151"/>
      <c r="X151"/>
      <c r="Y151"/>
      <c r="Z151"/>
      <c r="AA151"/>
      <c r="AB151"/>
      <c r="AC151"/>
      <c r="AD151"/>
      <c r="AE151"/>
      <c r="AF151" t="s">
        <v>961</v>
      </c>
      <c r="AG151" t="n">
        <v>58</v>
      </c>
    </row>
    <row r="152">
      <c r="A152" t="s">
        <v>962</v>
      </c>
      <c r="B152" t="s">
        <v>31</v>
      </c>
      <c r="C152" t="s">
        <v>65</v>
      </c>
      <c r="D152" t="s">
        <v>963</v>
      </c>
      <c r="E152" t="s">
        <v>723</v>
      </c>
      <c r="F152" t="s">
        <v>724</v>
      </c>
      <c r="G152" t="s">
        <v>725</v>
      </c>
      <c r="H152" t="n">
        <v>40.0335148571428</v>
      </c>
      <c r="I152" t="n">
        <v>-105.283286591837</v>
      </c>
      <c r="J152" t="s">
        <v>35</v>
      </c>
      <c r="K152" t="s">
        <v>796</v>
      </c>
      <c r="L152"/>
      <c r="M152" t="n">
        <v>1983</v>
      </c>
      <c r="N152" t="n">
        <v>1983</v>
      </c>
      <c r="O152" t="s">
        <v>264</v>
      </c>
      <c r="P152" t="n">
        <v>1</v>
      </c>
      <c r="Q152" t="n">
        <v>1</v>
      </c>
      <c r="R152" t="n">
        <v>1</v>
      </c>
      <c r="S152" t="n">
        <v>1962</v>
      </c>
      <c r="T152" t="s">
        <v>964</v>
      </c>
      <c r="U152" t="s">
        <v>965</v>
      </c>
      <c r="V152" t="s">
        <v>74</v>
      </c>
      <c r="W152"/>
      <c r="X152"/>
      <c r="Y152"/>
      <c r="Z152"/>
      <c r="AA152"/>
      <c r="AB152"/>
      <c r="AC152"/>
      <c r="AD152"/>
      <c r="AE152"/>
      <c r="AF152" t="s">
        <v>966</v>
      </c>
      <c r="AG152" t="n">
        <v>176</v>
      </c>
    </row>
    <row r="153">
      <c r="A153" t="s">
        <v>967</v>
      </c>
      <c r="B153" t="s">
        <v>31</v>
      </c>
      <c r="C153" t="s">
        <v>65</v>
      </c>
      <c r="D153" t="s">
        <v>968</v>
      </c>
      <c r="E153" t="s">
        <v>723</v>
      </c>
      <c r="F153" t="s">
        <v>724</v>
      </c>
      <c r="G153" t="s">
        <v>817</v>
      </c>
      <c r="H153" t="n">
        <v>40.0147686909091</v>
      </c>
      <c r="I153" t="n">
        <v>-105.205990909091</v>
      </c>
      <c r="J153" t="s">
        <v>35</v>
      </c>
      <c r="K153" t="s">
        <v>141</v>
      </c>
      <c r="L153"/>
      <c r="M153" t="n">
        <v>1983</v>
      </c>
      <c r="N153" t="n">
        <v>1990</v>
      </c>
      <c r="O153" t="s">
        <v>271</v>
      </c>
      <c r="P153" t="n">
        <v>3</v>
      </c>
      <c r="Q153" t="n">
        <v>5</v>
      </c>
      <c r="R153" t="n">
        <v>3</v>
      </c>
      <c r="S153" t="n">
        <v>1978</v>
      </c>
      <c r="T153" t="s">
        <v>969</v>
      </c>
      <c r="U153" t="s">
        <v>970</v>
      </c>
      <c r="V153" t="s">
        <v>74</v>
      </c>
      <c r="W153"/>
      <c r="X153"/>
      <c r="Y153"/>
      <c r="Z153"/>
      <c r="AA153"/>
      <c r="AB153" t="s">
        <v>971</v>
      </c>
      <c r="AC153" t="n">
        <v>109</v>
      </c>
      <c r="AD153" t="s">
        <v>972</v>
      </c>
      <c r="AE153" t="n">
        <v>134</v>
      </c>
      <c r="AF153" t="s">
        <v>973</v>
      </c>
      <c r="AG153" t="n">
        <v>51</v>
      </c>
    </row>
    <row r="154">
      <c r="A154" t="s">
        <v>974</v>
      </c>
      <c r="B154" t="s">
        <v>31</v>
      </c>
      <c r="C154" t="s">
        <v>65</v>
      </c>
      <c r="D154" t="s">
        <v>975</v>
      </c>
      <c r="E154" t="s">
        <v>723</v>
      </c>
      <c r="F154" t="s">
        <v>724</v>
      </c>
      <c r="G154" t="s">
        <v>817</v>
      </c>
      <c r="H154" t="n">
        <v>40.0190694774574</v>
      </c>
      <c r="I154" t="n">
        <v>-105.140394504078</v>
      </c>
      <c r="J154" t="s">
        <v>35</v>
      </c>
      <c r="K154" t="s">
        <v>120</v>
      </c>
      <c r="L154"/>
      <c r="M154" t="n">
        <v>1983</v>
      </c>
      <c r="N154" t="n">
        <v>1990</v>
      </c>
      <c r="O154" t="s">
        <v>293</v>
      </c>
      <c r="P154" t="n">
        <v>2</v>
      </c>
      <c r="Q154" t="n">
        <v>1</v>
      </c>
      <c r="R154" t="n">
        <v>1</v>
      </c>
      <c r="S154" t="n">
        <v>1973</v>
      </c>
      <c r="T154" t="s">
        <v>976</v>
      </c>
      <c r="U154" t="s">
        <v>977</v>
      </c>
      <c r="V154" t="s">
        <v>74</v>
      </c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978</v>
      </c>
      <c r="B155" t="s">
        <v>31</v>
      </c>
      <c r="C155" t="s">
        <v>65</v>
      </c>
      <c r="D155" t="s">
        <v>979</v>
      </c>
      <c r="E155" t="s">
        <v>723</v>
      </c>
      <c r="F155" t="s">
        <v>724</v>
      </c>
      <c r="G155" t="s">
        <v>725</v>
      </c>
      <c r="H155" t="n">
        <v>40.0407338160079</v>
      </c>
      <c r="I155" t="n">
        <v>-105.272749423655</v>
      </c>
      <c r="J155" t="s">
        <v>35</v>
      </c>
      <c r="K155" t="s">
        <v>70</v>
      </c>
      <c r="L155"/>
      <c r="M155" t="n">
        <v>1983</v>
      </c>
      <c r="N155" t="n">
        <v>1990</v>
      </c>
      <c r="O155" t="s">
        <v>271</v>
      </c>
      <c r="P155" t="n">
        <v>3</v>
      </c>
      <c r="Q155" t="n">
        <v>2</v>
      </c>
      <c r="R155" t="n">
        <v>2</v>
      </c>
      <c r="S155" t="n">
        <v>1981</v>
      </c>
      <c r="T155" t="s">
        <v>980</v>
      </c>
      <c r="U155" t="s">
        <v>981</v>
      </c>
      <c r="V155" t="s">
        <v>74</v>
      </c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982</v>
      </c>
      <c r="B156" t="s">
        <v>31</v>
      </c>
      <c r="C156" t="s">
        <v>65</v>
      </c>
      <c r="D156" t="s">
        <v>983</v>
      </c>
      <c r="E156" t="s">
        <v>723</v>
      </c>
      <c r="F156" t="s">
        <v>724</v>
      </c>
      <c r="G156" t="s">
        <v>817</v>
      </c>
      <c r="H156" t="n">
        <v>40.027564</v>
      </c>
      <c r="I156" t="n">
        <v>-105.253519591521</v>
      </c>
      <c r="J156" t="s">
        <v>35</v>
      </c>
      <c r="K156" t="s">
        <v>120</v>
      </c>
      <c r="L156"/>
      <c r="M156" t="n">
        <v>1983</v>
      </c>
      <c r="N156" t="n">
        <v>1990</v>
      </c>
      <c r="O156" t="s">
        <v>325</v>
      </c>
      <c r="P156" t="n">
        <v>3</v>
      </c>
      <c r="Q156" t="n">
        <v>4</v>
      </c>
      <c r="R156" t="n">
        <v>1</v>
      </c>
      <c r="S156" t="n">
        <v>1967</v>
      </c>
      <c r="T156" t="s">
        <v>984</v>
      </c>
      <c r="U156" t="s">
        <v>985</v>
      </c>
      <c r="V156" t="s">
        <v>74</v>
      </c>
      <c r="W156"/>
      <c r="X156"/>
      <c r="Y156"/>
      <c r="Z156"/>
      <c r="AA156"/>
      <c r="AB156"/>
      <c r="AC156"/>
      <c r="AD156" t="s">
        <v>763</v>
      </c>
      <c r="AE156" t="n">
        <v>204</v>
      </c>
      <c r="AF156" t="s">
        <v>764</v>
      </c>
      <c r="AG156" t="n">
        <v>92</v>
      </c>
    </row>
    <row r="157">
      <c r="A157" t="s">
        <v>986</v>
      </c>
      <c r="B157" t="s">
        <v>31</v>
      </c>
      <c r="C157" t="s">
        <v>65</v>
      </c>
      <c r="D157" t="s">
        <v>987</v>
      </c>
      <c r="E157" t="s">
        <v>723</v>
      </c>
      <c r="F157" t="s">
        <v>724</v>
      </c>
      <c r="G157" t="s">
        <v>863</v>
      </c>
      <c r="H157" t="n">
        <v>40.0147356612322</v>
      </c>
      <c r="I157" t="n">
        <v>-105.197040662957</v>
      </c>
      <c r="J157" t="s">
        <v>35</v>
      </c>
      <c r="K157" t="s">
        <v>988</v>
      </c>
      <c r="L157"/>
      <c r="M157" t="n">
        <v>1983</v>
      </c>
      <c r="N157" t="n">
        <v>1992</v>
      </c>
      <c r="O157" t="s">
        <v>357</v>
      </c>
      <c r="P157" t="n">
        <v>3</v>
      </c>
      <c r="Q157" t="n">
        <v>3</v>
      </c>
      <c r="R157" t="n">
        <v>2</v>
      </c>
      <c r="S157" t="n">
        <v>1977</v>
      </c>
      <c r="T157" t="s">
        <v>989</v>
      </c>
      <c r="U157" t="s">
        <v>990</v>
      </c>
      <c r="V157" t="s">
        <v>74</v>
      </c>
      <c r="W157"/>
      <c r="X157"/>
      <c r="Y157"/>
      <c r="Z157"/>
      <c r="AA157"/>
      <c r="AB157"/>
      <c r="AC157"/>
      <c r="AD157"/>
      <c r="AE157"/>
      <c r="AF157" t="s">
        <v>991</v>
      </c>
      <c r="AG157" t="n">
        <v>68</v>
      </c>
    </row>
    <row r="158">
      <c r="A158" t="s">
        <v>992</v>
      </c>
      <c r="B158" t="s">
        <v>31</v>
      </c>
      <c r="C158" t="s">
        <v>65</v>
      </c>
      <c r="D158" t="s">
        <v>993</v>
      </c>
      <c r="E158" t="s">
        <v>723</v>
      </c>
      <c r="F158" t="s">
        <v>724</v>
      </c>
      <c r="G158" t="s">
        <v>863</v>
      </c>
      <c r="H158" t="n">
        <v>39.9894478020458</v>
      </c>
      <c r="I158" t="n">
        <v>-105.162923064544</v>
      </c>
      <c r="J158" t="s">
        <v>35</v>
      </c>
      <c r="K158" t="s">
        <v>89</v>
      </c>
      <c r="L158"/>
      <c r="M158" t="n">
        <v>1983</v>
      </c>
      <c r="N158" t="n">
        <v>1990</v>
      </c>
      <c r="O158" t="s">
        <v>271</v>
      </c>
      <c r="P158" t="n">
        <v>3</v>
      </c>
      <c r="Q158" t="n">
        <v>2</v>
      </c>
      <c r="R158" t="n">
        <v>2</v>
      </c>
      <c r="S158" t="n">
        <v>1976</v>
      </c>
      <c r="T158" t="s">
        <v>994</v>
      </c>
      <c r="U158" t="s">
        <v>995</v>
      </c>
      <c r="V158" t="s">
        <v>74</v>
      </c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996</v>
      </c>
      <c r="B159" t="s">
        <v>31</v>
      </c>
      <c r="C159" t="s">
        <v>65</v>
      </c>
      <c r="D159" t="s">
        <v>997</v>
      </c>
      <c r="E159" t="s">
        <v>883</v>
      </c>
      <c r="F159" t="s">
        <v>724</v>
      </c>
      <c r="G159" t="s">
        <v>884</v>
      </c>
      <c r="H159" t="n">
        <v>40.0050058181818</v>
      </c>
      <c r="I159" t="n">
        <v>-105.106395030303</v>
      </c>
      <c r="J159" t="s">
        <v>35</v>
      </c>
      <c r="K159" t="s">
        <v>70</v>
      </c>
      <c r="L159"/>
      <c r="M159" t="n">
        <v>1983</v>
      </c>
      <c r="N159" t="n">
        <v>1983</v>
      </c>
      <c r="O159" t="s">
        <v>264</v>
      </c>
      <c r="P159" t="n">
        <v>1</v>
      </c>
      <c r="Q159" t="n">
        <v>1</v>
      </c>
      <c r="R159" t="n">
        <v>1</v>
      </c>
      <c r="S159" t="n">
        <v>1968</v>
      </c>
      <c r="T159" t="s">
        <v>998</v>
      </c>
      <c r="U159" t="s">
        <v>999</v>
      </c>
      <c r="V159" t="s">
        <v>74</v>
      </c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1000</v>
      </c>
      <c r="B160" t="s">
        <v>31</v>
      </c>
      <c r="C160" t="s">
        <v>65</v>
      </c>
      <c r="D160" t="s">
        <v>1001</v>
      </c>
      <c r="E160" t="s">
        <v>738</v>
      </c>
      <c r="F160" t="s">
        <v>724</v>
      </c>
      <c r="G160" t="s">
        <v>739</v>
      </c>
      <c r="H160" t="n">
        <v>40.1433292858804</v>
      </c>
      <c r="I160" t="n">
        <v>-105.122210634005</v>
      </c>
      <c r="J160" t="s">
        <v>35</v>
      </c>
      <c r="K160" t="s">
        <v>220</v>
      </c>
      <c r="L160" t="s">
        <v>1002</v>
      </c>
      <c r="M160" t="n">
        <v>1983</v>
      </c>
      <c r="N160" t="n">
        <v>1992</v>
      </c>
      <c r="O160" t="s">
        <v>1003</v>
      </c>
      <c r="P160" t="n">
        <v>2</v>
      </c>
      <c r="Q160" t="n">
        <v>3</v>
      </c>
      <c r="R160" t="n">
        <v>2</v>
      </c>
      <c r="S160" t="n">
        <v>1978</v>
      </c>
      <c r="T160" t="s">
        <v>1004</v>
      </c>
      <c r="U160" t="s">
        <v>1005</v>
      </c>
      <c r="V160" t="s">
        <v>74</v>
      </c>
      <c r="W160"/>
      <c r="X160"/>
      <c r="Y160"/>
      <c r="Z160"/>
      <c r="AA160"/>
      <c r="AB160"/>
      <c r="AC160"/>
      <c r="AD160" t="s">
        <v>1006</v>
      </c>
      <c r="AE160" t="n">
        <v>145</v>
      </c>
      <c r="AF160" t="s">
        <v>1007</v>
      </c>
      <c r="AG160" t="n">
        <v>78</v>
      </c>
    </row>
    <row r="161">
      <c r="A161" t="s">
        <v>1008</v>
      </c>
      <c r="B161" t="s">
        <v>31</v>
      </c>
      <c r="C161" t="s">
        <v>65</v>
      </c>
      <c r="D161" t="s">
        <v>1009</v>
      </c>
      <c r="E161" t="s">
        <v>1010</v>
      </c>
      <c r="F161" t="s">
        <v>724</v>
      </c>
      <c r="G161" t="s">
        <v>1011</v>
      </c>
      <c r="H161" t="n">
        <v>39.9504883051897</v>
      </c>
      <c r="I161" t="n">
        <v>-105.168031103242</v>
      </c>
      <c r="J161" t="s">
        <v>35</v>
      </c>
      <c r="K161" t="s">
        <v>220</v>
      </c>
      <c r="L161"/>
      <c r="M161" t="n">
        <v>1983</v>
      </c>
      <c r="N161" t="n">
        <v>1990</v>
      </c>
      <c r="O161" t="s">
        <v>271</v>
      </c>
      <c r="P161" t="n">
        <v>3</v>
      </c>
      <c r="Q161" t="n">
        <v>2</v>
      </c>
      <c r="R161" t="n">
        <v>2</v>
      </c>
      <c r="S161" t="n">
        <v>1978</v>
      </c>
      <c r="T161" t="s">
        <v>1012</v>
      </c>
      <c r="U161" t="s">
        <v>1013</v>
      </c>
      <c r="V161" t="s">
        <v>74</v>
      </c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1014</v>
      </c>
      <c r="B162" t="s">
        <v>31</v>
      </c>
      <c r="C162" t="s">
        <v>65</v>
      </c>
      <c r="D162" t="s">
        <v>1015</v>
      </c>
      <c r="E162" t="s">
        <v>723</v>
      </c>
      <c r="F162" t="s">
        <v>724</v>
      </c>
      <c r="G162" t="s">
        <v>725</v>
      </c>
      <c r="H162" t="n">
        <v>40.0186592242509</v>
      </c>
      <c r="I162" t="n">
        <v>-105.292883277705</v>
      </c>
      <c r="J162" t="s">
        <v>35</v>
      </c>
      <c r="K162" t="s">
        <v>282</v>
      </c>
      <c r="L162"/>
      <c r="M162" t="n">
        <v>1988</v>
      </c>
      <c r="N162" t="n">
        <v>1992</v>
      </c>
      <c r="O162" t="s">
        <v>1016</v>
      </c>
      <c r="P162" t="n">
        <v>3</v>
      </c>
      <c r="Q162" t="n">
        <v>1</v>
      </c>
      <c r="R162" t="n">
        <v>1</v>
      </c>
      <c r="S162" t="n">
        <v>1960</v>
      </c>
      <c r="T162" t="s">
        <v>1017</v>
      </c>
      <c r="U162" t="s">
        <v>1018</v>
      </c>
      <c r="V162" t="s">
        <v>74</v>
      </c>
      <c r="W162"/>
      <c r="X162"/>
      <c r="Y162"/>
      <c r="Z162"/>
      <c r="AA162"/>
      <c r="AB162"/>
      <c r="AC162"/>
      <c r="AD162"/>
      <c r="AE162"/>
      <c r="AF162" t="s">
        <v>1019</v>
      </c>
      <c r="AG162" t="n">
        <v>222</v>
      </c>
    </row>
    <row r="163">
      <c r="A163" t="s">
        <v>1020</v>
      </c>
      <c r="B163" t="s">
        <v>31</v>
      </c>
      <c r="C163" t="s">
        <v>65</v>
      </c>
      <c r="D163" t="s">
        <v>1021</v>
      </c>
      <c r="E163" t="s">
        <v>723</v>
      </c>
      <c r="F163" t="s">
        <v>724</v>
      </c>
      <c r="G163" t="s">
        <v>863</v>
      </c>
      <c r="H163" t="n">
        <v>40.0000380555556</v>
      </c>
      <c r="I163" t="n">
        <v>-105.238984175926</v>
      </c>
      <c r="J163" t="s">
        <v>35</v>
      </c>
      <c r="K163" t="s">
        <v>70</v>
      </c>
      <c r="L163"/>
      <c r="M163" t="n">
        <v>1988</v>
      </c>
      <c r="N163" t="n">
        <v>1988</v>
      </c>
      <c r="O163" t="s">
        <v>325</v>
      </c>
      <c r="P163" t="n">
        <v>1</v>
      </c>
      <c r="Q163" t="n">
        <v>1</v>
      </c>
      <c r="R163" t="n">
        <v>1</v>
      </c>
      <c r="S163" t="n">
        <v>1977</v>
      </c>
      <c r="T163" t="s">
        <v>1022</v>
      </c>
      <c r="U163" t="s">
        <v>1023</v>
      </c>
      <c r="V163" t="s">
        <v>74</v>
      </c>
      <c r="W163"/>
      <c r="X163"/>
      <c r="Y163"/>
      <c r="Z163"/>
      <c r="AA163"/>
      <c r="AB163"/>
      <c r="AC163"/>
      <c r="AD163"/>
      <c r="AE163"/>
      <c r="AF163" t="s">
        <v>1024</v>
      </c>
      <c r="AG163" t="n">
        <v>123</v>
      </c>
    </row>
    <row r="164">
      <c r="A164" t="s">
        <v>1025</v>
      </c>
      <c r="B164" t="s">
        <v>31</v>
      </c>
      <c r="C164" t="s">
        <v>65</v>
      </c>
      <c r="D164" t="s">
        <v>1026</v>
      </c>
      <c r="E164" t="s">
        <v>723</v>
      </c>
      <c r="F164" t="s">
        <v>724</v>
      </c>
      <c r="G164" t="s">
        <v>725</v>
      </c>
      <c r="H164" t="n">
        <v>40.01259401659</v>
      </c>
      <c r="I164" t="n">
        <v>-105.296654298992</v>
      </c>
      <c r="J164" t="s">
        <v>35</v>
      </c>
      <c r="K164" t="s">
        <v>120</v>
      </c>
      <c r="L164"/>
      <c r="M164" t="n">
        <v>1988</v>
      </c>
      <c r="N164" t="n">
        <v>1990</v>
      </c>
      <c r="O164" t="s">
        <v>351</v>
      </c>
      <c r="P164" t="n">
        <v>2</v>
      </c>
      <c r="Q164" t="n">
        <v>3</v>
      </c>
      <c r="R164" t="n">
        <v>1</v>
      </c>
      <c r="S164" t="n">
        <v>1982</v>
      </c>
      <c r="T164" t="s">
        <v>1027</v>
      </c>
      <c r="U164" t="s">
        <v>1028</v>
      </c>
      <c r="V164" t="s">
        <v>74</v>
      </c>
      <c r="W164"/>
      <c r="X164"/>
      <c r="Y164"/>
      <c r="Z164"/>
      <c r="AA164"/>
      <c r="AB164"/>
      <c r="AC164"/>
      <c r="AD164"/>
      <c r="AE164"/>
      <c r="AF164" t="s">
        <v>1029</v>
      </c>
      <c r="AG164" t="n">
        <v>217</v>
      </c>
    </row>
    <row r="165">
      <c r="A165" t="s">
        <v>1030</v>
      </c>
      <c r="B165" t="s">
        <v>31</v>
      </c>
      <c r="C165" t="s">
        <v>65</v>
      </c>
      <c r="D165" t="s">
        <v>1031</v>
      </c>
      <c r="E165" t="s">
        <v>723</v>
      </c>
      <c r="F165" t="s">
        <v>724</v>
      </c>
      <c r="G165" t="s">
        <v>863</v>
      </c>
      <c r="H165" t="n">
        <v>39.9668116685549</v>
      </c>
      <c r="I165" t="n">
        <v>-105.256499856297</v>
      </c>
      <c r="J165" t="s">
        <v>35</v>
      </c>
      <c r="K165" t="s">
        <v>1032</v>
      </c>
      <c r="L165"/>
      <c r="M165" t="n">
        <v>1988</v>
      </c>
      <c r="N165" t="n">
        <v>1988</v>
      </c>
      <c r="O165" t="s">
        <v>325</v>
      </c>
      <c r="P165" t="n">
        <v>1</v>
      </c>
      <c r="Q165" t="n">
        <v>1</v>
      </c>
      <c r="R165" t="n">
        <v>1</v>
      </c>
      <c r="S165" t="n">
        <v>1987</v>
      </c>
      <c r="T165" t="s">
        <v>1033</v>
      </c>
      <c r="U165" t="s">
        <v>1034</v>
      </c>
      <c r="V165" t="s">
        <v>74</v>
      </c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1035</v>
      </c>
      <c r="B166" t="s">
        <v>31</v>
      </c>
      <c r="C166" t="s">
        <v>65</v>
      </c>
      <c r="D166" t="s">
        <v>1036</v>
      </c>
      <c r="E166" t="s">
        <v>723</v>
      </c>
      <c r="F166" t="s">
        <v>724</v>
      </c>
      <c r="G166" t="s">
        <v>863</v>
      </c>
      <c r="H166" t="n">
        <v>39.9327282805788</v>
      </c>
      <c r="I166" t="n">
        <v>-105.275944767708</v>
      </c>
      <c r="J166" t="s">
        <v>35</v>
      </c>
      <c r="K166" t="s">
        <v>120</v>
      </c>
      <c r="L166"/>
      <c r="M166" t="n">
        <v>1988</v>
      </c>
      <c r="N166" t="n">
        <v>1990</v>
      </c>
      <c r="O166" t="s">
        <v>310</v>
      </c>
      <c r="P166" t="n">
        <v>2</v>
      </c>
      <c r="Q166" t="n">
        <v>1</v>
      </c>
      <c r="R166" t="n">
        <v>1</v>
      </c>
      <c r="S166" t="n">
        <v>1978</v>
      </c>
      <c r="T166" t="s">
        <v>1037</v>
      </c>
      <c r="U166" t="s">
        <v>1038</v>
      </c>
      <c r="V166" t="s">
        <v>74</v>
      </c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1039</v>
      </c>
      <c r="B167" t="s">
        <v>31</v>
      </c>
      <c r="C167" t="s">
        <v>65</v>
      </c>
      <c r="D167" t="s">
        <v>1040</v>
      </c>
      <c r="E167" t="s">
        <v>723</v>
      </c>
      <c r="F167" t="s">
        <v>724</v>
      </c>
      <c r="G167" t="s">
        <v>725</v>
      </c>
      <c r="H167" t="n">
        <v>40.0197570918367</v>
      </c>
      <c r="I167" t="n">
        <v>-105.276220265306</v>
      </c>
      <c r="J167" t="s">
        <v>35</v>
      </c>
      <c r="K167" t="s">
        <v>1041</v>
      </c>
      <c r="L167"/>
      <c r="M167" t="n">
        <v>1988</v>
      </c>
      <c r="N167" t="n">
        <v>1992</v>
      </c>
      <c r="O167" t="s">
        <v>351</v>
      </c>
      <c r="P167" t="n">
        <v>3</v>
      </c>
      <c r="Q167" t="n">
        <v>3</v>
      </c>
      <c r="R167" t="n">
        <v>1</v>
      </c>
      <c r="S167" t="n">
        <v>1974</v>
      </c>
      <c r="T167" t="s">
        <v>1042</v>
      </c>
      <c r="U167" t="s">
        <v>1043</v>
      </c>
      <c r="V167" t="s">
        <v>74</v>
      </c>
      <c r="W167"/>
      <c r="X167"/>
      <c r="Y167"/>
      <c r="Z167"/>
      <c r="AA167"/>
      <c r="AB167" t="s">
        <v>792</v>
      </c>
      <c r="AC167" t="n">
        <v>111</v>
      </c>
      <c r="AD167"/>
      <c r="AE167"/>
      <c r="AF167" t="s">
        <v>1044</v>
      </c>
      <c r="AG167" t="n">
        <v>117</v>
      </c>
    </row>
    <row r="168">
      <c r="A168" t="s">
        <v>1045</v>
      </c>
      <c r="B168" t="s">
        <v>31</v>
      </c>
      <c r="C168" t="s">
        <v>65</v>
      </c>
      <c r="D168" t="s">
        <v>1046</v>
      </c>
      <c r="E168" t="s">
        <v>723</v>
      </c>
      <c r="F168" t="s">
        <v>724</v>
      </c>
      <c r="G168" t="s">
        <v>863</v>
      </c>
      <c r="H168" t="n">
        <v>39.9874021737512</v>
      </c>
      <c r="I168" t="n">
        <v>-105.244461182358</v>
      </c>
      <c r="J168" t="s">
        <v>35</v>
      </c>
      <c r="K168" t="s">
        <v>70</v>
      </c>
      <c r="L168"/>
      <c r="M168" t="n">
        <v>1988</v>
      </c>
      <c r="N168" t="n">
        <v>1988</v>
      </c>
      <c r="O168" t="s">
        <v>325</v>
      </c>
      <c r="P168" t="n">
        <v>1</v>
      </c>
      <c r="Q168" t="n">
        <v>1</v>
      </c>
      <c r="R168" t="n">
        <v>1</v>
      </c>
      <c r="S168" t="n">
        <v>1971</v>
      </c>
      <c r="T168" t="s">
        <v>1047</v>
      </c>
      <c r="U168" t="s">
        <v>1048</v>
      </c>
      <c r="V168" t="s">
        <v>74</v>
      </c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1049</v>
      </c>
      <c r="B169" t="s">
        <v>31</v>
      </c>
      <c r="C169" t="s">
        <v>65</v>
      </c>
      <c r="D169" t="s">
        <v>1050</v>
      </c>
      <c r="E169" t="s">
        <v>723</v>
      </c>
      <c r="F169" t="s">
        <v>724</v>
      </c>
      <c r="G169" t="s">
        <v>817</v>
      </c>
      <c r="H169" t="n">
        <v>40.0270130119869</v>
      </c>
      <c r="I169" t="n">
        <v>-105.24758424711</v>
      </c>
      <c r="J169" t="s">
        <v>35</v>
      </c>
      <c r="K169" t="s">
        <v>120</v>
      </c>
      <c r="L169"/>
      <c r="M169" t="n">
        <v>1988</v>
      </c>
      <c r="N169" t="n">
        <v>1988</v>
      </c>
      <c r="O169" t="s">
        <v>325</v>
      </c>
      <c r="P169" t="n">
        <v>1</v>
      </c>
      <c r="Q169" t="n">
        <v>1</v>
      </c>
      <c r="R169" t="n">
        <v>1</v>
      </c>
      <c r="S169" t="n">
        <v>1980</v>
      </c>
      <c r="T169" t="s">
        <v>1051</v>
      </c>
      <c r="U169" t="s">
        <v>1052</v>
      </c>
      <c r="V169" t="s">
        <v>74</v>
      </c>
      <c r="W169"/>
      <c r="X169"/>
      <c r="Y169"/>
      <c r="Z169"/>
      <c r="AA169"/>
      <c r="AB169"/>
      <c r="AC169"/>
      <c r="AD169"/>
      <c r="AE169"/>
      <c r="AF169" t="s">
        <v>1053</v>
      </c>
      <c r="AG169" t="n">
        <v>41</v>
      </c>
    </row>
    <row r="170">
      <c r="A170" t="s">
        <v>1054</v>
      </c>
      <c r="B170" t="s">
        <v>31</v>
      </c>
      <c r="C170" t="s">
        <v>65</v>
      </c>
      <c r="D170" t="s">
        <v>1055</v>
      </c>
      <c r="E170" t="s">
        <v>883</v>
      </c>
      <c r="F170" t="s">
        <v>724</v>
      </c>
      <c r="G170" t="s">
        <v>884</v>
      </c>
      <c r="H170" t="n">
        <v>40.0202493214516</v>
      </c>
      <c r="I170" t="n">
        <v>-105.102879335047</v>
      </c>
      <c r="J170" t="s">
        <v>35</v>
      </c>
      <c r="K170" t="s">
        <v>89</v>
      </c>
      <c r="L170"/>
      <c r="M170" t="n">
        <v>1988</v>
      </c>
      <c r="N170" t="n">
        <v>1992</v>
      </c>
      <c r="O170" t="s">
        <v>1016</v>
      </c>
      <c r="P170" t="n">
        <v>3</v>
      </c>
      <c r="Q170" t="n">
        <v>1</v>
      </c>
      <c r="R170" t="n">
        <v>1</v>
      </c>
      <c r="S170" t="n">
        <v>1986</v>
      </c>
      <c r="T170" t="s">
        <v>1056</v>
      </c>
      <c r="U170" t="s">
        <v>1057</v>
      </c>
      <c r="V170" t="s">
        <v>74</v>
      </c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1058</v>
      </c>
      <c r="B171" t="s">
        <v>31</v>
      </c>
      <c r="C171" t="s">
        <v>65</v>
      </c>
      <c r="D171" t="s">
        <v>1059</v>
      </c>
      <c r="E171" t="s">
        <v>738</v>
      </c>
      <c r="F171" t="s">
        <v>724</v>
      </c>
      <c r="G171" t="s">
        <v>739</v>
      </c>
      <c r="H171" t="n">
        <v>40.1473256590704</v>
      </c>
      <c r="I171" t="n">
        <v>-105.117776063225</v>
      </c>
      <c r="J171" t="s">
        <v>35</v>
      </c>
      <c r="K171" t="s">
        <v>120</v>
      </c>
      <c r="L171"/>
      <c r="M171" t="n">
        <v>1988</v>
      </c>
      <c r="N171" t="n">
        <v>1988</v>
      </c>
      <c r="O171" t="s">
        <v>325</v>
      </c>
      <c r="P171" t="n">
        <v>1</v>
      </c>
      <c r="Q171" t="n">
        <v>2</v>
      </c>
      <c r="R171" t="n">
        <v>2</v>
      </c>
      <c r="S171" t="n">
        <v>1960</v>
      </c>
      <c r="T171" t="s">
        <v>1060</v>
      </c>
      <c r="U171" t="s">
        <v>1061</v>
      </c>
      <c r="V171" t="s">
        <v>74</v>
      </c>
      <c r="W171"/>
      <c r="X171"/>
      <c r="Y171"/>
      <c r="Z171"/>
      <c r="AA171"/>
      <c r="AB171"/>
      <c r="AC171"/>
      <c r="AD171" t="s">
        <v>1062</v>
      </c>
      <c r="AE171" t="n">
        <v>227</v>
      </c>
      <c r="AF171" t="s">
        <v>1063</v>
      </c>
      <c r="AG171" t="n">
        <v>97</v>
      </c>
    </row>
    <row r="172">
      <c r="A172" t="s">
        <v>1064</v>
      </c>
      <c r="B172" t="s">
        <v>31</v>
      </c>
      <c r="C172" t="s">
        <v>65</v>
      </c>
      <c r="D172" t="s">
        <v>1065</v>
      </c>
      <c r="E172" t="s">
        <v>738</v>
      </c>
      <c r="F172" t="s">
        <v>724</v>
      </c>
      <c r="G172" t="s">
        <v>739</v>
      </c>
      <c r="H172" t="n">
        <v>40.1642415170119</v>
      </c>
      <c r="I172" t="n">
        <v>-105.092183006988</v>
      </c>
      <c r="J172" t="s">
        <v>35</v>
      </c>
      <c r="K172" t="s">
        <v>120</v>
      </c>
      <c r="L172"/>
      <c r="M172" t="n">
        <v>1988</v>
      </c>
      <c r="N172" t="n">
        <v>1992</v>
      </c>
      <c r="O172" t="s">
        <v>320</v>
      </c>
      <c r="P172" t="n">
        <v>3</v>
      </c>
      <c r="Q172" t="n">
        <v>2</v>
      </c>
      <c r="R172" t="n">
        <v>2</v>
      </c>
      <c r="S172" t="n">
        <v>1961</v>
      </c>
      <c r="T172" t="s">
        <v>1066</v>
      </c>
      <c r="U172" t="s">
        <v>1067</v>
      </c>
      <c r="V172" t="s">
        <v>74</v>
      </c>
      <c r="W172"/>
      <c r="X172"/>
      <c r="Y172"/>
      <c r="Z172"/>
      <c r="AA172"/>
      <c r="AB172"/>
      <c r="AC172"/>
      <c r="AD172"/>
      <c r="AE172"/>
      <c r="AF172" t="s">
        <v>956</v>
      </c>
      <c r="AG172" t="n">
        <v>83</v>
      </c>
    </row>
    <row r="173">
      <c r="A173" t="s">
        <v>1068</v>
      </c>
      <c r="B173" t="s">
        <v>31</v>
      </c>
      <c r="C173" t="s">
        <v>65</v>
      </c>
      <c r="D173" t="s">
        <v>1069</v>
      </c>
      <c r="E173" t="s">
        <v>738</v>
      </c>
      <c r="F173" t="s">
        <v>724</v>
      </c>
      <c r="G173" t="s">
        <v>739</v>
      </c>
      <c r="H173" t="n">
        <v>40.187921862069</v>
      </c>
      <c r="I173" t="n">
        <v>-105.145688827586</v>
      </c>
      <c r="J173" t="s">
        <v>35</v>
      </c>
      <c r="K173" t="s">
        <v>220</v>
      </c>
      <c r="L173"/>
      <c r="M173" t="n">
        <v>1988</v>
      </c>
      <c r="N173" t="n">
        <v>1990</v>
      </c>
      <c r="O173" t="s">
        <v>310</v>
      </c>
      <c r="P173" t="n">
        <v>2</v>
      </c>
      <c r="Q173" t="n">
        <v>2</v>
      </c>
      <c r="R173" t="n">
        <v>2</v>
      </c>
      <c r="S173" t="n">
        <v>1987</v>
      </c>
      <c r="T173" t="s">
        <v>1070</v>
      </c>
      <c r="U173" t="s">
        <v>1071</v>
      </c>
      <c r="V173" t="s">
        <v>74</v>
      </c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1072</v>
      </c>
      <c r="B174" t="s">
        <v>31</v>
      </c>
      <c r="C174" t="s">
        <v>65</v>
      </c>
      <c r="D174" t="s">
        <v>1073</v>
      </c>
      <c r="E174" t="s">
        <v>738</v>
      </c>
      <c r="F174" t="s">
        <v>724</v>
      </c>
      <c r="G174" t="s">
        <v>739</v>
      </c>
      <c r="H174" t="n">
        <v>40.1668031946127</v>
      </c>
      <c r="I174" t="n">
        <v>-105.120277845611</v>
      </c>
      <c r="J174" t="s">
        <v>35</v>
      </c>
      <c r="K174" t="s">
        <v>120</v>
      </c>
      <c r="L174"/>
      <c r="M174" t="n">
        <v>1988</v>
      </c>
      <c r="N174" t="n">
        <v>1990</v>
      </c>
      <c r="O174" t="s">
        <v>325</v>
      </c>
      <c r="P174" t="n">
        <v>2</v>
      </c>
      <c r="Q174" t="n">
        <v>1</v>
      </c>
      <c r="R174" t="n">
        <v>1</v>
      </c>
      <c r="S174" t="n">
        <v>1984</v>
      </c>
      <c r="T174" t="s">
        <v>1074</v>
      </c>
      <c r="U174" t="s">
        <v>1075</v>
      </c>
      <c r="V174" t="s">
        <v>74</v>
      </c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1076</v>
      </c>
      <c r="B175" t="s">
        <v>31</v>
      </c>
      <c r="C175" t="s">
        <v>65</v>
      </c>
      <c r="D175" t="s">
        <v>1077</v>
      </c>
      <c r="E175" t="s">
        <v>1010</v>
      </c>
      <c r="F175" t="s">
        <v>724</v>
      </c>
      <c r="G175" t="s">
        <v>1011</v>
      </c>
      <c r="H175" t="n">
        <v>39.9660369328859</v>
      </c>
      <c r="I175" t="n">
        <v>-105.122532255034</v>
      </c>
      <c r="J175" t="s">
        <v>35</v>
      </c>
      <c r="K175" t="s">
        <v>201</v>
      </c>
      <c r="L175"/>
      <c r="M175" t="n">
        <v>1988</v>
      </c>
      <c r="N175" t="n">
        <v>1988</v>
      </c>
      <c r="O175" t="s">
        <v>325</v>
      </c>
      <c r="P175" t="n">
        <v>1</v>
      </c>
      <c r="Q175" t="n">
        <v>1</v>
      </c>
      <c r="R175" t="n">
        <v>1</v>
      </c>
      <c r="S175" t="n">
        <v>1963</v>
      </c>
      <c r="T175" t="s">
        <v>1078</v>
      </c>
      <c r="U175" t="s">
        <v>1079</v>
      </c>
      <c r="V175" t="s">
        <v>74</v>
      </c>
      <c r="W175"/>
      <c r="X175"/>
      <c r="Y175"/>
      <c r="Z175"/>
      <c r="AA175"/>
      <c r="AB175"/>
      <c r="AC175"/>
      <c r="AD175"/>
      <c r="AE175"/>
      <c r="AF175" t="s">
        <v>1080</v>
      </c>
      <c r="AG175" t="n">
        <v>48</v>
      </c>
    </row>
    <row r="176">
      <c r="A176" t="s">
        <v>1081</v>
      </c>
      <c r="B176" t="s">
        <v>31</v>
      </c>
      <c r="C176" t="s">
        <v>65</v>
      </c>
      <c r="D176" t="s">
        <v>1082</v>
      </c>
      <c r="E176" t="s">
        <v>1083</v>
      </c>
      <c r="F176" t="s">
        <v>724</v>
      </c>
      <c r="G176" t="s">
        <v>1084</v>
      </c>
      <c r="H176" t="n">
        <v>40.269939</v>
      </c>
      <c r="I176" t="n">
        <v>-105.298766</v>
      </c>
      <c r="J176" t="s">
        <v>35</v>
      </c>
      <c r="K176" t="s">
        <v>120</v>
      </c>
      <c r="L176"/>
      <c r="M176" t="n">
        <v>1988</v>
      </c>
      <c r="N176" t="n">
        <v>1988</v>
      </c>
      <c r="O176" t="s">
        <v>325</v>
      </c>
      <c r="P176" t="n">
        <v>1</v>
      </c>
      <c r="Q176" t="n">
        <v>1</v>
      </c>
      <c r="R176" t="n">
        <v>1</v>
      </c>
      <c r="S176" t="n">
        <v>1979</v>
      </c>
      <c r="T176" t="s">
        <v>1085</v>
      </c>
      <c r="U176" t="s">
        <v>1086</v>
      </c>
      <c r="V176" t="s">
        <v>74</v>
      </c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1087</v>
      </c>
      <c r="B177" t="s">
        <v>31</v>
      </c>
      <c r="C177" t="s">
        <v>65</v>
      </c>
      <c r="D177" t="s">
        <v>1088</v>
      </c>
      <c r="E177" t="s">
        <v>723</v>
      </c>
      <c r="F177" t="s">
        <v>724</v>
      </c>
      <c r="G177" t="s">
        <v>725</v>
      </c>
      <c r="H177" t="n">
        <v>40.0186600612245</v>
      </c>
      <c r="I177" t="n">
        <v>-105.28148322449</v>
      </c>
      <c r="J177" t="s">
        <v>35</v>
      </c>
      <c r="K177" t="s">
        <v>120</v>
      </c>
      <c r="L177"/>
      <c r="M177" t="n">
        <v>1990</v>
      </c>
      <c r="N177" t="n">
        <v>1990</v>
      </c>
      <c r="O177" t="s">
        <v>351</v>
      </c>
      <c r="P177" t="n">
        <v>1</v>
      </c>
      <c r="Q177" t="n">
        <v>1</v>
      </c>
      <c r="R177" t="n">
        <v>1</v>
      </c>
      <c r="S177" t="n">
        <v>1987</v>
      </c>
      <c r="T177" t="s">
        <v>1089</v>
      </c>
      <c r="U177" t="s">
        <v>1090</v>
      </c>
      <c r="V177" t="s">
        <v>74</v>
      </c>
      <c r="W177"/>
      <c r="X177"/>
      <c r="Y177"/>
      <c r="Z177"/>
      <c r="AA177"/>
      <c r="AB177"/>
      <c r="AC177"/>
      <c r="AD177"/>
      <c r="AE177"/>
      <c r="AF177" t="s">
        <v>1091</v>
      </c>
      <c r="AG177" t="n">
        <v>138</v>
      </c>
    </row>
    <row r="178">
      <c r="A178" t="s">
        <v>1092</v>
      </c>
      <c r="B178" t="s">
        <v>31</v>
      </c>
      <c r="C178" t="s">
        <v>65</v>
      </c>
      <c r="D178" t="s">
        <v>1093</v>
      </c>
      <c r="E178" t="s">
        <v>723</v>
      </c>
      <c r="F178" t="s">
        <v>724</v>
      </c>
      <c r="G178" t="s">
        <v>863</v>
      </c>
      <c r="H178" t="n">
        <v>39.9531078846276</v>
      </c>
      <c r="I178" t="n">
        <v>-105.232661604829</v>
      </c>
      <c r="J178" t="s">
        <v>35</v>
      </c>
      <c r="K178" t="s">
        <v>120</v>
      </c>
      <c r="L178"/>
      <c r="M178" t="n">
        <v>1990</v>
      </c>
      <c r="N178" t="n">
        <v>1992</v>
      </c>
      <c r="O178" t="s">
        <v>351</v>
      </c>
      <c r="P178" t="n">
        <v>2</v>
      </c>
      <c r="Q178" t="n">
        <v>2</v>
      </c>
      <c r="R178" t="n">
        <v>1</v>
      </c>
      <c r="S178" t="n">
        <v>1967</v>
      </c>
      <c r="T178" t="s">
        <v>1094</v>
      </c>
      <c r="U178" t="s">
        <v>1095</v>
      </c>
      <c r="V178" t="s">
        <v>74</v>
      </c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1096</v>
      </c>
      <c r="B179" t="s">
        <v>31</v>
      </c>
      <c r="C179" t="s">
        <v>65</v>
      </c>
      <c r="D179" t="s">
        <v>1097</v>
      </c>
      <c r="E179" t="s">
        <v>723</v>
      </c>
      <c r="F179" t="s">
        <v>724</v>
      </c>
      <c r="G179" t="s">
        <v>1098</v>
      </c>
      <c r="H179" t="n">
        <v>40.0445458290076</v>
      </c>
      <c r="I179" t="n">
        <v>-105.321072055316</v>
      </c>
      <c r="J179" t="s">
        <v>35</v>
      </c>
      <c r="K179" t="s">
        <v>120</v>
      </c>
      <c r="L179"/>
      <c r="M179" t="n">
        <v>1990</v>
      </c>
      <c r="N179" t="n">
        <v>1990</v>
      </c>
      <c r="O179" t="s">
        <v>351</v>
      </c>
      <c r="P179" t="n">
        <v>1</v>
      </c>
      <c r="Q179" t="n">
        <v>1</v>
      </c>
      <c r="R179" t="n">
        <v>1</v>
      </c>
      <c r="S179" t="n">
        <v>1964</v>
      </c>
      <c r="T179" t="s">
        <v>1099</v>
      </c>
      <c r="U179" t="s">
        <v>1100</v>
      </c>
      <c r="V179" t="s">
        <v>74</v>
      </c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1101</v>
      </c>
      <c r="B180" t="s">
        <v>31</v>
      </c>
      <c r="C180" t="s">
        <v>65</v>
      </c>
      <c r="D180" t="s">
        <v>1102</v>
      </c>
      <c r="E180" t="s">
        <v>723</v>
      </c>
      <c r="F180" t="s">
        <v>724</v>
      </c>
      <c r="G180" t="s">
        <v>817</v>
      </c>
      <c r="H180" t="n">
        <v>40.0736291668552</v>
      </c>
      <c r="I180" t="n">
        <v>-105.203514461924</v>
      </c>
      <c r="J180" t="s">
        <v>35</v>
      </c>
      <c r="K180" t="s">
        <v>141</v>
      </c>
      <c r="L180"/>
      <c r="M180" t="n">
        <v>1990</v>
      </c>
      <c r="N180" t="n">
        <v>1992</v>
      </c>
      <c r="O180" t="s">
        <v>357</v>
      </c>
      <c r="P180" t="n">
        <v>2</v>
      </c>
      <c r="Q180" t="n">
        <v>1</v>
      </c>
      <c r="R180" t="n">
        <v>1</v>
      </c>
      <c r="S180" t="n">
        <v>1979</v>
      </c>
      <c r="T180" t="s">
        <v>1103</v>
      </c>
      <c r="U180" t="s">
        <v>1104</v>
      </c>
      <c r="V180" t="s">
        <v>74</v>
      </c>
      <c r="W180"/>
      <c r="X180"/>
      <c r="Y180"/>
      <c r="Z180"/>
      <c r="AA180"/>
      <c r="AB180"/>
      <c r="AC180"/>
      <c r="AD180" t="s">
        <v>1105</v>
      </c>
      <c r="AE180" t="n">
        <v>127</v>
      </c>
      <c r="AF180" t="s">
        <v>1106</v>
      </c>
      <c r="AG180" t="n">
        <v>111</v>
      </c>
    </row>
    <row r="181">
      <c r="A181" t="s">
        <v>1107</v>
      </c>
      <c r="B181" t="s">
        <v>31</v>
      </c>
      <c r="C181" t="s">
        <v>65</v>
      </c>
      <c r="D181" t="s">
        <v>1108</v>
      </c>
      <c r="E181" t="s">
        <v>723</v>
      </c>
      <c r="F181" t="s">
        <v>724</v>
      </c>
      <c r="G181" t="s">
        <v>817</v>
      </c>
      <c r="H181" t="n">
        <v>40.0292308224422</v>
      </c>
      <c r="I181" t="n">
        <v>-105.23338741032</v>
      </c>
      <c r="J181" t="s">
        <v>35</v>
      </c>
      <c r="K181" t="s">
        <v>89</v>
      </c>
      <c r="L181"/>
      <c r="M181" t="n">
        <v>1990</v>
      </c>
      <c r="N181" t="n">
        <v>1990</v>
      </c>
      <c r="O181" t="s">
        <v>351</v>
      </c>
      <c r="P181" t="n">
        <v>1</v>
      </c>
      <c r="Q181" t="n">
        <v>1</v>
      </c>
      <c r="R181" t="n">
        <v>1</v>
      </c>
      <c r="S181" t="n">
        <v>1973</v>
      </c>
      <c r="T181" t="s">
        <v>1109</v>
      </c>
      <c r="U181" t="s">
        <v>1110</v>
      </c>
      <c r="V181" t="s">
        <v>74</v>
      </c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1111</v>
      </c>
      <c r="B182" t="s">
        <v>31</v>
      </c>
      <c r="C182" t="s">
        <v>65</v>
      </c>
      <c r="D182" t="s">
        <v>1112</v>
      </c>
      <c r="E182" t="s">
        <v>723</v>
      </c>
      <c r="F182" t="s">
        <v>724</v>
      </c>
      <c r="G182" t="s">
        <v>863</v>
      </c>
      <c r="H182" t="n">
        <v>39.975179</v>
      </c>
      <c r="I182" t="n">
        <v>-105.240147</v>
      </c>
      <c r="J182" t="s">
        <v>35</v>
      </c>
      <c r="K182" t="s">
        <v>70</v>
      </c>
      <c r="L182"/>
      <c r="M182" t="n">
        <v>1990</v>
      </c>
      <c r="N182" t="n">
        <v>1990</v>
      </c>
      <c r="O182" t="s">
        <v>351</v>
      </c>
      <c r="P182" t="n">
        <v>1</v>
      </c>
      <c r="Q182" t="n">
        <v>1</v>
      </c>
      <c r="R182" t="n">
        <v>1</v>
      </c>
      <c r="S182" t="n">
        <v>1979</v>
      </c>
      <c r="T182" t="s">
        <v>1113</v>
      </c>
      <c r="U182" t="s">
        <v>1114</v>
      </c>
      <c r="V182" t="s">
        <v>74</v>
      </c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1115</v>
      </c>
      <c r="B183" t="s">
        <v>31</v>
      </c>
      <c r="C183" t="s">
        <v>65</v>
      </c>
      <c r="D183" t="s">
        <v>1116</v>
      </c>
      <c r="E183" t="s">
        <v>723</v>
      </c>
      <c r="F183" t="s">
        <v>724</v>
      </c>
      <c r="G183" t="s">
        <v>725</v>
      </c>
      <c r="H183" t="n">
        <v>40.0113225755114</v>
      </c>
      <c r="I183" t="n">
        <v>-105.351891828534</v>
      </c>
      <c r="J183" t="s">
        <v>35</v>
      </c>
      <c r="K183" t="s">
        <v>120</v>
      </c>
      <c r="L183" t="s">
        <v>1117</v>
      </c>
      <c r="M183" t="n">
        <v>1990</v>
      </c>
      <c r="N183" t="n">
        <v>1992</v>
      </c>
      <c r="O183" t="s">
        <v>357</v>
      </c>
      <c r="P183" t="n">
        <v>2</v>
      </c>
      <c r="Q183" t="n">
        <v>2</v>
      </c>
      <c r="R183" t="n">
        <v>2</v>
      </c>
      <c r="S183" t="n">
        <v>1976</v>
      </c>
      <c r="T183" t="s">
        <v>1118</v>
      </c>
      <c r="U183" t="s">
        <v>1119</v>
      </c>
      <c r="V183" t="s">
        <v>74</v>
      </c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1120</v>
      </c>
      <c r="B184" t="s">
        <v>31</v>
      </c>
      <c r="C184" t="s">
        <v>65</v>
      </c>
      <c r="D184" t="s">
        <v>1121</v>
      </c>
      <c r="E184" t="s">
        <v>883</v>
      </c>
      <c r="F184" t="s">
        <v>724</v>
      </c>
      <c r="G184" t="s">
        <v>884</v>
      </c>
      <c r="H184" t="n">
        <v>40.0549054115507</v>
      </c>
      <c r="I184" t="n">
        <v>-105.075168348556</v>
      </c>
      <c r="J184" t="s">
        <v>35</v>
      </c>
      <c r="K184" t="s">
        <v>120</v>
      </c>
      <c r="L184"/>
      <c r="M184" t="n">
        <v>1990</v>
      </c>
      <c r="N184" t="n">
        <v>1992</v>
      </c>
      <c r="O184" t="s">
        <v>357</v>
      </c>
      <c r="P184" t="n">
        <v>2</v>
      </c>
      <c r="Q184" t="n">
        <v>2</v>
      </c>
      <c r="R184" t="n">
        <v>2</v>
      </c>
      <c r="S184" t="n">
        <v>1975</v>
      </c>
      <c r="T184" t="s">
        <v>1122</v>
      </c>
      <c r="U184" t="s">
        <v>1123</v>
      </c>
      <c r="V184" t="s">
        <v>74</v>
      </c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1124</v>
      </c>
      <c r="B185" t="s">
        <v>31</v>
      </c>
      <c r="C185" t="s">
        <v>65</v>
      </c>
      <c r="D185" t="s">
        <v>1125</v>
      </c>
      <c r="E185" t="s">
        <v>883</v>
      </c>
      <c r="F185" t="s">
        <v>724</v>
      </c>
      <c r="G185" t="s">
        <v>884</v>
      </c>
      <c r="H185" t="n">
        <v>40.0038370680123</v>
      </c>
      <c r="I185" t="n">
        <v>-105.105337086833</v>
      </c>
      <c r="J185" t="s">
        <v>35</v>
      </c>
      <c r="K185" t="s">
        <v>120</v>
      </c>
      <c r="L185"/>
      <c r="M185" t="n">
        <v>1990</v>
      </c>
      <c r="N185" t="n">
        <v>1990</v>
      </c>
      <c r="O185" t="s">
        <v>351</v>
      </c>
      <c r="P185" t="n">
        <v>1</v>
      </c>
      <c r="Q185" t="n">
        <v>2</v>
      </c>
      <c r="R185" t="n">
        <v>1</v>
      </c>
      <c r="S185" t="n">
        <v>1979</v>
      </c>
      <c r="T185" t="s">
        <v>1126</v>
      </c>
      <c r="U185" t="s">
        <v>1127</v>
      </c>
      <c r="V185" t="s">
        <v>74</v>
      </c>
      <c r="W185"/>
      <c r="X185"/>
      <c r="Y185"/>
      <c r="Z185"/>
      <c r="AA185"/>
      <c r="AB185"/>
      <c r="AC185"/>
      <c r="AD185" t="s">
        <v>1128</v>
      </c>
      <c r="AE185" t="n">
        <v>177</v>
      </c>
      <c r="AF185" t="s">
        <v>1129</v>
      </c>
      <c r="AG185" t="n">
        <v>224</v>
      </c>
    </row>
    <row r="186">
      <c r="A186" t="s">
        <v>1130</v>
      </c>
      <c r="B186" t="s">
        <v>31</v>
      </c>
      <c r="C186" t="s">
        <v>65</v>
      </c>
      <c r="D186" t="s">
        <v>1131</v>
      </c>
      <c r="E186" t="s">
        <v>738</v>
      </c>
      <c r="F186" t="s">
        <v>724</v>
      </c>
      <c r="G186" t="s">
        <v>739</v>
      </c>
      <c r="H186" t="n">
        <v>40.1551702653061</v>
      </c>
      <c r="I186" t="n">
        <v>-105.121865959184</v>
      </c>
      <c r="J186" t="s">
        <v>35</v>
      </c>
      <c r="K186" t="s">
        <v>120</v>
      </c>
      <c r="L186"/>
      <c r="M186" t="n">
        <v>1990</v>
      </c>
      <c r="N186" t="n">
        <v>1992</v>
      </c>
      <c r="O186" t="s">
        <v>1016</v>
      </c>
      <c r="P186" t="n">
        <v>2</v>
      </c>
      <c r="Q186" t="n">
        <v>3</v>
      </c>
      <c r="R186" t="n">
        <v>1</v>
      </c>
      <c r="S186" t="n">
        <v>1971</v>
      </c>
      <c r="T186" t="s">
        <v>1132</v>
      </c>
      <c r="U186" t="s">
        <v>1133</v>
      </c>
      <c r="V186" t="s">
        <v>74</v>
      </c>
      <c r="W186"/>
      <c r="X186"/>
      <c r="Y186"/>
      <c r="Z186"/>
      <c r="AA186"/>
      <c r="AB186"/>
      <c r="AC186"/>
      <c r="AD186" t="s">
        <v>1134</v>
      </c>
      <c r="AE186" t="n">
        <v>161</v>
      </c>
      <c r="AF186" t="s">
        <v>1135</v>
      </c>
      <c r="AG186" t="n">
        <v>163</v>
      </c>
    </row>
    <row r="187">
      <c r="A187" t="s">
        <v>1136</v>
      </c>
      <c r="B187" t="s">
        <v>31</v>
      </c>
      <c r="C187" t="s">
        <v>65</v>
      </c>
      <c r="D187" t="s">
        <v>1137</v>
      </c>
      <c r="E187" t="s">
        <v>1010</v>
      </c>
      <c r="F187" t="s">
        <v>724</v>
      </c>
      <c r="G187" t="s">
        <v>1011</v>
      </c>
      <c r="H187" t="n">
        <v>39.9600353127393</v>
      </c>
      <c r="I187" t="n">
        <v>-105.121751161489</v>
      </c>
      <c r="J187" t="s">
        <v>35</v>
      </c>
      <c r="K187" t="s">
        <v>70</v>
      </c>
      <c r="L187"/>
      <c r="M187" t="n">
        <v>1990</v>
      </c>
      <c r="N187" t="n">
        <v>1990</v>
      </c>
      <c r="O187" t="s">
        <v>351</v>
      </c>
      <c r="P187" t="n">
        <v>1</v>
      </c>
      <c r="Q187" t="n">
        <v>1</v>
      </c>
      <c r="R187" t="n">
        <v>1</v>
      </c>
      <c r="S187" t="n">
        <v>1977</v>
      </c>
      <c r="T187" t="s">
        <v>1138</v>
      </c>
      <c r="U187" t="s">
        <v>1139</v>
      </c>
      <c r="V187" t="s">
        <v>74</v>
      </c>
      <c r="W187"/>
      <c r="X187"/>
      <c r="Y187"/>
      <c r="Z187"/>
      <c r="AA187"/>
      <c r="AB187"/>
      <c r="AC187"/>
      <c r="AD187" t="s">
        <v>1140</v>
      </c>
      <c r="AE187" t="n">
        <v>179</v>
      </c>
      <c r="AF187" t="s">
        <v>1141</v>
      </c>
      <c r="AG187" t="n">
        <v>55</v>
      </c>
    </row>
    <row r="188">
      <c r="A188" t="s">
        <v>1142</v>
      </c>
      <c r="B188" t="s">
        <v>31</v>
      </c>
      <c r="C188" t="s">
        <v>65</v>
      </c>
      <c r="D188" t="s">
        <v>1143</v>
      </c>
      <c r="E188" t="s">
        <v>723</v>
      </c>
      <c r="F188" t="s">
        <v>724</v>
      </c>
      <c r="G188" t="s">
        <v>817</v>
      </c>
      <c r="H188" t="n">
        <v>40.0717967451609</v>
      </c>
      <c r="I188" t="n">
        <v>-105.205085898136</v>
      </c>
      <c r="J188" t="s">
        <v>35</v>
      </c>
      <c r="K188" t="s">
        <v>120</v>
      </c>
      <c r="L188"/>
      <c r="M188" t="n">
        <v>1992</v>
      </c>
      <c r="N188" t="n">
        <v>1992</v>
      </c>
      <c r="O188" t="s">
        <v>1016</v>
      </c>
      <c r="P188" t="n">
        <v>1</v>
      </c>
      <c r="Q188" t="n">
        <v>2</v>
      </c>
      <c r="R188" t="n">
        <v>1</v>
      </c>
      <c r="S188" t="n">
        <v>1978</v>
      </c>
      <c r="T188" t="s">
        <v>1144</v>
      </c>
      <c r="U188" t="s">
        <v>1145</v>
      </c>
      <c r="V188" t="s">
        <v>74</v>
      </c>
      <c r="W188"/>
      <c r="X188"/>
      <c r="Y188"/>
      <c r="Z188"/>
      <c r="AA188"/>
      <c r="AB188"/>
      <c r="AC188"/>
      <c r="AD188" t="s">
        <v>1105</v>
      </c>
      <c r="AE188" t="n">
        <v>119</v>
      </c>
      <c r="AF188" t="s">
        <v>1105</v>
      </c>
      <c r="AG188" t="n">
        <v>47</v>
      </c>
    </row>
    <row r="189">
      <c r="A189" t="s">
        <v>1146</v>
      </c>
      <c r="B189" t="s">
        <v>31</v>
      </c>
      <c r="C189" t="s">
        <v>65</v>
      </c>
      <c r="D189" t="s">
        <v>1147</v>
      </c>
      <c r="E189" t="s">
        <v>723</v>
      </c>
      <c r="F189" t="s">
        <v>724</v>
      </c>
      <c r="G189" t="s">
        <v>863</v>
      </c>
      <c r="H189" t="n">
        <v>40.0136491267491</v>
      </c>
      <c r="I189" t="n">
        <v>-105.258481237728</v>
      </c>
      <c r="J189" t="s">
        <v>35</v>
      </c>
      <c r="K189" t="s">
        <v>220</v>
      </c>
      <c r="L189"/>
      <c r="M189" t="n">
        <v>1992</v>
      </c>
      <c r="N189" t="n">
        <v>1992</v>
      </c>
      <c r="O189" t="s">
        <v>1016</v>
      </c>
      <c r="P189" t="n">
        <v>1</v>
      </c>
      <c r="Q189" t="n">
        <v>1</v>
      </c>
      <c r="R189" t="n">
        <v>1</v>
      </c>
      <c r="S189"/>
      <c r="T189" t="s">
        <v>1148</v>
      </c>
      <c r="U189" t="s">
        <v>1149</v>
      </c>
      <c r="V189" t="s">
        <v>74</v>
      </c>
      <c r="W189"/>
      <c r="X189"/>
      <c r="Y189"/>
      <c r="Z189"/>
      <c r="AA189"/>
      <c r="AB189" t="s">
        <v>1150</v>
      </c>
      <c r="AC189" t="n">
        <v>109</v>
      </c>
      <c r="AD189"/>
      <c r="AE189"/>
      <c r="AF189" t="s">
        <v>1151</v>
      </c>
      <c r="AG189" t="n">
        <v>142</v>
      </c>
    </row>
    <row r="190">
      <c r="A190" t="s">
        <v>1152</v>
      </c>
      <c r="B190" t="s">
        <v>31</v>
      </c>
      <c r="C190" t="s">
        <v>65</v>
      </c>
      <c r="D190" t="s">
        <v>1153</v>
      </c>
      <c r="E190" t="s">
        <v>738</v>
      </c>
      <c r="F190" t="s">
        <v>724</v>
      </c>
      <c r="G190" t="s">
        <v>739</v>
      </c>
      <c r="H190" t="n">
        <v>40.1557828675684</v>
      </c>
      <c r="I190" t="n">
        <v>-105.110621377368</v>
      </c>
      <c r="J190" t="s">
        <v>35</v>
      </c>
      <c r="K190" t="s">
        <v>133</v>
      </c>
      <c r="L190"/>
      <c r="M190" t="n">
        <v>1992</v>
      </c>
      <c r="N190" t="n">
        <v>1992</v>
      </c>
      <c r="O190" t="s">
        <v>1016</v>
      </c>
      <c r="P190" t="n">
        <v>1</v>
      </c>
      <c r="Q190" t="n">
        <v>1</v>
      </c>
      <c r="R190" t="n">
        <v>1</v>
      </c>
      <c r="S190" t="n">
        <v>1989</v>
      </c>
      <c r="T190" t="s">
        <v>1154</v>
      </c>
      <c r="U190" t="s">
        <v>1155</v>
      </c>
      <c r="V190" t="s">
        <v>74</v>
      </c>
      <c r="W190"/>
      <c r="X190"/>
      <c r="Y190"/>
      <c r="Z190"/>
      <c r="AA190"/>
      <c r="AB190"/>
      <c r="AC190"/>
      <c r="AD190" t="s">
        <v>1156</v>
      </c>
      <c r="AE190" t="n">
        <v>130</v>
      </c>
      <c r="AF190" t="s">
        <v>1157</v>
      </c>
      <c r="AG190" t="n">
        <v>79</v>
      </c>
    </row>
    <row r="191">
      <c r="A191" t="s">
        <v>1158</v>
      </c>
      <c r="B191" t="s">
        <v>31</v>
      </c>
      <c r="C191" t="s">
        <v>65</v>
      </c>
      <c r="D191" t="s">
        <v>1159</v>
      </c>
      <c r="E191" t="s">
        <v>738</v>
      </c>
      <c r="F191" t="s">
        <v>724</v>
      </c>
      <c r="G191" t="s">
        <v>739</v>
      </c>
      <c r="H191" t="n">
        <v>40.1902208554447</v>
      </c>
      <c r="I191" t="n">
        <v>-105.12385236334</v>
      </c>
      <c r="J191" t="s">
        <v>35</v>
      </c>
      <c r="K191" t="s">
        <v>133</v>
      </c>
      <c r="L191"/>
      <c r="M191" t="n">
        <v>1992</v>
      </c>
      <c r="N191" t="n">
        <v>1992</v>
      </c>
      <c r="O191" t="s">
        <v>1016</v>
      </c>
      <c r="P191" t="n">
        <v>1</v>
      </c>
      <c r="Q191" t="n">
        <v>1</v>
      </c>
      <c r="R191" t="n">
        <v>1</v>
      </c>
      <c r="S191"/>
      <c r="T191" t="s">
        <v>1160</v>
      </c>
      <c r="U191" t="s">
        <v>1161</v>
      </c>
      <c r="V191" t="s">
        <v>74</v>
      </c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1162</v>
      </c>
      <c r="B192" t="s">
        <v>31</v>
      </c>
      <c r="C192" t="s">
        <v>65</v>
      </c>
      <c r="D192" t="s">
        <v>1163</v>
      </c>
      <c r="E192" t="s">
        <v>1164</v>
      </c>
      <c r="F192" t="s">
        <v>1165</v>
      </c>
      <c r="G192" t="s">
        <v>1166</v>
      </c>
      <c r="H192" t="n">
        <v>39.913563</v>
      </c>
      <c r="I192" t="n">
        <v>-105.107513</v>
      </c>
      <c r="J192" t="s">
        <v>35</v>
      </c>
      <c r="K192" t="s">
        <v>126</v>
      </c>
      <c r="L192"/>
      <c r="M192" t="n">
        <v>1966</v>
      </c>
      <c r="N192" t="n">
        <v>1990</v>
      </c>
      <c r="O192" t="s">
        <v>1167</v>
      </c>
      <c r="P192" t="n">
        <v>9</v>
      </c>
      <c r="Q192" t="n">
        <v>5</v>
      </c>
      <c r="R192" t="n">
        <v>3</v>
      </c>
      <c r="S192" t="n">
        <v>1957</v>
      </c>
      <c r="T192" t="s">
        <v>1168</v>
      </c>
      <c r="U192" t="s">
        <v>1169</v>
      </c>
      <c r="V192" t="s">
        <v>74</v>
      </c>
      <c r="W192"/>
      <c r="X192"/>
      <c r="Y192"/>
      <c r="Z192"/>
      <c r="AA192"/>
      <c r="AB192"/>
      <c r="AC192"/>
      <c r="AD192"/>
      <c r="AE192"/>
      <c r="AF192" t="s">
        <v>1170</v>
      </c>
      <c r="AG192" t="n">
        <v>50</v>
      </c>
    </row>
    <row r="193">
      <c r="A193" t="s">
        <v>1171</v>
      </c>
      <c r="B193" t="s">
        <v>31</v>
      </c>
      <c r="C193" t="s">
        <v>65</v>
      </c>
      <c r="D193" t="s">
        <v>1172</v>
      </c>
      <c r="E193" t="s">
        <v>1164</v>
      </c>
      <c r="F193" t="s">
        <v>1165</v>
      </c>
      <c r="G193" t="s">
        <v>1166</v>
      </c>
      <c r="H193" t="n">
        <v>39.915183</v>
      </c>
      <c r="I193" t="n">
        <v>-105.089509</v>
      </c>
      <c r="J193" t="s">
        <v>35</v>
      </c>
      <c r="K193" t="s">
        <v>120</v>
      </c>
      <c r="L193" t="s">
        <v>202</v>
      </c>
      <c r="M193" t="n">
        <v>1968</v>
      </c>
      <c r="N193" t="n">
        <v>1983</v>
      </c>
      <c r="O193" t="s">
        <v>1173</v>
      </c>
      <c r="P193" t="n">
        <v>5</v>
      </c>
      <c r="Q193" t="n">
        <v>3</v>
      </c>
      <c r="R193" t="n">
        <v>3</v>
      </c>
      <c r="S193" t="n">
        <v>1958</v>
      </c>
      <c r="T193" t="s">
        <v>1174</v>
      </c>
      <c r="U193" t="s">
        <v>1175</v>
      </c>
      <c r="V193" t="s">
        <v>74</v>
      </c>
      <c r="W193"/>
      <c r="X193"/>
      <c r="Y193"/>
      <c r="Z193"/>
      <c r="AA193"/>
      <c r="AB193"/>
      <c r="AC193"/>
      <c r="AD193"/>
      <c r="AE193"/>
      <c r="AF193" t="s">
        <v>1176</v>
      </c>
      <c r="AG193" t="n">
        <v>80</v>
      </c>
    </row>
    <row r="194">
      <c r="A194" t="s">
        <v>1177</v>
      </c>
      <c r="B194" t="s">
        <v>31</v>
      </c>
      <c r="C194" t="s">
        <v>65</v>
      </c>
      <c r="D194" t="s">
        <v>1178</v>
      </c>
      <c r="E194" t="s">
        <v>1164</v>
      </c>
      <c r="F194" t="s">
        <v>1165</v>
      </c>
      <c r="G194" t="s">
        <v>1166</v>
      </c>
      <c r="H194" t="n">
        <v>39.9129078985713</v>
      </c>
      <c r="I194" t="n">
        <v>-105.082740753978</v>
      </c>
      <c r="J194" t="s">
        <v>35</v>
      </c>
      <c r="K194" t="s">
        <v>120</v>
      </c>
      <c r="L194"/>
      <c r="M194" t="n">
        <v>1968</v>
      </c>
      <c r="N194" t="n">
        <v>1980</v>
      </c>
      <c r="O194" t="s">
        <v>1179</v>
      </c>
      <c r="P194" t="n">
        <v>5</v>
      </c>
      <c r="Q194" t="n">
        <v>5</v>
      </c>
      <c r="R194" t="n">
        <v>4</v>
      </c>
      <c r="S194" t="n">
        <v>1961</v>
      </c>
      <c r="T194" t="s">
        <v>1180</v>
      </c>
      <c r="U194" t="s">
        <v>1181</v>
      </c>
      <c r="V194" t="s">
        <v>74</v>
      </c>
      <c r="W194"/>
      <c r="X194"/>
      <c r="Y194"/>
      <c r="Z194"/>
      <c r="AA194"/>
      <c r="AB194"/>
      <c r="AC194"/>
      <c r="AD194"/>
      <c r="AE194"/>
      <c r="AF194" t="s">
        <v>1182</v>
      </c>
      <c r="AG194" t="n">
        <v>126</v>
      </c>
    </row>
    <row r="195">
      <c r="A195" t="s">
        <v>1183</v>
      </c>
      <c r="B195" t="s">
        <v>31</v>
      </c>
      <c r="C195" t="s">
        <v>65</v>
      </c>
      <c r="D195" t="s">
        <v>1184</v>
      </c>
      <c r="E195" t="s">
        <v>1164</v>
      </c>
      <c r="F195" t="s">
        <v>1165</v>
      </c>
      <c r="G195" t="s">
        <v>1166</v>
      </c>
      <c r="H195" t="n">
        <v>39.9213954591467</v>
      </c>
      <c r="I195" t="n">
        <v>-105.101757499104</v>
      </c>
      <c r="J195" t="s">
        <v>35</v>
      </c>
      <c r="K195" t="s">
        <v>81</v>
      </c>
      <c r="L195"/>
      <c r="M195" t="n">
        <v>1973</v>
      </c>
      <c r="N195" t="n">
        <v>1990</v>
      </c>
      <c r="O195" t="s">
        <v>242</v>
      </c>
      <c r="P195" t="n">
        <v>6</v>
      </c>
      <c r="Q195" t="n">
        <v>6</v>
      </c>
      <c r="R195" t="n">
        <v>5</v>
      </c>
      <c r="S195" t="n">
        <v>1958</v>
      </c>
      <c r="T195" t="s">
        <v>1185</v>
      </c>
      <c r="U195" t="s">
        <v>1186</v>
      </c>
      <c r="V195" t="s">
        <v>74</v>
      </c>
      <c r="W195"/>
      <c r="X195"/>
      <c r="Y195"/>
      <c r="Z195"/>
      <c r="AA195"/>
      <c r="AB195" t="s">
        <v>1187</v>
      </c>
      <c r="AC195" t="n">
        <v>183</v>
      </c>
      <c r="AD195" t="s">
        <v>1188</v>
      </c>
      <c r="AE195" t="n">
        <v>125</v>
      </c>
      <c r="AF195" t="s">
        <v>1189</v>
      </c>
      <c r="AG195" t="n">
        <v>86</v>
      </c>
    </row>
    <row r="196">
      <c r="A196" t="s">
        <v>1190</v>
      </c>
      <c r="B196" t="s">
        <v>31</v>
      </c>
      <c r="C196" t="s">
        <v>65</v>
      </c>
      <c r="D196" t="s">
        <v>1191</v>
      </c>
      <c r="E196" t="s">
        <v>1164</v>
      </c>
      <c r="F196" t="s">
        <v>1165</v>
      </c>
      <c r="G196" t="s">
        <v>1166</v>
      </c>
      <c r="H196" t="n">
        <v>39.9179846942415</v>
      </c>
      <c r="I196" t="n">
        <v>-105.08046463737</v>
      </c>
      <c r="J196" t="s">
        <v>35</v>
      </c>
      <c r="K196" t="s">
        <v>315</v>
      </c>
      <c r="L196"/>
      <c r="M196" t="n">
        <v>1980</v>
      </c>
      <c r="N196" t="n">
        <v>1983</v>
      </c>
      <c r="O196" t="s">
        <v>528</v>
      </c>
      <c r="P196" t="n">
        <v>2</v>
      </c>
      <c r="Q196" t="n">
        <v>1</v>
      </c>
      <c r="R196" t="n">
        <v>1</v>
      </c>
      <c r="S196" t="n">
        <v>1977</v>
      </c>
      <c r="T196" t="s">
        <v>1192</v>
      </c>
      <c r="U196" t="s">
        <v>1193</v>
      </c>
      <c r="V196" t="s">
        <v>74</v>
      </c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1194</v>
      </c>
      <c r="B197" t="s">
        <v>31</v>
      </c>
      <c r="C197" t="s">
        <v>65</v>
      </c>
      <c r="D197" t="s">
        <v>1195</v>
      </c>
      <c r="E197" t="s">
        <v>1164</v>
      </c>
      <c r="F197" t="s">
        <v>1165</v>
      </c>
      <c r="G197" t="s">
        <v>1166</v>
      </c>
      <c r="H197" t="n">
        <v>39.917429</v>
      </c>
      <c r="I197" t="n">
        <v>-105.081698</v>
      </c>
      <c r="J197" t="s">
        <v>35</v>
      </c>
      <c r="K197" t="s">
        <v>70</v>
      </c>
      <c r="L197"/>
      <c r="M197" t="n">
        <v>1983</v>
      </c>
      <c r="N197" t="n">
        <v>1990</v>
      </c>
      <c r="O197" t="s">
        <v>293</v>
      </c>
      <c r="P197" t="n">
        <v>2</v>
      </c>
      <c r="Q197" t="n">
        <v>2</v>
      </c>
      <c r="R197" t="n">
        <v>1</v>
      </c>
      <c r="S197" t="n">
        <v>1970</v>
      </c>
      <c r="T197" t="s">
        <v>1196</v>
      </c>
      <c r="U197" t="s">
        <v>1197</v>
      </c>
      <c r="V197" t="s">
        <v>74</v>
      </c>
      <c r="W197"/>
      <c r="X197"/>
      <c r="Y197"/>
      <c r="Z197"/>
      <c r="AA197"/>
      <c r="AB197"/>
      <c r="AC197"/>
      <c r="AD197"/>
      <c r="AE197"/>
      <c r="AF197" t="s">
        <v>1198</v>
      </c>
      <c r="AG197" t="n">
        <v>207</v>
      </c>
    </row>
    <row r="198">
      <c r="A198" t="s">
        <v>1199</v>
      </c>
      <c r="B198" t="s">
        <v>31</v>
      </c>
      <c r="C198" t="s">
        <v>65</v>
      </c>
      <c r="D198" t="s">
        <v>1200</v>
      </c>
      <c r="E198" t="s">
        <v>1164</v>
      </c>
      <c r="F198" t="s">
        <v>1165</v>
      </c>
      <c r="G198" t="s">
        <v>1166</v>
      </c>
      <c r="H198" t="n">
        <v>39.923395305163</v>
      </c>
      <c r="I198" t="n">
        <v>-105.098206002292</v>
      </c>
      <c r="J198" t="s">
        <v>35</v>
      </c>
      <c r="K198" t="s">
        <v>81</v>
      </c>
      <c r="L198"/>
      <c r="M198" t="n">
        <v>1983</v>
      </c>
      <c r="N198" t="n">
        <v>1990</v>
      </c>
      <c r="O198" t="s">
        <v>293</v>
      </c>
      <c r="P198" t="n">
        <v>2</v>
      </c>
      <c r="Q198" t="n">
        <v>3</v>
      </c>
      <c r="R198" t="n">
        <v>2</v>
      </c>
      <c r="S198" t="n">
        <v>1969</v>
      </c>
      <c r="T198" t="s">
        <v>1201</v>
      </c>
      <c r="U198" t="s">
        <v>1202</v>
      </c>
      <c r="V198" t="s">
        <v>74</v>
      </c>
      <c r="W198"/>
      <c r="X198"/>
      <c r="Y198"/>
      <c r="Z198"/>
      <c r="AA198"/>
      <c r="AB198" t="s">
        <v>1203</v>
      </c>
      <c r="AC198" t="n">
        <v>230</v>
      </c>
      <c r="AD198" t="s">
        <v>1204</v>
      </c>
      <c r="AE198" t="n">
        <v>231</v>
      </c>
      <c r="AF198" t="s">
        <v>1205</v>
      </c>
      <c r="AG198" t="n">
        <v>165</v>
      </c>
    </row>
    <row r="199">
      <c r="A199" t="s">
        <v>1206</v>
      </c>
      <c r="B199" t="s">
        <v>31</v>
      </c>
      <c r="C199" t="s">
        <v>65</v>
      </c>
      <c r="D199" t="s">
        <v>1207</v>
      </c>
      <c r="E199" t="s">
        <v>1164</v>
      </c>
      <c r="F199" t="s">
        <v>1165</v>
      </c>
      <c r="G199" t="s">
        <v>1166</v>
      </c>
      <c r="H199" t="n">
        <v>39.9285792122042</v>
      </c>
      <c r="I199" t="n">
        <v>-105.075499216362</v>
      </c>
      <c r="J199" t="s">
        <v>35</v>
      </c>
      <c r="K199" t="s">
        <v>527</v>
      </c>
      <c r="L199"/>
      <c r="M199" t="n">
        <v>1983</v>
      </c>
      <c r="N199" t="n">
        <v>1988</v>
      </c>
      <c r="O199" t="s">
        <v>283</v>
      </c>
      <c r="P199" t="n">
        <v>2</v>
      </c>
      <c r="Q199" t="n">
        <v>1</v>
      </c>
      <c r="R199" t="n">
        <v>1</v>
      </c>
      <c r="S199" t="n">
        <v>1961</v>
      </c>
      <c r="T199" t="s">
        <v>1208</v>
      </c>
      <c r="U199" t="s">
        <v>1209</v>
      </c>
      <c r="V199" t="s">
        <v>74</v>
      </c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1210</v>
      </c>
      <c r="B200" t="s">
        <v>31</v>
      </c>
      <c r="C200" t="s">
        <v>65</v>
      </c>
      <c r="D200" t="s">
        <v>1211</v>
      </c>
      <c r="E200" t="s">
        <v>1164</v>
      </c>
      <c r="F200" t="s">
        <v>1165</v>
      </c>
      <c r="G200" t="s">
        <v>1166</v>
      </c>
      <c r="H200" t="n">
        <v>39.8736863409297</v>
      </c>
      <c r="I200" t="n">
        <v>-105.100614944083</v>
      </c>
      <c r="J200" t="s">
        <v>35</v>
      </c>
      <c r="K200" t="s">
        <v>120</v>
      </c>
      <c r="L200"/>
      <c r="M200" t="n">
        <v>1983</v>
      </c>
      <c r="N200" t="n">
        <v>1983</v>
      </c>
      <c r="O200" t="s">
        <v>264</v>
      </c>
      <c r="P200" t="n">
        <v>1</v>
      </c>
      <c r="Q200" t="n">
        <v>1</v>
      </c>
      <c r="R200" t="n">
        <v>1</v>
      </c>
      <c r="S200" t="n">
        <v>1974</v>
      </c>
      <c r="T200" t="s">
        <v>1212</v>
      </c>
      <c r="U200" t="s">
        <v>1213</v>
      </c>
      <c r="V200" t="s">
        <v>74</v>
      </c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1214</v>
      </c>
      <c r="B201" t="s">
        <v>31</v>
      </c>
      <c r="C201" t="s">
        <v>65</v>
      </c>
      <c r="D201" t="s">
        <v>1215</v>
      </c>
      <c r="E201" t="s">
        <v>1164</v>
      </c>
      <c r="F201" t="s">
        <v>1165</v>
      </c>
      <c r="G201" t="s">
        <v>1166</v>
      </c>
      <c r="H201" t="n">
        <v>39.9094597215072</v>
      </c>
      <c r="I201" t="n">
        <v>-105.072708240466</v>
      </c>
      <c r="J201" t="s">
        <v>35</v>
      </c>
      <c r="K201" t="s">
        <v>120</v>
      </c>
      <c r="L201"/>
      <c r="M201" t="n">
        <v>1988</v>
      </c>
      <c r="N201" t="n">
        <v>1992</v>
      </c>
      <c r="O201" t="s">
        <v>320</v>
      </c>
      <c r="P201" t="n">
        <v>3</v>
      </c>
      <c r="Q201" t="n">
        <v>3</v>
      </c>
      <c r="R201" t="n">
        <v>2</v>
      </c>
      <c r="S201" t="n">
        <v>1978</v>
      </c>
      <c r="T201" t="s">
        <v>1216</v>
      </c>
      <c r="U201" t="s">
        <v>1217</v>
      </c>
      <c r="V201" t="s">
        <v>74</v>
      </c>
      <c r="W201"/>
      <c r="X201"/>
      <c r="Y201"/>
      <c r="Z201"/>
      <c r="AA201"/>
      <c r="AB201"/>
      <c r="AC201"/>
      <c r="AD201" t="s">
        <v>1218</v>
      </c>
      <c r="AE201" t="n">
        <v>214</v>
      </c>
      <c r="AF201" t="s">
        <v>1219</v>
      </c>
      <c r="AG201" t="n">
        <v>51</v>
      </c>
    </row>
    <row r="202">
      <c r="A202" t="s">
        <v>1220</v>
      </c>
      <c r="B202" t="s">
        <v>31</v>
      </c>
      <c r="C202" t="s">
        <v>65</v>
      </c>
      <c r="D202" t="s">
        <v>1221</v>
      </c>
      <c r="E202" t="s">
        <v>1164</v>
      </c>
      <c r="F202" t="s">
        <v>1165</v>
      </c>
      <c r="G202" t="s">
        <v>1166</v>
      </c>
      <c r="H202" t="n">
        <v>39.934561</v>
      </c>
      <c r="I202" t="n">
        <v>-105.031281875764</v>
      </c>
      <c r="J202" t="s">
        <v>35</v>
      </c>
      <c r="K202" t="s">
        <v>120</v>
      </c>
      <c r="L202"/>
      <c r="M202" t="n">
        <v>1988</v>
      </c>
      <c r="N202" t="n">
        <v>1990</v>
      </c>
      <c r="O202" t="s">
        <v>351</v>
      </c>
      <c r="P202" t="n">
        <v>2</v>
      </c>
      <c r="Q202" t="n">
        <v>3</v>
      </c>
      <c r="R202" t="n">
        <v>1</v>
      </c>
      <c r="S202" t="n">
        <v>1985</v>
      </c>
      <c r="T202" t="s">
        <v>1222</v>
      </c>
      <c r="U202" t="s">
        <v>1223</v>
      </c>
      <c r="V202" t="s">
        <v>74</v>
      </c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1224</v>
      </c>
      <c r="B203" t="s">
        <v>31</v>
      </c>
      <c r="C203" t="s">
        <v>65</v>
      </c>
      <c r="D203" t="s">
        <v>1225</v>
      </c>
      <c r="E203" t="s">
        <v>1164</v>
      </c>
      <c r="F203" t="s">
        <v>1165</v>
      </c>
      <c r="G203" t="s">
        <v>1166</v>
      </c>
      <c r="H203" t="n">
        <v>39.9205612938103</v>
      </c>
      <c r="I203" t="n">
        <v>-105.095761726202</v>
      </c>
      <c r="J203" t="s">
        <v>35</v>
      </c>
      <c r="K203" t="s">
        <v>120</v>
      </c>
      <c r="L203"/>
      <c r="M203" t="n">
        <v>1990</v>
      </c>
      <c r="N203" t="n">
        <v>1992</v>
      </c>
      <c r="O203" t="s">
        <v>1016</v>
      </c>
      <c r="P203" t="n">
        <v>2</v>
      </c>
      <c r="Q203" t="n">
        <v>2</v>
      </c>
      <c r="R203" t="n">
        <v>1</v>
      </c>
      <c r="S203" t="n">
        <v>1985</v>
      </c>
      <c r="T203" t="s">
        <v>1226</v>
      </c>
      <c r="U203" t="s">
        <v>1227</v>
      </c>
      <c r="V203" t="s">
        <v>74</v>
      </c>
      <c r="W203"/>
      <c r="X203"/>
      <c r="Y203"/>
      <c r="Z203"/>
      <c r="AA203"/>
      <c r="AB203" t="s">
        <v>1203</v>
      </c>
      <c r="AC203" t="n">
        <v>230</v>
      </c>
      <c r="AD203"/>
      <c r="AE203"/>
      <c r="AF203" t="s">
        <v>1228</v>
      </c>
      <c r="AG203" t="n">
        <v>70</v>
      </c>
    </row>
    <row r="204">
      <c r="A204" t="s">
        <v>1229</v>
      </c>
      <c r="B204" t="s">
        <v>31</v>
      </c>
      <c r="C204" t="s">
        <v>65</v>
      </c>
      <c r="D204" t="s">
        <v>1230</v>
      </c>
      <c r="E204" t="s">
        <v>1164</v>
      </c>
      <c r="F204" t="s">
        <v>1165</v>
      </c>
      <c r="G204" t="s">
        <v>1166</v>
      </c>
      <c r="H204" t="n">
        <v>39.9391440908761</v>
      </c>
      <c r="I204" t="n">
        <v>-105.090583437587</v>
      </c>
      <c r="J204" t="s">
        <v>35</v>
      </c>
      <c r="K204" t="s">
        <v>70</v>
      </c>
      <c r="L204"/>
      <c r="M204" t="n">
        <v>1992</v>
      </c>
      <c r="N204" t="n">
        <v>1992</v>
      </c>
      <c r="O204" t="s">
        <v>1016</v>
      </c>
      <c r="P204" t="n">
        <v>1</v>
      </c>
      <c r="Q204" t="n">
        <v>1</v>
      </c>
      <c r="R204" t="n">
        <v>1</v>
      </c>
      <c r="S204" t="n">
        <v>1989</v>
      </c>
      <c r="T204" t="s">
        <v>1231</v>
      </c>
      <c r="U204" t="s">
        <v>1232</v>
      </c>
      <c r="V204" t="s">
        <v>74</v>
      </c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1233</v>
      </c>
      <c r="B205" t="s">
        <v>31</v>
      </c>
      <c r="C205" t="s">
        <v>65</v>
      </c>
      <c r="D205" t="s">
        <v>1234</v>
      </c>
      <c r="E205" t="s">
        <v>1164</v>
      </c>
      <c r="F205" t="s">
        <v>1165</v>
      </c>
      <c r="G205" t="s">
        <v>1166</v>
      </c>
      <c r="H205" t="n">
        <v>39.9283487978276</v>
      </c>
      <c r="I205" t="n">
        <v>-105.076679662884</v>
      </c>
      <c r="J205" t="s">
        <v>35</v>
      </c>
      <c r="K205" t="s">
        <v>120</v>
      </c>
      <c r="L205"/>
      <c r="M205" t="n">
        <v>1992</v>
      </c>
      <c r="N205" t="n">
        <v>1992</v>
      </c>
      <c r="O205" t="s">
        <v>1016</v>
      </c>
      <c r="P205" t="n">
        <v>1</v>
      </c>
      <c r="Q205" t="n">
        <v>1</v>
      </c>
      <c r="R205" t="n">
        <v>1</v>
      </c>
      <c r="S205" t="n">
        <v>1979</v>
      </c>
      <c r="T205" t="s">
        <v>1235</v>
      </c>
      <c r="U205" t="s">
        <v>1236</v>
      </c>
      <c r="V205" t="s">
        <v>74</v>
      </c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1237</v>
      </c>
      <c r="B206" t="s">
        <v>31</v>
      </c>
      <c r="C206" t="s">
        <v>65</v>
      </c>
      <c r="D206" t="s">
        <v>1238</v>
      </c>
      <c r="E206" t="s">
        <v>1239</v>
      </c>
      <c r="F206" t="s">
        <v>1240</v>
      </c>
      <c r="G206" t="s">
        <v>1241</v>
      </c>
      <c r="H206" t="n">
        <v>38.5355685478807</v>
      </c>
      <c r="I206" t="n">
        <v>-105.995883361067</v>
      </c>
      <c r="J206" t="s">
        <v>35</v>
      </c>
      <c r="K206" t="s">
        <v>1242</v>
      </c>
      <c r="L206"/>
      <c r="M206" t="n">
        <v>1966</v>
      </c>
      <c r="N206" t="n">
        <v>1992</v>
      </c>
      <c r="O206" t="s">
        <v>320</v>
      </c>
      <c r="P206" t="n">
        <v>12</v>
      </c>
      <c r="Q206" t="n">
        <v>4</v>
      </c>
      <c r="R206" t="n">
        <v>2</v>
      </c>
      <c r="S206" t="n">
        <v>1948</v>
      </c>
      <c r="T206" t="s">
        <v>1243</v>
      </c>
      <c r="U206" t="s">
        <v>1244</v>
      </c>
      <c r="V206" t="s">
        <v>74</v>
      </c>
      <c r="W206"/>
      <c r="X206"/>
      <c r="Y206"/>
      <c r="Z206"/>
      <c r="AA206"/>
      <c r="AB206" t="s">
        <v>1245</v>
      </c>
      <c r="AC206" t="n">
        <v>197</v>
      </c>
      <c r="AD206"/>
      <c r="AE206"/>
      <c r="AF206" t="s">
        <v>1246</v>
      </c>
      <c r="AG206" t="n">
        <v>155</v>
      </c>
    </row>
    <row r="207">
      <c r="A207" t="s">
        <v>1247</v>
      </c>
      <c r="B207" t="s">
        <v>31</v>
      </c>
      <c r="C207" t="s">
        <v>65</v>
      </c>
      <c r="D207" t="s">
        <v>1248</v>
      </c>
      <c r="E207" t="s">
        <v>1239</v>
      </c>
      <c r="F207" t="s">
        <v>1240</v>
      </c>
      <c r="G207" t="s">
        <v>1241</v>
      </c>
      <c r="H207" t="n">
        <v>38.5241092686892</v>
      </c>
      <c r="I207" t="n">
        <v>-106.006531855914</v>
      </c>
      <c r="J207" t="s">
        <v>35</v>
      </c>
      <c r="K207" t="s">
        <v>89</v>
      </c>
      <c r="L207"/>
      <c r="M207" t="n">
        <v>1980</v>
      </c>
      <c r="N207" t="n">
        <v>1990</v>
      </c>
      <c r="O207" t="s">
        <v>582</v>
      </c>
      <c r="P207" t="n">
        <v>3</v>
      </c>
      <c r="Q207" t="n">
        <v>1</v>
      </c>
      <c r="R207" t="n">
        <v>1</v>
      </c>
      <c r="S207" t="n">
        <v>1955</v>
      </c>
      <c r="T207" t="s">
        <v>1249</v>
      </c>
      <c r="U207" t="s">
        <v>1250</v>
      </c>
      <c r="V207" t="s">
        <v>74</v>
      </c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1251</v>
      </c>
      <c r="B208" t="s">
        <v>31</v>
      </c>
      <c r="C208" t="s">
        <v>65</v>
      </c>
      <c r="D208" t="s">
        <v>1252</v>
      </c>
      <c r="E208" t="s">
        <v>1253</v>
      </c>
      <c r="F208" t="s">
        <v>1254</v>
      </c>
      <c r="G208" t="s">
        <v>1255</v>
      </c>
      <c r="H208" t="n">
        <v>38.7448330228863</v>
      </c>
      <c r="I208" t="n">
        <v>-108.069508747897</v>
      </c>
      <c r="J208" t="s">
        <v>35</v>
      </c>
      <c r="K208" t="s">
        <v>315</v>
      </c>
      <c r="L208"/>
      <c r="M208" t="n">
        <v>1974</v>
      </c>
      <c r="N208" t="n">
        <v>1974</v>
      </c>
      <c r="O208" t="s">
        <v>210</v>
      </c>
      <c r="P208" t="n">
        <v>1</v>
      </c>
      <c r="Q208" t="n">
        <v>1</v>
      </c>
      <c r="R208" t="n">
        <v>1</v>
      </c>
      <c r="S208" t="n">
        <v>1968</v>
      </c>
      <c r="T208" t="s">
        <v>1256</v>
      </c>
      <c r="U208" t="s">
        <v>1257</v>
      </c>
      <c r="V208" t="s">
        <v>74</v>
      </c>
      <c r="W208"/>
      <c r="X208"/>
      <c r="Y208"/>
      <c r="Z208"/>
      <c r="AA208"/>
      <c r="AB208" t="s">
        <v>1258</v>
      </c>
      <c r="AC208" t="n">
        <v>219</v>
      </c>
      <c r="AD208"/>
      <c r="AE208"/>
      <c r="AF208" t="s">
        <v>1259</v>
      </c>
      <c r="AG208" t="n">
        <v>105</v>
      </c>
    </row>
    <row r="209">
      <c r="A209" t="s">
        <v>1260</v>
      </c>
      <c r="B209" t="s">
        <v>31</v>
      </c>
      <c r="C209" t="s">
        <v>65</v>
      </c>
      <c r="D209" t="s">
        <v>1261</v>
      </c>
      <c r="E209" t="s">
        <v>1262</v>
      </c>
      <c r="F209" t="s">
        <v>1254</v>
      </c>
      <c r="G209" t="s">
        <v>1263</v>
      </c>
      <c r="H209" t="n">
        <v>38.9005596394415</v>
      </c>
      <c r="I209" t="n">
        <v>-107.933132656867</v>
      </c>
      <c r="J209" t="s">
        <v>35</v>
      </c>
      <c r="K209" t="s">
        <v>133</v>
      </c>
      <c r="L209"/>
      <c r="M209" t="n">
        <v>1988</v>
      </c>
      <c r="N209" t="n">
        <v>1990</v>
      </c>
      <c r="O209" t="s">
        <v>310</v>
      </c>
      <c r="P209" t="n">
        <v>2</v>
      </c>
      <c r="Q209" t="n">
        <v>1</v>
      </c>
      <c r="R209" t="n">
        <v>1</v>
      </c>
      <c r="S209" t="n">
        <v>1972</v>
      </c>
      <c r="T209" t="s">
        <v>1264</v>
      </c>
      <c r="U209" t="s">
        <v>1265</v>
      </c>
      <c r="V209" t="s">
        <v>74</v>
      </c>
      <c r="W209"/>
      <c r="X209"/>
      <c r="Y209"/>
      <c r="Z209"/>
      <c r="AA209"/>
      <c r="AB209"/>
      <c r="AC209"/>
      <c r="AD209"/>
      <c r="AE209"/>
      <c r="AF209" t="s">
        <v>1266</v>
      </c>
      <c r="AG209" t="n">
        <v>198</v>
      </c>
    </row>
    <row r="210">
      <c r="A210" t="s">
        <v>1267</v>
      </c>
      <c r="B210" t="s">
        <v>31</v>
      </c>
      <c r="C210" t="s">
        <v>65</v>
      </c>
      <c r="D210" t="s">
        <v>1268</v>
      </c>
      <c r="E210" t="s">
        <v>1253</v>
      </c>
      <c r="F210" t="s">
        <v>1254</v>
      </c>
      <c r="G210" t="s">
        <v>1255</v>
      </c>
      <c r="H210" t="n">
        <v>38.7543513986635</v>
      </c>
      <c r="I210" t="n">
        <v>-108.033283135618</v>
      </c>
      <c r="J210" t="s">
        <v>35</v>
      </c>
      <c r="K210" t="s">
        <v>105</v>
      </c>
      <c r="L210"/>
      <c r="M210" t="n">
        <v>1988</v>
      </c>
      <c r="N210" t="n">
        <v>1992</v>
      </c>
      <c r="O210" t="s">
        <v>320</v>
      </c>
      <c r="P210" t="n">
        <v>3</v>
      </c>
      <c r="Q210" t="n">
        <v>2</v>
      </c>
      <c r="R210" t="n">
        <v>2</v>
      </c>
      <c r="S210" t="n">
        <v>1979</v>
      </c>
      <c r="T210" t="s">
        <v>1269</v>
      </c>
      <c r="U210" t="s">
        <v>1270</v>
      </c>
      <c r="V210" t="s">
        <v>74</v>
      </c>
      <c r="W210"/>
      <c r="X210"/>
      <c r="Y210"/>
      <c r="Z210"/>
      <c r="AA210"/>
      <c r="AB210"/>
      <c r="AC210"/>
      <c r="AD210"/>
      <c r="AE210"/>
      <c r="AF210" t="s">
        <v>1271</v>
      </c>
      <c r="AG210" t="n">
        <v>85</v>
      </c>
    </row>
    <row r="211">
      <c r="A211" t="s">
        <v>1272</v>
      </c>
      <c r="B211" t="s">
        <v>31</v>
      </c>
      <c r="C211" t="s">
        <v>65</v>
      </c>
      <c r="D211" t="s">
        <v>1273</v>
      </c>
      <c r="E211" t="s">
        <v>79</v>
      </c>
      <c r="F211" t="s">
        <v>1274</v>
      </c>
      <c r="G211"/>
      <c r="H211" t="n">
        <v>39.759257</v>
      </c>
      <c r="I211" t="n">
        <v>-105.010504</v>
      </c>
      <c r="J211" t="s">
        <v>35</v>
      </c>
      <c r="K211" t="s">
        <v>133</v>
      </c>
      <c r="L211"/>
      <c r="M211" t="n">
        <v>1965</v>
      </c>
      <c r="N211" t="n">
        <v>1965</v>
      </c>
      <c r="O211" t="s">
        <v>1275</v>
      </c>
      <c r="P211" t="n">
        <v>1</v>
      </c>
      <c r="Q211" t="n">
        <v>1</v>
      </c>
      <c r="R211" t="n">
        <v>1</v>
      </c>
      <c r="S211"/>
      <c r="T211" t="s">
        <v>1276</v>
      </c>
      <c r="U211" t="s">
        <v>1277</v>
      </c>
      <c r="V211" t="s">
        <v>74</v>
      </c>
      <c r="W211"/>
      <c r="X211"/>
      <c r="Y211"/>
      <c r="Z211"/>
      <c r="AA211"/>
      <c r="AB211"/>
      <c r="AC211"/>
      <c r="AD211" t="s">
        <v>1278</v>
      </c>
      <c r="AE211" t="n">
        <v>157</v>
      </c>
      <c r="AF211" t="s">
        <v>1279</v>
      </c>
      <c r="AG211" t="n">
        <v>152</v>
      </c>
    </row>
    <row r="212">
      <c r="A212" t="s">
        <v>1280</v>
      </c>
      <c r="B212" t="s">
        <v>31</v>
      </c>
      <c r="C212" t="s">
        <v>65</v>
      </c>
      <c r="D212" t="s">
        <v>1281</v>
      </c>
      <c r="E212" t="s">
        <v>79</v>
      </c>
      <c r="F212" t="s">
        <v>1274</v>
      </c>
      <c r="G212"/>
      <c r="H212" t="n">
        <v>39.6933165627775</v>
      </c>
      <c r="I212" t="n">
        <v>-104.996841279608</v>
      </c>
      <c r="J212" t="s">
        <v>35</v>
      </c>
      <c r="K212" t="s">
        <v>1282</v>
      </c>
      <c r="L212"/>
      <c r="M212" t="n">
        <v>1965</v>
      </c>
      <c r="N212" t="n">
        <v>1970</v>
      </c>
      <c r="O212" t="s">
        <v>1283</v>
      </c>
      <c r="P212" t="n">
        <v>5</v>
      </c>
      <c r="Q212" t="n">
        <v>1</v>
      </c>
      <c r="R212" t="n">
        <v>1</v>
      </c>
      <c r="S212" t="n">
        <v>1958</v>
      </c>
      <c r="T212" t="s">
        <v>1284</v>
      </c>
      <c r="U212" t="s">
        <v>1285</v>
      </c>
      <c r="V212" t="s">
        <v>74</v>
      </c>
      <c r="W212"/>
      <c r="X212"/>
      <c r="Y212"/>
      <c r="Z212"/>
      <c r="AA212"/>
      <c r="AB212" t="s">
        <v>1286</v>
      </c>
      <c r="AC212" t="n">
        <v>161</v>
      </c>
      <c r="AD212"/>
      <c r="AE212"/>
      <c r="AF212" t="s">
        <v>1287</v>
      </c>
      <c r="AG212" t="n">
        <v>119</v>
      </c>
    </row>
    <row r="213">
      <c r="A213" t="s">
        <v>1288</v>
      </c>
      <c r="B213" t="s">
        <v>31</v>
      </c>
      <c r="C213" t="s">
        <v>65</v>
      </c>
      <c r="D213" t="s">
        <v>1289</v>
      </c>
      <c r="E213" t="s">
        <v>79</v>
      </c>
      <c r="F213" t="s">
        <v>1274</v>
      </c>
      <c r="G213"/>
      <c r="H213" t="n">
        <v>39.7543005434493</v>
      </c>
      <c r="I213" t="n">
        <v>-104.990838646394</v>
      </c>
      <c r="J213" t="s">
        <v>35</v>
      </c>
      <c r="K213" t="s">
        <v>89</v>
      </c>
      <c r="L213"/>
      <c r="M213" t="n">
        <v>1965</v>
      </c>
      <c r="N213" t="n">
        <v>1970</v>
      </c>
      <c r="O213" t="s">
        <v>1275</v>
      </c>
      <c r="P213" t="n">
        <v>5</v>
      </c>
      <c r="Q213" t="n">
        <v>1</v>
      </c>
      <c r="R213" t="n">
        <v>1</v>
      </c>
      <c r="S213" t="n">
        <v>1944</v>
      </c>
      <c r="T213" t="s">
        <v>1290</v>
      </c>
      <c r="U213" t="s">
        <v>1291</v>
      </c>
      <c r="V213" t="s">
        <v>74</v>
      </c>
      <c r="W213"/>
      <c r="X213"/>
      <c r="Y213"/>
      <c r="Z213"/>
      <c r="AA213"/>
      <c r="AB213" t="s">
        <v>1292</v>
      </c>
      <c r="AC213" t="n">
        <v>102</v>
      </c>
      <c r="AD213"/>
      <c r="AE213"/>
      <c r="AF213" t="s">
        <v>1293</v>
      </c>
      <c r="AG213" t="n">
        <v>143</v>
      </c>
    </row>
    <row r="214">
      <c r="A214" t="s">
        <v>1294</v>
      </c>
      <c r="B214" t="s">
        <v>31</v>
      </c>
      <c r="C214" t="s">
        <v>65</v>
      </c>
      <c r="D214" t="s">
        <v>1295</v>
      </c>
      <c r="E214" t="s">
        <v>79</v>
      </c>
      <c r="F214" t="s">
        <v>1274</v>
      </c>
      <c r="G214"/>
      <c r="H214" t="n">
        <v>39.7587485962163</v>
      </c>
      <c r="I214" t="n">
        <v>-105.008736131113</v>
      </c>
      <c r="J214" t="s">
        <v>35</v>
      </c>
      <c r="K214" t="s">
        <v>1296</v>
      </c>
      <c r="L214"/>
      <c r="M214" t="n">
        <v>1965</v>
      </c>
      <c r="N214" t="n">
        <v>1992</v>
      </c>
      <c r="O214" t="s">
        <v>1297</v>
      </c>
      <c r="P214" t="n">
        <v>12</v>
      </c>
      <c r="Q214" t="n">
        <v>9</v>
      </c>
      <c r="R214" t="n">
        <v>8</v>
      </c>
      <c r="S214" t="n">
        <v>1949</v>
      </c>
      <c r="T214" t="s">
        <v>1298</v>
      </c>
      <c r="U214" t="s">
        <v>1299</v>
      </c>
      <c r="V214" t="s">
        <v>74</v>
      </c>
      <c r="W214"/>
      <c r="X214"/>
      <c r="Y214"/>
      <c r="Z214"/>
      <c r="AA214"/>
      <c r="AB214" t="s">
        <v>1300</v>
      </c>
      <c r="AC214" t="n">
        <v>153</v>
      </c>
      <c r="AD214" t="s">
        <v>1278</v>
      </c>
      <c r="AE214" t="n">
        <v>118</v>
      </c>
      <c r="AF214" t="s">
        <v>1301</v>
      </c>
      <c r="AG214" t="n">
        <v>147</v>
      </c>
    </row>
    <row r="215">
      <c r="A215" t="s">
        <v>1302</v>
      </c>
      <c r="B215" t="s">
        <v>31</v>
      </c>
      <c r="C215" t="s">
        <v>65</v>
      </c>
      <c r="D215" t="s">
        <v>1303</v>
      </c>
      <c r="E215" t="s">
        <v>79</v>
      </c>
      <c r="F215" t="s">
        <v>1274</v>
      </c>
      <c r="G215"/>
      <c r="H215" t="n">
        <v>39.7241359388014</v>
      </c>
      <c r="I215" t="n">
        <v>-104.985877003168</v>
      </c>
      <c r="J215" t="s">
        <v>35</v>
      </c>
      <c r="K215" t="s">
        <v>70</v>
      </c>
      <c r="L215"/>
      <c r="M215" t="n">
        <v>1965</v>
      </c>
      <c r="N215" t="n">
        <v>1965</v>
      </c>
      <c r="O215" t="s">
        <v>1275</v>
      </c>
      <c r="P215" t="n">
        <v>1</v>
      </c>
      <c r="Q215" t="n">
        <v>1</v>
      </c>
      <c r="R215" t="n">
        <v>1</v>
      </c>
      <c r="S215"/>
      <c r="T215" t="s">
        <v>1304</v>
      </c>
      <c r="U215" t="s">
        <v>1305</v>
      </c>
      <c r="V215" t="s">
        <v>74</v>
      </c>
      <c r="W215"/>
      <c r="X215"/>
      <c r="Y215"/>
      <c r="Z215"/>
      <c r="AA215"/>
      <c r="AB215" t="s">
        <v>1306</v>
      </c>
      <c r="AC215" t="n">
        <v>161</v>
      </c>
      <c r="AD215"/>
      <c r="AE215"/>
      <c r="AF215" t="s">
        <v>1307</v>
      </c>
      <c r="AG215" t="n">
        <v>123</v>
      </c>
    </row>
    <row r="216">
      <c r="A216" t="s">
        <v>1308</v>
      </c>
      <c r="B216" t="s">
        <v>31</v>
      </c>
      <c r="C216" t="s">
        <v>65</v>
      </c>
      <c r="D216" t="s">
        <v>1309</v>
      </c>
      <c r="E216" t="s">
        <v>79</v>
      </c>
      <c r="F216" t="s">
        <v>1274</v>
      </c>
      <c r="G216"/>
      <c r="H216" t="n">
        <v>39.7526593803476</v>
      </c>
      <c r="I216" t="n">
        <v>-104.99121554667</v>
      </c>
      <c r="J216" t="s">
        <v>35</v>
      </c>
      <c r="K216" t="s">
        <v>70</v>
      </c>
      <c r="L216" t="s">
        <v>1310</v>
      </c>
      <c r="M216" t="n">
        <v>1965</v>
      </c>
      <c r="N216" t="n">
        <v>1990</v>
      </c>
      <c r="O216" t="s">
        <v>1311</v>
      </c>
      <c r="P216" t="n">
        <v>11</v>
      </c>
      <c r="Q216" t="n">
        <v>8</v>
      </c>
      <c r="R216" t="n">
        <v>3</v>
      </c>
      <c r="S216" t="n">
        <v>1926</v>
      </c>
      <c r="T216" t="s">
        <v>1312</v>
      </c>
      <c r="U216" t="s">
        <v>1313</v>
      </c>
      <c r="V216" t="s">
        <v>74</v>
      </c>
      <c r="W216"/>
      <c r="X216"/>
      <c r="Y216"/>
      <c r="Z216"/>
      <c r="AA216"/>
      <c r="AB216" t="s">
        <v>1292</v>
      </c>
      <c r="AC216" t="n">
        <v>179</v>
      </c>
      <c r="AD216"/>
      <c r="AE216"/>
      <c r="AF216" t="s">
        <v>1314</v>
      </c>
      <c r="AG216" t="n">
        <v>69</v>
      </c>
    </row>
    <row r="217">
      <c r="A217" t="s">
        <v>1315</v>
      </c>
      <c r="B217" t="s">
        <v>31</v>
      </c>
      <c r="C217" t="s">
        <v>65</v>
      </c>
      <c r="D217" t="s">
        <v>1316</v>
      </c>
      <c r="E217" t="s">
        <v>79</v>
      </c>
      <c r="F217" t="s">
        <v>1274</v>
      </c>
      <c r="G217"/>
      <c r="H217" t="n">
        <v>39.7452585252525</v>
      </c>
      <c r="I217" t="n">
        <v>-105.000729828283</v>
      </c>
      <c r="J217" t="s">
        <v>35</v>
      </c>
      <c r="K217" t="s">
        <v>70</v>
      </c>
      <c r="L217"/>
      <c r="M217" t="n">
        <v>1965</v>
      </c>
      <c r="N217" t="n">
        <v>1965</v>
      </c>
      <c r="O217" t="s">
        <v>1275</v>
      </c>
      <c r="P217" t="n">
        <v>1</v>
      </c>
      <c r="Q217" t="n">
        <v>1</v>
      </c>
      <c r="R217" t="n">
        <v>1</v>
      </c>
      <c r="S217"/>
      <c r="T217" t="s">
        <v>1317</v>
      </c>
      <c r="U217" t="s">
        <v>1318</v>
      </c>
      <c r="V217" t="s">
        <v>74</v>
      </c>
      <c r="W217"/>
      <c r="X217"/>
      <c r="Y217"/>
      <c r="Z217"/>
      <c r="AA217"/>
      <c r="AB217" t="s">
        <v>1319</v>
      </c>
      <c r="AC217" t="n">
        <v>175</v>
      </c>
      <c r="AD217"/>
      <c r="AE217"/>
      <c r="AF217" t="s">
        <v>1320</v>
      </c>
      <c r="AG217" t="n">
        <v>223</v>
      </c>
    </row>
    <row r="218">
      <c r="A218" t="s">
        <v>1321</v>
      </c>
      <c r="B218" t="s">
        <v>31</v>
      </c>
      <c r="C218" t="s">
        <v>65</v>
      </c>
      <c r="D218" t="s">
        <v>1322</v>
      </c>
      <c r="E218" t="s">
        <v>79</v>
      </c>
      <c r="F218" t="s">
        <v>1274</v>
      </c>
      <c r="G218"/>
      <c r="H218" t="n">
        <v>39.7563233351893</v>
      </c>
      <c r="I218" t="n">
        <v>-104.988230694628</v>
      </c>
      <c r="J218" t="s">
        <v>35</v>
      </c>
      <c r="K218" t="s">
        <v>89</v>
      </c>
      <c r="L218"/>
      <c r="M218" t="n">
        <v>1965</v>
      </c>
      <c r="N218" t="n">
        <v>1990</v>
      </c>
      <c r="O218" t="s">
        <v>1275</v>
      </c>
      <c r="P218" t="n">
        <v>7</v>
      </c>
      <c r="Q218" t="n">
        <v>5</v>
      </c>
      <c r="R218" t="n">
        <v>1</v>
      </c>
      <c r="S218" t="n">
        <v>1946</v>
      </c>
      <c r="T218" t="s">
        <v>1323</v>
      </c>
      <c r="U218" t="s">
        <v>1324</v>
      </c>
      <c r="V218" t="s">
        <v>74</v>
      </c>
      <c r="W218"/>
      <c r="X218"/>
      <c r="Y218"/>
      <c r="Z218"/>
      <c r="AA218"/>
      <c r="AB218" t="s">
        <v>1325</v>
      </c>
      <c r="AC218" t="n">
        <v>107</v>
      </c>
      <c r="AD218"/>
      <c r="AE218"/>
      <c r="AF218" t="s">
        <v>1326</v>
      </c>
      <c r="AG218" t="n">
        <v>128</v>
      </c>
    </row>
    <row r="219">
      <c r="A219" t="s">
        <v>1327</v>
      </c>
      <c r="B219" t="s">
        <v>31</v>
      </c>
      <c r="C219" t="s">
        <v>65</v>
      </c>
      <c r="D219" t="s">
        <v>1328</v>
      </c>
      <c r="E219" t="s">
        <v>79</v>
      </c>
      <c r="F219" t="s">
        <v>1274</v>
      </c>
      <c r="G219"/>
      <c r="H219" t="n">
        <v>39.7481183315902</v>
      </c>
      <c r="I219" t="n">
        <v>-105.000530451343</v>
      </c>
      <c r="J219" t="s">
        <v>35</v>
      </c>
      <c r="K219" t="s">
        <v>1296</v>
      </c>
      <c r="L219"/>
      <c r="M219" t="n">
        <v>1965</v>
      </c>
      <c r="N219" t="n">
        <v>1983</v>
      </c>
      <c r="O219" t="s">
        <v>1329</v>
      </c>
      <c r="P219" t="n">
        <v>8</v>
      </c>
      <c r="Q219" t="n">
        <v>8</v>
      </c>
      <c r="R219" t="n">
        <v>5</v>
      </c>
      <c r="S219" t="n">
        <v>1945</v>
      </c>
      <c r="T219" t="s">
        <v>1330</v>
      </c>
      <c r="U219" t="s">
        <v>1331</v>
      </c>
      <c r="V219" t="s">
        <v>74</v>
      </c>
      <c r="W219"/>
      <c r="X219"/>
      <c r="Y219"/>
      <c r="Z219"/>
      <c r="AA219"/>
      <c r="AB219" t="s">
        <v>1332</v>
      </c>
      <c r="AC219" t="n">
        <v>165</v>
      </c>
      <c r="AD219" t="s">
        <v>1333</v>
      </c>
      <c r="AE219" t="n">
        <v>214</v>
      </c>
      <c r="AF219" t="s">
        <v>1334</v>
      </c>
      <c r="AG219" t="n">
        <v>111</v>
      </c>
    </row>
    <row r="220">
      <c r="A220" t="s">
        <v>1335</v>
      </c>
      <c r="B220" t="s">
        <v>31</v>
      </c>
      <c r="C220" t="s">
        <v>65</v>
      </c>
      <c r="D220" t="s">
        <v>1336</v>
      </c>
      <c r="E220" t="s">
        <v>79</v>
      </c>
      <c r="F220" t="s">
        <v>1274</v>
      </c>
      <c r="G220"/>
      <c r="H220" t="n">
        <v>39.763222490955</v>
      </c>
      <c r="I220" t="n">
        <v>-105.010156940059</v>
      </c>
      <c r="J220" t="s">
        <v>35</v>
      </c>
      <c r="K220" t="s">
        <v>89</v>
      </c>
      <c r="L220" t="s">
        <v>1337</v>
      </c>
      <c r="M220" t="n">
        <v>1965</v>
      </c>
      <c r="N220" t="n">
        <v>1968</v>
      </c>
      <c r="O220" t="s">
        <v>1338</v>
      </c>
      <c r="P220" t="n">
        <v>3</v>
      </c>
      <c r="Q220" t="n">
        <v>1</v>
      </c>
      <c r="R220" t="n">
        <v>1</v>
      </c>
      <c r="S220" t="n">
        <v>1954</v>
      </c>
      <c r="T220" t="s">
        <v>1339</v>
      </c>
      <c r="U220" t="s">
        <v>1340</v>
      </c>
      <c r="V220" t="s">
        <v>74</v>
      </c>
      <c r="W220"/>
      <c r="X220"/>
      <c r="Y220"/>
      <c r="Z220"/>
      <c r="AA220"/>
      <c r="AB220" t="s">
        <v>1341</v>
      </c>
      <c r="AC220" t="n">
        <v>174</v>
      </c>
      <c r="AD220"/>
      <c r="AE220"/>
      <c r="AF220" t="s">
        <v>1342</v>
      </c>
      <c r="AG220" t="n">
        <v>99</v>
      </c>
    </row>
    <row r="221">
      <c r="A221" t="s">
        <v>1343</v>
      </c>
      <c r="B221" t="s">
        <v>31</v>
      </c>
      <c r="C221" t="s">
        <v>65</v>
      </c>
      <c r="D221" t="s">
        <v>1344</v>
      </c>
      <c r="E221" t="s">
        <v>79</v>
      </c>
      <c r="F221" t="s">
        <v>1274</v>
      </c>
      <c r="G221"/>
      <c r="H221" t="n">
        <v>39.7558527162334</v>
      </c>
      <c r="I221" t="n">
        <v>-104.989040226322</v>
      </c>
      <c r="J221" t="s">
        <v>35</v>
      </c>
      <c r="K221" t="s">
        <v>70</v>
      </c>
      <c r="L221"/>
      <c r="M221" t="n">
        <v>1965</v>
      </c>
      <c r="N221" t="n">
        <v>1974</v>
      </c>
      <c r="O221" t="s">
        <v>1275</v>
      </c>
      <c r="P221" t="n">
        <v>5</v>
      </c>
      <c r="Q221" t="n">
        <v>3</v>
      </c>
      <c r="R221" t="n">
        <v>1</v>
      </c>
      <c r="S221" t="n">
        <v>1866</v>
      </c>
      <c r="T221" t="s">
        <v>1345</v>
      </c>
      <c r="U221" t="s">
        <v>1346</v>
      </c>
      <c r="V221" t="s">
        <v>74</v>
      </c>
      <c r="W221"/>
      <c r="X221"/>
      <c r="Y221"/>
      <c r="Z221"/>
      <c r="AA221"/>
      <c r="AB221" t="s">
        <v>1325</v>
      </c>
      <c r="AC221" t="n">
        <v>103</v>
      </c>
      <c r="AD221"/>
      <c r="AE221"/>
      <c r="AF221" t="s">
        <v>1293</v>
      </c>
      <c r="AG221" t="n">
        <v>89</v>
      </c>
    </row>
    <row r="222">
      <c r="A222" t="s">
        <v>1347</v>
      </c>
      <c r="B222" t="s">
        <v>31</v>
      </c>
      <c r="C222" t="s">
        <v>65</v>
      </c>
      <c r="D222" t="s">
        <v>1348</v>
      </c>
      <c r="E222" t="s">
        <v>79</v>
      </c>
      <c r="F222" t="s">
        <v>1274</v>
      </c>
      <c r="G222"/>
      <c r="H222" t="n">
        <v>39.6997413946459</v>
      </c>
      <c r="I222" t="n">
        <v>-105.039081907408</v>
      </c>
      <c r="J222" t="s">
        <v>35</v>
      </c>
      <c r="K222" t="s">
        <v>120</v>
      </c>
      <c r="L222"/>
      <c r="M222" t="n">
        <v>1965</v>
      </c>
      <c r="N222" t="n">
        <v>1968</v>
      </c>
      <c r="O222" t="s">
        <v>1349</v>
      </c>
      <c r="P222" t="n">
        <v>2</v>
      </c>
      <c r="Q222" t="n">
        <v>2</v>
      </c>
      <c r="R222" t="n">
        <v>1</v>
      </c>
      <c r="S222" t="n">
        <v>1942</v>
      </c>
      <c r="T222" t="s">
        <v>1350</v>
      </c>
      <c r="U222" t="s">
        <v>1351</v>
      </c>
      <c r="V222" t="s">
        <v>74</v>
      </c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1352</v>
      </c>
      <c r="B223" t="s">
        <v>31</v>
      </c>
      <c r="C223" t="s">
        <v>65</v>
      </c>
      <c r="D223" t="s">
        <v>1353</v>
      </c>
      <c r="E223" t="s">
        <v>79</v>
      </c>
      <c r="F223" t="s">
        <v>1274</v>
      </c>
      <c r="G223"/>
      <c r="H223" t="n">
        <v>39.7077542839927</v>
      </c>
      <c r="I223" t="n">
        <v>-104.919942569064</v>
      </c>
      <c r="J223" t="s">
        <v>35</v>
      </c>
      <c r="K223" t="s">
        <v>70</v>
      </c>
      <c r="L223"/>
      <c r="M223" t="n">
        <v>1965</v>
      </c>
      <c r="N223" t="n">
        <v>1965</v>
      </c>
      <c r="O223" t="s">
        <v>1275</v>
      </c>
      <c r="P223" t="n">
        <v>1</v>
      </c>
      <c r="Q223" t="n">
        <v>1</v>
      </c>
      <c r="R223" t="n">
        <v>1</v>
      </c>
      <c r="S223"/>
      <c r="T223" t="s">
        <v>1354</v>
      </c>
      <c r="U223" t="s">
        <v>1355</v>
      </c>
      <c r="V223" t="s">
        <v>74</v>
      </c>
      <c r="W223"/>
      <c r="X223"/>
      <c r="Y223"/>
      <c r="Z223"/>
      <c r="AA223"/>
      <c r="AB223"/>
      <c r="AC223"/>
      <c r="AD223"/>
      <c r="AE223"/>
      <c r="AF223" t="s">
        <v>1356</v>
      </c>
      <c r="AG223" t="n">
        <v>116</v>
      </c>
    </row>
    <row r="224">
      <c r="A224" t="s">
        <v>1357</v>
      </c>
      <c r="B224" t="s">
        <v>31</v>
      </c>
      <c r="C224" t="s">
        <v>65</v>
      </c>
      <c r="D224" t="s">
        <v>1358</v>
      </c>
      <c r="E224" t="s">
        <v>79</v>
      </c>
      <c r="F224" t="s">
        <v>1274</v>
      </c>
      <c r="G224"/>
      <c r="H224" t="n">
        <v>39.7507103459126</v>
      </c>
      <c r="I224" t="n">
        <v>-104.988513918885</v>
      </c>
      <c r="J224" t="s">
        <v>35</v>
      </c>
      <c r="K224" t="s">
        <v>1359</v>
      </c>
      <c r="L224"/>
      <c r="M224" t="n">
        <v>1965</v>
      </c>
      <c r="N224" t="n">
        <v>1980</v>
      </c>
      <c r="O224" t="s">
        <v>1360</v>
      </c>
      <c r="P224" t="n">
        <v>7</v>
      </c>
      <c r="Q224" t="n">
        <v>4</v>
      </c>
      <c r="R224" t="n">
        <v>2</v>
      </c>
      <c r="S224" t="n">
        <v>1907</v>
      </c>
      <c r="T224" t="s">
        <v>1361</v>
      </c>
      <c r="U224" t="s">
        <v>1362</v>
      </c>
      <c r="V224" t="s">
        <v>74</v>
      </c>
      <c r="W224"/>
      <c r="X224"/>
      <c r="Y224"/>
      <c r="Z224"/>
      <c r="AA224"/>
      <c r="AB224" t="s">
        <v>1363</v>
      </c>
      <c r="AC224" t="n">
        <v>146</v>
      </c>
      <c r="AD224"/>
      <c r="AE224"/>
      <c r="AF224" t="s">
        <v>1364</v>
      </c>
      <c r="AG224" t="n">
        <v>175</v>
      </c>
    </row>
    <row r="225">
      <c r="A225" t="s">
        <v>1365</v>
      </c>
      <c r="B225" t="s">
        <v>31</v>
      </c>
      <c r="C225" t="s">
        <v>65</v>
      </c>
      <c r="D225" t="s">
        <v>1366</v>
      </c>
      <c r="E225" t="s">
        <v>79</v>
      </c>
      <c r="F225" t="s">
        <v>1274</v>
      </c>
      <c r="G225"/>
      <c r="H225" t="n">
        <v>39.6769829483988</v>
      </c>
      <c r="I225" t="n">
        <v>-104.992265788643</v>
      </c>
      <c r="J225" t="s">
        <v>35</v>
      </c>
      <c r="K225" t="s">
        <v>141</v>
      </c>
      <c r="L225"/>
      <c r="M225" t="n">
        <v>1965</v>
      </c>
      <c r="N225" t="n">
        <v>1992</v>
      </c>
      <c r="O225" t="s">
        <v>1367</v>
      </c>
      <c r="P225" t="n">
        <v>7</v>
      </c>
      <c r="Q225" t="n">
        <v>4</v>
      </c>
      <c r="R225" t="n">
        <v>2</v>
      </c>
      <c r="S225" t="n">
        <v>1941</v>
      </c>
      <c r="T225" t="s">
        <v>1368</v>
      </c>
      <c r="U225" t="s">
        <v>1369</v>
      </c>
      <c r="V225" t="s">
        <v>74</v>
      </c>
      <c r="W225"/>
      <c r="X225"/>
      <c r="Y225"/>
      <c r="Z225"/>
      <c r="AA225"/>
      <c r="AB225" t="s">
        <v>1370</v>
      </c>
      <c r="AC225" t="n">
        <v>79</v>
      </c>
      <c r="AD225" t="s">
        <v>1371</v>
      </c>
      <c r="AE225" t="n">
        <v>159</v>
      </c>
      <c r="AF225" t="s">
        <v>1372</v>
      </c>
      <c r="AG225" t="n">
        <v>60</v>
      </c>
    </row>
    <row r="226">
      <c r="A226" t="s">
        <v>1373</v>
      </c>
      <c r="B226" t="s">
        <v>31</v>
      </c>
      <c r="C226" t="s">
        <v>65</v>
      </c>
      <c r="D226" t="s">
        <v>1374</v>
      </c>
      <c r="E226" t="s">
        <v>79</v>
      </c>
      <c r="F226" t="s">
        <v>1274</v>
      </c>
      <c r="G226"/>
      <c r="H226" t="n">
        <v>39.7579538430024</v>
      </c>
      <c r="I226" t="n">
        <v>-104.986109939634</v>
      </c>
      <c r="J226" t="s">
        <v>35</v>
      </c>
      <c r="K226" t="s">
        <v>70</v>
      </c>
      <c r="L226" t="s">
        <v>554</v>
      </c>
      <c r="M226" t="n">
        <v>1965</v>
      </c>
      <c r="N226" t="n">
        <v>1968</v>
      </c>
      <c r="O226" t="s">
        <v>1375</v>
      </c>
      <c r="P226" t="n">
        <v>2</v>
      </c>
      <c r="Q226" t="n">
        <v>2</v>
      </c>
      <c r="R226" t="n">
        <v>2</v>
      </c>
      <c r="S226" t="n">
        <v>1947</v>
      </c>
      <c r="T226" t="s">
        <v>1376</v>
      </c>
      <c r="U226" t="s">
        <v>1377</v>
      </c>
      <c r="V226" t="s">
        <v>74</v>
      </c>
      <c r="W226"/>
      <c r="X226"/>
      <c r="Y226"/>
      <c r="Z226"/>
      <c r="AA226"/>
      <c r="AB226" t="s">
        <v>1378</v>
      </c>
      <c r="AC226" t="n">
        <v>97</v>
      </c>
      <c r="AD226"/>
      <c r="AE226"/>
      <c r="AF226" t="s">
        <v>1379</v>
      </c>
      <c r="AG226" t="n">
        <v>109</v>
      </c>
    </row>
    <row r="227">
      <c r="A227" t="s">
        <v>1380</v>
      </c>
      <c r="B227" t="s">
        <v>31</v>
      </c>
      <c r="C227" t="s">
        <v>65</v>
      </c>
      <c r="D227" t="s">
        <v>1381</v>
      </c>
      <c r="E227" t="s">
        <v>79</v>
      </c>
      <c r="F227" t="s">
        <v>1274</v>
      </c>
      <c r="G227"/>
      <c r="H227" t="n">
        <v>39.7549020857979</v>
      </c>
      <c r="I227" t="n">
        <v>-104.993552409224</v>
      </c>
      <c r="J227" t="s">
        <v>35</v>
      </c>
      <c r="K227" t="s">
        <v>70</v>
      </c>
      <c r="L227"/>
      <c r="M227" t="n">
        <v>1965</v>
      </c>
      <c r="N227" t="n">
        <v>1965</v>
      </c>
      <c r="O227" t="s">
        <v>1275</v>
      </c>
      <c r="P227" t="n">
        <v>1</v>
      </c>
      <c r="Q227" t="n">
        <v>1</v>
      </c>
      <c r="R227" t="n">
        <v>1</v>
      </c>
      <c r="S227"/>
      <c r="T227" t="s">
        <v>1382</v>
      </c>
      <c r="U227" t="s">
        <v>1383</v>
      </c>
      <c r="V227" t="s">
        <v>74</v>
      </c>
      <c r="W227"/>
      <c r="X227"/>
      <c r="Y227"/>
      <c r="Z227"/>
      <c r="AA227"/>
      <c r="AB227" t="s">
        <v>1384</v>
      </c>
      <c r="AC227" t="n">
        <v>150</v>
      </c>
      <c r="AD227"/>
      <c r="AE227"/>
      <c r="AF227" t="s">
        <v>1385</v>
      </c>
      <c r="AG227" t="n">
        <v>44</v>
      </c>
    </row>
    <row r="228">
      <c r="A228" t="s">
        <v>1386</v>
      </c>
      <c r="B228" t="s">
        <v>31</v>
      </c>
      <c r="C228" t="s">
        <v>65</v>
      </c>
      <c r="D228" t="s">
        <v>1387</v>
      </c>
      <c r="E228" t="s">
        <v>79</v>
      </c>
      <c r="F228" t="s">
        <v>1274</v>
      </c>
      <c r="G228"/>
      <c r="H228" t="n">
        <v>39.7497263267317</v>
      </c>
      <c r="I228" t="n">
        <v>-104.913986</v>
      </c>
      <c r="J228" t="s">
        <v>35</v>
      </c>
      <c r="K228" t="s">
        <v>70</v>
      </c>
      <c r="L228"/>
      <c r="M228" t="n">
        <v>1965</v>
      </c>
      <c r="N228" t="n">
        <v>1965</v>
      </c>
      <c r="O228" t="s">
        <v>1275</v>
      </c>
      <c r="P228" t="n">
        <v>1</v>
      </c>
      <c r="Q228" t="n">
        <v>1</v>
      </c>
      <c r="R228" t="n">
        <v>1</v>
      </c>
      <c r="S228"/>
      <c r="T228" t="s">
        <v>1388</v>
      </c>
      <c r="U228" t="s">
        <v>1389</v>
      </c>
      <c r="V228" t="s">
        <v>74</v>
      </c>
      <c r="W228"/>
      <c r="X228"/>
      <c r="Y228"/>
      <c r="Z228"/>
      <c r="AA228"/>
      <c r="AB228"/>
      <c r="AC228"/>
      <c r="AD228"/>
      <c r="AE228"/>
      <c r="AF228" t="s">
        <v>804</v>
      </c>
      <c r="AG228" t="n">
        <v>96</v>
      </c>
    </row>
    <row r="229">
      <c r="A229" t="s">
        <v>1390</v>
      </c>
      <c r="B229" t="s">
        <v>31</v>
      </c>
      <c r="C229" t="s">
        <v>65</v>
      </c>
      <c r="D229" t="s">
        <v>1391</v>
      </c>
      <c r="E229" t="s">
        <v>79</v>
      </c>
      <c r="F229" t="s">
        <v>1274</v>
      </c>
      <c r="G229"/>
      <c r="H229" t="n">
        <v>39.7428060744661</v>
      </c>
      <c r="I229" t="n">
        <v>-104.998243646872</v>
      </c>
      <c r="J229" t="s">
        <v>35</v>
      </c>
      <c r="K229" t="s">
        <v>120</v>
      </c>
      <c r="L229"/>
      <c r="M229" t="n">
        <v>1965</v>
      </c>
      <c r="N229" t="n">
        <v>1965</v>
      </c>
      <c r="O229" t="s">
        <v>1275</v>
      </c>
      <c r="P229" t="n">
        <v>1</v>
      </c>
      <c r="Q229" t="n">
        <v>1</v>
      </c>
      <c r="R229" t="n">
        <v>1</v>
      </c>
      <c r="S229"/>
      <c r="T229" t="s">
        <v>1392</v>
      </c>
      <c r="U229" t="s">
        <v>1393</v>
      </c>
      <c r="V229" t="s">
        <v>74</v>
      </c>
      <c r="W229"/>
      <c r="X229"/>
      <c r="Y229"/>
      <c r="Z229"/>
      <c r="AA229"/>
      <c r="AB229"/>
      <c r="AC229"/>
      <c r="AD229"/>
      <c r="AE229"/>
      <c r="AF229" t="s">
        <v>1394</v>
      </c>
      <c r="AG229" t="n">
        <v>249</v>
      </c>
    </row>
    <row r="230">
      <c r="A230" t="s">
        <v>1395</v>
      </c>
      <c r="B230" t="s">
        <v>31</v>
      </c>
      <c r="C230" t="s">
        <v>65</v>
      </c>
      <c r="D230" t="s">
        <v>1396</v>
      </c>
      <c r="E230" t="s">
        <v>79</v>
      </c>
      <c r="F230" t="s">
        <v>1274</v>
      </c>
      <c r="G230"/>
      <c r="H230" t="n">
        <v>39.7526254139091</v>
      </c>
      <c r="I230" t="n">
        <v>-104.996469837388</v>
      </c>
      <c r="J230" t="s">
        <v>35</v>
      </c>
      <c r="K230" t="s">
        <v>120</v>
      </c>
      <c r="L230"/>
      <c r="M230" t="n">
        <v>1965</v>
      </c>
      <c r="N230" t="n">
        <v>1992</v>
      </c>
      <c r="O230" t="s">
        <v>1397</v>
      </c>
      <c r="P230" t="n">
        <v>10</v>
      </c>
      <c r="Q230" t="n">
        <v>6</v>
      </c>
      <c r="R230" t="n">
        <v>1</v>
      </c>
      <c r="S230" t="n">
        <v>1880</v>
      </c>
      <c r="T230" t="s">
        <v>1398</v>
      </c>
      <c r="U230" t="s">
        <v>1399</v>
      </c>
      <c r="V230" t="s">
        <v>74</v>
      </c>
      <c r="W230"/>
      <c r="X230"/>
      <c r="Y230"/>
      <c r="Z230"/>
      <c r="AA230"/>
      <c r="AB230" t="s">
        <v>1400</v>
      </c>
      <c r="AC230" t="n">
        <v>111</v>
      </c>
      <c r="AD230"/>
      <c r="AE230"/>
      <c r="AF230" t="s">
        <v>1401</v>
      </c>
      <c r="AG230" t="n">
        <v>170</v>
      </c>
    </row>
    <row r="231">
      <c r="A231" t="s">
        <v>1402</v>
      </c>
      <c r="B231" t="s">
        <v>31</v>
      </c>
      <c r="C231" t="s">
        <v>65</v>
      </c>
      <c r="D231" t="s">
        <v>1403</v>
      </c>
      <c r="E231" t="s">
        <v>79</v>
      </c>
      <c r="F231" t="s">
        <v>1274</v>
      </c>
      <c r="G231"/>
      <c r="H231" t="n">
        <v>39.6822088004469</v>
      </c>
      <c r="I231" t="n">
        <v>-104.9804706215</v>
      </c>
      <c r="J231" t="s">
        <v>35</v>
      </c>
      <c r="K231" t="s">
        <v>120</v>
      </c>
      <c r="L231"/>
      <c r="M231" t="n">
        <v>1965</v>
      </c>
      <c r="N231" t="n">
        <v>1990</v>
      </c>
      <c r="O231" t="s">
        <v>325</v>
      </c>
      <c r="P231" t="n">
        <v>7</v>
      </c>
      <c r="Q231" t="n">
        <v>4</v>
      </c>
      <c r="R231" t="n">
        <v>1</v>
      </c>
      <c r="S231" t="n">
        <v>1944</v>
      </c>
      <c r="T231" t="s">
        <v>1404</v>
      </c>
      <c r="U231" t="s">
        <v>1405</v>
      </c>
      <c r="V231" t="s">
        <v>74</v>
      </c>
      <c r="W231"/>
      <c r="X231"/>
      <c r="Y231"/>
      <c r="Z231"/>
      <c r="AA231"/>
      <c r="AB231" t="s">
        <v>1406</v>
      </c>
      <c r="AC231" t="n">
        <v>104</v>
      </c>
      <c r="AD231"/>
      <c r="AE231"/>
      <c r="AF231" t="s">
        <v>1407</v>
      </c>
      <c r="AG231" t="n">
        <v>181</v>
      </c>
    </row>
    <row r="232">
      <c r="A232" t="s">
        <v>1408</v>
      </c>
      <c r="B232" t="s">
        <v>31</v>
      </c>
      <c r="C232" t="s">
        <v>65</v>
      </c>
      <c r="D232" t="s">
        <v>1409</v>
      </c>
      <c r="E232" t="s">
        <v>79</v>
      </c>
      <c r="F232" t="s">
        <v>1274</v>
      </c>
      <c r="G232"/>
      <c r="H232" t="n">
        <v>39.7433269118312</v>
      </c>
      <c r="I232" t="n">
        <v>-104.991107877594</v>
      </c>
      <c r="J232" t="s">
        <v>35</v>
      </c>
      <c r="K232" t="s">
        <v>120</v>
      </c>
      <c r="L232"/>
      <c r="M232" t="n">
        <v>1965</v>
      </c>
      <c r="N232" t="n">
        <v>1970</v>
      </c>
      <c r="O232" t="s">
        <v>1275</v>
      </c>
      <c r="P232" t="n">
        <v>3</v>
      </c>
      <c r="Q232" t="n">
        <v>1</v>
      </c>
      <c r="R232" t="n">
        <v>1</v>
      </c>
      <c r="S232" t="n">
        <v>1929</v>
      </c>
      <c r="T232" t="s">
        <v>1410</v>
      </c>
      <c r="U232" t="s">
        <v>1411</v>
      </c>
      <c r="V232" t="s">
        <v>74</v>
      </c>
      <c r="W232"/>
      <c r="X232"/>
      <c r="Y232"/>
      <c r="Z232"/>
      <c r="AA232"/>
      <c r="AB232" t="s">
        <v>1412</v>
      </c>
      <c r="AC232" t="n">
        <v>133</v>
      </c>
      <c r="AD232"/>
      <c r="AE232"/>
      <c r="AF232" t="s">
        <v>1413</v>
      </c>
      <c r="AG232" t="n">
        <v>71</v>
      </c>
    </row>
    <row r="233">
      <c r="A233" t="s">
        <v>1414</v>
      </c>
      <c r="B233" t="s">
        <v>31</v>
      </c>
      <c r="C233" t="s">
        <v>65</v>
      </c>
      <c r="D233" t="s">
        <v>1415</v>
      </c>
      <c r="E233" t="s">
        <v>79</v>
      </c>
      <c r="F233" t="s">
        <v>1274</v>
      </c>
      <c r="G233"/>
      <c r="H233" t="n">
        <v>39.7597105527471</v>
      </c>
      <c r="I233" t="n">
        <v>-105.005050349817</v>
      </c>
      <c r="J233" t="s">
        <v>35</v>
      </c>
      <c r="K233" t="s">
        <v>120</v>
      </c>
      <c r="L233"/>
      <c r="M233" t="n">
        <v>1965</v>
      </c>
      <c r="N233" t="n">
        <v>1980</v>
      </c>
      <c r="O233" t="s">
        <v>1275</v>
      </c>
      <c r="P233" t="n">
        <v>6</v>
      </c>
      <c r="Q233" t="n">
        <v>1</v>
      </c>
      <c r="R233" t="n">
        <v>1</v>
      </c>
      <c r="S233" t="n">
        <v>1924</v>
      </c>
      <c r="T233" t="s">
        <v>1416</v>
      </c>
      <c r="U233" t="s">
        <v>1417</v>
      </c>
      <c r="V233" t="s">
        <v>74</v>
      </c>
      <c r="W233"/>
      <c r="X233"/>
      <c r="Y233"/>
      <c r="Z233"/>
      <c r="AA233"/>
      <c r="AB233" t="s">
        <v>1418</v>
      </c>
      <c r="AC233" t="n">
        <v>208</v>
      </c>
      <c r="AD233" t="s">
        <v>1279</v>
      </c>
      <c r="AE233" t="n">
        <v>219</v>
      </c>
      <c r="AF233" t="s">
        <v>1419</v>
      </c>
      <c r="AG233" t="n">
        <v>229</v>
      </c>
    </row>
    <row r="234">
      <c r="A234" t="s">
        <v>1420</v>
      </c>
      <c r="B234" t="s">
        <v>31</v>
      </c>
      <c r="C234" t="s">
        <v>65</v>
      </c>
      <c r="D234" t="s">
        <v>1421</v>
      </c>
      <c r="E234" t="s">
        <v>79</v>
      </c>
      <c r="F234" t="s">
        <v>1274</v>
      </c>
      <c r="G234"/>
      <c r="H234" t="n">
        <v>39.7919893110516</v>
      </c>
      <c r="I234" t="n">
        <v>-104.947578650768</v>
      </c>
      <c r="J234" t="s">
        <v>35</v>
      </c>
      <c r="K234" t="s">
        <v>70</v>
      </c>
      <c r="L234"/>
      <c r="M234" t="n">
        <v>1965</v>
      </c>
      <c r="N234" t="n">
        <v>1988</v>
      </c>
      <c r="O234" t="s">
        <v>1422</v>
      </c>
      <c r="P234" t="n">
        <v>9</v>
      </c>
      <c r="Q234" t="n">
        <v>3</v>
      </c>
      <c r="R234" t="n">
        <v>3</v>
      </c>
      <c r="S234" t="n">
        <v>1940</v>
      </c>
      <c r="T234" t="s">
        <v>1423</v>
      </c>
      <c r="U234" t="s">
        <v>1424</v>
      </c>
      <c r="V234" t="s">
        <v>74</v>
      </c>
      <c r="W234"/>
      <c r="X234"/>
      <c r="Y234"/>
      <c r="Z234"/>
      <c r="AA234"/>
      <c r="AB234"/>
      <c r="AC234"/>
      <c r="AD234"/>
      <c r="AE234"/>
      <c r="AF234" t="s">
        <v>1425</v>
      </c>
      <c r="AG234" t="n">
        <v>112</v>
      </c>
    </row>
    <row r="235">
      <c r="A235" t="s">
        <v>1426</v>
      </c>
      <c r="B235" t="s">
        <v>31</v>
      </c>
      <c r="C235" t="s">
        <v>65</v>
      </c>
      <c r="D235" t="s">
        <v>1427</v>
      </c>
      <c r="E235" t="s">
        <v>79</v>
      </c>
      <c r="F235" t="s">
        <v>1274</v>
      </c>
      <c r="G235"/>
      <c r="H235" t="n">
        <v>39.680323</v>
      </c>
      <c r="I235" t="n">
        <v>-104.989958</v>
      </c>
      <c r="J235" t="s">
        <v>35</v>
      </c>
      <c r="K235" t="s">
        <v>141</v>
      </c>
      <c r="L235"/>
      <c r="M235" t="n">
        <v>1965</v>
      </c>
      <c r="N235" t="n">
        <v>1974</v>
      </c>
      <c r="O235" t="s">
        <v>1428</v>
      </c>
      <c r="P235" t="n">
        <v>3</v>
      </c>
      <c r="Q235" t="n">
        <v>3</v>
      </c>
      <c r="R235" t="n">
        <v>2</v>
      </c>
      <c r="S235" t="n">
        <v>1956</v>
      </c>
      <c r="T235" t="s">
        <v>1429</v>
      </c>
      <c r="U235" t="s">
        <v>1430</v>
      </c>
      <c r="V235" t="s">
        <v>74</v>
      </c>
      <c r="W235"/>
      <c r="X235"/>
      <c r="Y235"/>
      <c r="Z235"/>
      <c r="AA235"/>
      <c r="AB235"/>
      <c r="AC235"/>
      <c r="AD235" t="s">
        <v>1431</v>
      </c>
      <c r="AE235" t="n">
        <v>223</v>
      </c>
      <c r="AF235" t="s">
        <v>1432</v>
      </c>
      <c r="AG235" t="n">
        <v>100</v>
      </c>
    </row>
    <row r="236">
      <c r="A236" t="s">
        <v>1433</v>
      </c>
      <c r="B236" t="s">
        <v>31</v>
      </c>
      <c r="C236" t="s">
        <v>65</v>
      </c>
      <c r="D236" t="s">
        <v>1434</v>
      </c>
      <c r="E236" t="s">
        <v>79</v>
      </c>
      <c r="F236" t="s">
        <v>1274</v>
      </c>
      <c r="G236"/>
      <c r="H236" t="n">
        <v>39.70577</v>
      </c>
      <c r="I236" t="n">
        <v>-105.00384</v>
      </c>
      <c r="J236" t="s">
        <v>35</v>
      </c>
      <c r="K236" t="s">
        <v>70</v>
      </c>
      <c r="L236"/>
      <c r="M236" t="n">
        <v>1965</v>
      </c>
      <c r="N236" t="n">
        <v>1965</v>
      </c>
      <c r="O236" t="s">
        <v>1275</v>
      </c>
      <c r="P236" t="n">
        <v>1</v>
      </c>
      <c r="Q236" t="n">
        <v>1</v>
      </c>
      <c r="R236" t="n">
        <v>1</v>
      </c>
      <c r="S236"/>
      <c r="T236" t="s">
        <v>1435</v>
      </c>
      <c r="U236" t="s">
        <v>1436</v>
      </c>
      <c r="V236" t="s">
        <v>74</v>
      </c>
      <c r="W236"/>
      <c r="X236"/>
      <c r="Y236"/>
      <c r="Z236"/>
      <c r="AA236"/>
      <c r="AB236"/>
      <c r="AC236"/>
      <c r="AD236"/>
      <c r="AE236"/>
      <c r="AF236" t="s">
        <v>1437</v>
      </c>
      <c r="AG236" t="n">
        <v>138</v>
      </c>
    </row>
    <row r="237">
      <c r="A237" t="s">
        <v>1438</v>
      </c>
      <c r="B237" t="s">
        <v>31</v>
      </c>
      <c r="C237" t="s">
        <v>65</v>
      </c>
      <c r="D237" t="s">
        <v>1439</v>
      </c>
      <c r="E237" t="s">
        <v>79</v>
      </c>
      <c r="F237" t="s">
        <v>1274</v>
      </c>
      <c r="G237" t="s">
        <v>1440</v>
      </c>
      <c r="H237" t="n">
        <v>39.7575704522017</v>
      </c>
      <c r="I237" t="n">
        <v>-105.019325896274</v>
      </c>
      <c r="J237" t="s">
        <v>35</v>
      </c>
      <c r="K237" t="s">
        <v>527</v>
      </c>
      <c r="L237"/>
      <c r="M237" t="n">
        <v>1965</v>
      </c>
      <c r="N237" t="n">
        <v>1990</v>
      </c>
      <c r="O237" t="s">
        <v>1441</v>
      </c>
      <c r="P237" t="n">
        <v>10</v>
      </c>
      <c r="Q237" t="n">
        <v>5</v>
      </c>
      <c r="R237" t="n">
        <v>1</v>
      </c>
      <c r="S237" t="n">
        <v>1947</v>
      </c>
      <c r="T237" t="s">
        <v>1442</v>
      </c>
      <c r="U237" t="s">
        <v>1443</v>
      </c>
      <c r="V237" t="s">
        <v>74</v>
      </c>
      <c r="W237"/>
      <c r="X237"/>
      <c r="Y237"/>
      <c r="Z237"/>
      <c r="AA237"/>
      <c r="AB237"/>
      <c r="AC237"/>
      <c r="AD237"/>
      <c r="AE237"/>
      <c r="AF237" t="s">
        <v>1444</v>
      </c>
      <c r="AG237" t="n">
        <v>60</v>
      </c>
    </row>
    <row r="238">
      <c r="A238" t="s">
        <v>1445</v>
      </c>
      <c r="B238" t="s">
        <v>31</v>
      </c>
      <c r="C238" t="s">
        <v>65</v>
      </c>
      <c r="D238" t="s">
        <v>1446</v>
      </c>
      <c r="E238" t="s">
        <v>79</v>
      </c>
      <c r="F238" t="s">
        <v>1274</v>
      </c>
      <c r="G238"/>
      <c r="H238" t="n">
        <v>39.686968244898</v>
      </c>
      <c r="I238" t="n">
        <v>-104.92444</v>
      </c>
      <c r="J238" t="s">
        <v>35</v>
      </c>
      <c r="K238" t="s">
        <v>70</v>
      </c>
      <c r="L238"/>
      <c r="M238" t="n">
        <v>1965</v>
      </c>
      <c r="N238" t="n">
        <v>1965</v>
      </c>
      <c r="O238" t="s">
        <v>1275</v>
      </c>
      <c r="P238" t="n">
        <v>1</v>
      </c>
      <c r="Q238" t="n">
        <v>1</v>
      </c>
      <c r="R238" t="n">
        <v>1</v>
      </c>
      <c r="S238"/>
      <c r="T238" t="s">
        <v>1447</v>
      </c>
      <c r="U238" t="s">
        <v>1448</v>
      </c>
      <c r="V238" t="s">
        <v>74</v>
      </c>
      <c r="W238"/>
      <c r="X238"/>
      <c r="Y238"/>
      <c r="Z238"/>
      <c r="AA238"/>
      <c r="AB238"/>
      <c r="AC238"/>
      <c r="AD238"/>
      <c r="AE238"/>
      <c r="AF238" t="s">
        <v>1449</v>
      </c>
      <c r="AG238" t="n">
        <v>142</v>
      </c>
    </row>
    <row r="239">
      <c r="A239" t="s">
        <v>1450</v>
      </c>
      <c r="B239" t="s">
        <v>31</v>
      </c>
      <c r="C239" t="s">
        <v>65</v>
      </c>
      <c r="D239" t="s">
        <v>1451</v>
      </c>
      <c r="E239" t="s">
        <v>79</v>
      </c>
      <c r="F239" t="s">
        <v>1274</v>
      </c>
      <c r="G239"/>
      <c r="H239" t="n">
        <v>39.740339227016</v>
      </c>
      <c r="I239" t="n">
        <v>-105.03610481906</v>
      </c>
      <c r="J239" t="s">
        <v>35</v>
      </c>
      <c r="K239" t="s">
        <v>120</v>
      </c>
      <c r="L239"/>
      <c r="M239" t="n">
        <v>1965</v>
      </c>
      <c r="N239" t="n">
        <v>1965</v>
      </c>
      <c r="O239" t="s">
        <v>1275</v>
      </c>
      <c r="P239" t="n">
        <v>1</v>
      </c>
      <c r="Q239" t="n">
        <v>1</v>
      </c>
      <c r="R239" t="n">
        <v>1</v>
      </c>
      <c r="S239"/>
      <c r="T239" t="s">
        <v>1452</v>
      </c>
      <c r="U239" t="s">
        <v>1453</v>
      </c>
      <c r="V239" t="s">
        <v>74</v>
      </c>
      <c r="W239"/>
      <c r="X239"/>
      <c r="Y239"/>
      <c r="Z239"/>
      <c r="AA239"/>
      <c r="AB239" t="s">
        <v>1454</v>
      </c>
      <c r="AC239" t="n">
        <v>132</v>
      </c>
      <c r="AD239"/>
      <c r="AE239"/>
      <c r="AF239" t="s">
        <v>1455</v>
      </c>
      <c r="AG239" t="n">
        <v>85</v>
      </c>
    </row>
    <row r="240">
      <c r="A240" t="s">
        <v>1456</v>
      </c>
      <c r="B240" t="s">
        <v>31</v>
      </c>
      <c r="C240" t="s">
        <v>65</v>
      </c>
      <c r="D240" t="s">
        <v>1457</v>
      </c>
      <c r="E240" t="s">
        <v>79</v>
      </c>
      <c r="F240" t="s">
        <v>1274</v>
      </c>
      <c r="G240"/>
      <c r="H240" t="n">
        <v>39.7511402014354</v>
      </c>
      <c r="I240" t="n">
        <v>-104.989714205289</v>
      </c>
      <c r="J240" t="s">
        <v>35</v>
      </c>
      <c r="K240" t="s">
        <v>120</v>
      </c>
      <c r="L240"/>
      <c r="M240" t="n">
        <v>1965</v>
      </c>
      <c r="N240" t="n">
        <v>1980</v>
      </c>
      <c r="O240" t="s">
        <v>1349</v>
      </c>
      <c r="P240" t="n">
        <v>8</v>
      </c>
      <c r="Q240" t="n">
        <v>5</v>
      </c>
      <c r="R240" t="n">
        <v>1</v>
      </c>
      <c r="S240" t="n">
        <v>1926</v>
      </c>
      <c r="T240" t="s">
        <v>1458</v>
      </c>
      <c r="U240" t="s">
        <v>1459</v>
      </c>
      <c r="V240" t="s">
        <v>74</v>
      </c>
      <c r="W240"/>
      <c r="X240"/>
      <c r="Y240"/>
      <c r="Z240"/>
      <c r="AA240"/>
      <c r="AB240"/>
      <c r="AC240"/>
      <c r="AD240"/>
      <c r="AE240"/>
      <c r="AF240" t="s">
        <v>1460</v>
      </c>
      <c r="AG240" t="n">
        <v>178</v>
      </c>
    </row>
    <row r="241">
      <c r="A241" t="s">
        <v>1461</v>
      </c>
      <c r="B241" t="s">
        <v>31</v>
      </c>
      <c r="C241" t="s">
        <v>65</v>
      </c>
      <c r="D241" t="s">
        <v>1462</v>
      </c>
      <c r="E241" t="s">
        <v>79</v>
      </c>
      <c r="F241" t="s">
        <v>1274</v>
      </c>
      <c r="G241"/>
      <c r="H241" t="n">
        <v>39.7352570896701</v>
      </c>
      <c r="I241" t="n">
        <v>-104.98767508751</v>
      </c>
      <c r="J241" t="s">
        <v>35</v>
      </c>
      <c r="K241" t="s">
        <v>315</v>
      </c>
      <c r="L241"/>
      <c r="M241" t="n">
        <v>1965</v>
      </c>
      <c r="N241" t="n">
        <v>1967</v>
      </c>
      <c r="O241" t="s">
        <v>1338</v>
      </c>
      <c r="P241" t="n">
        <v>2</v>
      </c>
      <c r="Q241" t="n">
        <v>2</v>
      </c>
      <c r="R241" t="n">
        <v>2</v>
      </c>
      <c r="S241" t="n">
        <v>1935</v>
      </c>
      <c r="T241" t="s">
        <v>1463</v>
      </c>
      <c r="U241" t="s">
        <v>1464</v>
      </c>
      <c r="V241" t="s">
        <v>74</v>
      </c>
      <c r="W241"/>
      <c r="X241"/>
      <c r="Y241"/>
      <c r="Z241"/>
      <c r="AA241"/>
      <c r="AB241" t="s">
        <v>1465</v>
      </c>
      <c r="AC241" t="n">
        <v>228</v>
      </c>
      <c r="AD241"/>
      <c r="AE241"/>
      <c r="AF241" t="s">
        <v>1466</v>
      </c>
      <c r="AG241" t="n">
        <v>98</v>
      </c>
    </row>
    <row r="242">
      <c r="A242" t="s">
        <v>1467</v>
      </c>
      <c r="B242" t="s">
        <v>31</v>
      </c>
      <c r="C242" t="s">
        <v>65</v>
      </c>
      <c r="D242" t="s">
        <v>1468</v>
      </c>
      <c r="E242" t="s">
        <v>79</v>
      </c>
      <c r="F242" t="s">
        <v>1274</v>
      </c>
      <c r="G242"/>
      <c r="H242" t="n">
        <v>39.755132</v>
      </c>
      <c r="I242" t="n">
        <v>-104.97932477551</v>
      </c>
      <c r="J242" t="s">
        <v>35</v>
      </c>
      <c r="K242" t="s">
        <v>89</v>
      </c>
      <c r="L242"/>
      <c r="M242" t="n">
        <v>1965</v>
      </c>
      <c r="N242" t="n">
        <v>1965</v>
      </c>
      <c r="O242" t="s">
        <v>1275</v>
      </c>
      <c r="P242" t="n">
        <v>1</v>
      </c>
      <c r="Q242" t="n">
        <v>1</v>
      </c>
      <c r="R242" t="n">
        <v>1</v>
      </c>
      <c r="S242"/>
      <c r="T242" t="s">
        <v>1469</v>
      </c>
      <c r="U242" t="s">
        <v>1470</v>
      </c>
      <c r="V242" t="s">
        <v>74</v>
      </c>
      <c r="W242"/>
      <c r="X242"/>
      <c r="Y242"/>
      <c r="Z242"/>
      <c r="AA242"/>
      <c r="AB242" t="s">
        <v>1471</v>
      </c>
      <c r="AC242" t="n">
        <v>237</v>
      </c>
      <c r="AD242"/>
      <c r="AE242"/>
      <c r="AF242" t="s">
        <v>1472</v>
      </c>
      <c r="AG242" t="n">
        <v>130</v>
      </c>
    </row>
    <row r="243">
      <c r="A243" t="s">
        <v>1473</v>
      </c>
      <c r="B243" t="s">
        <v>31</v>
      </c>
      <c r="C243" t="s">
        <v>65</v>
      </c>
      <c r="D243" t="s">
        <v>1474</v>
      </c>
      <c r="E243" t="s">
        <v>79</v>
      </c>
      <c r="F243" t="s">
        <v>1274</v>
      </c>
      <c r="G243"/>
      <c r="H243" t="n">
        <v>39.693134436924</v>
      </c>
      <c r="I243" t="n">
        <v>-104.998017774875</v>
      </c>
      <c r="J243" t="s">
        <v>35</v>
      </c>
      <c r="K243" t="s">
        <v>234</v>
      </c>
      <c r="L243"/>
      <c r="M243" t="n">
        <v>1965</v>
      </c>
      <c r="N243" t="n">
        <v>1983</v>
      </c>
      <c r="O243" t="s">
        <v>1475</v>
      </c>
      <c r="P243" t="n">
        <v>8</v>
      </c>
      <c r="Q243" t="n">
        <v>4</v>
      </c>
      <c r="R243" t="n">
        <v>4</v>
      </c>
      <c r="S243" t="n">
        <v>1947</v>
      </c>
      <c r="T243" t="s">
        <v>1476</v>
      </c>
      <c r="U243" t="s">
        <v>1477</v>
      </c>
      <c r="V243" t="s">
        <v>74</v>
      </c>
      <c r="W243"/>
      <c r="X243"/>
      <c r="Y243"/>
      <c r="Z243"/>
      <c r="AA243"/>
      <c r="AB243" t="s">
        <v>1286</v>
      </c>
      <c r="AC243" t="n">
        <v>242</v>
      </c>
      <c r="AD243" t="s">
        <v>1478</v>
      </c>
      <c r="AE243" t="n">
        <v>219</v>
      </c>
      <c r="AF243" t="s">
        <v>1479</v>
      </c>
      <c r="AG243" t="n">
        <v>89</v>
      </c>
    </row>
    <row r="244">
      <c r="A244" t="s">
        <v>1480</v>
      </c>
      <c r="B244" t="s">
        <v>31</v>
      </c>
      <c r="C244" t="s">
        <v>65</v>
      </c>
      <c r="D244" t="s">
        <v>1481</v>
      </c>
      <c r="E244" t="s">
        <v>79</v>
      </c>
      <c r="F244" t="s">
        <v>1274</v>
      </c>
      <c r="G244"/>
      <c r="H244" t="n">
        <v>39.6892080150376</v>
      </c>
      <c r="I244" t="n">
        <v>-104.980428542987</v>
      </c>
      <c r="J244" t="s">
        <v>35</v>
      </c>
      <c r="K244" t="s">
        <v>70</v>
      </c>
      <c r="L244"/>
      <c r="M244" t="n">
        <v>1965</v>
      </c>
      <c r="N244" t="n">
        <v>1990</v>
      </c>
      <c r="O244" t="s">
        <v>716</v>
      </c>
      <c r="P244" t="n">
        <v>8</v>
      </c>
      <c r="Q244" t="n">
        <v>7</v>
      </c>
      <c r="R244" t="n">
        <v>1</v>
      </c>
      <c r="S244" t="n">
        <v>1950</v>
      </c>
      <c r="T244" t="s">
        <v>1482</v>
      </c>
      <c r="U244" t="s">
        <v>1483</v>
      </c>
      <c r="V244" t="s">
        <v>74</v>
      </c>
      <c r="W244"/>
      <c r="X244"/>
      <c r="Y244"/>
      <c r="Z244"/>
      <c r="AA244"/>
      <c r="AB244"/>
      <c r="AC244"/>
      <c r="AD244"/>
      <c r="AE244"/>
      <c r="AF244" t="s">
        <v>1484</v>
      </c>
      <c r="AG244" t="n">
        <v>144</v>
      </c>
    </row>
    <row r="245">
      <c r="A245" t="s">
        <v>1485</v>
      </c>
      <c r="B245" t="s">
        <v>31</v>
      </c>
      <c r="C245" t="s">
        <v>65</v>
      </c>
      <c r="D245" t="s">
        <v>1486</v>
      </c>
      <c r="E245" t="s">
        <v>79</v>
      </c>
      <c r="F245" t="s">
        <v>1274</v>
      </c>
      <c r="G245"/>
      <c r="H245" t="n">
        <v>39.6929037811557</v>
      </c>
      <c r="I245" t="n">
        <v>-104.987468484362</v>
      </c>
      <c r="J245" t="s">
        <v>35</v>
      </c>
      <c r="K245" t="s">
        <v>70</v>
      </c>
      <c r="L245"/>
      <c r="M245" t="n">
        <v>1965</v>
      </c>
      <c r="N245" t="n">
        <v>1990</v>
      </c>
      <c r="O245" t="s">
        <v>1487</v>
      </c>
      <c r="P245" t="n">
        <v>12</v>
      </c>
      <c r="Q245" t="n">
        <v>4</v>
      </c>
      <c r="R245" t="n">
        <v>1</v>
      </c>
      <c r="S245" t="n">
        <v>1930</v>
      </c>
      <c r="T245" t="s">
        <v>1488</v>
      </c>
      <c r="U245" t="s">
        <v>1489</v>
      </c>
      <c r="V245" t="s">
        <v>74</v>
      </c>
      <c r="W245"/>
      <c r="X245"/>
      <c r="Y245"/>
      <c r="Z245"/>
      <c r="AA245"/>
      <c r="AB245" t="s">
        <v>1490</v>
      </c>
      <c r="AC245" t="n">
        <v>176</v>
      </c>
      <c r="AD245" t="s">
        <v>1491</v>
      </c>
      <c r="AE245" t="n">
        <v>184</v>
      </c>
      <c r="AF245" t="s">
        <v>1492</v>
      </c>
      <c r="AG245" t="n">
        <v>178</v>
      </c>
    </row>
    <row r="246">
      <c r="A246" t="s">
        <v>1493</v>
      </c>
      <c r="B246" t="s">
        <v>31</v>
      </c>
      <c r="C246" t="s">
        <v>65</v>
      </c>
      <c r="D246" t="s">
        <v>1494</v>
      </c>
      <c r="E246" t="s">
        <v>386</v>
      </c>
      <c r="F246" t="s">
        <v>1274</v>
      </c>
      <c r="G246"/>
      <c r="H246" t="n">
        <v>39.6195689191919</v>
      </c>
      <c r="I246" t="n">
        <v>-105.012109914141</v>
      </c>
      <c r="J246" t="s">
        <v>35</v>
      </c>
      <c r="K246" t="s">
        <v>1495</v>
      </c>
      <c r="L246"/>
      <c r="M246" t="n">
        <v>1965</v>
      </c>
      <c r="N246" t="n">
        <v>1990</v>
      </c>
      <c r="O246" t="s">
        <v>1496</v>
      </c>
      <c r="P246" t="n">
        <v>6</v>
      </c>
      <c r="Q246" t="n">
        <v>4</v>
      </c>
      <c r="R246" t="n">
        <v>4</v>
      </c>
      <c r="S246" t="n">
        <v>1935</v>
      </c>
      <c r="T246" t="s">
        <v>1497</v>
      </c>
      <c r="U246" t="s">
        <v>1498</v>
      </c>
      <c r="V246" t="s">
        <v>74</v>
      </c>
      <c r="W246"/>
      <c r="X246"/>
      <c r="Y246"/>
      <c r="Z246"/>
      <c r="AA246"/>
      <c r="AB246"/>
      <c r="AC246"/>
      <c r="AD246" t="s">
        <v>1499</v>
      </c>
      <c r="AE246" t="n">
        <v>193</v>
      </c>
      <c r="AF246" t="s">
        <v>1500</v>
      </c>
      <c r="AG246" t="n">
        <v>127</v>
      </c>
    </row>
    <row r="247">
      <c r="A247" t="s">
        <v>1501</v>
      </c>
      <c r="B247" t="s">
        <v>31</v>
      </c>
      <c r="C247" t="s">
        <v>65</v>
      </c>
      <c r="D247" t="s">
        <v>1502</v>
      </c>
      <c r="E247" t="s">
        <v>79</v>
      </c>
      <c r="F247" t="s">
        <v>1274</v>
      </c>
      <c r="G247" t="s">
        <v>1440</v>
      </c>
      <c r="H247" t="n">
        <v>39.76112</v>
      </c>
      <c r="I247" t="n">
        <v>-105.008086</v>
      </c>
      <c r="J247" t="s">
        <v>35</v>
      </c>
      <c r="K247" t="s">
        <v>133</v>
      </c>
      <c r="L247"/>
      <c r="M247" t="n">
        <v>1966</v>
      </c>
      <c r="N247" t="n">
        <v>1992</v>
      </c>
      <c r="O247" t="s">
        <v>1503</v>
      </c>
      <c r="P247" t="n">
        <v>10</v>
      </c>
      <c r="Q247" t="n">
        <v>3</v>
      </c>
      <c r="R247" t="n">
        <v>1</v>
      </c>
      <c r="S247" t="n">
        <v>1955</v>
      </c>
      <c r="T247" t="s">
        <v>1504</v>
      </c>
      <c r="U247" t="s">
        <v>1505</v>
      </c>
      <c r="V247" t="s">
        <v>74</v>
      </c>
      <c r="W247"/>
      <c r="X247"/>
      <c r="Y247"/>
      <c r="Z247"/>
      <c r="AA247"/>
      <c r="AB247" t="s">
        <v>1341</v>
      </c>
      <c r="AC247" t="n">
        <v>119</v>
      </c>
      <c r="AD247" t="s">
        <v>1279</v>
      </c>
      <c r="AE247" t="n">
        <v>106</v>
      </c>
      <c r="AF247" t="s">
        <v>1506</v>
      </c>
      <c r="AG247" t="n">
        <v>141</v>
      </c>
    </row>
    <row r="248">
      <c r="A248" t="s">
        <v>1507</v>
      </c>
      <c r="B248" t="s">
        <v>31</v>
      </c>
      <c r="C248" t="s">
        <v>65</v>
      </c>
      <c r="D248" t="s">
        <v>1508</v>
      </c>
      <c r="E248" t="s">
        <v>79</v>
      </c>
      <c r="F248" t="s">
        <v>1274</v>
      </c>
      <c r="G248" t="s">
        <v>1509</v>
      </c>
      <c r="H248" t="n">
        <v>39.738491</v>
      </c>
      <c r="I248" t="n">
        <v>-105.011598</v>
      </c>
      <c r="J248" t="s">
        <v>35</v>
      </c>
      <c r="K248" t="s">
        <v>988</v>
      </c>
      <c r="L248"/>
      <c r="M248" t="n">
        <v>1966</v>
      </c>
      <c r="N248" t="n">
        <v>1990</v>
      </c>
      <c r="O248" t="s">
        <v>740</v>
      </c>
      <c r="P248" t="n">
        <v>3</v>
      </c>
      <c r="Q248" t="n">
        <v>3</v>
      </c>
      <c r="R248" t="n">
        <v>2</v>
      </c>
      <c r="S248" t="n">
        <v>1947</v>
      </c>
      <c r="T248" t="s">
        <v>1510</v>
      </c>
      <c r="U248" t="s">
        <v>1511</v>
      </c>
      <c r="V248" t="s">
        <v>74</v>
      </c>
      <c r="W248"/>
      <c r="X248"/>
      <c r="Y248"/>
      <c r="Z248"/>
      <c r="AA248"/>
      <c r="AB248" t="s">
        <v>1512</v>
      </c>
      <c r="AC248" t="n">
        <v>144</v>
      </c>
      <c r="AD248"/>
      <c r="AE248"/>
      <c r="AF248" t="s">
        <v>1513</v>
      </c>
      <c r="AG248" t="n">
        <v>72</v>
      </c>
    </row>
    <row r="249">
      <c r="A249" t="s">
        <v>1514</v>
      </c>
      <c r="B249" t="s">
        <v>31</v>
      </c>
      <c r="C249" t="s">
        <v>65</v>
      </c>
      <c r="D249" t="s">
        <v>1515</v>
      </c>
      <c r="E249" t="s">
        <v>79</v>
      </c>
      <c r="F249" t="s">
        <v>1274</v>
      </c>
      <c r="G249" t="s">
        <v>1516</v>
      </c>
      <c r="H249" t="n">
        <v>39.6925740204082</v>
      </c>
      <c r="I249" t="n">
        <v>-104.991004142857</v>
      </c>
      <c r="J249" t="s">
        <v>35</v>
      </c>
      <c r="K249" t="s">
        <v>315</v>
      </c>
      <c r="L249"/>
      <c r="M249" t="n">
        <v>1966</v>
      </c>
      <c r="N249" t="n">
        <v>1974</v>
      </c>
      <c r="O249" t="s">
        <v>1517</v>
      </c>
      <c r="P249" t="n">
        <v>4</v>
      </c>
      <c r="Q249" t="n">
        <v>1</v>
      </c>
      <c r="R249" t="n">
        <v>1</v>
      </c>
      <c r="S249" t="n">
        <v>1945</v>
      </c>
      <c r="T249" t="s">
        <v>1518</v>
      </c>
      <c r="U249" t="s">
        <v>1519</v>
      </c>
      <c r="V249" t="s">
        <v>74</v>
      </c>
      <c r="W249"/>
      <c r="X249"/>
      <c r="Y249"/>
      <c r="Z249"/>
      <c r="AA249"/>
      <c r="AB249" t="s">
        <v>1520</v>
      </c>
      <c r="AC249" t="n">
        <v>178</v>
      </c>
      <c r="AD249" t="s">
        <v>1521</v>
      </c>
      <c r="AE249" t="n">
        <v>137</v>
      </c>
      <c r="AF249" t="s">
        <v>1522</v>
      </c>
      <c r="AG249" t="n">
        <v>65</v>
      </c>
    </row>
    <row r="250">
      <c r="A250" t="s">
        <v>1523</v>
      </c>
      <c r="B250" t="s">
        <v>31</v>
      </c>
      <c r="C250" t="s">
        <v>65</v>
      </c>
      <c r="D250" t="s">
        <v>1524</v>
      </c>
      <c r="E250" t="s">
        <v>79</v>
      </c>
      <c r="F250" t="s">
        <v>1274</v>
      </c>
      <c r="G250" t="s">
        <v>1525</v>
      </c>
      <c r="H250" t="n">
        <v>39.736842104096</v>
      </c>
      <c r="I250" t="n">
        <v>-104.988811812175</v>
      </c>
      <c r="J250" t="s">
        <v>35</v>
      </c>
      <c r="K250" t="s">
        <v>796</v>
      </c>
      <c r="L250"/>
      <c r="M250" t="n">
        <v>1966</v>
      </c>
      <c r="N250" t="n">
        <v>1974</v>
      </c>
      <c r="O250" t="s">
        <v>210</v>
      </c>
      <c r="P250" t="n">
        <v>3</v>
      </c>
      <c r="Q250" t="n">
        <v>3</v>
      </c>
      <c r="R250" t="n">
        <v>1</v>
      </c>
      <c r="S250" t="n">
        <v>1938</v>
      </c>
      <c r="T250" t="s">
        <v>1526</v>
      </c>
      <c r="U250" t="s">
        <v>1527</v>
      </c>
      <c r="V250" t="s">
        <v>74</v>
      </c>
      <c r="W250"/>
      <c r="X250"/>
      <c r="Y250"/>
      <c r="Z250"/>
      <c r="AA250"/>
      <c r="AB250" t="s">
        <v>1528</v>
      </c>
      <c r="AC250" t="n">
        <v>156</v>
      </c>
      <c r="AD250"/>
      <c r="AE250"/>
      <c r="AF250" t="s">
        <v>1529</v>
      </c>
      <c r="AG250" t="n">
        <v>105</v>
      </c>
    </row>
    <row r="251">
      <c r="A251" t="s">
        <v>1530</v>
      </c>
      <c r="B251" t="s">
        <v>31</v>
      </c>
      <c r="C251" t="s">
        <v>65</v>
      </c>
      <c r="D251" t="s">
        <v>1531</v>
      </c>
      <c r="E251" t="s">
        <v>79</v>
      </c>
      <c r="F251" t="s">
        <v>1274</v>
      </c>
      <c r="G251" t="s">
        <v>1516</v>
      </c>
      <c r="H251" t="n">
        <v>39.7158862504222</v>
      </c>
      <c r="I251" t="n">
        <v>-104.99635234809</v>
      </c>
      <c r="J251" t="s">
        <v>35</v>
      </c>
      <c r="K251" t="s">
        <v>70</v>
      </c>
      <c r="L251"/>
      <c r="M251" t="n">
        <v>1966</v>
      </c>
      <c r="N251" t="n">
        <v>1974</v>
      </c>
      <c r="O251" t="s">
        <v>1532</v>
      </c>
      <c r="P251" t="n">
        <v>2</v>
      </c>
      <c r="Q251" t="n">
        <v>1</v>
      </c>
      <c r="R251" t="n">
        <v>1</v>
      </c>
      <c r="S251"/>
      <c r="T251" t="s">
        <v>1533</v>
      </c>
      <c r="U251" t="s">
        <v>1534</v>
      </c>
      <c r="V251" t="s">
        <v>74</v>
      </c>
      <c r="W251"/>
      <c r="X251"/>
      <c r="Y251"/>
      <c r="Z251"/>
      <c r="AA251"/>
      <c r="AB251" t="s">
        <v>1535</v>
      </c>
      <c r="AC251" t="n">
        <v>200</v>
      </c>
      <c r="AD251" t="s">
        <v>1536</v>
      </c>
      <c r="AE251" t="n">
        <v>238</v>
      </c>
      <c r="AF251" t="s">
        <v>1537</v>
      </c>
      <c r="AG251" t="n">
        <v>102</v>
      </c>
    </row>
    <row r="252">
      <c r="A252" t="s">
        <v>1538</v>
      </c>
      <c r="B252" t="s">
        <v>31</v>
      </c>
      <c r="C252" t="s">
        <v>65</v>
      </c>
      <c r="D252" t="s">
        <v>1539</v>
      </c>
      <c r="E252" t="s">
        <v>79</v>
      </c>
      <c r="F252" t="s">
        <v>1274</v>
      </c>
      <c r="G252" t="s">
        <v>1540</v>
      </c>
      <c r="H252" t="n">
        <v>39.7584727755102</v>
      </c>
      <c r="I252" t="n">
        <v>-105.051185204082</v>
      </c>
      <c r="J252" t="s">
        <v>35</v>
      </c>
      <c r="K252" t="s">
        <v>70</v>
      </c>
      <c r="L252"/>
      <c r="M252" t="n">
        <v>1966</v>
      </c>
      <c r="N252" t="n">
        <v>1974</v>
      </c>
      <c r="O252" t="s">
        <v>1541</v>
      </c>
      <c r="P252" t="n">
        <v>5</v>
      </c>
      <c r="Q252" t="n">
        <v>2</v>
      </c>
      <c r="R252" t="n">
        <v>2</v>
      </c>
      <c r="S252" t="n">
        <v>1944</v>
      </c>
      <c r="T252" t="s">
        <v>1542</v>
      </c>
      <c r="U252" t="s">
        <v>1543</v>
      </c>
      <c r="V252" t="s">
        <v>74</v>
      </c>
      <c r="W252"/>
      <c r="X252"/>
      <c r="Y252"/>
      <c r="Z252"/>
      <c r="AA252"/>
      <c r="AB252" t="s">
        <v>1544</v>
      </c>
      <c r="AC252" t="n">
        <v>76</v>
      </c>
      <c r="AD252"/>
      <c r="AE252"/>
      <c r="AF252" t="s">
        <v>1545</v>
      </c>
      <c r="AG252" t="n">
        <v>97</v>
      </c>
    </row>
    <row r="253">
      <c r="A253" t="s">
        <v>1546</v>
      </c>
      <c r="B253" t="s">
        <v>31</v>
      </c>
      <c r="C253" t="s">
        <v>65</v>
      </c>
      <c r="D253" t="s">
        <v>1547</v>
      </c>
      <c r="E253" t="s">
        <v>79</v>
      </c>
      <c r="F253" t="s">
        <v>1274</v>
      </c>
      <c r="G253" t="s">
        <v>1509</v>
      </c>
      <c r="H253" t="n">
        <v>39.7594049366611</v>
      </c>
      <c r="I253" t="n">
        <v>-105.003198934009</v>
      </c>
      <c r="J253" t="s">
        <v>35</v>
      </c>
      <c r="K253" t="s">
        <v>1548</v>
      </c>
      <c r="L253"/>
      <c r="M253" t="n">
        <v>1966</v>
      </c>
      <c r="N253" t="n">
        <v>1983</v>
      </c>
      <c r="O253" t="s">
        <v>1549</v>
      </c>
      <c r="P253" t="n">
        <v>6</v>
      </c>
      <c r="Q253" t="n">
        <v>3</v>
      </c>
      <c r="R253" t="n">
        <v>3</v>
      </c>
      <c r="S253" t="n">
        <v>1956</v>
      </c>
      <c r="T253" t="s">
        <v>1550</v>
      </c>
      <c r="U253" t="s">
        <v>1551</v>
      </c>
      <c r="V253" t="s">
        <v>74</v>
      </c>
      <c r="W253"/>
      <c r="X253"/>
      <c r="Y253"/>
      <c r="Z253"/>
      <c r="AA253"/>
      <c r="AB253" t="s">
        <v>1552</v>
      </c>
      <c r="AC253" t="n">
        <v>86</v>
      </c>
      <c r="AD253"/>
      <c r="AE253"/>
      <c r="AF253" t="s">
        <v>1419</v>
      </c>
      <c r="AG253" t="n">
        <v>82</v>
      </c>
    </row>
    <row r="254">
      <c r="A254" t="s">
        <v>1553</v>
      </c>
      <c r="B254" t="s">
        <v>31</v>
      </c>
      <c r="C254" t="s">
        <v>65</v>
      </c>
      <c r="D254" t="s">
        <v>1554</v>
      </c>
      <c r="E254" t="s">
        <v>79</v>
      </c>
      <c r="F254" t="s">
        <v>1274</v>
      </c>
      <c r="G254" t="s">
        <v>1555</v>
      </c>
      <c r="H254" t="n">
        <v>39.740333520797</v>
      </c>
      <c r="I254" t="n">
        <v>-105.033240591042</v>
      </c>
      <c r="J254" t="s">
        <v>35</v>
      </c>
      <c r="K254" t="s">
        <v>133</v>
      </c>
      <c r="L254"/>
      <c r="M254" t="n">
        <v>1966</v>
      </c>
      <c r="N254" t="n">
        <v>1980</v>
      </c>
      <c r="O254" t="s">
        <v>1556</v>
      </c>
      <c r="P254" t="n">
        <v>7</v>
      </c>
      <c r="Q254" t="n">
        <v>4</v>
      </c>
      <c r="R254" t="n">
        <v>1</v>
      </c>
      <c r="S254" t="n">
        <v>1951</v>
      </c>
      <c r="T254" t="s">
        <v>1557</v>
      </c>
      <c r="U254" t="s">
        <v>1558</v>
      </c>
      <c r="V254" t="s">
        <v>74</v>
      </c>
      <c r="W254"/>
      <c r="X254"/>
      <c r="Y254"/>
      <c r="Z254"/>
      <c r="AA254"/>
      <c r="AB254" t="s">
        <v>1454</v>
      </c>
      <c r="AC254" t="n">
        <v>120</v>
      </c>
      <c r="AD254"/>
      <c r="AE254"/>
      <c r="AF254" t="s">
        <v>1559</v>
      </c>
      <c r="AG254" t="n">
        <v>136</v>
      </c>
    </row>
    <row r="255">
      <c r="A255" t="s">
        <v>1560</v>
      </c>
      <c r="B255" t="s">
        <v>31</v>
      </c>
      <c r="C255" t="s">
        <v>65</v>
      </c>
      <c r="D255" t="s">
        <v>1561</v>
      </c>
      <c r="E255" t="s">
        <v>79</v>
      </c>
      <c r="F255" t="s">
        <v>1274</v>
      </c>
      <c r="G255" t="s">
        <v>1516</v>
      </c>
      <c r="H255" t="n">
        <v>39.6973630207167</v>
      </c>
      <c r="I255" t="n">
        <v>-104.999167591846</v>
      </c>
      <c r="J255" t="s">
        <v>35</v>
      </c>
      <c r="K255" t="s">
        <v>120</v>
      </c>
      <c r="L255"/>
      <c r="M255" t="n">
        <v>1966</v>
      </c>
      <c r="N255" t="n">
        <v>1980</v>
      </c>
      <c r="O255" t="s">
        <v>1349</v>
      </c>
      <c r="P255" t="n">
        <v>4</v>
      </c>
      <c r="Q255" t="n">
        <v>3</v>
      </c>
      <c r="R255" t="n">
        <v>1</v>
      </c>
      <c r="S255" t="n">
        <v>1947</v>
      </c>
      <c r="T255" t="s">
        <v>1562</v>
      </c>
      <c r="U255" t="s">
        <v>1563</v>
      </c>
      <c r="V255" t="s">
        <v>74</v>
      </c>
      <c r="W255"/>
      <c r="X255"/>
      <c r="Y255"/>
      <c r="Z255"/>
      <c r="AA255"/>
      <c r="AB255" t="s">
        <v>1564</v>
      </c>
      <c r="AC255" t="n">
        <v>221</v>
      </c>
      <c r="AD255" t="s">
        <v>1565</v>
      </c>
      <c r="AE255" t="n">
        <v>179</v>
      </c>
      <c r="AF255" t="s">
        <v>1566</v>
      </c>
      <c r="AG255" t="n">
        <v>80</v>
      </c>
    </row>
    <row r="256">
      <c r="A256" t="s">
        <v>1567</v>
      </c>
      <c r="B256" t="s">
        <v>31</v>
      </c>
      <c r="C256" t="s">
        <v>65</v>
      </c>
      <c r="D256" t="s">
        <v>1568</v>
      </c>
      <c r="E256" t="s">
        <v>79</v>
      </c>
      <c r="F256" t="s">
        <v>1274</v>
      </c>
      <c r="G256" t="s">
        <v>1569</v>
      </c>
      <c r="H256" t="n">
        <v>39.6829631631868</v>
      </c>
      <c r="I256" t="n">
        <v>-104.980487040371</v>
      </c>
      <c r="J256" t="s">
        <v>35</v>
      </c>
      <c r="K256" t="s">
        <v>120</v>
      </c>
      <c r="L256"/>
      <c r="M256" t="n">
        <v>1966</v>
      </c>
      <c r="N256" t="n">
        <v>1990</v>
      </c>
      <c r="O256" t="s">
        <v>351</v>
      </c>
      <c r="P256" t="n">
        <v>7</v>
      </c>
      <c r="Q256" t="n">
        <v>5</v>
      </c>
      <c r="R256" t="n">
        <v>1</v>
      </c>
      <c r="S256" t="n">
        <v>1948</v>
      </c>
      <c r="T256" t="s">
        <v>1570</v>
      </c>
      <c r="U256" t="s">
        <v>1571</v>
      </c>
      <c r="V256" t="s">
        <v>74</v>
      </c>
      <c r="W256"/>
      <c r="X256"/>
      <c r="Y256"/>
      <c r="Z256"/>
      <c r="AA256"/>
      <c r="AB256" t="s">
        <v>1406</v>
      </c>
      <c r="AC256" t="n">
        <v>143</v>
      </c>
      <c r="AD256"/>
      <c r="AE256"/>
      <c r="AF256" t="s">
        <v>1407</v>
      </c>
      <c r="AG256" t="n">
        <v>98</v>
      </c>
    </row>
    <row r="257">
      <c r="A257" t="s">
        <v>1572</v>
      </c>
      <c r="B257" t="s">
        <v>31</v>
      </c>
      <c r="C257" t="s">
        <v>65</v>
      </c>
      <c r="D257" t="s">
        <v>1573</v>
      </c>
      <c r="E257" t="s">
        <v>79</v>
      </c>
      <c r="F257" t="s">
        <v>1274</v>
      </c>
      <c r="G257" t="s">
        <v>1574</v>
      </c>
      <c r="H257" t="n">
        <v>39.7520244325787</v>
      </c>
      <c r="I257" t="n">
        <v>-104.988983029782</v>
      </c>
      <c r="J257" t="s">
        <v>35</v>
      </c>
      <c r="K257" t="s">
        <v>70</v>
      </c>
      <c r="L257"/>
      <c r="M257" t="n">
        <v>1966</v>
      </c>
      <c r="N257" t="n">
        <v>1967</v>
      </c>
      <c r="O257" t="s">
        <v>388</v>
      </c>
      <c r="P257" t="n">
        <v>2</v>
      </c>
      <c r="Q257" t="n">
        <v>2</v>
      </c>
      <c r="R257" t="n">
        <v>1</v>
      </c>
      <c r="S257" t="n">
        <v>1961</v>
      </c>
      <c r="T257" t="s">
        <v>1575</v>
      </c>
      <c r="U257" t="s">
        <v>1576</v>
      </c>
      <c r="V257" t="s">
        <v>74</v>
      </c>
      <c r="W257"/>
      <c r="X257"/>
      <c r="Y257"/>
      <c r="Z257"/>
      <c r="AA257"/>
      <c r="AB257" t="s">
        <v>1577</v>
      </c>
      <c r="AC257" t="n">
        <v>153</v>
      </c>
      <c r="AD257"/>
      <c r="AE257"/>
      <c r="AF257" t="s">
        <v>1460</v>
      </c>
      <c r="AG257" t="n">
        <v>85</v>
      </c>
    </row>
    <row r="258">
      <c r="A258" t="s">
        <v>1578</v>
      </c>
      <c r="B258" t="s">
        <v>31</v>
      </c>
      <c r="C258" t="s">
        <v>65</v>
      </c>
      <c r="D258" t="s">
        <v>1579</v>
      </c>
      <c r="E258" t="s">
        <v>79</v>
      </c>
      <c r="F258" t="s">
        <v>1274</v>
      </c>
      <c r="G258" t="s">
        <v>1516</v>
      </c>
      <c r="H258" t="n">
        <v>39.6953963323615</v>
      </c>
      <c r="I258" t="n">
        <v>-104.991302172012</v>
      </c>
      <c r="J258" t="s">
        <v>35</v>
      </c>
      <c r="K258" t="s">
        <v>527</v>
      </c>
      <c r="L258"/>
      <c r="M258" t="n">
        <v>1966</v>
      </c>
      <c r="N258" t="n">
        <v>1990</v>
      </c>
      <c r="O258" t="s">
        <v>1580</v>
      </c>
      <c r="P258" t="n">
        <v>6</v>
      </c>
      <c r="Q258" t="n">
        <v>5</v>
      </c>
      <c r="R258" t="n">
        <v>3</v>
      </c>
      <c r="S258" t="n">
        <v>1945</v>
      </c>
      <c r="T258" t="s">
        <v>1581</v>
      </c>
      <c r="U258" t="s">
        <v>1582</v>
      </c>
      <c r="V258" t="s">
        <v>74</v>
      </c>
      <c r="W258"/>
      <c r="X258"/>
      <c r="Y258"/>
      <c r="Z258"/>
      <c r="AA258"/>
      <c r="AB258" t="s">
        <v>1583</v>
      </c>
      <c r="AC258" t="n">
        <v>149</v>
      </c>
      <c r="AD258"/>
      <c r="AE258"/>
      <c r="AF258" t="s">
        <v>1584</v>
      </c>
      <c r="AG258" t="n">
        <v>108</v>
      </c>
    </row>
    <row r="259">
      <c r="A259" t="s">
        <v>1585</v>
      </c>
      <c r="B259" t="s">
        <v>31</v>
      </c>
      <c r="C259" t="s">
        <v>65</v>
      </c>
      <c r="D259" t="s">
        <v>1586</v>
      </c>
      <c r="E259" t="s">
        <v>79</v>
      </c>
      <c r="F259" t="s">
        <v>1274</v>
      </c>
      <c r="G259" t="s">
        <v>1574</v>
      </c>
      <c r="H259" t="n">
        <v>39.7693701310338</v>
      </c>
      <c r="I259" t="n">
        <v>-104.974837095027</v>
      </c>
      <c r="J259" t="s">
        <v>35</v>
      </c>
      <c r="K259" t="s">
        <v>70</v>
      </c>
      <c r="L259"/>
      <c r="M259" t="n">
        <v>1966</v>
      </c>
      <c r="N259" t="n">
        <v>1970</v>
      </c>
      <c r="O259" t="s">
        <v>1587</v>
      </c>
      <c r="P259" t="n">
        <v>3</v>
      </c>
      <c r="Q259" t="n">
        <v>1</v>
      </c>
      <c r="R259" t="n">
        <v>1</v>
      </c>
      <c r="S259" t="n">
        <v>1957</v>
      </c>
      <c r="T259" t="s">
        <v>1588</v>
      </c>
      <c r="U259" t="s">
        <v>1589</v>
      </c>
      <c r="V259" t="s">
        <v>74</v>
      </c>
      <c r="W259"/>
      <c r="X259"/>
      <c r="Y259"/>
      <c r="Z259"/>
      <c r="AA259"/>
      <c r="AB259" t="s">
        <v>1590</v>
      </c>
      <c r="AC259" t="n">
        <v>101</v>
      </c>
      <c r="AD259" t="s">
        <v>1591</v>
      </c>
      <c r="AE259" t="n">
        <v>104</v>
      </c>
      <c r="AF259" t="s">
        <v>1592</v>
      </c>
      <c r="AG259" t="n">
        <v>131</v>
      </c>
    </row>
    <row r="260">
      <c r="A260" t="s">
        <v>1593</v>
      </c>
      <c r="B260" t="s">
        <v>31</v>
      </c>
      <c r="C260" t="s">
        <v>65</v>
      </c>
      <c r="D260" t="s">
        <v>1594</v>
      </c>
      <c r="E260" t="s">
        <v>79</v>
      </c>
      <c r="F260" t="s">
        <v>1274</v>
      </c>
      <c r="G260" t="s">
        <v>1440</v>
      </c>
      <c r="H260" t="n">
        <v>39.7560326531285</v>
      </c>
      <c r="I260" t="n">
        <v>-105.020947316145</v>
      </c>
      <c r="J260" t="s">
        <v>35</v>
      </c>
      <c r="K260" t="s">
        <v>70</v>
      </c>
      <c r="L260"/>
      <c r="M260" t="n">
        <v>1966</v>
      </c>
      <c r="N260" t="n">
        <v>1968</v>
      </c>
      <c r="O260" t="s">
        <v>388</v>
      </c>
      <c r="P260" t="n">
        <v>3</v>
      </c>
      <c r="Q260" t="n">
        <v>1</v>
      </c>
      <c r="R260" t="n">
        <v>1</v>
      </c>
      <c r="S260" t="n">
        <v>1890</v>
      </c>
      <c r="T260" t="s">
        <v>1595</v>
      </c>
      <c r="U260" t="s">
        <v>1596</v>
      </c>
      <c r="V260" t="s">
        <v>74</v>
      </c>
      <c r="W260"/>
      <c r="X260"/>
      <c r="Y260"/>
      <c r="Z260"/>
      <c r="AA260"/>
      <c r="AB260" t="s">
        <v>1597</v>
      </c>
      <c r="AC260" t="n">
        <v>245</v>
      </c>
      <c r="AD260"/>
      <c r="AE260"/>
      <c r="AF260" t="s">
        <v>1598</v>
      </c>
      <c r="AG260" t="n">
        <v>74</v>
      </c>
    </row>
    <row r="261">
      <c r="A261" t="s">
        <v>1599</v>
      </c>
      <c r="B261" t="s">
        <v>31</v>
      </c>
      <c r="C261" t="s">
        <v>65</v>
      </c>
      <c r="D261" t="s">
        <v>1600</v>
      </c>
      <c r="E261" t="s">
        <v>79</v>
      </c>
      <c r="F261" t="s">
        <v>1274</v>
      </c>
      <c r="G261" t="s">
        <v>1516</v>
      </c>
      <c r="H261" t="n">
        <v>39.7030126666667</v>
      </c>
      <c r="I261" t="n">
        <v>-104.992189333333</v>
      </c>
      <c r="J261" t="s">
        <v>35</v>
      </c>
      <c r="K261" t="s">
        <v>616</v>
      </c>
      <c r="L261"/>
      <c r="M261" t="n">
        <v>1966</v>
      </c>
      <c r="N261" t="n">
        <v>1974</v>
      </c>
      <c r="O261" t="s">
        <v>1601</v>
      </c>
      <c r="P261" t="n">
        <v>5</v>
      </c>
      <c r="Q261" t="n">
        <v>3</v>
      </c>
      <c r="R261" t="n">
        <v>3</v>
      </c>
      <c r="S261" t="n">
        <v>1958</v>
      </c>
      <c r="T261" t="s">
        <v>1602</v>
      </c>
      <c r="U261" t="s">
        <v>1603</v>
      </c>
      <c r="V261" t="s">
        <v>74</v>
      </c>
      <c r="W261"/>
      <c r="X261"/>
      <c r="Y261"/>
      <c r="Z261"/>
      <c r="AA261"/>
      <c r="AB261"/>
      <c r="AC261"/>
      <c r="AD261"/>
      <c r="AE261"/>
      <c r="AF261" t="s">
        <v>1604</v>
      </c>
      <c r="AG261" t="n">
        <v>130</v>
      </c>
    </row>
    <row r="262">
      <c r="A262" t="s">
        <v>1605</v>
      </c>
      <c r="B262" t="s">
        <v>31</v>
      </c>
      <c r="C262" t="s">
        <v>65</v>
      </c>
      <c r="D262" t="s">
        <v>1606</v>
      </c>
      <c r="E262" t="s">
        <v>79</v>
      </c>
      <c r="F262" t="s">
        <v>1274</v>
      </c>
      <c r="G262" t="s">
        <v>1569</v>
      </c>
      <c r="H262" t="n">
        <v>39.6884699317074</v>
      </c>
      <c r="I262" t="n">
        <v>-104.980431209542</v>
      </c>
      <c r="J262" t="s">
        <v>35</v>
      </c>
      <c r="K262" t="s">
        <v>533</v>
      </c>
      <c r="L262"/>
      <c r="M262" t="n">
        <v>1966</v>
      </c>
      <c r="N262" t="n">
        <v>1983</v>
      </c>
      <c r="O262" t="s">
        <v>1607</v>
      </c>
      <c r="P262" t="n">
        <v>6</v>
      </c>
      <c r="Q262" t="n">
        <v>2</v>
      </c>
      <c r="R262" t="n">
        <v>2</v>
      </c>
      <c r="S262" t="n">
        <v>1912</v>
      </c>
      <c r="T262" t="s">
        <v>1608</v>
      </c>
      <c r="U262" t="s">
        <v>1609</v>
      </c>
      <c r="V262" t="s">
        <v>74</v>
      </c>
      <c r="W262"/>
      <c r="X262"/>
      <c r="Y262"/>
      <c r="Z262"/>
      <c r="AA262"/>
      <c r="AB262"/>
      <c r="AC262"/>
      <c r="AD262"/>
      <c r="AE262"/>
      <c r="AF262" t="s">
        <v>1484</v>
      </c>
      <c r="AG262" t="n">
        <v>62</v>
      </c>
    </row>
    <row r="263">
      <c r="A263" t="s">
        <v>1610</v>
      </c>
      <c r="B263" t="s">
        <v>31</v>
      </c>
      <c r="C263" t="s">
        <v>65</v>
      </c>
      <c r="D263" t="s">
        <v>1611</v>
      </c>
      <c r="E263" t="s">
        <v>79</v>
      </c>
      <c r="F263" t="s">
        <v>1274</v>
      </c>
      <c r="G263" t="s">
        <v>1612</v>
      </c>
      <c r="H263" t="n">
        <v>39.7256091633038</v>
      </c>
      <c r="I263" t="n">
        <v>-104.977340943236</v>
      </c>
      <c r="J263" t="s">
        <v>35</v>
      </c>
      <c r="K263" t="s">
        <v>141</v>
      </c>
      <c r="L263"/>
      <c r="M263" t="n">
        <v>1966</v>
      </c>
      <c r="N263" t="n">
        <v>1974</v>
      </c>
      <c r="O263" t="s">
        <v>1613</v>
      </c>
      <c r="P263" t="n">
        <v>4</v>
      </c>
      <c r="Q263" t="n">
        <v>3</v>
      </c>
      <c r="R263" t="n">
        <v>2</v>
      </c>
      <c r="S263" t="n">
        <v>1936</v>
      </c>
      <c r="T263" t="s">
        <v>1614</v>
      </c>
      <c r="U263" t="s">
        <v>1615</v>
      </c>
      <c r="V263" t="s">
        <v>74</v>
      </c>
      <c r="W263"/>
      <c r="X263"/>
      <c r="Y263"/>
      <c r="Z263"/>
      <c r="AA263"/>
      <c r="AB263"/>
      <c r="AC263"/>
      <c r="AD263"/>
      <c r="AE263"/>
      <c r="AF263" t="s">
        <v>1616</v>
      </c>
      <c r="AG263" t="n">
        <v>196</v>
      </c>
    </row>
    <row r="264">
      <c r="A264" t="s">
        <v>1617</v>
      </c>
      <c r="B264" t="s">
        <v>31</v>
      </c>
      <c r="C264" t="s">
        <v>65</v>
      </c>
      <c r="D264" t="s">
        <v>1618</v>
      </c>
      <c r="E264" t="s">
        <v>79</v>
      </c>
      <c r="F264" t="s">
        <v>1274</v>
      </c>
      <c r="G264" t="s">
        <v>1540</v>
      </c>
      <c r="H264" t="n">
        <v>39.77048197675</v>
      </c>
      <c r="I264" t="n">
        <v>-105.056725806003</v>
      </c>
      <c r="J264" t="s">
        <v>35</v>
      </c>
      <c r="K264" t="s">
        <v>70</v>
      </c>
      <c r="L264"/>
      <c r="M264" t="n">
        <v>1966</v>
      </c>
      <c r="N264" t="n">
        <v>1983</v>
      </c>
      <c r="O264" t="s">
        <v>264</v>
      </c>
      <c r="P264" t="n">
        <v>7</v>
      </c>
      <c r="Q264" t="n">
        <v>1</v>
      </c>
      <c r="R264" t="n">
        <v>1</v>
      </c>
      <c r="S264" t="n">
        <v>1956</v>
      </c>
      <c r="T264" t="s">
        <v>1619</v>
      </c>
      <c r="U264" t="s">
        <v>1620</v>
      </c>
      <c r="V264" t="s">
        <v>74</v>
      </c>
      <c r="W264"/>
      <c r="X264"/>
      <c r="Y264"/>
      <c r="Z264"/>
      <c r="AA264"/>
      <c r="AB264"/>
      <c r="AC264"/>
      <c r="AD264"/>
      <c r="AE264"/>
      <c r="AF264" t="s">
        <v>1621</v>
      </c>
      <c r="AG264" t="n">
        <v>220</v>
      </c>
    </row>
    <row r="265">
      <c r="A265" t="s">
        <v>1622</v>
      </c>
      <c r="B265" t="s">
        <v>31</v>
      </c>
      <c r="C265" t="s">
        <v>65</v>
      </c>
      <c r="D265" t="s">
        <v>1623</v>
      </c>
      <c r="E265" t="s">
        <v>79</v>
      </c>
      <c r="F265" t="s">
        <v>1274</v>
      </c>
      <c r="G265" t="s">
        <v>1574</v>
      </c>
      <c r="H265" t="n">
        <v>39.7675777836802</v>
      </c>
      <c r="I265" t="n">
        <v>-104.977161134926</v>
      </c>
      <c r="J265" t="s">
        <v>35</v>
      </c>
      <c r="K265" t="s">
        <v>533</v>
      </c>
      <c r="L265"/>
      <c r="M265" t="n">
        <v>1966</v>
      </c>
      <c r="N265" t="n">
        <v>1990</v>
      </c>
      <c r="O265" t="s">
        <v>1624</v>
      </c>
      <c r="P265" t="n">
        <v>6</v>
      </c>
      <c r="Q265" t="n">
        <v>6</v>
      </c>
      <c r="R265" t="n">
        <v>4</v>
      </c>
      <c r="S265" t="n">
        <v>1944</v>
      </c>
      <c r="T265" t="s">
        <v>1625</v>
      </c>
      <c r="U265" t="s">
        <v>1626</v>
      </c>
      <c r="V265" t="s">
        <v>74</v>
      </c>
      <c r="W265"/>
      <c r="X265"/>
      <c r="Y265"/>
      <c r="Z265"/>
      <c r="AA265"/>
      <c r="AB265" t="s">
        <v>1627</v>
      </c>
      <c r="AC265" t="n">
        <v>120</v>
      </c>
      <c r="AD265" t="s">
        <v>1591</v>
      </c>
      <c r="AE265" t="n">
        <v>177</v>
      </c>
      <c r="AF265" t="s">
        <v>1628</v>
      </c>
      <c r="AG265" t="n">
        <v>108</v>
      </c>
    </row>
    <row r="266">
      <c r="A266" t="s">
        <v>1629</v>
      </c>
      <c r="B266" t="s">
        <v>31</v>
      </c>
      <c r="C266" t="s">
        <v>65</v>
      </c>
      <c r="D266" t="s">
        <v>1630</v>
      </c>
      <c r="E266" t="s">
        <v>79</v>
      </c>
      <c r="F266" t="s">
        <v>1274</v>
      </c>
      <c r="G266" t="s">
        <v>1555</v>
      </c>
      <c r="H266" t="n">
        <v>39.7499160565486</v>
      </c>
      <c r="I266" t="n">
        <v>-105.007112158075</v>
      </c>
      <c r="J266" t="s">
        <v>35</v>
      </c>
      <c r="K266" t="s">
        <v>89</v>
      </c>
      <c r="L266"/>
      <c r="M266" t="n">
        <v>1967</v>
      </c>
      <c r="N266" t="n">
        <v>1980</v>
      </c>
      <c r="O266" t="s">
        <v>1631</v>
      </c>
      <c r="P266" t="n">
        <v>6</v>
      </c>
      <c r="Q266" t="n">
        <v>2</v>
      </c>
      <c r="R266" t="n">
        <v>2</v>
      </c>
      <c r="S266" t="n">
        <v>1869</v>
      </c>
      <c r="T266" t="s">
        <v>1632</v>
      </c>
      <c r="U266" t="s">
        <v>1633</v>
      </c>
      <c r="V266" t="s">
        <v>74</v>
      </c>
      <c r="W266"/>
      <c r="X266"/>
      <c r="Y266"/>
      <c r="Z266"/>
      <c r="AA266"/>
      <c r="AB266" t="s">
        <v>1634</v>
      </c>
      <c r="AC266" t="n">
        <v>222</v>
      </c>
      <c r="AD266"/>
      <c r="AE266"/>
      <c r="AF266" t="s">
        <v>1635</v>
      </c>
      <c r="AG266" t="n">
        <v>205</v>
      </c>
    </row>
    <row r="267">
      <c r="A267" t="s">
        <v>1636</v>
      </c>
      <c r="B267" t="s">
        <v>31</v>
      </c>
      <c r="C267" t="s">
        <v>65</v>
      </c>
      <c r="D267" t="s">
        <v>1637</v>
      </c>
      <c r="E267" t="s">
        <v>79</v>
      </c>
      <c r="F267" t="s">
        <v>1274</v>
      </c>
      <c r="G267" t="s">
        <v>1638</v>
      </c>
      <c r="H267" t="n">
        <v>39.7600658214947</v>
      </c>
      <c r="I267" t="n">
        <v>-105.003789199002</v>
      </c>
      <c r="J267" t="s">
        <v>35</v>
      </c>
      <c r="K267" t="s">
        <v>1639</v>
      </c>
      <c r="L267"/>
      <c r="M267" t="n">
        <v>1967</v>
      </c>
      <c r="N267" t="n">
        <v>1980</v>
      </c>
      <c r="O267" t="s">
        <v>1640</v>
      </c>
      <c r="P267" t="n">
        <v>4</v>
      </c>
      <c r="Q267" t="n">
        <v>2</v>
      </c>
      <c r="R267" t="n">
        <v>2</v>
      </c>
      <c r="S267" t="n">
        <v>1908</v>
      </c>
      <c r="T267" t="s">
        <v>1641</v>
      </c>
      <c r="U267" t="s">
        <v>1642</v>
      </c>
      <c r="V267" t="s">
        <v>74</v>
      </c>
      <c r="W267"/>
      <c r="X267"/>
      <c r="Y267"/>
      <c r="Z267"/>
      <c r="AA267"/>
      <c r="AB267" t="s">
        <v>1552</v>
      </c>
      <c r="AC267" t="n">
        <v>173</v>
      </c>
      <c r="AD267"/>
      <c r="AE267"/>
      <c r="AF267" t="s">
        <v>1419</v>
      </c>
      <c r="AG267" t="n">
        <v>171</v>
      </c>
    </row>
    <row r="268">
      <c r="A268" t="s">
        <v>1643</v>
      </c>
      <c r="B268" t="s">
        <v>31</v>
      </c>
      <c r="C268" t="s">
        <v>65</v>
      </c>
      <c r="D268" t="s">
        <v>1644</v>
      </c>
      <c r="E268" t="s">
        <v>79</v>
      </c>
      <c r="F268" t="s">
        <v>1274</v>
      </c>
      <c r="G268" t="s">
        <v>1555</v>
      </c>
      <c r="H268" t="n">
        <v>39.733677</v>
      </c>
      <c r="I268" t="n">
        <v>-104.997642183836</v>
      </c>
      <c r="J268" t="s">
        <v>35</v>
      </c>
      <c r="K268" t="s">
        <v>89</v>
      </c>
      <c r="L268"/>
      <c r="M268" t="n">
        <v>1967</v>
      </c>
      <c r="N268" t="n">
        <v>1974</v>
      </c>
      <c r="O268" t="s">
        <v>1645</v>
      </c>
      <c r="P268" t="n">
        <v>3</v>
      </c>
      <c r="Q268" t="n">
        <v>2</v>
      </c>
      <c r="R268" t="n">
        <v>2</v>
      </c>
      <c r="S268"/>
      <c r="T268" t="s">
        <v>1646</v>
      </c>
      <c r="U268" t="s">
        <v>1647</v>
      </c>
      <c r="V268" t="s">
        <v>74</v>
      </c>
      <c r="W268"/>
      <c r="X268"/>
      <c r="Y268"/>
      <c r="Z268"/>
      <c r="AA268"/>
      <c r="AB268" t="s">
        <v>1648</v>
      </c>
      <c r="AC268" t="n">
        <v>117</v>
      </c>
      <c r="AD268" t="s">
        <v>1649</v>
      </c>
      <c r="AE268" t="n">
        <v>136</v>
      </c>
      <c r="AF268" t="s">
        <v>1650</v>
      </c>
      <c r="AG268" t="n">
        <v>104</v>
      </c>
    </row>
    <row r="269">
      <c r="A269" t="s">
        <v>1651</v>
      </c>
      <c r="B269" t="s">
        <v>31</v>
      </c>
      <c r="C269" t="s">
        <v>65</v>
      </c>
      <c r="D269" t="s">
        <v>1652</v>
      </c>
      <c r="E269" t="s">
        <v>79</v>
      </c>
      <c r="F269" t="s">
        <v>1274</v>
      </c>
      <c r="G269" t="s">
        <v>1653</v>
      </c>
      <c r="H269" t="n">
        <v>39.7804773820576</v>
      </c>
      <c r="I269" t="n">
        <v>-104.934005752285</v>
      </c>
      <c r="J269" t="s">
        <v>35</v>
      </c>
      <c r="K269" t="s">
        <v>527</v>
      </c>
      <c r="L269"/>
      <c r="M269" t="n">
        <v>1967</v>
      </c>
      <c r="N269" t="n">
        <v>1990</v>
      </c>
      <c r="O269" t="s">
        <v>1654</v>
      </c>
      <c r="P269" t="n">
        <v>6</v>
      </c>
      <c r="Q269" t="n">
        <v>4</v>
      </c>
      <c r="R269" t="n">
        <v>3</v>
      </c>
      <c r="S269" t="n">
        <v>1958</v>
      </c>
      <c r="T269" t="s">
        <v>1655</v>
      </c>
      <c r="U269" t="s">
        <v>1656</v>
      </c>
      <c r="V269" t="s">
        <v>74</v>
      </c>
      <c r="W269"/>
      <c r="X269"/>
      <c r="Y269"/>
      <c r="Z269"/>
      <c r="AA269"/>
      <c r="AB269" t="s">
        <v>1657</v>
      </c>
      <c r="AC269" t="n">
        <v>232</v>
      </c>
      <c r="AD269" t="s">
        <v>1658</v>
      </c>
      <c r="AE269" t="n">
        <v>117</v>
      </c>
      <c r="AF269" t="s">
        <v>1659</v>
      </c>
      <c r="AG269" t="n">
        <v>88</v>
      </c>
    </row>
    <row r="270">
      <c r="A270" t="s">
        <v>1660</v>
      </c>
      <c r="B270" t="s">
        <v>31</v>
      </c>
      <c r="C270" t="s">
        <v>65</v>
      </c>
      <c r="D270" t="s">
        <v>1661</v>
      </c>
      <c r="E270" t="s">
        <v>79</v>
      </c>
      <c r="F270" t="s">
        <v>1274</v>
      </c>
      <c r="G270" t="s">
        <v>1516</v>
      </c>
      <c r="H270" t="n">
        <v>39.669486</v>
      </c>
      <c r="I270" t="n">
        <v>-104.989971</v>
      </c>
      <c r="J270" t="s">
        <v>35</v>
      </c>
      <c r="K270" t="s">
        <v>141</v>
      </c>
      <c r="L270"/>
      <c r="M270" t="n">
        <v>1967</v>
      </c>
      <c r="N270" t="n">
        <v>1967</v>
      </c>
      <c r="O270" t="s">
        <v>388</v>
      </c>
      <c r="P270" t="n">
        <v>1</v>
      </c>
      <c r="Q270" t="n">
        <v>1</v>
      </c>
      <c r="R270" t="n">
        <v>1</v>
      </c>
      <c r="S270" t="n">
        <v>1956</v>
      </c>
      <c r="T270" t="s">
        <v>1662</v>
      </c>
      <c r="U270" t="s">
        <v>1663</v>
      </c>
      <c r="V270" t="s">
        <v>74</v>
      </c>
      <c r="W270"/>
      <c r="X270"/>
      <c r="Y270"/>
      <c r="Z270"/>
      <c r="AA270"/>
      <c r="AB270"/>
      <c r="AC270"/>
      <c r="AD270" t="s">
        <v>1664</v>
      </c>
      <c r="AE270" t="n">
        <v>246</v>
      </c>
      <c r="AF270" t="s">
        <v>1665</v>
      </c>
      <c r="AG270" t="n">
        <v>170</v>
      </c>
    </row>
    <row r="271">
      <c r="A271" t="s">
        <v>1666</v>
      </c>
      <c r="B271" t="s">
        <v>31</v>
      </c>
      <c r="C271" t="s">
        <v>65</v>
      </c>
      <c r="D271" t="s">
        <v>1667</v>
      </c>
      <c r="E271" t="s">
        <v>79</v>
      </c>
      <c r="F271" t="s">
        <v>1274</v>
      </c>
      <c r="G271" t="s">
        <v>1574</v>
      </c>
      <c r="H271" t="n">
        <v>39.755233</v>
      </c>
      <c r="I271" t="n">
        <v>-104.993136</v>
      </c>
      <c r="J271" t="s">
        <v>35</v>
      </c>
      <c r="K271" t="s">
        <v>120</v>
      </c>
      <c r="L271"/>
      <c r="M271" t="n">
        <v>1967</v>
      </c>
      <c r="N271" t="n">
        <v>1988</v>
      </c>
      <c r="O271" t="s">
        <v>1668</v>
      </c>
      <c r="P271" t="n">
        <v>6</v>
      </c>
      <c r="Q271" t="n">
        <v>4</v>
      </c>
      <c r="R271" t="n">
        <v>2</v>
      </c>
      <c r="S271" t="n">
        <v>1955</v>
      </c>
      <c r="T271" t="s">
        <v>1669</v>
      </c>
      <c r="U271" t="s">
        <v>1670</v>
      </c>
      <c r="V271" t="s">
        <v>74</v>
      </c>
      <c r="W271"/>
      <c r="X271"/>
      <c r="Y271"/>
      <c r="Z271"/>
      <c r="AA271"/>
      <c r="AB271" t="s">
        <v>1671</v>
      </c>
      <c r="AC271" t="n">
        <v>117</v>
      </c>
      <c r="AD271"/>
      <c r="AE271"/>
      <c r="AF271" t="s">
        <v>1672</v>
      </c>
      <c r="AG271" t="n">
        <v>56</v>
      </c>
    </row>
    <row r="272">
      <c r="A272" t="s">
        <v>1673</v>
      </c>
      <c r="B272" t="s">
        <v>31</v>
      </c>
      <c r="C272" t="s">
        <v>65</v>
      </c>
      <c r="D272" t="s">
        <v>1674</v>
      </c>
      <c r="E272" t="s">
        <v>79</v>
      </c>
      <c r="F272" t="s">
        <v>1274</v>
      </c>
      <c r="G272" t="s">
        <v>1440</v>
      </c>
      <c r="H272" t="n">
        <v>39.756144</v>
      </c>
      <c r="I272" t="n">
        <v>-105.014881</v>
      </c>
      <c r="J272" t="s">
        <v>35</v>
      </c>
      <c r="K272" t="s">
        <v>133</v>
      </c>
      <c r="L272"/>
      <c r="M272" t="n">
        <v>1967</v>
      </c>
      <c r="N272" t="n">
        <v>1967</v>
      </c>
      <c r="O272" t="s">
        <v>388</v>
      </c>
      <c r="P272" t="n">
        <v>1</v>
      </c>
      <c r="Q272" t="n">
        <v>1</v>
      </c>
      <c r="R272" t="n">
        <v>1</v>
      </c>
      <c r="S272" t="n">
        <v>1947</v>
      </c>
      <c r="T272" t="s">
        <v>1675</v>
      </c>
      <c r="U272" t="s">
        <v>1676</v>
      </c>
      <c r="V272" t="s">
        <v>74</v>
      </c>
      <c r="W272"/>
      <c r="X272"/>
      <c r="Y272"/>
      <c r="Z272"/>
      <c r="AA272"/>
      <c r="AB272"/>
      <c r="AC272"/>
      <c r="AD272"/>
      <c r="AE272"/>
      <c r="AF272" t="s">
        <v>1677</v>
      </c>
      <c r="AG272" t="n">
        <v>203</v>
      </c>
    </row>
    <row r="273">
      <c r="A273" t="s">
        <v>1678</v>
      </c>
      <c r="B273" t="s">
        <v>31</v>
      </c>
      <c r="C273" t="s">
        <v>65</v>
      </c>
      <c r="D273" t="s">
        <v>1679</v>
      </c>
      <c r="E273" t="s">
        <v>79</v>
      </c>
      <c r="F273" t="s">
        <v>1274</v>
      </c>
      <c r="G273" t="s">
        <v>1569</v>
      </c>
      <c r="H273" t="n">
        <v>39.6611329753243</v>
      </c>
      <c r="I273" t="n">
        <v>-105.018000496633</v>
      </c>
      <c r="J273" t="s">
        <v>35</v>
      </c>
      <c r="K273" t="s">
        <v>315</v>
      </c>
      <c r="L273"/>
      <c r="M273" t="n">
        <v>1967</v>
      </c>
      <c r="N273" t="n">
        <v>1970</v>
      </c>
      <c r="O273" t="s">
        <v>1349</v>
      </c>
      <c r="P273" t="n">
        <v>3</v>
      </c>
      <c r="Q273" t="n">
        <v>1</v>
      </c>
      <c r="R273" t="n">
        <v>1</v>
      </c>
      <c r="S273" t="n">
        <v>1950</v>
      </c>
      <c r="T273" t="s">
        <v>1680</v>
      </c>
      <c r="U273" t="s">
        <v>1681</v>
      </c>
      <c r="V273" t="s">
        <v>74</v>
      </c>
      <c r="W273"/>
      <c r="X273"/>
      <c r="Y273"/>
      <c r="Z273"/>
      <c r="AA273"/>
      <c r="AB273"/>
      <c r="AC273"/>
      <c r="AD273"/>
      <c r="AE273"/>
      <c r="AF273" t="s">
        <v>1682</v>
      </c>
      <c r="AG273" t="n">
        <v>201</v>
      </c>
    </row>
    <row r="274">
      <c r="A274" t="s">
        <v>1683</v>
      </c>
      <c r="B274" t="s">
        <v>31</v>
      </c>
      <c r="C274" t="s">
        <v>65</v>
      </c>
      <c r="D274" t="s">
        <v>1684</v>
      </c>
      <c r="E274" t="s">
        <v>79</v>
      </c>
      <c r="F274" t="s">
        <v>1274</v>
      </c>
      <c r="G274" t="s">
        <v>1516</v>
      </c>
      <c r="H274" t="n">
        <v>39.715573428334</v>
      </c>
      <c r="I274" t="n">
        <v>-104.992169</v>
      </c>
      <c r="J274" t="s">
        <v>35</v>
      </c>
      <c r="K274" t="s">
        <v>70</v>
      </c>
      <c r="L274"/>
      <c r="M274" t="n">
        <v>1967</v>
      </c>
      <c r="N274" t="n">
        <v>1967</v>
      </c>
      <c r="O274" t="s">
        <v>388</v>
      </c>
      <c r="P274" t="n">
        <v>1</v>
      </c>
      <c r="Q274" t="n">
        <v>1</v>
      </c>
      <c r="R274" t="n">
        <v>1</v>
      </c>
      <c r="S274" t="n">
        <v>1947</v>
      </c>
      <c r="T274" t="s">
        <v>1685</v>
      </c>
      <c r="U274" t="s">
        <v>1686</v>
      </c>
      <c r="V274" t="s">
        <v>74</v>
      </c>
      <c r="W274"/>
      <c r="X274"/>
      <c r="Y274"/>
      <c r="Z274"/>
      <c r="AA274"/>
      <c r="AB274" t="s">
        <v>1687</v>
      </c>
      <c r="AC274" t="n">
        <v>113</v>
      </c>
      <c r="AD274"/>
      <c r="AE274"/>
      <c r="AF274" t="s">
        <v>1688</v>
      </c>
      <c r="AG274" t="n">
        <v>146</v>
      </c>
    </row>
    <row r="275">
      <c r="A275" t="s">
        <v>1689</v>
      </c>
      <c r="B275" t="s">
        <v>31</v>
      </c>
      <c r="C275" t="s">
        <v>65</v>
      </c>
      <c r="D275" t="s">
        <v>1690</v>
      </c>
      <c r="E275" t="s">
        <v>79</v>
      </c>
      <c r="F275" t="s">
        <v>1274</v>
      </c>
      <c r="G275" t="s">
        <v>1691</v>
      </c>
      <c r="H275" t="n">
        <v>39.709453100893</v>
      </c>
      <c r="I275" t="n">
        <v>-104.921130859552</v>
      </c>
      <c r="J275" t="s">
        <v>35</v>
      </c>
      <c r="K275" t="s">
        <v>527</v>
      </c>
      <c r="L275"/>
      <c r="M275" t="n">
        <v>1968</v>
      </c>
      <c r="N275" t="n">
        <v>1974</v>
      </c>
      <c r="O275" t="s">
        <v>127</v>
      </c>
      <c r="P275" t="n">
        <v>3</v>
      </c>
      <c r="Q275" t="n">
        <v>1</v>
      </c>
      <c r="R275" t="n">
        <v>1</v>
      </c>
      <c r="S275" t="n">
        <v>1957</v>
      </c>
      <c r="T275" t="s">
        <v>1692</v>
      </c>
      <c r="U275" t="s">
        <v>1693</v>
      </c>
      <c r="V275" t="s">
        <v>74</v>
      </c>
      <c r="W275"/>
      <c r="X275"/>
      <c r="Y275"/>
      <c r="Z275"/>
      <c r="AA275"/>
      <c r="AB275"/>
      <c r="AC275"/>
      <c r="AD275"/>
      <c r="AE275"/>
      <c r="AF275" t="s">
        <v>1694</v>
      </c>
      <c r="AG275" t="n">
        <v>151</v>
      </c>
    </row>
    <row r="276">
      <c r="A276" t="s">
        <v>1695</v>
      </c>
      <c r="B276" t="s">
        <v>31</v>
      </c>
      <c r="C276" t="s">
        <v>65</v>
      </c>
      <c r="D276" t="s">
        <v>1696</v>
      </c>
      <c r="E276" t="s">
        <v>79</v>
      </c>
      <c r="F276" t="s">
        <v>1274</v>
      </c>
      <c r="G276" t="s">
        <v>1691</v>
      </c>
      <c r="H276" t="n">
        <v>39.6784527964894</v>
      </c>
      <c r="I276" t="n">
        <v>-104.936304817349</v>
      </c>
      <c r="J276" t="s">
        <v>35</v>
      </c>
      <c r="K276" t="s">
        <v>70</v>
      </c>
      <c r="L276"/>
      <c r="M276" t="n">
        <v>1968</v>
      </c>
      <c r="N276" t="n">
        <v>1973</v>
      </c>
      <c r="O276" t="s">
        <v>1349</v>
      </c>
      <c r="P276" t="n">
        <v>2</v>
      </c>
      <c r="Q276" t="n">
        <v>2</v>
      </c>
      <c r="R276" t="n">
        <v>1</v>
      </c>
      <c r="S276" t="n">
        <v>1950</v>
      </c>
      <c r="T276" t="s">
        <v>1697</v>
      </c>
      <c r="U276" t="s">
        <v>1698</v>
      </c>
      <c r="V276" t="s">
        <v>74</v>
      </c>
      <c r="W276"/>
      <c r="X276"/>
      <c r="Y276"/>
      <c r="Z276"/>
      <c r="AA276"/>
      <c r="AB276"/>
      <c r="AC276"/>
      <c r="AD276"/>
      <c r="AE276"/>
      <c r="AF276" t="s">
        <v>1699</v>
      </c>
      <c r="AG276" t="n">
        <v>48</v>
      </c>
    </row>
    <row r="277">
      <c r="A277" t="s">
        <v>1700</v>
      </c>
      <c r="B277" t="s">
        <v>31</v>
      </c>
      <c r="C277" t="s">
        <v>65</v>
      </c>
      <c r="D277" t="s">
        <v>1701</v>
      </c>
      <c r="E277" t="s">
        <v>79</v>
      </c>
      <c r="F277" t="s">
        <v>1274</v>
      </c>
      <c r="G277" t="s">
        <v>1702</v>
      </c>
      <c r="H277" t="n">
        <v>39.7822049294657</v>
      </c>
      <c r="I277" t="n">
        <v>-104.86328174929</v>
      </c>
      <c r="J277" t="s">
        <v>35</v>
      </c>
      <c r="K277" t="s">
        <v>126</v>
      </c>
      <c r="L277"/>
      <c r="M277" t="n">
        <v>1968</v>
      </c>
      <c r="N277" t="n">
        <v>1983</v>
      </c>
      <c r="O277" t="s">
        <v>1703</v>
      </c>
      <c r="P277" t="n">
        <v>4</v>
      </c>
      <c r="Q277" t="n">
        <v>3</v>
      </c>
      <c r="R277" t="n">
        <v>3</v>
      </c>
      <c r="S277" t="n">
        <v>1959</v>
      </c>
      <c r="T277" t="s">
        <v>1704</v>
      </c>
      <c r="U277" t="s">
        <v>1705</v>
      </c>
      <c r="V277" t="s">
        <v>74</v>
      </c>
      <c r="W277"/>
      <c r="X277"/>
      <c r="Y277"/>
      <c r="Z277"/>
      <c r="AA277"/>
      <c r="AB277"/>
      <c r="AC277"/>
      <c r="AD277"/>
      <c r="AE277"/>
      <c r="AF277" t="s">
        <v>1706</v>
      </c>
      <c r="AG277" t="n">
        <v>88</v>
      </c>
    </row>
    <row r="278">
      <c r="A278" t="s">
        <v>1707</v>
      </c>
      <c r="B278" t="s">
        <v>31</v>
      </c>
      <c r="C278" t="s">
        <v>65</v>
      </c>
      <c r="D278" t="s">
        <v>1708</v>
      </c>
      <c r="E278" t="s">
        <v>79</v>
      </c>
      <c r="F278" t="s">
        <v>1274</v>
      </c>
      <c r="G278" t="s">
        <v>1574</v>
      </c>
      <c r="H278" t="n">
        <v>39.7633128214084</v>
      </c>
      <c r="I278" t="n">
        <v>-104.97917220886</v>
      </c>
      <c r="J278" t="s">
        <v>35</v>
      </c>
      <c r="K278" t="s">
        <v>89</v>
      </c>
      <c r="L278"/>
      <c r="M278" t="n">
        <v>1968</v>
      </c>
      <c r="N278" t="n">
        <v>1990</v>
      </c>
      <c r="O278" t="s">
        <v>1349</v>
      </c>
      <c r="P278" t="n">
        <v>4</v>
      </c>
      <c r="Q278" t="n">
        <v>3</v>
      </c>
      <c r="R278" t="n">
        <v>1</v>
      </c>
      <c r="S278" t="n">
        <v>1940</v>
      </c>
      <c r="T278" t="s">
        <v>1709</v>
      </c>
      <c r="U278" t="s">
        <v>1710</v>
      </c>
      <c r="V278" t="s">
        <v>74</v>
      </c>
      <c r="W278"/>
      <c r="X278"/>
      <c r="Y278"/>
      <c r="Z278"/>
      <c r="AA278"/>
      <c r="AB278" t="s">
        <v>1711</v>
      </c>
      <c r="AC278" t="n">
        <v>143</v>
      </c>
      <c r="AD278" t="s">
        <v>1712</v>
      </c>
      <c r="AE278" t="n">
        <v>155</v>
      </c>
      <c r="AF278" t="s">
        <v>1713</v>
      </c>
      <c r="AG278" t="n">
        <v>120</v>
      </c>
    </row>
    <row r="279">
      <c r="A279" t="s">
        <v>1714</v>
      </c>
      <c r="B279" t="s">
        <v>31</v>
      </c>
      <c r="C279" t="s">
        <v>65</v>
      </c>
      <c r="D279" t="s">
        <v>1715</v>
      </c>
      <c r="E279" t="s">
        <v>79</v>
      </c>
      <c r="F279" t="s">
        <v>1274</v>
      </c>
      <c r="G279" t="s">
        <v>1653</v>
      </c>
      <c r="H279" t="n">
        <v>39.774478</v>
      </c>
      <c r="I279" t="n">
        <v>-104.917609</v>
      </c>
      <c r="J279" t="s">
        <v>35</v>
      </c>
      <c r="K279" t="s">
        <v>141</v>
      </c>
      <c r="L279"/>
      <c r="M279" t="n">
        <v>1968</v>
      </c>
      <c r="N279" t="n">
        <v>1990</v>
      </c>
      <c r="O279" t="s">
        <v>1716</v>
      </c>
      <c r="P279" t="n">
        <v>8</v>
      </c>
      <c r="Q279" t="n">
        <v>6</v>
      </c>
      <c r="R279" t="n">
        <v>3</v>
      </c>
      <c r="S279" t="n">
        <v>1930</v>
      </c>
      <c r="T279" t="s">
        <v>1717</v>
      </c>
      <c r="U279" t="s">
        <v>1718</v>
      </c>
      <c r="V279" t="s">
        <v>74</v>
      </c>
      <c r="W279"/>
      <c r="X279"/>
      <c r="Y279"/>
      <c r="Z279"/>
      <c r="AA279"/>
      <c r="AB279"/>
      <c r="AC279"/>
      <c r="AD279"/>
      <c r="AE279"/>
      <c r="AF279" t="s">
        <v>1719</v>
      </c>
      <c r="AG279" t="n">
        <v>132</v>
      </c>
    </row>
    <row r="280">
      <c r="A280" t="s">
        <v>1720</v>
      </c>
      <c r="B280" t="s">
        <v>31</v>
      </c>
      <c r="C280" t="s">
        <v>65</v>
      </c>
      <c r="D280" t="s">
        <v>1721</v>
      </c>
      <c r="E280" t="s">
        <v>79</v>
      </c>
      <c r="F280" t="s">
        <v>1274</v>
      </c>
      <c r="G280" t="s">
        <v>1691</v>
      </c>
      <c r="H280" t="n">
        <v>39.6852039591837</v>
      </c>
      <c r="I280" t="n">
        <v>-104.884097877551</v>
      </c>
      <c r="J280" t="s">
        <v>35</v>
      </c>
      <c r="K280" t="s">
        <v>141</v>
      </c>
      <c r="L280"/>
      <c r="M280" t="n">
        <v>1968</v>
      </c>
      <c r="N280" t="n">
        <v>1970</v>
      </c>
      <c r="O280" t="s">
        <v>1587</v>
      </c>
      <c r="P280" t="n">
        <v>2</v>
      </c>
      <c r="Q280" t="n">
        <v>2</v>
      </c>
      <c r="R280" t="n">
        <v>2</v>
      </c>
      <c r="S280" t="n">
        <v>1964</v>
      </c>
      <c r="T280" t="s">
        <v>1722</v>
      </c>
      <c r="U280" t="s">
        <v>1723</v>
      </c>
      <c r="V280" t="s">
        <v>74</v>
      </c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1724</v>
      </c>
      <c r="B281" t="s">
        <v>31</v>
      </c>
      <c r="C281" t="s">
        <v>65</v>
      </c>
      <c r="D281" t="s">
        <v>1725</v>
      </c>
      <c r="E281" t="s">
        <v>79</v>
      </c>
      <c r="F281" t="s">
        <v>1274</v>
      </c>
      <c r="G281" t="s">
        <v>1653</v>
      </c>
      <c r="H281" t="n">
        <v>39.7786848587312</v>
      </c>
      <c r="I281" t="n">
        <v>-104.921791773156</v>
      </c>
      <c r="J281" t="s">
        <v>35</v>
      </c>
      <c r="K281" t="s">
        <v>120</v>
      </c>
      <c r="L281"/>
      <c r="M281" t="n">
        <v>1968</v>
      </c>
      <c r="N281" t="n">
        <v>1983</v>
      </c>
      <c r="O281" t="s">
        <v>1726</v>
      </c>
      <c r="P281" t="n">
        <v>5</v>
      </c>
      <c r="Q281" t="n">
        <v>1</v>
      </c>
      <c r="R281" t="n">
        <v>1</v>
      </c>
      <c r="S281" t="n">
        <v>1967</v>
      </c>
      <c r="T281" t="s">
        <v>1727</v>
      </c>
      <c r="U281" t="s">
        <v>1728</v>
      </c>
      <c r="V281" t="s">
        <v>74</v>
      </c>
      <c r="W281"/>
      <c r="X281"/>
      <c r="Y281"/>
      <c r="Z281"/>
      <c r="AA281"/>
      <c r="AB281" t="s">
        <v>1729</v>
      </c>
      <c r="AC281" t="n">
        <v>144</v>
      </c>
      <c r="AD281" t="s">
        <v>1730</v>
      </c>
      <c r="AE281" t="n">
        <v>164</v>
      </c>
      <c r="AF281" t="s">
        <v>1731</v>
      </c>
      <c r="AG281" t="n">
        <v>48</v>
      </c>
    </row>
    <row r="282">
      <c r="A282" t="s">
        <v>1732</v>
      </c>
      <c r="B282" t="s">
        <v>31</v>
      </c>
      <c r="C282" t="s">
        <v>65</v>
      </c>
      <c r="D282" t="s">
        <v>1733</v>
      </c>
      <c r="E282" t="s">
        <v>79</v>
      </c>
      <c r="F282" t="s">
        <v>1274</v>
      </c>
      <c r="G282" t="s">
        <v>1516</v>
      </c>
      <c r="H282" t="n">
        <v>39.720926</v>
      </c>
      <c r="I282" t="n">
        <v>-105.000522</v>
      </c>
      <c r="J282" t="s">
        <v>35</v>
      </c>
      <c r="K282" t="s">
        <v>120</v>
      </c>
      <c r="L282"/>
      <c r="M282" t="n">
        <v>1968</v>
      </c>
      <c r="N282" t="n">
        <v>1968</v>
      </c>
      <c r="O282" t="s">
        <v>1349</v>
      </c>
      <c r="P282" t="n">
        <v>1</v>
      </c>
      <c r="Q282" t="n">
        <v>1</v>
      </c>
      <c r="R282" t="n">
        <v>1</v>
      </c>
      <c r="S282" t="n">
        <v>1929</v>
      </c>
      <c r="T282" t="s">
        <v>1734</v>
      </c>
      <c r="U282" t="s">
        <v>1735</v>
      </c>
      <c r="V282" t="s">
        <v>74</v>
      </c>
      <c r="W282"/>
      <c r="X282"/>
      <c r="Y282"/>
      <c r="Z282"/>
      <c r="AA282"/>
      <c r="AB282" t="s">
        <v>1736</v>
      </c>
      <c r="AC282" t="n">
        <v>179</v>
      </c>
      <c r="AD282"/>
      <c r="AE282"/>
      <c r="AF282" t="s">
        <v>1737</v>
      </c>
      <c r="AG282" t="n">
        <v>64</v>
      </c>
    </row>
    <row r="283">
      <c r="A283" t="s">
        <v>1738</v>
      </c>
      <c r="B283" t="s">
        <v>31</v>
      </c>
      <c r="C283" t="s">
        <v>65</v>
      </c>
      <c r="D283" t="s">
        <v>1739</v>
      </c>
      <c r="E283" t="s">
        <v>79</v>
      </c>
      <c r="F283" t="s">
        <v>1274</v>
      </c>
      <c r="G283" t="s">
        <v>1516</v>
      </c>
      <c r="H283" t="n">
        <v>39.7075692620552</v>
      </c>
      <c r="I283" t="n">
        <v>-105.005883738254</v>
      </c>
      <c r="J283" t="s">
        <v>35</v>
      </c>
      <c r="K283" t="s">
        <v>70</v>
      </c>
      <c r="L283"/>
      <c r="M283" t="n">
        <v>1968</v>
      </c>
      <c r="N283" t="n">
        <v>1968</v>
      </c>
      <c r="O283" t="s">
        <v>1349</v>
      </c>
      <c r="P283" t="n">
        <v>1</v>
      </c>
      <c r="Q283" t="n">
        <v>1</v>
      </c>
      <c r="R283" t="n">
        <v>1</v>
      </c>
      <c r="S283" t="n">
        <v>1946</v>
      </c>
      <c r="T283" t="s">
        <v>1740</v>
      </c>
      <c r="U283" t="s">
        <v>1741</v>
      </c>
      <c r="V283" t="s">
        <v>74</v>
      </c>
      <c r="W283"/>
      <c r="X283"/>
      <c r="Y283"/>
      <c r="Z283"/>
      <c r="AA283"/>
      <c r="AB283"/>
      <c r="AC283"/>
      <c r="AD283"/>
      <c r="AE283"/>
      <c r="AF283" t="s">
        <v>1742</v>
      </c>
      <c r="AG283" t="n">
        <v>152</v>
      </c>
    </row>
    <row r="284">
      <c r="A284" t="s">
        <v>1743</v>
      </c>
      <c r="B284" t="s">
        <v>31</v>
      </c>
      <c r="C284" t="s">
        <v>65</v>
      </c>
      <c r="D284" t="s">
        <v>1744</v>
      </c>
      <c r="E284" t="s">
        <v>79</v>
      </c>
      <c r="F284" t="s">
        <v>1274</v>
      </c>
      <c r="G284" t="s">
        <v>1509</v>
      </c>
      <c r="H284" t="n">
        <v>39.7483418554936</v>
      </c>
      <c r="I284" t="n">
        <v>-105.000245831972</v>
      </c>
      <c r="J284" t="s">
        <v>35</v>
      </c>
      <c r="K284" t="s">
        <v>70</v>
      </c>
      <c r="L284"/>
      <c r="M284" t="n">
        <v>1968</v>
      </c>
      <c r="N284" t="n">
        <v>1980</v>
      </c>
      <c r="O284" t="s">
        <v>1349</v>
      </c>
      <c r="P284" t="n">
        <v>3</v>
      </c>
      <c r="Q284" t="n">
        <v>3</v>
      </c>
      <c r="R284" t="n">
        <v>1</v>
      </c>
      <c r="S284" t="n">
        <v>1955</v>
      </c>
      <c r="T284" t="s">
        <v>1745</v>
      </c>
      <c r="U284" t="s">
        <v>1746</v>
      </c>
      <c r="V284" t="s">
        <v>74</v>
      </c>
      <c r="W284"/>
      <c r="X284"/>
      <c r="Y284"/>
      <c r="Z284"/>
      <c r="AA284"/>
      <c r="AB284" t="s">
        <v>1332</v>
      </c>
      <c r="AC284" t="n">
        <v>173</v>
      </c>
      <c r="AD284" t="s">
        <v>1333</v>
      </c>
      <c r="AE284" t="n">
        <v>186</v>
      </c>
      <c r="AF284" t="s">
        <v>1747</v>
      </c>
      <c r="AG284" t="n">
        <v>92</v>
      </c>
    </row>
    <row r="285">
      <c r="A285" t="s">
        <v>1748</v>
      </c>
      <c r="B285" t="s">
        <v>31</v>
      </c>
      <c r="C285" t="s">
        <v>65</v>
      </c>
      <c r="D285" t="s">
        <v>1749</v>
      </c>
      <c r="E285" t="s">
        <v>79</v>
      </c>
      <c r="F285" t="s">
        <v>1274</v>
      </c>
      <c r="G285" t="s">
        <v>1440</v>
      </c>
      <c r="H285" t="n">
        <v>39.7650678798532</v>
      </c>
      <c r="I285" t="n">
        <v>-105.001762458945</v>
      </c>
      <c r="J285" t="s">
        <v>35</v>
      </c>
      <c r="K285" t="s">
        <v>120</v>
      </c>
      <c r="L285"/>
      <c r="M285" t="n">
        <v>1968</v>
      </c>
      <c r="N285" t="n">
        <v>1968</v>
      </c>
      <c r="O285" t="s">
        <v>1349</v>
      </c>
      <c r="P285" t="n">
        <v>1</v>
      </c>
      <c r="Q285" t="n">
        <v>1</v>
      </c>
      <c r="R285" t="n">
        <v>1</v>
      </c>
      <c r="S285" t="n">
        <v>1965</v>
      </c>
      <c r="T285" t="s">
        <v>1750</v>
      </c>
      <c r="U285" t="s">
        <v>1751</v>
      </c>
      <c r="V285" t="s">
        <v>74</v>
      </c>
      <c r="W285"/>
      <c r="X285"/>
      <c r="Y285"/>
      <c r="Z285"/>
      <c r="AA285"/>
      <c r="AB285"/>
      <c r="AC285"/>
      <c r="AD285"/>
      <c r="AE285"/>
      <c r="AF285" t="s">
        <v>1752</v>
      </c>
      <c r="AG285" t="n">
        <v>209</v>
      </c>
    </row>
    <row r="286">
      <c r="A286" t="s">
        <v>1753</v>
      </c>
      <c r="B286" t="s">
        <v>31</v>
      </c>
      <c r="C286" t="s">
        <v>65</v>
      </c>
      <c r="D286" t="s">
        <v>1754</v>
      </c>
      <c r="E286" t="s">
        <v>79</v>
      </c>
      <c r="F286" t="s">
        <v>1274</v>
      </c>
      <c r="G286" t="s">
        <v>1555</v>
      </c>
      <c r="H286" t="n">
        <v>39.735292919937</v>
      </c>
      <c r="I286" t="n">
        <v>-104.996860687121</v>
      </c>
      <c r="J286" t="s">
        <v>35</v>
      </c>
      <c r="K286" t="s">
        <v>70</v>
      </c>
      <c r="L286"/>
      <c r="M286" t="n">
        <v>1968</v>
      </c>
      <c r="N286" t="n">
        <v>1990</v>
      </c>
      <c r="O286" t="s">
        <v>1349</v>
      </c>
      <c r="P286" t="n">
        <v>3</v>
      </c>
      <c r="Q286" t="n">
        <v>3</v>
      </c>
      <c r="R286" t="n">
        <v>1</v>
      </c>
      <c r="S286" t="n">
        <v>1981</v>
      </c>
      <c r="T286" t="s">
        <v>1755</v>
      </c>
      <c r="U286" t="s">
        <v>1756</v>
      </c>
      <c r="V286" t="s">
        <v>74</v>
      </c>
      <c r="W286"/>
      <c r="X286"/>
      <c r="Y286"/>
      <c r="Z286"/>
      <c r="AA286"/>
      <c r="AB286"/>
      <c r="AC286"/>
      <c r="AD286"/>
      <c r="AE286"/>
      <c r="AF286" t="s">
        <v>1757</v>
      </c>
      <c r="AG286" t="n">
        <v>166</v>
      </c>
    </row>
    <row r="287">
      <c r="A287" t="s">
        <v>1758</v>
      </c>
      <c r="B287" t="s">
        <v>31</v>
      </c>
      <c r="C287" t="s">
        <v>65</v>
      </c>
      <c r="D287" t="s">
        <v>1759</v>
      </c>
      <c r="E287" t="s">
        <v>79</v>
      </c>
      <c r="F287" t="s">
        <v>1274</v>
      </c>
      <c r="G287" t="s">
        <v>1516</v>
      </c>
      <c r="H287" t="n">
        <v>39.6799464693878</v>
      </c>
      <c r="I287" t="n">
        <v>-104.989958</v>
      </c>
      <c r="J287" t="s">
        <v>35</v>
      </c>
      <c r="K287" t="s">
        <v>315</v>
      </c>
      <c r="L287"/>
      <c r="M287" t="n">
        <v>1968</v>
      </c>
      <c r="N287" t="n">
        <v>1990</v>
      </c>
      <c r="O287" t="s">
        <v>271</v>
      </c>
      <c r="P287" t="n">
        <v>7</v>
      </c>
      <c r="Q287" t="n">
        <v>4</v>
      </c>
      <c r="R287" t="n">
        <v>2</v>
      </c>
      <c r="S287" t="n">
        <v>1952</v>
      </c>
      <c r="T287" t="s">
        <v>1760</v>
      </c>
      <c r="U287" t="s">
        <v>1761</v>
      </c>
      <c r="V287" t="s">
        <v>74</v>
      </c>
      <c r="W287"/>
      <c r="X287"/>
      <c r="Y287"/>
      <c r="Z287"/>
      <c r="AA287"/>
      <c r="AB287"/>
      <c r="AC287"/>
      <c r="AD287" t="s">
        <v>1431</v>
      </c>
      <c r="AE287" t="n">
        <v>188</v>
      </c>
      <c r="AF287" t="s">
        <v>1432</v>
      </c>
      <c r="AG287" t="n">
        <v>98</v>
      </c>
    </row>
    <row r="288">
      <c r="A288" t="s">
        <v>1762</v>
      </c>
      <c r="B288" t="s">
        <v>31</v>
      </c>
      <c r="C288" t="s">
        <v>65</v>
      </c>
      <c r="D288" t="s">
        <v>1763</v>
      </c>
      <c r="E288" t="s">
        <v>79</v>
      </c>
      <c r="F288" t="s">
        <v>1274</v>
      </c>
      <c r="G288" t="s">
        <v>1555</v>
      </c>
      <c r="H288" t="n">
        <v>39.7295111897255</v>
      </c>
      <c r="I288" t="n">
        <v>-104.988859</v>
      </c>
      <c r="J288" t="s">
        <v>35</v>
      </c>
      <c r="K288" t="s">
        <v>1041</v>
      </c>
      <c r="L288"/>
      <c r="M288" t="n">
        <v>1970</v>
      </c>
      <c r="N288" t="n">
        <v>1983</v>
      </c>
      <c r="O288" t="s">
        <v>726</v>
      </c>
      <c r="P288" t="n">
        <v>5</v>
      </c>
      <c r="Q288" t="n">
        <v>3</v>
      </c>
      <c r="R288" t="n">
        <v>1</v>
      </c>
      <c r="S288" t="n">
        <v>1958</v>
      </c>
      <c r="T288" t="s">
        <v>1764</v>
      </c>
      <c r="U288" t="s">
        <v>1765</v>
      </c>
      <c r="V288" t="s">
        <v>74</v>
      </c>
      <c r="W288"/>
      <c r="X288"/>
      <c r="Y288"/>
      <c r="Z288"/>
      <c r="AA288"/>
      <c r="AB288" t="s">
        <v>1766</v>
      </c>
      <c r="AC288" t="n">
        <v>136</v>
      </c>
      <c r="AD288"/>
      <c r="AE288"/>
      <c r="AF288" t="s">
        <v>1767</v>
      </c>
      <c r="AG288" t="n">
        <v>109</v>
      </c>
    </row>
    <row r="289">
      <c r="A289" t="s">
        <v>1768</v>
      </c>
      <c r="B289" t="s">
        <v>31</v>
      </c>
      <c r="C289" t="s">
        <v>65</v>
      </c>
      <c r="D289" t="s">
        <v>1769</v>
      </c>
      <c r="E289" t="s">
        <v>79</v>
      </c>
      <c r="F289" t="s">
        <v>1274</v>
      </c>
      <c r="G289" t="s">
        <v>1574</v>
      </c>
      <c r="H289" t="n">
        <v>39.753718687001</v>
      </c>
      <c r="I289" t="n">
        <v>-104.993333749281</v>
      </c>
      <c r="J289" t="s">
        <v>35</v>
      </c>
      <c r="K289" t="s">
        <v>133</v>
      </c>
      <c r="L289"/>
      <c r="M289" t="n">
        <v>1970</v>
      </c>
      <c r="N289" t="n">
        <v>1973</v>
      </c>
      <c r="O289" t="s">
        <v>121</v>
      </c>
      <c r="P289" t="n">
        <v>2</v>
      </c>
      <c r="Q289" t="n">
        <v>2</v>
      </c>
      <c r="R289" t="n">
        <v>1</v>
      </c>
      <c r="S289" t="n">
        <v>1954</v>
      </c>
      <c r="T289" t="s">
        <v>1770</v>
      </c>
      <c r="U289" t="s">
        <v>1771</v>
      </c>
      <c r="V289" t="s">
        <v>74</v>
      </c>
      <c r="W289"/>
      <c r="X289"/>
      <c r="Y289"/>
      <c r="Z289"/>
      <c r="AA289"/>
      <c r="AB289" t="s">
        <v>1671</v>
      </c>
      <c r="AC289" t="n">
        <v>192</v>
      </c>
      <c r="AD289"/>
      <c r="AE289"/>
      <c r="AF289" t="s">
        <v>1772</v>
      </c>
      <c r="AG289" t="n">
        <v>70</v>
      </c>
    </row>
    <row r="290">
      <c r="A290" t="s">
        <v>1773</v>
      </c>
      <c r="B290" t="s">
        <v>31</v>
      </c>
      <c r="C290" t="s">
        <v>65</v>
      </c>
      <c r="D290" t="s">
        <v>1774</v>
      </c>
      <c r="E290" t="s">
        <v>79</v>
      </c>
      <c r="F290" t="s">
        <v>1274</v>
      </c>
      <c r="G290" t="s">
        <v>1569</v>
      </c>
      <c r="H290" t="n">
        <v>39.6875056732304</v>
      </c>
      <c r="I290" t="n">
        <v>-104.980442610905</v>
      </c>
      <c r="J290" t="s">
        <v>35</v>
      </c>
      <c r="K290" t="s">
        <v>70</v>
      </c>
      <c r="L290"/>
      <c r="M290" t="n">
        <v>1970</v>
      </c>
      <c r="N290" t="n">
        <v>1970</v>
      </c>
      <c r="O290" t="s">
        <v>726</v>
      </c>
      <c r="P290" t="n">
        <v>1</v>
      </c>
      <c r="Q290" t="n">
        <v>1</v>
      </c>
      <c r="R290" t="n">
        <v>1</v>
      </c>
      <c r="S290" t="n">
        <v>1947</v>
      </c>
      <c r="T290" t="s">
        <v>1775</v>
      </c>
      <c r="U290" t="s">
        <v>1776</v>
      </c>
      <c r="V290" t="s">
        <v>74</v>
      </c>
      <c r="W290"/>
      <c r="X290"/>
      <c r="Y290"/>
      <c r="Z290"/>
      <c r="AA290"/>
      <c r="AB290"/>
      <c r="AC290"/>
      <c r="AD290"/>
      <c r="AE290"/>
      <c r="AF290" t="s">
        <v>1484</v>
      </c>
      <c r="AG290" t="n">
        <v>45</v>
      </c>
    </row>
    <row r="291">
      <c r="A291" t="s">
        <v>1777</v>
      </c>
      <c r="B291" t="s">
        <v>31</v>
      </c>
      <c r="C291" t="s">
        <v>65</v>
      </c>
      <c r="D291" t="s">
        <v>1778</v>
      </c>
      <c r="E291" t="s">
        <v>79</v>
      </c>
      <c r="F291" t="s">
        <v>1274</v>
      </c>
      <c r="G291" t="s">
        <v>1638</v>
      </c>
      <c r="H291" t="n">
        <v>39.7399275774341</v>
      </c>
      <c r="I291" t="n">
        <v>-105.015783546575</v>
      </c>
      <c r="J291" t="s">
        <v>35</v>
      </c>
      <c r="K291" t="s">
        <v>1282</v>
      </c>
      <c r="L291"/>
      <c r="M291" t="n">
        <v>1970</v>
      </c>
      <c r="N291" t="n">
        <v>1992</v>
      </c>
      <c r="O291" t="s">
        <v>1779</v>
      </c>
      <c r="P291" t="n">
        <v>7</v>
      </c>
      <c r="Q291" t="n">
        <v>4</v>
      </c>
      <c r="R291" t="n">
        <v>3</v>
      </c>
      <c r="S291" t="n">
        <v>1893</v>
      </c>
      <c r="T291" t="s">
        <v>1780</v>
      </c>
      <c r="U291" t="s">
        <v>1781</v>
      </c>
      <c r="V291" t="s">
        <v>74</v>
      </c>
      <c r="W291"/>
      <c r="X291"/>
      <c r="Y291"/>
      <c r="Z291"/>
      <c r="AA291"/>
      <c r="AB291" t="s">
        <v>1782</v>
      </c>
      <c r="AC291" t="n">
        <v>120</v>
      </c>
      <c r="AD291"/>
      <c r="AE291"/>
      <c r="AF291" t="s">
        <v>1783</v>
      </c>
      <c r="AG291" t="n">
        <v>101</v>
      </c>
    </row>
    <row r="292">
      <c r="A292" t="s">
        <v>1784</v>
      </c>
      <c r="B292" t="s">
        <v>31</v>
      </c>
      <c r="C292" t="s">
        <v>65</v>
      </c>
      <c r="D292" t="s">
        <v>1785</v>
      </c>
      <c r="E292" t="s">
        <v>79</v>
      </c>
      <c r="F292" t="s">
        <v>1274</v>
      </c>
      <c r="G292" t="s">
        <v>1653</v>
      </c>
      <c r="H292" t="n">
        <v>39.7843460408163</v>
      </c>
      <c r="I292" t="n">
        <v>-104.887988163265</v>
      </c>
      <c r="J292" t="s">
        <v>35</v>
      </c>
      <c r="K292" t="s">
        <v>1786</v>
      </c>
      <c r="L292"/>
      <c r="M292" t="n">
        <v>1970</v>
      </c>
      <c r="N292" t="n">
        <v>1970</v>
      </c>
      <c r="O292" t="s">
        <v>726</v>
      </c>
      <c r="P292" t="n">
        <v>1</v>
      </c>
      <c r="Q292" t="n">
        <v>1</v>
      </c>
      <c r="R292" t="n">
        <v>1</v>
      </c>
      <c r="S292" t="n">
        <v>1948</v>
      </c>
      <c r="T292" t="s">
        <v>1787</v>
      </c>
      <c r="U292" t="s">
        <v>1788</v>
      </c>
      <c r="V292" t="s">
        <v>74</v>
      </c>
      <c r="W292"/>
      <c r="X292"/>
      <c r="Y292"/>
      <c r="Z292"/>
      <c r="AA292"/>
      <c r="AB292"/>
      <c r="AC292"/>
      <c r="AD292"/>
      <c r="AE292"/>
      <c r="AF292" t="s">
        <v>1789</v>
      </c>
      <c r="AG292" t="n">
        <v>152</v>
      </c>
    </row>
    <row r="293">
      <c r="A293" t="s">
        <v>1790</v>
      </c>
      <c r="B293" t="s">
        <v>31</v>
      </c>
      <c r="C293" t="s">
        <v>65</v>
      </c>
      <c r="D293" t="s">
        <v>1791</v>
      </c>
      <c r="E293" t="s">
        <v>79</v>
      </c>
      <c r="F293" t="s">
        <v>1274</v>
      </c>
      <c r="G293" t="s">
        <v>1653</v>
      </c>
      <c r="H293" t="n">
        <v>39.7982660282661</v>
      </c>
      <c r="I293" t="n">
        <v>-104.989244382714</v>
      </c>
      <c r="J293" t="s">
        <v>35</v>
      </c>
      <c r="K293" t="s">
        <v>70</v>
      </c>
      <c r="L293"/>
      <c r="M293" t="n">
        <v>1973</v>
      </c>
      <c r="N293" t="n">
        <v>1983</v>
      </c>
      <c r="O293" t="s">
        <v>134</v>
      </c>
      <c r="P293" t="n">
        <v>4</v>
      </c>
      <c r="Q293" t="n">
        <v>3</v>
      </c>
      <c r="R293" t="n">
        <v>2</v>
      </c>
      <c r="S293" t="n">
        <v>1954</v>
      </c>
      <c r="T293" t="s">
        <v>1792</v>
      </c>
      <c r="U293" t="s">
        <v>1793</v>
      </c>
      <c r="V293" t="s">
        <v>74</v>
      </c>
      <c r="W293"/>
      <c r="X293"/>
      <c r="Y293"/>
      <c r="Z293"/>
      <c r="AA293"/>
      <c r="AB293"/>
      <c r="AC293"/>
      <c r="AD293" t="s">
        <v>1794</v>
      </c>
      <c r="AE293" t="n">
        <v>101</v>
      </c>
      <c r="AF293" t="s">
        <v>1795</v>
      </c>
      <c r="AG293" t="n">
        <v>79</v>
      </c>
    </row>
    <row r="294">
      <c r="A294" t="s">
        <v>1796</v>
      </c>
      <c r="B294" t="s">
        <v>31</v>
      </c>
      <c r="C294" t="s">
        <v>65</v>
      </c>
      <c r="D294" t="s">
        <v>1797</v>
      </c>
      <c r="E294" t="s">
        <v>79</v>
      </c>
      <c r="F294" t="s">
        <v>1274</v>
      </c>
      <c r="G294" t="s">
        <v>1691</v>
      </c>
      <c r="H294" t="n">
        <v>39.6874346325865</v>
      </c>
      <c r="I294" t="n">
        <v>-104.914059</v>
      </c>
      <c r="J294" t="s">
        <v>35</v>
      </c>
      <c r="K294" t="s">
        <v>133</v>
      </c>
      <c r="L294"/>
      <c r="M294" t="n">
        <v>1973</v>
      </c>
      <c r="N294" t="n">
        <v>1983</v>
      </c>
      <c r="O294" t="s">
        <v>528</v>
      </c>
      <c r="P294" t="n">
        <v>4</v>
      </c>
      <c r="Q294" t="n">
        <v>4</v>
      </c>
      <c r="R294" t="n">
        <v>2</v>
      </c>
      <c r="S294" t="n">
        <v>1970</v>
      </c>
      <c r="T294" t="s">
        <v>1798</v>
      </c>
      <c r="U294" t="s">
        <v>1799</v>
      </c>
      <c r="V294" t="s">
        <v>74</v>
      </c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1800</v>
      </c>
      <c r="B295" t="s">
        <v>31</v>
      </c>
      <c r="C295" t="s">
        <v>65</v>
      </c>
      <c r="D295" t="s">
        <v>1801</v>
      </c>
      <c r="E295" t="s">
        <v>79</v>
      </c>
      <c r="F295" t="s">
        <v>1274</v>
      </c>
      <c r="G295" t="s">
        <v>1516</v>
      </c>
      <c r="H295" t="n">
        <v>39.701603</v>
      </c>
      <c r="I295" t="n">
        <v>-105.001531</v>
      </c>
      <c r="J295" t="s">
        <v>35</v>
      </c>
      <c r="K295" t="s">
        <v>70</v>
      </c>
      <c r="L295"/>
      <c r="M295" t="n">
        <v>1973</v>
      </c>
      <c r="N295" t="n">
        <v>1974</v>
      </c>
      <c r="O295" t="s">
        <v>210</v>
      </c>
      <c r="P295" t="n">
        <v>2</v>
      </c>
      <c r="Q295" t="n">
        <v>2</v>
      </c>
      <c r="R295" t="n">
        <v>1</v>
      </c>
      <c r="S295" t="n">
        <v>1970</v>
      </c>
      <c r="T295" t="s">
        <v>1802</v>
      </c>
      <c r="U295" t="s">
        <v>1803</v>
      </c>
      <c r="V295" t="s">
        <v>74</v>
      </c>
      <c r="W295"/>
      <c r="X295"/>
      <c r="Y295"/>
      <c r="Z295"/>
      <c r="AA295"/>
      <c r="AB295" t="s">
        <v>1804</v>
      </c>
      <c r="AC295" t="n">
        <v>210</v>
      </c>
      <c r="AD295"/>
      <c r="AE295"/>
      <c r="AF295" t="s">
        <v>1805</v>
      </c>
      <c r="AG295" t="n">
        <v>40</v>
      </c>
    </row>
    <row r="296">
      <c r="A296" t="s">
        <v>1806</v>
      </c>
      <c r="B296" t="s">
        <v>31</v>
      </c>
      <c r="C296" t="s">
        <v>65</v>
      </c>
      <c r="D296" t="s">
        <v>1807</v>
      </c>
      <c r="E296" t="s">
        <v>79</v>
      </c>
      <c r="F296" t="s">
        <v>1274</v>
      </c>
      <c r="G296" t="s">
        <v>1691</v>
      </c>
      <c r="H296" t="n">
        <v>39.678455363544</v>
      </c>
      <c r="I296" t="n">
        <v>-104.908478989948</v>
      </c>
      <c r="J296" t="s">
        <v>35</v>
      </c>
      <c r="K296" t="s">
        <v>120</v>
      </c>
      <c r="L296" t="s">
        <v>1808</v>
      </c>
      <c r="M296" t="n">
        <v>1973</v>
      </c>
      <c r="N296" t="n">
        <v>1980</v>
      </c>
      <c r="O296" t="s">
        <v>112</v>
      </c>
      <c r="P296" t="n">
        <v>4</v>
      </c>
      <c r="Q296" t="n">
        <v>2</v>
      </c>
      <c r="R296" t="n">
        <v>2</v>
      </c>
      <c r="S296" t="n">
        <v>1948</v>
      </c>
      <c r="T296" t="s">
        <v>1809</v>
      </c>
      <c r="U296" t="s">
        <v>1810</v>
      </c>
      <c r="V296" t="s">
        <v>74</v>
      </c>
      <c r="W296"/>
      <c r="X296"/>
      <c r="Y296"/>
      <c r="Z296"/>
      <c r="AA296"/>
      <c r="AB296"/>
      <c r="AC296"/>
      <c r="AD296"/>
      <c r="AE296"/>
      <c r="AF296" t="s">
        <v>1811</v>
      </c>
      <c r="AG296" t="n">
        <v>85</v>
      </c>
    </row>
    <row r="297">
      <c r="A297" t="s">
        <v>1812</v>
      </c>
      <c r="B297" t="s">
        <v>31</v>
      </c>
      <c r="C297" t="s">
        <v>65</v>
      </c>
      <c r="D297" t="s">
        <v>1813</v>
      </c>
      <c r="E297" t="s">
        <v>79</v>
      </c>
      <c r="F297" t="s">
        <v>1274</v>
      </c>
      <c r="G297" t="s">
        <v>1612</v>
      </c>
      <c r="H297" t="n">
        <v>39.721261952365</v>
      </c>
      <c r="I297" t="n">
        <v>-105.047496418561</v>
      </c>
      <c r="J297" t="s">
        <v>35</v>
      </c>
      <c r="K297" t="s">
        <v>1041</v>
      </c>
      <c r="L297"/>
      <c r="M297" t="n">
        <v>1973</v>
      </c>
      <c r="N297" t="n">
        <v>1974</v>
      </c>
      <c r="O297" t="s">
        <v>127</v>
      </c>
      <c r="P297" t="n">
        <v>2</v>
      </c>
      <c r="Q297" t="n">
        <v>1</v>
      </c>
      <c r="R297" t="n">
        <v>1</v>
      </c>
      <c r="S297" t="n">
        <v>1953</v>
      </c>
      <c r="T297" t="s">
        <v>1814</v>
      </c>
      <c r="U297" t="s">
        <v>1815</v>
      </c>
      <c r="V297" t="s">
        <v>74</v>
      </c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1816</v>
      </c>
      <c r="B298" t="s">
        <v>31</v>
      </c>
      <c r="C298" t="s">
        <v>65</v>
      </c>
      <c r="D298" t="s">
        <v>1817</v>
      </c>
      <c r="E298" t="s">
        <v>79</v>
      </c>
      <c r="F298" t="s">
        <v>1274</v>
      </c>
      <c r="G298" t="s">
        <v>1516</v>
      </c>
      <c r="H298" t="n">
        <v>39.6968937899988</v>
      </c>
      <c r="I298" t="n">
        <v>-104.995621030332</v>
      </c>
      <c r="J298" t="s">
        <v>35</v>
      </c>
      <c r="K298" t="s">
        <v>220</v>
      </c>
      <c r="L298"/>
      <c r="M298" t="n">
        <v>1973</v>
      </c>
      <c r="N298" t="n">
        <v>1990</v>
      </c>
      <c r="O298" t="s">
        <v>1818</v>
      </c>
      <c r="P298" t="n">
        <v>7</v>
      </c>
      <c r="Q298" t="n">
        <v>2</v>
      </c>
      <c r="R298" t="n">
        <v>2</v>
      </c>
      <c r="S298" t="n">
        <v>1966</v>
      </c>
      <c r="T298" t="s">
        <v>1819</v>
      </c>
      <c r="U298" t="s">
        <v>1820</v>
      </c>
      <c r="V298" t="s">
        <v>74</v>
      </c>
      <c r="W298"/>
      <c r="X298"/>
      <c r="Y298"/>
      <c r="Z298"/>
      <c r="AA298"/>
      <c r="AB298"/>
      <c r="AC298"/>
      <c r="AD298"/>
      <c r="AE298"/>
      <c r="AF298" t="s">
        <v>1821</v>
      </c>
      <c r="AG298" t="n">
        <v>43</v>
      </c>
    </row>
    <row r="299">
      <c r="A299" t="s">
        <v>1822</v>
      </c>
      <c r="B299" t="s">
        <v>31</v>
      </c>
      <c r="C299" t="s">
        <v>65</v>
      </c>
      <c r="D299" t="s">
        <v>1823</v>
      </c>
      <c r="E299" t="s">
        <v>79</v>
      </c>
      <c r="F299" t="s">
        <v>1274</v>
      </c>
      <c r="G299" t="s">
        <v>1824</v>
      </c>
      <c r="H299" t="n">
        <v>39.7105606111025</v>
      </c>
      <c r="I299" t="n">
        <v>-104.967478352466</v>
      </c>
      <c r="J299" t="s">
        <v>35</v>
      </c>
      <c r="K299" t="s">
        <v>126</v>
      </c>
      <c r="L299"/>
      <c r="M299" t="n">
        <v>1973</v>
      </c>
      <c r="N299" t="n">
        <v>1973</v>
      </c>
      <c r="O299" t="s">
        <v>121</v>
      </c>
      <c r="P299" t="n">
        <v>1</v>
      </c>
      <c r="Q299" t="n">
        <v>1</v>
      </c>
      <c r="R299" t="n">
        <v>1</v>
      </c>
      <c r="S299" t="n">
        <v>1967</v>
      </c>
      <c r="T299" t="s">
        <v>1825</v>
      </c>
      <c r="U299" t="s">
        <v>1826</v>
      </c>
      <c r="V299" t="s">
        <v>74</v>
      </c>
      <c r="W299"/>
      <c r="X299"/>
      <c r="Y299"/>
      <c r="Z299"/>
      <c r="AA299"/>
      <c r="AB299"/>
      <c r="AC299"/>
      <c r="AD299"/>
      <c r="AE299"/>
      <c r="AF299" t="s">
        <v>1827</v>
      </c>
      <c r="AG299" t="n">
        <v>211</v>
      </c>
    </row>
    <row r="300">
      <c r="A300" t="s">
        <v>1828</v>
      </c>
      <c r="B300" t="s">
        <v>31</v>
      </c>
      <c r="C300" t="s">
        <v>65</v>
      </c>
      <c r="D300" t="s">
        <v>1829</v>
      </c>
      <c r="E300" t="s">
        <v>79</v>
      </c>
      <c r="F300" t="s">
        <v>1274</v>
      </c>
      <c r="G300" t="s">
        <v>1555</v>
      </c>
      <c r="H300" t="n">
        <v>39.7355276537111</v>
      </c>
      <c r="I300" t="n">
        <v>-104.995492863167</v>
      </c>
      <c r="J300" t="s">
        <v>35</v>
      </c>
      <c r="K300" t="s">
        <v>120</v>
      </c>
      <c r="L300"/>
      <c r="M300" t="n">
        <v>1973</v>
      </c>
      <c r="N300" t="n">
        <v>1977</v>
      </c>
      <c r="O300" t="s">
        <v>1830</v>
      </c>
      <c r="P300" t="n">
        <v>3</v>
      </c>
      <c r="Q300" t="n">
        <v>2</v>
      </c>
      <c r="R300" t="n">
        <v>1</v>
      </c>
      <c r="S300" t="n">
        <v>1969</v>
      </c>
      <c r="T300" t="s">
        <v>1831</v>
      </c>
      <c r="U300" t="s">
        <v>1832</v>
      </c>
      <c r="V300" t="s">
        <v>74</v>
      </c>
      <c r="W300"/>
      <c r="X300"/>
      <c r="Y300"/>
      <c r="Z300"/>
      <c r="AA300"/>
      <c r="AB300"/>
      <c r="AC300"/>
      <c r="AD300"/>
      <c r="AE300"/>
      <c r="AF300" t="s">
        <v>1833</v>
      </c>
      <c r="AG300" t="n">
        <v>79</v>
      </c>
    </row>
    <row r="301">
      <c r="A301" t="s">
        <v>1834</v>
      </c>
      <c r="B301" t="s">
        <v>31</v>
      </c>
      <c r="C301" t="s">
        <v>65</v>
      </c>
      <c r="D301" t="s">
        <v>1835</v>
      </c>
      <c r="E301" t="s">
        <v>79</v>
      </c>
      <c r="F301" t="s">
        <v>1274</v>
      </c>
      <c r="G301" t="s">
        <v>1516</v>
      </c>
      <c r="H301" t="n">
        <v>39.7209264955012</v>
      </c>
      <c r="I301" t="n">
        <v>-105.004225180112</v>
      </c>
      <c r="J301" t="s">
        <v>35</v>
      </c>
      <c r="K301" t="s">
        <v>120</v>
      </c>
      <c r="L301"/>
      <c r="M301" t="n">
        <v>1973</v>
      </c>
      <c r="N301" t="n">
        <v>1973</v>
      </c>
      <c r="O301" t="s">
        <v>121</v>
      </c>
      <c r="P301" t="n">
        <v>1</v>
      </c>
      <c r="Q301" t="n">
        <v>1</v>
      </c>
      <c r="R301" t="n">
        <v>1</v>
      </c>
      <c r="S301" t="n">
        <v>1969</v>
      </c>
      <c r="T301" t="s">
        <v>1836</v>
      </c>
      <c r="U301" t="s">
        <v>1837</v>
      </c>
      <c r="V301" t="s">
        <v>74</v>
      </c>
      <c r="W301"/>
      <c r="X301"/>
      <c r="Y301"/>
      <c r="Z301"/>
      <c r="AA301"/>
      <c r="AB301"/>
      <c r="AC301"/>
      <c r="AD301"/>
      <c r="AE301"/>
      <c r="AF301" t="s">
        <v>1838</v>
      </c>
      <c r="AG301" t="n">
        <v>79</v>
      </c>
    </row>
    <row r="302">
      <c r="A302" t="s">
        <v>1839</v>
      </c>
      <c r="B302" t="s">
        <v>31</v>
      </c>
      <c r="C302" t="s">
        <v>65</v>
      </c>
      <c r="D302" t="s">
        <v>1840</v>
      </c>
      <c r="E302" t="s">
        <v>79</v>
      </c>
      <c r="F302" t="s">
        <v>1274</v>
      </c>
      <c r="G302" t="s">
        <v>1516</v>
      </c>
      <c r="H302" t="n">
        <v>39.7018883339069</v>
      </c>
      <c r="I302" t="n">
        <v>-105.001531</v>
      </c>
      <c r="J302" t="s">
        <v>35</v>
      </c>
      <c r="K302" t="s">
        <v>1495</v>
      </c>
      <c r="L302"/>
      <c r="M302" t="n">
        <v>1973</v>
      </c>
      <c r="N302" t="n">
        <v>1990</v>
      </c>
      <c r="O302" t="s">
        <v>351</v>
      </c>
      <c r="P302" t="n">
        <v>3</v>
      </c>
      <c r="Q302" t="n">
        <v>1</v>
      </c>
      <c r="R302" t="n">
        <v>1</v>
      </c>
      <c r="S302" t="n">
        <v>1942</v>
      </c>
      <c r="T302" t="s">
        <v>1841</v>
      </c>
      <c r="U302" t="s">
        <v>1842</v>
      </c>
      <c r="V302" t="s">
        <v>74</v>
      </c>
      <c r="W302"/>
      <c r="X302"/>
      <c r="Y302"/>
      <c r="Z302"/>
      <c r="AA302"/>
      <c r="AB302" t="s">
        <v>1804</v>
      </c>
      <c r="AC302" t="n">
        <v>179</v>
      </c>
      <c r="AD302"/>
      <c r="AE302"/>
      <c r="AF302" t="s">
        <v>1805</v>
      </c>
      <c r="AG302" t="n">
        <v>72</v>
      </c>
    </row>
    <row r="303">
      <c r="A303" t="s">
        <v>1843</v>
      </c>
      <c r="B303" t="s">
        <v>31</v>
      </c>
      <c r="C303" t="s">
        <v>65</v>
      </c>
      <c r="D303" t="s">
        <v>1844</v>
      </c>
      <c r="E303" t="s">
        <v>79</v>
      </c>
      <c r="F303" t="s">
        <v>1274</v>
      </c>
      <c r="G303" t="s">
        <v>1653</v>
      </c>
      <c r="H303" t="n">
        <v>39.792294681217</v>
      </c>
      <c r="I303" t="n">
        <v>-104.9498642088</v>
      </c>
      <c r="J303" t="s">
        <v>35</v>
      </c>
      <c r="K303" t="s">
        <v>315</v>
      </c>
      <c r="L303"/>
      <c r="M303" t="n">
        <v>1973</v>
      </c>
      <c r="N303" t="n">
        <v>1973</v>
      </c>
      <c r="O303" t="s">
        <v>121</v>
      </c>
      <c r="P303" t="n">
        <v>1</v>
      </c>
      <c r="Q303" t="n">
        <v>1</v>
      </c>
      <c r="R303" t="n">
        <v>1</v>
      </c>
      <c r="S303" t="n">
        <v>1972</v>
      </c>
      <c r="T303" t="s">
        <v>1845</v>
      </c>
      <c r="U303" t="s">
        <v>1846</v>
      </c>
      <c r="V303" t="s">
        <v>74</v>
      </c>
      <c r="W303"/>
      <c r="X303"/>
      <c r="Y303"/>
      <c r="Z303"/>
      <c r="AA303"/>
      <c r="AB303"/>
      <c r="AC303"/>
      <c r="AD303"/>
      <c r="AE303"/>
      <c r="AF303" t="s">
        <v>1847</v>
      </c>
      <c r="AG303" t="n">
        <v>64</v>
      </c>
    </row>
    <row r="304">
      <c r="A304" t="s">
        <v>1848</v>
      </c>
      <c r="B304" t="s">
        <v>31</v>
      </c>
      <c r="C304" t="s">
        <v>65</v>
      </c>
      <c r="D304" t="s">
        <v>1849</v>
      </c>
      <c r="E304" t="s">
        <v>79</v>
      </c>
      <c r="F304" t="s">
        <v>1274</v>
      </c>
      <c r="G304" t="s">
        <v>1638</v>
      </c>
      <c r="H304" t="n">
        <v>39.750407</v>
      </c>
      <c r="I304" t="n">
        <v>-104.994127</v>
      </c>
      <c r="J304" t="s">
        <v>35</v>
      </c>
      <c r="K304" t="s">
        <v>70</v>
      </c>
      <c r="L304" t="s">
        <v>1337</v>
      </c>
      <c r="M304" t="n">
        <v>1973</v>
      </c>
      <c r="N304" t="n">
        <v>1977</v>
      </c>
      <c r="O304" t="s">
        <v>127</v>
      </c>
      <c r="P304" t="n">
        <v>3</v>
      </c>
      <c r="Q304" t="n">
        <v>2</v>
      </c>
      <c r="R304" t="n">
        <v>2</v>
      </c>
      <c r="S304" t="n">
        <v>1881</v>
      </c>
      <c r="T304" t="s">
        <v>1850</v>
      </c>
      <c r="U304" t="s">
        <v>1851</v>
      </c>
      <c r="V304" t="s">
        <v>74</v>
      </c>
      <c r="W304"/>
      <c r="X304"/>
      <c r="Y304"/>
      <c r="Z304"/>
      <c r="AA304"/>
      <c r="AB304" t="s">
        <v>1852</v>
      </c>
      <c r="AC304" t="n">
        <v>128</v>
      </c>
      <c r="AD304" t="s">
        <v>1853</v>
      </c>
      <c r="AE304" t="n">
        <v>156</v>
      </c>
      <c r="AF304" t="s">
        <v>1854</v>
      </c>
      <c r="AG304" t="n">
        <v>125</v>
      </c>
    </row>
    <row r="305">
      <c r="A305" t="s">
        <v>1855</v>
      </c>
      <c r="B305" t="s">
        <v>31</v>
      </c>
      <c r="C305" t="s">
        <v>65</v>
      </c>
      <c r="D305" t="s">
        <v>1856</v>
      </c>
      <c r="E305" t="s">
        <v>79</v>
      </c>
      <c r="F305" t="s">
        <v>1274</v>
      </c>
      <c r="G305" t="s">
        <v>1638</v>
      </c>
      <c r="H305" t="n">
        <v>39.7040230648993</v>
      </c>
      <c r="I305" t="n">
        <v>-104.938254971018</v>
      </c>
      <c r="J305" t="s">
        <v>35</v>
      </c>
      <c r="K305" t="s">
        <v>234</v>
      </c>
      <c r="L305"/>
      <c r="M305" t="n">
        <v>1973</v>
      </c>
      <c r="N305" t="n">
        <v>1977</v>
      </c>
      <c r="O305" t="s">
        <v>1857</v>
      </c>
      <c r="P305" t="n">
        <v>3</v>
      </c>
      <c r="Q305" t="n">
        <v>2</v>
      </c>
      <c r="R305" t="n">
        <v>2</v>
      </c>
      <c r="S305" t="n">
        <v>1885</v>
      </c>
      <c r="T305" t="s">
        <v>1858</v>
      </c>
      <c r="U305" t="s">
        <v>1859</v>
      </c>
      <c r="V305" t="s">
        <v>74</v>
      </c>
      <c r="W305"/>
      <c r="X305"/>
      <c r="Y305"/>
      <c r="Z305"/>
      <c r="AA305"/>
      <c r="AB305" t="s">
        <v>1860</v>
      </c>
      <c r="AC305" t="n">
        <v>224</v>
      </c>
      <c r="AD305"/>
      <c r="AE305"/>
      <c r="AF305" t="s">
        <v>1861</v>
      </c>
      <c r="AG305" t="n">
        <v>182</v>
      </c>
    </row>
    <row r="306">
      <c r="A306" t="s">
        <v>1862</v>
      </c>
      <c r="B306" t="s">
        <v>31</v>
      </c>
      <c r="C306" t="s">
        <v>65</v>
      </c>
      <c r="D306" t="s">
        <v>1863</v>
      </c>
      <c r="E306" t="s">
        <v>79</v>
      </c>
      <c r="F306" t="s">
        <v>1274</v>
      </c>
      <c r="G306" t="s">
        <v>1702</v>
      </c>
      <c r="H306" t="n">
        <v>39.7868657060728</v>
      </c>
      <c r="I306" t="n">
        <v>-104.863296550185</v>
      </c>
      <c r="J306" t="s">
        <v>35</v>
      </c>
      <c r="K306" t="s">
        <v>988</v>
      </c>
      <c r="L306"/>
      <c r="M306" t="n">
        <v>1973</v>
      </c>
      <c r="N306" t="n">
        <v>1980</v>
      </c>
      <c r="O306" t="s">
        <v>112</v>
      </c>
      <c r="P306" t="n">
        <v>4</v>
      </c>
      <c r="Q306" t="n">
        <v>2</v>
      </c>
      <c r="R306" t="n">
        <v>2</v>
      </c>
      <c r="S306" t="n">
        <v>1968</v>
      </c>
      <c r="T306" t="s">
        <v>1864</v>
      </c>
      <c r="U306" t="s">
        <v>1865</v>
      </c>
      <c r="V306" t="s">
        <v>74</v>
      </c>
      <c r="W306"/>
      <c r="X306"/>
      <c r="Y306"/>
      <c r="Z306"/>
      <c r="AA306"/>
      <c r="AB306" t="s">
        <v>1866</v>
      </c>
      <c r="AC306" t="n">
        <v>220</v>
      </c>
      <c r="AD306" t="s">
        <v>1867</v>
      </c>
      <c r="AE306" t="n">
        <v>242</v>
      </c>
      <c r="AF306" t="s">
        <v>1868</v>
      </c>
      <c r="AG306" t="n">
        <v>84</v>
      </c>
    </row>
    <row r="307">
      <c r="A307" t="s">
        <v>1869</v>
      </c>
      <c r="B307" t="s">
        <v>31</v>
      </c>
      <c r="C307" t="s">
        <v>65</v>
      </c>
      <c r="D307" t="s">
        <v>1870</v>
      </c>
      <c r="E307" t="s">
        <v>79</v>
      </c>
      <c r="F307" t="s">
        <v>1274</v>
      </c>
      <c r="G307" t="s">
        <v>1540</v>
      </c>
      <c r="H307" t="n">
        <v>39.7634896938776</v>
      </c>
      <c r="I307" t="n">
        <v>-105.055630632653</v>
      </c>
      <c r="J307" t="s">
        <v>35</v>
      </c>
      <c r="K307" t="s">
        <v>1871</v>
      </c>
      <c r="L307"/>
      <c r="M307" t="n">
        <v>1973</v>
      </c>
      <c r="N307" t="n">
        <v>1983</v>
      </c>
      <c r="O307" t="s">
        <v>1872</v>
      </c>
      <c r="P307" t="n">
        <v>5</v>
      </c>
      <c r="Q307" t="n">
        <v>2</v>
      </c>
      <c r="R307" t="n">
        <v>1</v>
      </c>
      <c r="S307" t="n">
        <v>1945</v>
      </c>
      <c r="T307" t="s">
        <v>1873</v>
      </c>
      <c r="U307" t="s">
        <v>1874</v>
      </c>
      <c r="V307" t="s">
        <v>74</v>
      </c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1875</v>
      </c>
      <c r="B308" t="s">
        <v>31</v>
      </c>
      <c r="C308" t="s">
        <v>65</v>
      </c>
      <c r="D308" t="s">
        <v>1876</v>
      </c>
      <c r="E308" t="s">
        <v>79</v>
      </c>
      <c r="F308" t="s">
        <v>1274</v>
      </c>
      <c r="G308" t="s">
        <v>1691</v>
      </c>
      <c r="H308" t="n">
        <v>39.698786</v>
      </c>
      <c r="I308" t="n">
        <v>-104.924112</v>
      </c>
      <c r="J308" t="s">
        <v>35</v>
      </c>
      <c r="K308" t="s">
        <v>315</v>
      </c>
      <c r="L308"/>
      <c r="M308" t="n">
        <v>1974</v>
      </c>
      <c r="N308" t="n">
        <v>1977</v>
      </c>
      <c r="O308" t="s">
        <v>1830</v>
      </c>
      <c r="P308" t="n">
        <v>2</v>
      </c>
      <c r="Q308" t="n">
        <v>1</v>
      </c>
      <c r="R308" t="n">
        <v>1</v>
      </c>
      <c r="S308" t="n">
        <v>1974</v>
      </c>
      <c r="T308" t="s">
        <v>1877</v>
      </c>
      <c r="U308" t="s">
        <v>1878</v>
      </c>
      <c r="V308" t="s">
        <v>74</v>
      </c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1879</v>
      </c>
      <c r="B309" t="s">
        <v>31</v>
      </c>
      <c r="C309" t="s">
        <v>65</v>
      </c>
      <c r="D309" t="s">
        <v>1880</v>
      </c>
      <c r="E309" t="s">
        <v>79</v>
      </c>
      <c r="F309" t="s">
        <v>1274</v>
      </c>
      <c r="G309" t="s">
        <v>1881</v>
      </c>
      <c r="H309" t="n">
        <v>39.7715074910925</v>
      </c>
      <c r="I309" t="n">
        <v>-104.893270001616</v>
      </c>
      <c r="J309" t="s">
        <v>35</v>
      </c>
      <c r="K309" t="s">
        <v>70</v>
      </c>
      <c r="L309"/>
      <c r="M309" t="n">
        <v>1974</v>
      </c>
      <c r="N309" t="n">
        <v>1977</v>
      </c>
      <c r="O309" t="s">
        <v>1830</v>
      </c>
      <c r="P309" t="n">
        <v>2</v>
      </c>
      <c r="Q309" t="n">
        <v>1</v>
      </c>
      <c r="R309" t="n">
        <v>1</v>
      </c>
      <c r="S309" t="n">
        <v>1945</v>
      </c>
      <c r="T309" t="s">
        <v>1882</v>
      </c>
      <c r="U309" t="s">
        <v>1883</v>
      </c>
      <c r="V309" t="s">
        <v>74</v>
      </c>
      <c r="W309"/>
      <c r="X309"/>
      <c r="Y309"/>
      <c r="Z309"/>
      <c r="AA309"/>
      <c r="AB309" t="s">
        <v>1884</v>
      </c>
      <c r="AC309" t="n">
        <v>199</v>
      </c>
      <c r="AD309" t="s">
        <v>1884</v>
      </c>
      <c r="AE309" t="n">
        <v>142</v>
      </c>
      <c r="AF309" t="s">
        <v>1885</v>
      </c>
      <c r="AG309" t="n">
        <v>79</v>
      </c>
    </row>
    <row r="310">
      <c r="A310" t="s">
        <v>1886</v>
      </c>
      <c r="B310" t="s">
        <v>31</v>
      </c>
      <c r="C310" t="s">
        <v>65</v>
      </c>
      <c r="D310" t="s">
        <v>1887</v>
      </c>
      <c r="E310" t="s">
        <v>79</v>
      </c>
      <c r="F310" t="s">
        <v>1274</v>
      </c>
      <c r="G310" t="s">
        <v>1516</v>
      </c>
      <c r="H310" t="n">
        <v>39.716588</v>
      </c>
      <c r="I310" t="n">
        <v>-105.001611</v>
      </c>
      <c r="J310" t="s">
        <v>35</v>
      </c>
      <c r="K310" t="s">
        <v>133</v>
      </c>
      <c r="L310"/>
      <c r="M310" t="n">
        <v>1974</v>
      </c>
      <c r="N310" t="n">
        <v>1980</v>
      </c>
      <c r="O310" t="s">
        <v>1888</v>
      </c>
      <c r="P310" t="n">
        <v>3</v>
      </c>
      <c r="Q310" t="n">
        <v>2</v>
      </c>
      <c r="R310" t="n">
        <v>2</v>
      </c>
      <c r="S310" t="n">
        <v>1963</v>
      </c>
      <c r="T310" t="s">
        <v>1889</v>
      </c>
      <c r="U310" t="s">
        <v>1890</v>
      </c>
      <c r="V310" t="s">
        <v>74</v>
      </c>
      <c r="W310"/>
      <c r="X310"/>
      <c r="Y310"/>
      <c r="Z310"/>
      <c r="AA310"/>
      <c r="AB310" t="s">
        <v>1891</v>
      </c>
      <c r="AC310" t="n">
        <v>154</v>
      </c>
      <c r="AD310"/>
      <c r="AE310"/>
      <c r="AF310" t="s">
        <v>1892</v>
      </c>
      <c r="AG310" t="n">
        <v>50</v>
      </c>
    </row>
    <row r="311">
      <c r="A311" t="s">
        <v>1893</v>
      </c>
      <c r="B311" t="s">
        <v>31</v>
      </c>
      <c r="C311" t="s">
        <v>65</v>
      </c>
      <c r="D311" t="s">
        <v>1894</v>
      </c>
      <c r="E311" t="s">
        <v>79</v>
      </c>
      <c r="F311" t="s">
        <v>1274</v>
      </c>
      <c r="G311" t="s">
        <v>1691</v>
      </c>
      <c r="H311" t="n">
        <v>39.6781302380604</v>
      </c>
      <c r="I311" t="n">
        <v>-104.91878808629</v>
      </c>
      <c r="J311" t="s">
        <v>35</v>
      </c>
      <c r="K311" t="s">
        <v>120</v>
      </c>
      <c r="L311"/>
      <c r="M311" t="n">
        <v>1974</v>
      </c>
      <c r="N311" t="n">
        <v>1988</v>
      </c>
      <c r="O311" t="s">
        <v>1895</v>
      </c>
      <c r="P311" t="n">
        <v>5</v>
      </c>
      <c r="Q311" t="n">
        <v>4</v>
      </c>
      <c r="R311" t="n">
        <v>3</v>
      </c>
      <c r="S311" t="n">
        <v>1970</v>
      </c>
      <c r="T311" t="s">
        <v>1896</v>
      </c>
      <c r="U311" t="s">
        <v>1897</v>
      </c>
      <c r="V311" t="s">
        <v>74</v>
      </c>
      <c r="W311"/>
      <c r="X311"/>
      <c r="Y311"/>
      <c r="Z311"/>
      <c r="AA311"/>
      <c r="AB311"/>
      <c r="AC311"/>
      <c r="AD311"/>
      <c r="AE311"/>
      <c r="AF311" t="s">
        <v>1898</v>
      </c>
      <c r="AG311" t="n">
        <v>56</v>
      </c>
    </row>
    <row r="312">
      <c r="A312" t="s">
        <v>1899</v>
      </c>
      <c r="B312" t="s">
        <v>31</v>
      </c>
      <c r="C312" t="s">
        <v>65</v>
      </c>
      <c r="D312" t="s">
        <v>1900</v>
      </c>
      <c r="E312" t="s">
        <v>79</v>
      </c>
      <c r="F312" t="s">
        <v>1274</v>
      </c>
      <c r="G312" t="s">
        <v>1440</v>
      </c>
      <c r="H312" t="n">
        <v>39.7660841972796</v>
      </c>
      <c r="I312" t="n">
        <v>-105.000687599914</v>
      </c>
      <c r="J312" t="s">
        <v>35</v>
      </c>
      <c r="K312" t="s">
        <v>70</v>
      </c>
      <c r="L312"/>
      <c r="M312" t="n">
        <v>1974</v>
      </c>
      <c r="N312" t="n">
        <v>1977</v>
      </c>
      <c r="O312" t="s">
        <v>1830</v>
      </c>
      <c r="P312" t="n">
        <v>2</v>
      </c>
      <c r="Q312" t="n">
        <v>2</v>
      </c>
      <c r="R312" t="n">
        <v>2</v>
      </c>
      <c r="S312"/>
      <c r="T312" t="s">
        <v>1901</v>
      </c>
      <c r="U312" t="s">
        <v>1902</v>
      </c>
      <c r="V312" t="s">
        <v>74</v>
      </c>
      <c r="W312"/>
      <c r="X312"/>
      <c r="Y312"/>
      <c r="Z312"/>
      <c r="AA312"/>
      <c r="AB312" t="s">
        <v>1903</v>
      </c>
      <c r="AC312" t="n">
        <v>203</v>
      </c>
      <c r="AD312"/>
      <c r="AE312"/>
      <c r="AF312"/>
      <c r="AG312"/>
    </row>
    <row r="313">
      <c r="A313" t="s">
        <v>1904</v>
      </c>
      <c r="B313" t="s">
        <v>31</v>
      </c>
      <c r="C313" t="s">
        <v>65</v>
      </c>
      <c r="D313" t="s">
        <v>1905</v>
      </c>
      <c r="E313" t="s">
        <v>79</v>
      </c>
      <c r="F313" t="s">
        <v>1274</v>
      </c>
      <c r="G313" t="s">
        <v>1691</v>
      </c>
      <c r="H313" t="n">
        <v>39.6787999991603</v>
      </c>
      <c r="I313" t="n">
        <v>-104.923896853137</v>
      </c>
      <c r="J313" t="s">
        <v>35</v>
      </c>
      <c r="K313" t="s">
        <v>120</v>
      </c>
      <c r="L313"/>
      <c r="M313" t="n">
        <v>1974</v>
      </c>
      <c r="N313" t="n">
        <v>1974</v>
      </c>
      <c r="O313" t="s">
        <v>210</v>
      </c>
      <c r="P313" t="n">
        <v>1</v>
      </c>
      <c r="Q313" t="n">
        <v>1</v>
      </c>
      <c r="R313" t="n">
        <v>1</v>
      </c>
      <c r="S313" t="n">
        <v>1972</v>
      </c>
      <c r="T313" t="s">
        <v>1906</v>
      </c>
      <c r="U313" t="s">
        <v>1907</v>
      </c>
      <c r="V313" t="s">
        <v>74</v>
      </c>
      <c r="W313"/>
      <c r="X313"/>
      <c r="Y313"/>
      <c r="Z313"/>
      <c r="AA313"/>
      <c r="AB313"/>
      <c r="AC313"/>
      <c r="AD313"/>
      <c r="AE313"/>
      <c r="AF313" t="s">
        <v>1908</v>
      </c>
      <c r="AG313" t="n">
        <v>57</v>
      </c>
    </row>
    <row r="314">
      <c r="A314" t="s">
        <v>1909</v>
      </c>
      <c r="B314" t="s">
        <v>31</v>
      </c>
      <c r="C314" t="s">
        <v>65</v>
      </c>
      <c r="D314" t="s">
        <v>1910</v>
      </c>
      <c r="E314" t="s">
        <v>79</v>
      </c>
      <c r="F314" t="s">
        <v>1274</v>
      </c>
      <c r="G314" t="s">
        <v>1911</v>
      </c>
      <c r="H314" t="n">
        <v>39.6960698991597</v>
      </c>
      <c r="I314" t="n">
        <v>-104.91289</v>
      </c>
      <c r="J314" t="s">
        <v>35</v>
      </c>
      <c r="K314" t="s">
        <v>1282</v>
      </c>
      <c r="L314"/>
      <c r="M314" t="n">
        <v>1974</v>
      </c>
      <c r="N314" t="n">
        <v>1980</v>
      </c>
      <c r="O314" t="s">
        <v>255</v>
      </c>
      <c r="P314" t="n">
        <v>3</v>
      </c>
      <c r="Q314" t="n">
        <v>3</v>
      </c>
      <c r="R314" t="n">
        <v>2</v>
      </c>
      <c r="S314" t="n">
        <v>1969</v>
      </c>
      <c r="T314" t="s">
        <v>1912</v>
      </c>
      <c r="U314" t="s">
        <v>1913</v>
      </c>
      <c r="V314" t="s">
        <v>74</v>
      </c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1914</v>
      </c>
      <c r="B315" t="s">
        <v>31</v>
      </c>
      <c r="C315" t="s">
        <v>65</v>
      </c>
      <c r="D315" t="s">
        <v>1915</v>
      </c>
      <c r="E315" t="s">
        <v>79</v>
      </c>
      <c r="F315" t="s">
        <v>1274</v>
      </c>
      <c r="G315" t="s">
        <v>1440</v>
      </c>
      <c r="H315" t="n">
        <v>39.7801611022929</v>
      </c>
      <c r="I315" t="n">
        <v>-105.003516959183</v>
      </c>
      <c r="J315" t="s">
        <v>35</v>
      </c>
      <c r="K315" t="s">
        <v>120</v>
      </c>
      <c r="L315"/>
      <c r="M315" t="n">
        <v>1974</v>
      </c>
      <c r="N315" t="n">
        <v>1974</v>
      </c>
      <c r="O315" t="s">
        <v>210</v>
      </c>
      <c r="P315" t="n">
        <v>1</v>
      </c>
      <c r="Q315" t="n">
        <v>1</v>
      </c>
      <c r="R315" t="n">
        <v>1</v>
      </c>
      <c r="S315" t="n">
        <v>1972</v>
      </c>
      <c r="T315" t="s">
        <v>1916</v>
      </c>
      <c r="U315" t="s">
        <v>1917</v>
      </c>
      <c r="V315" t="s">
        <v>74</v>
      </c>
      <c r="W315"/>
      <c r="X315"/>
      <c r="Y315"/>
      <c r="Z315"/>
      <c r="AA315"/>
      <c r="AB315" t="s">
        <v>1918</v>
      </c>
      <c r="AC315" t="n">
        <v>203</v>
      </c>
      <c r="AD315" t="s">
        <v>1919</v>
      </c>
      <c r="AE315" t="n">
        <v>213</v>
      </c>
      <c r="AF315" t="s">
        <v>1920</v>
      </c>
      <c r="AG315" t="n">
        <v>102</v>
      </c>
    </row>
    <row r="316">
      <c r="A316" t="s">
        <v>1921</v>
      </c>
      <c r="B316" t="s">
        <v>31</v>
      </c>
      <c r="C316" t="s">
        <v>65</v>
      </c>
      <c r="D316" t="s">
        <v>1922</v>
      </c>
      <c r="E316" t="s">
        <v>79</v>
      </c>
      <c r="F316" t="s">
        <v>1274</v>
      </c>
      <c r="G316" t="s">
        <v>1612</v>
      </c>
      <c r="H316" t="n">
        <v>39.7111421662209</v>
      </c>
      <c r="I316" t="n">
        <v>-105.027495124725</v>
      </c>
      <c r="J316" t="s">
        <v>35</v>
      </c>
      <c r="K316" t="s">
        <v>70</v>
      </c>
      <c r="L316"/>
      <c r="M316" t="n">
        <v>1974</v>
      </c>
      <c r="N316" t="n">
        <v>1983</v>
      </c>
      <c r="O316" t="s">
        <v>228</v>
      </c>
      <c r="P316" t="n">
        <v>4</v>
      </c>
      <c r="Q316" t="n">
        <v>2</v>
      </c>
      <c r="R316" t="n">
        <v>1</v>
      </c>
      <c r="S316" t="n">
        <v>1958</v>
      </c>
      <c r="T316" t="s">
        <v>1923</v>
      </c>
      <c r="U316" t="s">
        <v>1924</v>
      </c>
      <c r="V316" t="s">
        <v>74</v>
      </c>
      <c r="W316"/>
      <c r="X316"/>
      <c r="Y316"/>
      <c r="Z316"/>
      <c r="AA316"/>
      <c r="AB316"/>
      <c r="AC316"/>
      <c r="AD316"/>
      <c r="AE316"/>
      <c r="AF316" t="s">
        <v>1925</v>
      </c>
      <c r="AG316" t="n">
        <v>172</v>
      </c>
    </row>
    <row r="317">
      <c r="A317" t="s">
        <v>1926</v>
      </c>
      <c r="B317" t="s">
        <v>31</v>
      </c>
      <c r="C317" t="s">
        <v>65</v>
      </c>
      <c r="D317" t="s">
        <v>1927</v>
      </c>
      <c r="E317" t="s">
        <v>79</v>
      </c>
      <c r="F317" t="s">
        <v>1274</v>
      </c>
      <c r="G317" t="s">
        <v>1440</v>
      </c>
      <c r="H317" t="n">
        <v>39.7580369517844</v>
      </c>
      <c r="I317" t="n">
        <v>-105.011335149416</v>
      </c>
      <c r="J317" t="s">
        <v>35</v>
      </c>
      <c r="K317" t="s">
        <v>133</v>
      </c>
      <c r="L317"/>
      <c r="M317" t="n">
        <v>1974</v>
      </c>
      <c r="N317" t="n">
        <v>1980</v>
      </c>
      <c r="O317" t="s">
        <v>210</v>
      </c>
      <c r="P317" t="n">
        <v>3</v>
      </c>
      <c r="Q317" t="n">
        <v>2</v>
      </c>
      <c r="R317" t="n">
        <v>1</v>
      </c>
      <c r="S317" t="n">
        <v>1968</v>
      </c>
      <c r="T317" t="s">
        <v>1928</v>
      </c>
      <c r="U317" t="s">
        <v>1929</v>
      </c>
      <c r="V317" t="s">
        <v>74</v>
      </c>
      <c r="W317"/>
      <c r="X317"/>
      <c r="Y317"/>
      <c r="Z317"/>
      <c r="AA317"/>
      <c r="AB317" t="s">
        <v>1930</v>
      </c>
      <c r="AC317" t="n">
        <v>166</v>
      </c>
      <c r="AD317"/>
      <c r="AE317"/>
      <c r="AF317" t="s">
        <v>1931</v>
      </c>
      <c r="AG317" t="n">
        <v>183</v>
      </c>
    </row>
    <row r="318">
      <c r="A318" t="s">
        <v>1932</v>
      </c>
      <c r="B318" t="s">
        <v>31</v>
      </c>
      <c r="C318" t="s">
        <v>65</v>
      </c>
      <c r="D318" t="s">
        <v>1933</v>
      </c>
      <c r="E318" t="s">
        <v>79</v>
      </c>
      <c r="F318" t="s">
        <v>1274</v>
      </c>
      <c r="G318" t="s">
        <v>1574</v>
      </c>
      <c r="H318" t="n">
        <v>39.7549194325753</v>
      </c>
      <c r="I318" t="n">
        <v>-104.986555844908</v>
      </c>
      <c r="J318" t="s">
        <v>35</v>
      </c>
      <c r="K318" t="s">
        <v>120</v>
      </c>
      <c r="L318"/>
      <c r="M318" t="n">
        <v>1974</v>
      </c>
      <c r="N318" t="n">
        <v>1992</v>
      </c>
      <c r="O318" t="s">
        <v>194</v>
      </c>
      <c r="P318" t="n">
        <v>6</v>
      </c>
      <c r="Q318" t="n">
        <v>2</v>
      </c>
      <c r="R318" t="n">
        <v>2</v>
      </c>
      <c r="S318" t="n">
        <v>1948</v>
      </c>
      <c r="T318" t="s">
        <v>1934</v>
      </c>
      <c r="U318" t="s">
        <v>1935</v>
      </c>
      <c r="V318" t="s">
        <v>74</v>
      </c>
      <c r="W318"/>
      <c r="X318"/>
      <c r="Y318"/>
      <c r="Z318"/>
      <c r="AA318"/>
      <c r="AB318" t="s">
        <v>1936</v>
      </c>
      <c r="AC318" t="n">
        <v>118</v>
      </c>
      <c r="AD318"/>
      <c r="AE318"/>
      <c r="AF318" t="s">
        <v>1364</v>
      </c>
      <c r="AG318" t="n">
        <v>78</v>
      </c>
    </row>
    <row r="319">
      <c r="A319" t="s">
        <v>1937</v>
      </c>
      <c r="B319" t="s">
        <v>31</v>
      </c>
      <c r="C319" t="s">
        <v>65</v>
      </c>
      <c r="D319" t="s">
        <v>1938</v>
      </c>
      <c r="E319" t="s">
        <v>79</v>
      </c>
      <c r="F319" t="s">
        <v>1274</v>
      </c>
      <c r="G319" t="s">
        <v>1653</v>
      </c>
      <c r="H319" t="n">
        <v>39.720059122449</v>
      </c>
      <c r="I319" t="n">
        <v>-104.995168489796</v>
      </c>
      <c r="J319" t="s">
        <v>35</v>
      </c>
      <c r="K319" t="s">
        <v>70</v>
      </c>
      <c r="L319"/>
      <c r="M319" t="n">
        <v>1977</v>
      </c>
      <c r="N319" t="n">
        <v>1977</v>
      </c>
      <c r="O319" t="s">
        <v>228</v>
      </c>
      <c r="P319" t="n">
        <v>1</v>
      </c>
      <c r="Q319" t="n">
        <v>1</v>
      </c>
      <c r="R319" t="n">
        <v>1</v>
      </c>
      <c r="S319" t="n">
        <v>1947</v>
      </c>
      <c r="T319" t="s">
        <v>1939</v>
      </c>
      <c r="U319" t="s">
        <v>1940</v>
      </c>
      <c r="V319" t="s">
        <v>74</v>
      </c>
      <c r="W319"/>
      <c r="X319"/>
      <c r="Y319"/>
      <c r="Z319"/>
      <c r="AA319"/>
      <c r="AB319"/>
      <c r="AC319"/>
      <c r="AD319"/>
      <c r="AE319"/>
      <c r="AF319" t="s">
        <v>1941</v>
      </c>
      <c r="AG319" t="n">
        <v>207</v>
      </c>
    </row>
    <row r="320">
      <c r="A320" t="s">
        <v>1942</v>
      </c>
      <c r="B320" t="s">
        <v>31</v>
      </c>
      <c r="C320" t="s">
        <v>65</v>
      </c>
      <c r="D320" t="s">
        <v>1943</v>
      </c>
      <c r="E320" t="s">
        <v>79</v>
      </c>
      <c r="F320" t="s">
        <v>1274</v>
      </c>
      <c r="G320" t="s">
        <v>1569</v>
      </c>
      <c r="H320" t="n">
        <v>39.6720956118284</v>
      </c>
      <c r="I320" t="n">
        <v>-104.987582169237</v>
      </c>
      <c r="J320" t="s">
        <v>35</v>
      </c>
      <c r="K320" t="s">
        <v>70</v>
      </c>
      <c r="L320"/>
      <c r="M320" t="n">
        <v>1977</v>
      </c>
      <c r="N320" t="n">
        <v>1988</v>
      </c>
      <c r="O320" t="s">
        <v>325</v>
      </c>
      <c r="P320" t="n">
        <v>2</v>
      </c>
      <c r="Q320" t="n">
        <v>2</v>
      </c>
      <c r="R320" t="n">
        <v>1</v>
      </c>
      <c r="S320" t="n">
        <v>1972</v>
      </c>
      <c r="T320" t="s">
        <v>1944</v>
      </c>
      <c r="U320" t="s">
        <v>1945</v>
      </c>
      <c r="V320" t="s">
        <v>74</v>
      </c>
      <c r="W320"/>
      <c r="X320"/>
      <c r="Y320"/>
      <c r="Z320"/>
      <c r="AA320"/>
      <c r="AB320"/>
      <c r="AC320"/>
      <c r="AD320"/>
      <c r="AE320"/>
      <c r="AF320" t="s">
        <v>1946</v>
      </c>
      <c r="AG320" t="n">
        <v>87</v>
      </c>
    </row>
    <row r="321">
      <c r="A321" t="s">
        <v>1947</v>
      </c>
      <c r="B321" t="s">
        <v>31</v>
      </c>
      <c r="C321" t="s">
        <v>65</v>
      </c>
      <c r="D321" t="s">
        <v>1948</v>
      </c>
      <c r="E321" t="s">
        <v>79</v>
      </c>
      <c r="F321" t="s">
        <v>1274</v>
      </c>
      <c r="G321" t="s">
        <v>1653</v>
      </c>
      <c r="H321" t="n">
        <v>39.8033311517274</v>
      </c>
      <c r="I321" t="n">
        <v>-104.982780417787</v>
      </c>
      <c r="J321" t="s">
        <v>35</v>
      </c>
      <c r="K321" t="s">
        <v>120</v>
      </c>
      <c r="L321"/>
      <c r="M321" t="n">
        <v>1977</v>
      </c>
      <c r="N321" t="n">
        <v>1980</v>
      </c>
      <c r="O321" t="s">
        <v>1949</v>
      </c>
      <c r="P321" t="n">
        <v>2</v>
      </c>
      <c r="Q321" t="n">
        <v>2</v>
      </c>
      <c r="R321" t="n">
        <v>2</v>
      </c>
      <c r="S321" t="n">
        <v>1967</v>
      </c>
      <c r="T321" t="s">
        <v>1950</v>
      </c>
      <c r="U321" t="s">
        <v>1951</v>
      </c>
      <c r="V321" t="s">
        <v>74</v>
      </c>
      <c r="W321"/>
      <c r="X321"/>
      <c r="Y321"/>
      <c r="Z321"/>
      <c r="AA321"/>
      <c r="AB321" t="s">
        <v>1952</v>
      </c>
      <c r="AC321" t="n">
        <v>115</v>
      </c>
      <c r="AD321" t="s">
        <v>1953</v>
      </c>
      <c r="AE321" t="n">
        <v>171</v>
      </c>
      <c r="AF321" t="s">
        <v>1954</v>
      </c>
      <c r="AG321" t="n">
        <v>108</v>
      </c>
    </row>
    <row r="322">
      <c r="A322" t="s">
        <v>1955</v>
      </c>
      <c r="B322" t="s">
        <v>31</v>
      </c>
      <c r="C322" t="s">
        <v>65</v>
      </c>
      <c r="D322" t="s">
        <v>1956</v>
      </c>
      <c r="E322" t="s">
        <v>79</v>
      </c>
      <c r="F322" t="s">
        <v>1274</v>
      </c>
      <c r="G322" t="s">
        <v>1516</v>
      </c>
      <c r="H322" t="n">
        <v>39.7075539387755</v>
      </c>
      <c r="I322" t="n">
        <v>-105.000893938776</v>
      </c>
      <c r="J322" t="s">
        <v>35</v>
      </c>
      <c r="K322" t="s">
        <v>70</v>
      </c>
      <c r="L322"/>
      <c r="M322" t="n">
        <v>1977</v>
      </c>
      <c r="N322" t="n">
        <v>1990</v>
      </c>
      <c r="O322" t="s">
        <v>555</v>
      </c>
      <c r="P322" t="n">
        <v>3</v>
      </c>
      <c r="Q322" t="n">
        <v>2</v>
      </c>
      <c r="R322" t="n">
        <v>1</v>
      </c>
      <c r="S322" t="n">
        <v>1946</v>
      </c>
      <c r="T322" t="s">
        <v>1957</v>
      </c>
      <c r="U322" t="s">
        <v>1958</v>
      </c>
      <c r="V322" t="s">
        <v>74</v>
      </c>
      <c r="W322"/>
      <c r="X322"/>
      <c r="Y322"/>
      <c r="Z322"/>
      <c r="AA322"/>
      <c r="AB322" t="s">
        <v>1959</v>
      </c>
      <c r="AC322" t="n">
        <v>247</v>
      </c>
      <c r="AD322"/>
      <c r="AE322"/>
      <c r="AF322" t="s">
        <v>1960</v>
      </c>
      <c r="AG322" t="n">
        <v>72</v>
      </c>
    </row>
    <row r="323">
      <c r="A323" t="s">
        <v>1961</v>
      </c>
      <c r="B323" t="s">
        <v>31</v>
      </c>
      <c r="C323" t="s">
        <v>65</v>
      </c>
      <c r="D323" t="s">
        <v>1962</v>
      </c>
      <c r="E323" t="s">
        <v>79</v>
      </c>
      <c r="F323" t="s">
        <v>1274</v>
      </c>
      <c r="G323" t="s">
        <v>1569</v>
      </c>
      <c r="H323" t="n">
        <v>39.693001</v>
      </c>
      <c r="I323" t="n">
        <v>-104.980421</v>
      </c>
      <c r="J323" t="s">
        <v>35</v>
      </c>
      <c r="K323" t="s">
        <v>141</v>
      </c>
      <c r="L323"/>
      <c r="M323" t="n">
        <v>1977</v>
      </c>
      <c r="N323" t="n">
        <v>1977</v>
      </c>
      <c r="O323" t="s">
        <v>228</v>
      </c>
      <c r="P323" t="n">
        <v>1</v>
      </c>
      <c r="Q323" t="n">
        <v>1</v>
      </c>
      <c r="R323" t="n">
        <v>1</v>
      </c>
      <c r="S323" t="n">
        <v>1946</v>
      </c>
      <c r="T323" t="s">
        <v>1963</v>
      </c>
      <c r="U323" t="s">
        <v>1964</v>
      </c>
      <c r="V323" t="s">
        <v>74</v>
      </c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1965</v>
      </c>
      <c r="B324" t="s">
        <v>31</v>
      </c>
      <c r="C324" t="s">
        <v>65</v>
      </c>
      <c r="D324" t="s">
        <v>1966</v>
      </c>
      <c r="E324" t="s">
        <v>79</v>
      </c>
      <c r="F324" t="s">
        <v>1274</v>
      </c>
      <c r="G324" t="s">
        <v>1967</v>
      </c>
      <c r="H324" t="n">
        <v>39.6907431930801</v>
      </c>
      <c r="I324" t="n">
        <v>-104.918355558338</v>
      </c>
      <c r="J324" t="s">
        <v>35</v>
      </c>
      <c r="K324" t="s">
        <v>315</v>
      </c>
      <c r="L324"/>
      <c r="M324" t="n">
        <v>1980</v>
      </c>
      <c r="N324" t="n">
        <v>1980</v>
      </c>
      <c r="O324" t="s">
        <v>255</v>
      </c>
      <c r="P324" t="n">
        <v>1</v>
      </c>
      <c r="Q324" t="n">
        <v>1</v>
      </c>
      <c r="R324" t="n">
        <v>1</v>
      </c>
      <c r="S324" t="n">
        <v>1968</v>
      </c>
      <c r="T324" t="s">
        <v>1968</v>
      </c>
      <c r="U324" t="s">
        <v>1969</v>
      </c>
      <c r="V324" t="s">
        <v>74</v>
      </c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1970</v>
      </c>
      <c r="B325" t="s">
        <v>31</v>
      </c>
      <c r="C325" t="s">
        <v>65</v>
      </c>
      <c r="D325" t="s">
        <v>1971</v>
      </c>
      <c r="E325" t="s">
        <v>79</v>
      </c>
      <c r="F325" t="s">
        <v>1274</v>
      </c>
      <c r="G325" t="s">
        <v>1440</v>
      </c>
      <c r="H325" t="n">
        <v>39.773421</v>
      </c>
      <c r="I325" t="n">
        <v>-105.025175</v>
      </c>
      <c r="J325" t="s">
        <v>35</v>
      </c>
      <c r="K325" t="s">
        <v>133</v>
      </c>
      <c r="L325"/>
      <c r="M325" t="n">
        <v>1980</v>
      </c>
      <c r="N325" t="n">
        <v>1990</v>
      </c>
      <c r="O325" t="s">
        <v>310</v>
      </c>
      <c r="P325" t="n">
        <v>4</v>
      </c>
      <c r="Q325" t="n">
        <v>3</v>
      </c>
      <c r="R325" t="n">
        <v>2</v>
      </c>
      <c r="S325" t="n">
        <v>1964</v>
      </c>
      <c r="T325" t="s">
        <v>1972</v>
      </c>
      <c r="U325" t="s">
        <v>1973</v>
      </c>
      <c r="V325" t="s">
        <v>74</v>
      </c>
      <c r="W325"/>
      <c r="X325"/>
      <c r="Y325"/>
      <c r="Z325"/>
      <c r="AA325"/>
      <c r="AB325" t="s">
        <v>1974</v>
      </c>
      <c r="AC325" t="n">
        <v>79</v>
      </c>
      <c r="AD325"/>
      <c r="AE325"/>
      <c r="AF325"/>
      <c r="AG325"/>
    </row>
    <row r="326">
      <c r="A326" t="s">
        <v>1975</v>
      </c>
      <c r="B326" t="s">
        <v>31</v>
      </c>
      <c r="C326" t="s">
        <v>65</v>
      </c>
      <c r="D326" t="s">
        <v>1976</v>
      </c>
      <c r="E326" t="s">
        <v>79</v>
      </c>
      <c r="F326" t="s">
        <v>1274</v>
      </c>
      <c r="G326" t="s">
        <v>1612</v>
      </c>
      <c r="H326" t="n">
        <v>39.693111</v>
      </c>
      <c r="I326" t="n">
        <v>-105.039059</v>
      </c>
      <c r="J326" t="s">
        <v>35</v>
      </c>
      <c r="K326" t="s">
        <v>120</v>
      </c>
      <c r="L326"/>
      <c r="M326" t="n">
        <v>1980</v>
      </c>
      <c r="N326" t="n">
        <v>1983</v>
      </c>
      <c r="O326" t="s">
        <v>528</v>
      </c>
      <c r="P326" t="n">
        <v>2</v>
      </c>
      <c r="Q326" t="n">
        <v>1</v>
      </c>
      <c r="R326" t="n">
        <v>1</v>
      </c>
      <c r="S326" t="n">
        <v>1962</v>
      </c>
      <c r="T326" t="s">
        <v>1977</v>
      </c>
      <c r="U326" t="s">
        <v>1978</v>
      </c>
      <c r="V326" t="s">
        <v>74</v>
      </c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1979</v>
      </c>
      <c r="B327" t="s">
        <v>31</v>
      </c>
      <c r="C327" t="s">
        <v>65</v>
      </c>
      <c r="D327" t="s">
        <v>1980</v>
      </c>
      <c r="E327" t="s">
        <v>79</v>
      </c>
      <c r="F327" t="s">
        <v>1274</v>
      </c>
      <c r="G327" t="s">
        <v>1574</v>
      </c>
      <c r="H327" t="n">
        <v>39.7656154695817</v>
      </c>
      <c r="I327" t="n">
        <v>-104.976227188332</v>
      </c>
      <c r="J327" t="s">
        <v>35</v>
      </c>
      <c r="K327" t="s">
        <v>120</v>
      </c>
      <c r="L327"/>
      <c r="M327" t="n">
        <v>1980</v>
      </c>
      <c r="N327" t="n">
        <v>1992</v>
      </c>
      <c r="O327" t="s">
        <v>528</v>
      </c>
      <c r="P327" t="n">
        <v>5</v>
      </c>
      <c r="Q327" t="n">
        <v>5</v>
      </c>
      <c r="R327" t="n">
        <v>1</v>
      </c>
      <c r="S327" t="n">
        <v>1932</v>
      </c>
      <c r="T327" t="s">
        <v>1981</v>
      </c>
      <c r="U327" t="s">
        <v>1982</v>
      </c>
      <c r="V327" t="s">
        <v>74</v>
      </c>
      <c r="W327"/>
      <c r="X327"/>
      <c r="Y327"/>
      <c r="Z327"/>
      <c r="AA327"/>
      <c r="AB327" t="s">
        <v>1983</v>
      </c>
      <c r="AC327" t="n">
        <v>157</v>
      </c>
      <c r="AD327"/>
      <c r="AE327"/>
      <c r="AF327" t="s">
        <v>1984</v>
      </c>
      <c r="AG327" t="n">
        <v>120</v>
      </c>
    </row>
    <row r="328">
      <c r="A328" t="s">
        <v>1985</v>
      </c>
      <c r="B328" t="s">
        <v>31</v>
      </c>
      <c r="C328" t="s">
        <v>65</v>
      </c>
      <c r="D328" t="s">
        <v>1986</v>
      </c>
      <c r="E328" t="s">
        <v>79</v>
      </c>
      <c r="F328" t="s">
        <v>1274</v>
      </c>
      <c r="G328" t="s">
        <v>1516</v>
      </c>
      <c r="H328" t="n">
        <v>39.7126757283057</v>
      </c>
      <c r="I328" t="n">
        <v>-105.006269077813</v>
      </c>
      <c r="J328" t="s">
        <v>35</v>
      </c>
      <c r="K328" t="s">
        <v>315</v>
      </c>
      <c r="L328"/>
      <c r="M328" t="n">
        <v>1980</v>
      </c>
      <c r="N328" t="n">
        <v>1980</v>
      </c>
      <c r="O328" t="s">
        <v>255</v>
      </c>
      <c r="P328" t="n">
        <v>1</v>
      </c>
      <c r="Q328" t="n">
        <v>1</v>
      </c>
      <c r="R328" t="n">
        <v>1</v>
      </c>
      <c r="S328" t="n">
        <v>1978</v>
      </c>
      <c r="T328" t="s">
        <v>1987</v>
      </c>
      <c r="U328" t="s">
        <v>1988</v>
      </c>
      <c r="V328" t="s">
        <v>74</v>
      </c>
      <c r="W328"/>
      <c r="X328"/>
      <c r="Y328"/>
      <c r="Z328"/>
      <c r="AA328"/>
      <c r="AB328" t="s">
        <v>1989</v>
      </c>
      <c r="AC328" t="n">
        <v>206</v>
      </c>
      <c r="AD328"/>
      <c r="AE328"/>
      <c r="AF328" t="s">
        <v>1990</v>
      </c>
      <c r="AG328" t="n">
        <v>108</v>
      </c>
    </row>
    <row r="329">
      <c r="A329" t="s">
        <v>1991</v>
      </c>
      <c r="B329" t="s">
        <v>31</v>
      </c>
      <c r="C329" t="s">
        <v>65</v>
      </c>
      <c r="D329" t="s">
        <v>1992</v>
      </c>
      <c r="E329" t="s">
        <v>79</v>
      </c>
      <c r="F329" t="s">
        <v>1274</v>
      </c>
      <c r="G329" t="s">
        <v>1555</v>
      </c>
      <c r="H329" t="n">
        <v>39.7305046639714</v>
      </c>
      <c r="I329" t="n">
        <v>-104.997671998995</v>
      </c>
      <c r="J329" t="s">
        <v>35</v>
      </c>
      <c r="K329" t="s">
        <v>141</v>
      </c>
      <c r="L329"/>
      <c r="M329" t="n">
        <v>1980</v>
      </c>
      <c r="N329" t="n">
        <v>1990</v>
      </c>
      <c r="O329" t="s">
        <v>582</v>
      </c>
      <c r="P329" t="n">
        <v>3</v>
      </c>
      <c r="Q329" t="n">
        <v>2</v>
      </c>
      <c r="R329" t="n">
        <v>2</v>
      </c>
      <c r="S329" t="n">
        <v>1977</v>
      </c>
      <c r="T329" t="s">
        <v>1993</v>
      </c>
      <c r="U329" t="s">
        <v>1994</v>
      </c>
      <c r="V329" t="s">
        <v>74</v>
      </c>
      <c r="W329"/>
      <c r="X329"/>
      <c r="Y329"/>
      <c r="Z329"/>
      <c r="AA329"/>
      <c r="AB329" t="s">
        <v>1995</v>
      </c>
      <c r="AC329" t="n">
        <v>97</v>
      </c>
      <c r="AD329"/>
      <c r="AE329"/>
      <c r="AF329" t="s">
        <v>1996</v>
      </c>
      <c r="AG329" t="n">
        <v>94</v>
      </c>
    </row>
    <row r="330">
      <c r="A330" t="s">
        <v>1997</v>
      </c>
      <c r="B330" t="s">
        <v>31</v>
      </c>
      <c r="C330" t="s">
        <v>65</v>
      </c>
      <c r="D330" t="s">
        <v>1998</v>
      </c>
      <c r="E330" t="s">
        <v>79</v>
      </c>
      <c r="F330" t="s">
        <v>1274</v>
      </c>
      <c r="G330" t="s">
        <v>1440</v>
      </c>
      <c r="H330" t="n">
        <v>39.7766151258061</v>
      </c>
      <c r="I330" t="n">
        <v>-105.0207620612</v>
      </c>
      <c r="J330" t="s">
        <v>35</v>
      </c>
      <c r="K330" t="s">
        <v>70</v>
      </c>
      <c r="L330"/>
      <c r="M330" t="n">
        <v>1980</v>
      </c>
      <c r="N330" t="n">
        <v>1992</v>
      </c>
      <c r="O330" t="s">
        <v>1999</v>
      </c>
      <c r="P330" t="n">
        <v>5</v>
      </c>
      <c r="Q330" t="n">
        <v>1</v>
      </c>
      <c r="R330" t="n">
        <v>1</v>
      </c>
      <c r="S330" t="n">
        <v>1951</v>
      </c>
      <c r="T330" t="s">
        <v>2000</v>
      </c>
      <c r="U330" t="s">
        <v>2001</v>
      </c>
      <c r="V330" t="s">
        <v>74</v>
      </c>
      <c r="W330"/>
      <c r="X330"/>
      <c r="Y330"/>
      <c r="Z330"/>
      <c r="AA330"/>
      <c r="AB330"/>
      <c r="AC330"/>
      <c r="AD330"/>
      <c r="AE330"/>
      <c r="AF330" t="s">
        <v>2002</v>
      </c>
      <c r="AG330" t="n">
        <v>242</v>
      </c>
    </row>
    <row r="331">
      <c r="A331" t="s">
        <v>2003</v>
      </c>
      <c r="B331" t="s">
        <v>31</v>
      </c>
      <c r="C331" t="s">
        <v>65</v>
      </c>
      <c r="D331" t="s">
        <v>2004</v>
      </c>
      <c r="E331" t="s">
        <v>79</v>
      </c>
      <c r="F331" t="s">
        <v>1274</v>
      </c>
      <c r="G331" t="s">
        <v>2005</v>
      </c>
      <c r="H331" t="n">
        <v>39.6560428034821</v>
      </c>
      <c r="I331" t="n">
        <v>-105.038555538645</v>
      </c>
      <c r="J331" t="s">
        <v>35</v>
      </c>
      <c r="K331" t="s">
        <v>70</v>
      </c>
      <c r="L331"/>
      <c r="M331" t="n">
        <v>1980</v>
      </c>
      <c r="N331" t="n">
        <v>1990</v>
      </c>
      <c r="O331" t="s">
        <v>540</v>
      </c>
      <c r="P331" t="n">
        <v>4</v>
      </c>
      <c r="Q331" t="n">
        <v>1</v>
      </c>
      <c r="R331" t="n">
        <v>1</v>
      </c>
      <c r="S331" t="n">
        <v>1962</v>
      </c>
      <c r="T331" t="s">
        <v>2006</v>
      </c>
      <c r="U331" t="s">
        <v>2007</v>
      </c>
      <c r="V331" t="s">
        <v>74</v>
      </c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2008</v>
      </c>
      <c r="B332" t="s">
        <v>31</v>
      </c>
      <c r="C332" t="s">
        <v>65</v>
      </c>
      <c r="D332" t="s">
        <v>2009</v>
      </c>
      <c r="E332" t="s">
        <v>79</v>
      </c>
      <c r="F332" t="s">
        <v>1274</v>
      </c>
      <c r="G332" t="s">
        <v>1881</v>
      </c>
      <c r="H332" t="n">
        <v>39.7674404885607</v>
      </c>
      <c r="I332" t="n">
        <v>-104.918397629572</v>
      </c>
      <c r="J332" t="s">
        <v>35</v>
      </c>
      <c r="K332" t="s">
        <v>89</v>
      </c>
      <c r="L332"/>
      <c r="M332" t="n">
        <v>1980</v>
      </c>
      <c r="N332" t="n">
        <v>1980</v>
      </c>
      <c r="O332" t="s">
        <v>255</v>
      </c>
      <c r="P332" t="n">
        <v>1</v>
      </c>
      <c r="Q332" t="n">
        <v>1</v>
      </c>
      <c r="R332" t="n">
        <v>1</v>
      </c>
      <c r="S332" t="n">
        <v>1925</v>
      </c>
      <c r="T332" t="s">
        <v>2010</v>
      </c>
      <c r="U332" t="s">
        <v>2011</v>
      </c>
      <c r="V332" t="s">
        <v>74</v>
      </c>
      <c r="W332"/>
      <c r="X332"/>
      <c r="Y332"/>
      <c r="Z332"/>
      <c r="AA332"/>
      <c r="AB332"/>
      <c r="AC332"/>
      <c r="AD332"/>
      <c r="AE332"/>
      <c r="AF332" t="s">
        <v>2012</v>
      </c>
      <c r="AG332" t="n">
        <v>183</v>
      </c>
    </row>
    <row r="333">
      <c r="A333" t="s">
        <v>2013</v>
      </c>
      <c r="B333" t="s">
        <v>31</v>
      </c>
      <c r="C333" t="s">
        <v>65</v>
      </c>
      <c r="D333" t="s">
        <v>2014</v>
      </c>
      <c r="E333" t="s">
        <v>79</v>
      </c>
      <c r="F333" t="s">
        <v>1274</v>
      </c>
      <c r="G333" t="s">
        <v>1653</v>
      </c>
      <c r="H333" t="n">
        <v>39.778905</v>
      </c>
      <c r="I333" t="n">
        <v>-104.942894</v>
      </c>
      <c r="J333" t="s">
        <v>35</v>
      </c>
      <c r="K333" t="s">
        <v>141</v>
      </c>
      <c r="L333"/>
      <c r="M333" t="n">
        <v>1980</v>
      </c>
      <c r="N333" t="n">
        <v>1990</v>
      </c>
      <c r="O333" t="s">
        <v>582</v>
      </c>
      <c r="P333" t="n">
        <v>3</v>
      </c>
      <c r="Q333" t="n">
        <v>1</v>
      </c>
      <c r="R333" t="n">
        <v>1</v>
      </c>
      <c r="S333" t="n">
        <v>1963</v>
      </c>
      <c r="T333" t="s">
        <v>2015</v>
      </c>
      <c r="U333" t="s">
        <v>2016</v>
      </c>
      <c r="V333" t="s">
        <v>74</v>
      </c>
      <c r="W333"/>
      <c r="X333"/>
      <c r="Y333"/>
      <c r="Z333"/>
      <c r="AA333"/>
      <c r="AB333"/>
      <c r="AC333"/>
      <c r="AD333" t="s">
        <v>2017</v>
      </c>
      <c r="AE333" t="n">
        <v>148</v>
      </c>
      <c r="AF333" t="s">
        <v>2018</v>
      </c>
      <c r="AG333" t="n">
        <v>41</v>
      </c>
    </row>
    <row r="334">
      <c r="A334" t="s">
        <v>2019</v>
      </c>
      <c r="B334" t="s">
        <v>31</v>
      </c>
      <c r="C334" t="s">
        <v>65</v>
      </c>
      <c r="D334" t="s">
        <v>2020</v>
      </c>
      <c r="E334" t="s">
        <v>79</v>
      </c>
      <c r="F334" t="s">
        <v>1274</v>
      </c>
      <c r="G334" t="s">
        <v>1555</v>
      </c>
      <c r="H334" t="n">
        <v>39.7266520204082</v>
      </c>
      <c r="I334" t="n">
        <v>-105.000173693877</v>
      </c>
      <c r="J334" t="s">
        <v>35</v>
      </c>
      <c r="K334" t="s">
        <v>70</v>
      </c>
      <c r="L334"/>
      <c r="M334" t="n">
        <v>1980</v>
      </c>
      <c r="N334" t="n">
        <v>1990</v>
      </c>
      <c r="O334" t="s">
        <v>255</v>
      </c>
      <c r="P334" t="n">
        <v>2</v>
      </c>
      <c r="Q334" t="n">
        <v>2</v>
      </c>
      <c r="R334" t="n">
        <v>1</v>
      </c>
      <c r="S334" t="n">
        <v>1960</v>
      </c>
      <c r="T334" t="s">
        <v>2021</v>
      </c>
      <c r="U334" t="s">
        <v>2022</v>
      </c>
      <c r="V334" t="s">
        <v>74</v>
      </c>
      <c r="W334"/>
      <c r="X334"/>
      <c r="Y334"/>
      <c r="Z334"/>
      <c r="AA334"/>
      <c r="AB334" t="s">
        <v>2023</v>
      </c>
      <c r="AC334" t="n">
        <v>233</v>
      </c>
      <c r="AD334"/>
      <c r="AE334"/>
      <c r="AF334" t="s">
        <v>2024</v>
      </c>
      <c r="AG334" t="n">
        <v>180</v>
      </c>
    </row>
    <row r="335">
      <c r="A335" t="s">
        <v>2025</v>
      </c>
      <c r="B335" t="s">
        <v>31</v>
      </c>
      <c r="C335" t="s">
        <v>65</v>
      </c>
      <c r="D335" t="s">
        <v>2026</v>
      </c>
      <c r="E335" t="s">
        <v>79</v>
      </c>
      <c r="F335" t="s">
        <v>1274</v>
      </c>
      <c r="G335" t="s">
        <v>1612</v>
      </c>
      <c r="H335" t="n">
        <v>39.7111449607577</v>
      </c>
      <c r="I335" t="n">
        <v>-105.028510333317</v>
      </c>
      <c r="J335" t="s">
        <v>35</v>
      </c>
      <c r="K335" t="s">
        <v>70</v>
      </c>
      <c r="L335"/>
      <c r="M335" t="n">
        <v>1980</v>
      </c>
      <c r="N335" t="n">
        <v>1983</v>
      </c>
      <c r="O335" t="s">
        <v>528</v>
      </c>
      <c r="P335" t="n">
        <v>2</v>
      </c>
      <c r="Q335" t="n">
        <v>1</v>
      </c>
      <c r="R335" t="n">
        <v>1</v>
      </c>
      <c r="S335" t="n">
        <v>1958</v>
      </c>
      <c r="T335" t="s">
        <v>2027</v>
      </c>
      <c r="U335" t="s">
        <v>2028</v>
      </c>
      <c r="V335" t="s">
        <v>74</v>
      </c>
      <c r="W335"/>
      <c r="X335"/>
      <c r="Y335"/>
      <c r="Z335"/>
      <c r="AA335"/>
      <c r="AB335"/>
      <c r="AC335"/>
      <c r="AD335"/>
      <c r="AE335"/>
      <c r="AF335" t="s">
        <v>1925</v>
      </c>
      <c r="AG335" t="n">
        <v>85</v>
      </c>
    </row>
    <row r="336">
      <c r="A336" t="s">
        <v>2029</v>
      </c>
      <c r="B336" t="s">
        <v>31</v>
      </c>
      <c r="C336" t="s">
        <v>65</v>
      </c>
      <c r="D336" t="s">
        <v>2030</v>
      </c>
      <c r="E336" t="s">
        <v>79</v>
      </c>
      <c r="F336" t="s">
        <v>1274</v>
      </c>
      <c r="G336" t="s">
        <v>1516</v>
      </c>
      <c r="H336" t="n">
        <v>39.7121464700384</v>
      </c>
      <c r="I336" t="n">
        <v>-105.00554620831</v>
      </c>
      <c r="J336" t="s">
        <v>35</v>
      </c>
      <c r="K336" t="s">
        <v>120</v>
      </c>
      <c r="L336"/>
      <c r="M336" t="n">
        <v>1980</v>
      </c>
      <c r="N336" t="n">
        <v>1990</v>
      </c>
      <c r="O336" t="s">
        <v>351</v>
      </c>
      <c r="P336" t="n">
        <v>4</v>
      </c>
      <c r="Q336" t="n">
        <v>2</v>
      </c>
      <c r="R336" t="n">
        <v>1</v>
      </c>
      <c r="S336" t="n">
        <v>1947</v>
      </c>
      <c r="T336" t="s">
        <v>2031</v>
      </c>
      <c r="U336" t="s">
        <v>2032</v>
      </c>
      <c r="V336" t="s">
        <v>74</v>
      </c>
      <c r="W336"/>
      <c r="X336"/>
      <c r="Y336"/>
      <c r="Z336"/>
      <c r="AA336"/>
      <c r="AB336"/>
      <c r="AC336"/>
      <c r="AD336"/>
      <c r="AE336"/>
      <c r="AF336" t="s">
        <v>1990</v>
      </c>
      <c r="AG336" t="n">
        <v>106</v>
      </c>
    </row>
    <row r="337">
      <c r="A337" t="s">
        <v>2033</v>
      </c>
      <c r="B337" t="s">
        <v>31</v>
      </c>
      <c r="C337" t="s">
        <v>65</v>
      </c>
      <c r="D337" t="s">
        <v>2034</v>
      </c>
      <c r="E337" t="s">
        <v>79</v>
      </c>
      <c r="F337" t="s">
        <v>1274</v>
      </c>
      <c r="G337" t="s">
        <v>1612</v>
      </c>
      <c r="H337" t="n">
        <v>39.7094944715998</v>
      </c>
      <c r="I337" t="n">
        <v>-105.035210571272</v>
      </c>
      <c r="J337" t="s">
        <v>35</v>
      </c>
      <c r="K337" t="s">
        <v>315</v>
      </c>
      <c r="L337"/>
      <c r="M337" t="n">
        <v>1980</v>
      </c>
      <c r="N337" t="n">
        <v>1980</v>
      </c>
      <c r="O337" t="s">
        <v>255</v>
      </c>
      <c r="P337" t="n">
        <v>1</v>
      </c>
      <c r="Q337" t="n">
        <v>1</v>
      </c>
      <c r="R337" t="n">
        <v>1</v>
      </c>
      <c r="S337" t="n">
        <v>1976</v>
      </c>
      <c r="T337" t="s">
        <v>2035</v>
      </c>
      <c r="U337" t="s">
        <v>2036</v>
      </c>
      <c r="V337" t="s">
        <v>74</v>
      </c>
      <c r="W337"/>
      <c r="X337"/>
      <c r="Y337"/>
      <c r="Z337"/>
      <c r="AA337"/>
      <c r="AB337" t="s">
        <v>2037</v>
      </c>
      <c r="AC337" t="n">
        <v>173</v>
      </c>
      <c r="AD337"/>
      <c r="AE337"/>
      <c r="AF337" t="s">
        <v>2038</v>
      </c>
      <c r="AG337" t="n">
        <v>90</v>
      </c>
    </row>
    <row r="338">
      <c r="A338" t="s">
        <v>2039</v>
      </c>
      <c r="B338" t="s">
        <v>31</v>
      </c>
      <c r="C338" t="s">
        <v>65</v>
      </c>
      <c r="D338" t="s">
        <v>2040</v>
      </c>
      <c r="E338" t="s">
        <v>79</v>
      </c>
      <c r="F338" t="s">
        <v>1274</v>
      </c>
      <c r="G338" t="s">
        <v>2041</v>
      </c>
      <c r="H338" t="n">
        <v>39.6712167755952</v>
      </c>
      <c r="I338" t="n">
        <v>-104.896461521429</v>
      </c>
      <c r="J338" t="s">
        <v>35</v>
      </c>
      <c r="K338" t="s">
        <v>120</v>
      </c>
      <c r="L338"/>
      <c r="M338" t="n">
        <v>1980</v>
      </c>
      <c r="N338" t="n">
        <v>1992</v>
      </c>
      <c r="O338" t="s">
        <v>325</v>
      </c>
      <c r="P338" t="n">
        <v>5</v>
      </c>
      <c r="Q338" t="n">
        <v>8</v>
      </c>
      <c r="R338" t="n">
        <v>1</v>
      </c>
      <c r="S338" t="n">
        <v>1973</v>
      </c>
      <c r="T338" t="s">
        <v>2042</v>
      </c>
      <c r="U338" t="s">
        <v>2043</v>
      </c>
      <c r="V338" t="s">
        <v>74</v>
      </c>
      <c r="W338"/>
      <c r="X338"/>
      <c r="Y338"/>
      <c r="Z338"/>
      <c r="AA338"/>
      <c r="AB338"/>
      <c r="AC338"/>
      <c r="AD338"/>
      <c r="AE338"/>
      <c r="AF338" t="s">
        <v>2044</v>
      </c>
      <c r="AG338" t="n">
        <v>130</v>
      </c>
    </row>
    <row r="339">
      <c r="A339" t="s">
        <v>2045</v>
      </c>
      <c r="B339" t="s">
        <v>31</v>
      </c>
      <c r="C339" t="s">
        <v>65</v>
      </c>
      <c r="D339" t="s">
        <v>2046</v>
      </c>
      <c r="E339" t="s">
        <v>79</v>
      </c>
      <c r="F339" t="s">
        <v>1274</v>
      </c>
      <c r="G339" t="s">
        <v>1540</v>
      </c>
      <c r="H339" t="n">
        <v>39.7942502694253</v>
      </c>
      <c r="I339" t="n">
        <v>-105.043837119723</v>
      </c>
      <c r="J339" t="s">
        <v>35</v>
      </c>
      <c r="K339" t="s">
        <v>1282</v>
      </c>
      <c r="L339"/>
      <c r="M339" t="n">
        <v>1983</v>
      </c>
      <c r="N339" t="n">
        <v>1990</v>
      </c>
      <c r="O339" t="s">
        <v>283</v>
      </c>
      <c r="P339" t="n">
        <v>3</v>
      </c>
      <c r="Q339" t="n">
        <v>5</v>
      </c>
      <c r="R339" t="n">
        <v>4</v>
      </c>
      <c r="S339" t="n">
        <v>1975</v>
      </c>
      <c r="T339" t="s">
        <v>2047</v>
      </c>
      <c r="U339" t="s">
        <v>2048</v>
      </c>
      <c r="V339" t="s">
        <v>74</v>
      </c>
      <c r="W339"/>
      <c r="X339"/>
      <c r="Y339"/>
      <c r="Z339"/>
      <c r="AA339"/>
      <c r="AB339"/>
      <c r="AC339"/>
      <c r="AD339"/>
      <c r="AE339"/>
      <c r="AF339" t="s">
        <v>2049</v>
      </c>
      <c r="AG339" t="n">
        <v>41</v>
      </c>
    </row>
    <row r="340">
      <c r="A340" t="s">
        <v>2050</v>
      </c>
      <c r="B340" t="s">
        <v>31</v>
      </c>
      <c r="C340" t="s">
        <v>65</v>
      </c>
      <c r="D340" t="s">
        <v>2051</v>
      </c>
      <c r="E340" t="s">
        <v>79</v>
      </c>
      <c r="F340" t="s">
        <v>1274</v>
      </c>
      <c r="G340" t="s">
        <v>2041</v>
      </c>
      <c r="H340" t="n">
        <v>39.6614381286836</v>
      </c>
      <c r="I340" t="n">
        <v>-104.879400601362</v>
      </c>
      <c r="J340" t="s">
        <v>35</v>
      </c>
      <c r="K340" t="s">
        <v>70</v>
      </c>
      <c r="L340"/>
      <c r="M340" t="n">
        <v>1983</v>
      </c>
      <c r="N340" t="n">
        <v>1983</v>
      </c>
      <c r="O340" t="s">
        <v>264</v>
      </c>
      <c r="P340" t="n">
        <v>1</v>
      </c>
      <c r="Q340" t="n">
        <v>1</v>
      </c>
      <c r="R340" t="n">
        <v>1</v>
      </c>
      <c r="S340" t="n">
        <v>1978</v>
      </c>
      <c r="T340" t="s">
        <v>2052</v>
      </c>
      <c r="U340" t="s">
        <v>2053</v>
      </c>
      <c r="V340" t="s">
        <v>74</v>
      </c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2054</v>
      </c>
      <c r="B341" t="s">
        <v>31</v>
      </c>
      <c r="C341" t="s">
        <v>65</v>
      </c>
      <c r="D341" t="s">
        <v>2055</v>
      </c>
      <c r="E341" t="s">
        <v>79</v>
      </c>
      <c r="F341" t="s">
        <v>1274</v>
      </c>
      <c r="G341" t="s">
        <v>1691</v>
      </c>
      <c r="H341" t="n">
        <v>39.6614199769234</v>
      </c>
      <c r="I341" t="n">
        <v>-104.916981909733</v>
      </c>
      <c r="J341" t="s">
        <v>35</v>
      </c>
      <c r="K341" t="s">
        <v>70</v>
      </c>
      <c r="L341" t="s">
        <v>554</v>
      </c>
      <c r="M341" t="n">
        <v>1983</v>
      </c>
      <c r="N341" t="n">
        <v>1983</v>
      </c>
      <c r="O341" t="s">
        <v>264</v>
      </c>
      <c r="P341" t="n">
        <v>1</v>
      </c>
      <c r="Q341" t="n">
        <v>1</v>
      </c>
      <c r="R341" t="n">
        <v>1</v>
      </c>
      <c r="S341" t="n">
        <v>1975</v>
      </c>
      <c r="T341" t="s">
        <v>2056</v>
      </c>
      <c r="U341" t="s">
        <v>2057</v>
      </c>
      <c r="V341" t="s">
        <v>74</v>
      </c>
      <c r="W341"/>
      <c r="X341"/>
      <c r="Y341"/>
      <c r="Z341"/>
      <c r="AA341"/>
      <c r="AB341"/>
      <c r="AC341"/>
      <c r="AD341"/>
      <c r="AE341"/>
      <c r="AF341" t="s">
        <v>2058</v>
      </c>
      <c r="AG341" t="n">
        <v>161</v>
      </c>
    </row>
    <row r="342">
      <c r="A342" t="s">
        <v>2059</v>
      </c>
      <c r="B342" t="s">
        <v>31</v>
      </c>
      <c r="C342" t="s">
        <v>65</v>
      </c>
      <c r="D342" t="s">
        <v>2060</v>
      </c>
      <c r="E342" t="s">
        <v>79</v>
      </c>
      <c r="F342" t="s">
        <v>1274</v>
      </c>
      <c r="G342" t="s">
        <v>1555</v>
      </c>
      <c r="H342" t="n">
        <v>39.7310563456915</v>
      </c>
      <c r="I342" t="n">
        <v>-105.012233002025</v>
      </c>
      <c r="J342" t="s">
        <v>35</v>
      </c>
      <c r="K342" t="s">
        <v>533</v>
      </c>
      <c r="L342"/>
      <c r="M342" t="n">
        <v>1983</v>
      </c>
      <c r="N342" t="n">
        <v>1992</v>
      </c>
      <c r="O342" t="s">
        <v>2061</v>
      </c>
      <c r="P342" t="n">
        <v>4</v>
      </c>
      <c r="Q342" t="n">
        <v>3</v>
      </c>
      <c r="R342" t="n">
        <v>3</v>
      </c>
      <c r="S342" t="n">
        <v>1960</v>
      </c>
      <c r="T342" t="s">
        <v>2062</v>
      </c>
      <c r="U342" t="s">
        <v>2063</v>
      </c>
      <c r="V342" t="s">
        <v>74</v>
      </c>
      <c r="W342"/>
      <c r="X342"/>
      <c r="Y342"/>
      <c r="Z342"/>
      <c r="AA342"/>
      <c r="AB342" t="s">
        <v>2064</v>
      </c>
      <c r="AC342" t="n">
        <v>98</v>
      </c>
      <c r="AD342"/>
      <c r="AE342"/>
      <c r="AF342" t="s">
        <v>2065</v>
      </c>
      <c r="AG342" t="n">
        <v>52</v>
      </c>
    </row>
    <row r="343">
      <c r="A343" t="s">
        <v>2066</v>
      </c>
      <c r="B343" t="s">
        <v>31</v>
      </c>
      <c r="C343" t="s">
        <v>65</v>
      </c>
      <c r="D343" t="s">
        <v>2067</v>
      </c>
      <c r="E343" t="s">
        <v>79</v>
      </c>
      <c r="F343" t="s">
        <v>1274</v>
      </c>
      <c r="G343" t="s">
        <v>1516</v>
      </c>
      <c r="H343" t="n">
        <v>39.7139366003189</v>
      </c>
      <c r="I343" t="n">
        <v>-105.007029552222</v>
      </c>
      <c r="J343" t="s">
        <v>35</v>
      </c>
      <c r="K343" t="s">
        <v>141</v>
      </c>
      <c r="L343"/>
      <c r="M343" t="n">
        <v>1983</v>
      </c>
      <c r="N343" t="n">
        <v>1990</v>
      </c>
      <c r="O343" t="s">
        <v>293</v>
      </c>
      <c r="P343" t="n">
        <v>3</v>
      </c>
      <c r="Q343" t="n">
        <v>2</v>
      </c>
      <c r="R343" t="n">
        <v>1</v>
      </c>
      <c r="S343" t="n">
        <v>1977</v>
      </c>
      <c r="T343" t="s">
        <v>2068</v>
      </c>
      <c r="U343" t="s">
        <v>2069</v>
      </c>
      <c r="V343" t="s">
        <v>74</v>
      </c>
      <c r="W343"/>
      <c r="X343"/>
      <c r="Y343"/>
      <c r="Z343"/>
      <c r="AA343"/>
      <c r="AB343" t="s">
        <v>1989</v>
      </c>
      <c r="AC343" t="n">
        <v>94</v>
      </c>
      <c r="AD343"/>
      <c r="AE343"/>
      <c r="AF343" t="s">
        <v>2070</v>
      </c>
      <c r="AG343" t="n">
        <v>104</v>
      </c>
    </row>
    <row r="344">
      <c r="A344" t="s">
        <v>2071</v>
      </c>
      <c r="B344" t="s">
        <v>31</v>
      </c>
      <c r="C344" t="s">
        <v>65</v>
      </c>
      <c r="D344" t="s">
        <v>2072</v>
      </c>
      <c r="E344" t="s">
        <v>79</v>
      </c>
      <c r="F344" t="s">
        <v>1274</v>
      </c>
      <c r="G344" t="s">
        <v>1555</v>
      </c>
      <c r="H344" t="n">
        <v>39.7244696734694</v>
      </c>
      <c r="I344" t="n">
        <v>-105.000179244898</v>
      </c>
      <c r="J344" t="s">
        <v>35</v>
      </c>
      <c r="K344" t="s">
        <v>133</v>
      </c>
      <c r="L344"/>
      <c r="M344" t="n">
        <v>1983</v>
      </c>
      <c r="N344" t="n">
        <v>1983</v>
      </c>
      <c r="O344" t="s">
        <v>264</v>
      </c>
      <c r="P344" t="n">
        <v>1</v>
      </c>
      <c r="Q344" t="n">
        <v>1</v>
      </c>
      <c r="R344" t="n">
        <v>1</v>
      </c>
      <c r="S344" t="n">
        <v>1979</v>
      </c>
      <c r="T344" t="s">
        <v>2073</v>
      </c>
      <c r="U344" t="s">
        <v>2074</v>
      </c>
      <c r="V344" t="s">
        <v>74</v>
      </c>
      <c r="W344"/>
      <c r="X344"/>
      <c r="Y344"/>
      <c r="Z344"/>
      <c r="AA344"/>
      <c r="AB344" t="s">
        <v>2075</v>
      </c>
      <c r="AC344" t="n">
        <v>100</v>
      </c>
      <c r="AD344" t="s">
        <v>2076</v>
      </c>
      <c r="AE344" t="n">
        <v>162</v>
      </c>
      <c r="AF344" t="s">
        <v>2077</v>
      </c>
      <c r="AG344" t="n">
        <v>97</v>
      </c>
    </row>
    <row r="345">
      <c r="A345" t="s">
        <v>2078</v>
      </c>
      <c r="B345" t="s">
        <v>31</v>
      </c>
      <c r="C345" t="s">
        <v>65</v>
      </c>
      <c r="D345" t="s">
        <v>2079</v>
      </c>
      <c r="E345" t="s">
        <v>79</v>
      </c>
      <c r="F345" t="s">
        <v>1274</v>
      </c>
      <c r="G345" t="s">
        <v>1653</v>
      </c>
      <c r="H345" t="n">
        <v>39.781155</v>
      </c>
      <c r="I345" t="n">
        <v>-104.924636</v>
      </c>
      <c r="J345" t="s">
        <v>35</v>
      </c>
      <c r="K345" t="s">
        <v>70</v>
      </c>
      <c r="L345"/>
      <c r="M345" t="n">
        <v>1983</v>
      </c>
      <c r="N345" t="n">
        <v>1983</v>
      </c>
      <c r="O345" t="s">
        <v>264</v>
      </c>
      <c r="P345" t="n">
        <v>1</v>
      </c>
      <c r="Q345" t="n">
        <v>1</v>
      </c>
      <c r="R345" t="n">
        <v>1</v>
      </c>
      <c r="S345" t="n">
        <v>1962</v>
      </c>
      <c r="T345" t="s">
        <v>2080</v>
      </c>
      <c r="U345" t="s">
        <v>2081</v>
      </c>
      <c r="V345" t="s">
        <v>74</v>
      </c>
      <c r="W345"/>
      <c r="X345"/>
      <c r="Y345"/>
      <c r="Z345"/>
      <c r="AA345"/>
      <c r="AB345" t="s">
        <v>2082</v>
      </c>
      <c r="AC345" t="n">
        <v>248</v>
      </c>
      <c r="AD345" t="s">
        <v>2083</v>
      </c>
      <c r="AE345" t="n">
        <v>177</v>
      </c>
      <c r="AF345" t="s">
        <v>2084</v>
      </c>
      <c r="AG345" t="n">
        <v>116</v>
      </c>
    </row>
    <row r="346">
      <c r="A346" t="s">
        <v>2085</v>
      </c>
      <c r="B346" t="s">
        <v>31</v>
      </c>
      <c r="C346" t="s">
        <v>65</v>
      </c>
      <c r="D346" t="s">
        <v>2086</v>
      </c>
      <c r="E346" t="s">
        <v>79</v>
      </c>
      <c r="F346" t="s">
        <v>1274</v>
      </c>
      <c r="G346" t="s">
        <v>1516</v>
      </c>
      <c r="H346" t="n">
        <v>39.7139500686715</v>
      </c>
      <c r="I346" t="n">
        <v>-105.005295148349</v>
      </c>
      <c r="J346" t="s">
        <v>35</v>
      </c>
      <c r="K346" t="s">
        <v>89</v>
      </c>
      <c r="L346"/>
      <c r="M346" t="n">
        <v>1983</v>
      </c>
      <c r="N346" t="n">
        <v>1992</v>
      </c>
      <c r="O346" t="s">
        <v>1003</v>
      </c>
      <c r="P346" t="n">
        <v>2</v>
      </c>
      <c r="Q346" t="n">
        <v>1</v>
      </c>
      <c r="R346" t="n">
        <v>1</v>
      </c>
      <c r="S346" t="n">
        <v>1978</v>
      </c>
      <c r="T346" t="s">
        <v>2087</v>
      </c>
      <c r="U346" t="s">
        <v>2088</v>
      </c>
      <c r="V346" t="s">
        <v>74</v>
      </c>
      <c r="W346"/>
      <c r="X346"/>
      <c r="Y346"/>
      <c r="Z346"/>
      <c r="AA346"/>
      <c r="AB346" t="s">
        <v>2089</v>
      </c>
      <c r="AC346" t="n">
        <v>98</v>
      </c>
      <c r="AD346"/>
      <c r="AE346"/>
      <c r="AF346" t="s">
        <v>1990</v>
      </c>
      <c r="AG346" t="n">
        <v>103</v>
      </c>
    </row>
    <row r="347">
      <c r="A347" t="s">
        <v>2090</v>
      </c>
      <c r="B347" t="s">
        <v>31</v>
      </c>
      <c r="C347" t="s">
        <v>65</v>
      </c>
      <c r="D347" t="s">
        <v>2091</v>
      </c>
      <c r="E347" t="s">
        <v>79</v>
      </c>
      <c r="F347" t="s">
        <v>1274</v>
      </c>
      <c r="G347" t="s">
        <v>1516</v>
      </c>
      <c r="H347" t="n">
        <v>39.7084668530062</v>
      </c>
      <c r="I347" t="n">
        <v>-104.990930894152</v>
      </c>
      <c r="J347" t="s">
        <v>35</v>
      </c>
      <c r="K347" t="s">
        <v>315</v>
      </c>
      <c r="L347"/>
      <c r="M347" t="n">
        <v>1983</v>
      </c>
      <c r="N347" t="n">
        <v>1990</v>
      </c>
      <c r="O347" t="s">
        <v>271</v>
      </c>
      <c r="P347" t="n">
        <v>3</v>
      </c>
      <c r="Q347" t="n">
        <v>2</v>
      </c>
      <c r="R347" t="n">
        <v>2</v>
      </c>
      <c r="S347" t="n">
        <v>1978</v>
      </c>
      <c r="T347" t="s">
        <v>2092</v>
      </c>
      <c r="U347" t="s">
        <v>2093</v>
      </c>
      <c r="V347" t="s">
        <v>74</v>
      </c>
      <c r="W347"/>
      <c r="X347"/>
      <c r="Y347"/>
      <c r="Z347"/>
      <c r="AA347"/>
      <c r="AB347"/>
      <c r="AC347"/>
      <c r="AD347" t="s">
        <v>2094</v>
      </c>
      <c r="AE347" t="n">
        <v>203</v>
      </c>
      <c r="AF347" t="s">
        <v>2095</v>
      </c>
      <c r="AG347" t="n">
        <v>97</v>
      </c>
    </row>
    <row r="348">
      <c r="A348" t="s">
        <v>2096</v>
      </c>
      <c r="B348" t="s">
        <v>31</v>
      </c>
      <c r="C348" t="s">
        <v>65</v>
      </c>
      <c r="D348" t="s">
        <v>2097</v>
      </c>
      <c r="E348" t="s">
        <v>79</v>
      </c>
      <c r="F348" t="s">
        <v>1274</v>
      </c>
      <c r="G348" t="s">
        <v>1516</v>
      </c>
      <c r="H348" t="n">
        <v>39.7130429267446</v>
      </c>
      <c r="I348" t="n">
        <v>-105.00758239035</v>
      </c>
      <c r="J348" t="s">
        <v>35</v>
      </c>
      <c r="K348" t="s">
        <v>70</v>
      </c>
      <c r="L348"/>
      <c r="M348" t="n">
        <v>1983</v>
      </c>
      <c r="N348" t="n">
        <v>1992</v>
      </c>
      <c r="O348" t="s">
        <v>2061</v>
      </c>
      <c r="P348" t="n">
        <v>4</v>
      </c>
      <c r="Q348" t="n">
        <v>1</v>
      </c>
      <c r="R348" t="n">
        <v>1</v>
      </c>
      <c r="S348" t="n">
        <v>1962</v>
      </c>
      <c r="T348" t="s">
        <v>2098</v>
      </c>
      <c r="U348" t="s">
        <v>2099</v>
      </c>
      <c r="V348" t="s">
        <v>74</v>
      </c>
      <c r="W348"/>
      <c r="X348"/>
      <c r="Y348"/>
      <c r="Z348"/>
      <c r="AA348"/>
      <c r="AB348" t="s">
        <v>1989</v>
      </c>
      <c r="AC348" t="n">
        <v>201</v>
      </c>
      <c r="AD348"/>
      <c r="AE348"/>
      <c r="AF348" t="s">
        <v>2070</v>
      </c>
      <c r="AG348" t="n">
        <v>113</v>
      </c>
    </row>
    <row r="349">
      <c r="A349" t="s">
        <v>2100</v>
      </c>
      <c r="B349" t="s">
        <v>31</v>
      </c>
      <c r="C349" t="s">
        <v>65</v>
      </c>
      <c r="D349" t="s">
        <v>2101</v>
      </c>
      <c r="E349" t="s">
        <v>79</v>
      </c>
      <c r="F349" t="s">
        <v>1274</v>
      </c>
      <c r="G349" t="s">
        <v>1612</v>
      </c>
      <c r="H349" t="n">
        <v>39.7092035337108</v>
      </c>
      <c r="I349" t="n">
        <v>-105.035627451674</v>
      </c>
      <c r="J349" t="s">
        <v>35</v>
      </c>
      <c r="K349" t="s">
        <v>220</v>
      </c>
      <c r="L349"/>
      <c r="M349" t="n">
        <v>1983</v>
      </c>
      <c r="N349" t="n">
        <v>1990</v>
      </c>
      <c r="O349" t="s">
        <v>293</v>
      </c>
      <c r="P349" t="n">
        <v>2</v>
      </c>
      <c r="Q349" t="n">
        <v>2</v>
      </c>
      <c r="R349" t="n">
        <v>2</v>
      </c>
      <c r="S349" t="n">
        <v>1976</v>
      </c>
      <c r="T349" t="s">
        <v>2102</v>
      </c>
      <c r="U349" t="s">
        <v>2103</v>
      </c>
      <c r="V349" t="s">
        <v>74</v>
      </c>
      <c r="W349"/>
      <c r="X349"/>
      <c r="Y349"/>
      <c r="Z349"/>
      <c r="AA349"/>
      <c r="AB349" t="s">
        <v>2037</v>
      </c>
      <c r="AC349" t="n">
        <v>125</v>
      </c>
      <c r="AD349"/>
      <c r="AE349"/>
      <c r="AF349" t="s">
        <v>2038</v>
      </c>
      <c r="AG349" t="n">
        <v>42</v>
      </c>
    </row>
    <row r="350">
      <c r="A350" t="s">
        <v>2104</v>
      </c>
      <c r="B350" t="s">
        <v>31</v>
      </c>
      <c r="C350" t="s">
        <v>65</v>
      </c>
      <c r="D350" t="s">
        <v>2105</v>
      </c>
      <c r="E350" t="s">
        <v>79</v>
      </c>
      <c r="F350" t="s">
        <v>1274</v>
      </c>
      <c r="G350" t="s">
        <v>1516</v>
      </c>
      <c r="H350" t="n">
        <v>39.7075605102041</v>
      </c>
      <c r="I350" t="n">
        <v>-105.002800897959</v>
      </c>
      <c r="J350" t="s">
        <v>35</v>
      </c>
      <c r="K350" t="s">
        <v>141</v>
      </c>
      <c r="L350"/>
      <c r="M350" t="n">
        <v>1983</v>
      </c>
      <c r="N350" t="n">
        <v>1992</v>
      </c>
      <c r="O350" t="s">
        <v>2061</v>
      </c>
      <c r="P350" t="n">
        <v>4</v>
      </c>
      <c r="Q350" t="n">
        <v>1</v>
      </c>
      <c r="R350" t="n">
        <v>1</v>
      </c>
      <c r="S350" t="n">
        <v>1969</v>
      </c>
      <c r="T350" t="s">
        <v>2106</v>
      </c>
      <c r="U350" t="s">
        <v>2107</v>
      </c>
      <c r="V350" t="s">
        <v>74</v>
      </c>
      <c r="W350"/>
      <c r="X350"/>
      <c r="Y350"/>
      <c r="Z350"/>
      <c r="AA350"/>
      <c r="AB350"/>
      <c r="AC350"/>
      <c r="AD350"/>
      <c r="AE350"/>
      <c r="AF350" t="s">
        <v>1437</v>
      </c>
      <c r="AG350" t="n">
        <v>100</v>
      </c>
    </row>
    <row r="351">
      <c r="A351" t="s">
        <v>2108</v>
      </c>
      <c r="B351" t="s">
        <v>31</v>
      </c>
      <c r="C351" t="s">
        <v>65</v>
      </c>
      <c r="D351" t="s">
        <v>2109</v>
      </c>
      <c r="E351" t="s">
        <v>79</v>
      </c>
      <c r="F351" t="s">
        <v>1274</v>
      </c>
      <c r="G351" t="s">
        <v>1881</v>
      </c>
      <c r="H351" t="n">
        <v>39.7710639167198</v>
      </c>
      <c r="I351" t="n">
        <v>-104.918935720872</v>
      </c>
      <c r="J351" t="s">
        <v>35</v>
      </c>
      <c r="K351" t="s">
        <v>141</v>
      </c>
      <c r="L351"/>
      <c r="M351" t="n">
        <v>1988</v>
      </c>
      <c r="N351" t="n">
        <v>1988</v>
      </c>
      <c r="O351" t="s">
        <v>325</v>
      </c>
      <c r="P351" t="n">
        <v>1</v>
      </c>
      <c r="Q351" t="n">
        <v>1</v>
      </c>
      <c r="R351" t="n">
        <v>1</v>
      </c>
      <c r="S351" t="n">
        <v>1942</v>
      </c>
      <c r="T351" t="s">
        <v>2110</v>
      </c>
      <c r="U351" t="s">
        <v>2111</v>
      </c>
      <c r="V351" t="s">
        <v>74</v>
      </c>
      <c r="W351"/>
      <c r="X351"/>
      <c r="Y351"/>
      <c r="Z351"/>
      <c r="AA351"/>
      <c r="AB351"/>
      <c r="AC351"/>
      <c r="AD351" t="s">
        <v>2112</v>
      </c>
      <c r="AE351" t="n">
        <v>188</v>
      </c>
      <c r="AF351" t="s">
        <v>2113</v>
      </c>
      <c r="AG351" t="n">
        <v>40</v>
      </c>
    </row>
    <row r="352">
      <c r="A352" t="s">
        <v>2114</v>
      </c>
      <c r="B352" t="s">
        <v>31</v>
      </c>
      <c r="C352" t="s">
        <v>65</v>
      </c>
      <c r="D352" t="s">
        <v>2115</v>
      </c>
      <c r="E352" t="s">
        <v>79</v>
      </c>
      <c r="F352" t="s">
        <v>1274</v>
      </c>
      <c r="G352" t="s">
        <v>1702</v>
      </c>
      <c r="H352" t="n">
        <v>39.7768452662799</v>
      </c>
      <c r="I352" t="n">
        <v>-104.828395280398</v>
      </c>
      <c r="J352" t="s">
        <v>35</v>
      </c>
      <c r="K352" t="s">
        <v>70</v>
      </c>
      <c r="L352"/>
      <c r="M352" t="n">
        <v>1988</v>
      </c>
      <c r="N352" t="n">
        <v>1988</v>
      </c>
      <c r="O352" t="s">
        <v>325</v>
      </c>
      <c r="P352" t="n">
        <v>1</v>
      </c>
      <c r="Q352" t="n">
        <v>1</v>
      </c>
      <c r="R352" t="n">
        <v>1</v>
      </c>
      <c r="S352" t="n">
        <v>1979</v>
      </c>
      <c r="T352" t="s">
        <v>2116</v>
      </c>
      <c r="U352" t="s">
        <v>2117</v>
      </c>
      <c r="V352" t="s">
        <v>74</v>
      </c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2118</v>
      </c>
      <c r="B353" t="s">
        <v>31</v>
      </c>
      <c r="C353" t="s">
        <v>65</v>
      </c>
      <c r="D353" t="s">
        <v>2119</v>
      </c>
      <c r="E353" t="s">
        <v>79</v>
      </c>
      <c r="F353" t="s">
        <v>1274</v>
      </c>
      <c r="G353" t="s">
        <v>1612</v>
      </c>
      <c r="H353" t="n">
        <v>39.7181777190077</v>
      </c>
      <c r="I353" t="n">
        <v>-105.047637999934</v>
      </c>
      <c r="J353" t="s">
        <v>35</v>
      </c>
      <c r="K353" t="s">
        <v>120</v>
      </c>
      <c r="L353"/>
      <c r="M353" t="n">
        <v>1988</v>
      </c>
      <c r="N353" t="n">
        <v>1990</v>
      </c>
      <c r="O353" t="s">
        <v>310</v>
      </c>
      <c r="P353" t="n">
        <v>2</v>
      </c>
      <c r="Q353" t="n">
        <v>2</v>
      </c>
      <c r="R353" t="n">
        <v>2</v>
      </c>
      <c r="S353" t="n">
        <v>1973</v>
      </c>
      <c r="T353" t="s">
        <v>2120</v>
      </c>
      <c r="U353" t="s">
        <v>2121</v>
      </c>
      <c r="V353" t="s">
        <v>74</v>
      </c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2122</v>
      </c>
      <c r="B354" t="s">
        <v>31</v>
      </c>
      <c r="C354" t="s">
        <v>65</v>
      </c>
      <c r="D354" t="s">
        <v>2123</v>
      </c>
      <c r="E354" t="s">
        <v>79</v>
      </c>
      <c r="F354" t="s">
        <v>1274</v>
      </c>
      <c r="G354" t="s">
        <v>1702</v>
      </c>
      <c r="H354" t="n">
        <v>39.788223080988</v>
      </c>
      <c r="I354" t="n">
        <v>-104.854867103309</v>
      </c>
      <c r="J354" t="s">
        <v>35</v>
      </c>
      <c r="K354" t="s">
        <v>133</v>
      </c>
      <c r="L354"/>
      <c r="M354" t="n">
        <v>1988</v>
      </c>
      <c r="N354" t="n">
        <v>1990</v>
      </c>
      <c r="O354" t="s">
        <v>310</v>
      </c>
      <c r="P354" t="n">
        <v>2</v>
      </c>
      <c r="Q354" t="n">
        <v>1</v>
      </c>
      <c r="R354" t="n">
        <v>1</v>
      </c>
      <c r="S354" t="n">
        <v>1983</v>
      </c>
      <c r="T354" t="s">
        <v>2124</v>
      </c>
      <c r="U354" t="s">
        <v>2125</v>
      </c>
      <c r="V354" t="s">
        <v>74</v>
      </c>
      <c r="W354"/>
      <c r="X354"/>
      <c r="Y354"/>
      <c r="Z354"/>
      <c r="AA354"/>
      <c r="AB354"/>
      <c r="AC354"/>
      <c r="AD354" t="s">
        <v>2126</v>
      </c>
      <c r="AE354" t="n">
        <v>150</v>
      </c>
      <c r="AF354" t="s">
        <v>2127</v>
      </c>
      <c r="AG354" t="n">
        <v>159</v>
      </c>
    </row>
    <row r="355">
      <c r="A355" t="s">
        <v>2128</v>
      </c>
      <c r="B355" t="s">
        <v>31</v>
      </c>
      <c r="C355" t="s">
        <v>65</v>
      </c>
      <c r="D355" t="s">
        <v>2129</v>
      </c>
      <c r="E355" t="s">
        <v>79</v>
      </c>
      <c r="F355" t="s">
        <v>1274</v>
      </c>
      <c r="G355" t="s">
        <v>1516</v>
      </c>
      <c r="H355" t="n">
        <v>39.7171286379799</v>
      </c>
      <c r="I355" t="n">
        <v>-105.002474875616</v>
      </c>
      <c r="J355" t="s">
        <v>35</v>
      </c>
      <c r="K355" t="s">
        <v>70</v>
      </c>
      <c r="L355"/>
      <c r="M355" t="n">
        <v>1988</v>
      </c>
      <c r="N355" t="n">
        <v>1990</v>
      </c>
      <c r="O355" t="s">
        <v>310</v>
      </c>
      <c r="P355" t="n">
        <v>2</v>
      </c>
      <c r="Q355" t="n">
        <v>1</v>
      </c>
      <c r="R355" t="n">
        <v>1</v>
      </c>
      <c r="S355" t="n">
        <v>1980</v>
      </c>
      <c r="T355" t="s">
        <v>2130</v>
      </c>
      <c r="U355" t="s">
        <v>2131</v>
      </c>
      <c r="V355" t="s">
        <v>74</v>
      </c>
      <c r="W355"/>
      <c r="X355"/>
      <c r="Y355"/>
      <c r="Z355"/>
      <c r="AA355"/>
      <c r="AB355" t="s">
        <v>2132</v>
      </c>
      <c r="AC355" t="n">
        <v>249</v>
      </c>
      <c r="AD355"/>
      <c r="AE355"/>
      <c r="AF355" t="s">
        <v>1892</v>
      </c>
      <c r="AG355" t="n">
        <v>76</v>
      </c>
    </row>
    <row r="356">
      <c r="A356" t="s">
        <v>2133</v>
      </c>
      <c r="B356" t="s">
        <v>31</v>
      </c>
      <c r="C356" t="s">
        <v>65</v>
      </c>
      <c r="D356" t="s">
        <v>2134</v>
      </c>
      <c r="E356" t="s">
        <v>79</v>
      </c>
      <c r="F356" t="s">
        <v>1274</v>
      </c>
      <c r="G356" t="s">
        <v>1702</v>
      </c>
      <c r="H356" t="n">
        <v>39.7837526175896</v>
      </c>
      <c r="I356" t="n">
        <v>-104.854850969869</v>
      </c>
      <c r="J356" t="s">
        <v>35</v>
      </c>
      <c r="K356" t="s">
        <v>89</v>
      </c>
      <c r="L356" t="s">
        <v>554</v>
      </c>
      <c r="M356" t="n">
        <v>1988</v>
      </c>
      <c r="N356" t="n">
        <v>1990</v>
      </c>
      <c r="O356" t="s">
        <v>310</v>
      </c>
      <c r="P356" t="n">
        <v>2</v>
      </c>
      <c r="Q356" t="n">
        <v>2</v>
      </c>
      <c r="R356" t="n">
        <v>2</v>
      </c>
      <c r="S356" t="n">
        <v>1967</v>
      </c>
      <c r="T356" t="s">
        <v>2135</v>
      </c>
      <c r="U356" t="s">
        <v>2136</v>
      </c>
      <c r="V356" t="s">
        <v>74</v>
      </c>
      <c r="W356"/>
      <c r="X356"/>
      <c r="Y356"/>
      <c r="Z356"/>
      <c r="AA356"/>
      <c r="AB356"/>
      <c r="AC356"/>
      <c r="AD356"/>
      <c r="AE356"/>
      <c r="AF356" t="s">
        <v>2137</v>
      </c>
      <c r="AG356" t="n">
        <v>123</v>
      </c>
    </row>
    <row r="357">
      <c r="A357" t="s">
        <v>2138</v>
      </c>
      <c r="B357" t="s">
        <v>31</v>
      </c>
      <c r="C357" t="s">
        <v>65</v>
      </c>
      <c r="D357" t="s">
        <v>2139</v>
      </c>
      <c r="E357" t="s">
        <v>79</v>
      </c>
      <c r="F357" t="s">
        <v>1274</v>
      </c>
      <c r="G357" t="s">
        <v>2041</v>
      </c>
      <c r="H357" t="n">
        <v>39.6820844501019</v>
      </c>
      <c r="I357" t="n">
        <v>-104.901238878519</v>
      </c>
      <c r="J357" t="s">
        <v>35</v>
      </c>
      <c r="K357" t="s">
        <v>1242</v>
      </c>
      <c r="L357"/>
      <c r="M357" t="n">
        <v>1988</v>
      </c>
      <c r="N357" t="n">
        <v>1990</v>
      </c>
      <c r="O357" t="s">
        <v>310</v>
      </c>
      <c r="P357" t="n">
        <v>2</v>
      </c>
      <c r="Q357" t="n">
        <v>2</v>
      </c>
      <c r="R357" t="n">
        <v>2</v>
      </c>
      <c r="S357" t="n">
        <v>1986</v>
      </c>
      <c r="T357" t="s">
        <v>2140</v>
      </c>
      <c r="U357" t="s">
        <v>2141</v>
      </c>
      <c r="V357" t="s">
        <v>74</v>
      </c>
      <c r="W357"/>
      <c r="X357"/>
      <c r="Y357"/>
      <c r="Z357"/>
      <c r="AA357"/>
      <c r="AB357" t="s">
        <v>2142</v>
      </c>
      <c r="AC357" t="n">
        <v>228</v>
      </c>
      <c r="AD357"/>
      <c r="AE357"/>
      <c r="AF357" t="s">
        <v>2143</v>
      </c>
      <c r="AG357" t="n">
        <v>109</v>
      </c>
    </row>
    <row r="358">
      <c r="A358" t="s">
        <v>2144</v>
      </c>
      <c r="B358" t="s">
        <v>31</v>
      </c>
      <c r="C358" t="s">
        <v>65</v>
      </c>
      <c r="D358" t="s">
        <v>2145</v>
      </c>
      <c r="E358" t="s">
        <v>79</v>
      </c>
      <c r="F358" t="s">
        <v>1274</v>
      </c>
      <c r="G358" t="s">
        <v>1516</v>
      </c>
      <c r="H358" t="n">
        <v>39.720926</v>
      </c>
      <c r="I358" t="n">
        <v>-105.00510483298</v>
      </c>
      <c r="J358" t="s">
        <v>35</v>
      </c>
      <c r="K358" t="s">
        <v>133</v>
      </c>
      <c r="L358"/>
      <c r="M358" t="n">
        <v>1990</v>
      </c>
      <c r="N358" t="n">
        <v>1990</v>
      </c>
      <c r="O358" t="s">
        <v>351</v>
      </c>
      <c r="P358" t="n">
        <v>1</v>
      </c>
      <c r="Q358" t="n">
        <v>1</v>
      </c>
      <c r="R358" t="n">
        <v>1</v>
      </c>
      <c r="S358" t="n">
        <v>1965</v>
      </c>
      <c r="T358" t="s">
        <v>2146</v>
      </c>
      <c r="U358" t="s">
        <v>2147</v>
      </c>
      <c r="V358" t="s">
        <v>74</v>
      </c>
      <c r="W358"/>
      <c r="X358"/>
      <c r="Y358"/>
      <c r="Z358"/>
      <c r="AA358"/>
      <c r="AB358"/>
      <c r="AC358"/>
      <c r="AD358"/>
      <c r="AE358"/>
      <c r="AF358" t="s">
        <v>2148</v>
      </c>
      <c r="AG358" t="n">
        <v>73</v>
      </c>
    </row>
    <row r="359">
      <c r="A359" t="s">
        <v>2149</v>
      </c>
      <c r="B359" t="s">
        <v>31</v>
      </c>
      <c r="C359" t="s">
        <v>65</v>
      </c>
      <c r="D359" t="s">
        <v>2150</v>
      </c>
      <c r="E359" t="s">
        <v>79</v>
      </c>
      <c r="F359" t="s">
        <v>1274</v>
      </c>
      <c r="G359" t="s">
        <v>1653</v>
      </c>
      <c r="H359" t="n">
        <v>39.7983031263826</v>
      </c>
      <c r="I359" t="n">
        <v>-104.983666384896</v>
      </c>
      <c r="J359" t="s">
        <v>35</v>
      </c>
      <c r="K359" t="s">
        <v>133</v>
      </c>
      <c r="L359"/>
      <c r="M359" t="n">
        <v>1990</v>
      </c>
      <c r="N359" t="n">
        <v>1992</v>
      </c>
      <c r="O359" t="s">
        <v>357</v>
      </c>
      <c r="P359" t="n">
        <v>2</v>
      </c>
      <c r="Q359" t="n">
        <v>2</v>
      </c>
      <c r="R359" t="n">
        <v>2</v>
      </c>
      <c r="S359" t="n">
        <v>1977</v>
      </c>
      <c r="T359" t="s">
        <v>2151</v>
      </c>
      <c r="U359" t="s">
        <v>2152</v>
      </c>
      <c r="V359" t="s">
        <v>74</v>
      </c>
      <c r="W359"/>
      <c r="X359"/>
      <c r="Y359"/>
      <c r="Z359"/>
      <c r="AA359"/>
      <c r="AB359"/>
      <c r="AC359"/>
      <c r="AD359" t="s">
        <v>2153</v>
      </c>
      <c r="AE359" t="n">
        <v>184</v>
      </c>
      <c r="AF359" t="s">
        <v>2154</v>
      </c>
      <c r="AG359" t="n">
        <v>106</v>
      </c>
    </row>
    <row r="360">
      <c r="A360" t="s">
        <v>2155</v>
      </c>
      <c r="B360" t="s">
        <v>31</v>
      </c>
      <c r="C360" t="s">
        <v>65</v>
      </c>
      <c r="D360" t="s">
        <v>2156</v>
      </c>
      <c r="E360" t="s">
        <v>79</v>
      </c>
      <c r="F360" t="s">
        <v>1274</v>
      </c>
      <c r="G360" t="s">
        <v>1702</v>
      </c>
      <c r="H360" t="n">
        <v>39.7903273427106</v>
      </c>
      <c r="I360" t="n">
        <v>-104.849597922534</v>
      </c>
      <c r="J360" t="s">
        <v>35</v>
      </c>
      <c r="K360" t="s">
        <v>70</v>
      </c>
      <c r="L360"/>
      <c r="M360" t="n">
        <v>1990</v>
      </c>
      <c r="N360" t="n">
        <v>1990</v>
      </c>
      <c r="O360" t="s">
        <v>351</v>
      </c>
      <c r="P360" t="n">
        <v>1</v>
      </c>
      <c r="Q360" t="n">
        <v>1</v>
      </c>
      <c r="R360" t="n">
        <v>1</v>
      </c>
      <c r="S360" t="n">
        <v>1987</v>
      </c>
      <c r="T360" t="s">
        <v>2157</v>
      </c>
      <c r="U360" t="s">
        <v>2158</v>
      </c>
      <c r="V360" t="s">
        <v>74</v>
      </c>
      <c r="W360"/>
      <c r="X360"/>
      <c r="Y360"/>
      <c r="Z360"/>
      <c r="AA360"/>
      <c r="AB360" t="s">
        <v>2159</v>
      </c>
      <c r="AC360" t="n">
        <v>214</v>
      </c>
      <c r="AD360" t="s">
        <v>2160</v>
      </c>
      <c r="AE360" t="n">
        <v>171</v>
      </c>
      <c r="AF360" t="s">
        <v>2161</v>
      </c>
      <c r="AG360" t="n">
        <v>93</v>
      </c>
    </row>
    <row r="361">
      <c r="A361" t="s">
        <v>2162</v>
      </c>
      <c r="B361" t="s">
        <v>31</v>
      </c>
      <c r="C361" t="s">
        <v>65</v>
      </c>
      <c r="D361" t="s">
        <v>2163</v>
      </c>
      <c r="E361" t="s">
        <v>79</v>
      </c>
      <c r="F361" t="s">
        <v>1274</v>
      </c>
      <c r="G361" t="s">
        <v>1653</v>
      </c>
      <c r="H361" t="n">
        <v>39.7742789315345</v>
      </c>
      <c r="I361" t="n">
        <v>-104.912827175676</v>
      </c>
      <c r="J361" t="s">
        <v>35</v>
      </c>
      <c r="K361" t="s">
        <v>133</v>
      </c>
      <c r="L361"/>
      <c r="M361" t="n">
        <v>1990</v>
      </c>
      <c r="N361" t="n">
        <v>1992</v>
      </c>
      <c r="O361" t="s">
        <v>357</v>
      </c>
      <c r="P361" t="n">
        <v>2</v>
      </c>
      <c r="Q361" t="n">
        <v>1</v>
      </c>
      <c r="R361" t="n">
        <v>1</v>
      </c>
      <c r="S361" t="n">
        <v>1963</v>
      </c>
      <c r="T361" t="s">
        <v>2164</v>
      </c>
      <c r="U361" t="s">
        <v>2165</v>
      </c>
      <c r="V361" t="s">
        <v>74</v>
      </c>
      <c r="W361"/>
      <c r="X361"/>
      <c r="Y361"/>
      <c r="Z361"/>
      <c r="AA361"/>
      <c r="AB361" t="s">
        <v>2166</v>
      </c>
      <c r="AC361" t="n">
        <v>248</v>
      </c>
      <c r="AD361"/>
      <c r="AE361"/>
      <c r="AF361" t="s">
        <v>2167</v>
      </c>
      <c r="AG361" t="n">
        <v>41</v>
      </c>
    </row>
    <row r="362">
      <c r="A362" t="s">
        <v>2168</v>
      </c>
      <c r="B362" t="s">
        <v>31</v>
      </c>
      <c r="C362" t="s">
        <v>65</v>
      </c>
      <c r="D362" t="s">
        <v>2169</v>
      </c>
      <c r="E362" t="s">
        <v>79</v>
      </c>
      <c r="F362" t="s">
        <v>1274</v>
      </c>
      <c r="G362" t="s">
        <v>2170</v>
      </c>
      <c r="H362" t="n">
        <v>39.631528</v>
      </c>
      <c r="I362" t="n">
        <v>-104.896928</v>
      </c>
      <c r="J362" t="s">
        <v>35</v>
      </c>
      <c r="K362" t="s">
        <v>120</v>
      </c>
      <c r="L362"/>
      <c r="M362" t="n">
        <v>1990</v>
      </c>
      <c r="N362" t="n">
        <v>1990</v>
      </c>
      <c r="O362" t="s">
        <v>351</v>
      </c>
      <c r="P362" t="n">
        <v>1</v>
      </c>
      <c r="Q362" t="n">
        <v>1</v>
      </c>
      <c r="R362" t="n">
        <v>1</v>
      </c>
      <c r="S362"/>
      <c r="T362" t="s">
        <v>2171</v>
      </c>
      <c r="U362" t="s">
        <v>2172</v>
      </c>
      <c r="V362" t="s">
        <v>74</v>
      </c>
      <c r="W362"/>
      <c r="X362"/>
      <c r="Y362"/>
      <c r="Z362"/>
      <c r="AA362"/>
      <c r="AB362"/>
      <c r="AC362"/>
      <c r="AD362"/>
      <c r="AE362"/>
      <c r="AF362" t="s">
        <v>2173</v>
      </c>
      <c r="AG362" t="n">
        <v>47</v>
      </c>
    </row>
    <row r="363">
      <c r="A363" t="s">
        <v>2174</v>
      </c>
      <c r="B363" t="s">
        <v>31</v>
      </c>
      <c r="C363" t="s">
        <v>65</v>
      </c>
      <c r="D363" t="s">
        <v>2175</v>
      </c>
      <c r="E363" t="s">
        <v>79</v>
      </c>
      <c r="F363" t="s">
        <v>1274</v>
      </c>
      <c r="G363" t="s">
        <v>1509</v>
      </c>
      <c r="H363" t="n">
        <v>39.6573786944129</v>
      </c>
      <c r="I363" t="n">
        <v>-104.9362922449</v>
      </c>
      <c r="J363" t="s">
        <v>35</v>
      </c>
      <c r="K363" t="s">
        <v>120</v>
      </c>
      <c r="L363"/>
      <c r="M363" t="n">
        <v>1990</v>
      </c>
      <c r="N363" t="n">
        <v>1990</v>
      </c>
      <c r="O363" t="s">
        <v>351</v>
      </c>
      <c r="P363" t="n">
        <v>1</v>
      </c>
      <c r="Q363" t="n">
        <v>1</v>
      </c>
      <c r="R363" t="n">
        <v>1</v>
      </c>
      <c r="S363" t="n">
        <v>1962</v>
      </c>
      <c r="T363" t="s">
        <v>2176</v>
      </c>
      <c r="U363" t="s">
        <v>2177</v>
      </c>
      <c r="V363" t="s">
        <v>74</v>
      </c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2178</v>
      </c>
      <c r="B364" t="s">
        <v>31</v>
      </c>
      <c r="C364" t="s">
        <v>65</v>
      </c>
      <c r="D364" t="s">
        <v>2179</v>
      </c>
      <c r="E364" t="s">
        <v>79</v>
      </c>
      <c r="F364" t="s">
        <v>1274</v>
      </c>
      <c r="G364" t="s">
        <v>2005</v>
      </c>
      <c r="H364" t="n">
        <v>39.6324549275362</v>
      </c>
      <c r="I364" t="n">
        <v>-105.036186275362</v>
      </c>
      <c r="J364" t="s">
        <v>35</v>
      </c>
      <c r="K364" t="s">
        <v>120</v>
      </c>
      <c r="L364"/>
      <c r="M364" t="n">
        <v>1990</v>
      </c>
      <c r="N364" t="n">
        <v>1990</v>
      </c>
      <c r="O364" t="s">
        <v>351</v>
      </c>
      <c r="P364" t="n">
        <v>1</v>
      </c>
      <c r="Q364" t="n">
        <v>1</v>
      </c>
      <c r="R364" t="n">
        <v>1</v>
      </c>
      <c r="S364" t="n">
        <v>1984</v>
      </c>
      <c r="T364" t="s">
        <v>2180</v>
      </c>
      <c r="U364" t="s">
        <v>2181</v>
      </c>
      <c r="V364" t="s">
        <v>74</v>
      </c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2182</v>
      </c>
      <c r="B365" t="s">
        <v>31</v>
      </c>
      <c r="C365" t="s">
        <v>65</v>
      </c>
      <c r="D365" t="s">
        <v>2183</v>
      </c>
      <c r="E365" t="s">
        <v>79</v>
      </c>
      <c r="F365" t="s">
        <v>1274</v>
      </c>
      <c r="G365" t="s">
        <v>1612</v>
      </c>
      <c r="H365" t="n">
        <v>39.686679</v>
      </c>
      <c r="I365" t="n">
        <v>-105.025053</v>
      </c>
      <c r="J365" t="s">
        <v>35</v>
      </c>
      <c r="K365" t="s">
        <v>133</v>
      </c>
      <c r="L365"/>
      <c r="M365" t="n">
        <v>1990</v>
      </c>
      <c r="N365" t="n">
        <v>1992</v>
      </c>
      <c r="O365" t="s">
        <v>357</v>
      </c>
      <c r="P365" t="n">
        <v>2</v>
      </c>
      <c r="Q365" t="n">
        <v>1</v>
      </c>
      <c r="R365" t="n">
        <v>1</v>
      </c>
      <c r="S365" t="n">
        <v>1966</v>
      </c>
      <c r="T365" t="s">
        <v>2184</v>
      </c>
      <c r="U365" t="s">
        <v>2185</v>
      </c>
      <c r="V365" t="s">
        <v>74</v>
      </c>
      <c r="W365"/>
      <c r="X365"/>
      <c r="Y365"/>
      <c r="Z365"/>
      <c r="AA365"/>
      <c r="AB365"/>
      <c r="AC365"/>
      <c r="AD365"/>
      <c r="AE365"/>
      <c r="AF365" t="s">
        <v>2186</v>
      </c>
      <c r="AG365" t="n">
        <v>100</v>
      </c>
    </row>
    <row r="366">
      <c r="A366" t="s">
        <v>2187</v>
      </c>
      <c r="B366" t="s">
        <v>31</v>
      </c>
      <c r="C366" t="s">
        <v>65</v>
      </c>
      <c r="D366" t="s">
        <v>2188</v>
      </c>
      <c r="E366" t="s">
        <v>79</v>
      </c>
      <c r="F366" t="s">
        <v>1274</v>
      </c>
      <c r="G366" t="s">
        <v>1574</v>
      </c>
      <c r="H366" t="n">
        <v>39.755919620017</v>
      </c>
      <c r="I366" t="n">
        <v>-104.990499056326</v>
      </c>
      <c r="J366" t="s">
        <v>35</v>
      </c>
      <c r="K366" t="s">
        <v>527</v>
      </c>
      <c r="L366"/>
      <c r="M366" t="n">
        <v>1990</v>
      </c>
      <c r="N366" t="n">
        <v>1990</v>
      </c>
      <c r="O366" t="s">
        <v>351</v>
      </c>
      <c r="P366" t="n">
        <v>1</v>
      </c>
      <c r="Q366" t="n">
        <v>1</v>
      </c>
      <c r="R366" t="n">
        <v>1</v>
      </c>
      <c r="S366" t="n">
        <v>1904</v>
      </c>
      <c r="T366" t="s">
        <v>2189</v>
      </c>
      <c r="U366" t="s">
        <v>2190</v>
      </c>
      <c r="V366" t="s">
        <v>74</v>
      </c>
      <c r="W366"/>
      <c r="X366"/>
      <c r="Y366"/>
      <c r="Z366"/>
      <c r="AA366"/>
      <c r="AB366" t="s">
        <v>2191</v>
      </c>
      <c r="AC366" t="n">
        <v>134</v>
      </c>
      <c r="AD366"/>
      <c r="AE366"/>
      <c r="AF366" t="s">
        <v>2192</v>
      </c>
      <c r="AG366" t="n">
        <v>42</v>
      </c>
    </row>
    <row r="367">
      <c r="A367" t="s">
        <v>2193</v>
      </c>
      <c r="B367" t="s">
        <v>31</v>
      </c>
      <c r="C367" t="s">
        <v>65</v>
      </c>
      <c r="D367" t="s">
        <v>2194</v>
      </c>
      <c r="E367" t="s">
        <v>79</v>
      </c>
      <c r="F367" t="s">
        <v>1274</v>
      </c>
      <c r="G367" t="s">
        <v>1516</v>
      </c>
      <c r="H367" t="n">
        <v>39.7121447360693</v>
      </c>
      <c r="I367" t="n">
        <v>-105.004719105039</v>
      </c>
      <c r="J367" t="s">
        <v>35</v>
      </c>
      <c r="K367" t="s">
        <v>120</v>
      </c>
      <c r="L367"/>
      <c r="M367" t="n">
        <v>1990</v>
      </c>
      <c r="N367" t="n">
        <v>1992</v>
      </c>
      <c r="O367" t="s">
        <v>1016</v>
      </c>
      <c r="P367" t="n">
        <v>2</v>
      </c>
      <c r="Q367" t="n">
        <v>2</v>
      </c>
      <c r="R367" t="n">
        <v>1</v>
      </c>
      <c r="S367" t="n">
        <v>1898</v>
      </c>
      <c r="T367" t="s">
        <v>2195</v>
      </c>
      <c r="U367" t="s">
        <v>2196</v>
      </c>
      <c r="V367" t="s">
        <v>74</v>
      </c>
      <c r="W367"/>
      <c r="X367"/>
      <c r="Y367"/>
      <c r="Z367"/>
      <c r="AA367"/>
      <c r="AB367" t="s">
        <v>2089</v>
      </c>
      <c r="AC367" t="n">
        <v>250</v>
      </c>
      <c r="AD367"/>
      <c r="AE367"/>
      <c r="AF367" t="s">
        <v>2197</v>
      </c>
      <c r="AG367" t="n">
        <v>100</v>
      </c>
    </row>
    <row r="368">
      <c r="A368" t="s">
        <v>2198</v>
      </c>
      <c r="B368" t="s">
        <v>31</v>
      </c>
      <c r="C368" t="s">
        <v>65</v>
      </c>
      <c r="D368" t="s">
        <v>2199</v>
      </c>
      <c r="E368" t="s">
        <v>79</v>
      </c>
      <c r="F368" t="s">
        <v>1274</v>
      </c>
      <c r="G368" t="s">
        <v>1702</v>
      </c>
      <c r="H368" t="n">
        <v>39.7981695093848</v>
      </c>
      <c r="I368" t="n">
        <v>-104.861332407352</v>
      </c>
      <c r="J368" t="s">
        <v>35</v>
      </c>
      <c r="K368" t="s">
        <v>133</v>
      </c>
      <c r="L368"/>
      <c r="M368" t="n">
        <v>1990</v>
      </c>
      <c r="N368" t="n">
        <v>1990</v>
      </c>
      <c r="O368" t="s">
        <v>351</v>
      </c>
      <c r="P368" t="n">
        <v>1</v>
      </c>
      <c r="Q368" t="n">
        <v>1</v>
      </c>
      <c r="R368" t="n">
        <v>1</v>
      </c>
      <c r="S368" t="n">
        <v>1973</v>
      </c>
      <c r="T368" t="s">
        <v>2200</v>
      </c>
      <c r="U368" t="s">
        <v>2201</v>
      </c>
      <c r="V368" t="s">
        <v>74</v>
      </c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2202</v>
      </c>
      <c r="B369" t="s">
        <v>31</v>
      </c>
      <c r="C369" t="s">
        <v>65</v>
      </c>
      <c r="D369" t="s">
        <v>2203</v>
      </c>
      <c r="E369" t="s">
        <v>79</v>
      </c>
      <c r="F369" t="s">
        <v>1274</v>
      </c>
      <c r="G369" t="s">
        <v>1881</v>
      </c>
      <c r="H369" t="n">
        <v>39.7692571830259</v>
      </c>
      <c r="I369" t="n">
        <v>-104.916517628409</v>
      </c>
      <c r="J369" t="s">
        <v>35</v>
      </c>
      <c r="K369" t="s">
        <v>527</v>
      </c>
      <c r="L369" t="s">
        <v>2204</v>
      </c>
      <c r="M369" t="n">
        <v>1992</v>
      </c>
      <c r="N369" t="n">
        <v>1992</v>
      </c>
      <c r="O369" t="s">
        <v>1016</v>
      </c>
      <c r="P369" t="n">
        <v>1</v>
      </c>
      <c r="Q369" t="n">
        <v>1</v>
      </c>
      <c r="R369" t="n">
        <v>1</v>
      </c>
      <c r="S369"/>
      <c r="T369" t="s">
        <v>2205</v>
      </c>
      <c r="U369" t="s">
        <v>2206</v>
      </c>
      <c r="V369" t="s">
        <v>74</v>
      </c>
      <c r="W369"/>
      <c r="X369"/>
      <c r="Y369"/>
      <c r="Z369"/>
      <c r="AA369"/>
      <c r="AB369"/>
      <c r="AC369"/>
      <c r="AD369" t="s">
        <v>2112</v>
      </c>
      <c r="AE369" t="n">
        <v>151</v>
      </c>
      <c r="AF369" t="s">
        <v>2207</v>
      </c>
      <c r="AG369" t="n">
        <v>62</v>
      </c>
    </row>
    <row r="370">
      <c r="A370" t="s">
        <v>2208</v>
      </c>
      <c r="B370" t="s">
        <v>31</v>
      </c>
      <c r="C370" t="s">
        <v>65</v>
      </c>
      <c r="D370" t="s">
        <v>2209</v>
      </c>
      <c r="E370" t="s">
        <v>79</v>
      </c>
      <c r="F370" t="s">
        <v>1274</v>
      </c>
      <c r="G370" t="s">
        <v>1653</v>
      </c>
      <c r="H370" t="n">
        <v>39.7241024085048</v>
      </c>
      <c r="I370" t="n">
        <v>-104.979981816322</v>
      </c>
      <c r="J370" t="s">
        <v>35</v>
      </c>
      <c r="K370" t="s">
        <v>133</v>
      </c>
      <c r="L370"/>
      <c r="M370" t="n">
        <v>1992</v>
      </c>
      <c r="N370" t="n">
        <v>1992</v>
      </c>
      <c r="O370" t="s">
        <v>1016</v>
      </c>
      <c r="P370" t="n">
        <v>1</v>
      </c>
      <c r="Q370" t="n">
        <v>1</v>
      </c>
      <c r="R370" t="n">
        <v>1</v>
      </c>
      <c r="S370"/>
      <c r="T370" t="s">
        <v>2210</v>
      </c>
      <c r="U370" t="s">
        <v>2211</v>
      </c>
      <c r="V370" t="s">
        <v>74</v>
      </c>
      <c r="W370"/>
      <c r="X370"/>
      <c r="Y370"/>
      <c r="Z370"/>
      <c r="AA370"/>
      <c r="AB370"/>
      <c r="AC370"/>
      <c r="AD370"/>
      <c r="AE370"/>
      <c r="AF370" t="s">
        <v>1616</v>
      </c>
      <c r="AG370" t="n">
        <v>174</v>
      </c>
    </row>
    <row r="371">
      <c r="A371" t="s">
        <v>2212</v>
      </c>
      <c r="B371" t="s">
        <v>31</v>
      </c>
      <c r="C371" t="s">
        <v>65</v>
      </c>
      <c r="D371" t="s">
        <v>2213</v>
      </c>
      <c r="E371" t="s">
        <v>79</v>
      </c>
      <c r="F371" t="s">
        <v>1274</v>
      </c>
      <c r="G371" t="s">
        <v>1555</v>
      </c>
      <c r="H371" t="n">
        <v>39.739979076271</v>
      </c>
      <c r="I371" t="n">
        <v>-105.007452161954</v>
      </c>
      <c r="J371" t="s">
        <v>35</v>
      </c>
      <c r="K371" t="s">
        <v>70</v>
      </c>
      <c r="L371"/>
      <c r="M371" t="n">
        <v>1992</v>
      </c>
      <c r="N371" t="n">
        <v>1992</v>
      </c>
      <c r="O371" t="s">
        <v>1016</v>
      </c>
      <c r="P371" t="n">
        <v>1</v>
      </c>
      <c r="Q371" t="n">
        <v>1</v>
      </c>
      <c r="R371" t="n">
        <v>1</v>
      </c>
      <c r="S371"/>
      <c r="T371" t="s">
        <v>2214</v>
      </c>
      <c r="U371" t="s">
        <v>2215</v>
      </c>
      <c r="V371" t="s">
        <v>74</v>
      </c>
      <c r="W371"/>
      <c r="X371"/>
      <c r="Y371"/>
      <c r="Z371"/>
      <c r="AA371"/>
      <c r="AB371" t="s">
        <v>2216</v>
      </c>
      <c r="AC371" t="n">
        <v>168</v>
      </c>
      <c r="AD371"/>
      <c r="AE371"/>
      <c r="AF371" t="s">
        <v>2217</v>
      </c>
      <c r="AG371" t="n">
        <v>176</v>
      </c>
    </row>
    <row r="372">
      <c r="A372" t="s">
        <v>2218</v>
      </c>
      <c r="B372" t="s">
        <v>31</v>
      </c>
      <c r="C372" t="s">
        <v>65</v>
      </c>
      <c r="D372" t="s">
        <v>2219</v>
      </c>
      <c r="E372" t="s">
        <v>2220</v>
      </c>
      <c r="F372" t="s">
        <v>2221</v>
      </c>
      <c r="G372" t="s">
        <v>2222</v>
      </c>
      <c r="H372" t="n">
        <v>39.3655969340594</v>
      </c>
      <c r="I372" t="n">
        <v>-104.85014874135</v>
      </c>
      <c r="J372" t="s">
        <v>35</v>
      </c>
      <c r="K372" t="s">
        <v>133</v>
      </c>
      <c r="L372"/>
      <c r="M372" t="n">
        <v>1974</v>
      </c>
      <c r="N372" t="n">
        <v>1992</v>
      </c>
      <c r="O372" t="s">
        <v>1830</v>
      </c>
      <c r="P372" t="n">
        <v>7</v>
      </c>
      <c r="Q372" t="n">
        <v>3</v>
      </c>
      <c r="R372" t="n">
        <v>1</v>
      </c>
      <c r="S372" t="n">
        <v>1972</v>
      </c>
      <c r="T372" t="s">
        <v>2223</v>
      </c>
      <c r="U372" t="s">
        <v>2224</v>
      </c>
      <c r="V372" t="s">
        <v>74</v>
      </c>
      <c r="W372"/>
      <c r="X372"/>
      <c r="Y372"/>
      <c r="Z372"/>
      <c r="AA372"/>
      <c r="AB372"/>
      <c r="AC372"/>
      <c r="AD372" t="s">
        <v>2225</v>
      </c>
      <c r="AE372" t="n">
        <v>219</v>
      </c>
      <c r="AF372" t="s">
        <v>2226</v>
      </c>
      <c r="AG372" t="n">
        <v>95</v>
      </c>
    </row>
    <row r="373">
      <c r="A373" t="s">
        <v>2227</v>
      </c>
      <c r="B373" t="s">
        <v>31</v>
      </c>
      <c r="C373" t="s">
        <v>65</v>
      </c>
      <c r="D373" t="s">
        <v>2228</v>
      </c>
      <c r="E373" t="s">
        <v>2220</v>
      </c>
      <c r="F373" t="s">
        <v>2221</v>
      </c>
      <c r="G373" t="s">
        <v>2222</v>
      </c>
      <c r="H373" t="n">
        <v>39.3792144787154</v>
      </c>
      <c r="I373" t="n">
        <v>-104.858855098505</v>
      </c>
      <c r="J373" t="s">
        <v>35</v>
      </c>
      <c r="K373" t="s">
        <v>133</v>
      </c>
      <c r="L373"/>
      <c r="M373" t="n">
        <v>1977</v>
      </c>
      <c r="N373" t="n">
        <v>1977</v>
      </c>
      <c r="O373" t="s">
        <v>228</v>
      </c>
      <c r="P373" t="n">
        <v>1</v>
      </c>
      <c r="Q373" t="n">
        <v>1</v>
      </c>
      <c r="R373" t="n">
        <v>1</v>
      </c>
      <c r="S373" t="n">
        <v>1960</v>
      </c>
      <c r="T373" t="s">
        <v>2229</v>
      </c>
      <c r="U373" t="s">
        <v>2230</v>
      </c>
      <c r="V373" t="s">
        <v>74</v>
      </c>
      <c r="W373"/>
      <c r="X373"/>
      <c r="Y373"/>
      <c r="Z373"/>
      <c r="AA373"/>
      <c r="AB373"/>
      <c r="AC373"/>
      <c r="AD373" t="s">
        <v>2231</v>
      </c>
      <c r="AE373" t="n">
        <v>239</v>
      </c>
      <c r="AF373" t="s">
        <v>2232</v>
      </c>
      <c r="AG373" t="n">
        <v>108</v>
      </c>
    </row>
    <row r="374">
      <c r="A374" t="s">
        <v>2233</v>
      </c>
      <c r="B374" t="s">
        <v>31</v>
      </c>
      <c r="C374" t="s">
        <v>65</v>
      </c>
      <c r="D374" t="s">
        <v>2234</v>
      </c>
      <c r="E374" t="s">
        <v>2220</v>
      </c>
      <c r="F374" t="s">
        <v>2221</v>
      </c>
      <c r="G374" t="s">
        <v>2222</v>
      </c>
      <c r="H374" t="n">
        <v>39.3639388713689</v>
      </c>
      <c r="I374" t="n">
        <v>-104.848495256571</v>
      </c>
      <c r="J374" t="s">
        <v>35</v>
      </c>
      <c r="K374" t="s">
        <v>201</v>
      </c>
      <c r="L374"/>
      <c r="M374" t="n">
        <v>1977</v>
      </c>
      <c r="N374" t="n">
        <v>1990</v>
      </c>
      <c r="O374" t="s">
        <v>540</v>
      </c>
      <c r="P374" t="n">
        <v>5</v>
      </c>
      <c r="Q374" t="n">
        <v>3</v>
      </c>
      <c r="R374" t="n">
        <v>3</v>
      </c>
      <c r="S374" t="n">
        <v>1968</v>
      </c>
      <c r="T374" t="s">
        <v>2235</v>
      </c>
      <c r="U374" t="s">
        <v>2236</v>
      </c>
      <c r="V374" t="s">
        <v>74</v>
      </c>
      <c r="W374"/>
      <c r="X374"/>
      <c r="Y374"/>
      <c r="Z374"/>
      <c r="AA374"/>
      <c r="AB374"/>
      <c r="AC374"/>
      <c r="AD374"/>
      <c r="AE374"/>
      <c r="AF374" t="s">
        <v>2237</v>
      </c>
      <c r="AG374" t="n">
        <v>66</v>
      </c>
    </row>
    <row r="375">
      <c r="A375" t="s">
        <v>2238</v>
      </c>
      <c r="B375" t="s">
        <v>31</v>
      </c>
      <c r="C375" t="s">
        <v>65</v>
      </c>
      <c r="D375" t="s">
        <v>2239</v>
      </c>
      <c r="E375" t="s">
        <v>2240</v>
      </c>
      <c r="F375" t="s">
        <v>2221</v>
      </c>
      <c r="G375" t="s">
        <v>2241</v>
      </c>
      <c r="H375" t="n">
        <v>39.4114980332802</v>
      </c>
      <c r="I375" t="n">
        <v>-104.670428575821</v>
      </c>
      <c r="J375" t="s">
        <v>35</v>
      </c>
      <c r="K375" t="s">
        <v>282</v>
      </c>
      <c r="L375"/>
      <c r="M375" t="n">
        <v>1983</v>
      </c>
      <c r="N375" t="n">
        <v>1992</v>
      </c>
      <c r="O375" t="s">
        <v>1016</v>
      </c>
      <c r="P375" t="n">
        <v>3</v>
      </c>
      <c r="Q375" t="n">
        <v>1</v>
      </c>
      <c r="R375" t="n">
        <v>1</v>
      </c>
      <c r="S375" t="n">
        <v>1973</v>
      </c>
      <c r="T375" t="s">
        <v>2242</v>
      </c>
      <c r="U375" t="s">
        <v>2243</v>
      </c>
      <c r="V375" t="s">
        <v>74</v>
      </c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2244</v>
      </c>
      <c r="B376" t="s">
        <v>31</v>
      </c>
      <c r="C376" t="s">
        <v>65</v>
      </c>
      <c r="D376" t="s">
        <v>2245</v>
      </c>
      <c r="E376" t="s">
        <v>2246</v>
      </c>
      <c r="F376" t="s">
        <v>2221</v>
      </c>
      <c r="G376" t="s">
        <v>2247</v>
      </c>
      <c r="H376" t="n">
        <v>39.4980658438171</v>
      </c>
      <c r="I376" t="n">
        <v>-104.777295677601</v>
      </c>
      <c r="J376" t="s">
        <v>35</v>
      </c>
      <c r="K376" t="s">
        <v>70</v>
      </c>
      <c r="L376"/>
      <c r="M376" t="n">
        <v>1983</v>
      </c>
      <c r="N376" t="n">
        <v>1992</v>
      </c>
      <c r="O376" t="s">
        <v>271</v>
      </c>
      <c r="P376" t="n">
        <v>4</v>
      </c>
      <c r="Q376" t="n">
        <v>1</v>
      </c>
      <c r="R376" t="n">
        <v>1</v>
      </c>
      <c r="S376" t="n">
        <v>1978</v>
      </c>
      <c r="T376" t="s">
        <v>2248</v>
      </c>
      <c r="U376" t="s">
        <v>2249</v>
      </c>
      <c r="V376" t="s">
        <v>74</v>
      </c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2250</v>
      </c>
      <c r="B377" t="s">
        <v>31</v>
      </c>
      <c r="C377" t="s">
        <v>65</v>
      </c>
      <c r="D377" t="s">
        <v>2251</v>
      </c>
      <c r="E377" t="s">
        <v>2252</v>
      </c>
      <c r="F377" t="s">
        <v>2253</v>
      </c>
      <c r="G377" t="s">
        <v>2254</v>
      </c>
      <c r="H377" t="n">
        <v>39.642087559604</v>
      </c>
      <c r="I377" t="n">
        <v>-106.37683652472</v>
      </c>
      <c r="J377" t="s">
        <v>35</v>
      </c>
      <c r="K377" t="s">
        <v>120</v>
      </c>
      <c r="L377"/>
      <c r="M377" t="n">
        <v>1980</v>
      </c>
      <c r="N377" t="n">
        <v>1992</v>
      </c>
      <c r="O377" t="s">
        <v>255</v>
      </c>
      <c r="P377" t="n">
        <v>4</v>
      </c>
      <c r="Q377" t="n">
        <v>6</v>
      </c>
      <c r="R377" t="n">
        <v>1</v>
      </c>
      <c r="S377" t="n">
        <v>1978</v>
      </c>
      <c r="T377" t="s">
        <v>2255</v>
      </c>
      <c r="U377" t="s">
        <v>2256</v>
      </c>
      <c r="V377" t="s">
        <v>74</v>
      </c>
      <c r="W377"/>
      <c r="X377"/>
      <c r="Y377"/>
      <c r="Z377"/>
      <c r="AA377"/>
      <c r="AB377"/>
      <c r="AC377"/>
      <c r="AD377"/>
      <c r="AE377"/>
      <c r="AF377" t="s">
        <v>2257</v>
      </c>
      <c r="AG377" t="n">
        <v>147</v>
      </c>
    </row>
    <row r="378">
      <c r="A378" t="s">
        <v>2258</v>
      </c>
      <c r="B378" t="s">
        <v>31</v>
      </c>
      <c r="C378" t="s">
        <v>65</v>
      </c>
      <c r="D378" t="s">
        <v>2259</v>
      </c>
      <c r="E378" t="s">
        <v>2260</v>
      </c>
      <c r="F378" t="s">
        <v>2253</v>
      </c>
      <c r="G378"/>
      <c r="H378" t="n">
        <v>39.364963</v>
      </c>
      <c r="I378" t="n">
        <v>-107.035195</v>
      </c>
      <c r="J378" t="s">
        <v>35</v>
      </c>
      <c r="K378" t="s">
        <v>70</v>
      </c>
      <c r="L378"/>
      <c r="M378" t="n">
        <v>1988</v>
      </c>
      <c r="N378" t="n">
        <v>1992</v>
      </c>
      <c r="O378" t="s">
        <v>320</v>
      </c>
      <c r="P378" t="n">
        <v>3</v>
      </c>
      <c r="Q378" t="n">
        <v>1</v>
      </c>
      <c r="R378" t="n">
        <v>1</v>
      </c>
      <c r="S378" t="n">
        <v>1986</v>
      </c>
      <c r="T378" t="s">
        <v>2261</v>
      </c>
      <c r="U378" t="s">
        <v>2262</v>
      </c>
      <c r="V378" t="s">
        <v>74</v>
      </c>
      <c r="W378"/>
      <c r="X378"/>
      <c r="Y378"/>
      <c r="Z378"/>
      <c r="AA378"/>
      <c r="AB378"/>
      <c r="AC378"/>
      <c r="AD378"/>
      <c r="AE378"/>
      <c r="AF378" t="s">
        <v>2263</v>
      </c>
      <c r="AG378" t="n">
        <v>216</v>
      </c>
    </row>
    <row r="379">
      <c r="A379" t="s">
        <v>2264</v>
      </c>
      <c r="B379" t="s">
        <v>31</v>
      </c>
      <c r="C379" t="s">
        <v>65</v>
      </c>
      <c r="D379" t="s">
        <v>2265</v>
      </c>
      <c r="E379" t="s">
        <v>2266</v>
      </c>
      <c r="F379" t="s">
        <v>2267</v>
      </c>
      <c r="G379"/>
      <c r="H379" t="n">
        <v>38.8591279590443</v>
      </c>
      <c r="I379" t="n">
        <v>-104.919663641518</v>
      </c>
      <c r="J379" t="s">
        <v>35</v>
      </c>
      <c r="K379" t="s">
        <v>120</v>
      </c>
      <c r="L379"/>
      <c r="M379" t="n">
        <v>1965</v>
      </c>
      <c r="N379" t="n">
        <v>1990</v>
      </c>
      <c r="O379" t="s">
        <v>271</v>
      </c>
      <c r="P379" t="n">
        <v>9</v>
      </c>
      <c r="Q379" t="n">
        <v>4</v>
      </c>
      <c r="R379" t="n">
        <v>2</v>
      </c>
      <c r="S379" t="n">
        <v>1862</v>
      </c>
      <c r="T379" t="s">
        <v>2268</v>
      </c>
      <c r="U379" t="s">
        <v>2269</v>
      </c>
      <c r="V379" t="s">
        <v>74</v>
      </c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2270</v>
      </c>
      <c r="B380" t="s">
        <v>31</v>
      </c>
      <c r="C380" t="s">
        <v>65</v>
      </c>
      <c r="D380" t="s">
        <v>2271</v>
      </c>
      <c r="E380" t="s">
        <v>2272</v>
      </c>
      <c r="F380" t="s">
        <v>2267</v>
      </c>
      <c r="G380" t="s">
        <v>2273</v>
      </c>
      <c r="H380" t="n">
        <v>38.8358443505327</v>
      </c>
      <c r="I380" t="n">
        <v>-104.773215934642</v>
      </c>
      <c r="J380" t="s">
        <v>35</v>
      </c>
      <c r="K380" t="s">
        <v>2274</v>
      </c>
      <c r="L380"/>
      <c r="M380" t="n">
        <v>1966</v>
      </c>
      <c r="N380" t="n">
        <v>1990</v>
      </c>
      <c r="O380" t="s">
        <v>2275</v>
      </c>
      <c r="P380" t="n">
        <v>9</v>
      </c>
      <c r="Q380" t="n">
        <v>5</v>
      </c>
      <c r="R380" t="n">
        <v>2</v>
      </c>
      <c r="S380" t="n">
        <v>1955</v>
      </c>
      <c r="T380" t="s">
        <v>2276</v>
      </c>
      <c r="U380" t="s">
        <v>2277</v>
      </c>
      <c r="V380" t="s">
        <v>74</v>
      </c>
      <c r="W380"/>
      <c r="X380"/>
      <c r="Y380"/>
      <c r="Z380"/>
      <c r="AA380"/>
      <c r="AB380" t="s">
        <v>2278</v>
      </c>
      <c r="AC380" t="n">
        <v>225</v>
      </c>
      <c r="AD380"/>
      <c r="AE380"/>
      <c r="AF380" t="s">
        <v>2279</v>
      </c>
      <c r="AG380" t="n">
        <v>106</v>
      </c>
    </row>
    <row r="381">
      <c r="A381" t="s">
        <v>2280</v>
      </c>
      <c r="B381" t="s">
        <v>31</v>
      </c>
      <c r="C381" t="s">
        <v>65</v>
      </c>
      <c r="D381" t="s">
        <v>2281</v>
      </c>
      <c r="E381" t="s">
        <v>2272</v>
      </c>
      <c r="F381" t="s">
        <v>2267</v>
      </c>
      <c r="G381" t="s">
        <v>2282</v>
      </c>
      <c r="H381" t="n">
        <v>38.832502</v>
      </c>
      <c r="I381" t="n">
        <v>-104.839656</v>
      </c>
      <c r="J381" t="s">
        <v>35</v>
      </c>
      <c r="K381" t="s">
        <v>70</v>
      </c>
      <c r="L381"/>
      <c r="M381" t="n">
        <v>1966</v>
      </c>
      <c r="N381" t="n">
        <v>1973</v>
      </c>
      <c r="O381" t="s">
        <v>121</v>
      </c>
      <c r="P381" t="n">
        <v>2</v>
      </c>
      <c r="Q381" t="n">
        <v>1</v>
      </c>
      <c r="R381" t="n">
        <v>1</v>
      </c>
      <c r="S381" t="n">
        <v>1954</v>
      </c>
      <c r="T381" t="s">
        <v>2283</v>
      </c>
      <c r="U381" t="s">
        <v>2284</v>
      </c>
      <c r="V381" t="s">
        <v>74</v>
      </c>
      <c r="W381"/>
      <c r="X381"/>
      <c r="Y381"/>
      <c r="Z381"/>
      <c r="AA381"/>
      <c r="AB381" t="s">
        <v>2285</v>
      </c>
      <c r="AC381" t="n">
        <v>249</v>
      </c>
      <c r="AD381"/>
      <c r="AE381"/>
      <c r="AF381" t="s">
        <v>2286</v>
      </c>
      <c r="AG381" t="n">
        <v>105</v>
      </c>
    </row>
    <row r="382">
      <c r="A382" t="s">
        <v>2287</v>
      </c>
      <c r="B382" t="s">
        <v>31</v>
      </c>
      <c r="C382" t="s">
        <v>65</v>
      </c>
      <c r="D382" t="s">
        <v>2288</v>
      </c>
      <c r="E382" t="s">
        <v>2272</v>
      </c>
      <c r="F382" t="s">
        <v>2267</v>
      </c>
      <c r="G382" t="s">
        <v>2289</v>
      </c>
      <c r="H382" t="n">
        <v>38.8195338161771</v>
      </c>
      <c r="I382" t="n">
        <v>-104.815372179935</v>
      </c>
      <c r="J382" t="s">
        <v>35</v>
      </c>
      <c r="K382" t="s">
        <v>141</v>
      </c>
      <c r="L382"/>
      <c r="M382" t="n">
        <v>1966</v>
      </c>
      <c r="N382" t="n">
        <v>1977</v>
      </c>
      <c r="O382" t="s">
        <v>1556</v>
      </c>
      <c r="P382" t="n">
        <v>4</v>
      </c>
      <c r="Q382" t="n">
        <v>3</v>
      </c>
      <c r="R382" t="n">
        <v>1</v>
      </c>
      <c r="S382" t="n">
        <v>1912</v>
      </c>
      <c r="T382" t="s">
        <v>2290</v>
      </c>
      <c r="U382" t="s">
        <v>2291</v>
      </c>
      <c r="V382" t="s">
        <v>74</v>
      </c>
      <c r="W382"/>
      <c r="X382"/>
      <c r="Y382"/>
      <c r="Z382"/>
      <c r="AA382"/>
      <c r="AB382" t="s">
        <v>2292</v>
      </c>
      <c r="AC382" t="n">
        <v>159</v>
      </c>
      <c r="AD382"/>
      <c r="AE382"/>
      <c r="AF382" t="s">
        <v>2293</v>
      </c>
      <c r="AG382" t="n">
        <v>45</v>
      </c>
    </row>
    <row r="383">
      <c r="A383" t="s">
        <v>2294</v>
      </c>
      <c r="B383" t="s">
        <v>31</v>
      </c>
      <c r="C383" t="s">
        <v>65</v>
      </c>
      <c r="D383" t="s">
        <v>2295</v>
      </c>
      <c r="E383" t="s">
        <v>2272</v>
      </c>
      <c r="F383" t="s">
        <v>2267</v>
      </c>
      <c r="G383" t="s">
        <v>2296</v>
      </c>
      <c r="H383" t="n">
        <v>38.857819</v>
      </c>
      <c r="I383" t="n">
        <v>-104.81859755102</v>
      </c>
      <c r="J383" t="s">
        <v>35</v>
      </c>
      <c r="K383" t="s">
        <v>89</v>
      </c>
      <c r="L383"/>
      <c r="M383" t="n">
        <v>1966</v>
      </c>
      <c r="N383" t="n">
        <v>1973</v>
      </c>
      <c r="O383" t="s">
        <v>2297</v>
      </c>
      <c r="P383" t="n">
        <v>3</v>
      </c>
      <c r="Q383" t="n">
        <v>1</v>
      </c>
      <c r="R383" t="n">
        <v>1</v>
      </c>
      <c r="S383" t="n">
        <v>1936</v>
      </c>
      <c r="T383" t="s">
        <v>2298</v>
      </c>
      <c r="U383" t="s">
        <v>2299</v>
      </c>
      <c r="V383" t="s">
        <v>74</v>
      </c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2300</v>
      </c>
      <c r="B384" t="s">
        <v>31</v>
      </c>
      <c r="C384" t="s">
        <v>65</v>
      </c>
      <c r="D384" t="s">
        <v>2301</v>
      </c>
      <c r="E384" t="s">
        <v>2272</v>
      </c>
      <c r="F384" t="s">
        <v>2267</v>
      </c>
      <c r="G384" t="s">
        <v>2302</v>
      </c>
      <c r="H384" t="n">
        <v>38.8356143380205</v>
      </c>
      <c r="I384" t="n">
        <v>-104.823410007564</v>
      </c>
      <c r="J384" t="s">
        <v>35</v>
      </c>
      <c r="K384" t="s">
        <v>282</v>
      </c>
      <c r="L384"/>
      <c r="M384" t="n">
        <v>1966</v>
      </c>
      <c r="N384" t="n">
        <v>1992</v>
      </c>
      <c r="O384" t="s">
        <v>228</v>
      </c>
      <c r="P384" t="n">
        <v>10</v>
      </c>
      <c r="Q384" t="n">
        <v>5</v>
      </c>
      <c r="R384" t="n">
        <v>1</v>
      </c>
      <c r="S384" t="n">
        <v>1952</v>
      </c>
      <c r="T384" t="s">
        <v>2303</v>
      </c>
      <c r="U384" t="s">
        <v>2304</v>
      </c>
      <c r="V384" t="s">
        <v>74</v>
      </c>
      <c r="W384"/>
      <c r="X384"/>
      <c r="Y384"/>
      <c r="Z384"/>
      <c r="AA384"/>
      <c r="AB384" t="s">
        <v>2305</v>
      </c>
      <c r="AC384" t="n">
        <v>175</v>
      </c>
      <c r="AD384"/>
      <c r="AE384"/>
      <c r="AF384" t="s">
        <v>2306</v>
      </c>
      <c r="AG384" t="n">
        <v>165</v>
      </c>
    </row>
    <row r="385">
      <c r="A385" t="s">
        <v>2307</v>
      </c>
      <c r="B385" t="s">
        <v>31</v>
      </c>
      <c r="C385" t="s">
        <v>65</v>
      </c>
      <c r="D385" t="s">
        <v>2308</v>
      </c>
      <c r="E385" t="s">
        <v>2272</v>
      </c>
      <c r="F385" t="s">
        <v>2267</v>
      </c>
      <c r="G385" t="s">
        <v>2296</v>
      </c>
      <c r="H385" t="n">
        <v>38.8898757163032</v>
      </c>
      <c r="I385" t="n">
        <v>-104.815285858583</v>
      </c>
      <c r="J385" t="s">
        <v>35</v>
      </c>
      <c r="K385" t="s">
        <v>220</v>
      </c>
      <c r="L385"/>
      <c r="M385" t="n">
        <v>1966</v>
      </c>
      <c r="N385" t="n">
        <v>1990</v>
      </c>
      <c r="O385" t="s">
        <v>2309</v>
      </c>
      <c r="P385" t="n">
        <v>6</v>
      </c>
      <c r="Q385" t="n">
        <v>5</v>
      </c>
      <c r="R385" t="n">
        <v>4</v>
      </c>
      <c r="S385" t="n">
        <v>1935</v>
      </c>
      <c r="T385" t="s">
        <v>2310</v>
      </c>
      <c r="U385" t="s">
        <v>2311</v>
      </c>
      <c r="V385" t="s">
        <v>74</v>
      </c>
      <c r="W385"/>
      <c r="X385"/>
      <c r="Y385"/>
      <c r="Z385"/>
      <c r="AA385"/>
      <c r="AB385"/>
      <c r="AC385"/>
      <c r="AD385" t="s">
        <v>2312</v>
      </c>
      <c r="AE385" t="n">
        <v>232</v>
      </c>
      <c r="AF385" t="s">
        <v>2313</v>
      </c>
      <c r="AG385" t="n">
        <v>119</v>
      </c>
    </row>
    <row r="386">
      <c r="A386" t="s">
        <v>2314</v>
      </c>
      <c r="B386" t="s">
        <v>31</v>
      </c>
      <c r="C386" t="s">
        <v>65</v>
      </c>
      <c r="D386" t="s">
        <v>2315</v>
      </c>
      <c r="E386" t="s">
        <v>2272</v>
      </c>
      <c r="F386" t="s">
        <v>2267</v>
      </c>
      <c r="G386" t="s">
        <v>2289</v>
      </c>
      <c r="H386" t="n">
        <v>38.8209929298321</v>
      </c>
      <c r="I386" t="n">
        <v>-104.820376022115</v>
      </c>
      <c r="J386" t="s">
        <v>35</v>
      </c>
      <c r="K386" t="s">
        <v>120</v>
      </c>
      <c r="L386"/>
      <c r="M386" t="n">
        <v>1966</v>
      </c>
      <c r="N386" t="n">
        <v>1990</v>
      </c>
      <c r="O386" t="s">
        <v>2316</v>
      </c>
      <c r="P386" t="n">
        <v>10</v>
      </c>
      <c r="Q386" t="n">
        <v>3</v>
      </c>
      <c r="R386" t="n">
        <v>3</v>
      </c>
      <c r="S386" t="n">
        <v>1962</v>
      </c>
      <c r="T386" t="s">
        <v>2317</v>
      </c>
      <c r="U386" t="s">
        <v>2318</v>
      </c>
      <c r="V386" t="s">
        <v>74</v>
      </c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2319</v>
      </c>
      <c r="B387" t="s">
        <v>31</v>
      </c>
      <c r="C387" t="s">
        <v>65</v>
      </c>
      <c r="D387" t="s">
        <v>2320</v>
      </c>
      <c r="E387" t="s">
        <v>2272</v>
      </c>
      <c r="F387" t="s">
        <v>2267</v>
      </c>
      <c r="G387" t="s">
        <v>2296</v>
      </c>
      <c r="H387" t="n">
        <v>38.874992</v>
      </c>
      <c r="I387" t="n">
        <v>-104.807676</v>
      </c>
      <c r="J387" t="s">
        <v>35</v>
      </c>
      <c r="K387" t="s">
        <v>315</v>
      </c>
      <c r="L387"/>
      <c r="M387" t="n">
        <v>1966</v>
      </c>
      <c r="N387" t="n">
        <v>1968</v>
      </c>
      <c r="O387" t="s">
        <v>1349</v>
      </c>
      <c r="P387" t="n">
        <v>2</v>
      </c>
      <c r="Q387" t="n">
        <v>1</v>
      </c>
      <c r="R387" t="n">
        <v>1</v>
      </c>
      <c r="S387" t="n">
        <v>1954</v>
      </c>
      <c r="T387" t="s">
        <v>2321</v>
      </c>
      <c r="U387" t="s">
        <v>2322</v>
      </c>
      <c r="V387" t="s">
        <v>74</v>
      </c>
      <c r="W387"/>
      <c r="X387"/>
      <c r="Y387"/>
      <c r="Z387"/>
      <c r="AA387"/>
      <c r="AB387"/>
      <c r="AC387"/>
      <c r="AD387"/>
      <c r="AE387"/>
      <c r="AF387" t="s">
        <v>2323</v>
      </c>
      <c r="AG387" t="n">
        <v>143</v>
      </c>
    </row>
    <row r="388">
      <c r="A388" t="s">
        <v>2324</v>
      </c>
      <c r="B388" t="s">
        <v>31</v>
      </c>
      <c r="C388" t="s">
        <v>65</v>
      </c>
      <c r="D388" t="s">
        <v>2325</v>
      </c>
      <c r="E388" t="s">
        <v>2272</v>
      </c>
      <c r="F388" t="s">
        <v>2267</v>
      </c>
      <c r="G388" t="s">
        <v>2326</v>
      </c>
      <c r="H388" t="n">
        <v>38.8373083636364</v>
      </c>
      <c r="I388" t="n">
        <v>-104.859877363636</v>
      </c>
      <c r="J388" t="s">
        <v>35</v>
      </c>
      <c r="K388" t="s">
        <v>70</v>
      </c>
      <c r="L388" t="s">
        <v>1337</v>
      </c>
      <c r="M388" t="n">
        <v>1967</v>
      </c>
      <c r="N388" t="n">
        <v>1970</v>
      </c>
      <c r="O388" t="s">
        <v>388</v>
      </c>
      <c r="P388" t="n">
        <v>2</v>
      </c>
      <c r="Q388" t="n">
        <v>2</v>
      </c>
      <c r="R388" t="n">
        <v>1</v>
      </c>
      <c r="S388" t="n">
        <v>1964</v>
      </c>
      <c r="T388" t="s">
        <v>2327</v>
      </c>
      <c r="U388" t="s">
        <v>2328</v>
      </c>
      <c r="V388" t="s">
        <v>74</v>
      </c>
      <c r="W388"/>
      <c r="X388"/>
      <c r="Y388"/>
      <c r="Z388"/>
      <c r="AA388"/>
      <c r="AB388" t="s">
        <v>2329</v>
      </c>
      <c r="AC388" t="n">
        <v>134</v>
      </c>
      <c r="AD388"/>
      <c r="AE388"/>
      <c r="AF388" t="s">
        <v>2330</v>
      </c>
      <c r="AG388" t="n">
        <v>94</v>
      </c>
    </row>
    <row r="389">
      <c r="A389" t="s">
        <v>2331</v>
      </c>
      <c r="B389" t="s">
        <v>31</v>
      </c>
      <c r="C389" t="s">
        <v>65</v>
      </c>
      <c r="D389" t="s">
        <v>2332</v>
      </c>
      <c r="E389" t="s">
        <v>2272</v>
      </c>
      <c r="F389" t="s">
        <v>2267</v>
      </c>
      <c r="G389" t="s">
        <v>2289</v>
      </c>
      <c r="H389" t="n">
        <v>38.8265198163265</v>
      </c>
      <c r="I389" t="n">
        <v>-104.818389265306</v>
      </c>
      <c r="J389" t="s">
        <v>35</v>
      </c>
      <c r="K389" t="s">
        <v>120</v>
      </c>
      <c r="L389"/>
      <c r="M389" t="n">
        <v>1967</v>
      </c>
      <c r="N389" t="n">
        <v>1967</v>
      </c>
      <c r="O389" t="s">
        <v>388</v>
      </c>
      <c r="P389" t="n">
        <v>1</v>
      </c>
      <c r="Q389" t="n">
        <v>1</v>
      </c>
      <c r="R389" t="n">
        <v>1</v>
      </c>
      <c r="S389" t="n">
        <v>1927</v>
      </c>
      <c r="T389" t="s">
        <v>2333</v>
      </c>
      <c r="U389" t="s">
        <v>2334</v>
      </c>
      <c r="V389" t="s">
        <v>74</v>
      </c>
      <c r="W389"/>
      <c r="X389"/>
      <c r="Y389"/>
      <c r="Z389"/>
      <c r="AA389"/>
      <c r="AB389" t="s">
        <v>2335</v>
      </c>
      <c r="AC389" t="n">
        <v>166</v>
      </c>
      <c r="AD389"/>
      <c r="AE389"/>
      <c r="AF389" t="s">
        <v>2336</v>
      </c>
      <c r="AG389" t="n">
        <v>134</v>
      </c>
    </row>
    <row r="390">
      <c r="A390" t="s">
        <v>2337</v>
      </c>
      <c r="B390" t="s">
        <v>31</v>
      </c>
      <c r="C390" t="s">
        <v>65</v>
      </c>
      <c r="D390" t="s">
        <v>2338</v>
      </c>
      <c r="E390" t="s">
        <v>2272</v>
      </c>
      <c r="F390" t="s">
        <v>2267</v>
      </c>
      <c r="G390" t="s">
        <v>2296</v>
      </c>
      <c r="H390" t="n">
        <v>38.853667</v>
      </c>
      <c r="I390" t="n">
        <v>-104.816605409398</v>
      </c>
      <c r="J390" t="s">
        <v>35</v>
      </c>
      <c r="K390" t="s">
        <v>89</v>
      </c>
      <c r="L390"/>
      <c r="M390" t="n">
        <v>1967</v>
      </c>
      <c r="N390" t="n">
        <v>1968</v>
      </c>
      <c r="O390" t="s">
        <v>1349</v>
      </c>
      <c r="P390" t="n">
        <v>2</v>
      </c>
      <c r="Q390" t="n">
        <v>2</v>
      </c>
      <c r="R390" t="n">
        <v>1</v>
      </c>
      <c r="S390" t="n">
        <v>1954</v>
      </c>
      <c r="T390" t="s">
        <v>2339</v>
      </c>
      <c r="U390" t="s">
        <v>2340</v>
      </c>
      <c r="V390" t="s">
        <v>74</v>
      </c>
      <c r="W390"/>
      <c r="X390"/>
      <c r="Y390"/>
      <c r="Z390"/>
      <c r="AA390"/>
      <c r="AB390"/>
      <c r="AC390"/>
      <c r="AD390"/>
      <c r="AE390"/>
      <c r="AF390" t="s">
        <v>2341</v>
      </c>
      <c r="AG390" t="n">
        <v>114</v>
      </c>
    </row>
    <row r="391">
      <c r="A391" t="s">
        <v>2342</v>
      </c>
      <c r="B391" t="s">
        <v>31</v>
      </c>
      <c r="C391" t="s">
        <v>65</v>
      </c>
      <c r="D391" t="s">
        <v>2343</v>
      </c>
      <c r="E391" t="s">
        <v>2272</v>
      </c>
      <c r="F391" t="s">
        <v>2267</v>
      </c>
      <c r="G391" t="s">
        <v>2273</v>
      </c>
      <c r="H391" t="n">
        <v>38.83876979625</v>
      </c>
      <c r="I391" t="n">
        <v>-104.771914</v>
      </c>
      <c r="J391" t="s">
        <v>35</v>
      </c>
      <c r="K391" t="s">
        <v>70</v>
      </c>
      <c r="L391"/>
      <c r="M391" t="n">
        <v>1967</v>
      </c>
      <c r="N391" t="n">
        <v>1990</v>
      </c>
      <c r="O391" t="s">
        <v>264</v>
      </c>
      <c r="P391" t="n">
        <v>4</v>
      </c>
      <c r="Q391" t="n">
        <v>4</v>
      </c>
      <c r="R391" t="n">
        <v>1</v>
      </c>
      <c r="S391" t="n">
        <v>1955</v>
      </c>
      <c r="T391" t="s">
        <v>2344</v>
      </c>
      <c r="U391" t="s">
        <v>2345</v>
      </c>
      <c r="V391" t="s">
        <v>74</v>
      </c>
      <c r="W391"/>
      <c r="X391"/>
      <c r="Y391"/>
      <c r="Z391"/>
      <c r="AA391"/>
      <c r="AB391" t="s">
        <v>2278</v>
      </c>
      <c r="AC391" t="n">
        <v>131</v>
      </c>
      <c r="AD391"/>
      <c r="AE391"/>
      <c r="AF391" t="s">
        <v>2346</v>
      </c>
      <c r="AG391" t="n">
        <v>75</v>
      </c>
    </row>
    <row r="392">
      <c r="A392" t="s">
        <v>2347</v>
      </c>
      <c r="B392" t="s">
        <v>31</v>
      </c>
      <c r="C392" t="s">
        <v>65</v>
      </c>
      <c r="D392" t="s">
        <v>2348</v>
      </c>
      <c r="E392" t="s">
        <v>2272</v>
      </c>
      <c r="F392" t="s">
        <v>2267</v>
      </c>
      <c r="G392" t="s">
        <v>2289</v>
      </c>
      <c r="H392" t="n">
        <v>38.8278139292929</v>
      </c>
      <c r="I392" t="n">
        <v>-104.818323818182</v>
      </c>
      <c r="J392" t="s">
        <v>35</v>
      </c>
      <c r="K392" t="s">
        <v>70</v>
      </c>
      <c r="L392"/>
      <c r="M392" t="n">
        <v>1968</v>
      </c>
      <c r="N392" t="n">
        <v>1973</v>
      </c>
      <c r="O392" t="s">
        <v>2349</v>
      </c>
      <c r="P392" t="n">
        <v>2</v>
      </c>
      <c r="Q392" t="n">
        <v>2</v>
      </c>
      <c r="R392" t="n">
        <v>2</v>
      </c>
      <c r="S392" t="n">
        <v>1962</v>
      </c>
      <c r="T392" t="s">
        <v>2350</v>
      </c>
      <c r="U392" t="s">
        <v>2351</v>
      </c>
      <c r="V392" t="s">
        <v>74</v>
      </c>
      <c r="W392"/>
      <c r="X392"/>
      <c r="Y392"/>
      <c r="Z392"/>
      <c r="AA392"/>
      <c r="AB392"/>
      <c r="AC392"/>
      <c r="AD392" t="s">
        <v>2352</v>
      </c>
      <c r="AE392" t="n">
        <v>187</v>
      </c>
      <c r="AF392" t="s">
        <v>2353</v>
      </c>
      <c r="AG392" t="n">
        <v>79</v>
      </c>
    </row>
    <row r="393">
      <c r="A393" t="s">
        <v>2354</v>
      </c>
      <c r="B393" t="s">
        <v>31</v>
      </c>
      <c r="C393" t="s">
        <v>65</v>
      </c>
      <c r="D393" t="s">
        <v>2355</v>
      </c>
      <c r="E393" t="s">
        <v>2272</v>
      </c>
      <c r="F393" t="s">
        <v>2267</v>
      </c>
      <c r="G393" t="s">
        <v>2326</v>
      </c>
      <c r="H393" t="n">
        <v>38.8480814578827</v>
      </c>
      <c r="I393" t="n">
        <v>-104.864220963956</v>
      </c>
      <c r="J393" t="s">
        <v>35</v>
      </c>
      <c r="K393" t="s">
        <v>133</v>
      </c>
      <c r="L393"/>
      <c r="M393" t="n">
        <v>1968</v>
      </c>
      <c r="N393" t="n">
        <v>1983</v>
      </c>
      <c r="O393" t="s">
        <v>264</v>
      </c>
      <c r="P393" t="n">
        <v>3</v>
      </c>
      <c r="Q393" t="n">
        <v>3</v>
      </c>
      <c r="R393" t="n">
        <v>1</v>
      </c>
      <c r="S393" t="n">
        <v>1927</v>
      </c>
      <c r="T393" t="s">
        <v>2356</v>
      </c>
      <c r="U393" t="s">
        <v>2357</v>
      </c>
      <c r="V393" t="s">
        <v>74</v>
      </c>
      <c r="W393"/>
      <c r="X393"/>
      <c r="Y393"/>
      <c r="Z393"/>
      <c r="AA393"/>
      <c r="AB393"/>
      <c r="AC393"/>
      <c r="AD393"/>
      <c r="AE393"/>
      <c r="AF393" t="s">
        <v>2358</v>
      </c>
      <c r="AG393" t="n">
        <v>104</v>
      </c>
    </row>
    <row r="394">
      <c r="A394" t="s">
        <v>2359</v>
      </c>
      <c r="B394" t="s">
        <v>31</v>
      </c>
      <c r="C394" t="s">
        <v>65</v>
      </c>
      <c r="D394" t="s">
        <v>2360</v>
      </c>
      <c r="E394" t="s">
        <v>2272</v>
      </c>
      <c r="F394" t="s">
        <v>2267</v>
      </c>
      <c r="G394" t="s">
        <v>2326</v>
      </c>
      <c r="H394" t="n">
        <v>38.8468660289848</v>
      </c>
      <c r="I394" t="n">
        <v>-104.872847628201</v>
      </c>
      <c r="J394" t="s">
        <v>35</v>
      </c>
      <c r="K394" t="s">
        <v>141</v>
      </c>
      <c r="L394"/>
      <c r="M394" t="n">
        <v>1970</v>
      </c>
      <c r="N394" t="n">
        <v>1990</v>
      </c>
      <c r="O394" t="s">
        <v>2361</v>
      </c>
      <c r="P394" t="n">
        <v>8</v>
      </c>
      <c r="Q394" t="n">
        <v>1</v>
      </c>
      <c r="R394" t="n">
        <v>1</v>
      </c>
      <c r="S394" t="n">
        <v>1945</v>
      </c>
      <c r="T394" t="s">
        <v>2362</v>
      </c>
      <c r="U394" t="s">
        <v>2363</v>
      </c>
      <c r="V394" t="s">
        <v>74</v>
      </c>
      <c r="W394"/>
      <c r="X394"/>
      <c r="Y394"/>
      <c r="Z394"/>
      <c r="AA394"/>
      <c r="AB394" t="s">
        <v>2364</v>
      </c>
      <c r="AC394" t="n">
        <v>177</v>
      </c>
      <c r="AD394"/>
      <c r="AE394"/>
      <c r="AF394" t="s">
        <v>2365</v>
      </c>
      <c r="AG394" t="n">
        <v>118</v>
      </c>
    </row>
    <row r="395">
      <c r="A395" t="s">
        <v>2366</v>
      </c>
      <c r="B395" t="s">
        <v>31</v>
      </c>
      <c r="C395" t="s">
        <v>65</v>
      </c>
      <c r="D395" t="s">
        <v>2367</v>
      </c>
      <c r="E395" t="s">
        <v>2272</v>
      </c>
      <c r="F395" t="s">
        <v>2267</v>
      </c>
      <c r="G395" t="s">
        <v>2296</v>
      </c>
      <c r="H395" t="n">
        <v>38.8810309992789</v>
      </c>
      <c r="I395" t="n">
        <v>-104.812749109499</v>
      </c>
      <c r="J395" t="s">
        <v>35</v>
      </c>
      <c r="K395" t="s">
        <v>315</v>
      </c>
      <c r="L395"/>
      <c r="M395" t="n">
        <v>1970</v>
      </c>
      <c r="N395" t="n">
        <v>1990</v>
      </c>
      <c r="O395" t="s">
        <v>210</v>
      </c>
      <c r="P395" t="n">
        <v>4</v>
      </c>
      <c r="Q395" t="n">
        <v>4</v>
      </c>
      <c r="R395" t="n">
        <v>1</v>
      </c>
      <c r="S395" t="n">
        <v>1959</v>
      </c>
      <c r="T395" t="s">
        <v>2368</v>
      </c>
      <c r="U395" t="s">
        <v>2369</v>
      </c>
      <c r="V395" t="s">
        <v>74</v>
      </c>
      <c r="W395"/>
      <c r="X395"/>
      <c r="Y395"/>
      <c r="Z395"/>
      <c r="AA395"/>
      <c r="AB395"/>
      <c r="AC395"/>
      <c r="AD395" t="s">
        <v>2370</v>
      </c>
      <c r="AE395" t="n">
        <v>187</v>
      </c>
      <c r="AF395" t="s">
        <v>2371</v>
      </c>
      <c r="AG395" t="n">
        <v>57</v>
      </c>
    </row>
    <row r="396">
      <c r="A396" t="s">
        <v>2372</v>
      </c>
      <c r="B396" t="s">
        <v>31</v>
      </c>
      <c r="C396" t="s">
        <v>65</v>
      </c>
      <c r="D396" t="s">
        <v>2373</v>
      </c>
      <c r="E396" t="s">
        <v>2272</v>
      </c>
      <c r="F396" t="s">
        <v>2267</v>
      </c>
      <c r="G396" t="s">
        <v>2374</v>
      </c>
      <c r="H396" t="n">
        <v>38.8341629611147</v>
      </c>
      <c r="I396" t="n">
        <v>-104.840198552208</v>
      </c>
      <c r="J396" t="s">
        <v>35</v>
      </c>
      <c r="K396" t="s">
        <v>133</v>
      </c>
      <c r="L396"/>
      <c r="M396" t="n">
        <v>1970</v>
      </c>
      <c r="N396" t="n">
        <v>1983</v>
      </c>
      <c r="O396" t="s">
        <v>2375</v>
      </c>
      <c r="P396" t="n">
        <v>4</v>
      </c>
      <c r="Q396" t="n">
        <v>2</v>
      </c>
      <c r="R396" t="n">
        <v>2</v>
      </c>
      <c r="S396" t="n">
        <v>1910</v>
      </c>
      <c r="T396" t="s">
        <v>2376</v>
      </c>
      <c r="U396" t="s">
        <v>2377</v>
      </c>
      <c r="V396" t="s">
        <v>74</v>
      </c>
      <c r="W396"/>
      <c r="X396"/>
      <c r="Y396"/>
      <c r="Z396"/>
      <c r="AA396"/>
      <c r="AB396"/>
      <c r="AC396"/>
      <c r="AD396"/>
      <c r="AE396"/>
      <c r="AF396" t="s">
        <v>2378</v>
      </c>
      <c r="AG396" t="n">
        <v>136</v>
      </c>
    </row>
    <row r="397">
      <c r="A397" t="s">
        <v>2379</v>
      </c>
      <c r="B397" t="s">
        <v>31</v>
      </c>
      <c r="C397" t="s">
        <v>65</v>
      </c>
      <c r="D397" t="s">
        <v>2380</v>
      </c>
      <c r="E397" t="s">
        <v>2272</v>
      </c>
      <c r="F397" t="s">
        <v>2267</v>
      </c>
      <c r="G397" t="s">
        <v>2326</v>
      </c>
      <c r="H397" t="n">
        <v>38.8462580287522</v>
      </c>
      <c r="I397" t="n">
        <v>-104.844402384695</v>
      </c>
      <c r="J397" t="s">
        <v>35</v>
      </c>
      <c r="K397" t="s">
        <v>89</v>
      </c>
      <c r="L397"/>
      <c r="M397" t="n">
        <v>1970</v>
      </c>
      <c r="N397" t="n">
        <v>1970</v>
      </c>
      <c r="O397" t="s">
        <v>726</v>
      </c>
      <c r="P397" t="n">
        <v>1</v>
      </c>
      <c r="Q397" t="n">
        <v>1</v>
      </c>
      <c r="R397" t="n">
        <v>1</v>
      </c>
      <c r="S397" t="n">
        <v>1935</v>
      </c>
      <c r="T397" t="s">
        <v>2381</v>
      </c>
      <c r="U397" t="s">
        <v>2382</v>
      </c>
      <c r="V397" t="s">
        <v>74</v>
      </c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2383</v>
      </c>
      <c r="B398" t="s">
        <v>31</v>
      </c>
      <c r="C398" t="s">
        <v>65</v>
      </c>
      <c r="D398" t="s">
        <v>2384</v>
      </c>
      <c r="E398" t="s">
        <v>2272</v>
      </c>
      <c r="F398" t="s">
        <v>2267</v>
      </c>
      <c r="G398" t="s">
        <v>2374</v>
      </c>
      <c r="H398" t="n">
        <v>38.8290299922906</v>
      </c>
      <c r="I398" t="n">
        <v>-104.813194141347</v>
      </c>
      <c r="J398" t="s">
        <v>35</v>
      </c>
      <c r="K398" t="s">
        <v>133</v>
      </c>
      <c r="L398"/>
      <c r="M398" t="n">
        <v>1970</v>
      </c>
      <c r="N398" t="n">
        <v>1990</v>
      </c>
      <c r="O398" t="s">
        <v>235</v>
      </c>
      <c r="P398" t="n">
        <v>5</v>
      </c>
      <c r="Q398" t="n">
        <v>4</v>
      </c>
      <c r="R398" t="n">
        <v>3</v>
      </c>
      <c r="S398" t="n">
        <v>1959</v>
      </c>
      <c r="T398" t="s">
        <v>2385</v>
      </c>
      <c r="U398" t="s">
        <v>2386</v>
      </c>
      <c r="V398" t="s">
        <v>74</v>
      </c>
      <c r="W398"/>
      <c r="X398"/>
      <c r="Y398"/>
      <c r="Z398"/>
      <c r="AA398"/>
      <c r="AB398"/>
      <c r="AC398"/>
      <c r="AD398"/>
      <c r="AE398"/>
      <c r="AF398" t="s">
        <v>2387</v>
      </c>
      <c r="AG398" t="n">
        <v>130</v>
      </c>
    </row>
    <row r="399">
      <c r="A399" t="s">
        <v>2388</v>
      </c>
      <c r="B399" t="s">
        <v>31</v>
      </c>
      <c r="C399" t="s">
        <v>65</v>
      </c>
      <c r="D399" t="s">
        <v>2389</v>
      </c>
      <c r="E399" t="s">
        <v>2272</v>
      </c>
      <c r="F399" t="s">
        <v>2267</v>
      </c>
      <c r="G399" t="s">
        <v>2326</v>
      </c>
      <c r="H399" t="n">
        <v>38.8361516730471</v>
      </c>
      <c r="I399" t="n">
        <v>-104.848736197783</v>
      </c>
      <c r="J399" t="s">
        <v>35</v>
      </c>
      <c r="K399" t="s">
        <v>315</v>
      </c>
      <c r="L399"/>
      <c r="M399" t="n">
        <v>1970</v>
      </c>
      <c r="N399" t="n">
        <v>1990</v>
      </c>
      <c r="O399" t="s">
        <v>293</v>
      </c>
      <c r="P399" t="n">
        <v>5</v>
      </c>
      <c r="Q399" t="n">
        <v>3</v>
      </c>
      <c r="R399" t="n">
        <v>1</v>
      </c>
      <c r="S399" t="n">
        <v>1888</v>
      </c>
      <c r="T399" t="s">
        <v>2390</v>
      </c>
      <c r="U399" t="s">
        <v>2391</v>
      </c>
      <c r="V399" t="s">
        <v>74</v>
      </c>
      <c r="W399"/>
      <c r="X399"/>
      <c r="Y399"/>
      <c r="Z399"/>
      <c r="AA399"/>
      <c r="AB399"/>
      <c r="AC399"/>
      <c r="AD399"/>
      <c r="AE399"/>
      <c r="AF399" t="s">
        <v>2392</v>
      </c>
      <c r="AG399" t="n">
        <v>46</v>
      </c>
    </row>
    <row r="400">
      <c r="A400" t="s">
        <v>2393</v>
      </c>
      <c r="B400" t="s">
        <v>31</v>
      </c>
      <c r="C400" t="s">
        <v>65</v>
      </c>
      <c r="D400" t="s">
        <v>2394</v>
      </c>
      <c r="E400" t="s">
        <v>2272</v>
      </c>
      <c r="F400" t="s">
        <v>2267</v>
      </c>
      <c r="G400" t="s">
        <v>2273</v>
      </c>
      <c r="H400" t="n">
        <v>38.8397010612245</v>
      </c>
      <c r="I400" t="n">
        <v>-104.770655714286</v>
      </c>
      <c r="J400" t="s">
        <v>35</v>
      </c>
      <c r="K400" t="s">
        <v>220</v>
      </c>
      <c r="L400"/>
      <c r="M400" t="n">
        <v>1973</v>
      </c>
      <c r="N400" t="n">
        <v>1990</v>
      </c>
      <c r="O400" t="s">
        <v>2395</v>
      </c>
      <c r="P400" t="n">
        <v>4</v>
      </c>
      <c r="Q400" t="n">
        <v>2</v>
      </c>
      <c r="R400" t="n">
        <v>2</v>
      </c>
      <c r="S400" t="n">
        <v>1954</v>
      </c>
      <c r="T400" t="s">
        <v>2396</v>
      </c>
      <c r="U400" t="s">
        <v>2397</v>
      </c>
      <c r="V400" t="s">
        <v>74</v>
      </c>
      <c r="W400"/>
      <c r="X400"/>
      <c r="Y400"/>
      <c r="Z400"/>
      <c r="AA400"/>
      <c r="AB400" t="s">
        <v>2398</v>
      </c>
      <c r="AC400" t="n">
        <v>84</v>
      </c>
      <c r="AD400"/>
      <c r="AE400"/>
      <c r="AF400" t="s">
        <v>2399</v>
      </c>
      <c r="AG400" t="n">
        <v>46</v>
      </c>
    </row>
    <row r="401">
      <c r="A401" t="s">
        <v>2400</v>
      </c>
      <c r="B401" t="s">
        <v>31</v>
      </c>
      <c r="C401" t="s">
        <v>65</v>
      </c>
      <c r="D401" t="s">
        <v>2401</v>
      </c>
      <c r="E401" t="s">
        <v>2272</v>
      </c>
      <c r="F401" t="s">
        <v>2267</v>
      </c>
      <c r="G401" t="s">
        <v>2374</v>
      </c>
      <c r="H401" t="n">
        <v>38.835770040287</v>
      </c>
      <c r="I401" t="n">
        <v>-104.834282174993</v>
      </c>
      <c r="J401" t="s">
        <v>35</v>
      </c>
      <c r="K401" t="s">
        <v>70</v>
      </c>
      <c r="L401"/>
      <c r="M401" t="n">
        <v>1973</v>
      </c>
      <c r="N401" t="n">
        <v>1973</v>
      </c>
      <c r="O401" t="s">
        <v>121</v>
      </c>
      <c r="P401" t="n">
        <v>1</v>
      </c>
      <c r="Q401" t="n">
        <v>2</v>
      </c>
      <c r="R401" t="n">
        <v>1</v>
      </c>
      <c r="S401" t="n">
        <v>1971</v>
      </c>
      <c r="T401" t="s">
        <v>2402</v>
      </c>
      <c r="U401" t="s">
        <v>2403</v>
      </c>
      <c r="V401" t="s">
        <v>74</v>
      </c>
      <c r="W401"/>
      <c r="X401"/>
      <c r="Y401"/>
      <c r="Z401"/>
      <c r="AA401"/>
      <c r="AB401"/>
      <c r="AC401"/>
      <c r="AD401"/>
      <c r="AE401"/>
      <c r="AF401" t="s">
        <v>2404</v>
      </c>
      <c r="AG401" t="n">
        <v>196</v>
      </c>
    </row>
    <row r="402">
      <c r="A402" t="s">
        <v>2405</v>
      </c>
      <c r="B402" t="s">
        <v>31</v>
      </c>
      <c r="C402" t="s">
        <v>65</v>
      </c>
      <c r="D402" t="s">
        <v>2406</v>
      </c>
      <c r="E402" t="s">
        <v>2272</v>
      </c>
      <c r="F402" t="s">
        <v>2267</v>
      </c>
      <c r="G402" t="s">
        <v>2296</v>
      </c>
      <c r="H402" t="n">
        <v>38.8805910194968</v>
      </c>
      <c r="I402" t="n">
        <v>-104.81275474877</v>
      </c>
      <c r="J402" t="s">
        <v>35</v>
      </c>
      <c r="K402" t="s">
        <v>220</v>
      </c>
      <c r="L402"/>
      <c r="M402" t="n">
        <v>1973</v>
      </c>
      <c r="N402" t="n">
        <v>1983</v>
      </c>
      <c r="O402" t="s">
        <v>829</v>
      </c>
      <c r="P402" t="n">
        <v>4</v>
      </c>
      <c r="Q402" t="n">
        <v>3</v>
      </c>
      <c r="R402" t="n">
        <v>1</v>
      </c>
      <c r="S402" t="n">
        <v>1971</v>
      </c>
      <c r="T402" t="s">
        <v>2407</v>
      </c>
      <c r="U402" t="s">
        <v>2408</v>
      </c>
      <c r="V402" t="s">
        <v>74</v>
      </c>
      <c r="W402"/>
      <c r="X402"/>
      <c r="Y402"/>
      <c r="Z402"/>
      <c r="AA402"/>
      <c r="AB402"/>
      <c r="AC402"/>
      <c r="AD402" t="s">
        <v>2409</v>
      </c>
      <c r="AE402" t="n">
        <v>231</v>
      </c>
      <c r="AF402" t="s">
        <v>2371</v>
      </c>
      <c r="AG402" t="n">
        <v>58</v>
      </c>
    </row>
    <row r="403">
      <c r="A403" t="s">
        <v>2410</v>
      </c>
      <c r="B403" t="s">
        <v>31</v>
      </c>
      <c r="C403" t="s">
        <v>65</v>
      </c>
      <c r="D403" t="s">
        <v>2411</v>
      </c>
      <c r="E403" t="s">
        <v>2272</v>
      </c>
      <c r="F403" t="s">
        <v>2267</v>
      </c>
      <c r="G403" t="s">
        <v>2412</v>
      </c>
      <c r="H403" t="n">
        <v>38.849018</v>
      </c>
      <c r="I403" t="n">
        <v>-104.815551</v>
      </c>
      <c r="J403" t="s">
        <v>35</v>
      </c>
      <c r="K403" t="s">
        <v>120</v>
      </c>
      <c r="L403"/>
      <c r="M403" t="n">
        <v>1973</v>
      </c>
      <c r="N403" t="n">
        <v>1973</v>
      </c>
      <c r="O403" t="s">
        <v>121</v>
      </c>
      <c r="P403" t="n">
        <v>1</v>
      </c>
      <c r="Q403" t="n">
        <v>1</v>
      </c>
      <c r="R403" t="n">
        <v>1</v>
      </c>
      <c r="S403" t="n">
        <v>1972</v>
      </c>
      <c r="T403" t="s">
        <v>2413</v>
      </c>
      <c r="U403" t="s">
        <v>2414</v>
      </c>
      <c r="V403" t="s">
        <v>74</v>
      </c>
      <c r="W403"/>
      <c r="X403"/>
      <c r="Y403"/>
      <c r="Z403"/>
      <c r="AA403"/>
      <c r="AB403"/>
      <c r="AC403"/>
      <c r="AD403"/>
      <c r="AE403"/>
      <c r="AF403" t="s">
        <v>2415</v>
      </c>
      <c r="AG403" t="n">
        <v>221</v>
      </c>
    </row>
    <row r="404">
      <c r="A404" t="s">
        <v>2416</v>
      </c>
      <c r="B404" t="s">
        <v>31</v>
      </c>
      <c r="C404" t="s">
        <v>65</v>
      </c>
      <c r="D404" t="s">
        <v>2417</v>
      </c>
      <c r="E404" t="s">
        <v>2272</v>
      </c>
      <c r="F404" t="s">
        <v>2267</v>
      </c>
      <c r="G404" t="s">
        <v>2273</v>
      </c>
      <c r="H404" t="n">
        <v>38.8470583953167</v>
      </c>
      <c r="I404" t="n">
        <v>-104.77794863224</v>
      </c>
      <c r="J404" t="s">
        <v>35</v>
      </c>
      <c r="K404" t="s">
        <v>70</v>
      </c>
      <c r="L404"/>
      <c r="M404" t="n">
        <v>1973</v>
      </c>
      <c r="N404" t="n">
        <v>1973</v>
      </c>
      <c r="O404" t="s">
        <v>121</v>
      </c>
      <c r="P404" t="n">
        <v>1</v>
      </c>
      <c r="Q404" t="n">
        <v>1</v>
      </c>
      <c r="R404" t="n">
        <v>1</v>
      </c>
      <c r="S404" t="n">
        <v>1970</v>
      </c>
      <c r="T404" t="s">
        <v>2418</v>
      </c>
      <c r="U404" t="s">
        <v>2419</v>
      </c>
      <c r="V404" t="s">
        <v>74</v>
      </c>
      <c r="W404"/>
      <c r="X404"/>
      <c r="Y404"/>
      <c r="Z404"/>
      <c r="AA404"/>
      <c r="AB404"/>
      <c r="AC404"/>
      <c r="AD404"/>
      <c r="AE404"/>
      <c r="AF404" t="s">
        <v>2420</v>
      </c>
      <c r="AG404" t="n">
        <v>188</v>
      </c>
    </row>
    <row r="405">
      <c r="A405" t="s">
        <v>2421</v>
      </c>
      <c r="B405" t="s">
        <v>31</v>
      </c>
      <c r="C405" t="s">
        <v>65</v>
      </c>
      <c r="D405" t="s">
        <v>2422</v>
      </c>
      <c r="E405" t="s">
        <v>2272</v>
      </c>
      <c r="F405" t="s">
        <v>2267</v>
      </c>
      <c r="G405" t="s">
        <v>2423</v>
      </c>
      <c r="H405" t="n">
        <v>38.8318667765517</v>
      </c>
      <c r="I405" t="n">
        <v>-104.768327824552</v>
      </c>
      <c r="J405" t="s">
        <v>35</v>
      </c>
      <c r="K405" t="s">
        <v>89</v>
      </c>
      <c r="L405"/>
      <c r="M405" t="n">
        <v>1973</v>
      </c>
      <c r="N405" t="n">
        <v>1974</v>
      </c>
      <c r="O405" t="s">
        <v>127</v>
      </c>
      <c r="P405" t="n">
        <v>2</v>
      </c>
      <c r="Q405" t="n">
        <v>1</v>
      </c>
      <c r="R405" t="n">
        <v>1</v>
      </c>
      <c r="S405" t="n">
        <v>1972</v>
      </c>
      <c r="T405" t="s">
        <v>2424</v>
      </c>
      <c r="U405" t="s">
        <v>2425</v>
      </c>
      <c r="V405" t="s">
        <v>74</v>
      </c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2426</v>
      </c>
      <c r="B406" t="s">
        <v>31</v>
      </c>
      <c r="C406" t="s">
        <v>65</v>
      </c>
      <c r="D406" t="s">
        <v>2427</v>
      </c>
      <c r="E406" t="s">
        <v>2272</v>
      </c>
      <c r="F406" t="s">
        <v>2267</v>
      </c>
      <c r="G406" t="s">
        <v>2282</v>
      </c>
      <c r="H406" t="n">
        <v>38.8373199963732</v>
      </c>
      <c r="I406" t="n">
        <v>-104.834260132224</v>
      </c>
      <c r="J406" t="s">
        <v>35</v>
      </c>
      <c r="K406" t="s">
        <v>70</v>
      </c>
      <c r="L406"/>
      <c r="M406" t="n">
        <v>1974</v>
      </c>
      <c r="N406" t="n">
        <v>1974</v>
      </c>
      <c r="O406" t="s">
        <v>210</v>
      </c>
      <c r="P406" t="n">
        <v>1</v>
      </c>
      <c r="Q406" t="n">
        <v>1</v>
      </c>
      <c r="R406" t="n">
        <v>1</v>
      </c>
      <c r="S406" t="n">
        <v>1972</v>
      </c>
      <c r="T406" t="s">
        <v>2428</v>
      </c>
      <c r="U406" t="s">
        <v>2429</v>
      </c>
      <c r="V406" t="s">
        <v>74</v>
      </c>
      <c r="W406"/>
      <c r="X406"/>
      <c r="Y406"/>
      <c r="Z406"/>
      <c r="AA406"/>
      <c r="AB406"/>
      <c r="AC406"/>
      <c r="AD406"/>
      <c r="AE406"/>
      <c r="AF406" t="s">
        <v>2404</v>
      </c>
      <c r="AG406" t="n">
        <v>143</v>
      </c>
    </row>
    <row r="407">
      <c r="A407" t="s">
        <v>2430</v>
      </c>
      <c r="B407" t="s">
        <v>31</v>
      </c>
      <c r="C407" t="s">
        <v>65</v>
      </c>
      <c r="D407" t="s">
        <v>2431</v>
      </c>
      <c r="E407" t="s">
        <v>2272</v>
      </c>
      <c r="F407" t="s">
        <v>2267</v>
      </c>
      <c r="G407" t="s">
        <v>2296</v>
      </c>
      <c r="H407" t="n">
        <v>38.878606</v>
      </c>
      <c r="I407" t="n">
        <v>-104.815945</v>
      </c>
      <c r="J407" t="s">
        <v>35</v>
      </c>
      <c r="K407" t="s">
        <v>1282</v>
      </c>
      <c r="L407"/>
      <c r="M407" t="n">
        <v>1974</v>
      </c>
      <c r="N407" t="n">
        <v>1988</v>
      </c>
      <c r="O407" t="s">
        <v>283</v>
      </c>
      <c r="P407" t="n">
        <v>3</v>
      </c>
      <c r="Q407" t="n">
        <v>3</v>
      </c>
      <c r="R407" t="n">
        <v>2</v>
      </c>
      <c r="S407" t="n">
        <v>1941</v>
      </c>
      <c r="T407" t="s">
        <v>2432</v>
      </c>
      <c r="U407" t="s">
        <v>2433</v>
      </c>
      <c r="V407" t="s">
        <v>74</v>
      </c>
      <c r="W407"/>
      <c r="X407"/>
      <c r="Y407"/>
      <c r="Z407"/>
      <c r="AA407"/>
      <c r="AB407" t="s">
        <v>2434</v>
      </c>
      <c r="AC407" t="n">
        <v>149</v>
      </c>
      <c r="AD407" t="s">
        <v>2435</v>
      </c>
      <c r="AE407" t="n">
        <v>242</v>
      </c>
      <c r="AF407" t="s">
        <v>2436</v>
      </c>
      <c r="AG407" t="n">
        <v>64</v>
      </c>
    </row>
    <row r="408">
      <c r="A408" t="s">
        <v>2437</v>
      </c>
      <c r="B408" t="s">
        <v>31</v>
      </c>
      <c r="C408" t="s">
        <v>65</v>
      </c>
      <c r="D408" t="s">
        <v>2438</v>
      </c>
      <c r="E408" t="s">
        <v>2272</v>
      </c>
      <c r="F408" t="s">
        <v>2267</v>
      </c>
      <c r="G408" t="s">
        <v>2289</v>
      </c>
      <c r="H408" t="n">
        <v>38.8214599956222</v>
      </c>
      <c r="I408" t="n">
        <v>-104.815927169287</v>
      </c>
      <c r="J408" t="s">
        <v>35</v>
      </c>
      <c r="K408" t="s">
        <v>141</v>
      </c>
      <c r="L408"/>
      <c r="M408" t="n">
        <v>1974</v>
      </c>
      <c r="N408" t="n">
        <v>1983</v>
      </c>
      <c r="O408" t="s">
        <v>2439</v>
      </c>
      <c r="P408" t="n">
        <v>4</v>
      </c>
      <c r="Q408" t="n">
        <v>1</v>
      </c>
      <c r="R408" t="n">
        <v>1</v>
      </c>
      <c r="S408" t="n">
        <v>1950</v>
      </c>
      <c r="T408" t="s">
        <v>2440</v>
      </c>
      <c r="U408" t="s">
        <v>2441</v>
      </c>
      <c r="V408" t="s">
        <v>74</v>
      </c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2442</v>
      </c>
      <c r="B409" t="s">
        <v>31</v>
      </c>
      <c r="C409" t="s">
        <v>65</v>
      </c>
      <c r="D409" t="s">
        <v>2443</v>
      </c>
      <c r="E409" t="s">
        <v>2272</v>
      </c>
      <c r="F409" t="s">
        <v>2267</v>
      </c>
      <c r="G409" t="s">
        <v>2444</v>
      </c>
      <c r="H409" t="n">
        <v>38.8401164281276</v>
      </c>
      <c r="I409" t="n">
        <v>-104.741099166322</v>
      </c>
      <c r="J409" t="s">
        <v>35</v>
      </c>
      <c r="K409" t="s">
        <v>81</v>
      </c>
      <c r="L409" t="s">
        <v>2445</v>
      </c>
      <c r="M409" t="n">
        <v>1977</v>
      </c>
      <c r="N409" t="n">
        <v>1990</v>
      </c>
      <c r="O409" t="s">
        <v>2446</v>
      </c>
      <c r="P409" t="n">
        <v>4</v>
      </c>
      <c r="Q409" t="n">
        <v>5</v>
      </c>
      <c r="R409" t="n">
        <v>4</v>
      </c>
      <c r="S409" t="n">
        <v>1960</v>
      </c>
      <c r="T409" t="s">
        <v>2447</v>
      </c>
      <c r="U409" t="s">
        <v>2448</v>
      </c>
      <c r="V409" t="s">
        <v>74</v>
      </c>
      <c r="W409"/>
      <c r="X409"/>
      <c r="Y409"/>
      <c r="Z409"/>
      <c r="AA409"/>
      <c r="AB409"/>
      <c r="AC409"/>
      <c r="AD409"/>
      <c r="AE409"/>
      <c r="AF409" t="s">
        <v>2449</v>
      </c>
      <c r="AG409" t="n">
        <v>132</v>
      </c>
    </row>
    <row r="410">
      <c r="A410" t="s">
        <v>2450</v>
      </c>
      <c r="B410" t="s">
        <v>31</v>
      </c>
      <c r="C410" t="s">
        <v>65</v>
      </c>
      <c r="D410" t="s">
        <v>2451</v>
      </c>
      <c r="E410" t="s">
        <v>2272</v>
      </c>
      <c r="F410" t="s">
        <v>2267</v>
      </c>
      <c r="G410" t="s">
        <v>2296</v>
      </c>
      <c r="H410" t="n">
        <v>38.857966957329</v>
      </c>
      <c r="I410" t="n">
        <v>-104.815057563605</v>
      </c>
      <c r="J410" t="s">
        <v>35</v>
      </c>
      <c r="K410" t="s">
        <v>89</v>
      </c>
      <c r="L410"/>
      <c r="M410" t="n">
        <v>1977</v>
      </c>
      <c r="N410" t="n">
        <v>1992</v>
      </c>
      <c r="O410" t="s">
        <v>1949</v>
      </c>
      <c r="P410" t="n">
        <v>5</v>
      </c>
      <c r="Q410" t="n">
        <v>2</v>
      </c>
      <c r="R410" t="n">
        <v>1</v>
      </c>
      <c r="S410" t="n">
        <v>1936</v>
      </c>
      <c r="T410" t="s">
        <v>2452</v>
      </c>
      <c r="U410" t="s">
        <v>2453</v>
      </c>
      <c r="V410" t="s">
        <v>74</v>
      </c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2454</v>
      </c>
      <c r="B411" t="s">
        <v>31</v>
      </c>
      <c r="C411" t="s">
        <v>65</v>
      </c>
      <c r="D411" t="s">
        <v>2455</v>
      </c>
      <c r="E411" t="s">
        <v>2272</v>
      </c>
      <c r="F411" t="s">
        <v>2267</v>
      </c>
      <c r="G411" t="s">
        <v>2444</v>
      </c>
      <c r="H411" t="n">
        <v>38.8534180203909</v>
      </c>
      <c r="I411" t="n">
        <v>-104.711864278328</v>
      </c>
      <c r="J411" t="s">
        <v>35</v>
      </c>
      <c r="K411" t="s">
        <v>141</v>
      </c>
      <c r="L411"/>
      <c r="M411" t="n">
        <v>1977</v>
      </c>
      <c r="N411" t="n">
        <v>1977</v>
      </c>
      <c r="O411" t="s">
        <v>228</v>
      </c>
      <c r="P411" t="n">
        <v>1</v>
      </c>
      <c r="Q411" t="n">
        <v>1</v>
      </c>
      <c r="R411" t="n">
        <v>1</v>
      </c>
      <c r="S411" t="n">
        <v>1973</v>
      </c>
      <c r="T411" t="s">
        <v>2456</v>
      </c>
      <c r="U411" t="s">
        <v>2457</v>
      </c>
      <c r="V411" t="s">
        <v>74</v>
      </c>
      <c r="W411"/>
      <c r="X411"/>
      <c r="Y411"/>
      <c r="Z411"/>
      <c r="AA411"/>
      <c r="AB411"/>
      <c r="AC411"/>
      <c r="AD411"/>
      <c r="AE411"/>
      <c r="AF411" t="s">
        <v>2458</v>
      </c>
      <c r="AG411" t="n">
        <v>173</v>
      </c>
    </row>
    <row r="412">
      <c r="A412" t="s">
        <v>2459</v>
      </c>
      <c r="B412" t="s">
        <v>31</v>
      </c>
      <c r="C412" t="s">
        <v>65</v>
      </c>
      <c r="D412" t="s">
        <v>2460</v>
      </c>
      <c r="E412" t="s">
        <v>2272</v>
      </c>
      <c r="F412" t="s">
        <v>2267</v>
      </c>
      <c r="G412" t="s">
        <v>2423</v>
      </c>
      <c r="H412" t="n">
        <v>38.8253581020408</v>
      </c>
      <c r="I412" t="n">
        <v>-104.776983469388</v>
      </c>
      <c r="J412" t="s">
        <v>35</v>
      </c>
      <c r="K412" t="s">
        <v>133</v>
      </c>
      <c r="L412"/>
      <c r="M412" t="n">
        <v>1977</v>
      </c>
      <c r="N412" t="n">
        <v>1977</v>
      </c>
      <c r="O412" t="s">
        <v>228</v>
      </c>
      <c r="P412" t="n">
        <v>1</v>
      </c>
      <c r="Q412" t="n">
        <v>1</v>
      </c>
      <c r="R412" t="n">
        <v>1</v>
      </c>
      <c r="S412" t="n">
        <v>1977</v>
      </c>
      <c r="T412" t="s">
        <v>2461</v>
      </c>
      <c r="U412" t="s">
        <v>2462</v>
      </c>
      <c r="V412" t="s">
        <v>74</v>
      </c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2463</v>
      </c>
      <c r="B413" t="s">
        <v>31</v>
      </c>
      <c r="C413" t="s">
        <v>65</v>
      </c>
      <c r="D413" t="s">
        <v>2464</v>
      </c>
      <c r="E413" t="s">
        <v>2272</v>
      </c>
      <c r="F413" t="s">
        <v>2267</v>
      </c>
      <c r="G413" t="s">
        <v>2444</v>
      </c>
      <c r="H413" t="n">
        <v>38.8397218217535</v>
      </c>
      <c r="I413" t="n">
        <v>-104.730661030555</v>
      </c>
      <c r="J413" t="s">
        <v>35</v>
      </c>
      <c r="K413" t="s">
        <v>133</v>
      </c>
      <c r="L413" t="s">
        <v>1310</v>
      </c>
      <c r="M413" t="n">
        <v>1980</v>
      </c>
      <c r="N413" t="n">
        <v>1980</v>
      </c>
      <c r="O413" t="s">
        <v>255</v>
      </c>
      <c r="P413" t="n">
        <v>1</v>
      </c>
      <c r="Q413" t="n">
        <v>1</v>
      </c>
      <c r="R413" t="n">
        <v>1</v>
      </c>
      <c r="S413" t="n">
        <v>1960</v>
      </c>
      <c r="T413" t="s">
        <v>2465</v>
      </c>
      <c r="U413" t="s">
        <v>2466</v>
      </c>
      <c r="V413" t="s">
        <v>74</v>
      </c>
      <c r="W413"/>
      <c r="X413"/>
      <c r="Y413"/>
      <c r="Z413"/>
      <c r="AA413"/>
      <c r="AB413"/>
      <c r="AC413"/>
      <c r="AD413"/>
      <c r="AE413"/>
      <c r="AF413" t="s">
        <v>2467</v>
      </c>
      <c r="AG413" t="n">
        <v>132</v>
      </c>
    </row>
    <row r="414">
      <c r="A414" t="s">
        <v>2468</v>
      </c>
      <c r="B414" t="s">
        <v>31</v>
      </c>
      <c r="C414" t="s">
        <v>65</v>
      </c>
      <c r="D414" t="s">
        <v>2469</v>
      </c>
      <c r="E414" t="s">
        <v>2272</v>
      </c>
      <c r="F414" t="s">
        <v>2267</v>
      </c>
      <c r="G414" t="s">
        <v>2326</v>
      </c>
      <c r="H414" t="n">
        <v>38.8531527290202</v>
      </c>
      <c r="I414" t="n">
        <v>-104.87049601875</v>
      </c>
      <c r="J414" t="s">
        <v>35</v>
      </c>
      <c r="K414" t="s">
        <v>126</v>
      </c>
      <c r="L414"/>
      <c r="M414" t="n">
        <v>1980</v>
      </c>
      <c r="N414" t="n">
        <v>1983</v>
      </c>
      <c r="O414" t="s">
        <v>528</v>
      </c>
      <c r="P414" t="n">
        <v>2</v>
      </c>
      <c r="Q414" t="n">
        <v>3</v>
      </c>
      <c r="R414" t="n">
        <v>3</v>
      </c>
      <c r="S414" t="n">
        <v>1953</v>
      </c>
      <c r="T414" t="s">
        <v>2470</v>
      </c>
      <c r="U414" t="s">
        <v>2471</v>
      </c>
      <c r="V414" t="s">
        <v>74</v>
      </c>
      <c r="W414"/>
      <c r="X414"/>
      <c r="Y414"/>
      <c r="Z414"/>
      <c r="AA414"/>
      <c r="AB414"/>
      <c r="AC414"/>
      <c r="AD414"/>
      <c r="AE414"/>
      <c r="AF414" t="s">
        <v>2472</v>
      </c>
      <c r="AG414" t="n">
        <v>62</v>
      </c>
    </row>
    <row r="415">
      <c r="A415" t="s">
        <v>2473</v>
      </c>
      <c r="B415" t="s">
        <v>31</v>
      </c>
      <c r="C415" t="s">
        <v>65</v>
      </c>
      <c r="D415" t="s">
        <v>2474</v>
      </c>
      <c r="E415" t="s">
        <v>2272</v>
      </c>
      <c r="F415" t="s">
        <v>2267</v>
      </c>
      <c r="G415" t="s">
        <v>2475</v>
      </c>
      <c r="H415" t="n">
        <v>38.7992329888647</v>
      </c>
      <c r="I415" t="n">
        <v>-104.80051762993</v>
      </c>
      <c r="J415" t="s">
        <v>35</v>
      </c>
      <c r="K415" t="s">
        <v>1041</v>
      </c>
      <c r="L415" t="s">
        <v>2476</v>
      </c>
      <c r="M415" t="n">
        <v>1980</v>
      </c>
      <c r="N415" t="n">
        <v>1980</v>
      </c>
      <c r="O415" t="s">
        <v>255</v>
      </c>
      <c r="P415" t="n">
        <v>1</v>
      </c>
      <c r="Q415" t="n">
        <v>1</v>
      </c>
      <c r="R415" t="n">
        <v>1</v>
      </c>
      <c r="S415" t="n">
        <v>1960</v>
      </c>
      <c r="T415" t="s">
        <v>2477</v>
      </c>
      <c r="U415" t="s">
        <v>2478</v>
      </c>
      <c r="V415" t="s">
        <v>74</v>
      </c>
      <c r="W415"/>
      <c r="X415"/>
      <c r="Y415"/>
      <c r="Z415"/>
      <c r="AA415"/>
      <c r="AB415"/>
      <c r="AC415"/>
      <c r="AD415"/>
      <c r="AE415"/>
      <c r="AF415" t="s">
        <v>2479</v>
      </c>
      <c r="AG415" t="n">
        <v>102</v>
      </c>
    </row>
    <row r="416">
      <c r="A416" t="s">
        <v>2480</v>
      </c>
      <c r="B416" t="s">
        <v>31</v>
      </c>
      <c r="C416" t="s">
        <v>65</v>
      </c>
      <c r="D416" t="s">
        <v>2481</v>
      </c>
      <c r="E416" t="s">
        <v>2272</v>
      </c>
      <c r="F416" t="s">
        <v>2267</v>
      </c>
      <c r="G416" t="s">
        <v>2296</v>
      </c>
      <c r="H416" t="n">
        <v>38.8196207437271</v>
      </c>
      <c r="I416" t="n">
        <v>-104.824267229685</v>
      </c>
      <c r="J416" t="s">
        <v>35</v>
      </c>
      <c r="K416" t="s">
        <v>270</v>
      </c>
      <c r="L416"/>
      <c r="M416" t="n">
        <v>1980</v>
      </c>
      <c r="N416" t="n">
        <v>1992</v>
      </c>
      <c r="O416" t="s">
        <v>2482</v>
      </c>
      <c r="P416" t="n">
        <v>3</v>
      </c>
      <c r="Q416" t="n">
        <v>4</v>
      </c>
      <c r="R416" t="n">
        <v>2</v>
      </c>
      <c r="S416" t="n">
        <v>1969</v>
      </c>
      <c r="T416" t="s">
        <v>2483</v>
      </c>
      <c r="U416" t="s">
        <v>2484</v>
      </c>
      <c r="V416" t="s">
        <v>74</v>
      </c>
      <c r="W416"/>
      <c r="X416"/>
      <c r="Y416"/>
      <c r="Z416"/>
      <c r="AA416"/>
      <c r="AB416"/>
      <c r="AC416"/>
      <c r="AD416"/>
      <c r="AE416"/>
      <c r="AF416" t="s">
        <v>2485</v>
      </c>
      <c r="AG416" t="n">
        <v>219</v>
      </c>
    </row>
    <row r="417">
      <c r="A417" t="s">
        <v>2486</v>
      </c>
      <c r="B417" t="s">
        <v>31</v>
      </c>
      <c r="C417" t="s">
        <v>65</v>
      </c>
      <c r="D417" t="s">
        <v>2487</v>
      </c>
      <c r="E417" t="s">
        <v>2266</v>
      </c>
      <c r="F417" t="s">
        <v>2267</v>
      </c>
      <c r="G417" t="s">
        <v>2488</v>
      </c>
      <c r="H417" t="n">
        <v>38.856725</v>
      </c>
      <c r="I417" t="n">
        <v>-104.900066</v>
      </c>
      <c r="J417" t="s">
        <v>35</v>
      </c>
      <c r="K417" t="s">
        <v>315</v>
      </c>
      <c r="L417"/>
      <c r="M417" t="n">
        <v>1980</v>
      </c>
      <c r="N417" t="n">
        <v>1983</v>
      </c>
      <c r="O417" t="s">
        <v>528</v>
      </c>
      <c r="P417" t="n">
        <v>2</v>
      </c>
      <c r="Q417" t="n">
        <v>2</v>
      </c>
      <c r="R417" t="n">
        <v>2</v>
      </c>
      <c r="S417" t="n">
        <v>1967</v>
      </c>
      <c r="T417" t="s">
        <v>2489</v>
      </c>
      <c r="U417" t="s">
        <v>2490</v>
      </c>
      <c r="V417" t="s">
        <v>74</v>
      </c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2491</v>
      </c>
      <c r="B418" t="s">
        <v>31</v>
      </c>
      <c r="C418" t="s">
        <v>65</v>
      </c>
      <c r="D418" t="s">
        <v>2492</v>
      </c>
      <c r="E418" t="s">
        <v>2266</v>
      </c>
      <c r="F418" t="s">
        <v>2267</v>
      </c>
      <c r="G418" t="s">
        <v>2488</v>
      </c>
      <c r="H418" t="n">
        <v>38.8638620907713</v>
      </c>
      <c r="I418" t="n">
        <v>-104.922628662864</v>
      </c>
      <c r="J418" t="s">
        <v>35</v>
      </c>
      <c r="K418" t="s">
        <v>120</v>
      </c>
      <c r="L418"/>
      <c r="M418" t="n">
        <v>1980</v>
      </c>
      <c r="N418" t="n">
        <v>1980</v>
      </c>
      <c r="O418" t="s">
        <v>255</v>
      </c>
      <c r="P418" t="n">
        <v>1</v>
      </c>
      <c r="Q418" t="n">
        <v>1</v>
      </c>
      <c r="R418" t="n">
        <v>1</v>
      </c>
      <c r="S418" t="n">
        <v>1963</v>
      </c>
      <c r="T418" t="s">
        <v>2493</v>
      </c>
      <c r="U418" t="s">
        <v>2494</v>
      </c>
      <c r="V418" t="s">
        <v>74</v>
      </c>
      <c r="W418"/>
      <c r="X418"/>
      <c r="Y418"/>
      <c r="Z418"/>
      <c r="AA418"/>
      <c r="AB418"/>
      <c r="AC418"/>
      <c r="AD418"/>
      <c r="AE418"/>
      <c r="AF418" t="s">
        <v>2495</v>
      </c>
      <c r="AG418" t="n">
        <v>69</v>
      </c>
    </row>
    <row r="419">
      <c r="A419" t="s">
        <v>2496</v>
      </c>
      <c r="B419" t="s">
        <v>31</v>
      </c>
      <c r="C419" t="s">
        <v>65</v>
      </c>
      <c r="D419" t="s">
        <v>2497</v>
      </c>
      <c r="E419" t="s">
        <v>2272</v>
      </c>
      <c r="F419" t="s">
        <v>2267</v>
      </c>
      <c r="G419" t="s">
        <v>2289</v>
      </c>
      <c r="H419" t="n">
        <v>38.8722964446164</v>
      </c>
      <c r="I419" t="n">
        <v>-104.831992555384</v>
      </c>
      <c r="J419" t="s">
        <v>35</v>
      </c>
      <c r="K419" t="s">
        <v>141</v>
      </c>
      <c r="L419"/>
      <c r="M419" t="n">
        <v>1983</v>
      </c>
      <c r="N419" t="n">
        <v>1990</v>
      </c>
      <c r="O419" t="s">
        <v>271</v>
      </c>
      <c r="P419" t="n">
        <v>3</v>
      </c>
      <c r="Q419" t="n">
        <v>2</v>
      </c>
      <c r="R419" t="n">
        <v>2</v>
      </c>
      <c r="S419" t="n">
        <v>1963</v>
      </c>
      <c r="T419" t="s">
        <v>2498</v>
      </c>
      <c r="U419" t="s">
        <v>2499</v>
      </c>
      <c r="V419" t="s">
        <v>74</v>
      </c>
      <c r="W419"/>
      <c r="X419"/>
      <c r="Y419"/>
      <c r="Z419"/>
      <c r="AA419"/>
      <c r="AB419"/>
      <c r="AC419"/>
      <c r="AD419"/>
      <c r="AE419"/>
      <c r="AF419" t="s">
        <v>2500</v>
      </c>
      <c r="AG419" t="n">
        <v>57</v>
      </c>
    </row>
    <row r="420">
      <c r="A420" t="s">
        <v>2501</v>
      </c>
      <c r="B420" t="s">
        <v>31</v>
      </c>
      <c r="C420" t="s">
        <v>65</v>
      </c>
      <c r="D420" t="s">
        <v>2502</v>
      </c>
      <c r="E420" t="s">
        <v>2272</v>
      </c>
      <c r="F420" t="s">
        <v>2267</v>
      </c>
      <c r="G420" t="s">
        <v>2273</v>
      </c>
      <c r="H420" t="n">
        <v>38.837155112079</v>
      </c>
      <c r="I420" t="n">
        <v>-104.785851117374</v>
      </c>
      <c r="J420" t="s">
        <v>35</v>
      </c>
      <c r="K420" t="s">
        <v>120</v>
      </c>
      <c r="L420"/>
      <c r="M420" t="n">
        <v>1983</v>
      </c>
      <c r="N420" t="n">
        <v>1983</v>
      </c>
      <c r="O420" t="s">
        <v>264</v>
      </c>
      <c r="P420" t="n">
        <v>1</v>
      </c>
      <c r="Q420" t="n">
        <v>1</v>
      </c>
      <c r="R420" t="n">
        <v>1</v>
      </c>
      <c r="S420" t="n">
        <v>1976</v>
      </c>
      <c r="T420" t="s">
        <v>2503</v>
      </c>
      <c r="U420" t="s">
        <v>2504</v>
      </c>
      <c r="V420" t="s">
        <v>74</v>
      </c>
      <c r="W420"/>
      <c r="X420"/>
      <c r="Y420"/>
      <c r="Z420"/>
      <c r="AA420"/>
      <c r="AB420" t="s">
        <v>2505</v>
      </c>
      <c r="AC420" t="n">
        <v>245</v>
      </c>
      <c r="AD420"/>
      <c r="AE420"/>
      <c r="AF420" t="s">
        <v>2506</v>
      </c>
      <c r="AG420" t="n">
        <v>61</v>
      </c>
    </row>
    <row r="421">
      <c r="A421" t="s">
        <v>2507</v>
      </c>
      <c r="B421" t="s">
        <v>31</v>
      </c>
      <c r="C421" t="s">
        <v>65</v>
      </c>
      <c r="D421" t="s">
        <v>2508</v>
      </c>
      <c r="E421" t="s">
        <v>2272</v>
      </c>
      <c r="F421" t="s">
        <v>2267</v>
      </c>
      <c r="G421" t="s">
        <v>2444</v>
      </c>
      <c r="H421" t="n">
        <v>38.8430974014024</v>
      </c>
      <c r="I421" t="n">
        <v>-104.732660641103</v>
      </c>
      <c r="J421" t="s">
        <v>35</v>
      </c>
      <c r="K421" t="s">
        <v>70</v>
      </c>
      <c r="L421"/>
      <c r="M421" t="n">
        <v>1983</v>
      </c>
      <c r="N421" t="n">
        <v>1983</v>
      </c>
      <c r="O421" t="s">
        <v>264</v>
      </c>
      <c r="P421" t="n">
        <v>1</v>
      </c>
      <c r="Q421" t="n">
        <v>1</v>
      </c>
      <c r="R421" t="n">
        <v>1</v>
      </c>
      <c r="S421" t="n">
        <v>1979</v>
      </c>
      <c r="T421" t="s">
        <v>2509</v>
      </c>
      <c r="U421" t="s">
        <v>2510</v>
      </c>
      <c r="V421" t="s">
        <v>74</v>
      </c>
      <c r="W421"/>
      <c r="X421"/>
      <c r="Y421"/>
      <c r="Z421"/>
      <c r="AA421"/>
      <c r="AB421"/>
      <c r="AC421"/>
      <c r="AD421"/>
      <c r="AE421"/>
      <c r="AF421" t="s">
        <v>2511</v>
      </c>
      <c r="AG421" t="n">
        <v>176</v>
      </c>
    </row>
    <row r="422">
      <c r="A422" t="s">
        <v>2512</v>
      </c>
      <c r="B422" t="s">
        <v>31</v>
      </c>
      <c r="C422" t="s">
        <v>65</v>
      </c>
      <c r="D422" t="s">
        <v>2513</v>
      </c>
      <c r="E422" t="s">
        <v>2272</v>
      </c>
      <c r="F422" t="s">
        <v>2267</v>
      </c>
      <c r="G422" t="s">
        <v>2475</v>
      </c>
      <c r="H422" t="n">
        <v>38.8006502459589</v>
      </c>
      <c r="I422" t="n">
        <v>-104.794404</v>
      </c>
      <c r="J422" t="s">
        <v>35</v>
      </c>
      <c r="K422" t="s">
        <v>120</v>
      </c>
      <c r="L422"/>
      <c r="M422" t="n">
        <v>1983</v>
      </c>
      <c r="N422" t="n">
        <v>1983</v>
      </c>
      <c r="O422" t="s">
        <v>264</v>
      </c>
      <c r="P422" t="n">
        <v>1</v>
      </c>
      <c r="Q422" t="n">
        <v>1</v>
      </c>
      <c r="R422" t="n">
        <v>1</v>
      </c>
      <c r="S422" t="n">
        <v>1982</v>
      </c>
      <c r="T422" t="s">
        <v>2514</v>
      </c>
      <c r="U422" t="s">
        <v>2515</v>
      </c>
      <c r="V422" t="s">
        <v>74</v>
      </c>
      <c r="W422"/>
      <c r="X422"/>
      <c r="Y422"/>
      <c r="Z422"/>
      <c r="AA422"/>
      <c r="AB422"/>
      <c r="AC422"/>
      <c r="AD422"/>
      <c r="AE422"/>
      <c r="AF422" t="s">
        <v>2516</v>
      </c>
      <c r="AG422" t="n">
        <v>156</v>
      </c>
    </row>
    <row r="423">
      <c r="A423" t="s">
        <v>2517</v>
      </c>
      <c r="B423" t="s">
        <v>31</v>
      </c>
      <c r="C423" t="s">
        <v>65</v>
      </c>
      <c r="D423" t="s">
        <v>2518</v>
      </c>
      <c r="E423" t="s">
        <v>2272</v>
      </c>
      <c r="F423" t="s">
        <v>2267</v>
      </c>
      <c r="G423" t="s">
        <v>2289</v>
      </c>
      <c r="H423" t="n">
        <v>38.845328925261</v>
      </c>
      <c r="I423" t="n">
        <v>-104.819230202591</v>
      </c>
      <c r="J423" t="s">
        <v>35</v>
      </c>
      <c r="K423" t="s">
        <v>796</v>
      </c>
      <c r="L423"/>
      <c r="M423" t="n">
        <v>1983</v>
      </c>
      <c r="N423" t="n">
        <v>1990</v>
      </c>
      <c r="O423" t="s">
        <v>293</v>
      </c>
      <c r="P423" t="n">
        <v>2</v>
      </c>
      <c r="Q423" t="n">
        <v>1</v>
      </c>
      <c r="R423" t="n">
        <v>1</v>
      </c>
      <c r="S423" t="n">
        <v>1970</v>
      </c>
      <c r="T423" t="s">
        <v>2519</v>
      </c>
      <c r="U423" t="s">
        <v>2520</v>
      </c>
      <c r="V423" t="s">
        <v>74</v>
      </c>
      <c r="W423"/>
      <c r="X423"/>
      <c r="Y423"/>
      <c r="Z423"/>
      <c r="AA423"/>
      <c r="AB423" t="s">
        <v>2521</v>
      </c>
      <c r="AC423" t="n">
        <v>221</v>
      </c>
      <c r="AD423"/>
      <c r="AE423"/>
      <c r="AF423" t="s">
        <v>2522</v>
      </c>
      <c r="AG423" t="n">
        <v>119</v>
      </c>
    </row>
    <row r="424">
      <c r="A424" t="s">
        <v>2523</v>
      </c>
      <c r="B424" t="s">
        <v>31</v>
      </c>
      <c r="C424" t="s">
        <v>65</v>
      </c>
      <c r="D424" t="s">
        <v>2524</v>
      </c>
      <c r="E424" t="s">
        <v>2272</v>
      </c>
      <c r="F424" t="s">
        <v>2267</v>
      </c>
      <c r="G424" t="s">
        <v>2444</v>
      </c>
      <c r="H424" t="n">
        <v>38.8498079073539</v>
      </c>
      <c r="I424" t="n">
        <v>-104.713805560957</v>
      </c>
      <c r="J424" t="s">
        <v>35</v>
      </c>
      <c r="K424" t="s">
        <v>1041</v>
      </c>
      <c r="L424" t="s">
        <v>2476</v>
      </c>
      <c r="M424" t="n">
        <v>1983</v>
      </c>
      <c r="N424" t="n">
        <v>1990</v>
      </c>
      <c r="O424" t="s">
        <v>271</v>
      </c>
      <c r="P424" t="n">
        <v>3</v>
      </c>
      <c r="Q424" t="n">
        <v>1</v>
      </c>
      <c r="R424" t="n">
        <v>1</v>
      </c>
      <c r="S424" t="n">
        <v>1980</v>
      </c>
      <c r="T424" t="s">
        <v>2525</v>
      </c>
      <c r="U424" t="s">
        <v>2526</v>
      </c>
      <c r="V424" t="s">
        <v>74</v>
      </c>
      <c r="W424"/>
      <c r="X424"/>
      <c r="Y424"/>
      <c r="Z424"/>
      <c r="AA424"/>
      <c r="AB424"/>
      <c r="AC424"/>
      <c r="AD424"/>
      <c r="AE424"/>
      <c r="AF424" t="s">
        <v>2527</v>
      </c>
      <c r="AG424" t="n">
        <v>48</v>
      </c>
    </row>
    <row r="425">
      <c r="A425" t="s">
        <v>2528</v>
      </c>
      <c r="B425" t="s">
        <v>31</v>
      </c>
      <c r="C425" t="s">
        <v>65</v>
      </c>
      <c r="D425" t="s">
        <v>2529</v>
      </c>
      <c r="E425" t="s">
        <v>2272</v>
      </c>
      <c r="F425" t="s">
        <v>2267</v>
      </c>
      <c r="G425" t="s">
        <v>2530</v>
      </c>
      <c r="H425" t="n">
        <v>38.8006583885524</v>
      </c>
      <c r="I425" t="n">
        <v>-104.747177842258</v>
      </c>
      <c r="J425" t="s">
        <v>35</v>
      </c>
      <c r="K425" t="s">
        <v>120</v>
      </c>
      <c r="L425"/>
      <c r="M425" t="n">
        <v>1983</v>
      </c>
      <c r="N425" t="n">
        <v>1983</v>
      </c>
      <c r="O425" t="s">
        <v>264</v>
      </c>
      <c r="P425" t="n">
        <v>1</v>
      </c>
      <c r="Q425" t="n">
        <v>1</v>
      </c>
      <c r="R425" t="n">
        <v>1</v>
      </c>
      <c r="S425" t="n">
        <v>1972</v>
      </c>
      <c r="T425" t="s">
        <v>2531</v>
      </c>
      <c r="U425" t="s">
        <v>2532</v>
      </c>
      <c r="V425" t="s">
        <v>74</v>
      </c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2533</v>
      </c>
      <c r="B426" t="s">
        <v>31</v>
      </c>
      <c r="C426" t="s">
        <v>65</v>
      </c>
      <c r="D426" t="s">
        <v>2534</v>
      </c>
      <c r="E426" t="s">
        <v>2272</v>
      </c>
      <c r="F426" t="s">
        <v>2267</v>
      </c>
      <c r="G426" t="s">
        <v>2289</v>
      </c>
      <c r="H426" t="n">
        <v>38.8184784651212</v>
      </c>
      <c r="I426" t="n">
        <v>-104.825648589443</v>
      </c>
      <c r="J426" t="s">
        <v>35</v>
      </c>
      <c r="K426" t="s">
        <v>89</v>
      </c>
      <c r="L426"/>
      <c r="M426" t="n">
        <v>1983</v>
      </c>
      <c r="N426" t="n">
        <v>1983</v>
      </c>
      <c r="O426" t="s">
        <v>264</v>
      </c>
      <c r="P426" t="n">
        <v>1</v>
      </c>
      <c r="Q426" t="n">
        <v>1</v>
      </c>
      <c r="R426" t="n">
        <v>1</v>
      </c>
      <c r="S426" t="n">
        <v>1980</v>
      </c>
      <c r="T426" t="s">
        <v>2535</v>
      </c>
      <c r="U426" t="s">
        <v>2536</v>
      </c>
      <c r="V426" t="s">
        <v>74</v>
      </c>
      <c r="W426"/>
      <c r="X426"/>
      <c r="Y426"/>
      <c r="Z426"/>
      <c r="AA426"/>
      <c r="AB426"/>
      <c r="AC426"/>
      <c r="AD426"/>
      <c r="AE426"/>
      <c r="AF426" t="s">
        <v>2485</v>
      </c>
      <c r="AG426" t="n">
        <v>62</v>
      </c>
    </row>
    <row r="427">
      <c r="A427" t="s">
        <v>2537</v>
      </c>
      <c r="B427" t="s">
        <v>31</v>
      </c>
      <c r="C427" t="s">
        <v>65</v>
      </c>
      <c r="D427" t="s">
        <v>2538</v>
      </c>
      <c r="E427" t="s">
        <v>2539</v>
      </c>
      <c r="F427" t="s">
        <v>2267</v>
      </c>
      <c r="G427" t="s">
        <v>2540</v>
      </c>
      <c r="H427" t="n">
        <v>38.7262560909091</v>
      </c>
      <c r="I427" t="n">
        <v>-104.694151363636</v>
      </c>
      <c r="J427" t="s">
        <v>35</v>
      </c>
      <c r="K427" t="s">
        <v>70</v>
      </c>
      <c r="L427"/>
      <c r="M427" t="n">
        <v>1983</v>
      </c>
      <c r="N427" t="n">
        <v>1983</v>
      </c>
      <c r="O427" t="s">
        <v>264</v>
      </c>
      <c r="P427" t="n">
        <v>1</v>
      </c>
      <c r="Q427" t="n">
        <v>1</v>
      </c>
      <c r="R427" t="n">
        <v>1</v>
      </c>
      <c r="S427" t="n">
        <v>1981</v>
      </c>
      <c r="T427" t="s">
        <v>2541</v>
      </c>
      <c r="U427" t="s">
        <v>2542</v>
      </c>
      <c r="V427" t="s">
        <v>74</v>
      </c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2543</v>
      </c>
      <c r="B428" t="s">
        <v>31</v>
      </c>
      <c r="C428" t="s">
        <v>65</v>
      </c>
      <c r="D428" t="s">
        <v>2544</v>
      </c>
      <c r="E428" t="s">
        <v>2266</v>
      </c>
      <c r="F428" t="s">
        <v>2267</v>
      </c>
      <c r="G428" t="s">
        <v>2488</v>
      </c>
      <c r="H428" t="n">
        <v>38.8575900876447</v>
      </c>
      <c r="I428" t="n">
        <v>-104.91125511212</v>
      </c>
      <c r="J428" t="s">
        <v>35</v>
      </c>
      <c r="K428" t="s">
        <v>133</v>
      </c>
      <c r="L428" t="s">
        <v>202</v>
      </c>
      <c r="M428" t="n">
        <v>1983</v>
      </c>
      <c r="N428" t="n">
        <v>1990</v>
      </c>
      <c r="O428" t="s">
        <v>293</v>
      </c>
      <c r="P428" t="n">
        <v>2</v>
      </c>
      <c r="Q428" t="n">
        <v>1</v>
      </c>
      <c r="R428" t="n">
        <v>1</v>
      </c>
      <c r="S428" t="n">
        <v>1978</v>
      </c>
      <c r="T428" t="s">
        <v>2545</v>
      </c>
      <c r="U428" t="s">
        <v>2546</v>
      </c>
      <c r="V428" t="s">
        <v>74</v>
      </c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2547</v>
      </c>
      <c r="B429" t="s">
        <v>31</v>
      </c>
      <c r="C429" t="s">
        <v>65</v>
      </c>
      <c r="D429" t="s">
        <v>2548</v>
      </c>
      <c r="E429" t="s">
        <v>2272</v>
      </c>
      <c r="F429" t="s">
        <v>2267</v>
      </c>
      <c r="G429" t="s">
        <v>2412</v>
      </c>
      <c r="H429" t="n">
        <v>38.9455958219622</v>
      </c>
      <c r="I429" t="n">
        <v>-104.670914026849</v>
      </c>
      <c r="J429" t="s">
        <v>35</v>
      </c>
      <c r="K429" t="s">
        <v>141</v>
      </c>
      <c r="L429"/>
      <c r="M429" t="n">
        <v>1988</v>
      </c>
      <c r="N429" t="n">
        <v>1990</v>
      </c>
      <c r="O429" t="s">
        <v>310</v>
      </c>
      <c r="P429" t="n">
        <v>2</v>
      </c>
      <c r="Q429" t="n">
        <v>2</v>
      </c>
      <c r="R429" t="n">
        <v>2</v>
      </c>
      <c r="S429" t="n">
        <v>1950</v>
      </c>
      <c r="T429" t="s">
        <v>2549</v>
      </c>
      <c r="U429" t="s">
        <v>2550</v>
      </c>
      <c r="V429" t="s">
        <v>74</v>
      </c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2551</v>
      </c>
      <c r="B430" t="s">
        <v>31</v>
      </c>
      <c r="C430" t="s">
        <v>65</v>
      </c>
      <c r="D430" t="s">
        <v>2552</v>
      </c>
      <c r="E430" t="s">
        <v>2272</v>
      </c>
      <c r="F430" t="s">
        <v>2267</v>
      </c>
      <c r="G430" t="s">
        <v>2289</v>
      </c>
      <c r="H430" t="n">
        <v>38.8320266198218</v>
      </c>
      <c r="I430" t="n">
        <v>-104.817171400307</v>
      </c>
      <c r="J430" t="s">
        <v>35</v>
      </c>
      <c r="K430" t="s">
        <v>70</v>
      </c>
      <c r="L430"/>
      <c r="M430" t="n">
        <v>1988</v>
      </c>
      <c r="N430" t="n">
        <v>1990</v>
      </c>
      <c r="O430" t="s">
        <v>310</v>
      </c>
      <c r="P430" t="n">
        <v>2</v>
      </c>
      <c r="Q430" t="n">
        <v>1</v>
      </c>
      <c r="R430" t="n">
        <v>1</v>
      </c>
      <c r="S430" t="n">
        <v>1975</v>
      </c>
      <c r="T430" t="s">
        <v>2553</v>
      </c>
      <c r="U430" t="s">
        <v>2554</v>
      </c>
      <c r="V430" t="s">
        <v>74</v>
      </c>
      <c r="W430"/>
      <c r="X430"/>
      <c r="Y430"/>
      <c r="Z430"/>
      <c r="AA430"/>
      <c r="AB430" t="s">
        <v>2555</v>
      </c>
      <c r="AC430" t="n">
        <v>242</v>
      </c>
      <c r="AD430"/>
      <c r="AE430"/>
      <c r="AF430" t="s">
        <v>2556</v>
      </c>
      <c r="AG430" t="n">
        <v>195</v>
      </c>
    </row>
    <row r="431">
      <c r="A431" t="s">
        <v>2557</v>
      </c>
      <c r="B431" t="s">
        <v>31</v>
      </c>
      <c r="C431" t="s">
        <v>65</v>
      </c>
      <c r="D431" t="s">
        <v>2558</v>
      </c>
      <c r="E431" t="s">
        <v>2272</v>
      </c>
      <c r="F431" t="s">
        <v>2267</v>
      </c>
      <c r="G431" t="s">
        <v>2530</v>
      </c>
      <c r="H431" t="n">
        <v>38.8125060357104</v>
      </c>
      <c r="I431" t="n">
        <v>-104.725302929885</v>
      </c>
      <c r="J431" t="s">
        <v>35</v>
      </c>
      <c r="K431" t="s">
        <v>527</v>
      </c>
      <c r="L431"/>
      <c r="M431" t="n">
        <v>1988</v>
      </c>
      <c r="N431" t="n">
        <v>1990</v>
      </c>
      <c r="O431" t="s">
        <v>310</v>
      </c>
      <c r="P431" t="n">
        <v>2</v>
      </c>
      <c r="Q431" t="n">
        <v>1</v>
      </c>
      <c r="R431" t="n">
        <v>1</v>
      </c>
      <c r="S431" t="n">
        <v>1983</v>
      </c>
      <c r="T431" t="s">
        <v>2559</v>
      </c>
      <c r="U431" t="s">
        <v>2560</v>
      </c>
      <c r="V431" t="s">
        <v>74</v>
      </c>
      <c r="W431"/>
      <c r="X431"/>
      <c r="Y431"/>
      <c r="Z431"/>
      <c r="AA431"/>
      <c r="AB431"/>
      <c r="AC431"/>
      <c r="AD431" t="s">
        <v>2561</v>
      </c>
      <c r="AE431" t="n">
        <v>122</v>
      </c>
      <c r="AF431" t="s">
        <v>2562</v>
      </c>
      <c r="AG431" t="n">
        <v>145</v>
      </c>
    </row>
    <row r="432">
      <c r="A432" t="s">
        <v>2563</v>
      </c>
      <c r="B432" t="s">
        <v>31</v>
      </c>
      <c r="C432" t="s">
        <v>65</v>
      </c>
      <c r="D432" t="s">
        <v>2564</v>
      </c>
      <c r="E432" t="s">
        <v>2272</v>
      </c>
      <c r="F432" t="s">
        <v>2267</v>
      </c>
      <c r="G432" t="s">
        <v>2475</v>
      </c>
      <c r="H432" t="n">
        <v>38.7983281495933</v>
      </c>
      <c r="I432" t="n">
        <v>-104.794396256976</v>
      </c>
      <c r="J432" t="s">
        <v>35</v>
      </c>
      <c r="K432" t="s">
        <v>89</v>
      </c>
      <c r="L432"/>
      <c r="M432" t="n">
        <v>1988</v>
      </c>
      <c r="N432" t="n">
        <v>1988</v>
      </c>
      <c r="O432" t="s">
        <v>325</v>
      </c>
      <c r="P432" t="n">
        <v>1</v>
      </c>
      <c r="Q432" t="n">
        <v>1</v>
      </c>
      <c r="R432" t="n">
        <v>1</v>
      </c>
      <c r="S432" t="n">
        <v>1958</v>
      </c>
      <c r="T432" t="s">
        <v>2565</v>
      </c>
      <c r="U432" t="s">
        <v>2566</v>
      </c>
      <c r="V432" t="s">
        <v>74</v>
      </c>
      <c r="W432"/>
      <c r="X432"/>
      <c r="Y432"/>
      <c r="Z432"/>
      <c r="AA432"/>
      <c r="AB432"/>
      <c r="AC432"/>
      <c r="AD432"/>
      <c r="AE432"/>
      <c r="AF432" t="s">
        <v>2567</v>
      </c>
      <c r="AG432" t="n">
        <v>237</v>
      </c>
    </row>
    <row r="433">
      <c r="A433" t="s">
        <v>2568</v>
      </c>
      <c r="B433" t="s">
        <v>31</v>
      </c>
      <c r="C433" t="s">
        <v>65</v>
      </c>
      <c r="D433" t="s">
        <v>2569</v>
      </c>
      <c r="E433" t="s">
        <v>2272</v>
      </c>
      <c r="F433" t="s">
        <v>2267</v>
      </c>
      <c r="G433" t="s">
        <v>2570</v>
      </c>
      <c r="H433" t="n">
        <v>38.9189560165822</v>
      </c>
      <c r="I433" t="n">
        <v>-104.787239702576</v>
      </c>
      <c r="J433" t="s">
        <v>35</v>
      </c>
      <c r="K433" t="s">
        <v>70</v>
      </c>
      <c r="L433"/>
      <c r="M433" t="n">
        <v>1988</v>
      </c>
      <c r="N433" t="n">
        <v>1988</v>
      </c>
      <c r="O433" t="s">
        <v>325</v>
      </c>
      <c r="P433" t="n">
        <v>1</v>
      </c>
      <c r="Q433" t="n">
        <v>1</v>
      </c>
      <c r="R433" t="n">
        <v>1</v>
      </c>
      <c r="S433" t="n">
        <v>1979</v>
      </c>
      <c r="T433" t="s">
        <v>2571</v>
      </c>
      <c r="U433" t="s">
        <v>2572</v>
      </c>
      <c r="V433" t="s">
        <v>74</v>
      </c>
      <c r="W433"/>
      <c r="X433"/>
      <c r="Y433"/>
      <c r="Z433"/>
      <c r="AA433"/>
      <c r="AB433"/>
      <c r="AC433"/>
      <c r="AD433"/>
      <c r="AE433"/>
      <c r="AF433" t="s">
        <v>2573</v>
      </c>
      <c r="AG433" t="n">
        <v>179</v>
      </c>
    </row>
    <row r="434">
      <c r="A434" t="s">
        <v>2574</v>
      </c>
      <c r="B434" t="s">
        <v>31</v>
      </c>
      <c r="C434" t="s">
        <v>65</v>
      </c>
      <c r="D434" t="s">
        <v>2575</v>
      </c>
      <c r="E434" t="s">
        <v>2272</v>
      </c>
      <c r="F434" t="s">
        <v>2267</v>
      </c>
      <c r="G434" t="s">
        <v>2444</v>
      </c>
      <c r="H434" t="n">
        <v>38.8393795310446</v>
      </c>
      <c r="I434" t="n">
        <v>-104.743913863141</v>
      </c>
      <c r="J434" t="s">
        <v>35</v>
      </c>
      <c r="K434" t="s">
        <v>120</v>
      </c>
      <c r="L434"/>
      <c r="M434" t="n">
        <v>1988</v>
      </c>
      <c r="N434" t="n">
        <v>1988</v>
      </c>
      <c r="O434" t="s">
        <v>325</v>
      </c>
      <c r="P434" t="n">
        <v>1</v>
      </c>
      <c r="Q434" t="n">
        <v>1</v>
      </c>
      <c r="R434" t="n">
        <v>1</v>
      </c>
      <c r="S434" t="n">
        <v>1984</v>
      </c>
      <c r="T434" t="s">
        <v>2576</v>
      </c>
      <c r="U434" t="s">
        <v>2577</v>
      </c>
      <c r="V434" t="s">
        <v>74</v>
      </c>
      <c r="W434"/>
      <c r="X434"/>
      <c r="Y434"/>
      <c r="Z434"/>
      <c r="AA434"/>
      <c r="AB434"/>
      <c r="AC434"/>
      <c r="AD434"/>
      <c r="AE434"/>
      <c r="AF434" t="s">
        <v>2578</v>
      </c>
      <c r="AG434" t="n">
        <v>83</v>
      </c>
    </row>
    <row r="435">
      <c r="A435" t="s">
        <v>2579</v>
      </c>
      <c r="B435" t="s">
        <v>31</v>
      </c>
      <c r="C435" t="s">
        <v>65</v>
      </c>
      <c r="D435" t="s">
        <v>2580</v>
      </c>
      <c r="E435" t="s">
        <v>2272</v>
      </c>
      <c r="F435" t="s">
        <v>2267</v>
      </c>
      <c r="G435" t="s">
        <v>2570</v>
      </c>
      <c r="H435" t="n">
        <v>38.8993408657964</v>
      </c>
      <c r="I435" t="n">
        <v>-104.8249916433</v>
      </c>
      <c r="J435" t="s">
        <v>35</v>
      </c>
      <c r="K435" t="s">
        <v>70</v>
      </c>
      <c r="L435"/>
      <c r="M435" t="n">
        <v>1988</v>
      </c>
      <c r="N435" t="n">
        <v>1988</v>
      </c>
      <c r="O435" t="s">
        <v>325</v>
      </c>
      <c r="P435" t="n">
        <v>1</v>
      </c>
      <c r="Q435" t="n">
        <v>1</v>
      </c>
      <c r="R435" t="n">
        <v>1</v>
      </c>
      <c r="S435" t="n">
        <v>1983</v>
      </c>
      <c r="T435" t="s">
        <v>2581</v>
      </c>
      <c r="U435" t="s">
        <v>2582</v>
      </c>
      <c r="V435" t="s">
        <v>74</v>
      </c>
      <c r="W435"/>
      <c r="X435"/>
      <c r="Y435"/>
      <c r="Z435"/>
      <c r="AA435"/>
      <c r="AB435"/>
      <c r="AC435"/>
      <c r="AD435" t="s">
        <v>2583</v>
      </c>
      <c r="AE435" t="n">
        <v>185</v>
      </c>
      <c r="AF435" t="s">
        <v>2584</v>
      </c>
      <c r="AG435" t="n">
        <v>43</v>
      </c>
    </row>
    <row r="436">
      <c r="A436" t="s">
        <v>2585</v>
      </c>
      <c r="B436" t="s">
        <v>31</v>
      </c>
      <c r="C436" t="s">
        <v>65</v>
      </c>
      <c r="D436" t="s">
        <v>2586</v>
      </c>
      <c r="E436" t="s">
        <v>2272</v>
      </c>
      <c r="F436" t="s">
        <v>2267</v>
      </c>
      <c r="G436" t="s">
        <v>2296</v>
      </c>
      <c r="H436" t="n">
        <v>38.8702903948144</v>
      </c>
      <c r="I436" t="n">
        <v>-104.836020950662</v>
      </c>
      <c r="J436" t="s">
        <v>35</v>
      </c>
      <c r="K436" t="s">
        <v>141</v>
      </c>
      <c r="L436"/>
      <c r="M436" t="n">
        <v>1988</v>
      </c>
      <c r="N436" t="n">
        <v>1990</v>
      </c>
      <c r="O436" t="s">
        <v>310</v>
      </c>
      <c r="P436" t="n">
        <v>2</v>
      </c>
      <c r="Q436" t="n">
        <v>1</v>
      </c>
      <c r="R436" t="n">
        <v>1</v>
      </c>
      <c r="S436" t="n">
        <v>1982</v>
      </c>
      <c r="T436" t="s">
        <v>2587</v>
      </c>
      <c r="U436" t="s">
        <v>2588</v>
      </c>
      <c r="V436" t="s">
        <v>74</v>
      </c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2589</v>
      </c>
      <c r="B437" t="s">
        <v>31</v>
      </c>
      <c r="C437" t="s">
        <v>65</v>
      </c>
      <c r="D437" t="s">
        <v>2590</v>
      </c>
      <c r="E437" t="s">
        <v>2272</v>
      </c>
      <c r="F437" t="s">
        <v>2267</v>
      </c>
      <c r="G437" t="s">
        <v>2570</v>
      </c>
      <c r="H437" t="n">
        <v>38.898676877551</v>
      </c>
      <c r="I437" t="n">
        <v>-104.751287244898</v>
      </c>
      <c r="J437" t="s">
        <v>35</v>
      </c>
      <c r="K437" t="s">
        <v>120</v>
      </c>
      <c r="L437" t="s">
        <v>202</v>
      </c>
      <c r="M437" t="n">
        <v>1988</v>
      </c>
      <c r="N437" t="n">
        <v>1988</v>
      </c>
      <c r="O437" t="s">
        <v>325</v>
      </c>
      <c r="P437" t="n">
        <v>1</v>
      </c>
      <c r="Q437" t="n">
        <v>1</v>
      </c>
      <c r="R437" t="n">
        <v>1</v>
      </c>
      <c r="S437" t="n">
        <v>1982</v>
      </c>
      <c r="T437" t="s">
        <v>2591</v>
      </c>
      <c r="U437" t="s">
        <v>2592</v>
      </c>
      <c r="V437" t="s">
        <v>74</v>
      </c>
      <c r="W437"/>
      <c r="X437"/>
      <c r="Y437"/>
      <c r="Z437"/>
      <c r="AA437"/>
      <c r="AB437"/>
      <c r="AC437"/>
      <c r="AD437"/>
      <c r="AE437"/>
      <c r="AF437" t="s">
        <v>2593</v>
      </c>
      <c r="AG437" t="n">
        <v>158</v>
      </c>
    </row>
    <row r="438">
      <c r="A438" t="s">
        <v>2594</v>
      </c>
      <c r="B438" t="s">
        <v>31</v>
      </c>
      <c r="C438" t="s">
        <v>65</v>
      </c>
      <c r="D438" t="s">
        <v>2595</v>
      </c>
      <c r="E438" t="s">
        <v>2596</v>
      </c>
      <c r="F438" t="s">
        <v>2267</v>
      </c>
      <c r="G438" t="s">
        <v>2597</v>
      </c>
      <c r="H438" t="n">
        <v>39.0382320612245</v>
      </c>
      <c r="I438" t="n">
        <v>-104.294098061225</v>
      </c>
      <c r="J438" t="s">
        <v>35</v>
      </c>
      <c r="K438" t="s">
        <v>1041</v>
      </c>
      <c r="L438"/>
      <c r="M438" t="n">
        <v>1990</v>
      </c>
      <c r="N438" t="n">
        <v>1990</v>
      </c>
      <c r="O438" t="s">
        <v>351</v>
      </c>
      <c r="P438" t="n">
        <v>1</v>
      </c>
      <c r="Q438" t="n">
        <v>1</v>
      </c>
      <c r="R438" t="n">
        <v>1</v>
      </c>
      <c r="S438" t="n">
        <v>1977</v>
      </c>
      <c r="T438" t="s">
        <v>2598</v>
      </c>
      <c r="U438" t="s">
        <v>2599</v>
      </c>
      <c r="V438" t="s">
        <v>74</v>
      </c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2600</v>
      </c>
      <c r="B439" t="s">
        <v>31</v>
      </c>
      <c r="C439" t="s">
        <v>65</v>
      </c>
      <c r="D439" t="s">
        <v>2601</v>
      </c>
      <c r="E439" t="s">
        <v>2272</v>
      </c>
      <c r="F439" t="s">
        <v>2267</v>
      </c>
      <c r="G439" t="s">
        <v>2475</v>
      </c>
      <c r="H439" t="n">
        <v>38.79533854407</v>
      </c>
      <c r="I439" t="n">
        <v>-104.782029313318</v>
      </c>
      <c r="J439" t="s">
        <v>35</v>
      </c>
      <c r="K439" t="s">
        <v>1548</v>
      </c>
      <c r="L439"/>
      <c r="M439" t="n">
        <v>1990</v>
      </c>
      <c r="N439" t="n">
        <v>1990</v>
      </c>
      <c r="O439" t="s">
        <v>351</v>
      </c>
      <c r="P439" t="n">
        <v>1</v>
      </c>
      <c r="Q439" t="n">
        <v>1</v>
      </c>
      <c r="R439" t="n">
        <v>1</v>
      </c>
      <c r="S439" t="n">
        <v>1949</v>
      </c>
      <c r="T439" t="s">
        <v>2602</v>
      </c>
      <c r="U439" t="s">
        <v>2603</v>
      </c>
      <c r="V439" t="s">
        <v>74</v>
      </c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2604</v>
      </c>
      <c r="B440" t="s">
        <v>31</v>
      </c>
      <c r="C440" t="s">
        <v>65</v>
      </c>
      <c r="D440" t="s">
        <v>2605</v>
      </c>
      <c r="E440" t="s">
        <v>2272</v>
      </c>
      <c r="F440" t="s">
        <v>2267</v>
      </c>
      <c r="G440" t="s">
        <v>2475</v>
      </c>
      <c r="H440" t="n">
        <v>38.78652</v>
      </c>
      <c r="I440" t="n">
        <v>-104.795179</v>
      </c>
      <c r="J440" t="s">
        <v>35</v>
      </c>
      <c r="K440" t="s">
        <v>120</v>
      </c>
      <c r="L440"/>
      <c r="M440" t="n">
        <v>1990</v>
      </c>
      <c r="N440" t="n">
        <v>1990</v>
      </c>
      <c r="O440" t="s">
        <v>351</v>
      </c>
      <c r="P440" t="n">
        <v>1</v>
      </c>
      <c r="Q440" t="n">
        <v>1</v>
      </c>
      <c r="R440" t="n">
        <v>1</v>
      </c>
      <c r="S440" t="n">
        <v>1981</v>
      </c>
      <c r="T440" t="s">
        <v>2606</v>
      </c>
      <c r="U440" t="s">
        <v>2607</v>
      </c>
      <c r="V440" t="s">
        <v>74</v>
      </c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2608</v>
      </c>
      <c r="B441" t="s">
        <v>31</v>
      </c>
      <c r="C441" t="s">
        <v>65</v>
      </c>
      <c r="D441" t="s">
        <v>2609</v>
      </c>
      <c r="E441" t="s">
        <v>2272</v>
      </c>
      <c r="F441" t="s">
        <v>2267</v>
      </c>
      <c r="G441" t="s">
        <v>2570</v>
      </c>
      <c r="H441" t="n">
        <v>38.9277069515022</v>
      </c>
      <c r="I441" t="n">
        <v>-104.765725102438</v>
      </c>
      <c r="J441" t="s">
        <v>35</v>
      </c>
      <c r="K441" t="s">
        <v>120</v>
      </c>
      <c r="L441"/>
      <c r="M441" t="n">
        <v>1990</v>
      </c>
      <c r="N441" t="n">
        <v>1990</v>
      </c>
      <c r="O441" t="s">
        <v>351</v>
      </c>
      <c r="P441" t="n">
        <v>1</v>
      </c>
      <c r="Q441" t="n">
        <v>1</v>
      </c>
      <c r="R441" t="n">
        <v>1</v>
      </c>
      <c r="S441" t="n">
        <v>1985</v>
      </c>
      <c r="T441" t="s">
        <v>2610</v>
      </c>
      <c r="U441" t="s">
        <v>2611</v>
      </c>
      <c r="V441" t="s">
        <v>74</v>
      </c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2612</v>
      </c>
      <c r="B442" t="s">
        <v>31</v>
      </c>
      <c r="C442" t="s">
        <v>65</v>
      </c>
      <c r="D442" t="s">
        <v>2613</v>
      </c>
      <c r="E442" t="s">
        <v>2272</v>
      </c>
      <c r="F442" t="s">
        <v>2267</v>
      </c>
      <c r="G442" t="s">
        <v>2423</v>
      </c>
      <c r="H442" t="n">
        <v>38.7970929492473</v>
      </c>
      <c r="I442" t="n">
        <v>-104.773782880285</v>
      </c>
      <c r="J442" t="s">
        <v>35</v>
      </c>
      <c r="K442" t="s">
        <v>133</v>
      </c>
      <c r="L442"/>
      <c r="M442" t="n">
        <v>1990</v>
      </c>
      <c r="N442" t="n">
        <v>1990</v>
      </c>
      <c r="O442" t="s">
        <v>351</v>
      </c>
      <c r="P442" t="n">
        <v>1</v>
      </c>
      <c r="Q442" t="n">
        <v>1</v>
      </c>
      <c r="R442" t="n">
        <v>1</v>
      </c>
      <c r="S442" t="n">
        <v>1983</v>
      </c>
      <c r="T442" t="s">
        <v>2614</v>
      </c>
      <c r="U442" t="s">
        <v>2615</v>
      </c>
      <c r="V442" t="s">
        <v>74</v>
      </c>
      <c r="W442"/>
      <c r="X442"/>
      <c r="Y442"/>
      <c r="Z442"/>
      <c r="AA442"/>
      <c r="AB442" t="s">
        <v>2616</v>
      </c>
      <c r="AC442" t="n">
        <v>214</v>
      </c>
      <c r="AD442"/>
      <c r="AE442"/>
      <c r="AF442"/>
      <c r="AG442"/>
    </row>
    <row r="443">
      <c r="A443" t="s">
        <v>2617</v>
      </c>
      <c r="B443" t="s">
        <v>31</v>
      </c>
      <c r="C443" t="s">
        <v>65</v>
      </c>
      <c r="D443" t="s">
        <v>2618</v>
      </c>
      <c r="E443" t="s">
        <v>2272</v>
      </c>
      <c r="F443" t="s">
        <v>2267</v>
      </c>
      <c r="G443" t="s">
        <v>2273</v>
      </c>
      <c r="H443" t="n">
        <v>38.8385299747799</v>
      </c>
      <c r="I443" t="n">
        <v>-104.791381984745</v>
      </c>
      <c r="J443" t="s">
        <v>35</v>
      </c>
      <c r="K443" t="s">
        <v>315</v>
      </c>
      <c r="L443"/>
      <c r="M443" t="n">
        <v>1990</v>
      </c>
      <c r="N443" t="n">
        <v>1990</v>
      </c>
      <c r="O443" t="s">
        <v>351</v>
      </c>
      <c r="P443" t="n">
        <v>1</v>
      </c>
      <c r="Q443" t="n">
        <v>1</v>
      </c>
      <c r="R443" t="n">
        <v>1</v>
      </c>
      <c r="S443" t="n">
        <v>1976</v>
      </c>
      <c r="T443" t="s">
        <v>2619</v>
      </c>
      <c r="U443" t="s">
        <v>2620</v>
      </c>
      <c r="V443" t="s">
        <v>74</v>
      </c>
      <c r="W443"/>
      <c r="X443"/>
      <c r="Y443"/>
      <c r="Z443"/>
      <c r="AA443"/>
      <c r="AB443"/>
      <c r="AC443"/>
      <c r="AD443"/>
      <c r="AE443"/>
      <c r="AF443" t="s">
        <v>2621</v>
      </c>
      <c r="AG443" t="n">
        <v>69</v>
      </c>
    </row>
    <row r="444">
      <c r="A444" t="s">
        <v>2622</v>
      </c>
      <c r="B444" t="s">
        <v>31</v>
      </c>
      <c r="C444" t="s">
        <v>65</v>
      </c>
      <c r="D444" t="s">
        <v>2623</v>
      </c>
      <c r="E444" t="s">
        <v>2272</v>
      </c>
      <c r="F444" t="s">
        <v>2267</v>
      </c>
      <c r="G444" t="s">
        <v>2444</v>
      </c>
      <c r="H444" t="n">
        <v>38.8488232718868</v>
      </c>
      <c r="I444" t="n">
        <v>-104.713812664133</v>
      </c>
      <c r="J444" t="s">
        <v>35</v>
      </c>
      <c r="K444" t="s">
        <v>120</v>
      </c>
      <c r="L444"/>
      <c r="M444" t="n">
        <v>1990</v>
      </c>
      <c r="N444" t="n">
        <v>1990</v>
      </c>
      <c r="O444" t="s">
        <v>351</v>
      </c>
      <c r="P444" t="n">
        <v>1</v>
      </c>
      <c r="Q444" t="n">
        <v>1</v>
      </c>
      <c r="R444" t="n">
        <v>1</v>
      </c>
      <c r="S444" t="n">
        <v>1981</v>
      </c>
      <c r="T444" t="s">
        <v>2624</v>
      </c>
      <c r="U444" t="s">
        <v>2625</v>
      </c>
      <c r="V444" t="s">
        <v>74</v>
      </c>
      <c r="W444"/>
      <c r="X444"/>
      <c r="Y444"/>
      <c r="Z444"/>
      <c r="AA444"/>
      <c r="AB444"/>
      <c r="AC444"/>
      <c r="AD444"/>
      <c r="AE444"/>
      <c r="AF444" t="s">
        <v>2626</v>
      </c>
      <c r="AG444" t="n">
        <v>84</v>
      </c>
    </row>
    <row r="445">
      <c r="A445" t="s">
        <v>2627</v>
      </c>
      <c r="B445" t="s">
        <v>31</v>
      </c>
      <c r="C445" t="s">
        <v>65</v>
      </c>
      <c r="D445" t="s">
        <v>2628</v>
      </c>
      <c r="E445" t="s">
        <v>2272</v>
      </c>
      <c r="F445" t="s">
        <v>2267</v>
      </c>
      <c r="G445" t="s">
        <v>2444</v>
      </c>
      <c r="H445" t="n">
        <v>38.8631065454545</v>
      </c>
      <c r="I445" t="n">
        <v>-104.720246383838</v>
      </c>
      <c r="J445" t="s">
        <v>35</v>
      </c>
      <c r="K445" t="s">
        <v>120</v>
      </c>
      <c r="L445"/>
      <c r="M445" t="n">
        <v>1992</v>
      </c>
      <c r="N445" t="n">
        <v>1992</v>
      </c>
      <c r="O445" t="s">
        <v>1016</v>
      </c>
      <c r="P445" t="n">
        <v>1</v>
      </c>
      <c r="Q445" t="n">
        <v>1</v>
      </c>
      <c r="R445" t="n">
        <v>1</v>
      </c>
      <c r="S445"/>
      <c r="T445" t="s">
        <v>2629</v>
      </c>
      <c r="U445" t="s">
        <v>2630</v>
      </c>
      <c r="V445" t="s">
        <v>74</v>
      </c>
      <c r="W445"/>
      <c r="X445"/>
      <c r="Y445"/>
      <c r="Z445"/>
      <c r="AA445"/>
      <c r="AB445"/>
      <c r="AC445"/>
      <c r="AD445"/>
      <c r="AE445"/>
      <c r="AF445" t="s">
        <v>2631</v>
      </c>
      <c r="AG445" t="n">
        <v>96</v>
      </c>
    </row>
    <row r="446">
      <c r="A446" t="s">
        <v>2632</v>
      </c>
      <c r="B446" t="s">
        <v>31</v>
      </c>
      <c r="C446" t="s">
        <v>65</v>
      </c>
      <c r="D446" t="s">
        <v>2633</v>
      </c>
      <c r="E446" t="s">
        <v>2272</v>
      </c>
      <c r="F446" t="s">
        <v>2267</v>
      </c>
      <c r="G446" t="s">
        <v>2326</v>
      </c>
      <c r="H446" t="n">
        <v>38.8443387027523</v>
      </c>
      <c r="I446" t="n">
        <v>-104.865544059841</v>
      </c>
      <c r="J446" t="s">
        <v>35</v>
      </c>
      <c r="K446" t="s">
        <v>70</v>
      </c>
      <c r="L446"/>
      <c r="M446" t="n">
        <v>1992</v>
      </c>
      <c r="N446" t="n">
        <v>1992</v>
      </c>
      <c r="O446" t="s">
        <v>1016</v>
      </c>
      <c r="P446" t="n">
        <v>1</v>
      </c>
      <c r="Q446" t="n">
        <v>1</v>
      </c>
      <c r="R446" t="n">
        <v>1</v>
      </c>
      <c r="S446" t="n">
        <v>1989</v>
      </c>
      <c r="T446" t="s">
        <v>2634</v>
      </c>
      <c r="U446" t="s">
        <v>2635</v>
      </c>
      <c r="V446" t="s">
        <v>74</v>
      </c>
      <c r="W446"/>
      <c r="X446"/>
      <c r="Y446"/>
      <c r="Z446"/>
      <c r="AA446"/>
      <c r="AB446"/>
      <c r="AC446"/>
      <c r="AD446"/>
      <c r="AE446"/>
      <c r="AF446" t="s">
        <v>2636</v>
      </c>
      <c r="AG446" t="n">
        <v>130</v>
      </c>
    </row>
    <row r="447">
      <c r="A447" t="s">
        <v>2637</v>
      </c>
      <c r="B447" t="s">
        <v>31</v>
      </c>
      <c r="C447" t="s">
        <v>65</v>
      </c>
      <c r="D447" t="s">
        <v>2638</v>
      </c>
      <c r="E447" t="s">
        <v>2639</v>
      </c>
      <c r="F447" t="s">
        <v>2640</v>
      </c>
      <c r="G447" t="s">
        <v>2641</v>
      </c>
      <c r="H447" t="n">
        <v>38.4446122805744</v>
      </c>
      <c r="I447" t="n">
        <v>-105.243539756597</v>
      </c>
      <c r="J447" t="s">
        <v>35</v>
      </c>
      <c r="K447" t="s">
        <v>70</v>
      </c>
      <c r="L447"/>
      <c r="M447" t="n">
        <v>1977</v>
      </c>
      <c r="N447" t="n">
        <v>1977</v>
      </c>
      <c r="O447" t="s">
        <v>228</v>
      </c>
      <c r="P447" t="n">
        <v>1</v>
      </c>
      <c r="Q447" t="n">
        <v>1</v>
      </c>
      <c r="R447" t="n">
        <v>1</v>
      </c>
      <c r="S447" t="n">
        <v>1976</v>
      </c>
      <c r="T447" t="s">
        <v>2642</v>
      </c>
      <c r="U447" t="s">
        <v>2643</v>
      </c>
      <c r="V447" t="s">
        <v>74</v>
      </c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2644</v>
      </c>
      <c r="B448" t="s">
        <v>31</v>
      </c>
      <c r="C448" t="s">
        <v>65</v>
      </c>
      <c r="D448" t="s">
        <v>2645</v>
      </c>
      <c r="E448" t="s">
        <v>2646</v>
      </c>
      <c r="F448" t="s">
        <v>2640</v>
      </c>
      <c r="G448" t="s">
        <v>2647</v>
      </c>
      <c r="H448" t="n">
        <v>38.389853176014</v>
      </c>
      <c r="I448" t="n">
        <v>-105.11772098481</v>
      </c>
      <c r="J448" t="s">
        <v>35</v>
      </c>
      <c r="K448" t="s">
        <v>89</v>
      </c>
      <c r="L448"/>
      <c r="M448" t="n">
        <v>1977</v>
      </c>
      <c r="N448" t="n">
        <v>1980</v>
      </c>
      <c r="O448" t="s">
        <v>228</v>
      </c>
      <c r="P448" t="n">
        <v>2</v>
      </c>
      <c r="Q448" t="n">
        <v>2</v>
      </c>
      <c r="R448" t="n">
        <v>1</v>
      </c>
      <c r="S448" t="n">
        <v>1975</v>
      </c>
      <c r="T448" t="s">
        <v>2648</v>
      </c>
      <c r="U448" t="s">
        <v>2649</v>
      </c>
      <c r="V448" t="s">
        <v>74</v>
      </c>
      <c r="W448"/>
      <c r="X448"/>
      <c r="Y448"/>
      <c r="Z448"/>
      <c r="AA448"/>
      <c r="AB448" t="s">
        <v>2650</v>
      </c>
      <c r="AC448" t="n">
        <v>128</v>
      </c>
      <c r="AD448"/>
      <c r="AE448"/>
      <c r="AF448" t="s">
        <v>2651</v>
      </c>
      <c r="AG448" t="n">
        <v>76</v>
      </c>
    </row>
    <row r="449">
      <c r="A449" t="s">
        <v>2652</v>
      </c>
      <c r="B449" t="s">
        <v>31</v>
      </c>
      <c r="C449" t="s">
        <v>65</v>
      </c>
      <c r="D449" t="s">
        <v>2653</v>
      </c>
      <c r="E449" t="s">
        <v>2639</v>
      </c>
      <c r="F449" t="s">
        <v>2640</v>
      </c>
      <c r="G449" t="s">
        <v>2641</v>
      </c>
      <c r="H449" t="n">
        <v>38.4721943254219</v>
      </c>
      <c r="I449" t="n">
        <v>-105.23128545077</v>
      </c>
      <c r="J449" t="s">
        <v>35</v>
      </c>
      <c r="K449" t="s">
        <v>220</v>
      </c>
      <c r="L449"/>
      <c r="M449" t="n">
        <v>1983</v>
      </c>
      <c r="N449" t="n">
        <v>1983</v>
      </c>
      <c r="O449" t="s">
        <v>264</v>
      </c>
      <c r="P449" t="n">
        <v>1</v>
      </c>
      <c r="Q449" t="n">
        <v>1</v>
      </c>
      <c r="R449" t="n">
        <v>1</v>
      </c>
      <c r="S449" t="n">
        <v>1976</v>
      </c>
      <c r="T449" t="s">
        <v>2654</v>
      </c>
      <c r="U449" t="s">
        <v>2655</v>
      </c>
      <c r="V449" t="s">
        <v>74</v>
      </c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2656</v>
      </c>
      <c r="B450" t="s">
        <v>31</v>
      </c>
      <c r="C450" t="s">
        <v>65</v>
      </c>
      <c r="D450" t="s">
        <v>2657</v>
      </c>
      <c r="E450" t="s">
        <v>2639</v>
      </c>
      <c r="F450" t="s">
        <v>2640</v>
      </c>
      <c r="G450" t="s">
        <v>2641</v>
      </c>
      <c r="H450" t="n">
        <v>38.43309</v>
      </c>
      <c r="I450" t="n">
        <v>-105.236078571429</v>
      </c>
      <c r="J450" t="s">
        <v>35</v>
      </c>
      <c r="K450" t="s">
        <v>70</v>
      </c>
      <c r="L450"/>
      <c r="M450" t="n">
        <v>1983</v>
      </c>
      <c r="N450" t="n">
        <v>1990</v>
      </c>
      <c r="O450" t="s">
        <v>271</v>
      </c>
      <c r="P450" t="n">
        <v>3</v>
      </c>
      <c r="Q450" t="n">
        <v>1</v>
      </c>
      <c r="R450" t="n">
        <v>1</v>
      </c>
      <c r="S450" t="n">
        <v>1955</v>
      </c>
      <c r="T450" t="s">
        <v>2658</v>
      </c>
      <c r="U450" t="s">
        <v>2659</v>
      </c>
      <c r="V450" t="s">
        <v>74</v>
      </c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2660</v>
      </c>
      <c r="B451" t="s">
        <v>31</v>
      </c>
      <c r="C451" t="s">
        <v>65</v>
      </c>
      <c r="D451" t="s">
        <v>2661</v>
      </c>
      <c r="E451" t="s">
        <v>2639</v>
      </c>
      <c r="F451" t="s">
        <v>2640</v>
      </c>
      <c r="G451" t="s">
        <v>2641</v>
      </c>
      <c r="H451" t="n">
        <v>38.4298512087912</v>
      </c>
      <c r="I451" t="n">
        <v>-105.226982747253</v>
      </c>
      <c r="J451" t="s">
        <v>35</v>
      </c>
      <c r="K451" t="s">
        <v>120</v>
      </c>
      <c r="L451"/>
      <c r="M451" t="n">
        <v>1990</v>
      </c>
      <c r="N451" t="n">
        <v>1992</v>
      </c>
      <c r="O451" t="s">
        <v>1016</v>
      </c>
      <c r="P451" t="n">
        <v>2</v>
      </c>
      <c r="Q451" t="n">
        <v>2</v>
      </c>
      <c r="R451" t="n">
        <v>1</v>
      </c>
      <c r="S451" t="n">
        <v>1989</v>
      </c>
      <c r="T451" t="s">
        <v>2662</v>
      </c>
      <c r="U451" t="s">
        <v>2663</v>
      </c>
      <c r="V451" t="s">
        <v>74</v>
      </c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2664</v>
      </c>
      <c r="B452" t="s">
        <v>31</v>
      </c>
      <c r="C452" t="s">
        <v>65</v>
      </c>
      <c r="D452" t="s">
        <v>2665</v>
      </c>
      <c r="E452" t="s">
        <v>2666</v>
      </c>
      <c r="F452" t="s">
        <v>2667</v>
      </c>
      <c r="G452" t="s">
        <v>2668</v>
      </c>
      <c r="H452" t="n">
        <v>39.5476718532722</v>
      </c>
      <c r="I452" t="n">
        <v>-107.324680947189</v>
      </c>
      <c r="J452" t="s">
        <v>35</v>
      </c>
      <c r="K452" t="s">
        <v>120</v>
      </c>
      <c r="L452"/>
      <c r="M452" t="n">
        <v>1967</v>
      </c>
      <c r="N452" t="n">
        <v>1983</v>
      </c>
      <c r="O452" t="s">
        <v>388</v>
      </c>
      <c r="P452" t="n">
        <v>4</v>
      </c>
      <c r="Q452" t="n">
        <v>4</v>
      </c>
      <c r="R452" t="n">
        <v>1</v>
      </c>
      <c r="S452" t="n">
        <v>1937</v>
      </c>
      <c r="T452" t="s">
        <v>2669</v>
      </c>
      <c r="U452" t="s">
        <v>2670</v>
      </c>
      <c r="V452" t="s">
        <v>74</v>
      </c>
      <c r="W452"/>
      <c r="X452"/>
      <c r="Y452"/>
      <c r="Z452"/>
      <c r="AA452"/>
      <c r="AB452" t="s">
        <v>2671</v>
      </c>
      <c r="AC452" t="n">
        <v>89</v>
      </c>
      <c r="AD452"/>
      <c r="AE452"/>
      <c r="AF452" t="s">
        <v>2672</v>
      </c>
      <c r="AG452" t="n">
        <v>156</v>
      </c>
    </row>
    <row r="453">
      <c r="A453" t="s">
        <v>2673</v>
      </c>
      <c r="B453" t="s">
        <v>31</v>
      </c>
      <c r="C453" t="s">
        <v>65</v>
      </c>
      <c r="D453" t="s">
        <v>2674</v>
      </c>
      <c r="E453" t="s">
        <v>2675</v>
      </c>
      <c r="F453" t="s">
        <v>2667</v>
      </c>
      <c r="G453" t="s">
        <v>2676</v>
      </c>
      <c r="H453" t="n">
        <v>39.5556548701089</v>
      </c>
      <c r="I453" t="n">
        <v>-107.775742264884</v>
      </c>
      <c r="J453" t="s">
        <v>35</v>
      </c>
      <c r="K453" t="s">
        <v>89</v>
      </c>
      <c r="L453"/>
      <c r="M453" t="n">
        <v>1980</v>
      </c>
      <c r="N453" t="n">
        <v>1980</v>
      </c>
      <c r="O453" t="s">
        <v>255</v>
      </c>
      <c r="P453" t="n">
        <v>1</v>
      </c>
      <c r="Q453" t="n">
        <v>1</v>
      </c>
      <c r="R453" t="n">
        <v>1</v>
      </c>
      <c r="S453" t="n">
        <v>1975</v>
      </c>
      <c r="T453" t="s">
        <v>2677</v>
      </c>
      <c r="U453" t="s">
        <v>2678</v>
      </c>
      <c r="V453" t="s">
        <v>74</v>
      </c>
      <c r="W453"/>
      <c r="X453"/>
      <c r="Y453"/>
      <c r="Z453"/>
      <c r="AA453"/>
      <c r="AB453"/>
      <c r="AC453"/>
      <c r="AD453"/>
      <c r="AE453"/>
      <c r="AF453" t="s">
        <v>2679</v>
      </c>
      <c r="AG453" t="n">
        <v>195</v>
      </c>
    </row>
    <row r="454">
      <c r="A454" t="s">
        <v>2680</v>
      </c>
      <c r="B454" t="s">
        <v>31</v>
      </c>
      <c r="C454" t="s">
        <v>65</v>
      </c>
      <c r="D454" t="s">
        <v>2681</v>
      </c>
      <c r="E454" t="s">
        <v>2682</v>
      </c>
      <c r="F454" t="s">
        <v>2683</v>
      </c>
      <c r="G454" t="s">
        <v>2684</v>
      </c>
      <c r="H454" t="n">
        <v>38.546636</v>
      </c>
      <c r="I454" t="n">
        <v>-106.921749</v>
      </c>
      <c r="J454" t="s">
        <v>35</v>
      </c>
      <c r="K454" t="s">
        <v>70</v>
      </c>
      <c r="L454"/>
      <c r="M454" t="n">
        <v>1973</v>
      </c>
      <c r="N454" t="n">
        <v>1980</v>
      </c>
      <c r="O454" t="s">
        <v>112</v>
      </c>
      <c r="P454" t="n">
        <v>4</v>
      </c>
      <c r="Q454" t="n">
        <v>1</v>
      </c>
      <c r="R454" t="n">
        <v>1</v>
      </c>
      <c r="S454" t="n">
        <v>1944</v>
      </c>
      <c r="T454" t="s">
        <v>2685</v>
      </c>
      <c r="U454" t="s">
        <v>2686</v>
      </c>
      <c r="V454" t="s">
        <v>74</v>
      </c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2687</v>
      </c>
      <c r="B455" t="s">
        <v>31</v>
      </c>
      <c r="C455" t="s">
        <v>65</v>
      </c>
      <c r="D455" t="s">
        <v>2688</v>
      </c>
      <c r="E455" t="s">
        <v>2682</v>
      </c>
      <c r="F455" t="s">
        <v>2683</v>
      </c>
      <c r="G455" t="s">
        <v>2684</v>
      </c>
      <c r="H455" t="n">
        <v>38.5467704473137</v>
      </c>
      <c r="I455" t="n">
        <v>-106.924330772171</v>
      </c>
      <c r="J455" t="s">
        <v>35</v>
      </c>
      <c r="K455" t="s">
        <v>70</v>
      </c>
      <c r="L455"/>
      <c r="M455" t="n">
        <v>1973</v>
      </c>
      <c r="N455" t="n">
        <v>1973</v>
      </c>
      <c r="O455" t="s">
        <v>121</v>
      </c>
      <c r="P455" t="n">
        <v>1</v>
      </c>
      <c r="Q455" t="n">
        <v>1</v>
      </c>
      <c r="R455" t="n">
        <v>1</v>
      </c>
      <c r="S455" t="n">
        <v>1958</v>
      </c>
      <c r="T455" t="s">
        <v>2689</v>
      </c>
      <c r="U455" t="s">
        <v>2690</v>
      </c>
      <c r="V455" t="s">
        <v>74</v>
      </c>
      <c r="W455"/>
      <c r="X455"/>
      <c r="Y455"/>
      <c r="Z455"/>
      <c r="AA455"/>
      <c r="AB455"/>
      <c r="AC455"/>
      <c r="AD455"/>
      <c r="AE455"/>
      <c r="AF455" t="s">
        <v>2691</v>
      </c>
      <c r="AG455" t="n">
        <v>140</v>
      </c>
    </row>
    <row r="456">
      <c r="A456" t="s">
        <v>2692</v>
      </c>
      <c r="B456" t="s">
        <v>31</v>
      </c>
      <c r="C456" t="s">
        <v>65</v>
      </c>
      <c r="D456" t="s">
        <v>2693</v>
      </c>
      <c r="E456" t="s">
        <v>2694</v>
      </c>
      <c r="F456" t="s">
        <v>2683</v>
      </c>
      <c r="G456" t="s">
        <v>2695</v>
      </c>
      <c r="H456" t="n">
        <v>38.8670372962618</v>
      </c>
      <c r="I456" t="n">
        <v>-106.985409119588</v>
      </c>
      <c r="J456" t="s">
        <v>35</v>
      </c>
      <c r="K456" t="s">
        <v>141</v>
      </c>
      <c r="L456"/>
      <c r="M456" t="n">
        <v>1980</v>
      </c>
      <c r="N456" t="n">
        <v>1992</v>
      </c>
      <c r="O456" t="s">
        <v>528</v>
      </c>
      <c r="P456" t="n">
        <v>5</v>
      </c>
      <c r="Q456" t="n">
        <v>3</v>
      </c>
      <c r="R456" t="n">
        <v>1</v>
      </c>
      <c r="S456" t="n">
        <v>1977</v>
      </c>
      <c r="T456" t="s">
        <v>2696</v>
      </c>
      <c r="U456" t="s">
        <v>2697</v>
      </c>
      <c r="V456" t="s">
        <v>74</v>
      </c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2698</v>
      </c>
      <c r="B457" t="s">
        <v>31</v>
      </c>
      <c r="C457" t="s">
        <v>65</v>
      </c>
      <c r="D457" t="s">
        <v>2699</v>
      </c>
      <c r="E457" t="s">
        <v>2682</v>
      </c>
      <c r="F457" t="s">
        <v>2683</v>
      </c>
      <c r="G457" t="s">
        <v>2684</v>
      </c>
      <c r="H457" t="n">
        <v>38.5421208990599</v>
      </c>
      <c r="I457" t="n">
        <v>-106.932099326843</v>
      </c>
      <c r="J457" t="s">
        <v>35</v>
      </c>
      <c r="K457" t="s">
        <v>70</v>
      </c>
      <c r="L457"/>
      <c r="M457" t="n">
        <v>1980</v>
      </c>
      <c r="N457" t="n">
        <v>1990</v>
      </c>
      <c r="O457" t="s">
        <v>351</v>
      </c>
      <c r="P457" t="n">
        <v>3</v>
      </c>
      <c r="Q457" t="n">
        <v>1</v>
      </c>
      <c r="R457" t="n">
        <v>1</v>
      </c>
      <c r="S457" t="n">
        <v>1968</v>
      </c>
      <c r="T457" t="s">
        <v>2700</v>
      </c>
      <c r="U457" t="s">
        <v>2701</v>
      </c>
      <c r="V457" t="s">
        <v>74</v>
      </c>
      <c r="W457"/>
      <c r="X457"/>
      <c r="Y457"/>
      <c r="Z457"/>
      <c r="AA457"/>
      <c r="AB457"/>
      <c r="AC457"/>
      <c r="AD457"/>
      <c r="AE457"/>
      <c r="AF457" t="s">
        <v>2702</v>
      </c>
      <c r="AG457" t="n">
        <v>139</v>
      </c>
    </row>
    <row r="458">
      <c r="A458" t="s">
        <v>2703</v>
      </c>
      <c r="B458" t="s">
        <v>31</v>
      </c>
      <c r="C458" t="s">
        <v>65</v>
      </c>
      <c r="D458" t="s">
        <v>2704</v>
      </c>
      <c r="E458" t="s">
        <v>2694</v>
      </c>
      <c r="F458" t="s">
        <v>2683</v>
      </c>
      <c r="G458" t="s">
        <v>2695</v>
      </c>
      <c r="H458" t="n">
        <v>38.868385</v>
      </c>
      <c r="I458" t="n">
        <v>-106.982551</v>
      </c>
      <c r="J458" t="s">
        <v>35</v>
      </c>
      <c r="K458" t="s">
        <v>141</v>
      </c>
      <c r="L458"/>
      <c r="M458" t="n">
        <v>1983</v>
      </c>
      <c r="N458" t="n">
        <v>1983</v>
      </c>
      <c r="O458" t="s">
        <v>264</v>
      </c>
      <c r="P458" t="n">
        <v>1</v>
      </c>
      <c r="Q458" t="n">
        <v>1</v>
      </c>
      <c r="R458" t="n">
        <v>1</v>
      </c>
      <c r="S458" t="n">
        <v>1979</v>
      </c>
      <c r="T458" t="s">
        <v>2705</v>
      </c>
      <c r="U458" t="s">
        <v>2706</v>
      </c>
      <c r="V458" t="s">
        <v>74</v>
      </c>
      <c r="W458"/>
      <c r="X458"/>
      <c r="Y458"/>
      <c r="Z458"/>
      <c r="AA458"/>
      <c r="AB458" t="s">
        <v>2707</v>
      </c>
      <c r="AC458" t="n">
        <v>125</v>
      </c>
      <c r="AD458"/>
      <c r="AE458"/>
      <c r="AF458"/>
      <c r="AG458"/>
    </row>
    <row r="459">
      <c r="A459" t="s">
        <v>2708</v>
      </c>
      <c r="B459" t="s">
        <v>31</v>
      </c>
      <c r="C459" t="s">
        <v>65</v>
      </c>
      <c r="D459" t="s">
        <v>2709</v>
      </c>
      <c r="E459" t="s">
        <v>2710</v>
      </c>
      <c r="F459" t="s">
        <v>2711</v>
      </c>
      <c r="G459" t="s">
        <v>2712</v>
      </c>
      <c r="H459" t="n">
        <v>37.6292120880333</v>
      </c>
      <c r="I459" t="n">
        <v>-104.783601950657</v>
      </c>
      <c r="J459" t="s">
        <v>35</v>
      </c>
      <c r="K459" t="s">
        <v>70</v>
      </c>
      <c r="L459"/>
      <c r="M459" t="n">
        <v>1973</v>
      </c>
      <c r="N459" t="n">
        <v>1973</v>
      </c>
      <c r="O459" t="s">
        <v>121</v>
      </c>
      <c r="P459" t="n">
        <v>1</v>
      </c>
      <c r="Q459" t="n">
        <v>1</v>
      </c>
      <c r="R459" t="n">
        <v>1</v>
      </c>
      <c r="S459" t="n">
        <v>1964</v>
      </c>
      <c r="T459" t="s">
        <v>2713</v>
      </c>
      <c r="U459" t="s">
        <v>2714</v>
      </c>
      <c r="V459" t="s">
        <v>74</v>
      </c>
      <c r="W459"/>
      <c r="X459"/>
      <c r="Y459"/>
      <c r="Z459"/>
      <c r="AA459"/>
      <c r="AB459" t="s">
        <v>2715</v>
      </c>
      <c r="AC459" t="n">
        <v>107</v>
      </c>
      <c r="AD459"/>
      <c r="AE459"/>
      <c r="AF459"/>
      <c r="AG459"/>
    </row>
    <row r="460">
      <c r="A460" t="s">
        <v>2716</v>
      </c>
      <c r="B460" t="s">
        <v>31</v>
      </c>
      <c r="C460" t="s">
        <v>65</v>
      </c>
      <c r="D460" t="s">
        <v>2717</v>
      </c>
      <c r="E460" t="s">
        <v>2710</v>
      </c>
      <c r="F460" t="s">
        <v>2711</v>
      </c>
      <c r="G460" t="s">
        <v>2712</v>
      </c>
      <c r="H460" t="n">
        <v>37.622303</v>
      </c>
      <c r="I460" t="n">
        <v>-104.778228</v>
      </c>
      <c r="J460" t="s">
        <v>35</v>
      </c>
      <c r="K460" t="s">
        <v>133</v>
      </c>
      <c r="L460"/>
      <c r="M460" t="n">
        <v>1973</v>
      </c>
      <c r="N460" t="n">
        <v>1973</v>
      </c>
      <c r="O460" t="s">
        <v>121</v>
      </c>
      <c r="P460" t="n">
        <v>1</v>
      </c>
      <c r="Q460" t="n">
        <v>1</v>
      </c>
      <c r="R460" t="n">
        <v>1</v>
      </c>
      <c r="S460" t="n">
        <v>1964</v>
      </c>
      <c r="T460" t="s">
        <v>2718</v>
      </c>
      <c r="U460" t="s">
        <v>2719</v>
      </c>
      <c r="V460" t="s">
        <v>74</v>
      </c>
      <c r="W460"/>
      <c r="X460"/>
      <c r="Y460"/>
      <c r="Z460"/>
      <c r="AA460"/>
      <c r="AB460"/>
      <c r="AC460"/>
      <c r="AD460"/>
      <c r="AE460"/>
      <c r="AF460" t="s">
        <v>2720</v>
      </c>
      <c r="AG460" t="n">
        <v>156</v>
      </c>
    </row>
    <row r="461">
      <c r="A461" t="s">
        <v>2721</v>
      </c>
      <c r="B461" t="s">
        <v>31</v>
      </c>
      <c r="C461" t="s">
        <v>65</v>
      </c>
      <c r="D461" t="s">
        <v>2722</v>
      </c>
      <c r="E461" t="s">
        <v>2723</v>
      </c>
      <c r="F461" t="s">
        <v>2724</v>
      </c>
      <c r="G461"/>
      <c r="H461" t="n">
        <v>39.7617214287396</v>
      </c>
      <c r="I461" t="n">
        <v>-105.161509230586</v>
      </c>
      <c r="J461" t="s">
        <v>35</v>
      </c>
      <c r="K461" t="s">
        <v>282</v>
      </c>
      <c r="L461" t="s">
        <v>98</v>
      </c>
      <c r="M461" t="n">
        <v>1965</v>
      </c>
      <c r="N461" t="n">
        <v>1968</v>
      </c>
      <c r="O461" t="s">
        <v>1349</v>
      </c>
      <c r="P461" t="n">
        <v>3</v>
      </c>
      <c r="Q461" t="n">
        <v>2</v>
      </c>
      <c r="R461" t="n">
        <v>1</v>
      </c>
      <c r="S461" t="n">
        <v>1957</v>
      </c>
      <c r="T461" t="s">
        <v>2725</v>
      </c>
      <c r="U461" t="s">
        <v>2726</v>
      </c>
      <c r="V461" t="s">
        <v>74</v>
      </c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2727</v>
      </c>
      <c r="B462" t="s">
        <v>31</v>
      </c>
      <c r="C462" t="s">
        <v>65</v>
      </c>
      <c r="D462" t="s">
        <v>2728</v>
      </c>
      <c r="E462" t="s">
        <v>2729</v>
      </c>
      <c r="F462" t="s">
        <v>2724</v>
      </c>
      <c r="G462" t="s">
        <v>2730</v>
      </c>
      <c r="H462" t="n">
        <v>39.8108817363907</v>
      </c>
      <c r="I462" t="n">
        <v>-105.096428619111</v>
      </c>
      <c r="J462" t="s">
        <v>35</v>
      </c>
      <c r="K462" t="s">
        <v>70</v>
      </c>
      <c r="L462"/>
      <c r="M462" t="n">
        <v>1966</v>
      </c>
      <c r="N462" t="n">
        <v>1977</v>
      </c>
      <c r="O462" t="s">
        <v>2731</v>
      </c>
      <c r="P462" t="n">
        <v>3</v>
      </c>
      <c r="Q462" t="n">
        <v>2</v>
      </c>
      <c r="R462" t="n">
        <v>2</v>
      </c>
      <c r="S462" t="n">
        <v>1951</v>
      </c>
      <c r="T462" t="s">
        <v>2732</v>
      </c>
      <c r="U462" t="s">
        <v>2733</v>
      </c>
      <c r="V462" t="s">
        <v>74</v>
      </c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2734</v>
      </c>
      <c r="B463" t="s">
        <v>31</v>
      </c>
      <c r="C463" t="s">
        <v>65</v>
      </c>
      <c r="D463" t="s">
        <v>2735</v>
      </c>
      <c r="E463" t="s">
        <v>2729</v>
      </c>
      <c r="F463" t="s">
        <v>2724</v>
      </c>
      <c r="G463" t="s">
        <v>2730</v>
      </c>
      <c r="H463" t="n">
        <v>39.8001578163265</v>
      </c>
      <c r="I463" t="n">
        <v>-105.061441190476</v>
      </c>
      <c r="J463" t="s">
        <v>35</v>
      </c>
      <c r="K463" t="s">
        <v>70</v>
      </c>
      <c r="L463"/>
      <c r="M463" t="n">
        <v>1966</v>
      </c>
      <c r="N463" t="n">
        <v>1974</v>
      </c>
      <c r="O463" t="s">
        <v>2736</v>
      </c>
      <c r="P463" t="n">
        <v>4</v>
      </c>
      <c r="Q463" t="n">
        <v>3</v>
      </c>
      <c r="R463" t="n">
        <v>3</v>
      </c>
      <c r="S463" t="n">
        <v>1963</v>
      </c>
      <c r="T463" t="s">
        <v>2737</v>
      </c>
      <c r="U463" t="s">
        <v>2738</v>
      </c>
      <c r="V463" t="s">
        <v>74</v>
      </c>
      <c r="W463"/>
      <c r="X463"/>
      <c r="Y463"/>
      <c r="Z463"/>
      <c r="AA463"/>
      <c r="AB463" t="s">
        <v>2739</v>
      </c>
      <c r="AC463" t="n">
        <v>131</v>
      </c>
      <c r="AD463"/>
      <c r="AE463"/>
      <c r="AF463" t="s">
        <v>2740</v>
      </c>
      <c r="AG463" t="n">
        <v>143</v>
      </c>
    </row>
    <row r="464">
      <c r="A464" t="s">
        <v>2741</v>
      </c>
      <c r="B464" t="s">
        <v>31</v>
      </c>
      <c r="C464" t="s">
        <v>65</v>
      </c>
      <c r="D464" t="s">
        <v>2742</v>
      </c>
      <c r="E464" t="s">
        <v>2729</v>
      </c>
      <c r="F464" t="s">
        <v>2724</v>
      </c>
      <c r="G464" t="s">
        <v>2730</v>
      </c>
      <c r="H464" t="n">
        <v>39.8004111825406</v>
      </c>
      <c r="I464" t="n">
        <v>-105.071150068008</v>
      </c>
      <c r="J464" t="s">
        <v>35</v>
      </c>
      <c r="K464" t="s">
        <v>133</v>
      </c>
      <c r="L464"/>
      <c r="M464" t="n">
        <v>1966</v>
      </c>
      <c r="N464" t="n">
        <v>1968</v>
      </c>
      <c r="O464" t="s">
        <v>1349</v>
      </c>
      <c r="P464" t="n">
        <v>2</v>
      </c>
      <c r="Q464" t="n">
        <v>1</v>
      </c>
      <c r="R464" t="n">
        <v>1</v>
      </c>
      <c r="S464" t="n">
        <v>1958</v>
      </c>
      <c r="T464" t="s">
        <v>2743</v>
      </c>
      <c r="U464" t="s">
        <v>2744</v>
      </c>
      <c r="V464" t="s">
        <v>74</v>
      </c>
      <c r="W464"/>
      <c r="X464"/>
      <c r="Y464"/>
      <c r="Z464"/>
      <c r="AA464"/>
      <c r="AB464"/>
      <c r="AC464"/>
      <c r="AD464"/>
      <c r="AE464"/>
      <c r="AF464" t="s">
        <v>2745</v>
      </c>
      <c r="AG464" t="n">
        <v>132</v>
      </c>
    </row>
    <row r="465">
      <c r="A465" t="s">
        <v>2746</v>
      </c>
      <c r="B465" t="s">
        <v>31</v>
      </c>
      <c r="C465" t="s">
        <v>65</v>
      </c>
      <c r="D465" t="s">
        <v>2747</v>
      </c>
      <c r="E465" t="s">
        <v>2748</v>
      </c>
      <c r="F465" t="s">
        <v>2724</v>
      </c>
      <c r="G465" t="s">
        <v>2749</v>
      </c>
      <c r="H465" t="n">
        <v>39.7292145102041</v>
      </c>
      <c r="I465" t="n">
        <v>-105.109143469388</v>
      </c>
      <c r="J465" t="s">
        <v>35</v>
      </c>
      <c r="K465" t="s">
        <v>70</v>
      </c>
      <c r="L465"/>
      <c r="M465" t="n">
        <v>1966</v>
      </c>
      <c r="N465" t="n">
        <v>1977</v>
      </c>
      <c r="O465" t="s">
        <v>2750</v>
      </c>
      <c r="P465" t="n">
        <v>4</v>
      </c>
      <c r="Q465" t="n">
        <v>1</v>
      </c>
      <c r="R465" t="n">
        <v>1</v>
      </c>
      <c r="S465" t="n">
        <v>1958</v>
      </c>
      <c r="T465" t="s">
        <v>2751</v>
      </c>
      <c r="U465" t="s">
        <v>2752</v>
      </c>
      <c r="V465" t="s">
        <v>74</v>
      </c>
      <c r="W465"/>
      <c r="X465"/>
      <c r="Y465"/>
      <c r="Z465"/>
      <c r="AA465"/>
      <c r="AB465"/>
      <c r="AC465"/>
      <c r="AD465"/>
      <c r="AE465"/>
      <c r="AF465" t="s">
        <v>2753</v>
      </c>
      <c r="AG465" t="n">
        <v>86</v>
      </c>
    </row>
    <row r="466">
      <c r="A466" t="s">
        <v>2754</v>
      </c>
      <c r="B466" t="s">
        <v>31</v>
      </c>
      <c r="C466" t="s">
        <v>65</v>
      </c>
      <c r="D466" t="s">
        <v>2755</v>
      </c>
      <c r="E466" t="s">
        <v>2748</v>
      </c>
      <c r="F466" t="s">
        <v>2724</v>
      </c>
      <c r="G466" t="s">
        <v>2749</v>
      </c>
      <c r="H466" t="n">
        <v>39.7528900306122</v>
      </c>
      <c r="I466" t="n">
        <v>-105.108981979592</v>
      </c>
      <c r="J466" t="s">
        <v>35</v>
      </c>
      <c r="K466" t="s">
        <v>120</v>
      </c>
      <c r="L466" t="s">
        <v>554</v>
      </c>
      <c r="M466" t="n">
        <v>1966</v>
      </c>
      <c r="N466" t="n">
        <v>1990</v>
      </c>
      <c r="O466" t="s">
        <v>2756</v>
      </c>
      <c r="P466" t="n">
        <v>9</v>
      </c>
      <c r="Q466" t="n">
        <v>6</v>
      </c>
      <c r="R466" t="n">
        <v>2</v>
      </c>
      <c r="S466" t="n">
        <v>1952</v>
      </c>
      <c r="T466" t="s">
        <v>2757</v>
      </c>
      <c r="U466" t="s">
        <v>2758</v>
      </c>
      <c r="V466" t="s">
        <v>74</v>
      </c>
      <c r="W466"/>
      <c r="X466"/>
      <c r="Y466"/>
      <c r="Z466"/>
      <c r="AA466"/>
      <c r="AB466" t="s">
        <v>2759</v>
      </c>
      <c r="AC466" t="n">
        <v>168</v>
      </c>
      <c r="AD466"/>
      <c r="AE466"/>
      <c r="AF466" t="s">
        <v>2760</v>
      </c>
      <c r="AG466" t="n">
        <v>57</v>
      </c>
    </row>
    <row r="467">
      <c r="A467" t="s">
        <v>2761</v>
      </c>
      <c r="B467" t="s">
        <v>31</v>
      </c>
      <c r="C467" t="s">
        <v>65</v>
      </c>
      <c r="D467" t="s">
        <v>2762</v>
      </c>
      <c r="E467" t="s">
        <v>2748</v>
      </c>
      <c r="F467" t="s">
        <v>2724</v>
      </c>
      <c r="G467" t="s">
        <v>2763</v>
      </c>
      <c r="H467" t="n">
        <v>39.6894077278134</v>
      </c>
      <c r="I467" t="n">
        <v>-105.064301292749</v>
      </c>
      <c r="J467" t="s">
        <v>35</v>
      </c>
      <c r="K467" t="s">
        <v>120</v>
      </c>
      <c r="L467"/>
      <c r="M467" t="n">
        <v>1966</v>
      </c>
      <c r="N467" t="n">
        <v>1968</v>
      </c>
      <c r="O467" t="s">
        <v>2764</v>
      </c>
      <c r="P467" t="n">
        <v>3</v>
      </c>
      <c r="Q467" t="n">
        <v>1</v>
      </c>
      <c r="R467" t="n">
        <v>1</v>
      </c>
      <c r="S467" t="n">
        <v>1958</v>
      </c>
      <c r="T467" t="s">
        <v>2765</v>
      </c>
      <c r="U467" t="s">
        <v>2766</v>
      </c>
      <c r="V467" t="s">
        <v>74</v>
      </c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2767</v>
      </c>
      <c r="B468" t="s">
        <v>31</v>
      </c>
      <c r="C468" t="s">
        <v>65</v>
      </c>
      <c r="D468" t="s">
        <v>2768</v>
      </c>
      <c r="E468" t="s">
        <v>2769</v>
      </c>
      <c r="F468" t="s">
        <v>2724</v>
      </c>
      <c r="G468" t="s">
        <v>2770</v>
      </c>
      <c r="H468" t="n">
        <v>39.76784225</v>
      </c>
      <c r="I468" t="n">
        <v>-105.111970142857</v>
      </c>
      <c r="J468" t="s">
        <v>35</v>
      </c>
      <c r="K468" t="s">
        <v>133</v>
      </c>
      <c r="L468" t="s">
        <v>1337</v>
      </c>
      <c r="M468" t="n">
        <v>1966</v>
      </c>
      <c r="N468" t="n">
        <v>1970</v>
      </c>
      <c r="O468" t="s">
        <v>2771</v>
      </c>
      <c r="P468" t="n">
        <v>3</v>
      </c>
      <c r="Q468" t="n">
        <v>2</v>
      </c>
      <c r="R468" t="n">
        <v>2</v>
      </c>
      <c r="S468" t="n">
        <v>1956</v>
      </c>
      <c r="T468" t="s">
        <v>2772</v>
      </c>
      <c r="U468" t="s">
        <v>2773</v>
      </c>
      <c r="V468" t="s">
        <v>74</v>
      </c>
      <c r="W468"/>
      <c r="X468"/>
      <c r="Y468"/>
      <c r="Z468"/>
      <c r="AA468"/>
      <c r="AB468" t="s">
        <v>2774</v>
      </c>
      <c r="AC468" t="n">
        <v>85</v>
      </c>
      <c r="AD468"/>
      <c r="AE468"/>
      <c r="AF468" t="s">
        <v>2775</v>
      </c>
      <c r="AG468" t="n">
        <v>219</v>
      </c>
    </row>
    <row r="469">
      <c r="A469" t="s">
        <v>2776</v>
      </c>
      <c r="B469" t="s">
        <v>31</v>
      </c>
      <c r="C469" t="s">
        <v>65</v>
      </c>
      <c r="D469" t="s">
        <v>2777</v>
      </c>
      <c r="E469" t="s">
        <v>2723</v>
      </c>
      <c r="F469" t="s">
        <v>2724</v>
      </c>
      <c r="G469" t="s">
        <v>2778</v>
      </c>
      <c r="H469" t="n">
        <v>39.7309454195563</v>
      </c>
      <c r="I469" t="n">
        <v>-105.177470337698</v>
      </c>
      <c r="J469" t="s">
        <v>35</v>
      </c>
      <c r="K469" t="s">
        <v>141</v>
      </c>
      <c r="L469"/>
      <c r="M469" t="n">
        <v>1966</v>
      </c>
      <c r="N469" t="n">
        <v>1992</v>
      </c>
      <c r="O469" t="s">
        <v>2779</v>
      </c>
      <c r="P469" t="n">
        <v>6</v>
      </c>
      <c r="Q469" t="n">
        <v>9</v>
      </c>
      <c r="R469" t="n">
        <v>2</v>
      </c>
      <c r="S469" t="n">
        <v>1958</v>
      </c>
      <c r="T469" t="s">
        <v>2780</v>
      </c>
      <c r="U469" t="s">
        <v>2781</v>
      </c>
      <c r="V469" t="s">
        <v>74</v>
      </c>
      <c r="W469"/>
      <c r="X469"/>
      <c r="Y469"/>
      <c r="Z469"/>
      <c r="AA469"/>
      <c r="AB469" t="s">
        <v>2782</v>
      </c>
      <c r="AC469" t="n">
        <v>229</v>
      </c>
      <c r="AD469"/>
      <c r="AE469"/>
      <c r="AF469" t="s">
        <v>2783</v>
      </c>
      <c r="AG469" t="n">
        <v>221</v>
      </c>
    </row>
    <row r="470">
      <c r="A470" t="s">
        <v>2784</v>
      </c>
      <c r="B470" t="s">
        <v>31</v>
      </c>
      <c r="C470" t="s">
        <v>65</v>
      </c>
      <c r="D470" t="s">
        <v>2785</v>
      </c>
      <c r="E470" t="s">
        <v>2723</v>
      </c>
      <c r="F470" t="s">
        <v>2724</v>
      </c>
      <c r="G470" t="s">
        <v>2778</v>
      </c>
      <c r="H470" t="n">
        <v>39.7561880816327</v>
      </c>
      <c r="I470" t="n">
        <v>-105.217245265306</v>
      </c>
      <c r="J470" t="s">
        <v>35</v>
      </c>
      <c r="K470" t="s">
        <v>133</v>
      </c>
      <c r="L470"/>
      <c r="M470" t="n">
        <v>1967</v>
      </c>
      <c r="N470" t="n">
        <v>1967</v>
      </c>
      <c r="O470" t="s">
        <v>388</v>
      </c>
      <c r="P470" t="n">
        <v>1</v>
      </c>
      <c r="Q470" t="n">
        <v>1</v>
      </c>
      <c r="R470" t="n">
        <v>1</v>
      </c>
      <c r="S470" t="n">
        <v>1967</v>
      </c>
      <c r="T470" t="s">
        <v>2786</v>
      </c>
      <c r="U470" t="s">
        <v>2787</v>
      </c>
      <c r="V470" t="s">
        <v>74</v>
      </c>
      <c r="W470"/>
      <c r="X470"/>
      <c r="Y470"/>
      <c r="Z470"/>
      <c r="AA470"/>
      <c r="AB470" t="s">
        <v>2788</v>
      </c>
      <c r="AC470" t="n">
        <v>178</v>
      </c>
      <c r="AD470" t="s">
        <v>2789</v>
      </c>
      <c r="AE470" t="n">
        <v>173</v>
      </c>
      <c r="AF470" t="s">
        <v>2790</v>
      </c>
      <c r="AG470" t="n">
        <v>110</v>
      </c>
    </row>
    <row r="471">
      <c r="A471" t="s">
        <v>2791</v>
      </c>
      <c r="B471" t="s">
        <v>31</v>
      </c>
      <c r="C471" t="s">
        <v>65</v>
      </c>
      <c r="D471" t="s">
        <v>2792</v>
      </c>
      <c r="E471" t="s">
        <v>2769</v>
      </c>
      <c r="F471" t="s">
        <v>2724</v>
      </c>
      <c r="G471" t="s">
        <v>2770</v>
      </c>
      <c r="H471" t="n">
        <v>39.7674934285714</v>
      </c>
      <c r="I471" t="n">
        <v>-105.139154</v>
      </c>
      <c r="J471" t="s">
        <v>35</v>
      </c>
      <c r="K471" t="s">
        <v>120</v>
      </c>
      <c r="L471"/>
      <c r="M471" t="n">
        <v>1968</v>
      </c>
      <c r="N471" t="n">
        <v>1968</v>
      </c>
      <c r="O471" t="s">
        <v>1349</v>
      </c>
      <c r="P471" t="n">
        <v>1</v>
      </c>
      <c r="Q471" t="n">
        <v>1</v>
      </c>
      <c r="R471" t="n">
        <v>1</v>
      </c>
      <c r="S471"/>
      <c r="T471" t="s">
        <v>2793</v>
      </c>
      <c r="U471" t="s">
        <v>2794</v>
      </c>
      <c r="V471" t="s">
        <v>74</v>
      </c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2795</v>
      </c>
      <c r="B472" t="s">
        <v>31</v>
      </c>
      <c r="C472" t="s">
        <v>65</v>
      </c>
      <c r="D472" t="s">
        <v>2796</v>
      </c>
      <c r="E472" t="s">
        <v>2769</v>
      </c>
      <c r="F472" t="s">
        <v>2724</v>
      </c>
      <c r="G472" t="s">
        <v>2770</v>
      </c>
      <c r="H472" t="n">
        <v>39.7725146363636</v>
      </c>
      <c r="I472" t="n">
        <v>-105.081397818182</v>
      </c>
      <c r="J472" t="s">
        <v>35</v>
      </c>
      <c r="K472" t="s">
        <v>89</v>
      </c>
      <c r="L472"/>
      <c r="M472" t="n">
        <v>1968</v>
      </c>
      <c r="N472" t="n">
        <v>1968</v>
      </c>
      <c r="O472" t="s">
        <v>1349</v>
      </c>
      <c r="P472" t="n">
        <v>1</v>
      </c>
      <c r="Q472" t="n">
        <v>1</v>
      </c>
      <c r="R472" t="n">
        <v>1</v>
      </c>
      <c r="S472"/>
      <c r="T472" t="s">
        <v>2797</v>
      </c>
      <c r="U472" t="s">
        <v>2798</v>
      </c>
      <c r="V472" t="s">
        <v>74</v>
      </c>
      <c r="W472"/>
      <c r="X472"/>
      <c r="Y472"/>
      <c r="Z472"/>
      <c r="AA472"/>
      <c r="AB472" t="s">
        <v>2799</v>
      </c>
      <c r="AC472" t="n">
        <v>149</v>
      </c>
      <c r="AD472" t="s">
        <v>2800</v>
      </c>
      <c r="AE472" t="n">
        <v>167</v>
      </c>
      <c r="AF472" t="s">
        <v>2801</v>
      </c>
      <c r="AG472" t="n">
        <v>147</v>
      </c>
    </row>
    <row r="473">
      <c r="A473" t="s">
        <v>2802</v>
      </c>
      <c r="B473" t="s">
        <v>31</v>
      </c>
      <c r="C473" t="s">
        <v>65</v>
      </c>
      <c r="D473" t="s">
        <v>2803</v>
      </c>
      <c r="E473" t="s">
        <v>2769</v>
      </c>
      <c r="F473" t="s">
        <v>2724</v>
      </c>
      <c r="G473" t="s">
        <v>2770</v>
      </c>
      <c r="H473" t="n">
        <v>39.7803795327869</v>
      </c>
      <c r="I473" t="n">
        <v>-105.137907016393</v>
      </c>
      <c r="J473" t="s">
        <v>35</v>
      </c>
      <c r="K473" t="s">
        <v>70</v>
      </c>
      <c r="L473"/>
      <c r="M473" t="n">
        <v>1970</v>
      </c>
      <c r="N473" t="n">
        <v>1970</v>
      </c>
      <c r="O473" t="s">
        <v>726</v>
      </c>
      <c r="P473" t="n">
        <v>1</v>
      </c>
      <c r="Q473" t="n">
        <v>1</v>
      </c>
      <c r="R473" t="n">
        <v>1</v>
      </c>
      <c r="S473" t="n">
        <v>1966</v>
      </c>
      <c r="T473" t="s">
        <v>2804</v>
      </c>
      <c r="U473" t="s">
        <v>2805</v>
      </c>
      <c r="V473" t="s">
        <v>74</v>
      </c>
      <c r="W473"/>
      <c r="X473"/>
      <c r="Y473"/>
      <c r="Z473"/>
      <c r="AA473"/>
      <c r="AB473" t="s">
        <v>2806</v>
      </c>
      <c r="AC473" t="n">
        <v>241</v>
      </c>
      <c r="AD473"/>
      <c r="AE473"/>
      <c r="AF473"/>
      <c r="AG473"/>
    </row>
    <row r="474">
      <c r="A474" t="s">
        <v>2807</v>
      </c>
      <c r="B474" t="s">
        <v>31</v>
      </c>
      <c r="C474" t="s">
        <v>65</v>
      </c>
      <c r="D474" t="s">
        <v>2808</v>
      </c>
      <c r="E474" t="s">
        <v>386</v>
      </c>
      <c r="F474" t="s">
        <v>2724</v>
      </c>
      <c r="G474" t="s">
        <v>2809</v>
      </c>
      <c r="H474" t="n">
        <v>39.5757841902848</v>
      </c>
      <c r="I474" t="n">
        <v>-105.054031052737</v>
      </c>
      <c r="J474" t="s">
        <v>35</v>
      </c>
      <c r="K474" t="s">
        <v>527</v>
      </c>
      <c r="L474"/>
      <c r="M474" t="n">
        <v>1973</v>
      </c>
      <c r="N474" t="n">
        <v>1973</v>
      </c>
      <c r="O474" t="s">
        <v>121</v>
      </c>
      <c r="P474" t="n">
        <v>1</v>
      </c>
      <c r="Q474" t="n">
        <v>1</v>
      </c>
      <c r="R474" t="n">
        <v>1</v>
      </c>
      <c r="S474" t="n">
        <v>1958</v>
      </c>
      <c r="T474" t="s">
        <v>2810</v>
      </c>
      <c r="U474" t="s">
        <v>2811</v>
      </c>
      <c r="V474" t="s">
        <v>74</v>
      </c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2812</v>
      </c>
      <c r="B475" t="s">
        <v>31</v>
      </c>
      <c r="C475" t="s">
        <v>65</v>
      </c>
      <c r="D475" t="s">
        <v>2813</v>
      </c>
      <c r="E475" t="s">
        <v>2748</v>
      </c>
      <c r="F475" t="s">
        <v>2724</v>
      </c>
      <c r="G475" t="s">
        <v>2763</v>
      </c>
      <c r="H475" t="n">
        <v>39.711777733196</v>
      </c>
      <c r="I475" t="n">
        <v>-105.132418298842</v>
      </c>
      <c r="J475" t="s">
        <v>35</v>
      </c>
      <c r="K475" t="s">
        <v>120</v>
      </c>
      <c r="L475" t="s">
        <v>2814</v>
      </c>
      <c r="M475" t="n">
        <v>1973</v>
      </c>
      <c r="N475" t="n">
        <v>1990</v>
      </c>
      <c r="O475" t="s">
        <v>528</v>
      </c>
      <c r="P475" t="n">
        <v>5</v>
      </c>
      <c r="Q475" t="n">
        <v>5</v>
      </c>
      <c r="R475" t="n">
        <v>2</v>
      </c>
      <c r="S475" t="n">
        <v>1965</v>
      </c>
      <c r="T475" t="s">
        <v>2815</v>
      </c>
      <c r="U475" t="s">
        <v>2816</v>
      </c>
      <c r="V475" t="s">
        <v>74</v>
      </c>
      <c r="W475"/>
      <c r="X475"/>
      <c r="Y475"/>
      <c r="Z475"/>
      <c r="AA475"/>
      <c r="AB475"/>
      <c r="AC475"/>
      <c r="AD475"/>
      <c r="AE475"/>
      <c r="AF475" t="s">
        <v>2817</v>
      </c>
      <c r="AG475" t="n">
        <v>70</v>
      </c>
    </row>
    <row r="476">
      <c r="A476" t="s">
        <v>2818</v>
      </c>
      <c r="B476" t="s">
        <v>31</v>
      </c>
      <c r="C476" t="s">
        <v>65</v>
      </c>
      <c r="D476" t="s">
        <v>2819</v>
      </c>
      <c r="E476" t="s">
        <v>2769</v>
      </c>
      <c r="F476" t="s">
        <v>2724</v>
      </c>
      <c r="G476" t="s">
        <v>2770</v>
      </c>
      <c r="H476" t="n">
        <v>39.7620668615557</v>
      </c>
      <c r="I476" t="n">
        <v>-105.09172299776</v>
      </c>
      <c r="J476" t="s">
        <v>35</v>
      </c>
      <c r="K476" t="s">
        <v>70</v>
      </c>
      <c r="L476"/>
      <c r="M476" t="n">
        <v>1973</v>
      </c>
      <c r="N476" t="n">
        <v>1990</v>
      </c>
      <c r="O476" t="s">
        <v>2820</v>
      </c>
      <c r="P476" t="n">
        <v>6</v>
      </c>
      <c r="Q476" t="n">
        <v>2</v>
      </c>
      <c r="R476" t="n">
        <v>2</v>
      </c>
      <c r="S476" t="n">
        <v>1977</v>
      </c>
      <c r="T476" t="s">
        <v>2821</v>
      </c>
      <c r="U476" t="s">
        <v>2822</v>
      </c>
      <c r="V476" t="s">
        <v>74</v>
      </c>
      <c r="W476"/>
      <c r="X476"/>
      <c r="Y476"/>
      <c r="Z476"/>
      <c r="AA476"/>
      <c r="AB476"/>
      <c r="AC476"/>
      <c r="AD476"/>
      <c r="AE476"/>
      <c r="AF476" t="s">
        <v>2823</v>
      </c>
      <c r="AG476" t="n">
        <v>93</v>
      </c>
    </row>
    <row r="477">
      <c r="A477" t="s">
        <v>2824</v>
      </c>
      <c r="B477" t="s">
        <v>31</v>
      </c>
      <c r="C477" t="s">
        <v>65</v>
      </c>
      <c r="D477" t="s">
        <v>2825</v>
      </c>
      <c r="E477" t="s">
        <v>2723</v>
      </c>
      <c r="F477" t="s">
        <v>2724</v>
      </c>
      <c r="G477" t="s">
        <v>2778</v>
      </c>
      <c r="H477" t="n">
        <v>39.7756761212121</v>
      </c>
      <c r="I477" t="n">
        <v>-105.174657868687</v>
      </c>
      <c r="J477" t="s">
        <v>35</v>
      </c>
      <c r="K477" t="s">
        <v>988</v>
      </c>
      <c r="L477"/>
      <c r="M477" t="n">
        <v>1973</v>
      </c>
      <c r="N477" t="n">
        <v>1988</v>
      </c>
      <c r="O477" t="s">
        <v>82</v>
      </c>
      <c r="P477" t="n">
        <v>4</v>
      </c>
      <c r="Q477" t="n">
        <v>2</v>
      </c>
      <c r="R477" t="n">
        <v>2</v>
      </c>
      <c r="S477" t="n">
        <v>1971</v>
      </c>
      <c r="T477" t="s">
        <v>2826</v>
      </c>
      <c r="U477" t="s">
        <v>2827</v>
      </c>
      <c r="V477" t="s">
        <v>74</v>
      </c>
      <c r="W477"/>
      <c r="X477"/>
      <c r="Y477"/>
      <c r="Z477"/>
      <c r="AA477"/>
      <c r="AB477" t="s">
        <v>2828</v>
      </c>
      <c r="AC477" t="n">
        <v>97</v>
      </c>
      <c r="AD477"/>
      <c r="AE477"/>
      <c r="AF477" t="s">
        <v>2829</v>
      </c>
      <c r="AG477" t="n">
        <v>51</v>
      </c>
    </row>
    <row r="478">
      <c r="A478" t="s">
        <v>2830</v>
      </c>
      <c r="B478" t="s">
        <v>31</v>
      </c>
      <c r="C478" t="s">
        <v>65</v>
      </c>
      <c r="D478" t="s">
        <v>2831</v>
      </c>
      <c r="E478" t="s">
        <v>2723</v>
      </c>
      <c r="F478" t="s">
        <v>2724</v>
      </c>
      <c r="G478" t="s">
        <v>2778</v>
      </c>
      <c r="H478" t="n">
        <v>39.7712921131259</v>
      </c>
      <c r="I478" t="n">
        <v>-105.196398829014</v>
      </c>
      <c r="J478" t="s">
        <v>35</v>
      </c>
      <c r="K478" t="s">
        <v>141</v>
      </c>
      <c r="L478"/>
      <c r="M478" t="n">
        <v>1973</v>
      </c>
      <c r="N478" t="n">
        <v>1974</v>
      </c>
      <c r="O478" t="s">
        <v>127</v>
      </c>
      <c r="P478" t="n">
        <v>2</v>
      </c>
      <c r="Q478" t="n">
        <v>1</v>
      </c>
      <c r="R478" t="n">
        <v>1</v>
      </c>
      <c r="S478" t="n">
        <v>1962</v>
      </c>
      <c r="T478" t="s">
        <v>2832</v>
      </c>
      <c r="U478" t="s">
        <v>2833</v>
      </c>
      <c r="V478" t="s">
        <v>74</v>
      </c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2834</v>
      </c>
      <c r="B479" t="s">
        <v>31</v>
      </c>
      <c r="C479" t="s">
        <v>65</v>
      </c>
      <c r="D479" t="s">
        <v>2835</v>
      </c>
      <c r="E479" t="s">
        <v>2836</v>
      </c>
      <c r="F479" t="s">
        <v>2724</v>
      </c>
      <c r="G479" t="s">
        <v>2837</v>
      </c>
      <c r="H479" t="n">
        <v>39.6678524406501</v>
      </c>
      <c r="I479" t="n">
        <v>-105.186151122403</v>
      </c>
      <c r="J479" t="s">
        <v>35</v>
      </c>
      <c r="K479" t="s">
        <v>120</v>
      </c>
      <c r="L479"/>
      <c r="M479" t="n">
        <v>1973</v>
      </c>
      <c r="N479" t="n">
        <v>1990</v>
      </c>
      <c r="O479" t="s">
        <v>310</v>
      </c>
      <c r="P479" t="n">
        <v>4</v>
      </c>
      <c r="Q479" t="n">
        <v>3</v>
      </c>
      <c r="R479" t="n">
        <v>2</v>
      </c>
      <c r="S479" t="n">
        <v>1965</v>
      </c>
      <c r="T479" t="s">
        <v>2838</v>
      </c>
      <c r="U479" t="s">
        <v>2839</v>
      </c>
      <c r="V479" t="s">
        <v>74</v>
      </c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2840</v>
      </c>
      <c r="B480" t="s">
        <v>31</v>
      </c>
      <c r="C480" t="s">
        <v>65</v>
      </c>
      <c r="D480" t="s">
        <v>2841</v>
      </c>
      <c r="E480" t="s">
        <v>2769</v>
      </c>
      <c r="F480" t="s">
        <v>2724</v>
      </c>
      <c r="G480" t="s">
        <v>2770</v>
      </c>
      <c r="H480" t="n">
        <v>39.7781849387755</v>
      </c>
      <c r="I480" t="n">
        <v>-105.117801408163</v>
      </c>
      <c r="J480" t="s">
        <v>35</v>
      </c>
      <c r="K480" t="s">
        <v>70</v>
      </c>
      <c r="L480"/>
      <c r="M480" t="n">
        <v>1973</v>
      </c>
      <c r="N480" t="n">
        <v>1977</v>
      </c>
      <c r="O480" t="s">
        <v>1857</v>
      </c>
      <c r="P480" t="n">
        <v>3</v>
      </c>
      <c r="Q480" t="n">
        <v>1</v>
      </c>
      <c r="R480" t="n">
        <v>1</v>
      </c>
      <c r="S480"/>
      <c r="T480" t="s">
        <v>2842</v>
      </c>
      <c r="U480" t="s">
        <v>2843</v>
      </c>
      <c r="V480" t="s">
        <v>74</v>
      </c>
      <c r="W480"/>
      <c r="X480"/>
      <c r="Y480"/>
      <c r="Z480"/>
      <c r="AA480"/>
      <c r="AB480" t="s">
        <v>2844</v>
      </c>
      <c r="AC480" t="n">
        <v>139</v>
      </c>
      <c r="AD480"/>
      <c r="AE480"/>
      <c r="AF480"/>
      <c r="AG480"/>
    </row>
    <row r="481">
      <c r="A481" t="s">
        <v>2845</v>
      </c>
      <c r="B481" t="s">
        <v>31</v>
      </c>
      <c r="C481" t="s">
        <v>65</v>
      </c>
      <c r="D481" t="s">
        <v>2846</v>
      </c>
      <c r="E481" t="s">
        <v>386</v>
      </c>
      <c r="F481" t="s">
        <v>2724</v>
      </c>
      <c r="G481" t="s">
        <v>2809</v>
      </c>
      <c r="H481" t="n">
        <v>39.5765241365073</v>
      </c>
      <c r="I481" t="n">
        <v>-105.053665225435</v>
      </c>
      <c r="J481" t="s">
        <v>35</v>
      </c>
      <c r="K481" t="s">
        <v>527</v>
      </c>
      <c r="L481"/>
      <c r="M481" t="n">
        <v>1974</v>
      </c>
      <c r="N481" t="n">
        <v>1974</v>
      </c>
      <c r="O481" t="s">
        <v>210</v>
      </c>
      <c r="P481" t="n">
        <v>1</v>
      </c>
      <c r="Q481" t="n">
        <v>1</v>
      </c>
      <c r="R481" t="n">
        <v>1</v>
      </c>
      <c r="S481" t="n">
        <v>1958</v>
      </c>
      <c r="T481" t="s">
        <v>2847</v>
      </c>
      <c r="U481" t="s">
        <v>2848</v>
      </c>
      <c r="V481" t="s">
        <v>74</v>
      </c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2849</v>
      </c>
      <c r="B482" t="s">
        <v>31</v>
      </c>
      <c r="C482" t="s">
        <v>65</v>
      </c>
      <c r="D482" t="s">
        <v>2850</v>
      </c>
      <c r="E482" t="s">
        <v>2748</v>
      </c>
      <c r="F482" t="s">
        <v>2724</v>
      </c>
      <c r="G482" t="s">
        <v>2851</v>
      </c>
      <c r="H482" t="n">
        <v>39.6782468571429</v>
      </c>
      <c r="I482" t="n">
        <v>-105.087433</v>
      </c>
      <c r="J482" t="s">
        <v>35</v>
      </c>
      <c r="K482" t="s">
        <v>70</v>
      </c>
      <c r="L482"/>
      <c r="M482" t="n">
        <v>1974</v>
      </c>
      <c r="N482" t="n">
        <v>1977</v>
      </c>
      <c r="O482" t="s">
        <v>1830</v>
      </c>
      <c r="P482" t="n">
        <v>2</v>
      </c>
      <c r="Q482" t="n">
        <v>1</v>
      </c>
      <c r="R482" t="n">
        <v>1</v>
      </c>
      <c r="S482" t="n">
        <v>1971</v>
      </c>
      <c r="T482" t="s">
        <v>2852</v>
      </c>
      <c r="U482" t="s">
        <v>2853</v>
      </c>
      <c r="V482" t="s">
        <v>74</v>
      </c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2854</v>
      </c>
      <c r="B483" t="s">
        <v>31</v>
      </c>
      <c r="C483" t="s">
        <v>65</v>
      </c>
      <c r="D483" t="s">
        <v>2855</v>
      </c>
      <c r="E483" t="s">
        <v>2748</v>
      </c>
      <c r="F483" t="s">
        <v>2724</v>
      </c>
      <c r="G483" t="s">
        <v>2856</v>
      </c>
      <c r="H483" t="n">
        <v>39.7584954285714</v>
      </c>
      <c r="I483" t="n">
        <v>-105.058443244898</v>
      </c>
      <c r="J483" t="s">
        <v>35</v>
      </c>
      <c r="K483" t="s">
        <v>89</v>
      </c>
      <c r="L483"/>
      <c r="M483" t="n">
        <v>1974</v>
      </c>
      <c r="N483" t="n">
        <v>1980</v>
      </c>
      <c r="O483" t="s">
        <v>1888</v>
      </c>
      <c r="P483" t="n">
        <v>3</v>
      </c>
      <c r="Q483" t="n">
        <v>1</v>
      </c>
      <c r="R483" t="n">
        <v>1</v>
      </c>
      <c r="S483" t="n">
        <v>1941</v>
      </c>
      <c r="T483" t="s">
        <v>2857</v>
      </c>
      <c r="U483" t="s">
        <v>2858</v>
      </c>
      <c r="V483" t="s">
        <v>74</v>
      </c>
      <c r="W483"/>
      <c r="X483"/>
      <c r="Y483"/>
      <c r="Z483"/>
      <c r="AA483"/>
      <c r="AB483"/>
      <c r="AC483"/>
      <c r="AD483"/>
      <c r="AE483"/>
      <c r="AF483" t="s">
        <v>2859</v>
      </c>
      <c r="AG483" t="n">
        <v>172</v>
      </c>
    </row>
    <row r="484">
      <c r="A484" t="s">
        <v>2860</v>
      </c>
      <c r="B484" t="s">
        <v>31</v>
      </c>
      <c r="C484" t="s">
        <v>65</v>
      </c>
      <c r="D484" t="s">
        <v>2861</v>
      </c>
      <c r="E484" t="s">
        <v>2748</v>
      </c>
      <c r="F484" t="s">
        <v>2724</v>
      </c>
      <c r="G484" t="s">
        <v>2856</v>
      </c>
      <c r="H484" t="n">
        <v>39.73654</v>
      </c>
      <c r="I484" t="n">
        <v>-105.086116</v>
      </c>
      <c r="J484" t="s">
        <v>35</v>
      </c>
      <c r="K484" t="s">
        <v>70</v>
      </c>
      <c r="L484"/>
      <c r="M484" t="n">
        <v>1974</v>
      </c>
      <c r="N484" t="n">
        <v>1974</v>
      </c>
      <c r="O484" t="s">
        <v>210</v>
      </c>
      <c r="P484" t="n">
        <v>1</v>
      </c>
      <c r="Q484" t="n">
        <v>1</v>
      </c>
      <c r="R484" t="n">
        <v>1</v>
      </c>
      <c r="S484" t="n">
        <v>1949</v>
      </c>
      <c r="T484" t="s">
        <v>2862</v>
      </c>
      <c r="U484" t="s">
        <v>2863</v>
      </c>
      <c r="V484" t="s">
        <v>74</v>
      </c>
      <c r="W484"/>
      <c r="X484"/>
      <c r="Y484"/>
      <c r="Z484"/>
      <c r="AA484"/>
      <c r="AB484"/>
      <c r="AC484"/>
      <c r="AD484"/>
      <c r="AE484"/>
      <c r="AF484" t="s">
        <v>2864</v>
      </c>
      <c r="AG484" t="n">
        <v>237</v>
      </c>
    </row>
    <row r="485">
      <c r="A485" t="s">
        <v>2865</v>
      </c>
      <c r="B485" t="s">
        <v>31</v>
      </c>
      <c r="C485" t="s">
        <v>65</v>
      </c>
      <c r="D485" t="s">
        <v>2866</v>
      </c>
      <c r="E485" t="s">
        <v>2748</v>
      </c>
      <c r="F485" t="s">
        <v>2724</v>
      </c>
      <c r="G485" t="s">
        <v>2856</v>
      </c>
      <c r="H485" t="n">
        <v>39.734871621501</v>
      </c>
      <c r="I485" t="n">
        <v>-105.062997343078</v>
      </c>
      <c r="J485" t="s">
        <v>35</v>
      </c>
      <c r="K485" t="s">
        <v>133</v>
      </c>
      <c r="L485"/>
      <c r="M485" t="n">
        <v>1974</v>
      </c>
      <c r="N485" t="n">
        <v>1977</v>
      </c>
      <c r="O485" t="s">
        <v>210</v>
      </c>
      <c r="P485" t="n">
        <v>2</v>
      </c>
      <c r="Q485" t="n">
        <v>2</v>
      </c>
      <c r="R485" t="n">
        <v>1</v>
      </c>
      <c r="S485" t="n">
        <v>1972</v>
      </c>
      <c r="T485" t="s">
        <v>2867</v>
      </c>
      <c r="U485" t="s">
        <v>2868</v>
      </c>
      <c r="V485" t="s">
        <v>74</v>
      </c>
      <c r="W485"/>
      <c r="X485"/>
      <c r="Y485"/>
      <c r="Z485"/>
      <c r="AA485"/>
      <c r="AB485" t="s">
        <v>2869</v>
      </c>
      <c r="AC485" t="n">
        <v>129</v>
      </c>
      <c r="AD485" t="s">
        <v>2870</v>
      </c>
      <c r="AE485" t="n">
        <v>181</v>
      </c>
      <c r="AF485" t="s">
        <v>2871</v>
      </c>
      <c r="AG485" t="n">
        <v>104</v>
      </c>
    </row>
    <row r="486">
      <c r="A486" t="s">
        <v>2872</v>
      </c>
      <c r="B486" t="s">
        <v>31</v>
      </c>
      <c r="C486" t="s">
        <v>65</v>
      </c>
      <c r="D486" t="s">
        <v>2873</v>
      </c>
      <c r="E486" t="s">
        <v>2836</v>
      </c>
      <c r="F486" t="s">
        <v>2724</v>
      </c>
      <c r="G486" t="s">
        <v>2837</v>
      </c>
      <c r="H486" t="n">
        <v>39.6633309139233</v>
      </c>
      <c r="I486" t="n">
        <v>-105.18469921786</v>
      </c>
      <c r="J486" t="s">
        <v>35</v>
      </c>
      <c r="K486" t="s">
        <v>315</v>
      </c>
      <c r="L486"/>
      <c r="M486" t="n">
        <v>1974</v>
      </c>
      <c r="N486" t="n">
        <v>1990</v>
      </c>
      <c r="O486" t="s">
        <v>2874</v>
      </c>
      <c r="P486" t="n">
        <v>4</v>
      </c>
      <c r="Q486" t="n">
        <v>2</v>
      </c>
      <c r="R486" t="n">
        <v>2</v>
      </c>
      <c r="S486" t="n">
        <v>1962</v>
      </c>
      <c r="T486" t="s">
        <v>2875</v>
      </c>
      <c r="U486" t="s">
        <v>2876</v>
      </c>
      <c r="V486" t="s">
        <v>74</v>
      </c>
      <c r="W486"/>
      <c r="X486"/>
      <c r="Y486"/>
      <c r="Z486"/>
      <c r="AA486"/>
      <c r="AB486"/>
      <c r="AC486"/>
      <c r="AD486"/>
      <c r="AE486"/>
      <c r="AF486" t="s">
        <v>2877</v>
      </c>
      <c r="AG486" t="n">
        <v>217</v>
      </c>
    </row>
    <row r="487">
      <c r="A487" t="s">
        <v>2878</v>
      </c>
      <c r="B487" t="s">
        <v>31</v>
      </c>
      <c r="C487" t="s">
        <v>65</v>
      </c>
      <c r="D487" t="s">
        <v>2879</v>
      </c>
      <c r="E487" t="s">
        <v>2729</v>
      </c>
      <c r="F487" t="s">
        <v>2724</v>
      </c>
      <c r="G487" t="s">
        <v>2730</v>
      </c>
      <c r="H487" t="n">
        <v>39.7910901428571</v>
      </c>
      <c r="I487" t="n">
        <v>-105.067832</v>
      </c>
      <c r="J487" t="s">
        <v>35</v>
      </c>
      <c r="K487" t="s">
        <v>120</v>
      </c>
      <c r="L487"/>
      <c r="M487" t="n">
        <v>1977</v>
      </c>
      <c r="N487" t="n">
        <v>1983</v>
      </c>
      <c r="O487" t="s">
        <v>1949</v>
      </c>
      <c r="P487" t="n">
        <v>3</v>
      </c>
      <c r="Q487" t="n">
        <v>3</v>
      </c>
      <c r="R487" t="n">
        <v>2</v>
      </c>
      <c r="S487" t="n">
        <v>1970</v>
      </c>
      <c r="T487" t="s">
        <v>2880</v>
      </c>
      <c r="U487" t="s">
        <v>2881</v>
      </c>
      <c r="V487" t="s">
        <v>74</v>
      </c>
      <c r="W487"/>
      <c r="X487"/>
      <c r="Y487"/>
      <c r="Z487"/>
      <c r="AA487"/>
      <c r="AB487"/>
      <c r="AC487"/>
      <c r="AD487"/>
      <c r="AE487"/>
      <c r="AF487" t="s">
        <v>2882</v>
      </c>
      <c r="AG487" t="n">
        <v>94</v>
      </c>
    </row>
    <row r="488">
      <c r="A488" t="s">
        <v>2883</v>
      </c>
      <c r="B488" t="s">
        <v>31</v>
      </c>
      <c r="C488" t="s">
        <v>65</v>
      </c>
      <c r="D488" t="s">
        <v>2884</v>
      </c>
      <c r="E488" t="s">
        <v>2723</v>
      </c>
      <c r="F488" t="s">
        <v>2724</v>
      </c>
      <c r="G488" t="s">
        <v>2778</v>
      </c>
      <c r="H488" t="n">
        <v>39.77616</v>
      </c>
      <c r="I488" t="n">
        <v>-105.172134</v>
      </c>
      <c r="J488" t="s">
        <v>35</v>
      </c>
      <c r="K488" t="s">
        <v>141</v>
      </c>
      <c r="L488"/>
      <c r="M488" t="n">
        <v>1977</v>
      </c>
      <c r="N488" t="n">
        <v>1980</v>
      </c>
      <c r="O488" t="s">
        <v>1949</v>
      </c>
      <c r="P488" t="n">
        <v>2</v>
      </c>
      <c r="Q488" t="n">
        <v>1</v>
      </c>
      <c r="R488" t="n">
        <v>1</v>
      </c>
      <c r="S488" t="n">
        <v>1962</v>
      </c>
      <c r="T488" t="s">
        <v>2885</v>
      </c>
      <c r="U488" t="s">
        <v>2886</v>
      </c>
      <c r="V488" t="s">
        <v>74</v>
      </c>
      <c r="W488"/>
      <c r="X488"/>
      <c r="Y488"/>
      <c r="Z488"/>
      <c r="AA488"/>
      <c r="AB488" t="s">
        <v>2828</v>
      </c>
      <c r="AC488" t="n">
        <v>240</v>
      </c>
      <c r="AD488" t="s">
        <v>2887</v>
      </c>
      <c r="AE488" t="n">
        <v>221</v>
      </c>
      <c r="AF488" t="s">
        <v>2888</v>
      </c>
      <c r="AG488" t="n">
        <v>204</v>
      </c>
    </row>
    <row r="489">
      <c r="A489" t="s">
        <v>2889</v>
      </c>
      <c r="B489" t="s">
        <v>31</v>
      </c>
      <c r="C489" t="s">
        <v>65</v>
      </c>
      <c r="D489" t="s">
        <v>2890</v>
      </c>
      <c r="E489" t="s">
        <v>2748</v>
      </c>
      <c r="F489" t="s">
        <v>2724</v>
      </c>
      <c r="G489" t="s">
        <v>2763</v>
      </c>
      <c r="H489" t="n">
        <v>39.7146825808347</v>
      </c>
      <c r="I489" t="n">
        <v>-105.079777197219</v>
      </c>
      <c r="J489" t="s">
        <v>35</v>
      </c>
      <c r="K489" t="s">
        <v>282</v>
      </c>
      <c r="L489" t="s">
        <v>98</v>
      </c>
      <c r="M489" t="n">
        <v>1977</v>
      </c>
      <c r="N489" t="n">
        <v>1977</v>
      </c>
      <c r="O489" t="s">
        <v>228</v>
      </c>
      <c r="P489" t="n">
        <v>1</v>
      </c>
      <c r="Q489" t="n">
        <v>1</v>
      </c>
      <c r="R489" t="n">
        <v>1</v>
      </c>
      <c r="S489" t="n">
        <v>1953</v>
      </c>
      <c r="T489" t="s">
        <v>2891</v>
      </c>
      <c r="U489" t="s">
        <v>2892</v>
      </c>
      <c r="V489" t="s">
        <v>74</v>
      </c>
      <c r="W489"/>
      <c r="X489"/>
      <c r="Y489"/>
      <c r="Z489"/>
      <c r="AA489"/>
      <c r="AB489"/>
      <c r="AC489"/>
      <c r="AD489"/>
      <c r="AE489"/>
      <c r="AF489" t="s">
        <v>2893</v>
      </c>
      <c r="AG489" t="n">
        <v>143</v>
      </c>
    </row>
    <row r="490">
      <c r="A490" t="s">
        <v>2894</v>
      </c>
      <c r="B490" t="s">
        <v>31</v>
      </c>
      <c r="C490" t="s">
        <v>65</v>
      </c>
      <c r="D490" t="s">
        <v>2895</v>
      </c>
      <c r="E490" t="s">
        <v>2769</v>
      </c>
      <c r="F490" t="s">
        <v>2724</v>
      </c>
      <c r="G490" t="s">
        <v>2770</v>
      </c>
      <c r="H490" t="n">
        <v>39.7833357799228</v>
      </c>
      <c r="I490" t="n">
        <v>-105.090957930502</v>
      </c>
      <c r="J490" t="s">
        <v>35</v>
      </c>
      <c r="K490" t="s">
        <v>2896</v>
      </c>
      <c r="L490"/>
      <c r="M490" t="n">
        <v>1977</v>
      </c>
      <c r="N490" t="n">
        <v>1983</v>
      </c>
      <c r="O490" t="s">
        <v>829</v>
      </c>
      <c r="P490" t="n">
        <v>3</v>
      </c>
      <c r="Q490" t="n">
        <v>7</v>
      </c>
      <c r="R490" t="n">
        <v>5</v>
      </c>
      <c r="S490" t="n">
        <v>1955</v>
      </c>
      <c r="T490" t="s">
        <v>2897</v>
      </c>
      <c r="U490" t="s">
        <v>2898</v>
      </c>
      <c r="V490" t="s">
        <v>74</v>
      </c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2899</v>
      </c>
      <c r="B491" t="s">
        <v>31</v>
      </c>
      <c r="C491" t="s">
        <v>65</v>
      </c>
      <c r="D491" t="s">
        <v>2900</v>
      </c>
      <c r="E491" t="s">
        <v>2769</v>
      </c>
      <c r="F491" t="s">
        <v>2724</v>
      </c>
      <c r="G491" t="s">
        <v>2770</v>
      </c>
      <c r="H491" t="n">
        <v>39.7767106394558</v>
      </c>
      <c r="I491" t="n">
        <v>-105.085935414966</v>
      </c>
      <c r="J491" t="s">
        <v>35</v>
      </c>
      <c r="K491" t="s">
        <v>201</v>
      </c>
      <c r="L491" t="s">
        <v>2901</v>
      </c>
      <c r="M491" t="n">
        <v>1977</v>
      </c>
      <c r="N491" t="n">
        <v>1990</v>
      </c>
      <c r="O491" t="s">
        <v>2902</v>
      </c>
      <c r="P491" t="n">
        <v>3</v>
      </c>
      <c r="Q491" t="n">
        <v>3</v>
      </c>
      <c r="R491" t="n">
        <v>2</v>
      </c>
      <c r="S491" t="n">
        <v>1972</v>
      </c>
      <c r="T491" t="s">
        <v>2903</v>
      </c>
      <c r="U491" t="s">
        <v>2904</v>
      </c>
      <c r="V491" t="s">
        <v>74</v>
      </c>
      <c r="W491"/>
      <c r="X491"/>
      <c r="Y491"/>
      <c r="Z491"/>
      <c r="AA491"/>
      <c r="AB491" t="s">
        <v>2905</v>
      </c>
      <c r="AC491" t="n">
        <v>221</v>
      </c>
      <c r="AD491"/>
      <c r="AE491"/>
      <c r="AF491" t="s">
        <v>2906</v>
      </c>
      <c r="AG491" t="n">
        <v>74</v>
      </c>
    </row>
    <row r="492">
      <c r="A492" t="s">
        <v>2907</v>
      </c>
      <c r="B492" t="s">
        <v>31</v>
      </c>
      <c r="C492" t="s">
        <v>65</v>
      </c>
      <c r="D492" t="s">
        <v>2908</v>
      </c>
      <c r="E492" t="s">
        <v>2769</v>
      </c>
      <c r="F492" t="s">
        <v>2724</v>
      </c>
      <c r="G492" t="s">
        <v>2770</v>
      </c>
      <c r="H492" t="n">
        <v>39.7644873056035</v>
      </c>
      <c r="I492" t="n">
        <v>-105.135871721242</v>
      </c>
      <c r="J492" t="s">
        <v>35</v>
      </c>
      <c r="K492" t="s">
        <v>70</v>
      </c>
      <c r="L492"/>
      <c r="M492" t="n">
        <v>1977</v>
      </c>
      <c r="N492" t="n">
        <v>1977</v>
      </c>
      <c r="O492" t="s">
        <v>228</v>
      </c>
      <c r="P492" t="n">
        <v>1</v>
      </c>
      <c r="Q492" t="n">
        <v>1</v>
      </c>
      <c r="R492" t="n">
        <v>1</v>
      </c>
      <c r="S492" t="n">
        <v>1976</v>
      </c>
      <c r="T492" t="s">
        <v>2909</v>
      </c>
      <c r="U492" t="s">
        <v>2910</v>
      </c>
      <c r="V492" t="s">
        <v>74</v>
      </c>
      <c r="W492"/>
      <c r="X492"/>
      <c r="Y492"/>
      <c r="Z492"/>
      <c r="AA492"/>
      <c r="AB492"/>
      <c r="AC492"/>
      <c r="AD492"/>
      <c r="AE492"/>
      <c r="AF492" t="s">
        <v>2911</v>
      </c>
      <c r="AG492" t="n">
        <v>174</v>
      </c>
    </row>
    <row r="493">
      <c r="A493" t="s">
        <v>2912</v>
      </c>
      <c r="B493" t="s">
        <v>31</v>
      </c>
      <c r="C493" t="s">
        <v>65</v>
      </c>
      <c r="D493" t="s">
        <v>2913</v>
      </c>
      <c r="E493" t="s">
        <v>2729</v>
      </c>
      <c r="F493" t="s">
        <v>2724</v>
      </c>
      <c r="G493" t="s">
        <v>2914</v>
      </c>
      <c r="H493" t="n">
        <v>39.8323258613173</v>
      </c>
      <c r="I493" t="n">
        <v>-105.11600286749</v>
      </c>
      <c r="J493" t="s">
        <v>35</v>
      </c>
      <c r="K493" t="s">
        <v>70</v>
      </c>
      <c r="L493"/>
      <c r="M493" t="n">
        <v>1980</v>
      </c>
      <c r="N493" t="n">
        <v>1983</v>
      </c>
      <c r="O493" t="s">
        <v>528</v>
      </c>
      <c r="P493" t="n">
        <v>2</v>
      </c>
      <c r="Q493" t="n">
        <v>1</v>
      </c>
      <c r="R493" t="n">
        <v>1</v>
      </c>
      <c r="S493" t="n">
        <v>1969</v>
      </c>
      <c r="T493" t="s">
        <v>2915</v>
      </c>
      <c r="U493" t="s">
        <v>2916</v>
      </c>
      <c r="V493" t="s">
        <v>74</v>
      </c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2917</v>
      </c>
      <c r="B494" t="s">
        <v>31</v>
      </c>
      <c r="C494" t="s">
        <v>65</v>
      </c>
      <c r="D494" t="s">
        <v>2918</v>
      </c>
      <c r="E494" t="s">
        <v>2729</v>
      </c>
      <c r="F494" t="s">
        <v>2724</v>
      </c>
      <c r="G494" t="s">
        <v>2919</v>
      </c>
      <c r="H494" t="n">
        <v>39.8174568571429</v>
      </c>
      <c r="I494" t="n">
        <v>-105.068265122449</v>
      </c>
      <c r="J494" t="s">
        <v>35</v>
      </c>
      <c r="K494" t="s">
        <v>120</v>
      </c>
      <c r="L494"/>
      <c r="M494" t="n">
        <v>1980</v>
      </c>
      <c r="N494" t="n">
        <v>1980</v>
      </c>
      <c r="O494" t="s">
        <v>255</v>
      </c>
      <c r="P494" t="n">
        <v>1</v>
      </c>
      <c r="Q494" t="n">
        <v>1</v>
      </c>
      <c r="R494" t="n">
        <v>1</v>
      </c>
      <c r="S494" t="n">
        <v>1920</v>
      </c>
      <c r="T494" t="s">
        <v>2920</v>
      </c>
      <c r="U494" t="s">
        <v>2921</v>
      </c>
      <c r="V494" t="s">
        <v>74</v>
      </c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2922</v>
      </c>
      <c r="B495" t="s">
        <v>31</v>
      </c>
      <c r="C495" t="s">
        <v>65</v>
      </c>
      <c r="D495" t="s">
        <v>2923</v>
      </c>
      <c r="E495" t="s">
        <v>2748</v>
      </c>
      <c r="F495" t="s">
        <v>2724</v>
      </c>
      <c r="G495" t="s">
        <v>2924</v>
      </c>
      <c r="H495" t="n">
        <v>39.7122296936167</v>
      </c>
      <c r="I495" t="n">
        <v>-105.14433610629</v>
      </c>
      <c r="J495" t="s">
        <v>35</v>
      </c>
      <c r="K495" t="s">
        <v>988</v>
      </c>
      <c r="L495"/>
      <c r="M495" t="n">
        <v>1980</v>
      </c>
      <c r="N495" t="n">
        <v>1990</v>
      </c>
      <c r="O495" t="s">
        <v>540</v>
      </c>
      <c r="P495" t="n">
        <v>4</v>
      </c>
      <c r="Q495" t="n">
        <v>2</v>
      </c>
      <c r="R495" t="n">
        <v>1</v>
      </c>
      <c r="S495" t="n">
        <v>1971</v>
      </c>
      <c r="T495" t="s">
        <v>2925</v>
      </c>
      <c r="U495" t="s">
        <v>2926</v>
      </c>
      <c r="V495" t="s">
        <v>74</v>
      </c>
      <c r="W495"/>
      <c r="X495"/>
      <c r="Y495"/>
      <c r="Z495"/>
      <c r="AA495"/>
      <c r="AB495" t="s">
        <v>2927</v>
      </c>
      <c r="AC495" t="n">
        <v>160</v>
      </c>
      <c r="AD495"/>
      <c r="AE495"/>
      <c r="AF495" t="s">
        <v>2928</v>
      </c>
      <c r="AG495" t="n">
        <v>60</v>
      </c>
    </row>
    <row r="496">
      <c r="A496" t="s">
        <v>2929</v>
      </c>
      <c r="B496" t="s">
        <v>31</v>
      </c>
      <c r="C496" t="s">
        <v>65</v>
      </c>
      <c r="D496" t="s">
        <v>2930</v>
      </c>
      <c r="E496" t="s">
        <v>2748</v>
      </c>
      <c r="F496" t="s">
        <v>2724</v>
      </c>
      <c r="G496" t="s">
        <v>2749</v>
      </c>
      <c r="H496" t="n">
        <v>39.7257069166547</v>
      </c>
      <c r="I496" t="n">
        <v>-105.118417869969</v>
      </c>
      <c r="J496" t="s">
        <v>35</v>
      </c>
      <c r="K496" t="s">
        <v>315</v>
      </c>
      <c r="L496"/>
      <c r="M496" t="n">
        <v>1980</v>
      </c>
      <c r="N496" t="n">
        <v>1983</v>
      </c>
      <c r="O496" t="s">
        <v>528</v>
      </c>
      <c r="P496" t="n">
        <v>2</v>
      </c>
      <c r="Q496" t="n">
        <v>1</v>
      </c>
      <c r="R496" t="n">
        <v>1</v>
      </c>
      <c r="S496" t="n">
        <v>1972</v>
      </c>
      <c r="T496" t="s">
        <v>2931</v>
      </c>
      <c r="U496" t="s">
        <v>2932</v>
      </c>
      <c r="V496" t="s">
        <v>74</v>
      </c>
      <c r="W496"/>
      <c r="X496"/>
      <c r="Y496"/>
      <c r="Z496"/>
      <c r="AA496"/>
      <c r="AB496" t="s">
        <v>2933</v>
      </c>
      <c r="AC496" t="n">
        <v>173</v>
      </c>
      <c r="AD496"/>
      <c r="AE496"/>
      <c r="AF496" t="s">
        <v>2934</v>
      </c>
      <c r="AG496" t="n">
        <v>68</v>
      </c>
    </row>
    <row r="497">
      <c r="A497" t="s">
        <v>2935</v>
      </c>
      <c r="B497" t="s">
        <v>31</v>
      </c>
      <c r="C497" t="s">
        <v>65</v>
      </c>
      <c r="D497" t="s">
        <v>2936</v>
      </c>
      <c r="E497" t="s">
        <v>2748</v>
      </c>
      <c r="F497" t="s">
        <v>2724</v>
      </c>
      <c r="G497" t="s">
        <v>2749</v>
      </c>
      <c r="H497" t="n">
        <v>39.7384964489796</v>
      </c>
      <c r="I497" t="n">
        <v>-105.069554693878</v>
      </c>
      <c r="J497" t="s">
        <v>35</v>
      </c>
      <c r="K497" t="s">
        <v>89</v>
      </c>
      <c r="L497"/>
      <c r="M497" t="n">
        <v>1980</v>
      </c>
      <c r="N497" t="n">
        <v>1983</v>
      </c>
      <c r="O497" t="s">
        <v>528</v>
      </c>
      <c r="P497" t="n">
        <v>2</v>
      </c>
      <c r="Q497" t="n">
        <v>1</v>
      </c>
      <c r="R497" t="n">
        <v>1</v>
      </c>
      <c r="S497" t="n">
        <v>1977</v>
      </c>
      <c r="T497" t="s">
        <v>2937</v>
      </c>
      <c r="U497" t="s">
        <v>2938</v>
      </c>
      <c r="V497" t="s">
        <v>74</v>
      </c>
      <c r="W497"/>
      <c r="X497"/>
      <c r="Y497"/>
      <c r="Z497"/>
      <c r="AA497"/>
      <c r="AB497" t="s">
        <v>2939</v>
      </c>
      <c r="AC497" t="n">
        <v>215</v>
      </c>
      <c r="AD497"/>
      <c r="AE497"/>
      <c r="AF497" t="s">
        <v>2940</v>
      </c>
      <c r="AG497" t="n">
        <v>198</v>
      </c>
    </row>
    <row r="498">
      <c r="A498" t="s">
        <v>2941</v>
      </c>
      <c r="B498" t="s">
        <v>31</v>
      </c>
      <c r="C498" t="s">
        <v>65</v>
      </c>
      <c r="D498" t="s">
        <v>2942</v>
      </c>
      <c r="E498" t="s">
        <v>2748</v>
      </c>
      <c r="F498" t="s">
        <v>2724</v>
      </c>
      <c r="G498" t="s">
        <v>2749</v>
      </c>
      <c r="H498" t="n">
        <v>39.7545556242677</v>
      </c>
      <c r="I498" t="n">
        <v>-105.097337321749</v>
      </c>
      <c r="J498" t="s">
        <v>35</v>
      </c>
      <c r="K498" t="s">
        <v>120</v>
      </c>
      <c r="L498"/>
      <c r="M498" t="n">
        <v>1980</v>
      </c>
      <c r="N498" t="n">
        <v>1980</v>
      </c>
      <c r="O498" t="s">
        <v>255</v>
      </c>
      <c r="P498" t="n">
        <v>1</v>
      </c>
      <c r="Q498" t="n">
        <v>1</v>
      </c>
      <c r="R498" t="n">
        <v>1</v>
      </c>
      <c r="S498" t="n">
        <v>1977</v>
      </c>
      <c r="T498" t="s">
        <v>2943</v>
      </c>
      <c r="U498" t="s">
        <v>2944</v>
      </c>
      <c r="V498" t="s">
        <v>74</v>
      </c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2945</v>
      </c>
      <c r="B499" t="s">
        <v>31</v>
      </c>
      <c r="C499" t="s">
        <v>65</v>
      </c>
      <c r="D499" t="s">
        <v>2946</v>
      </c>
      <c r="E499" t="s">
        <v>2836</v>
      </c>
      <c r="F499" t="s">
        <v>2724</v>
      </c>
      <c r="G499" t="s">
        <v>2947</v>
      </c>
      <c r="H499" t="n">
        <v>39.5584598696332</v>
      </c>
      <c r="I499" t="n">
        <v>-105.22322101295</v>
      </c>
      <c r="J499" t="s">
        <v>35</v>
      </c>
      <c r="K499" t="s">
        <v>120</v>
      </c>
      <c r="L499"/>
      <c r="M499" t="n">
        <v>1980</v>
      </c>
      <c r="N499" t="n">
        <v>1983</v>
      </c>
      <c r="O499" t="s">
        <v>528</v>
      </c>
      <c r="P499" t="n">
        <v>2</v>
      </c>
      <c r="Q499" t="n">
        <v>2</v>
      </c>
      <c r="R499" t="n">
        <v>2</v>
      </c>
      <c r="S499" t="n">
        <v>1978</v>
      </c>
      <c r="T499" t="s">
        <v>2948</v>
      </c>
      <c r="U499" t="s">
        <v>2949</v>
      </c>
      <c r="V499" t="s">
        <v>74</v>
      </c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2950</v>
      </c>
      <c r="B500" t="s">
        <v>31</v>
      </c>
      <c r="C500" t="s">
        <v>65</v>
      </c>
      <c r="D500" t="s">
        <v>2951</v>
      </c>
      <c r="E500" t="s">
        <v>2729</v>
      </c>
      <c r="F500" t="s">
        <v>2724</v>
      </c>
      <c r="G500" t="s">
        <v>2952</v>
      </c>
      <c r="H500" t="n">
        <v>39.8146111647167</v>
      </c>
      <c r="I500" t="n">
        <v>-105.040220323477</v>
      </c>
      <c r="J500" t="s">
        <v>35</v>
      </c>
      <c r="K500" t="s">
        <v>70</v>
      </c>
      <c r="L500"/>
      <c r="M500" t="n">
        <v>1983</v>
      </c>
      <c r="N500" t="n">
        <v>1983</v>
      </c>
      <c r="O500" t="s">
        <v>264</v>
      </c>
      <c r="P500" t="n">
        <v>1</v>
      </c>
      <c r="Q500" t="n">
        <v>1</v>
      </c>
      <c r="R500" t="n">
        <v>1</v>
      </c>
      <c r="S500" t="n">
        <v>1978</v>
      </c>
      <c r="T500" t="s">
        <v>2953</v>
      </c>
      <c r="U500" t="s">
        <v>2954</v>
      </c>
      <c r="V500" t="s">
        <v>74</v>
      </c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2955</v>
      </c>
      <c r="B501" t="s">
        <v>31</v>
      </c>
      <c r="C501" t="s">
        <v>65</v>
      </c>
      <c r="D501" t="s">
        <v>2956</v>
      </c>
      <c r="E501" t="s">
        <v>2748</v>
      </c>
      <c r="F501" t="s">
        <v>2724</v>
      </c>
      <c r="G501" t="s">
        <v>2851</v>
      </c>
      <c r="H501" t="n">
        <v>39.6608256808511</v>
      </c>
      <c r="I501" t="n">
        <v>-105.053237234043</v>
      </c>
      <c r="J501" t="s">
        <v>35</v>
      </c>
      <c r="K501" t="s">
        <v>141</v>
      </c>
      <c r="L501"/>
      <c r="M501" t="n">
        <v>1983</v>
      </c>
      <c r="N501" t="n">
        <v>1988</v>
      </c>
      <c r="O501" t="s">
        <v>283</v>
      </c>
      <c r="P501" t="n">
        <v>2</v>
      </c>
      <c r="Q501" t="n">
        <v>2</v>
      </c>
      <c r="R501" t="n">
        <v>2</v>
      </c>
      <c r="S501" t="n">
        <v>1972</v>
      </c>
      <c r="T501" t="s">
        <v>2957</v>
      </c>
      <c r="U501" t="s">
        <v>2958</v>
      </c>
      <c r="V501" t="s">
        <v>74</v>
      </c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2959</v>
      </c>
      <c r="B502" t="s">
        <v>31</v>
      </c>
      <c r="C502" t="s">
        <v>65</v>
      </c>
      <c r="D502" t="s">
        <v>2960</v>
      </c>
      <c r="E502" t="s">
        <v>2748</v>
      </c>
      <c r="F502" t="s">
        <v>2724</v>
      </c>
      <c r="G502" t="s">
        <v>2961</v>
      </c>
      <c r="H502" t="n">
        <v>39.640418</v>
      </c>
      <c r="I502" t="n">
        <v>-105.053382</v>
      </c>
      <c r="J502" t="s">
        <v>35</v>
      </c>
      <c r="K502" t="s">
        <v>70</v>
      </c>
      <c r="L502"/>
      <c r="M502" t="n">
        <v>1983</v>
      </c>
      <c r="N502" t="n">
        <v>1988</v>
      </c>
      <c r="O502" t="s">
        <v>325</v>
      </c>
      <c r="P502" t="n">
        <v>2</v>
      </c>
      <c r="Q502" t="n">
        <v>2</v>
      </c>
      <c r="R502" t="n">
        <v>1</v>
      </c>
      <c r="S502" t="n">
        <v>1982</v>
      </c>
      <c r="T502" t="s">
        <v>2962</v>
      </c>
      <c r="U502" t="s">
        <v>2963</v>
      </c>
      <c r="V502" t="s">
        <v>74</v>
      </c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2964</v>
      </c>
      <c r="B503" t="s">
        <v>31</v>
      </c>
      <c r="C503" t="s">
        <v>65</v>
      </c>
      <c r="D503" t="s">
        <v>2965</v>
      </c>
      <c r="E503" t="s">
        <v>2729</v>
      </c>
      <c r="F503" t="s">
        <v>2724</v>
      </c>
      <c r="G503" t="s">
        <v>2914</v>
      </c>
      <c r="H503" t="n">
        <v>39.8681933032735</v>
      </c>
      <c r="I503" t="n">
        <v>-105.147773020223</v>
      </c>
      <c r="J503" t="s">
        <v>35</v>
      </c>
      <c r="K503" t="s">
        <v>120</v>
      </c>
      <c r="L503"/>
      <c r="M503" t="n">
        <v>1983</v>
      </c>
      <c r="N503" t="n">
        <v>1983</v>
      </c>
      <c r="O503" t="s">
        <v>264</v>
      </c>
      <c r="P503" t="n">
        <v>1</v>
      </c>
      <c r="Q503" t="n">
        <v>1</v>
      </c>
      <c r="R503" t="n">
        <v>1</v>
      </c>
      <c r="S503" t="n">
        <v>1978</v>
      </c>
      <c r="T503" t="s">
        <v>2966</v>
      </c>
      <c r="U503" t="s">
        <v>2967</v>
      </c>
      <c r="V503" t="s">
        <v>74</v>
      </c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2968</v>
      </c>
      <c r="B504" t="s">
        <v>31</v>
      </c>
      <c r="C504" t="s">
        <v>65</v>
      </c>
      <c r="D504" t="s">
        <v>2969</v>
      </c>
      <c r="E504" t="s">
        <v>2729</v>
      </c>
      <c r="F504" t="s">
        <v>2724</v>
      </c>
      <c r="G504" t="s">
        <v>2970</v>
      </c>
      <c r="H504" t="n">
        <v>39.8127283856467</v>
      </c>
      <c r="I504" t="n">
        <v>-105.133354779195</v>
      </c>
      <c r="J504" t="s">
        <v>35</v>
      </c>
      <c r="K504" t="s">
        <v>120</v>
      </c>
      <c r="L504"/>
      <c r="M504" t="n">
        <v>1983</v>
      </c>
      <c r="N504" t="n">
        <v>1983</v>
      </c>
      <c r="O504" t="s">
        <v>264</v>
      </c>
      <c r="P504" t="n">
        <v>1</v>
      </c>
      <c r="Q504" t="n">
        <v>1</v>
      </c>
      <c r="R504" t="n">
        <v>1</v>
      </c>
      <c r="S504" t="n">
        <v>1981</v>
      </c>
      <c r="T504" t="s">
        <v>2971</v>
      </c>
      <c r="U504" t="s">
        <v>2972</v>
      </c>
      <c r="V504" t="s">
        <v>74</v>
      </c>
      <c r="W504"/>
      <c r="X504"/>
      <c r="Y504"/>
      <c r="Z504"/>
      <c r="AA504"/>
      <c r="AB504"/>
      <c r="AC504"/>
      <c r="AD504"/>
      <c r="AE504"/>
      <c r="AF504" t="s">
        <v>2973</v>
      </c>
      <c r="AG504" t="n">
        <v>70</v>
      </c>
    </row>
    <row r="505">
      <c r="A505" t="s">
        <v>2974</v>
      </c>
      <c r="B505" t="s">
        <v>31</v>
      </c>
      <c r="C505" t="s">
        <v>65</v>
      </c>
      <c r="D505" t="s">
        <v>2975</v>
      </c>
      <c r="E505" t="s">
        <v>2723</v>
      </c>
      <c r="F505" t="s">
        <v>2724</v>
      </c>
      <c r="G505" t="s">
        <v>2778</v>
      </c>
      <c r="H505" t="n">
        <v>39.7584837142857</v>
      </c>
      <c r="I505" t="n">
        <v>-105.226066163265</v>
      </c>
      <c r="J505" t="s">
        <v>35</v>
      </c>
      <c r="K505" t="s">
        <v>70</v>
      </c>
      <c r="L505"/>
      <c r="M505" t="n">
        <v>1983</v>
      </c>
      <c r="N505" t="n">
        <v>1983</v>
      </c>
      <c r="O505" t="s">
        <v>264</v>
      </c>
      <c r="P505" t="n">
        <v>1</v>
      </c>
      <c r="Q505" t="n">
        <v>1</v>
      </c>
      <c r="R505" t="n">
        <v>1</v>
      </c>
      <c r="S505" t="n">
        <v>1960</v>
      </c>
      <c r="T505" t="s">
        <v>2976</v>
      </c>
      <c r="U505" t="s">
        <v>2977</v>
      </c>
      <c r="V505" t="s">
        <v>74</v>
      </c>
      <c r="W505"/>
      <c r="X505"/>
      <c r="Y505"/>
      <c r="Z505"/>
      <c r="AA505"/>
      <c r="AB505" t="s">
        <v>2978</v>
      </c>
      <c r="AC505" t="n">
        <v>248</v>
      </c>
      <c r="AD505" t="s">
        <v>2978</v>
      </c>
      <c r="AE505" t="n">
        <v>194</v>
      </c>
      <c r="AF505" t="s">
        <v>2979</v>
      </c>
      <c r="AG505" t="n">
        <v>221</v>
      </c>
    </row>
    <row r="506">
      <c r="A506" t="s">
        <v>2980</v>
      </c>
      <c r="B506" t="s">
        <v>31</v>
      </c>
      <c r="C506" t="s">
        <v>65</v>
      </c>
      <c r="D506" t="s">
        <v>2981</v>
      </c>
      <c r="E506" t="s">
        <v>2723</v>
      </c>
      <c r="F506" t="s">
        <v>2724</v>
      </c>
      <c r="G506" t="s">
        <v>2778</v>
      </c>
      <c r="H506" t="n">
        <v>39.721408</v>
      </c>
      <c r="I506" t="n">
        <v>-105.243267</v>
      </c>
      <c r="J506" t="s">
        <v>35</v>
      </c>
      <c r="K506" t="s">
        <v>70</v>
      </c>
      <c r="L506"/>
      <c r="M506" t="n">
        <v>1983</v>
      </c>
      <c r="N506" t="n">
        <v>1990</v>
      </c>
      <c r="O506" t="s">
        <v>293</v>
      </c>
      <c r="P506" t="n">
        <v>2</v>
      </c>
      <c r="Q506" t="n">
        <v>1</v>
      </c>
      <c r="R506" t="n">
        <v>1</v>
      </c>
      <c r="S506" t="n">
        <v>1969</v>
      </c>
      <c r="T506" t="s">
        <v>2982</v>
      </c>
      <c r="U506" t="s">
        <v>2983</v>
      </c>
      <c r="V506" t="s">
        <v>74</v>
      </c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2984</v>
      </c>
      <c r="B507" t="s">
        <v>31</v>
      </c>
      <c r="C507" t="s">
        <v>65</v>
      </c>
      <c r="D507" t="s">
        <v>2985</v>
      </c>
      <c r="E507" t="s">
        <v>2723</v>
      </c>
      <c r="F507" t="s">
        <v>2724</v>
      </c>
      <c r="G507" t="s">
        <v>2778</v>
      </c>
      <c r="H507" t="n">
        <v>39.77545725</v>
      </c>
      <c r="I507" t="n">
        <v>-105.17214525</v>
      </c>
      <c r="J507" t="s">
        <v>35</v>
      </c>
      <c r="K507" t="s">
        <v>141</v>
      </c>
      <c r="L507"/>
      <c r="M507" t="n">
        <v>1983</v>
      </c>
      <c r="N507" t="n">
        <v>1992</v>
      </c>
      <c r="O507" t="s">
        <v>1003</v>
      </c>
      <c r="P507" t="n">
        <v>2</v>
      </c>
      <c r="Q507" t="n">
        <v>2</v>
      </c>
      <c r="R507" t="n">
        <v>2</v>
      </c>
      <c r="S507" t="n">
        <v>1962</v>
      </c>
      <c r="T507" t="s">
        <v>2986</v>
      </c>
      <c r="U507" t="s">
        <v>2987</v>
      </c>
      <c r="V507" t="s">
        <v>74</v>
      </c>
      <c r="W507"/>
      <c r="X507"/>
      <c r="Y507"/>
      <c r="Z507"/>
      <c r="AA507"/>
      <c r="AB507" t="s">
        <v>2988</v>
      </c>
      <c r="AC507" t="n">
        <v>241</v>
      </c>
      <c r="AD507" t="s">
        <v>2887</v>
      </c>
      <c r="AE507" t="n">
        <v>214</v>
      </c>
      <c r="AF507" t="s">
        <v>2888</v>
      </c>
      <c r="AG507" t="n">
        <v>144</v>
      </c>
    </row>
    <row r="508">
      <c r="A508" t="s">
        <v>2989</v>
      </c>
      <c r="B508" t="s">
        <v>31</v>
      </c>
      <c r="C508" t="s">
        <v>65</v>
      </c>
      <c r="D508" t="s">
        <v>2990</v>
      </c>
      <c r="E508" t="s">
        <v>2748</v>
      </c>
      <c r="F508" t="s">
        <v>2724</v>
      </c>
      <c r="G508" t="s">
        <v>2763</v>
      </c>
      <c r="H508" t="n">
        <v>39.6997522666667</v>
      </c>
      <c r="I508" t="n">
        <v>-105.053240052083</v>
      </c>
      <c r="J508" t="s">
        <v>35</v>
      </c>
      <c r="K508" t="s">
        <v>70</v>
      </c>
      <c r="L508"/>
      <c r="M508" t="n">
        <v>1983</v>
      </c>
      <c r="N508" t="n">
        <v>1992</v>
      </c>
      <c r="O508" t="s">
        <v>1016</v>
      </c>
      <c r="P508" t="n">
        <v>2</v>
      </c>
      <c r="Q508" t="n">
        <v>2</v>
      </c>
      <c r="R508" t="n">
        <v>1</v>
      </c>
      <c r="S508" t="n">
        <v>1960</v>
      </c>
      <c r="T508" t="s">
        <v>2991</v>
      </c>
      <c r="U508" t="s">
        <v>2992</v>
      </c>
      <c r="V508" t="s">
        <v>74</v>
      </c>
      <c r="W508"/>
      <c r="X508"/>
      <c r="Y508"/>
      <c r="Z508"/>
      <c r="AA508"/>
      <c r="AB508" t="s">
        <v>2993</v>
      </c>
      <c r="AC508" t="n">
        <v>241</v>
      </c>
      <c r="AD508"/>
      <c r="AE508"/>
      <c r="AF508"/>
      <c r="AG508"/>
    </row>
    <row r="509">
      <c r="A509" t="s">
        <v>2994</v>
      </c>
      <c r="B509" t="s">
        <v>31</v>
      </c>
      <c r="C509" t="s">
        <v>65</v>
      </c>
      <c r="D509" t="s">
        <v>2995</v>
      </c>
      <c r="E509" t="s">
        <v>2748</v>
      </c>
      <c r="F509" t="s">
        <v>2724</v>
      </c>
      <c r="G509" t="s">
        <v>2856</v>
      </c>
      <c r="H509" t="n">
        <v>39.7259653881111</v>
      </c>
      <c r="I509" t="n">
        <v>-105.058020457791</v>
      </c>
      <c r="J509" t="s">
        <v>35</v>
      </c>
      <c r="K509" t="s">
        <v>270</v>
      </c>
      <c r="L509"/>
      <c r="M509" t="n">
        <v>1983</v>
      </c>
      <c r="N509" t="n">
        <v>1983</v>
      </c>
      <c r="O509" t="s">
        <v>264</v>
      </c>
      <c r="P509" t="n">
        <v>1</v>
      </c>
      <c r="Q509" t="n">
        <v>2</v>
      </c>
      <c r="R509" t="n">
        <v>2</v>
      </c>
      <c r="S509" t="n">
        <v>1970</v>
      </c>
      <c r="T509" t="s">
        <v>2996</v>
      </c>
      <c r="U509" t="s">
        <v>2997</v>
      </c>
      <c r="V509" t="s">
        <v>74</v>
      </c>
      <c r="W509"/>
      <c r="X509"/>
      <c r="Y509"/>
      <c r="Z509"/>
      <c r="AA509"/>
      <c r="AB509" t="s">
        <v>2998</v>
      </c>
      <c r="AC509" t="n">
        <v>113</v>
      </c>
      <c r="AD509"/>
      <c r="AE509"/>
      <c r="AF509" t="s">
        <v>2999</v>
      </c>
      <c r="AG509" t="n">
        <v>107</v>
      </c>
    </row>
    <row r="510">
      <c r="A510" t="s">
        <v>3000</v>
      </c>
      <c r="B510" t="s">
        <v>31</v>
      </c>
      <c r="C510" t="s">
        <v>65</v>
      </c>
      <c r="D510" t="s">
        <v>3001</v>
      </c>
      <c r="E510" t="s">
        <v>2748</v>
      </c>
      <c r="F510" t="s">
        <v>2724</v>
      </c>
      <c r="G510" t="s">
        <v>2763</v>
      </c>
      <c r="H510" t="n">
        <v>39.7231201428571</v>
      </c>
      <c r="I510" t="n">
        <v>-105.054748</v>
      </c>
      <c r="J510" t="s">
        <v>35</v>
      </c>
      <c r="K510" t="s">
        <v>315</v>
      </c>
      <c r="L510"/>
      <c r="M510" t="n">
        <v>1983</v>
      </c>
      <c r="N510" t="n">
        <v>1983</v>
      </c>
      <c r="O510" t="s">
        <v>264</v>
      </c>
      <c r="P510" t="n">
        <v>1</v>
      </c>
      <c r="Q510" t="n">
        <v>1</v>
      </c>
      <c r="R510" t="n">
        <v>1</v>
      </c>
      <c r="S510" t="n">
        <v>1976</v>
      </c>
      <c r="T510" t="s">
        <v>3002</v>
      </c>
      <c r="U510" t="s">
        <v>3003</v>
      </c>
      <c r="V510" t="s">
        <v>74</v>
      </c>
      <c r="W510"/>
      <c r="X510"/>
      <c r="Y510"/>
      <c r="Z510"/>
      <c r="AA510"/>
      <c r="AB510"/>
      <c r="AC510"/>
      <c r="AD510"/>
      <c r="AE510"/>
      <c r="AF510" t="s">
        <v>3004</v>
      </c>
      <c r="AG510" t="n">
        <v>131</v>
      </c>
    </row>
    <row r="511">
      <c r="A511" t="s">
        <v>3005</v>
      </c>
      <c r="B511" t="s">
        <v>31</v>
      </c>
      <c r="C511" t="s">
        <v>65</v>
      </c>
      <c r="D511" t="s">
        <v>3006</v>
      </c>
      <c r="E511" t="s">
        <v>2748</v>
      </c>
      <c r="F511" t="s">
        <v>2724</v>
      </c>
      <c r="G511" t="s">
        <v>2763</v>
      </c>
      <c r="H511" t="n">
        <v>39.724106</v>
      </c>
      <c r="I511" t="n">
        <v>-105.072159</v>
      </c>
      <c r="J511" t="s">
        <v>35</v>
      </c>
      <c r="K511" t="s">
        <v>133</v>
      </c>
      <c r="L511"/>
      <c r="M511" t="n">
        <v>1983</v>
      </c>
      <c r="N511" t="n">
        <v>1983</v>
      </c>
      <c r="O511" t="s">
        <v>264</v>
      </c>
      <c r="P511" t="n">
        <v>1</v>
      </c>
      <c r="Q511" t="n">
        <v>1</v>
      </c>
      <c r="R511" t="n">
        <v>1</v>
      </c>
      <c r="S511" t="n">
        <v>1982</v>
      </c>
      <c r="T511" t="s">
        <v>3007</v>
      </c>
      <c r="U511" t="s">
        <v>3008</v>
      </c>
      <c r="V511" t="s">
        <v>74</v>
      </c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3009</v>
      </c>
      <c r="B512" t="s">
        <v>31</v>
      </c>
      <c r="C512" t="s">
        <v>65</v>
      </c>
      <c r="D512" t="s">
        <v>3010</v>
      </c>
      <c r="E512" t="s">
        <v>386</v>
      </c>
      <c r="F512" t="s">
        <v>2724</v>
      </c>
      <c r="G512" t="s">
        <v>3011</v>
      </c>
      <c r="H512" t="n">
        <v>39.5674983856532</v>
      </c>
      <c r="I512" t="n">
        <v>-105.117859988232</v>
      </c>
      <c r="J512" t="s">
        <v>35</v>
      </c>
      <c r="K512" t="s">
        <v>120</v>
      </c>
      <c r="L512"/>
      <c r="M512" t="n">
        <v>1983</v>
      </c>
      <c r="N512" t="n">
        <v>1992</v>
      </c>
      <c r="O512" t="s">
        <v>1016</v>
      </c>
      <c r="P512" t="n">
        <v>3</v>
      </c>
      <c r="Q512" t="n">
        <v>2</v>
      </c>
      <c r="R512" t="n">
        <v>1</v>
      </c>
      <c r="S512" t="n">
        <v>1965</v>
      </c>
      <c r="T512" t="s">
        <v>3012</v>
      </c>
      <c r="U512" t="s">
        <v>3013</v>
      </c>
      <c r="V512" t="s">
        <v>74</v>
      </c>
      <c r="W512"/>
      <c r="X512"/>
      <c r="Y512"/>
      <c r="Z512"/>
      <c r="AA512"/>
      <c r="AB512"/>
      <c r="AC512"/>
      <c r="AD512" t="s">
        <v>3014</v>
      </c>
      <c r="AE512" t="n">
        <v>161</v>
      </c>
      <c r="AF512" t="s">
        <v>3015</v>
      </c>
      <c r="AG512" t="n">
        <v>57</v>
      </c>
    </row>
    <row r="513">
      <c r="A513" t="s">
        <v>3016</v>
      </c>
      <c r="B513" t="s">
        <v>31</v>
      </c>
      <c r="C513" t="s">
        <v>65</v>
      </c>
      <c r="D513" t="s">
        <v>3017</v>
      </c>
      <c r="E513" t="s">
        <v>2723</v>
      </c>
      <c r="F513" t="s">
        <v>2724</v>
      </c>
      <c r="G513" t="s">
        <v>3018</v>
      </c>
      <c r="H513" t="n">
        <v>39.7531839591837</v>
      </c>
      <c r="I513" t="n">
        <v>-105.22575122449</v>
      </c>
      <c r="J513" t="s">
        <v>35</v>
      </c>
      <c r="K513" t="s">
        <v>70</v>
      </c>
      <c r="L513"/>
      <c r="M513" t="n">
        <v>1988</v>
      </c>
      <c r="N513" t="n">
        <v>1988</v>
      </c>
      <c r="O513" t="s">
        <v>325</v>
      </c>
      <c r="P513" t="n">
        <v>1</v>
      </c>
      <c r="Q513" t="n">
        <v>1</v>
      </c>
      <c r="R513" t="n">
        <v>1</v>
      </c>
      <c r="S513" t="n">
        <v>1976</v>
      </c>
      <c r="T513" t="s">
        <v>3019</v>
      </c>
      <c r="U513" t="s">
        <v>3020</v>
      </c>
      <c r="V513" t="s">
        <v>74</v>
      </c>
      <c r="W513"/>
      <c r="X513"/>
      <c r="Y513"/>
      <c r="Z513"/>
      <c r="AA513"/>
      <c r="AB513" t="s">
        <v>3021</v>
      </c>
      <c r="AC513" t="n">
        <v>219</v>
      </c>
      <c r="AD513"/>
      <c r="AE513"/>
      <c r="AF513" t="s">
        <v>3022</v>
      </c>
      <c r="AG513" t="n">
        <v>128</v>
      </c>
    </row>
    <row r="514">
      <c r="A514" t="s">
        <v>3023</v>
      </c>
      <c r="B514" t="s">
        <v>31</v>
      </c>
      <c r="C514" t="s">
        <v>65</v>
      </c>
      <c r="D514" t="s">
        <v>3024</v>
      </c>
      <c r="E514" t="s">
        <v>2723</v>
      </c>
      <c r="F514" t="s">
        <v>2724</v>
      </c>
      <c r="G514" t="s">
        <v>2778</v>
      </c>
      <c r="H514" t="n">
        <v>39.7252488643597</v>
      </c>
      <c r="I514" t="n">
        <v>-105.157729137725</v>
      </c>
      <c r="J514" t="s">
        <v>35</v>
      </c>
      <c r="K514" t="s">
        <v>120</v>
      </c>
      <c r="L514"/>
      <c r="M514" t="n">
        <v>1988</v>
      </c>
      <c r="N514" t="n">
        <v>1992</v>
      </c>
      <c r="O514" t="s">
        <v>310</v>
      </c>
      <c r="P514" t="n">
        <v>3</v>
      </c>
      <c r="Q514" t="n">
        <v>2</v>
      </c>
      <c r="R514" t="n">
        <v>2</v>
      </c>
      <c r="S514" t="n">
        <v>1986</v>
      </c>
      <c r="T514" t="s">
        <v>3025</v>
      </c>
      <c r="U514" t="s">
        <v>3026</v>
      </c>
      <c r="V514" t="s">
        <v>74</v>
      </c>
      <c r="W514"/>
      <c r="X514"/>
      <c r="Y514"/>
      <c r="Z514"/>
      <c r="AA514"/>
      <c r="AB514"/>
      <c r="AC514"/>
      <c r="AD514"/>
      <c r="AE514"/>
      <c r="AF514" t="s">
        <v>3027</v>
      </c>
      <c r="AG514" t="n">
        <v>142</v>
      </c>
    </row>
    <row r="515">
      <c r="A515" t="s">
        <v>3028</v>
      </c>
      <c r="B515" t="s">
        <v>31</v>
      </c>
      <c r="C515" t="s">
        <v>65</v>
      </c>
      <c r="D515" t="s">
        <v>3029</v>
      </c>
      <c r="E515" t="s">
        <v>2723</v>
      </c>
      <c r="F515" t="s">
        <v>2724</v>
      </c>
      <c r="G515" t="s">
        <v>3030</v>
      </c>
      <c r="H515" t="n">
        <v>39.7594138163265</v>
      </c>
      <c r="I515" t="n">
        <v>-105.22887044898</v>
      </c>
      <c r="J515" t="s">
        <v>35</v>
      </c>
      <c r="K515" t="s">
        <v>89</v>
      </c>
      <c r="L515"/>
      <c r="M515" t="n">
        <v>1988</v>
      </c>
      <c r="N515" t="n">
        <v>1990</v>
      </c>
      <c r="O515" t="s">
        <v>325</v>
      </c>
      <c r="P515" t="n">
        <v>2</v>
      </c>
      <c r="Q515" t="n">
        <v>2</v>
      </c>
      <c r="R515" t="n">
        <v>1</v>
      </c>
      <c r="S515" t="n">
        <v>1954</v>
      </c>
      <c r="T515" t="s">
        <v>3031</v>
      </c>
      <c r="U515" t="s">
        <v>3032</v>
      </c>
      <c r="V515" t="s">
        <v>74</v>
      </c>
      <c r="W515"/>
      <c r="X515"/>
      <c r="Y515"/>
      <c r="Z515"/>
      <c r="AA515"/>
      <c r="AB515"/>
      <c r="AC515"/>
      <c r="AD515"/>
      <c r="AE515"/>
      <c r="AF515" t="s">
        <v>3033</v>
      </c>
      <c r="AG515" t="n">
        <v>138</v>
      </c>
    </row>
    <row r="516">
      <c r="A516" t="s">
        <v>3034</v>
      </c>
      <c r="B516" t="s">
        <v>31</v>
      </c>
      <c r="C516" t="s">
        <v>65</v>
      </c>
      <c r="D516" t="s">
        <v>3035</v>
      </c>
      <c r="E516" t="s">
        <v>2723</v>
      </c>
      <c r="F516" t="s">
        <v>2724</v>
      </c>
      <c r="G516" t="s">
        <v>2778</v>
      </c>
      <c r="H516" t="n">
        <v>39.7174085436769</v>
      </c>
      <c r="I516" t="n">
        <v>-105.164834044421</v>
      </c>
      <c r="J516" t="s">
        <v>35</v>
      </c>
      <c r="K516" t="s">
        <v>133</v>
      </c>
      <c r="L516"/>
      <c r="M516" t="n">
        <v>1988</v>
      </c>
      <c r="N516" t="n">
        <v>1990</v>
      </c>
      <c r="O516" t="s">
        <v>325</v>
      </c>
      <c r="P516" t="n">
        <v>2</v>
      </c>
      <c r="Q516" t="n">
        <v>1</v>
      </c>
      <c r="R516" t="n">
        <v>1</v>
      </c>
      <c r="S516" t="n">
        <v>1987</v>
      </c>
      <c r="T516" t="s">
        <v>3036</v>
      </c>
      <c r="U516" t="s">
        <v>3037</v>
      </c>
      <c r="V516" t="s">
        <v>74</v>
      </c>
      <c r="W516"/>
      <c r="X516"/>
      <c r="Y516"/>
      <c r="Z516"/>
      <c r="AA516"/>
      <c r="AB516"/>
      <c r="AC516"/>
      <c r="AD516"/>
      <c r="AE516"/>
      <c r="AF516" t="s">
        <v>3038</v>
      </c>
      <c r="AG516" t="n">
        <v>206</v>
      </c>
    </row>
    <row r="517">
      <c r="A517" t="s">
        <v>3039</v>
      </c>
      <c r="B517" t="s">
        <v>31</v>
      </c>
      <c r="C517" t="s">
        <v>65</v>
      </c>
      <c r="D517" t="s">
        <v>3040</v>
      </c>
      <c r="E517" t="s">
        <v>2723</v>
      </c>
      <c r="F517" t="s">
        <v>2724</v>
      </c>
      <c r="G517" t="s">
        <v>2778</v>
      </c>
      <c r="H517" t="n">
        <v>39.7213884549124</v>
      </c>
      <c r="I517" t="n">
        <v>-105.246777125021</v>
      </c>
      <c r="J517" t="s">
        <v>35</v>
      </c>
      <c r="K517" t="s">
        <v>70</v>
      </c>
      <c r="L517"/>
      <c r="M517" t="n">
        <v>1988</v>
      </c>
      <c r="N517" t="n">
        <v>1988</v>
      </c>
      <c r="O517" t="s">
        <v>325</v>
      </c>
      <c r="P517" t="n">
        <v>1</v>
      </c>
      <c r="Q517" t="n">
        <v>1</v>
      </c>
      <c r="R517" t="n">
        <v>1</v>
      </c>
      <c r="S517" t="n">
        <v>1969</v>
      </c>
      <c r="T517" t="s">
        <v>3041</v>
      </c>
      <c r="U517" t="s">
        <v>3042</v>
      </c>
      <c r="V517" t="s">
        <v>74</v>
      </c>
      <c r="W517"/>
      <c r="X517"/>
      <c r="Y517"/>
      <c r="Z517"/>
      <c r="AA517"/>
      <c r="AB517"/>
      <c r="AC517"/>
      <c r="AD517"/>
      <c r="AE517"/>
      <c r="AF517"/>
      <c r="AG517"/>
    </row>
    <row r="518">
      <c r="A518" t="s">
        <v>3043</v>
      </c>
      <c r="B518" t="s">
        <v>31</v>
      </c>
      <c r="C518" t="s">
        <v>65</v>
      </c>
      <c r="D518" t="s">
        <v>3044</v>
      </c>
      <c r="E518" t="s">
        <v>386</v>
      </c>
      <c r="F518" t="s">
        <v>2724</v>
      </c>
      <c r="G518" t="s">
        <v>2809</v>
      </c>
      <c r="H518" t="n">
        <v>39.5892317273698</v>
      </c>
      <c r="I518" t="n">
        <v>-105.054722894254</v>
      </c>
      <c r="J518" t="s">
        <v>35</v>
      </c>
      <c r="K518" t="s">
        <v>133</v>
      </c>
      <c r="L518"/>
      <c r="M518" t="n">
        <v>1988</v>
      </c>
      <c r="N518" t="n">
        <v>1990</v>
      </c>
      <c r="O518" t="s">
        <v>325</v>
      </c>
      <c r="P518" t="n">
        <v>2</v>
      </c>
      <c r="Q518" t="n">
        <v>1</v>
      </c>
      <c r="R518" t="n">
        <v>1</v>
      </c>
      <c r="S518" t="n">
        <v>1976</v>
      </c>
      <c r="T518" t="s">
        <v>3045</v>
      </c>
      <c r="U518" t="s">
        <v>3046</v>
      </c>
      <c r="V518" t="s">
        <v>74</v>
      </c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3047</v>
      </c>
      <c r="B519" t="s">
        <v>31</v>
      </c>
      <c r="C519" t="s">
        <v>65</v>
      </c>
      <c r="D519" t="s">
        <v>3048</v>
      </c>
      <c r="E519" t="s">
        <v>2729</v>
      </c>
      <c r="F519" t="s">
        <v>2724</v>
      </c>
      <c r="G519" t="s">
        <v>2914</v>
      </c>
      <c r="H519" t="n">
        <v>39.8331094240532</v>
      </c>
      <c r="I519" t="n">
        <v>-105.110626319552</v>
      </c>
      <c r="J519" t="s">
        <v>35</v>
      </c>
      <c r="K519" t="s">
        <v>120</v>
      </c>
      <c r="L519"/>
      <c r="M519" t="n">
        <v>1990</v>
      </c>
      <c r="N519" t="n">
        <v>1990</v>
      </c>
      <c r="O519" t="s">
        <v>351</v>
      </c>
      <c r="P519" t="n">
        <v>1</v>
      </c>
      <c r="Q519" t="n">
        <v>1</v>
      </c>
      <c r="R519" t="n">
        <v>1</v>
      </c>
      <c r="S519" t="n">
        <v>1982</v>
      </c>
      <c r="T519" t="s">
        <v>3049</v>
      </c>
      <c r="U519" t="s">
        <v>3050</v>
      </c>
      <c r="V519" t="s">
        <v>74</v>
      </c>
      <c r="W519"/>
      <c r="X519"/>
      <c r="Y519"/>
      <c r="Z519"/>
      <c r="AA519"/>
      <c r="AB519"/>
      <c r="AC519"/>
      <c r="AD519"/>
      <c r="AE519"/>
      <c r="AF519"/>
      <c r="AG519"/>
    </row>
    <row r="520">
      <c r="A520" t="s">
        <v>3051</v>
      </c>
      <c r="B520" t="s">
        <v>31</v>
      </c>
      <c r="C520" t="s">
        <v>65</v>
      </c>
      <c r="D520" t="s">
        <v>3052</v>
      </c>
      <c r="E520" t="s">
        <v>2729</v>
      </c>
      <c r="F520" t="s">
        <v>2724</v>
      </c>
      <c r="G520" t="s">
        <v>2970</v>
      </c>
      <c r="H520" t="n">
        <v>39.8205550493706</v>
      </c>
      <c r="I520" t="n">
        <v>-105.12202228774</v>
      </c>
      <c r="J520" t="s">
        <v>35</v>
      </c>
      <c r="K520" t="s">
        <v>133</v>
      </c>
      <c r="L520"/>
      <c r="M520" t="n">
        <v>1990</v>
      </c>
      <c r="N520" t="n">
        <v>1990</v>
      </c>
      <c r="O520" t="s">
        <v>351</v>
      </c>
      <c r="P520" t="n">
        <v>1</v>
      </c>
      <c r="Q520" t="n">
        <v>1</v>
      </c>
      <c r="R520" t="n">
        <v>1</v>
      </c>
      <c r="S520" t="n">
        <v>1973</v>
      </c>
      <c r="T520" t="s">
        <v>3053</v>
      </c>
      <c r="U520" t="s">
        <v>3054</v>
      </c>
      <c r="V520" t="s">
        <v>74</v>
      </c>
      <c r="W520"/>
      <c r="X520"/>
      <c r="Y520"/>
      <c r="Z520"/>
      <c r="AA520"/>
      <c r="AB520"/>
      <c r="AC520"/>
      <c r="AD520"/>
      <c r="AE520"/>
      <c r="AF520"/>
      <c r="AG520"/>
    </row>
    <row r="521">
      <c r="A521" t="s">
        <v>3055</v>
      </c>
      <c r="B521" t="s">
        <v>31</v>
      </c>
      <c r="C521" t="s">
        <v>65</v>
      </c>
      <c r="D521" t="s">
        <v>3056</v>
      </c>
      <c r="E521" t="s">
        <v>3057</v>
      </c>
      <c r="F521" t="s">
        <v>2724</v>
      </c>
      <c r="G521" t="s">
        <v>3058</v>
      </c>
      <c r="H521" t="n">
        <v>39.516072</v>
      </c>
      <c r="I521" t="n">
        <v>-105.283183</v>
      </c>
      <c r="J521" t="s">
        <v>35</v>
      </c>
      <c r="K521" t="s">
        <v>120</v>
      </c>
      <c r="L521"/>
      <c r="M521" t="n">
        <v>1990</v>
      </c>
      <c r="N521" t="n">
        <v>1990</v>
      </c>
      <c r="O521" t="s">
        <v>351</v>
      </c>
      <c r="P521" t="n">
        <v>1</v>
      </c>
      <c r="Q521" t="n">
        <v>1</v>
      </c>
      <c r="R521" t="n">
        <v>1</v>
      </c>
      <c r="S521" t="n">
        <v>1983</v>
      </c>
      <c r="T521" t="s">
        <v>3059</v>
      </c>
      <c r="U521" t="s">
        <v>3060</v>
      </c>
      <c r="V521" t="s">
        <v>74</v>
      </c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3061</v>
      </c>
      <c r="B522" t="s">
        <v>31</v>
      </c>
      <c r="C522" t="s">
        <v>65</v>
      </c>
      <c r="D522" t="s">
        <v>3062</v>
      </c>
      <c r="E522" t="s">
        <v>2748</v>
      </c>
      <c r="F522" t="s">
        <v>2724</v>
      </c>
      <c r="G522" t="s">
        <v>2763</v>
      </c>
      <c r="H522" t="n">
        <v>39.707618</v>
      </c>
      <c r="I522" t="n">
        <v>-105.059021</v>
      </c>
      <c r="J522" t="s">
        <v>35</v>
      </c>
      <c r="K522" t="s">
        <v>81</v>
      </c>
      <c r="L522"/>
      <c r="M522" t="n">
        <v>1990</v>
      </c>
      <c r="N522" t="n">
        <v>1990</v>
      </c>
      <c r="O522" t="s">
        <v>351</v>
      </c>
      <c r="P522" t="n">
        <v>1</v>
      </c>
      <c r="Q522" t="n">
        <v>1</v>
      </c>
      <c r="R522" t="n">
        <v>1</v>
      </c>
      <c r="S522" t="n">
        <v>1960</v>
      </c>
      <c r="T522" t="s">
        <v>3063</v>
      </c>
      <c r="U522" t="s">
        <v>3064</v>
      </c>
      <c r="V522" t="s">
        <v>74</v>
      </c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3065</v>
      </c>
      <c r="B523" t="s">
        <v>31</v>
      </c>
      <c r="C523" t="s">
        <v>65</v>
      </c>
      <c r="D523" t="s">
        <v>3066</v>
      </c>
      <c r="E523" t="s">
        <v>2748</v>
      </c>
      <c r="F523" t="s">
        <v>2724</v>
      </c>
      <c r="G523" t="s">
        <v>2763</v>
      </c>
      <c r="H523" t="n">
        <v>39.7099610204082</v>
      </c>
      <c r="I523" t="n">
        <v>-105.114343530612</v>
      </c>
      <c r="J523" t="s">
        <v>35</v>
      </c>
      <c r="K523" t="s">
        <v>120</v>
      </c>
      <c r="L523"/>
      <c r="M523" t="n">
        <v>1990</v>
      </c>
      <c r="N523" t="n">
        <v>1990</v>
      </c>
      <c r="O523" t="s">
        <v>351</v>
      </c>
      <c r="P523" t="n">
        <v>1</v>
      </c>
      <c r="Q523" t="n">
        <v>1</v>
      </c>
      <c r="R523" t="n">
        <v>1</v>
      </c>
      <c r="S523" t="n">
        <v>1962</v>
      </c>
      <c r="T523" t="s">
        <v>3067</v>
      </c>
      <c r="U523" t="s">
        <v>3068</v>
      </c>
      <c r="V523" t="s">
        <v>74</v>
      </c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3069</v>
      </c>
      <c r="B524" t="s">
        <v>31</v>
      </c>
      <c r="C524" t="s">
        <v>65</v>
      </c>
      <c r="D524" t="s">
        <v>3070</v>
      </c>
      <c r="E524" t="s">
        <v>2748</v>
      </c>
      <c r="F524" t="s">
        <v>2724</v>
      </c>
      <c r="G524" t="s">
        <v>2851</v>
      </c>
      <c r="H524" t="n">
        <v>39.674093</v>
      </c>
      <c r="I524" t="n">
        <v>-105.10969273913</v>
      </c>
      <c r="J524" t="s">
        <v>35</v>
      </c>
      <c r="K524" t="s">
        <v>70</v>
      </c>
      <c r="L524"/>
      <c r="M524" t="n">
        <v>1990</v>
      </c>
      <c r="N524" t="n">
        <v>1990</v>
      </c>
      <c r="O524" t="s">
        <v>351</v>
      </c>
      <c r="P524" t="n">
        <v>1</v>
      </c>
      <c r="Q524" t="n">
        <v>1</v>
      </c>
      <c r="R524" t="n">
        <v>1</v>
      </c>
      <c r="S524" t="n">
        <v>1965</v>
      </c>
      <c r="T524" t="s">
        <v>3071</v>
      </c>
      <c r="U524" t="s">
        <v>3072</v>
      </c>
      <c r="V524" t="s">
        <v>74</v>
      </c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3073</v>
      </c>
      <c r="B525" t="s">
        <v>31</v>
      </c>
      <c r="C525" t="s">
        <v>65</v>
      </c>
      <c r="D525" t="s">
        <v>3074</v>
      </c>
      <c r="E525" t="s">
        <v>2769</v>
      </c>
      <c r="F525" t="s">
        <v>2724</v>
      </c>
      <c r="G525" t="s">
        <v>2770</v>
      </c>
      <c r="H525" t="n">
        <v>39.7856583903542</v>
      </c>
      <c r="I525" t="n">
        <v>-105.104850884254</v>
      </c>
      <c r="J525" t="s">
        <v>35</v>
      </c>
      <c r="K525" t="s">
        <v>120</v>
      </c>
      <c r="L525"/>
      <c r="M525" t="n">
        <v>1990</v>
      </c>
      <c r="N525" t="n">
        <v>1990</v>
      </c>
      <c r="O525" t="s">
        <v>351</v>
      </c>
      <c r="P525" t="n">
        <v>1</v>
      </c>
      <c r="Q525" t="n">
        <v>1</v>
      </c>
      <c r="R525" t="n">
        <v>1</v>
      </c>
      <c r="S525" t="n">
        <v>1971</v>
      </c>
      <c r="T525" t="s">
        <v>3075</v>
      </c>
      <c r="U525" t="s">
        <v>3076</v>
      </c>
      <c r="V525" t="s">
        <v>74</v>
      </c>
      <c r="W525"/>
      <c r="X525"/>
      <c r="Y525"/>
      <c r="Z525"/>
      <c r="AA525"/>
      <c r="AB525" t="s">
        <v>3077</v>
      </c>
      <c r="AC525" t="n">
        <v>220</v>
      </c>
      <c r="AD525"/>
      <c r="AE525"/>
      <c r="AF525" t="s">
        <v>3078</v>
      </c>
      <c r="AG525" t="n">
        <v>69</v>
      </c>
    </row>
    <row r="526">
      <c r="A526" t="s">
        <v>3079</v>
      </c>
      <c r="B526" t="s">
        <v>31</v>
      </c>
      <c r="C526" t="s">
        <v>65</v>
      </c>
      <c r="D526" t="s">
        <v>3080</v>
      </c>
      <c r="E526" t="s">
        <v>2729</v>
      </c>
      <c r="F526" t="s">
        <v>2724</v>
      </c>
      <c r="G526" t="s">
        <v>2730</v>
      </c>
      <c r="H526" t="n">
        <v>39.8457693619331</v>
      </c>
      <c r="I526" t="n">
        <v>-105.140991287346</v>
      </c>
      <c r="J526" t="s">
        <v>35</v>
      </c>
      <c r="K526" t="s">
        <v>70</v>
      </c>
      <c r="L526"/>
      <c r="M526" t="n">
        <v>1992</v>
      </c>
      <c r="N526" t="n">
        <v>1992</v>
      </c>
      <c r="O526" t="s">
        <v>1016</v>
      </c>
      <c r="P526" t="n">
        <v>1</v>
      </c>
      <c r="Q526" t="n">
        <v>1</v>
      </c>
      <c r="R526" t="n">
        <v>1</v>
      </c>
      <c r="S526" t="n">
        <v>1974</v>
      </c>
      <c r="T526" t="s">
        <v>3081</v>
      </c>
      <c r="U526" t="s">
        <v>3082</v>
      </c>
      <c r="V526" t="s">
        <v>74</v>
      </c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3083</v>
      </c>
      <c r="B527" t="s">
        <v>31</v>
      </c>
      <c r="C527" t="s">
        <v>65</v>
      </c>
      <c r="D527" t="s">
        <v>3084</v>
      </c>
      <c r="E527" t="s">
        <v>2748</v>
      </c>
      <c r="F527" t="s">
        <v>2724</v>
      </c>
      <c r="G527" t="s">
        <v>2924</v>
      </c>
      <c r="H527" t="n">
        <v>39.705985271329</v>
      </c>
      <c r="I527" t="n">
        <v>-105.149591022853</v>
      </c>
      <c r="J527" t="s">
        <v>35</v>
      </c>
      <c r="K527" t="s">
        <v>89</v>
      </c>
      <c r="L527"/>
      <c r="M527" t="n">
        <v>1992</v>
      </c>
      <c r="N527" t="n">
        <v>1992</v>
      </c>
      <c r="O527" t="s">
        <v>1016</v>
      </c>
      <c r="P527" t="n">
        <v>1</v>
      </c>
      <c r="Q527" t="n">
        <v>1</v>
      </c>
      <c r="R527" t="n">
        <v>1</v>
      </c>
      <c r="S527"/>
      <c r="T527" t="s">
        <v>3085</v>
      </c>
      <c r="U527" t="s">
        <v>3086</v>
      </c>
      <c r="V527" t="s">
        <v>74</v>
      </c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3087</v>
      </c>
      <c r="B528" t="s">
        <v>31</v>
      </c>
      <c r="C528" t="s">
        <v>65</v>
      </c>
      <c r="D528" t="s">
        <v>3088</v>
      </c>
      <c r="E528" t="s">
        <v>386</v>
      </c>
      <c r="F528" t="s">
        <v>2724</v>
      </c>
      <c r="G528" t="s">
        <v>2809</v>
      </c>
      <c r="H528" t="n">
        <v>39.5883749591837</v>
      </c>
      <c r="I528" t="n">
        <v>-105.057641387755</v>
      </c>
      <c r="J528" t="s">
        <v>35</v>
      </c>
      <c r="K528" t="s">
        <v>527</v>
      </c>
      <c r="L528"/>
      <c r="M528" t="n">
        <v>1992</v>
      </c>
      <c r="N528" t="n">
        <v>1992</v>
      </c>
      <c r="O528" t="s">
        <v>1016</v>
      </c>
      <c r="P528" t="n">
        <v>1</v>
      </c>
      <c r="Q528" t="n">
        <v>1</v>
      </c>
      <c r="R528" t="n">
        <v>1</v>
      </c>
      <c r="S528"/>
      <c r="T528" t="s">
        <v>3089</v>
      </c>
      <c r="U528" t="s">
        <v>3090</v>
      </c>
      <c r="V528" t="s">
        <v>74</v>
      </c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3091</v>
      </c>
      <c r="B529" t="s">
        <v>31</v>
      </c>
      <c r="C529" t="s">
        <v>65</v>
      </c>
      <c r="D529" t="s">
        <v>3092</v>
      </c>
      <c r="E529" t="s">
        <v>386</v>
      </c>
      <c r="F529" t="s">
        <v>2724</v>
      </c>
      <c r="G529" t="s">
        <v>2809</v>
      </c>
      <c r="H529" t="n">
        <v>39.6241576040268</v>
      </c>
      <c r="I529" t="n">
        <v>-105.022300791946</v>
      </c>
      <c r="J529" t="s">
        <v>35</v>
      </c>
      <c r="K529" t="s">
        <v>70</v>
      </c>
      <c r="L529"/>
      <c r="M529" t="n">
        <v>1992</v>
      </c>
      <c r="N529" t="n">
        <v>1992</v>
      </c>
      <c r="O529" t="s">
        <v>1016</v>
      </c>
      <c r="P529" t="n">
        <v>1</v>
      </c>
      <c r="Q529" t="n">
        <v>1</v>
      </c>
      <c r="R529" t="n">
        <v>1</v>
      </c>
      <c r="S529"/>
      <c r="T529" t="s">
        <v>3093</v>
      </c>
      <c r="U529" t="s">
        <v>3094</v>
      </c>
      <c r="V529" t="s">
        <v>74</v>
      </c>
      <c r="W529"/>
      <c r="X529"/>
      <c r="Y529"/>
      <c r="Z529"/>
      <c r="AA529"/>
      <c r="AB529"/>
      <c r="AC529"/>
      <c r="AD529"/>
      <c r="AE529"/>
      <c r="AF529" t="s">
        <v>3095</v>
      </c>
      <c r="AG529" t="n">
        <v>180</v>
      </c>
    </row>
    <row r="530">
      <c r="A530" t="s">
        <v>3096</v>
      </c>
      <c r="B530" t="s">
        <v>31</v>
      </c>
      <c r="C530" t="s">
        <v>65</v>
      </c>
      <c r="D530" t="s">
        <v>3097</v>
      </c>
      <c r="E530" t="s">
        <v>2769</v>
      </c>
      <c r="F530" t="s">
        <v>2724</v>
      </c>
      <c r="G530" t="s">
        <v>2770</v>
      </c>
      <c r="H530" t="n">
        <v>39.7779379989906</v>
      </c>
      <c r="I530" t="n">
        <v>-105.097371195761</v>
      </c>
      <c r="J530" t="s">
        <v>35</v>
      </c>
      <c r="K530" t="s">
        <v>120</v>
      </c>
      <c r="L530"/>
      <c r="M530" t="n">
        <v>1992</v>
      </c>
      <c r="N530" t="n">
        <v>1992</v>
      </c>
      <c r="O530" t="s">
        <v>1016</v>
      </c>
      <c r="P530" t="n">
        <v>1</v>
      </c>
      <c r="Q530" t="n">
        <v>1</v>
      </c>
      <c r="R530" t="n">
        <v>1</v>
      </c>
      <c r="S530"/>
      <c r="T530" t="s">
        <v>3098</v>
      </c>
      <c r="U530" t="s">
        <v>3099</v>
      </c>
      <c r="V530" t="s">
        <v>74</v>
      </c>
      <c r="W530"/>
      <c r="X530"/>
      <c r="Y530"/>
      <c r="Z530"/>
      <c r="AA530"/>
      <c r="AB530"/>
      <c r="AC530"/>
      <c r="AD530"/>
      <c r="AE530"/>
      <c r="AF530" t="s">
        <v>3100</v>
      </c>
      <c r="AG530" t="n">
        <v>212</v>
      </c>
    </row>
    <row r="531">
      <c r="A531" t="s">
        <v>3101</v>
      </c>
      <c r="B531" t="s">
        <v>31</v>
      </c>
      <c r="C531" t="s">
        <v>65</v>
      </c>
      <c r="D531" t="s">
        <v>3102</v>
      </c>
      <c r="E531" t="s">
        <v>3103</v>
      </c>
      <c r="F531" t="s">
        <v>3104</v>
      </c>
      <c r="G531" t="s">
        <v>3105</v>
      </c>
      <c r="H531" t="n">
        <v>39.3053541632653</v>
      </c>
      <c r="I531" t="n">
        <v>-102.266663571429</v>
      </c>
      <c r="J531" t="s">
        <v>35</v>
      </c>
      <c r="K531" t="s">
        <v>126</v>
      </c>
      <c r="L531"/>
      <c r="M531" t="n">
        <v>1977</v>
      </c>
      <c r="N531" t="n">
        <v>1990</v>
      </c>
      <c r="O531" t="s">
        <v>3106</v>
      </c>
      <c r="P531" t="n">
        <v>4</v>
      </c>
      <c r="Q531" t="n">
        <v>1</v>
      </c>
      <c r="R531" t="n">
        <v>1</v>
      </c>
      <c r="S531" t="n">
        <v>1975</v>
      </c>
      <c r="T531" t="s">
        <v>3107</v>
      </c>
      <c r="U531" t="s">
        <v>3108</v>
      </c>
      <c r="V531" t="s">
        <v>74</v>
      </c>
      <c r="W531"/>
      <c r="X531"/>
      <c r="Y531"/>
      <c r="Z531"/>
      <c r="AA531"/>
      <c r="AB531" t="s">
        <v>3109</v>
      </c>
      <c r="AC531" t="n">
        <v>140</v>
      </c>
      <c r="AD531"/>
      <c r="AE531"/>
      <c r="AF531" t="s">
        <v>3110</v>
      </c>
      <c r="AG531" t="n">
        <v>89</v>
      </c>
    </row>
    <row r="532">
      <c r="A532" t="s">
        <v>3111</v>
      </c>
      <c r="B532" t="s">
        <v>31</v>
      </c>
      <c r="C532" t="s">
        <v>65</v>
      </c>
      <c r="D532" t="s">
        <v>3112</v>
      </c>
      <c r="E532" t="s">
        <v>3113</v>
      </c>
      <c r="F532" t="s">
        <v>3114</v>
      </c>
      <c r="G532" t="s">
        <v>3115</v>
      </c>
      <c r="H532" t="n">
        <v>37.2721842623338</v>
      </c>
      <c r="I532" t="n">
        <v>-107.880432063718</v>
      </c>
      <c r="J532" t="s">
        <v>35</v>
      </c>
      <c r="K532" t="s">
        <v>70</v>
      </c>
      <c r="L532"/>
      <c r="M532" t="n">
        <v>1968</v>
      </c>
      <c r="N532" t="n">
        <v>1968</v>
      </c>
      <c r="O532" t="s">
        <v>1349</v>
      </c>
      <c r="P532" t="n">
        <v>1</v>
      </c>
      <c r="Q532" t="n">
        <v>1</v>
      </c>
      <c r="R532" t="n">
        <v>1</v>
      </c>
      <c r="S532" t="n">
        <v>1953</v>
      </c>
      <c r="T532" t="s">
        <v>3116</v>
      </c>
      <c r="U532" t="s">
        <v>3117</v>
      </c>
      <c r="V532" t="s">
        <v>74</v>
      </c>
      <c r="W532"/>
      <c r="X532"/>
      <c r="Y532"/>
      <c r="Z532"/>
      <c r="AA532"/>
      <c r="AB532"/>
      <c r="AC532"/>
      <c r="AD532"/>
      <c r="AE532"/>
      <c r="AF532" t="s">
        <v>3118</v>
      </c>
      <c r="AG532" t="n">
        <v>61</v>
      </c>
    </row>
    <row r="533">
      <c r="A533" t="s">
        <v>3119</v>
      </c>
      <c r="B533" t="s">
        <v>31</v>
      </c>
      <c r="C533" t="s">
        <v>65</v>
      </c>
      <c r="D533" t="s">
        <v>3120</v>
      </c>
      <c r="E533" t="s">
        <v>3113</v>
      </c>
      <c r="F533" t="s">
        <v>3114</v>
      </c>
      <c r="G533" t="s">
        <v>3115</v>
      </c>
      <c r="H533" t="n">
        <v>37.2797080235026</v>
      </c>
      <c r="I533" t="n">
        <v>-107.877858182258</v>
      </c>
      <c r="J533" t="s">
        <v>35</v>
      </c>
      <c r="K533" t="s">
        <v>70</v>
      </c>
      <c r="L533"/>
      <c r="M533" t="n">
        <v>1973</v>
      </c>
      <c r="N533" t="n">
        <v>1973</v>
      </c>
      <c r="O533" t="s">
        <v>121</v>
      </c>
      <c r="P533" t="n">
        <v>1</v>
      </c>
      <c r="Q533" t="n">
        <v>1</v>
      </c>
      <c r="R533" t="n">
        <v>1</v>
      </c>
      <c r="S533"/>
      <c r="T533" t="s">
        <v>3121</v>
      </c>
      <c r="U533" t="s">
        <v>3122</v>
      </c>
      <c r="V533" t="s">
        <v>74</v>
      </c>
      <c r="W533"/>
      <c r="X533"/>
      <c r="Y533"/>
      <c r="Z533"/>
      <c r="AA533"/>
      <c r="AB533" t="s">
        <v>3123</v>
      </c>
      <c r="AC533" t="n">
        <v>222</v>
      </c>
      <c r="AD533"/>
      <c r="AE533"/>
      <c r="AF533" t="s">
        <v>3124</v>
      </c>
      <c r="AG533" t="n">
        <v>71</v>
      </c>
    </row>
    <row r="534">
      <c r="A534" t="s">
        <v>3125</v>
      </c>
      <c r="B534" t="s">
        <v>31</v>
      </c>
      <c r="C534" t="s">
        <v>65</v>
      </c>
      <c r="D534" t="s">
        <v>3126</v>
      </c>
      <c r="E534" t="s">
        <v>3113</v>
      </c>
      <c r="F534" t="s">
        <v>3114</v>
      </c>
      <c r="G534" t="s">
        <v>3115</v>
      </c>
      <c r="H534" t="n">
        <v>37.2959493469388</v>
      </c>
      <c r="I534" t="n">
        <v>-107.866074612245</v>
      </c>
      <c r="J534" t="s">
        <v>35</v>
      </c>
      <c r="K534" t="s">
        <v>120</v>
      </c>
      <c r="L534"/>
      <c r="M534" t="n">
        <v>1983</v>
      </c>
      <c r="N534" t="n">
        <v>1983</v>
      </c>
      <c r="O534" t="s">
        <v>264</v>
      </c>
      <c r="P534" t="n">
        <v>1</v>
      </c>
      <c r="Q534" t="n">
        <v>1</v>
      </c>
      <c r="R534" t="n">
        <v>1</v>
      </c>
      <c r="S534" t="n">
        <v>1974</v>
      </c>
      <c r="T534" t="s">
        <v>3127</v>
      </c>
      <c r="U534" t="s">
        <v>3128</v>
      </c>
      <c r="V534" t="s">
        <v>74</v>
      </c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3129</v>
      </c>
      <c r="B535" t="s">
        <v>31</v>
      </c>
      <c r="C535" t="s">
        <v>65</v>
      </c>
      <c r="D535" t="s">
        <v>3130</v>
      </c>
      <c r="E535" t="s">
        <v>3113</v>
      </c>
      <c r="F535" t="s">
        <v>3114</v>
      </c>
      <c r="G535" t="s">
        <v>3115</v>
      </c>
      <c r="H535" t="n">
        <v>37.3055129491036</v>
      </c>
      <c r="I535" t="n">
        <v>-107.866584802038</v>
      </c>
      <c r="J535" t="s">
        <v>35</v>
      </c>
      <c r="K535" t="s">
        <v>70</v>
      </c>
      <c r="L535"/>
      <c r="M535" t="n">
        <v>1983</v>
      </c>
      <c r="N535" t="n">
        <v>1983</v>
      </c>
      <c r="O535" t="s">
        <v>264</v>
      </c>
      <c r="P535" t="n">
        <v>1</v>
      </c>
      <c r="Q535" t="n">
        <v>1</v>
      </c>
      <c r="R535" t="n">
        <v>1</v>
      </c>
      <c r="S535" t="n">
        <v>1977</v>
      </c>
      <c r="T535" t="s">
        <v>3131</v>
      </c>
      <c r="U535" t="s">
        <v>3132</v>
      </c>
      <c r="V535" t="s">
        <v>74</v>
      </c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3133</v>
      </c>
      <c r="B536" t="s">
        <v>31</v>
      </c>
      <c r="C536" t="s">
        <v>65</v>
      </c>
      <c r="D536" t="s">
        <v>3134</v>
      </c>
      <c r="E536" t="s">
        <v>3135</v>
      </c>
      <c r="F536" t="s">
        <v>3114</v>
      </c>
      <c r="G536" t="s">
        <v>3136</v>
      </c>
      <c r="H536" t="n">
        <v>37.2253209052789</v>
      </c>
      <c r="I536" t="n">
        <v>-107.600288731175</v>
      </c>
      <c r="J536" t="s">
        <v>35</v>
      </c>
      <c r="K536" t="s">
        <v>70</v>
      </c>
      <c r="L536"/>
      <c r="M536" t="n">
        <v>1990</v>
      </c>
      <c r="N536" t="n">
        <v>1990</v>
      </c>
      <c r="O536" t="s">
        <v>351</v>
      </c>
      <c r="P536" t="n">
        <v>1</v>
      </c>
      <c r="Q536" t="n">
        <v>1</v>
      </c>
      <c r="R536" t="n">
        <v>1</v>
      </c>
      <c r="S536" t="n">
        <v>1932</v>
      </c>
      <c r="T536" t="s">
        <v>3137</v>
      </c>
      <c r="U536" t="s">
        <v>3138</v>
      </c>
      <c r="V536" t="s">
        <v>74</v>
      </c>
      <c r="W536"/>
      <c r="X536"/>
      <c r="Y536"/>
      <c r="Z536"/>
      <c r="AA536"/>
      <c r="AB536" t="s">
        <v>3139</v>
      </c>
      <c r="AC536" t="n">
        <v>142</v>
      </c>
      <c r="AD536"/>
      <c r="AE536"/>
      <c r="AF536"/>
      <c r="AG536"/>
    </row>
    <row r="537">
      <c r="A537" t="s">
        <v>3140</v>
      </c>
      <c r="B537" t="s">
        <v>31</v>
      </c>
      <c r="C537" t="s">
        <v>65</v>
      </c>
      <c r="D537" t="s">
        <v>3141</v>
      </c>
      <c r="E537" t="s">
        <v>3113</v>
      </c>
      <c r="F537" t="s">
        <v>3114</v>
      </c>
      <c r="G537" t="s">
        <v>3115</v>
      </c>
      <c r="H537" t="n">
        <v>37.2785132905455</v>
      </c>
      <c r="I537" t="n">
        <v>-107.877581740235</v>
      </c>
      <c r="J537" t="s">
        <v>35</v>
      </c>
      <c r="K537" t="s">
        <v>70</v>
      </c>
      <c r="L537"/>
      <c r="M537" t="n">
        <v>1992</v>
      </c>
      <c r="N537" t="n">
        <v>1992</v>
      </c>
      <c r="O537" t="s">
        <v>1016</v>
      </c>
      <c r="P537" t="n">
        <v>1</v>
      </c>
      <c r="Q537" t="n">
        <v>1</v>
      </c>
      <c r="R537" t="n">
        <v>1</v>
      </c>
      <c r="S537" t="n">
        <v>1991</v>
      </c>
      <c r="T537" t="s">
        <v>3142</v>
      </c>
      <c r="U537" t="s">
        <v>3143</v>
      </c>
      <c r="V537" t="s">
        <v>74</v>
      </c>
      <c r="W537"/>
      <c r="X537"/>
      <c r="Y537"/>
      <c r="Z537"/>
      <c r="AA537"/>
      <c r="AB537" t="s">
        <v>3144</v>
      </c>
      <c r="AC537" t="n">
        <v>194</v>
      </c>
      <c r="AD537"/>
      <c r="AE537"/>
      <c r="AF537" t="s">
        <v>3124</v>
      </c>
      <c r="AG537" t="n">
        <v>195</v>
      </c>
    </row>
    <row r="538">
      <c r="A538" t="s">
        <v>3145</v>
      </c>
      <c r="B538" t="s">
        <v>31</v>
      </c>
      <c r="C538" t="s">
        <v>65</v>
      </c>
      <c r="D538" t="s">
        <v>3146</v>
      </c>
      <c r="E538" t="s">
        <v>3113</v>
      </c>
      <c r="F538" t="s">
        <v>3114</v>
      </c>
      <c r="G538" t="s">
        <v>3115</v>
      </c>
      <c r="H538" t="n">
        <v>37.2804745539641</v>
      </c>
      <c r="I538" t="n">
        <v>-107.873096221665</v>
      </c>
      <c r="J538" t="s">
        <v>35</v>
      </c>
      <c r="K538" t="s">
        <v>120</v>
      </c>
      <c r="L538"/>
      <c r="M538" t="n">
        <v>1992</v>
      </c>
      <c r="N538" t="n">
        <v>1992</v>
      </c>
      <c r="O538" t="s">
        <v>1016</v>
      </c>
      <c r="P538" t="n">
        <v>1</v>
      </c>
      <c r="Q538" t="n">
        <v>1</v>
      </c>
      <c r="R538" t="n">
        <v>1</v>
      </c>
      <c r="S538" t="n">
        <v>1987</v>
      </c>
      <c r="T538" t="s">
        <v>3147</v>
      </c>
      <c r="U538" t="s">
        <v>3148</v>
      </c>
      <c r="V538" t="s">
        <v>74</v>
      </c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3149</v>
      </c>
      <c r="B539" t="s">
        <v>31</v>
      </c>
      <c r="C539" t="s">
        <v>65</v>
      </c>
      <c r="D539" t="s">
        <v>3150</v>
      </c>
      <c r="E539" t="s">
        <v>3151</v>
      </c>
      <c r="F539" t="s">
        <v>3152</v>
      </c>
      <c r="G539"/>
      <c r="H539" t="n">
        <v>40.3584089166667</v>
      </c>
      <c r="I539" t="n">
        <v>-105.07371875</v>
      </c>
      <c r="J539" t="s">
        <v>35</v>
      </c>
      <c r="K539" t="s">
        <v>141</v>
      </c>
      <c r="L539"/>
      <c r="M539" t="n">
        <v>1965</v>
      </c>
      <c r="N539" t="n">
        <v>1973</v>
      </c>
      <c r="O539" t="s">
        <v>3153</v>
      </c>
      <c r="P539" t="n">
        <v>3</v>
      </c>
      <c r="Q539" t="n">
        <v>2</v>
      </c>
      <c r="R539" t="n">
        <v>2</v>
      </c>
      <c r="S539" t="n">
        <v>1964</v>
      </c>
      <c r="T539" t="s">
        <v>3154</v>
      </c>
      <c r="U539" t="s">
        <v>3155</v>
      </c>
      <c r="V539" t="s">
        <v>74</v>
      </c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3156</v>
      </c>
      <c r="B540" t="s">
        <v>31</v>
      </c>
      <c r="C540" t="s">
        <v>65</v>
      </c>
      <c r="D540" t="s">
        <v>3157</v>
      </c>
      <c r="E540" t="s">
        <v>3151</v>
      </c>
      <c r="F540" t="s">
        <v>3152</v>
      </c>
      <c r="G540"/>
      <c r="H540" t="n">
        <v>40.4063348571429</v>
      </c>
      <c r="I540" t="n">
        <v>-105.070447142857</v>
      </c>
      <c r="J540" t="s">
        <v>35</v>
      </c>
      <c r="K540" t="s">
        <v>120</v>
      </c>
      <c r="L540"/>
      <c r="M540" t="n">
        <v>1965</v>
      </c>
      <c r="N540" t="n">
        <v>1965</v>
      </c>
      <c r="O540" t="s">
        <v>1275</v>
      </c>
      <c r="P540" t="n">
        <v>1</v>
      </c>
      <c r="Q540" t="n">
        <v>1</v>
      </c>
      <c r="R540" t="n">
        <v>1</v>
      </c>
      <c r="S540"/>
      <c r="T540" t="s">
        <v>3158</v>
      </c>
      <c r="U540" t="s">
        <v>3159</v>
      </c>
      <c r="V540" t="s">
        <v>74</v>
      </c>
      <c r="W540"/>
      <c r="X540"/>
      <c r="Y540"/>
      <c r="Z540"/>
      <c r="AA540"/>
      <c r="AB540"/>
      <c r="AC540"/>
      <c r="AD540"/>
      <c r="AE540"/>
      <c r="AF540" t="s">
        <v>3160</v>
      </c>
      <c r="AG540" t="n">
        <v>187</v>
      </c>
    </row>
    <row r="541">
      <c r="A541" t="s">
        <v>3161</v>
      </c>
      <c r="B541" t="s">
        <v>31</v>
      </c>
      <c r="C541" t="s">
        <v>65</v>
      </c>
      <c r="D541" t="s">
        <v>3162</v>
      </c>
      <c r="E541" t="s">
        <v>3151</v>
      </c>
      <c r="F541" t="s">
        <v>3152</v>
      </c>
      <c r="G541" t="s">
        <v>3163</v>
      </c>
      <c r="H541" t="n">
        <v>40.3945792422844</v>
      </c>
      <c r="I541" t="n">
        <v>-105.075933574515</v>
      </c>
      <c r="J541" t="s">
        <v>35</v>
      </c>
      <c r="K541" t="s">
        <v>141</v>
      </c>
      <c r="L541"/>
      <c r="M541" t="n">
        <v>1965</v>
      </c>
      <c r="N541" t="n">
        <v>1990</v>
      </c>
      <c r="O541" t="s">
        <v>1283</v>
      </c>
      <c r="P541" t="n">
        <v>6</v>
      </c>
      <c r="Q541" t="n">
        <v>2</v>
      </c>
      <c r="R541" t="n">
        <v>1</v>
      </c>
      <c r="S541" t="n">
        <v>1946</v>
      </c>
      <c r="T541" t="s">
        <v>3164</v>
      </c>
      <c r="U541" t="s">
        <v>3165</v>
      </c>
      <c r="V541" t="s">
        <v>74</v>
      </c>
      <c r="W541"/>
      <c r="X541"/>
      <c r="Y541"/>
      <c r="Z541"/>
      <c r="AA541"/>
      <c r="AB541" t="s">
        <v>3166</v>
      </c>
      <c r="AC541" t="n">
        <v>108</v>
      </c>
      <c r="AD541"/>
      <c r="AE541"/>
      <c r="AF541" t="s">
        <v>3167</v>
      </c>
      <c r="AG541" t="n">
        <v>158</v>
      </c>
    </row>
    <row r="542">
      <c r="A542" t="s">
        <v>3168</v>
      </c>
      <c r="B542" t="s">
        <v>31</v>
      </c>
      <c r="C542" t="s">
        <v>65</v>
      </c>
      <c r="D542" t="s">
        <v>3169</v>
      </c>
      <c r="E542" t="s">
        <v>3170</v>
      </c>
      <c r="F542" t="s">
        <v>3152</v>
      </c>
      <c r="G542" t="s">
        <v>3171</v>
      </c>
      <c r="H542" t="n">
        <v>40.6038620301508</v>
      </c>
      <c r="I542" t="n">
        <v>-105.088357768844</v>
      </c>
      <c r="J542" t="s">
        <v>35</v>
      </c>
      <c r="K542" t="s">
        <v>89</v>
      </c>
      <c r="L542"/>
      <c r="M542" t="n">
        <v>1967</v>
      </c>
      <c r="N542" t="n">
        <v>1968</v>
      </c>
      <c r="O542" t="s">
        <v>106</v>
      </c>
      <c r="P542" t="n">
        <v>2</v>
      </c>
      <c r="Q542" t="n">
        <v>2</v>
      </c>
      <c r="R542" t="n">
        <v>2</v>
      </c>
      <c r="S542" t="n">
        <v>1964</v>
      </c>
      <c r="T542" t="s">
        <v>3172</v>
      </c>
      <c r="U542" t="s">
        <v>3173</v>
      </c>
      <c r="V542" t="s">
        <v>74</v>
      </c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3174</v>
      </c>
      <c r="B543" t="s">
        <v>31</v>
      </c>
      <c r="C543" t="s">
        <v>65</v>
      </c>
      <c r="D543" t="s">
        <v>3175</v>
      </c>
      <c r="E543" t="s">
        <v>3151</v>
      </c>
      <c r="F543" t="s">
        <v>3152</v>
      </c>
      <c r="G543" t="s">
        <v>3163</v>
      </c>
      <c r="H543" t="n">
        <v>40.3829619936082</v>
      </c>
      <c r="I543" t="n">
        <v>-105.073511099002</v>
      </c>
      <c r="J543" t="s">
        <v>35</v>
      </c>
      <c r="K543" t="s">
        <v>70</v>
      </c>
      <c r="L543"/>
      <c r="M543" t="n">
        <v>1968</v>
      </c>
      <c r="N543" t="n">
        <v>1968</v>
      </c>
      <c r="O543" t="s">
        <v>1349</v>
      </c>
      <c r="P543" t="n">
        <v>1</v>
      </c>
      <c r="Q543" t="n">
        <v>1</v>
      </c>
      <c r="R543" t="n">
        <v>1</v>
      </c>
      <c r="S543" t="n">
        <v>1966</v>
      </c>
      <c r="T543" t="s">
        <v>3176</v>
      </c>
      <c r="U543" t="s">
        <v>3177</v>
      </c>
      <c r="V543" t="s">
        <v>74</v>
      </c>
      <c r="W543"/>
      <c r="X543"/>
      <c r="Y543"/>
      <c r="Z543"/>
      <c r="AA543"/>
      <c r="AB543" t="s">
        <v>3178</v>
      </c>
      <c r="AC543" t="n">
        <v>80</v>
      </c>
      <c r="AD543" t="s">
        <v>3179</v>
      </c>
      <c r="AE543" t="n">
        <v>220</v>
      </c>
      <c r="AF543" t="s">
        <v>1259</v>
      </c>
      <c r="AG543" t="n">
        <v>98</v>
      </c>
    </row>
    <row r="544">
      <c r="A544" t="s">
        <v>3180</v>
      </c>
      <c r="B544" t="s">
        <v>31</v>
      </c>
      <c r="C544" t="s">
        <v>65</v>
      </c>
      <c r="D544" t="s">
        <v>3181</v>
      </c>
      <c r="E544" t="s">
        <v>3170</v>
      </c>
      <c r="F544" t="s">
        <v>3152</v>
      </c>
      <c r="G544" t="s">
        <v>3171</v>
      </c>
      <c r="H544" t="n">
        <v>40.5814596454515</v>
      </c>
      <c r="I544" t="n">
        <v>-105.055263057089</v>
      </c>
      <c r="J544" t="s">
        <v>35</v>
      </c>
      <c r="K544" t="s">
        <v>120</v>
      </c>
      <c r="L544"/>
      <c r="M544" t="n">
        <v>1970</v>
      </c>
      <c r="N544" t="n">
        <v>1970</v>
      </c>
      <c r="O544" t="s">
        <v>726</v>
      </c>
      <c r="P544" t="n">
        <v>1</v>
      </c>
      <c r="Q544" t="n">
        <v>1</v>
      </c>
      <c r="R544" t="n">
        <v>1</v>
      </c>
      <c r="S544" t="n">
        <v>1946</v>
      </c>
      <c r="T544" t="s">
        <v>3182</v>
      </c>
      <c r="U544" t="s">
        <v>3183</v>
      </c>
      <c r="V544" t="s">
        <v>74</v>
      </c>
      <c r="W544"/>
      <c r="X544"/>
      <c r="Y544"/>
      <c r="Z544"/>
      <c r="AA544"/>
      <c r="AB544"/>
      <c r="AC544"/>
      <c r="AD544"/>
      <c r="AE544"/>
      <c r="AF544" t="s">
        <v>3184</v>
      </c>
      <c r="AG544" t="n">
        <v>87</v>
      </c>
    </row>
    <row r="545">
      <c r="A545" t="s">
        <v>3185</v>
      </c>
      <c r="B545" t="s">
        <v>31</v>
      </c>
      <c r="C545" t="s">
        <v>65</v>
      </c>
      <c r="D545" t="s">
        <v>3186</v>
      </c>
      <c r="E545" t="s">
        <v>3187</v>
      </c>
      <c r="F545" t="s">
        <v>3152</v>
      </c>
      <c r="G545" t="s">
        <v>3188</v>
      </c>
      <c r="H545" t="n">
        <v>40.3761411964531</v>
      </c>
      <c r="I545" t="n">
        <v>-105.525460477125</v>
      </c>
      <c r="J545" t="s">
        <v>35</v>
      </c>
      <c r="K545" t="s">
        <v>70</v>
      </c>
      <c r="L545"/>
      <c r="M545" t="n">
        <v>1973</v>
      </c>
      <c r="N545" t="n">
        <v>1980</v>
      </c>
      <c r="O545" t="s">
        <v>228</v>
      </c>
      <c r="P545" t="n">
        <v>4</v>
      </c>
      <c r="Q545" t="n">
        <v>3</v>
      </c>
      <c r="R545" t="n">
        <v>1</v>
      </c>
      <c r="S545" t="n">
        <v>1934</v>
      </c>
      <c r="T545" t="s">
        <v>3189</v>
      </c>
      <c r="U545" t="s">
        <v>3190</v>
      </c>
      <c r="V545" t="s">
        <v>74</v>
      </c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3191</v>
      </c>
      <c r="B546" t="s">
        <v>31</v>
      </c>
      <c r="C546" t="s">
        <v>65</v>
      </c>
      <c r="D546" t="s">
        <v>3192</v>
      </c>
      <c r="E546" t="s">
        <v>3170</v>
      </c>
      <c r="F546" t="s">
        <v>3152</v>
      </c>
      <c r="G546" t="s">
        <v>3171</v>
      </c>
      <c r="H546" t="n">
        <v>40.5813476148429</v>
      </c>
      <c r="I546" t="n">
        <v>-105.022866022921</v>
      </c>
      <c r="J546" t="s">
        <v>35</v>
      </c>
      <c r="K546" t="s">
        <v>133</v>
      </c>
      <c r="L546"/>
      <c r="M546" t="n">
        <v>1973</v>
      </c>
      <c r="N546" t="n">
        <v>1973</v>
      </c>
      <c r="O546" t="s">
        <v>121</v>
      </c>
      <c r="P546" t="n">
        <v>1</v>
      </c>
      <c r="Q546" t="n">
        <v>1</v>
      </c>
      <c r="R546" t="n">
        <v>1</v>
      </c>
      <c r="S546" t="n">
        <v>1966</v>
      </c>
      <c r="T546" t="s">
        <v>3193</v>
      </c>
      <c r="U546" t="s">
        <v>3194</v>
      </c>
      <c r="V546" t="s">
        <v>74</v>
      </c>
      <c r="W546"/>
      <c r="X546"/>
      <c r="Y546"/>
      <c r="Z546"/>
      <c r="AA546"/>
      <c r="AB546"/>
      <c r="AC546"/>
      <c r="AD546"/>
      <c r="AE546"/>
      <c r="AF546" t="s">
        <v>3195</v>
      </c>
      <c r="AG546" t="n">
        <v>155</v>
      </c>
    </row>
    <row r="547">
      <c r="A547" t="s">
        <v>3196</v>
      </c>
      <c r="B547" t="s">
        <v>31</v>
      </c>
      <c r="C547" t="s">
        <v>65</v>
      </c>
      <c r="D547" t="s">
        <v>3197</v>
      </c>
      <c r="E547" t="s">
        <v>3151</v>
      </c>
      <c r="F547" t="s">
        <v>3152</v>
      </c>
      <c r="G547" t="s">
        <v>3163</v>
      </c>
      <c r="H547" t="n">
        <v>40.392602020202</v>
      </c>
      <c r="I547" t="n">
        <v>-105.073246116162</v>
      </c>
      <c r="J547" t="s">
        <v>35</v>
      </c>
      <c r="K547" t="s">
        <v>70</v>
      </c>
      <c r="L547"/>
      <c r="M547" t="n">
        <v>1973</v>
      </c>
      <c r="N547" t="n">
        <v>1980</v>
      </c>
      <c r="O547" t="s">
        <v>255</v>
      </c>
      <c r="P547" t="n">
        <v>2</v>
      </c>
      <c r="Q547" t="n">
        <v>2</v>
      </c>
      <c r="R547" t="n">
        <v>1</v>
      </c>
      <c r="S547" t="n">
        <v>1966</v>
      </c>
      <c r="T547" t="s">
        <v>3198</v>
      </c>
      <c r="U547" t="s">
        <v>3199</v>
      </c>
      <c r="V547" t="s">
        <v>74</v>
      </c>
      <c r="W547"/>
      <c r="X547"/>
      <c r="Y547"/>
      <c r="Z547"/>
      <c r="AA547"/>
      <c r="AB547" t="s">
        <v>3200</v>
      </c>
      <c r="AC547" t="n">
        <v>129</v>
      </c>
      <c r="AD547"/>
      <c r="AE547"/>
      <c r="AF547" t="s">
        <v>3201</v>
      </c>
      <c r="AG547" t="n">
        <v>128</v>
      </c>
    </row>
    <row r="548">
      <c r="A548" t="s">
        <v>3202</v>
      </c>
      <c r="B548" t="s">
        <v>31</v>
      </c>
      <c r="C548" t="s">
        <v>65</v>
      </c>
      <c r="D548" t="s">
        <v>3203</v>
      </c>
      <c r="E548" t="s">
        <v>3151</v>
      </c>
      <c r="F548" t="s">
        <v>3152</v>
      </c>
      <c r="G548" t="s">
        <v>3163</v>
      </c>
      <c r="H548" t="n">
        <v>40.4072192390776</v>
      </c>
      <c r="I548" t="n">
        <v>-105.126030862547</v>
      </c>
      <c r="J548" t="s">
        <v>35</v>
      </c>
      <c r="K548" t="s">
        <v>120</v>
      </c>
      <c r="L548"/>
      <c r="M548" t="n">
        <v>1973</v>
      </c>
      <c r="N548" t="n">
        <v>1992</v>
      </c>
      <c r="O548" t="s">
        <v>1016</v>
      </c>
      <c r="P548" t="n">
        <v>6</v>
      </c>
      <c r="Q548" t="n">
        <v>3</v>
      </c>
      <c r="R548" t="n">
        <v>1</v>
      </c>
      <c r="S548" t="n">
        <v>1953</v>
      </c>
      <c r="T548" t="s">
        <v>3204</v>
      </c>
      <c r="U548" t="s">
        <v>3205</v>
      </c>
      <c r="V548" t="s">
        <v>74</v>
      </c>
      <c r="W548"/>
      <c r="X548"/>
      <c r="Y548"/>
      <c r="Z548"/>
      <c r="AA548"/>
      <c r="AB548"/>
      <c r="AC548"/>
      <c r="AD548"/>
      <c r="AE548"/>
      <c r="AF548" t="s">
        <v>3206</v>
      </c>
      <c r="AG548" t="n">
        <v>142</v>
      </c>
    </row>
    <row r="549">
      <c r="A549" t="s">
        <v>3207</v>
      </c>
      <c r="B549" t="s">
        <v>31</v>
      </c>
      <c r="C549" t="s">
        <v>65</v>
      </c>
      <c r="D549" t="s">
        <v>3208</v>
      </c>
      <c r="E549" t="s">
        <v>3209</v>
      </c>
      <c r="F549" t="s">
        <v>3152</v>
      </c>
      <c r="G549" t="s">
        <v>3210</v>
      </c>
      <c r="H549" t="n">
        <v>40.531563</v>
      </c>
      <c r="I549" t="n">
        <v>-104.982292</v>
      </c>
      <c r="J549" t="s">
        <v>35</v>
      </c>
      <c r="K549" t="s">
        <v>270</v>
      </c>
      <c r="L549"/>
      <c r="M549" t="n">
        <v>1973</v>
      </c>
      <c r="N549" t="n">
        <v>1990</v>
      </c>
      <c r="O549" t="s">
        <v>3211</v>
      </c>
      <c r="P549" t="n">
        <v>6</v>
      </c>
      <c r="Q549" t="n">
        <v>3</v>
      </c>
      <c r="R549" t="n">
        <v>2</v>
      </c>
      <c r="S549" t="n">
        <v>1965</v>
      </c>
      <c r="T549" t="s">
        <v>3212</v>
      </c>
      <c r="U549" t="s">
        <v>3213</v>
      </c>
      <c r="V549" t="s">
        <v>74</v>
      </c>
      <c r="W549"/>
      <c r="X549"/>
      <c r="Y549"/>
      <c r="Z549"/>
      <c r="AA549"/>
      <c r="AB549"/>
      <c r="AC549"/>
      <c r="AD549" t="s">
        <v>3214</v>
      </c>
      <c r="AE549" t="n">
        <v>168</v>
      </c>
      <c r="AF549"/>
      <c r="AG549"/>
    </row>
    <row r="550">
      <c r="A550" t="s">
        <v>3215</v>
      </c>
      <c r="B550" t="s">
        <v>31</v>
      </c>
      <c r="C550" t="s">
        <v>65</v>
      </c>
      <c r="D550" t="s">
        <v>3216</v>
      </c>
      <c r="E550" t="s">
        <v>3151</v>
      </c>
      <c r="F550" t="s">
        <v>3152</v>
      </c>
      <c r="G550" t="s">
        <v>3163</v>
      </c>
      <c r="H550" t="n">
        <v>40.4073294719101</v>
      </c>
      <c r="I550" t="n">
        <v>-105.138195202247</v>
      </c>
      <c r="J550" t="s">
        <v>35</v>
      </c>
      <c r="K550" t="s">
        <v>133</v>
      </c>
      <c r="L550"/>
      <c r="M550" t="n">
        <v>1974</v>
      </c>
      <c r="N550" t="n">
        <v>1983</v>
      </c>
      <c r="O550" t="s">
        <v>3217</v>
      </c>
      <c r="P550" t="n">
        <v>3</v>
      </c>
      <c r="Q550" t="n">
        <v>2</v>
      </c>
      <c r="R550" t="n">
        <v>1</v>
      </c>
      <c r="S550" t="n">
        <v>1966</v>
      </c>
      <c r="T550" t="s">
        <v>3218</v>
      </c>
      <c r="U550" t="s">
        <v>3219</v>
      </c>
      <c r="V550" t="s">
        <v>74</v>
      </c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3220</v>
      </c>
      <c r="B551" t="s">
        <v>31</v>
      </c>
      <c r="C551" t="s">
        <v>65</v>
      </c>
      <c r="D551" t="s">
        <v>3221</v>
      </c>
      <c r="E551" t="s">
        <v>3151</v>
      </c>
      <c r="F551" t="s">
        <v>3152</v>
      </c>
      <c r="G551" t="s">
        <v>3163</v>
      </c>
      <c r="H551" t="n">
        <v>40.3923153080612</v>
      </c>
      <c r="I551" t="n">
        <v>-105.107771913192</v>
      </c>
      <c r="J551" t="s">
        <v>35</v>
      </c>
      <c r="K551" t="s">
        <v>70</v>
      </c>
      <c r="L551"/>
      <c r="M551" t="n">
        <v>1974</v>
      </c>
      <c r="N551" t="n">
        <v>1992</v>
      </c>
      <c r="O551" t="s">
        <v>1949</v>
      </c>
      <c r="P551" t="n">
        <v>6</v>
      </c>
      <c r="Q551" t="n">
        <v>4</v>
      </c>
      <c r="R551" t="n">
        <v>2</v>
      </c>
      <c r="S551" t="n">
        <v>1962</v>
      </c>
      <c r="T551" t="s">
        <v>3222</v>
      </c>
      <c r="U551" t="s">
        <v>3223</v>
      </c>
      <c r="V551" t="s">
        <v>74</v>
      </c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3224</v>
      </c>
      <c r="B552" t="s">
        <v>31</v>
      </c>
      <c r="C552" t="s">
        <v>65</v>
      </c>
      <c r="D552" t="s">
        <v>3225</v>
      </c>
      <c r="E552" t="s">
        <v>3170</v>
      </c>
      <c r="F552" t="s">
        <v>3152</v>
      </c>
      <c r="G552" t="s">
        <v>3171</v>
      </c>
      <c r="H552" t="n">
        <v>40.589936</v>
      </c>
      <c r="I552" t="n">
        <v>-105.075529</v>
      </c>
      <c r="J552" t="s">
        <v>35</v>
      </c>
      <c r="K552" t="s">
        <v>120</v>
      </c>
      <c r="L552"/>
      <c r="M552" t="n">
        <v>1977</v>
      </c>
      <c r="N552" t="n">
        <v>1977</v>
      </c>
      <c r="O552" t="s">
        <v>228</v>
      </c>
      <c r="P552" t="n">
        <v>1</v>
      </c>
      <c r="Q552" t="n">
        <v>1</v>
      </c>
      <c r="R552" t="n">
        <v>1</v>
      </c>
      <c r="S552" t="n">
        <v>1976</v>
      </c>
      <c r="T552" t="s">
        <v>3226</v>
      </c>
      <c r="U552" t="s">
        <v>3227</v>
      </c>
      <c r="V552" t="s">
        <v>74</v>
      </c>
      <c r="W552"/>
      <c r="X552"/>
      <c r="Y552"/>
      <c r="Z552"/>
      <c r="AA552"/>
      <c r="AB552" t="s">
        <v>3228</v>
      </c>
      <c r="AC552" t="n">
        <v>167</v>
      </c>
      <c r="AD552"/>
      <c r="AE552"/>
      <c r="AF552" t="s">
        <v>3229</v>
      </c>
      <c r="AG552" t="n">
        <v>144</v>
      </c>
    </row>
    <row r="553">
      <c r="A553" t="s">
        <v>3230</v>
      </c>
      <c r="B553" t="s">
        <v>31</v>
      </c>
      <c r="C553" t="s">
        <v>65</v>
      </c>
      <c r="D553" t="s">
        <v>3231</v>
      </c>
      <c r="E553" t="s">
        <v>3170</v>
      </c>
      <c r="F553" t="s">
        <v>3152</v>
      </c>
      <c r="G553" t="s">
        <v>3232</v>
      </c>
      <c r="H553" t="n">
        <v>40.5993356122449</v>
      </c>
      <c r="I553" t="n">
        <v>-105.090852653061</v>
      </c>
      <c r="J553" t="s">
        <v>35</v>
      </c>
      <c r="K553" t="s">
        <v>70</v>
      </c>
      <c r="L553"/>
      <c r="M553" t="n">
        <v>1977</v>
      </c>
      <c r="N553" t="n">
        <v>1980</v>
      </c>
      <c r="O553" t="s">
        <v>1949</v>
      </c>
      <c r="P553" t="n">
        <v>2</v>
      </c>
      <c r="Q553" t="n">
        <v>2</v>
      </c>
      <c r="R553" t="n">
        <v>2</v>
      </c>
      <c r="S553" t="n">
        <v>1972</v>
      </c>
      <c r="T553" t="s">
        <v>3233</v>
      </c>
      <c r="U553" t="s">
        <v>3234</v>
      </c>
      <c r="V553" t="s">
        <v>74</v>
      </c>
      <c r="W553"/>
      <c r="X553"/>
      <c r="Y553"/>
      <c r="Z553"/>
      <c r="AA553"/>
      <c r="AB553"/>
      <c r="AC553"/>
      <c r="AD553"/>
      <c r="AE553"/>
      <c r="AF553" t="s">
        <v>3235</v>
      </c>
      <c r="AG553" t="n">
        <v>115</v>
      </c>
    </row>
    <row r="554">
      <c r="A554" t="s">
        <v>3236</v>
      </c>
      <c r="B554" t="s">
        <v>31</v>
      </c>
      <c r="C554" t="s">
        <v>65</v>
      </c>
      <c r="D554" t="s">
        <v>3237</v>
      </c>
      <c r="E554" t="s">
        <v>3170</v>
      </c>
      <c r="F554" t="s">
        <v>3152</v>
      </c>
      <c r="G554" t="s">
        <v>3171</v>
      </c>
      <c r="H554" t="n">
        <v>40.5821720508216</v>
      </c>
      <c r="I554" t="n">
        <v>-105.03957323349</v>
      </c>
      <c r="J554" t="s">
        <v>35</v>
      </c>
      <c r="K554" t="s">
        <v>81</v>
      </c>
      <c r="L554"/>
      <c r="M554" t="n">
        <v>1977</v>
      </c>
      <c r="N554" t="n">
        <v>1983</v>
      </c>
      <c r="O554" t="s">
        <v>829</v>
      </c>
      <c r="P554" t="n">
        <v>3</v>
      </c>
      <c r="Q554" t="n">
        <v>4</v>
      </c>
      <c r="R554" t="n">
        <v>3</v>
      </c>
      <c r="S554" t="n">
        <v>1961</v>
      </c>
      <c r="T554" t="s">
        <v>3238</v>
      </c>
      <c r="U554" t="s">
        <v>3239</v>
      </c>
      <c r="V554" t="s">
        <v>74</v>
      </c>
      <c r="W554"/>
      <c r="X554"/>
      <c r="Y554"/>
      <c r="Z554"/>
      <c r="AA554"/>
      <c r="AB554"/>
      <c r="AC554"/>
      <c r="AD554"/>
      <c r="AE554"/>
      <c r="AF554" t="s">
        <v>3240</v>
      </c>
      <c r="AG554" t="n">
        <v>101</v>
      </c>
    </row>
    <row r="555">
      <c r="A555" t="s">
        <v>3241</v>
      </c>
      <c r="B555" t="s">
        <v>31</v>
      </c>
      <c r="C555" t="s">
        <v>65</v>
      </c>
      <c r="D555" t="s">
        <v>3242</v>
      </c>
      <c r="E555" t="s">
        <v>3170</v>
      </c>
      <c r="F555" t="s">
        <v>3152</v>
      </c>
      <c r="G555" t="s">
        <v>3171</v>
      </c>
      <c r="H555" t="n">
        <v>40.5670541428571</v>
      </c>
      <c r="I555" t="n">
        <v>-105.060725761905</v>
      </c>
      <c r="J555" t="s">
        <v>35</v>
      </c>
      <c r="K555" t="s">
        <v>120</v>
      </c>
      <c r="L555"/>
      <c r="M555" t="n">
        <v>1977</v>
      </c>
      <c r="N555" t="n">
        <v>1980</v>
      </c>
      <c r="O555" t="s">
        <v>1949</v>
      </c>
      <c r="P555" t="n">
        <v>2</v>
      </c>
      <c r="Q555" t="n">
        <v>2</v>
      </c>
      <c r="R555" t="n">
        <v>2</v>
      </c>
      <c r="S555" t="n">
        <v>1967</v>
      </c>
      <c r="T555" t="s">
        <v>3243</v>
      </c>
      <c r="U555" t="s">
        <v>3244</v>
      </c>
      <c r="V555" t="s">
        <v>74</v>
      </c>
      <c r="W555"/>
      <c r="X555"/>
      <c r="Y555"/>
      <c r="Z555"/>
      <c r="AA555"/>
      <c r="AB555"/>
      <c r="AC555"/>
      <c r="AD555"/>
      <c r="AE555"/>
      <c r="AF555" t="s">
        <v>3245</v>
      </c>
      <c r="AG555" t="n">
        <v>243</v>
      </c>
    </row>
    <row r="556">
      <c r="A556" t="s">
        <v>3246</v>
      </c>
      <c r="B556" t="s">
        <v>31</v>
      </c>
      <c r="C556" t="s">
        <v>65</v>
      </c>
      <c r="D556" t="s">
        <v>3247</v>
      </c>
      <c r="E556" t="s">
        <v>3170</v>
      </c>
      <c r="F556" t="s">
        <v>3152</v>
      </c>
      <c r="G556" t="s">
        <v>3171</v>
      </c>
      <c r="H556" t="n">
        <v>40.5678920180689</v>
      </c>
      <c r="I556" t="n">
        <v>-105.045035433041</v>
      </c>
      <c r="J556" t="s">
        <v>35</v>
      </c>
      <c r="K556" t="s">
        <v>133</v>
      </c>
      <c r="L556"/>
      <c r="M556" t="n">
        <v>1977</v>
      </c>
      <c r="N556" t="n">
        <v>1990</v>
      </c>
      <c r="O556" t="s">
        <v>3248</v>
      </c>
      <c r="P556" t="n">
        <v>3</v>
      </c>
      <c r="Q556" t="n">
        <v>2</v>
      </c>
      <c r="R556" t="n">
        <v>2</v>
      </c>
      <c r="S556" t="n">
        <v>1966</v>
      </c>
      <c r="T556" t="s">
        <v>3249</v>
      </c>
      <c r="U556" t="s">
        <v>3250</v>
      </c>
      <c r="V556" t="s">
        <v>74</v>
      </c>
      <c r="W556"/>
      <c r="X556"/>
      <c r="Y556"/>
      <c r="Z556"/>
      <c r="AA556"/>
      <c r="AB556"/>
      <c r="AC556"/>
      <c r="AD556"/>
      <c r="AE556"/>
      <c r="AF556" t="s">
        <v>3251</v>
      </c>
      <c r="AG556" t="n">
        <v>110</v>
      </c>
    </row>
    <row r="557">
      <c r="A557" t="s">
        <v>3252</v>
      </c>
      <c r="B557" t="s">
        <v>31</v>
      </c>
      <c r="C557" t="s">
        <v>65</v>
      </c>
      <c r="D557" t="s">
        <v>3253</v>
      </c>
      <c r="E557" t="s">
        <v>3170</v>
      </c>
      <c r="F557" t="s">
        <v>3152</v>
      </c>
      <c r="G557" t="s">
        <v>3171</v>
      </c>
      <c r="H557" t="n">
        <v>40.5870647346939</v>
      </c>
      <c r="I557" t="n">
        <v>-105.086412918367</v>
      </c>
      <c r="J557" t="s">
        <v>35</v>
      </c>
      <c r="K557" t="s">
        <v>133</v>
      </c>
      <c r="L557"/>
      <c r="M557" t="n">
        <v>1977</v>
      </c>
      <c r="N557" t="n">
        <v>1980</v>
      </c>
      <c r="O557" t="s">
        <v>228</v>
      </c>
      <c r="P557" t="n">
        <v>2</v>
      </c>
      <c r="Q557" t="n">
        <v>1</v>
      </c>
      <c r="R557" t="n">
        <v>1</v>
      </c>
      <c r="S557" t="n">
        <v>1958</v>
      </c>
      <c r="T557" t="s">
        <v>3254</v>
      </c>
      <c r="U557" t="s">
        <v>3255</v>
      </c>
      <c r="V557" t="s">
        <v>74</v>
      </c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3256</v>
      </c>
      <c r="B558" t="s">
        <v>31</v>
      </c>
      <c r="C558" t="s">
        <v>65</v>
      </c>
      <c r="D558" t="s">
        <v>3257</v>
      </c>
      <c r="E558" t="s">
        <v>3170</v>
      </c>
      <c r="F558" t="s">
        <v>3152</v>
      </c>
      <c r="G558" t="s">
        <v>3171</v>
      </c>
      <c r="H558" t="n">
        <v>40.5813421439733</v>
      </c>
      <c r="I558" t="n">
        <v>-105.022451686942</v>
      </c>
      <c r="J558" t="s">
        <v>35</v>
      </c>
      <c r="K558" t="s">
        <v>133</v>
      </c>
      <c r="L558"/>
      <c r="M558" t="n">
        <v>1977</v>
      </c>
      <c r="N558" t="n">
        <v>1983</v>
      </c>
      <c r="O558" t="s">
        <v>829</v>
      </c>
      <c r="P558" t="n">
        <v>3</v>
      </c>
      <c r="Q558" t="n">
        <v>2</v>
      </c>
      <c r="R558" t="n">
        <v>2</v>
      </c>
      <c r="S558" t="n">
        <v>1976</v>
      </c>
      <c r="T558" t="s">
        <v>3258</v>
      </c>
      <c r="U558" t="s">
        <v>3259</v>
      </c>
      <c r="V558" t="s">
        <v>74</v>
      </c>
      <c r="W558"/>
      <c r="X558"/>
      <c r="Y558"/>
      <c r="Z558"/>
      <c r="AA558"/>
      <c r="AB558"/>
      <c r="AC558"/>
      <c r="AD558"/>
      <c r="AE558"/>
      <c r="AF558" t="s">
        <v>3195</v>
      </c>
      <c r="AG558" t="n">
        <v>120</v>
      </c>
    </row>
    <row r="559">
      <c r="A559" t="s">
        <v>3260</v>
      </c>
      <c r="B559" t="s">
        <v>31</v>
      </c>
      <c r="C559" t="s">
        <v>65</v>
      </c>
      <c r="D559" t="s">
        <v>3261</v>
      </c>
      <c r="E559" t="s">
        <v>3170</v>
      </c>
      <c r="F559" t="s">
        <v>3152</v>
      </c>
      <c r="G559" t="s">
        <v>3171</v>
      </c>
      <c r="H559" t="n">
        <v>40.5851175280774</v>
      </c>
      <c r="I559" t="n">
        <v>-105.03965907402</v>
      </c>
      <c r="J559" t="s">
        <v>35</v>
      </c>
      <c r="K559" t="s">
        <v>70</v>
      </c>
      <c r="L559"/>
      <c r="M559" t="n">
        <v>1977</v>
      </c>
      <c r="N559" t="n">
        <v>1980</v>
      </c>
      <c r="O559" t="s">
        <v>1949</v>
      </c>
      <c r="P559" t="n">
        <v>2</v>
      </c>
      <c r="Q559" t="n">
        <v>2</v>
      </c>
      <c r="R559" t="n">
        <v>2</v>
      </c>
      <c r="S559" t="n">
        <v>1970</v>
      </c>
      <c r="T559" t="s">
        <v>3262</v>
      </c>
      <c r="U559" t="s">
        <v>3263</v>
      </c>
      <c r="V559" t="s">
        <v>74</v>
      </c>
      <c r="W559"/>
      <c r="X559"/>
      <c r="Y559"/>
      <c r="Z559"/>
      <c r="AA559"/>
      <c r="AB559"/>
      <c r="AC559"/>
      <c r="AD559"/>
      <c r="AE559"/>
      <c r="AF559" t="s">
        <v>3264</v>
      </c>
      <c r="AG559" t="n">
        <v>44</v>
      </c>
    </row>
    <row r="560">
      <c r="A560" t="s">
        <v>3265</v>
      </c>
      <c r="B560" t="s">
        <v>31</v>
      </c>
      <c r="C560" t="s">
        <v>65</v>
      </c>
      <c r="D560" t="s">
        <v>3266</v>
      </c>
      <c r="E560" t="s">
        <v>3170</v>
      </c>
      <c r="F560" t="s">
        <v>3152</v>
      </c>
      <c r="G560" t="s">
        <v>3171</v>
      </c>
      <c r="H560" t="n">
        <v>40.6331751855719</v>
      </c>
      <c r="I560" t="n">
        <v>-105.095130898671</v>
      </c>
      <c r="J560" t="s">
        <v>35</v>
      </c>
      <c r="K560" t="s">
        <v>2274</v>
      </c>
      <c r="L560"/>
      <c r="M560" t="n">
        <v>1977</v>
      </c>
      <c r="N560" t="n">
        <v>1988</v>
      </c>
      <c r="O560" t="s">
        <v>3267</v>
      </c>
      <c r="P560" t="n">
        <v>2</v>
      </c>
      <c r="Q560" t="n">
        <v>2</v>
      </c>
      <c r="R560" t="n">
        <v>2</v>
      </c>
      <c r="S560" t="n">
        <v>1973</v>
      </c>
      <c r="T560" t="s">
        <v>3268</v>
      </c>
      <c r="U560" t="s">
        <v>3269</v>
      </c>
      <c r="V560" t="s">
        <v>74</v>
      </c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3270</v>
      </c>
      <c r="B561" t="s">
        <v>31</v>
      </c>
      <c r="C561" t="s">
        <v>65</v>
      </c>
      <c r="D561" t="s">
        <v>3271</v>
      </c>
      <c r="E561" t="s">
        <v>3170</v>
      </c>
      <c r="F561" t="s">
        <v>3152</v>
      </c>
      <c r="G561" t="s">
        <v>3171</v>
      </c>
      <c r="H561" t="n">
        <v>40.523461263958</v>
      </c>
      <c r="I561" t="n">
        <v>-105.045937142538</v>
      </c>
      <c r="J561" t="s">
        <v>35</v>
      </c>
      <c r="K561" t="s">
        <v>120</v>
      </c>
      <c r="L561"/>
      <c r="M561" t="n">
        <v>1977</v>
      </c>
      <c r="N561" t="n">
        <v>1977</v>
      </c>
      <c r="O561" t="s">
        <v>228</v>
      </c>
      <c r="P561" t="n">
        <v>1</v>
      </c>
      <c r="Q561" t="n">
        <v>1</v>
      </c>
      <c r="R561" t="n">
        <v>1</v>
      </c>
      <c r="S561" t="n">
        <v>1959</v>
      </c>
      <c r="T561" t="s">
        <v>3272</v>
      </c>
      <c r="U561" t="s">
        <v>3273</v>
      </c>
      <c r="V561" t="s">
        <v>74</v>
      </c>
      <c r="W561"/>
      <c r="X561"/>
      <c r="Y561"/>
      <c r="Z561"/>
      <c r="AA561"/>
      <c r="AB561"/>
      <c r="AC561"/>
      <c r="AD561" t="s">
        <v>3274</v>
      </c>
      <c r="AE561" t="n">
        <v>151</v>
      </c>
      <c r="AF561" t="s">
        <v>3275</v>
      </c>
      <c r="AG561" t="n">
        <v>128</v>
      </c>
    </row>
    <row r="562">
      <c r="A562" t="s">
        <v>3276</v>
      </c>
      <c r="B562" t="s">
        <v>31</v>
      </c>
      <c r="C562" t="s">
        <v>65</v>
      </c>
      <c r="D562" t="s">
        <v>3277</v>
      </c>
      <c r="E562" t="s">
        <v>3278</v>
      </c>
      <c r="F562" t="s">
        <v>3152</v>
      </c>
      <c r="G562" t="s">
        <v>3279</v>
      </c>
      <c r="H562" t="n">
        <v>40.2851506148614</v>
      </c>
      <c r="I562" t="n">
        <v>-105.124808640272</v>
      </c>
      <c r="J562" t="s">
        <v>35</v>
      </c>
      <c r="K562" t="s">
        <v>120</v>
      </c>
      <c r="L562"/>
      <c r="M562" t="n">
        <v>1980</v>
      </c>
      <c r="N562" t="n">
        <v>1980</v>
      </c>
      <c r="O562" t="s">
        <v>255</v>
      </c>
      <c r="P562" t="n">
        <v>1</v>
      </c>
      <c r="Q562" t="n">
        <v>1</v>
      </c>
      <c r="R562" t="n">
        <v>1</v>
      </c>
      <c r="S562" t="n">
        <v>1977</v>
      </c>
      <c r="T562" t="s">
        <v>3280</v>
      </c>
      <c r="U562" t="s">
        <v>3281</v>
      </c>
      <c r="V562" t="s">
        <v>74</v>
      </c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3282</v>
      </c>
      <c r="B563" t="s">
        <v>31</v>
      </c>
      <c r="C563" t="s">
        <v>65</v>
      </c>
      <c r="D563" t="s">
        <v>3283</v>
      </c>
      <c r="E563" t="s">
        <v>3187</v>
      </c>
      <c r="F563" t="s">
        <v>3152</v>
      </c>
      <c r="G563" t="s">
        <v>3188</v>
      </c>
      <c r="H563" t="n">
        <v>40.386000959335</v>
      </c>
      <c r="I563" t="n">
        <v>-105.492497119875</v>
      </c>
      <c r="J563" t="s">
        <v>35</v>
      </c>
      <c r="K563" t="s">
        <v>70</v>
      </c>
      <c r="L563"/>
      <c r="M563" t="n">
        <v>1980</v>
      </c>
      <c r="N563" t="n">
        <v>1992</v>
      </c>
      <c r="O563" t="s">
        <v>255</v>
      </c>
      <c r="P563" t="n">
        <v>4</v>
      </c>
      <c r="Q563" t="n">
        <v>3</v>
      </c>
      <c r="R563" t="n">
        <v>1</v>
      </c>
      <c r="S563" t="n">
        <v>1976</v>
      </c>
      <c r="T563" t="s">
        <v>3284</v>
      </c>
      <c r="U563" t="s">
        <v>3285</v>
      </c>
      <c r="V563" t="s">
        <v>74</v>
      </c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3286</v>
      </c>
      <c r="B564" t="s">
        <v>31</v>
      </c>
      <c r="C564" t="s">
        <v>65</v>
      </c>
      <c r="D564" t="s">
        <v>3287</v>
      </c>
      <c r="E564" t="s">
        <v>3187</v>
      </c>
      <c r="F564" t="s">
        <v>3152</v>
      </c>
      <c r="G564" t="s">
        <v>3188</v>
      </c>
      <c r="H564" t="n">
        <v>40.3780432174339</v>
      </c>
      <c r="I564" t="n">
        <v>-105.522014683644</v>
      </c>
      <c r="J564" t="s">
        <v>35</v>
      </c>
      <c r="K564" t="s">
        <v>70</v>
      </c>
      <c r="L564"/>
      <c r="M564" t="n">
        <v>1980</v>
      </c>
      <c r="N564" t="n">
        <v>1992</v>
      </c>
      <c r="O564" t="s">
        <v>255</v>
      </c>
      <c r="P564" t="n">
        <v>5</v>
      </c>
      <c r="Q564" t="n">
        <v>4</v>
      </c>
      <c r="R564" t="n">
        <v>1</v>
      </c>
      <c r="S564" t="n">
        <v>1978</v>
      </c>
      <c r="T564" t="s">
        <v>3288</v>
      </c>
      <c r="U564" t="s">
        <v>3289</v>
      </c>
      <c r="V564" t="s">
        <v>74</v>
      </c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3290</v>
      </c>
      <c r="B565" t="s">
        <v>31</v>
      </c>
      <c r="C565" t="s">
        <v>65</v>
      </c>
      <c r="D565" t="s">
        <v>3291</v>
      </c>
      <c r="E565" t="s">
        <v>3170</v>
      </c>
      <c r="F565" t="s">
        <v>3152</v>
      </c>
      <c r="G565" t="s">
        <v>3292</v>
      </c>
      <c r="H565" t="n">
        <v>40.5905024749652</v>
      </c>
      <c r="I565" t="n">
        <v>-105.048625494993</v>
      </c>
      <c r="J565" t="s">
        <v>35</v>
      </c>
      <c r="K565" t="s">
        <v>120</v>
      </c>
      <c r="L565"/>
      <c r="M565" t="n">
        <v>1980</v>
      </c>
      <c r="N565" t="n">
        <v>1980</v>
      </c>
      <c r="O565" t="s">
        <v>255</v>
      </c>
      <c r="P565" t="n">
        <v>1</v>
      </c>
      <c r="Q565" t="n">
        <v>1</v>
      </c>
      <c r="R565" t="n">
        <v>1</v>
      </c>
      <c r="S565" t="n">
        <v>1978</v>
      </c>
      <c r="T565" t="s">
        <v>3293</v>
      </c>
      <c r="U565" t="s">
        <v>3294</v>
      </c>
      <c r="V565" t="s">
        <v>74</v>
      </c>
      <c r="W565"/>
      <c r="X565"/>
      <c r="Y565"/>
      <c r="Z565"/>
      <c r="AA565"/>
      <c r="AB565"/>
      <c r="AC565"/>
      <c r="AD565"/>
      <c r="AE565"/>
      <c r="AF565" t="s">
        <v>3295</v>
      </c>
      <c r="AG565" t="n">
        <v>70</v>
      </c>
    </row>
    <row r="566">
      <c r="A566" t="s">
        <v>3296</v>
      </c>
      <c r="B566" t="s">
        <v>31</v>
      </c>
      <c r="C566" t="s">
        <v>65</v>
      </c>
      <c r="D566" t="s">
        <v>3297</v>
      </c>
      <c r="E566" t="s">
        <v>3151</v>
      </c>
      <c r="F566" t="s">
        <v>3152</v>
      </c>
      <c r="G566" t="s">
        <v>3163</v>
      </c>
      <c r="H566" t="n">
        <v>40.355212</v>
      </c>
      <c r="I566" t="n">
        <v>-105.074297</v>
      </c>
      <c r="J566" t="s">
        <v>35</v>
      </c>
      <c r="K566" t="s">
        <v>1041</v>
      </c>
      <c r="L566"/>
      <c r="M566" t="n">
        <v>1980</v>
      </c>
      <c r="N566" t="n">
        <v>1983</v>
      </c>
      <c r="O566" t="s">
        <v>264</v>
      </c>
      <c r="P566" t="n">
        <v>2</v>
      </c>
      <c r="Q566" t="n">
        <v>2</v>
      </c>
      <c r="R566" t="n">
        <v>1</v>
      </c>
      <c r="S566" t="n">
        <v>1975</v>
      </c>
      <c r="T566" t="s">
        <v>3298</v>
      </c>
      <c r="U566" t="s">
        <v>3299</v>
      </c>
      <c r="V566" t="s">
        <v>74</v>
      </c>
      <c r="W566"/>
      <c r="X566"/>
      <c r="Y566"/>
      <c r="Z566"/>
      <c r="AA566"/>
      <c r="AB566"/>
      <c r="AC566"/>
      <c r="AD566"/>
      <c r="AE566"/>
      <c r="AF566" t="s">
        <v>3300</v>
      </c>
      <c r="AG566" t="n">
        <v>79</v>
      </c>
    </row>
    <row r="567">
      <c r="A567" t="s">
        <v>3301</v>
      </c>
      <c r="B567" t="s">
        <v>31</v>
      </c>
      <c r="C567" t="s">
        <v>65</v>
      </c>
      <c r="D567" t="s">
        <v>3302</v>
      </c>
      <c r="E567" t="s">
        <v>3151</v>
      </c>
      <c r="F567" t="s">
        <v>3152</v>
      </c>
      <c r="G567" t="s">
        <v>3163</v>
      </c>
      <c r="H567" t="n">
        <v>40.4035746983543</v>
      </c>
      <c r="I567" t="n">
        <v>-105.06713853041</v>
      </c>
      <c r="J567" t="s">
        <v>35</v>
      </c>
      <c r="K567" t="s">
        <v>133</v>
      </c>
      <c r="L567"/>
      <c r="M567" t="n">
        <v>1980</v>
      </c>
      <c r="N567" t="n">
        <v>1980</v>
      </c>
      <c r="O567" t="s">
        <v>255</v>
      </c>
      <c r="P567" t="n">
        <v>1</v>
      </c>
      <c r="Q567" t="n">
        <v>1</v>
      </c>
      <c r="R567" t="n">
        <v>1</v>
      </c>
      <c r="S567" t="n">
        <v>1973</v>
      </c>
      <c r="T567" t="s">
        <v>3303</v>
      </c>
      <c r="U567" t="s">
        <v>3304</v>
      </c>
      <c r="V567" t="s">
        <v>74</v>
      </c>
      <c r="W567"/>
      <c r="X567"/>
      <c r="Y567"/>
      <c r="Z567"/>
      <c r="AA567"/>
      <c r="AB567"/>
      <c r="AC567"/>
      <c r="AD567"/>
      <c r="AE567"/>
      <c r="AF567" t="s">
        <v>3305</v>
      </c>
      <c r="AG567" t="n">
        <v>125</v>
      </c>
    </row>
    <row r="568">
      <c r="A568" t="s">
        <v>3306</v>
      </c>
      <c r="B568" t="s">
        <v>31</v>
      </c>
      <c r="C568" t="s">
        <v>65</v>
      </c>
      <c r="D568" t="s">
        <v>3307</v>
      </c>
      <c r="E568" t="s">
        <v>3151</v>
      </c>
      <c r="F568" t="s">
        <v>3152</v>
      </c>
      <c r="G568" t="s">
        <v>3163</v>
      </c>
      <c r="H568" t="n">
        <v>40.395202</v>
      </c>
      <c r="I568" t="n">
        <v>-105.192585071429</v>
      </c>
      <c r="J568" t="s">
        <v>35</v>
      </c>
      <c r="K568" t="s">
        <v>120</v>
      </c>
      <c r="L568"/>
      <c r="M568" t="n">
        <v>1980</v>
      </c>
      <c r="N568" t="n">
        <v>1980</v>
      </c>
      <c r="O568" t="s">
        <v>255</v>
      </c>
      <c r="P568" t="n">
        <v>1</v>
      </c>
      <c r="Q568" t="n">
        <v>1</v>
      </c>
      <c r="R568" t="n">
        <v>1</v>
      </c>
      <c r="S568" t="n">
        <v>1975</v>
      </c>
      <c r="T568" t="s">
        <v>3308</v>
      </c>
      <c r="U568" t="s">
        <v>3309</v>
      </c>
      <c r="V568" t="s">
        <v>74</v>
      </c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3310</v>
      </c>
      <c r="B569" t="s">
        <v>31</v>
      </c>
      <c r="C569" t="s">
        <v>65</v>
      </c>
      <c r="D569" t="s">
        <v>3311</v>
      </c>
      <c r="E569" t="s">
        <v>3151</v>
      </c>
      <c r="F569" t="s">
        <v>3152</v>
      </c>
      <c r="G569" t="s">
        <v>3163</v>
      </c>
      <c r="H569" t="n">
        <v>40.407288</v>
      </c>
      <c r="I569" t="n">
        <v>-105.054874127517</v>
      </c>
      <c r="J569" t="s">
        <v>35</v>
      </c>
      <c r="K569" t="s">
        <v>220</v>
      </c>
      <c r="L569"/>
      <c r="M569" t="n">
        <v>1980</v>
      </c>
      <c r="N569" t="n">
        <v>1990</v>
      </c>
      <c r="O569" t="s">
        <v>3312</v>
      </c>
      <c r="P569" t="n">
        <v>3</v>
      </c>
      <c r="Q569" t="n">
        <v>3</v>
      </c>
      <c r="R569" t="n">
        <v>2</v>
      </c>
      <c r="S569" t="n">
        <v>1963</v>
      </c>
      <c r="T569" t="s">
        <v>3313</v>
      </c>
      <c r="U569" t="s">
        <v>3314</v>
      </c>
      <c r="V569" t="s">
        <v>74</v>
      </c>
      <c r="W569"/>
      <c r="X569"/>
      <c r="Y569"/>
      <c r="Z569"/>
      <c r="AA569"/>
      <c r="AB569"/>
      <c r="AC569"/>
      <c r="AD569"/>
      <c r="AE569"/>
      <c r="AF569" t="s">
        <v>3315</v>
      </c>
      <c r="AG569" t="n">
        <v>220</v>
      </c>
    </row>
    <row r="570">
      <c r="A570" t="s">
        <v>3316</v>
      </c>
      <c r="B570" t="s">
        <v>31</v>
      </c>
      <c r="C570" t="s">
        <v>65</v>
      </c>
      <c r="D570" t="s">
        <v>3317</v>
      </c>
      <c r="E570" t="s">
        <v>3151</v>
      </c>
      <c r="F570" t="s">
        <v>3152</v>
      </c>
      <c r="G570" t="s">
        <v>3163</v>
      </c>
      <c r="H570" t="n">
        <v>40.3928096717011</v>
      </c>
      <c r="I570" t="n">
        <v>-105.061978247088</v>
      </c>
      <c r="J570" t="s">
        <v>35</v>
      </c>
      <c r="K570" t="s">
        <v>70</v>
      </c>
      <c r="L570"/>
      <c r="M570" t="n">
        <v>1980</v>
      </c>
      <c r="N570" t="n">
        <v>1980</v>
      </c>
      <c r="O570" t="s">
        <v>255</v>
      </c>
      <c r="P570" t="n">
        <v>1</v>
      </c>
      <c r="Q570" t="n">
        <v>1</v>
      </c>
      <c r="R570" t="n">
        <v>1</v>
      </c>
      <c r="S570" t="n">
        <v>1975</v>
      </c>
      <c r="T570" t="s">
        <v>3318</v>
      </c>
      <c r="U570" t="s">
        <v>3319</v>
      </c>
      <c r="V570" t="s">
        <v>74</v>
      </c>
      <c r="W570"/>
      <c r="X570"/>
      <c r="Y570"/>
      <c r="Z570"/>
      <c r="AA570"/>
      <c r="AB570"/>
      <c r="AC570"/>
      <c r="AD570"/>
      <c r="AE570"/>
      <c r="AF570" t="s">
        <v>3320</v>
      </c>
      <c r="AG570" t="n">
        <v>164</v>
      </c>
    </row>
    <row r="571">
      <c r="A571" t="s">
        <v>3321</v>
      </c>
      <c r="B571" t="s">
        <v>31</v>
      </c>
      <c r="C571" t="s">
        <v>65</v>
      </c>
      <c r="D571" t="s">
        <v>3322</v>
      </c>
      <c r="E571" t="s">
        <v>3151</v>
      </c>
      <c r="F571" t="s">
        <v>3152</v>
      </c>
      <c r="G571" t="s">
        <v>3163</v>
      </c>
      <c r="H571" t="n">
        <v>40.4595901428572</v>
      </c>
      <c r="I571" t="n">
        <v>-105.086023163265</v>
      </c>
      <c r="J571" t="s">
        <v>35</v>
      </c>
      <c r="K571" t="s">
        <v>133</v>
      </c>
      <c r="L571"/>
      <c r="M571" t="n">
        <v>1980</v>
      </c>
      <c r="N571" t="n">
        <v>1980</v>
      </c>
      <c r="O571" t="s">
        <v>255</v>
      </c>
      <c r="P571" t="n">
        <v>1</v>
      </c>
      <c r="Q571" t="n">
        <v>1</v>
      </c>
      <c r="R571" t="n">
        <v>1</v>
      </c>
      <c r="S571" t="n">
        <v>1969</v>
      </c>
      <c r="T571" t="s">
        <v>3323</v>
      </c>
      <c r="U571" t="s">
        <v>3324</v>
      </c>
      <c r="V571" t="s">
        <v>74</v>
      </c>
      <c r="W571"/>
      <c r="X571"/>
      <c r="Y571"/>
      <c r="Z571"/>
      <c r="AA571"/>
      <c r="AB571"/>
      <c r="AC571"/>
      <c r="AD571" t="s">
        <v>3325</v>
      </c>
      <c r="AE571" t="n">
        <v>201</v>
      </c>
      <c r="AF571"/>
      <c r="AG571"/>
    </row>
    <row r="572">
      <c r="A572" t="s">
        <v>3326</v>
      </c>
      <c r="B572" t="s">
        <v>31</v>
      </c>
      <c r="C572" t="s">
        <v>65</v>
      </c>
      <c r="D572" t="s">
        <v>3327</v>
      </c>
      <c r="E572" t="s">
        <v>3187</v>
      </c>
      <c r="F572" t="s">
        <v>3152</v>
      </c>
      <c r="G572" t="s">
        <v>3188</v>
      </c>
      <c r="H572" t="n">
        <v>40.371877978031</v>
      </c>
      <c r="I572" t="n">
        <v>-105.503818853991</v>
      </c>
      <c r="J572" t="s">
        <v>35</v>
      </c>
      <c r="K572" t="s">
        <v>89</v>
      </c>
      <c r="L572"/>
      <c r="M572" t="n">
        <v>1983</v>
      </c>
      <c r="N572" t="n">
        <v>1990</v>
      </c>
      <c r="O572" t="s">
        <v>271</v>
      </c>
      <c r="P572" t="n">
        <v>3</v>
      </c>
      <c r="Q572" t="n">
        <v>2</v>
      </c>
      <c r="R572" t="n">
        <v>2</v>
      </c>
      <c r="S572" t="n">
        <v>1980</v>
      </c>
      <c r="T572" t="s">
        <v>3328</v>
      </c>
      <c r="U572" t="s">
        <v>3329</v>
      </c>
      <c r="V572" t="s">
        <v>74</v>
      </c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3330</v>
      </c>
      <c r="B573" t="s">
        <v>31</v>
      </c>
      <c r="C573" t="s">
        <v>65</v>
      </c>
      <c r="D573" t="s">
        <v>3331</v>
      </c>
      <c r="E573" t="s">
        <v>3170</v>
      </c>
      <c r="F573" t="s">
        <v>3152</v>
      </c>
      <c r="G573" t="s">
        <v>3332</v>
      </c>
      <c r="H573" t="n">
        <v>40.5143439302011</v>
      </c>
      <c r="I573" t="n">
        <v>-105.077308042412</v>
      </c>
      <c r="J573" t="s">
        <v>35</v>
      </c>
      <c r="K573" t="s">
        <v>133</v>
      </c>
      <c r="L573"/>
      <c r="M573" t="n">
        <v>1983</v>
      </c>
      <c r="N573" t="n">
        <v>1983</v>
      </c>
      <c r="O573" t="s">
        <v>264</v>
      </c>
      <c r="P573" t="n">
        <v>1</v>
      </c>
      <c r="Q573" t="n">
        <v>1</v>
      </c>
      <c r="R573" t="n">
        <v>1</v>
      </c>
      <c r="S573" t="n">
        <v>1969</v>
      </c>
      <c r="T573" t="s">
        <v>3333</v>
      </c>
      <c r="U573" t="s">
        <v>3334</v>
      </c>
      <c r="V573" t="s">
        <v>74</v>
      </c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3335</v>
      </c>
      <c r="B574" t="s">
        <v>31</v>
      </c>
      <c r="C574" t="s">
        <v>65</v>
      </c>
      <c r="D574" t="s">
        <v>3336</v>
      </c>
      <c r="E574" t="s">
        <v>3151</v>
      </c>
      <c r="F574" t="s">
        <v>3152</v>
      </c>
      <c r="G574" t="s">
        <v>3163</v>
      </c>
      <c r="H574" t="n">
        <v>40.407132194022</v>
      </c>
      <c r="I574" t="n">
        <v>-105.012056342352</v>
      </c>
      <c r="J574" t="s">
        <v>35</v>
      </c>
      <c r="K574" t="s">
        <v>133</v>
      </c>
      <c r="L574"/>
      <c r="M574" t="n">
        <v>1983</v>
      </c>
      <c r="N574" t="n">
        <v>1983</v>
      </c>
      <c r="O574" t="s">
        <v>264</v>
      </c>
      <c r="P574" t="n">
        <v>1</v>
      </c>
      <c r="Q574" t="n">
        <v>1</v>
      </c>
      <c r="R574" t="n">
        <v>1</v>
      </c>
      <c r="S574" t="n">
        <v>1975</v>
      </c>
      <c r="T574" t="s">
        <v>3337</v>
      </c>
      <c r="U574" t="s">
        <v>3338</v>
      </c>
      <c r="V574" t="s">
        <v>74</v>
      </c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3339</v>
      </c>
      <c r="B575" t="s">
        <v>31</v>
      </c>
      <c r="C575" t="s">
        <v>65</v>
      </c>
      <c r="D575" t="s">
        <v>3340</v>
      </c>
      <c r="E575" t="s">
        <v>3151</v>
      </c>
      <c r="F575" t="s">
        <v>3152</v>
      </c>
      <c r="G575" t="s">
        <v>3163</v>
      </c>
      <c r="H575" t="n">
        <v>40.3937117119415</v>
      </c>
      <c r="I575" t="n">
        <v>-105.192571862628</v>
      </c>
      <c r="J575" t="s">
        <v>35</v>
      </c>
      <c r="K575" t="s">
        <v>120</v>
      </c>
      <c r="L575"/>
      <c r="M575" t="n">
        <v>1983</v>
      </c>
      <c r="N575" t="n">
        <v>1983</v>
      </c>
      <c r="O575" t="s">
        <v>264</v>
      </c>
      <c r="P575" t="n">
        <v>1</v>
      </c>
      <c r="Q575" t="n">
        <v>1</v>
      </c>
      <c r="R575" t="n">
        <v>1</v>
      </c>
      <c r="S575" t="n">
        <v>1962</v>
      </c>
      <c r="T575" t="s">
        <v>3341</v>
      </c>
      <c r="U575" t="s">
        <v>3342</v>
      </c>
      <c r="V575" t="s">
        <v>74</v>
      </c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3343</v>
      </c>
      <c r="B576" t="s">
        <v>31</v>
      </c>
      <c r="C576" t="s">
        <v>65</v>
      </c>
      <c r="D576" t="s">
        <v>3344</v>
      </c>
      <c r="E576" t="s">
        <v>3151</v>
      </c>
      <c r="F576" t="s">
        <v>3152</v>
      </c>
      <c r="G576" t="s">
        <v>3163</v>
      </c>
      <c r="H576" t="n">
        <v>40.4274260873314</v>
      </c>
      <c r="I576" t="n">
        <v>-105.093205</v>
      </c>
      <c r="J576" t="s">
        <v>35</v>
      </c>
      <c r="K576" t="s">
        <v>70</v>
      </c>
      <c r="L576"/>
      <c r="M576" t="n">
        <v>1983</v>
      </c>
      <c r="N576" t="n">
        <v>1983</v>
      </c>
      <c r="O576" t="s">
        <v>264</v>
      </c>
      <c r="P576" t="n">
        <v>1</v>
      </c>
      <c r="Q576" t="n">
        <v>1</v>
      </c>
      <c r="R576" t="n">
        <v>1</v>
      </c>
      <c r="S576" t="n">
        <v>1976</v>
      </c>
      <c r="T576" t="s">
        <v>3345</v>
      </c>
      <c r="U576" t="s">
        <v>3346</v>
      </c>
      <c r="V576" t="s">
        <v>74</v>
      </c>
      <c r="W576"/>
      <c r="X576"/>
      <c r="Y576"/>
      <c r="Z576"/>
      <c r="AA576"/>
      <c r="AB576"/>
      <c r="AC576"/>
      <c r="AD576"/>
      <c r="AE576"/>
      <c r="AF576" t="s">
        <v>3347</v>
      </c>
      <c r="AG576" t="n">
        <v>211</v>
      </c>
    </row>
    <row r="577">
      <c r="A577" t="s">
        <v>3348</v>
      </c>
      <c r="B577" t="s">
        <v>31</v>
      </c>
      <c r="C577" t="s">
        <v>65</v>
      </c>
      <c r="D577" t="s">
        <v>3349</v>
      </c>
      <c r="E577" t="s">
        <v>3151</v>
      </c>
      <c r="F577" t="s">
        <v>3152</v>
      </c>
      <c r="G577" t="s">
        <v>3163</v>
      </c>
      <c r="H577" t="n">
        <v>40.4051639201754</v>
      </c>
      <c r="I577" t="n">
        <v>-105.042184468359</v>
      </c>
      <c r="J577" t="s">
        <v>35</v>
      </c>
      <c r="K577" t="s">
        <v>141</v>
      </c>
      <c r="L577"/>
      <c r="M577" t="n">
        <v>1983</v>
      </c>
      <c r="N577" t="n">
        <v>1988</v>
      </c>
      <c r="O577" t="s">
        <v>283</v>
      </c>
      <c r="P577" t="n">
        <v>2</v>
      </c>
      <c r="Q577" t="n">
        <v>2</v>
      </c>
      <c r="R577" t="n">
        <v>2</v>
      </c>
      <c r="S577" t="n">
        <v>1959</v>
      </c>
      <c r="T577" t="s">
        <v>3350</v>
      </c>
      <c r="U577" t="s">
        <v>3351</v>
      </c>
      <c r="V577" t="s">
        <v>74</v>
      </c>
      <c r="W577"/>
      <c r="X577"/>
      <c r="Y577"/>
      <c r="Z577"/>
      <c r="AA577"/>
      <c r="AB577" t="s">
        <v>3352</v>
      </c>
      <c r="AC577" t="n">
        <v>225</v>
      </c>
      <c r="AD577"/>
      <c r="AE577"/>
      <c r="AF577" t="s">
        <v>3353</v>
      </c>
      <c r="AG577" t="n">
        <v>87</v>
      </c>
    </row>
    <row r="578">
      <c r="A578" t="s">
        <v>3354</v>
      </c>
      <c r="B578" t="s">
        <v>31</v>
      </c>
      <c r="C578" t="s">
        <v>65</v>
      </c>
      <c r="D578" t="s">
        <v>3355</v>
      </c>
      <c r="E578" t="s">
        <v>3278</v>
      </c>
      <c r="F578" t="s">
        <v>3152</v>
      </c>
      <c r="G578" t="s">
        <v>3279</v>
      </c>
      <c r="H578" t="n">
        <v>40.3275139776545</v>
      </c>
      <c r="I578" t="n">
        <v>-105.07800221135</v>
      </c>
      <c r="J578" t="s">
        <v>35</v>
      </c>
      <c r="K578" t="s">
        <v>70</v>
      </c>
      <c r="L578"/>
      <c r="M578" t="n">
        <v>1988</v>
      </c>
      <c r="N578" t="n">
        <v>1990</v>
      </c>
      <c r="O578" t="s">
        <v>310</v>
      </c>
      <c r="P578" t="n">
        <v>2</v>
      </c>
      <c r="Q578" t="n">
        <v>2</v>
      </c>
      <c r="R578" t="n">
        <v>2</v>
      </c>
      <c r="S578" t="n">
        <v>1971</v>
      </c>
      <c r="T578" t="s">
        <v>3356</v>
      </c>
      <c r="U578" t="s">
        <v>3357</v>
      </c>
      <c r="V578" t="s">
        <v>74</v>
      </c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3358</v>
      </c>
      <c r="B579" t="s">
        <v>31</v>
      </c>
      <c r="C579" t="s">
        <v>65</v>
      </c>
      <c r="D579" t="s">
        <v>3359</v>
      </c>
      <c r="E579" t="s">
        <v>3170</v>
      </c>
      <c r="F579" t="s">
        <v>3152</v>
      </c>
      <c r="G579" t="s">
        <v>3292</v>
      </c>
      <c r="H579" t="n">
        <v>40.6138577297495</v>
      </c>
      <c r="I579" t="n">
        <v>-105.085991141052</v>
      </c>
      <c r="J579" t="s">
        <v>35</v>
      </c>
      <c r="K579" t="s">
        <v>220</v>
      </c>
      <c r="L579"/>
      <c r="M579" t="n">
        <v>1988</v>
      </c>
      <c r="N579" t="n">
        <v>1990</v>
      </c>
      <c r="O579" t="s">
        <v>310</v>
      </c>
      <c r="P579" t="n">
        <v>2</v>
      </c>
      <c r="Q579" t="n">
        <v>1</v>
      </c>
      <c r="R579" t="n">
        <v>1</v>
      </c>
      <c r="S579" t="n">
        <v>1981</v>
      </c>
      <c r="T579" t="s">
        <v>3360</v>
      </c>
      <c r="U579" t="s">
        <v>3361</v>
      </c>
      <c r="V579" t="s">
        <v>74</v>
      </c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3362</v>
      </c>
      <c r="B580" t="s">
        <v>31</v>
      </c>
      <c r="C580" t="s">
        <v>65</v>
      </c>
      <c r="D580" t="s">
        <v>3363</v>
      </c>
      <c r="E580" t="s">
        <v>3170</v>
      </c>
      <c r="F580" t="s">
        <v>3152</v>
      </c>
      <c r="G580" t="s">
        <v>3364</v>
      </c>
      <c r="H580" t="n">
        <v>40.523573</v>
      </c>
      <c r="I580" t="n">
        <v>-105.081587000352</v>
      </c>
      <c r="J580" t="s">
        <v>35</v>
      </c>
      <c r="K580" t="s">
        <v>120</v>
      </c>
      <c r="L580"/>
      <c r="M580" t="n">
        <v>1988</v>
      </c>
      <c r="N580" t="n">
        <v>1988</v>
      </c>
      <c r="O580" t="s">
        <v>325</v>
      </c>
      <c r="P580" t="n">
        <v>1</v>
      </c>
      <c r="Q580" t="n">
        <v>1</v>
      </c>
      <c r="R580" t="n">
        <v>1</v>
      </c>
      <c r="S580" t="n">
        <v>1979</v>
      </c>
      <c r="T580" t="s">
        <v>3365</v>
      </c>
      <c r="U580" t="s">
        <v>3366</v>
      </c>
      <c r="V580" t="s">
        <v>74</v>
      </c>
      <c r="W580"/>
      <c r="X580"/>
      <c r="Y580"/>
      <c r="Z580"/>
      <c r="AA580"/>
      <c r="AB580"/>
      <c r="AC580"/>
      <c r="AD580"/>
      <c r="AE580"/>
      <c r="AF580" t="s">
        <v>3367</v>
      </c>
      <c r="AG580" t="n">
        <v>249</v>
      </c>
    </row>
    <row r="581">
      <c r="A581" t="s">
        <v>3368</v>
      </c>
      <c r="B581" t="s">
        <v>31</v>
      </c>
      <c r="C581" t="s">
        <v>65</v>
      </c>
      <c r="D581" t="s">
        <v>3369</v>
      </c>
      <c r="E581" t="s">
        <v>3170</v>
      </c>
      <c r="F581" t="s">
        <v>3152</v>
      </c>
      <c r="G581" t="s">
        <v>3292</v>
      </c>
      <c r="H581" t="n">
        <v>40.6034939292929</v>
      </c>
      <c r="I581" t="n">
        <v>-105.082262232323</v>
      </c>
      <c r="J581" t="s">
        <v>35</v>
      </c>
      <c r="K581" t="s">
        <v>120</v>
      </c>
      <c r="L581"/>
      <c r="M581" t="n">
        <v>1988</v>
      </c>
      <c r="N581" t="n">
        <v>1992</v>
      </c>
      <c r="O581" t="s">
        <v>1016</v>
      </c>
      <c r="P581" t="n">
        <v>3</v>
      </c>
      <c r="Q581" t="n">
        <v>1</v>
      </c>
      <c r="R581" t="n">
        <v>1</v>
      </c>
      <c r="S581" t="n">
        <v>1952</v>
      </c>
      <c r="T581" t="s">
        <v>3370</v>
      </c>
      <c r="U581" t="s">
        <v>3371</v>
      </c>
      <c r="V581" t="s">
        <v>74</v>
      </c>
      <c r="W581"/>
      <c r="X581"/>
      <c r="Y581"/>
      <c r="Z581"/>
      <c r="AA581"/>
      <c r="AB581"/>
      <c r="AC581"/>
      <c r="AD581"/>
      <c r="AE581"/>
      <c r="AF581" t="s">
        <v>3372</v>
      </c>
      <c r="AG581" t="n">
        <v>157</v>
      </c>
    </row>
    <row r="582">
      <c r="A582" t="s">
        <v>3373</v>
      </c>
      <c r="B582" t="s">
        <v>31</v>
      </c>
      <c r="C582" t="s">
        <v>65</v>
      </c>
      <c r="D582" t="s">
        <v>3374</v>
      </c>
      <c r="E582" t="s">
        <v>3170</v>
      </c>
      <c r="F582" t="s">
        <v>3152</v>
      </c>
      <c r="G582" t="s">
        <v>3292</v>
      </c>
      <c r="H582" t="n">
        <v>40.5870342857143</v>
      </c>
      <c r="I582" t="n">
        <v>-105.078317085714</v>
      </c>
      <c r="J582" t="s">
        <v>35</v>
      </c>
      <c r="K582" t="s">
        <v>133</v>
      </c>
      <c r="L582"/>
      <c r="M582" t="n">
        <v>1988</v>
      </c>
      <c r="N582" t="n">
        <v>1992</v>
      </c>
      <c r="O582" t="s">
        <v>310</v>
      </c>
      <c r="P582" t="n">
        <v>3</v>
      </c>
      <c r="Q582" t="n">
        <v>3</v>
      </c>
      <c r="R582" t="n">
        <v>2</v>
      </c>
      <c r="S582" t="n">
        <v>1974</v>
      </c>
      <c r="T582" t="s">
        <v>3375</v>
      </c>
      <c r="U582" t="s">
        <v>3376</v>
      </c>
      <c r="V582" t="s">
        <v>74</v>
      </c>
      <c r="W582"/>
      <c r="X582"/>
      <c r="Y582"/>
      <c r="Z582"/>
      <c r="AA582"/>
      <c r="AB582"/>
      <c r="AC582"/>
      <c r="AD582"/>
      <c r="AE582"/>
      <c r="AF582" t="s">
        <v>3377</v>
      </c>
      <c r="AG582" t="n">
        <v>203</v>
      </c>
    </row>
    <row r="583">
      <c r="A583" t="s">
        <v>3378</v>
      </c>
      <c r="B583" t="s">
        <v>31</v>
      </c>
      <c r="C583" t="s">
        <v>65</v>
      </c>
      <c r="D583" t="s">
        <v>3379</v>
      </c>
      <c r="E583" t="s">
        <v>3151</v>
      </c>
      <c r="F583" t="s">
        <v>3152</v>
      </c>
      <c r="G583" t="s">
        <v>3163</v>
      </c>
      <c r="H583" t="n">
        <v>40.4025742307692</v>
      </c>
      <c r="I583" t="n">
        <v>-105.077855461539</v>
      </c>
      <c r="J583" t="s">
        <v>35</v>
      </c>
      <c r="K583" t="s">
        <v>89</v>
      </c>
      <c r="L583"/>
      <c r="M583" t="n">
        <v>1988</v>
      </c>
      <c r="N583" t="n">
        <v>1990</v>
      </c>
      <c r="O583" t="s">
        <v>325</v>
      </c>
      <c r="P583" t="n">
        <v>2</v>
      </c>
      <c r="Q583" t="n">
        <v>2</v>
      </c>
      <c r="R583" t="n">
        <v>1</v>
      </c>
      <c r="S583" t="n">
        <v>1979</v>
      </c>
      <c r="T583" t="s">
        <v>3380</v>
      </c>
      <c r="U583" t="s">
        <v>3381</v>
      </c>
      <c r="V583" t="s">
        <v>74</v>
      </c>
      <c r="W583"/>
      <c r="X583"/>
      <c r="Y583"/>
      <c r="Z583"/>
      <c r="AA583"/>
      <c r="AB583"/>
      <c r="AC583"/>
      <c r="AD583"/>
      <c r="AE583"/>
      <c r="AF583" t="s">
        <v>3382</v>
      </c>
      <c r="AG583" t="n">
        <v>234</v>
      </c>
    </row>
    <row r="584">
      <c r="A584" t="s">
        <v>3383</v>
      </c>
      <c r="B584" t="s">
        <v>31</v>
      </c>
      <c r="C584" t="s">
        <v>65</v>
      </c>
      <c r="D584" t="s">
        <v>3384</v>
      </c>
      <c r="E584" t="s">
        <v>3151</v>
      </c>
      <c r="F584" t="s">
        <v>3152</v>
      </c>
      <c r="G584" t="s">
        <v>3163</v>
      </c>
      <c r="H584" t="n">
        <v>40.3927419030717</v>
      </c>
      <c r="I584" t="n">
        <v>-105.090737612064</v>
      </c>
      <c r="J584" t="s">
        <v>35</v>
      </c>
      <c r="K584" t="s">
        <v>282</v>
      </c>
      <c r="L584" t="s">
        <v>98</v>
      </c>
      <c r="M584" t="n">
        <v>1988</v>
      </c>
      <c r="N584" t="n">
        <v>1990</v>
      </c>
      <c r="O584" t="s">
        <v>310</v>
      </c>
      <c r="P584" t="n">
        <v>2</v>
      </c>
      <c r="Q584" t="n">
        <v>1</v>
      </c>
      <c r="R584" t="n">
        <v>1</v>
      </c>
      <c r="S584" t="n">
        <v>1984</v>
      </c>
      <c r="T584" t="s">
        <v>3385</v>
      </c>
      <c r="U584" t="s">
        <v>3386</v>
      </c>
      <c r="V584" t="s">
        <v>74</v>
      </c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3387</v>
      </c>
      <c r="B585" t="s">
        <v>31</v>
      </c>
      <c r="C585" t="s">
        <v>65</v>
      </c>
      <c r="D585" t="s">
        <v>3388</v>
      </c>
      <c r="E585" t="s">
        <v>3151</v>
      </c>
      <c r="F585" t="s">
        <v>3152</v>
      </c>
      <c r="G585" t="s">
        <v>3163</v>
      </c>
      <c r="H585" t="n">
        <v>40.3688970368351</v>
      </c>
      <c r="I585" t="n">
        <v>-105.072772579267</v>
      </c>
      <c r="J585" t="s">
        <v>35</v>
      </c>
      <c r="K585" t="s">
        <v>120</v>
      </c>
      <c r="L585"/>
      <c r="M585" t="n">
        <v>1988</v>
      </c>
      <c r="N585" t="n">
        <v>1988</v>
      </c>
      <c r="O585" t="s">
        <v>325</v>
      </c>
      <c r="P585" t="n">
        <v>1</v>
      </c>
      <c r="Q585" t="n">
        <v>1</v>
      </c>
      <c r="R585" t="n">
        <v>1</v>
      </c>
      <c r="S585" t="n">
        <v>1972</v>
      </c>
      <c r="T585" t="s">
        <v>3389</v>
      </c>
      <c r="U585" t="s">
        <v>3390</v>
      </c>
      <c r="V585" t="s">
        <v>74</v>
      </c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3391</v>
      </c>
      <c r="B586" t="s">
        <v>31</v>
      </c>
      <c r="C586" t="s">
        <v>65</v>
      </c>
      <c r="D586" t="s">
        <v>3392</v>
      </c>
      <c r="E586" t="s">
        <v>3151</v>
      </c>
      <c r="F586" t="s">
        <v>3152</v>
      </c>
      <c r="G586" t="s">
        <v>3393</v>
      </c>
      <c r="H586" t="n">
        <v>40.4072435509613</v>
      </c>
      <c r="I586" t="n">
        <v>-105.102005152236</v>
      </c>
      <c r="J586" t="s">
        <v>35</v>
      </c>
      <c r="K586" t="s">
        <v>70</v>
      </c>
      <c r="L586"/>
      <c r="M586" t="n">
        <v>1988</v>
      </c>
      <c r="N586" t="n">
        <v>1988</v>
      </c>
      <c r="O586" t="s">
        <v>325</v>
      </c>
      <c r="P586" t="n">
        <v>1</v>
      </c>
      <c r="Q586" t="n">
        <v>1</v>
      </c>
      <c r="R586" t="n">
        <v>1</v>
      </c>
      <c r="S586" t="n">
        <v>1983</v>
      </c>
      <c r="T586" t="s">
        <v>3394</v>
      </c>
      <c r="U586" t="s">
        <v>3395</v>
      </c>
      <c r="V586" t="s">
        <v>74</v>
      </c>
      <c r="W586"/>
      <c r="X586"/>
      <c r="Y586"/>
      <c r="Z586"/>
      <c r="AA586"/>
      <c r="AB586" t="s">
        <v>3396</v>
      </c>
      <c r="AC586" t="n">
        <v>96</v>
      </c>
      <c r="AD586"/>
      <c r="AE586"/>
      <c r="AF586" t="s">
        <v>3397</v>
      </c>
      <c r="AG586" t="n">
        <v>64</v>
      </c>
    </row>
    <row r="587">
      <c r="A587" t="s">
        <v>3398</v>
      </c>
      <c r="B587" t="s">
        <v>31</v>
      </c>
      <c r="C587" t="s">
        <v>65</v>
      </c>
      <c r="D587" t="s">
        <v>3399</v>
      </c>
      <c r="E587" t="s">
        <v>3151</v>
      </c>
      <c r="F587" t="s">
        <v>3152</v>
      </c>
      <c r="G587" t="s">
        <v>3163</v>
      </c>
      <c r="H587" t="n">
        <v>40.4019395145921</v>
      </c>
      <c r="I587" t="n">
        <v>-105.042734352313</v>
      </c>
      <c r="J587" t="s">
        <v>35</v>
      </c>
      <c r="K587" t="s">
        <v>120</v>
      </c>
      <c r="L587"/>
      <c r="M587" t="n">
        <v>1988</v>
      </c>
      <c r="N587" t="n">
        <v>1990</v>
      </c>
      <c r="O587" t="s">
        <v>310</v>
      </c>
      <c r="P587" t="n">
        <v>2</v>
      </c>
      <c r="Q587" t="n">
        <v>2</v>
      </c>
      <c r="R587" t="n">
        <v>1</v>
      </c>
      <c r="S587" t="n">
        <v>1963</v>
      </c>
      <c r="T587" t="s">
        <v>3400</v>
      </c>
      <c r="U587" t="s">
        <v>3401</v>
      </c>
      <c r="V587" t="s">
        <v>74</v>
      </c>
      <c r="W587"/>
      <c r="X587"/>
      <c r="Y587"/>
      <c r="Z587"/>
      <c r="AA587"/>
      <c r="AB587"/>
      <c r="AC587"/>
      <c r="AD587"/>
      <c r="AE587"/>
      <c r="AF587" t="s">
        <v>3402</v>
      </c>
      <c r="AG587" t="n">
        <v>61</v>
      </c>
    </row>
    <row r="588">
      <c r="A588" t="s">
        <v>3403</v>
      </c>
      <c r="B588" t="s">
        <v>31</v>
      </c>
      <c r="C588" t="s">
        <v>65</v>
      </c>
      <c r="D588" t="s">
        <v>3404</v>
      </c>
      <c r="E588" t="s">
        <v>3278</v>
      </c>
      <c r="F588" t="s">
        <v>3152</v>
      </c>
      <c r="G588" t="s">
        <v>3279</v>
      </c>
      <c r="H588" t="n">
        <v>40.2951676548073</v>
      </c>
      <c r="I588" t="n">
        <v>-105.062498363158</v>
      </c>
      <c r="J588" t="s">
        <v>35</v>
      </c>
      <c r="K588" t="s">
        <v>1639</v>
      </c>
      <c r="L588"/>
      <c r="M588" t="n">
        <v>1990</v>
      </c>
      <c r="N588" t="n">
        <v>1990</v>
      </c>
      <c r="O588" t="s">
        <v>351</v>
      </c>
      <c r="P588" t="n">
        <v>1</v>
      </c>
      <c r="Q588" t="n">
        <v>1</v>
      </c>
      <c r="R588" t="n">
        <v>1</v>
      </c>
      <c r="S588" t="n">
        <v>1975</v>
      </c>
      <c r="T588" t="s">
        <v>3405</v>
      </c>
      <c r="U588" t="s">
        <v>3406</v>
      </c>
      <c r="V588" t="s">
        <v>74</v>
      </c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3407</v>
      </c>
      <c r="B589" t="s">
        <v>31</v>
      </c>
      <c r="C589" t="s">
        <v>65</v>
      </c>
      <c r="D589" t="s">
        <v>3408</v>
      </c>
      <c r="E589" t="s">
        <v>3170</v>
      </c>
      <c r="F589" t="s">
        <v>3152</v>
      </c>
      <c r="G589" t="s">
        <v>3292</v>
      </c>
      <c r="H589" t="n">
        <v>40.5961740448307</v>
      </c>
      <c r="I589" t="n">
        <v>-105.032264630947</v>
      </c>
      <c r="J589" t="s">
        <v>35</v>
      </c>
      <c r="K589" t="s">
        <v>120</v>
      </c>
      <c r="L589"/>
      <c r="M589" t="n">
        <v>1990</v>
      </c>
      <c r="N589" t="n">
        <v>1990</v>
      </c>
      <c r="O589" t="s">
        <v>351</v>
      </c>
      <c r="P589" t="n">
        <v>1</v>
      </c>
      <c r="Q589" t="n">
        <v>1</v>
      </c>
      <c r="R589" t="n">
        <v>1</v>
      </c>
      <c r="S589" t="n">
        <v>1972</v>
      </c>
      <c r="T589" t="s">
        <v>3409</v>
      </c>
      <c r="U589" t="s">
        <v>3410</v>
      </c>
      <c r="V589" t="s">
        <v>74</v>
      </c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3411</v>
      </c>
      <c r="B590" t="s">
        <v>31</v>
      </c>
      <c r="C590" t="s">
        <v>65</v>
      </c>
      <c r="D590" t="s">
        <v>3412</v>
      </c>
      <c r="E590" t="s">
        <v>3170</v>
      </c>
      <c r="F590" t="s">
        <v>3152</v>
      </c>
      <c r="G590" t="s">
        <v>3232</v>
      </c>
      <c r="H590" t="n">
        <v>40.5811674081633</v>
      </c>
      <c r="I590" t="n">
        <v>-105.070144836735</v>
      </c>
      <c r="J590" t="s">
        <v>35</v>
      </c>
      <c r="K590" t="s">
        <v>81</v>
      </c>
      <c r="L590"/>
      <c r="M590" t="n">
        <v>1990</v>
      </c>
      <c r="N590" t="n">
        <v>1992</v>
      </c>
      <c r="O590" t="s">
        <v>357</v>
      </c>
      <c r="P590" t="n">
        <v>2</v>
      </c>
      <c r="Q590" t="n">
        <v>2</v>
      </c>
      <c r="R590" t="n">
        <v>2</v>
      </c>
      <c r="S590" t="n">
        <v>1976</v>
      </c>
      <c r="T590" t="s">
        <v>3413</v>
      </c>
      <c r="U590" t="s">
        <v>3414</v>
      </c>
      <c r="V590" t="s">
        <v>74</v>
      </c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3415</v>
      </c>
      <c r="B591" t="s">
        <v>31</v>
      </c>
      <c r="C591" t="s">
        <v>65</v>
      </c>
      <c r="D591" t="s">
        <v>3416</v>
      </c>
      <c r="E591" t="s">
        <v>3151</v>
      </c>
      <c r="F591" t="s">
        <v>3152</v>
      </c>
      <c r="G591" t="s">
        <v>3163</v>
      </c>
      <c r="H591" t="n">
        <v>40.3496740688162</v>
      </c>
      <c r="I591" t="n">
        <v>-105.206252624973</v>
      </c>
      <c r="J591" t="s">
        <v>35</v>
      </c>
      <c r="K591" t="s">
        <v>120</v>
      </c>
      <c r="L591"/>
      <c r="M591" t="n">
        <v>1990</v>
      </c>
      <c r="N591" t="n">
        <v>1990</v>
      </c>
      <c r="O591" t="s">
        <v>351</v>
      </c>
      <c r="P591" t="n">
        <v>1</v>
      </c>
      <c r="Q591" t="n">
        <v>1</v>
      </c>
      <c r="R591" t="n">
        <v>1</v>
      </c>
      <c r="S591" t="n">
        <v>1972</v>
      </c>
      <c r="T591" t="s">
        <v>3417</v>
      </c>
      <c r="U591" t="s">
        <v>3418</v>
      </c>
      <c r="V591" t="s">
        <v>74</v>
      </c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3419</v>
      </c>
      <c r="B592" t="s">
        <v>31</v>
      </c>
      <c r="C592" t="s">
        <v>65</v>
      </c>
      <c r="D592" t="s">
        <v>3420</v>
      </c>
      <c r="E592" t="s">
        <v>3151</v>
      </c>
      <c r="F592" t="s">
        <v>3152</v>
      </c>
      <c r="G592" t="s">
        <v>3163</v>
      </c>
      <c r="H592" t="n">
        <v>40.4058082422114</v>
      </c>
      <c r="I592" t="n">
        <v>-105.082469884784</v>
      </c>
      <c r="J592" t="s">
        <v>35</v>
      </c>
      <c r="K592" t="s">
        <v>120</v>
      </c>
      <c r="L592"/>
      <c r="M592" t="n">
        <v>1990</v>
      </c>
      <c r="N592" t="n">
        <v>1990</v>
      </c>
      <c r="O592" t="s">
        <v>351</v>
      </c>
      <c r="P592" t="n">
        <v>1</v>
      </c>
      <c r="Q592" t="n">
        <v>1</v>
      </c>
      <c r="R592" t="n">
        <v>1</v>
      </c>
      <c r="S592" t="n">
        <v>1982</v>
      </c>
      <c r="T592" t="s">
        <v>3421</v>
      </c>
      <c r="U592" t="s">
        <v>3422</v>
      </c>
      <c r="V592" t="s">
        <v>74</v>
      </c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3423</v>
      </c>
      <c r="B593" t="s">
        <v>31</v>
      </c>
      <c r="C593" t="s">
        <v>65</v>
      </c>
      <c r="D593" t="s">
        <v>3424</v>
      </c>
      <c r="E593" t="s">
        <v>3151</v>
      </c>
      <c r="F593" t="s">
        <v>3152</v>
      </c>
      <c r="G593" t="s">
        <v>3163</v>
      </c>
      <c r="H593" t="n">
        <v>40.3927833353116</v>
      </c>
      <c r="I593" t="n">
        <v>-105.053416345058</v>
      </c>
      <c r="J593" t="s">
        <v>35</v>
      </c>
      <c r="K593" t="s">
        <v>315</v>
      </c>
      <c r="L593"/>
      <c r="M593" t="n">
        <v>1990</v>
      </c>
      <c r="N593" t="n">
        <v>1990</v>
      </c>
      <c r="O593" t="s">
        <v>351</v>
      </c>
      <c r="P593" t="n">
        <v>1</v>
      </c>
      <c r="Q593" t="n">
        <v>1</v>
      </c>
      <c r="R593" t="n">
        <v>1</v>
      </c>
      <c r="S593" t="n">
        <v>1976</v>
      </c>
      <c r="T593" t="s">
        <v>3425</v>
      </c>
      <c r="U593" t="s">
        <v>3426</v>
      </c>
      <c r="V593" t="s">
        <v>74</v>
      </c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3427</v>
      </c>
      <c r="B594" t="s">
        <v>31</v>
      </c>
      <c r="C594" t="s">
        <v>65</v>
      </c>
      <c r="D594" t="s">
        <v>3428</v>
      </c>
      <c r="E594" t="s">
        <v>3151</v>
      </c>
      <c r="F594" t="s">
        <v>3152</v>
      </c>
      <c r="G594" t="s">
        <v>3429</v>
      </c>
      <c r="H594" t="n">
        <v>40.408177</v>
      </c>
      <c r="I594" t="n">
        <v>-105.108015</v>
      </c>
      <c r="J594" t="s">
        <v>35</v>
      </c>
      <c r="K594" t="s">
        <v>89</v>
      </c>
      <c r="L594"/>
      <c r="M594" t="n">
        <v>1990</v>
      </c>
      <c r="N594" t="n">
        <v>1990</v>
      </c>
      <c r="O594" t="s">
        <v>351</v>
      </c>
      <c r="P594" t="n">
        <v>1</v>
      </c>
      <c r="Q594" t="n">
        <v>1</v>
      </c>
      <c r="R594" t="n">
        <v>1</v>
      </c>
      <c r="S594" t="n">
        <v>1965</v>
      </c>
      <c r="T594" t="s">
        <v>3430</v>
      </c>
      <c r="U594" t="s">
        <v>3431</v>
      </c>
      <c r="V594" t="s">
        <v>74</v>
      </c>
      <c r="W594"/>
      <c r="X594"/>
      <c r="Y594"/>
      <c r="Z594"/>
      <c r="AA594"/>
      <c r="AB594"/>
      <c r="AC594"/>
      <c r="AD594"/>
      <c r="AE594"/>
      <c r="AF594" t="s">
        <v>3432</v>
      </c>
      <c r="AG594" t="n">
        <v>119</v>
      </c>
    </row>
    <row r="595">
      <c r="A595" t="s">
        <v>3433</v>
      </c>
      <c r="B595" t="s">
        <v>31</v>
      </c>
      <c r="C595" t="s">
        <v>65</v>
      </c>
      <c r="D595" t="s">
        <v>3434</v>
      </c>
      <c r="E595" t="s">
        <v>3151</v>
      </c>
      <c r="F595" t="s">
        <v>3152</v>
      </c>
      <c r="G595" t="s">
        <v>3163</v>
      </c>
      <c r="H595" t="n">
        <v>40.4066087755102</v>
      </c>
      <c r="I595" t="n">
        <v>-105.113653265306</v>
      </c>
      <c r="J595" t="s">
        <v>35</v>
      </c>
      <c r="K595" t="s">
        <v>89</v>
      </c>
      <c r="L595"/>
      <c r="M595" t="n">
        <v>1990</v>
      </c>
      <c r="N595" t="n">
        <v>1992</v>
      </c>
      <c r="O595" t="s">
        <v>351</v>
      </c>
      <c r="P595" t="n">
        <v>2</v>
      </c>
      <c r="Q595" t="n">
        <v>2</v>
      </c>
      <c r="R595" t="n">
        <v>1</v>
      </c>
      <c r="S595" t="n">
        <v>1975</v>
      </c>
      <c r="T595" t="s">
        <v>3435</v>
      </c>
      <c r="U595" t="s">
        <v>3436</v>
      </c>
      <c r="V595" t="s">
        <v>74</v>
      </c>
      <c r="W595"/>
      <c r="X595"/>
      <c r="Y595"/>
      <c r="Z595"/>
      <c r="AA595"/>
      <c r="AB595"/>
      <c r="AC595"/>
      <c r="AD595"/>
      <c r="AE595"/>
      <c r="AF595" t="s">
        <v>3437</v>
      </c>
      <c r="AG595" t="n">
        <v>175</v>
      </c>
    </row>
    <row r="596">
      <c r="A596" t="s">
        <v>3438</v>
      </c>
      <c r="B596" t="s">
        <v>31</v>
      </c>
      <c r="C596" t="s">
        <v>65</v>
      </c>
      <c r="D596" t="s">
        <v>3439</v>
      </c>
      <c r="E596" t="s">
        <v>3151</v>
      </c>
      <c r="F596" t="s">
        <v>3152</v>
      </c>
      <c r="G596" t="s">
        <v>3163</v>
      </c>
      <c r="H596" t="n">
        <v>40.4001619522954</v>
      </c>
      <c r="I596" t="n">
        <v>-105.100010220151</v>
      </c>
      <c r="J596" t="s">
        <v>35</v>
      </c>
      <c r="K596" t="s">
        <v>120</v>
      </c>
      <c r="L596"/>
      <c r="M596" t="n">
        <v>1990</v>
      </c>
      <c r="N596" t="n">
        <v>1990</v>
      </c>
      <c r="O596" t="s">
        <v>351</v>
      </c>
      <c r="P596" t="n">
        <v>1</v>
      </c>
      <c r="Q596" t="n">
        <v>1</v>
      </c>
      <c r="R596" t="n">
        <v>1</v>
      </c>
      <c r="S596" t="n">
        <v>1946</v>
      </c>
      <c r="T596" t="s">
        <v>3440</v>
      </c>
      <c r="U596" t="s">
        <v>3441</v>
      </c>
      <c r="V596" t="s">
        <v>74</v>
      </c>
      <c r="W596"/>
      <c r="X596"/>
      <c r="Y596"/>
      <c r="Z596"/>
      <c r="AA596"/>
      <c r="AB596" t="s">
        <v>3442</v>
      </c>
      <c r="AC596" t="n">
        <v>245</v>
      </c>
      <c r="AD596"/>
      <c r="AE596"/>
      <c r="AF596"/>
      <c r="AG596"/>
    </row>
    <row r="597">
      <c r="A597" t="s">
        <v>3443</v>
      </c>
      <c r="B597" t="s">
        <v>31</v>
      </c>
      <c r="C597" t="s">
        <v>65</v>
      </c>
      <c r="D597" t="s">
        <v>3444</v>
      </c>
      <c r="E597" t="s">
        <v>3187</v>
      </c>
      <c r="F597" t="s">
        <v>3152</v>
      </c>
      <c r="G597" t="s">
        <v>3188</v>
      </c>
      <c r="H597" t="n">
        <v>40.3732036666667</v>
      </c>
      <c r="I597" t="n">
        <v>-105.505732</v>
      </c>
      <c r="J597" t="s">
        <v>35</v>
      </c>
      <c r="K597" t="s">
        <v>527</v>
      </c>
      <c r="L597"/>
      <c r="M597" t="n">
        <v>1992</v>
      </c>
      <c r="N597" t="n">
        <v>1992</v>
      </c>
      <c r="O597" t="s">
        <v>1016</v>
      </c>
      <c r="P597" t="n">
        <v>1</v>
      </c>
      <c r="Q597" t="n">
        <v>1</v>
      </c>
      <c r="R597" t="n">
        <v>1</v>
      </c>
      <c r="S597" t="n">
        <v>1964</v>
      </c>
      <c r="T597" t="s">
        <v>3445</v>
      </c>
      <c r="U597" t="s">
        <v>3446</v>
      </c>
      <c r="V597" t="s">
        <v>74</v>
      </c>
      <c r="W597"/>
      <c r="X597"/>
      <c r="Y597"/>
      <c r="Z597"/>
      <c r="AA597"/>
      <c r="AB597"/>
      <c r="AC597"/>
      <c r="AD597"/>
      <c r="AE597"/>
      <c r="AF597" t="s">
        <v>3447</v>
      </c>
      <c r="AG597" t="n">
        <v>227</v>
      </c>
    </row>
    <row r="598">
      <c r="A598" t="s">
        <v>3448</v>
      </c>
      <c r="B598" t="s">
        <v>31</v>
      </c>
      <c r="C598" t="s">
        <v>65</v>
      </c>
      <c r="D598" t="s">
        <v>3449</v>
      </c>
      <c r="E598" t="s">
        <v>3170</v>
      </c>
      <c r="F598" t="s">
        <v>3152</v>
      </c>
      <c r="G598" t="s">
        <v>3232</v>
      </c>
      <c r="H598" t="n">
        <v>40.552237</v>
      </c>
      <c r="I598" t="n">
        <v>-105.1051095</v>
      </c>
      <c r="J598" t="s">
        <v>35</v>
      </c>
      <c r="K598" t="s">
        <v>70</v>
      </c>
      <c r="L598"/>
      <c r="M598" t="n">
        <v>1992</v>
      </c>
      <c r="N598" t="n">
        <v>1992</v>
      </c>
      <c r="O598" t="s">
        <v>1016</v>
      </c>
      <c r="P598" t="n">
        <v>1</v>
      </c>
      <c r="Q598" t="n">
        <v>1</v>
      </c>
      <c r="R598" t="n">
        <v>1</v>
      </c>
      <c r="S598" t="n">
        <v>1964</v>
      </c>
      <c r="T598" t="s">
        <v>3450</v>
      </c>
      <c r="U598" t="s">
        <v>3451</v>
      </c>
      <c r="V598" t="s">
        <v>74</v>
      </c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3452</v>
      </c>
      <c r="B599" t="s">
        <v>31</v>
      </c>
      <c r="C599" t="s">
        <v>65</v>
      </c>
      <c r="D599" t="s">
        <v>3453</v>
      </c>
      <c r="E599" t="s">
        <v>3454</v>
      </c>
      <c r="F599" t="s">
        <v>3455</v>
      </c>
      <c r="G599" t="s">
        <v>3456</v>
      </c>
      <c r="H599" t="n">
        <v>40.6233508138535</v>
      </c>
      <c r="I599" t="n">
        <v>-103.193367667228</v>
      </c>
      <c r="J599" t="s">
        <v>35</v>
      </c>
      <c r="K599" t="s">
        <v>70</v>
      </c>
      <c r="L599"/>
      <c r="M599" t="n">
        <v>1990</v>
      </c>
      <c r="N599" t="n">
        <v>1992</v>
      </c>
      <c r="O599" t="s">
        <v>357</v>
      </c>
      <c r="P599" t="n">
        <v>2</v>
      </c>
      <c r="Q599" t="n">
        <v>2</v>
      </c>
      <c r="R599" t="n">
        <v>2</v>
      </c>
      <c r="S599" t="n">
        <v>1973</v>
      </c>
      <c r="T599" t="s">
        <v>3457</v>
      </c>
      <c r="U599" t="s">
        <v>3458</v>
      </c>
      <c r="V599" t="s">
        <v>74</v>
      </c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3459</v>
      </c>
      <c r="B600" t="s">
        <v>31</v>
      </c>
      <c r="C600" t="s">
        <v>65</v>
      </c>
      <c r="D600" t="s">
        <v>3460</v>
      </c>
      <c r="E600" t="s">
        <v>3461</v>
      </c>
      <c r="F600" t="s">
        <v>3462</v>
      </c>
      <c r="G600"/>
      <c r="H600" t="n">
        <v>39.0816623042949</v>
      </c>
      <c r="I600" t="n">
        <v>-108.523391697308</v>
      </c>
      <c r="J600" t="s">
        <v>35</v>
      </c>
      <c r="K600" t="s">
        <v>70</v>
      </c>
      <c r="L600"/>
      <c r="M600" t="n">
        <v>1965</v>
      </c>
      <c r="N600" t="n">
        <v>1965</v>
      </c>
      <c r="O600" t="s">
        <v>1275</v>
      </c>
      <c r="P600" t="n">
        <v>1</v>
      </c>
      <c r="Q600" t="n">
        <v>1</v>
      </c>
      <c r="R600" t="n">
        <v>1</v>
      </c>
      <c r="S600"/>
      <c r="T600" t="s">
        <v>3463</v>
      </c>
      <c r="U600" t="s">
        <v>3464</v>
      </c>
      <c r="V600" t="s">
        <v>74</v>
      </c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3465</v>
      </c>
      <c r="B601" t="s">
        <v>31</v>
      </c>
      <c r="C601" t="s">
        <v>65</v>
      </c>
      <c r="D601" t="s">
        <v>3466</v>
      </c>
      <c r="E601" t="s">
        <v>3461</v>
      </c>
      <c r="F601" t="s">
        <v>3462</v>
      </c>
      <c r="G601"/>
      <c r="H601" t="n">
        <v>39.0673139591837</v>
      </c>
      <c r="I601" t="n">
        <v>-108.572203918367</v>
      </c>
      <c r="J601" t="s">
        <v>35</v>
      </c>
      <c r="K601" t="s">
        <v>89</v>
      </c>
      <c r="L601"/>
      <c r="M601" t="n">
        <v>1965</v>
      </c>
      <c r="N601" t="n">
        <v>1965</v>
      </c>
      <c r="O601" t="s">
        <v>1275</v>
      </c>
      <c r="P601" t="n">
        <v>1</v>
      </c>
      <c r="Q601" t="n">
        <v>1</v>
      </c>
      <c r="R601" t="n">
        <v>1</v>
      </c>
      <c r="S601"/>
      <c r="T601" t="s">
        <v>3467</v>
      </c>
      <c r="U601" t="s">
        <v>3468</v>
      </c>
      <c r="V601" t="s">
        <v>74</v>
      </c>
      <c r="W601"/>
      <c r="X601"/>
      <c r="Y601"/>
      <c r="Z601"/>
      <c r="AA601"/>
      <c r="AB601"/>
      <c r="AC601"/>
      <c r="AD601" t="s">
        <v>3469</v>
      </c>
      <c r="AE601" t="n">
        <v>129</v>
      </c>
      <c r="AF601" t="s">
        <v>3470</v>
      </c>
      <c r="AG601" t="n">
        <v>167</v>
      </c>
    </row>
    <row r="602">
      <c r="A602" t="s">
        <v>3471</v>
      </c>
      <c r="B602" t="s">
        <v>31</v>
      </c>
      <c r="C602" t="s">
        <v>65</v>
      </c>
      <c r="D602" t="s">
        <v>3472</v>
      </c>
      <c r="E602" t="s">
        <v>3461</v>
      </c>
      <c r="F602" t="s">
        <v>3462</v>
      </c>
      <c r="G602"/>
      <c r="H602" t="n">
        <v>39.0660143061224</v>
      </c>
      <c r="I602" t="n">
        <v>-108.564436734694</v>
      </c>
      <c r="J602" t="s">
        <v>35</v>
      </c>
      <c r="K602" t="s">
        <v>89</v>
      </c>
      <c r="L602"/>
      <c r="M602" t="n">
        <v>1965</v>
      </c>
      <c r="N602" t="n">
        <v>1983</v>
      </c>
      <c r="O602" t="s">
        <v>3473</v>
      </c>
      <c r="P602" t="n">
        <v>3</v>
      </c>
      <c r="Q602" t="n">
        <v>3</v>
      </c>
      <c r="R602" t="n">
        <v>3</v>
      </c>
      <c r="S602" t="n">
        <v>1900</v>
      </c>
      <c r="T602" t="s">
        <v>3474</v>
      </c>
      <c r="U602" t="s">
        <v>3475</v>
      </c>
      <c r="V602" t="s">
        <v>74</v>
      </c>
      <c r="W602"/>
      <c r="X602"/>
      <c r="Y602"/>
      <c r="Z602"/>
      <c r="AA602"/>
      <c r="AB602" t="s">
        <v>3476</v>
      </c>
      <c r="AC602" t="n">
        <v>108</v>
      </c>
      <c r="AD602"/>
      <c r="AE602"/>
      <c r="AF602" t="s">
        <v>3477</v>
      </c>
      <c r="AG602" t="n">
        <v>58</v>
      </c>
    </row>
    <row r="603">
      <c r="A603" t="s">
        <v>3478</v>
      </c>
      <c r="B603" t="s">
        <v>31</v>
      </c>
      <c r="C603" t="s">
        <v>65</v>
      </c>
      <c r="D603" t="s">
        <v>3479</v>
      </c>
      <c r="E603" t="s">
        <v>3461</v>
      </c>
      <c r="F603" t="s">
        <v>3462</v>
      </c>
      <c r="G603" t="s">
        <v>3480</v>
      </c>
      <c r="H603" t="n">
        <v>39.0778427255144</v>
      </c>
      <c r="I603" t="n">
        <v>-108.566145513359</v>
      </c>
      <c r="J603" t="s">
        <v>35</v>
      </c>
      <c r="K603" t="s">
        <v>70</v>
      </c>
      <c r="L603"/>
      <c r="M603" t="n">
        <v>1966</v>
      </c>
      <c r="N603" t="n">
        <v>1973</v>
      </c>
      <c r="O603" t="s">
        <v>99</v>
      </c>
      <c r="P603" t="n">
        <v>3</v>
      </c>
      <c r="Q603" t="n">
        <v>1</v>
      </c>
      <c r="R603" t="n">
        <v>1</v>
      </c>
      <c r="S603" t="n">
        <v>1953</v>
      </c>
      <c r="T603" t="s">
        <v>3481</v>
      </c>
      <c r="U603" t="s">
        <v>3482</v>
      </c>
      <c r="V603" t="s">
        <v>74</v>
      </c>
      <c r="W603"/>
      <c r="X603"/>
      <c r="Y603"/>
      <c r="Z603"/>
      <c r="AA603"/>
      <c r="AB603" t="s">
        <v>3483</v>
      </c>
      <c r="AC603" t="n">
        <v>146</v>
      </c>
      <c r="AD603"/>
      <c r="AE603"/>
      <c r="AF603" t="s">
        <v>3484</v>
      </c>
      <c r="AG603" t="n">
        <v>80</v>
      </c>
    </row>
    <row r="604">
      <c r="A604" t="s">
        <v>3485</v>
      </c>
      <c r="B604" t="s">
        <v>31</v>
      </c>
      <c r="C604" t="s">
        <v>65</v>
      </c>
      <c r="D604" t="s">
        <v>3486</v>
      </c>
      <c r="E604" t="s">
        <v>3461</v>
      </c>
      <c r="F604" t="s">
        <v>3462</v>
      </c>
      <c r="G604" t="s">
        <v>3487</v>
      </c>
      <c r="H604" t="n">
        <v>39.048388</v>
      </c>
      <c r="I604" t="n">
        <v>-108.520141</v>
      </c>
      <c r="J604" t="s">
        <v>35</v>
      </c>
      <c r="K604" t="s">
        <v>315</v>
      </c>
      <c r="L604"/>
      <c r="M604" t="n">
        <v>1966</v>
      </c>
      <c r="N604" t="n">
        <v>1970</v>
      </c>
      <c r="O604" t="s">
        <v>2771</v>
      </c>
      <c r="P604" t="n">
        <v>3</v>
      </c>
      <c r="Q604" t="n">
        <v>1</v>
      </c>
      <c r="R604" t="n">
        <v>1</v>
      </c>
      <c r="S604" t="n">
        <v>1960</v>
      </c>
      <c r="T604" t="s">
        <v>3488</v>
      </c>
      <c r="U604" t="s">
        <v>3489</v>
      </c>
      <c r="V604" t="s">
        <v>74</v>
      </c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3490</v>
      </c>
      <c r="B605" t="s">
        <v>31</v>
      </c>
      <c r="C605" t="s">
        <v>65</v>
      </c>
      <c r="D605" t="s">
        <v>3491</v>
      </c>
      <c r="E605" t="s">
        <v>3492</v>
      </c>
      <c r="F605" t="s">
        <v>3462</v>
      </c>
      <c r="G605" t="s">
        <v>3493</v>
      </c>
      <c r="H605" t="n">
        <v>39.1590181967179</v>
      </c>
      <c r="I605" t="n">
        <v>-108.732482621003</v>
      </c>
      <c r="J605" t="s">
        <v>35</v>
      </c>
      <c r="K605" t="s">
        <v>120</v>
      </c>
      <c r="L605"/>
      <c r="M605" t="n">
        <v>1967</v>
      </c>
      <c r="N605" t="n">
        <v>1970</v>
      </c>
      <c r="O605" t="s">
        <v>3494</v>
      </c>
      <c r="P605" t="n">
        <v>3</v>
      </c>
      <c r="Q605" t="n">
        <v>1</v>
      </c>
      <c r="R605" t="n">
        <v>1</v>
      </c>
      <c r="S605" t="n">
        <v>1964</v>
      </c>
      <c r="T605" t="s">
        <v>3495</v>
      </c>
      <c r="U605" t="s">
        <v>3496</v>
      </c>
      <c r="V605" t="s">
        <v>74</v>
      </c>
      <c r="W605"/>
      <c r="X605"/>
      <c r="Y605"/>
      <c r="Z605"/>
      <c r="AA605"/>
      <c r="AB605"/>
      <c r="AC605"/>
      <c r="AD605"/>
      <c r="AE605"/>
      <c r="AF605" t="s">
        <v>3497</v>
      </c>
      <c r="AG605" t="n">
        <v>117</v>
      </c>
    </row>
    <row r="606">
      <c r="A606" t="s">
        <v>3498</v>
      </c>
      <c r="B606" t="s">
        <v>31</v>
      </c>
      <c r="C606" t="s">
        <v>65</v>
      </c>
      <c r="D606" t="s">
        <v>3499</v>
      </c>
      <c r="E606" t="s">
        <v>3461</v>
      </c>
      <c r="F606" t="s">
        <v>3462</v>
      </c>
      <c r="G606" t="s">
        <v>3487</v>
      </c>
      <c r="H606" t="n">
        <v>39.0774010515873</v>
      </c>
      <c r="I606" t="n">
        <v>-108.556855734127</v>
      </c>
      <c r="J606" t="s">
        <v>35</v>
      </c>
      <c r="K606" t="s">
        <v>89</v>
      </c>
      <c r="L606"/>
      <c r="M606" t="n">
        <v>1967</v>
      </c>
      <c r="N606" t="n">
        <v>1990</v>
      </c>
      <c r="O606" t="s">
        <v>388</v>
      </c>
      <c r="P606" t="n">
        <v>6</v>
      </c>
      <c r="Q606" t="n">
        <v>4</v>
      </c>
      <c r="R606" t="n">
        <v>1</v>
      </c>
      <c r="S606" t="n">
        <v>1948</v>
      </c>
      <c r="T606" t="s">
        <v>3500</v>
      </c>
      <c r="U606" t="s">
        <v>3501</v>
      </c>
      <c r="V606" t="s">
        <v>74</v>
      </c>
      <c r="W606"/>
      <c r="X606"/>
      <c r="Y606"/>
      <c r="Z606"/>
      <c r="AA606"/>
      <c r="AB606"/>
      <c r="AC606"/>
      <c r="AD606"/>
      <c r="AE606"/>
      <c r="AF606" t="s">
        <v>3502</v>
      </c>
      <c r="AG606" t="n">
        <v>151</v>
      </c>
    </row>
    <row r="607">
      <c r="A607" t="s">
        <v>3503</v>
      </c>
      <c r="B607" t="s">
        <v>31</v>
      </c>
      <c r="C607" t="s">
        <v>65</v>
      </c>
      <c r="D607" t="s">
        <v>3504</v>
      </c>
      <c r="E607" t="s">
        <v>3461</v>
      </c>
      <c r="F607" t="s">
        <v>3462</v>
      </c>
      <c r="G607" t="s">
        <v>3480</v>
      </c>
      <c r="H607" t="n">
        <v>39.0734445517752</v>
      </c>
      <c r="I607" t="n">
        <v>-108.51747</v>
      </c>
      <c r="J607" t="s">
        <v>35</v>
      </c>
      <c r="K607" t="s">
        <v>120</v>
      </c>
      <c r="L607"/>
      <c r="M607" t="n">
        <v>1968</v>
      </c>
      <c r="N607" t="n">
        <v>1974</v>
      </c>
      <c r="O607" t="s">
        <v>90</v>
      </c>
      <c r="P607" t="n">
        <v>3</v>
      </c>
      <c r="Q607" t="n">
        <v>1</v>
      </c>
      <c r="R607" t="n">
        <v>1</v>
      </c>
      <c r="S607" t="n">
        <v>1954</v>
      </c>
      <c r="T607" t="s">
        <v>3505</v>
      </c>
      <c r="U607" t="s">
        <v>3506</v>
      </c>
      <c r="V607" t="s">
        <v>74</v>
      </c>
      <c r="W607"/>
      <c r="X607"/>
      <c r="Y607"/>
      <c r="Z607"/>
      <c r="AA607"/>
      <c r="AB607"/>
      <c r="AC607"/>
      <c r="AD607"/>
      <c r="AE607"/>
      <c r="AF607" t="s">
        <v>3507</v>
      </c>
      <c r="AG607" t="n">
        <v>178</v>
      </c>
    </row>
    <row r="608">
      <c r="A608" t="s">
        <v>3508</v>
      </c>
      <c r="B608" t="s">
        <v>31</v>
      </c>
      <c r="C608" t="s">
        <v>65</v>
      </c>
      <c r="D608" t="s">
        <v>3509</v>
      </c>
      <c r="E608" t="s">
        <v>3461</v>
      </c>
      <c r="F608" t="s">
        <v>3462</v>
      </c>
      <c r="G608" t="s">
        <v>3487</v>
      </c>
      <c r="H608" t="n">
        <v>39.0652929051295</v>
      </c>
      <c r="I608" t="n">
        <v>-108.592229261347</v>
      </c>
      <c r="J608" t="s">
        <v>35</v>
      </c>
      <c r="K608" t="s">
        <v>70</v>
      </c>
      <c r="L608"/>
      <c r="M608" t="n">
        <v>1968</v>
      </c>
      <c r="N608" t="n">
        <v>1970</v>
      </c>
      <c r="O608" t="s">
        <v>1349</v>
      </c>
      <c r="P608" t="n">
        <v>2</v>
      </c>
      <c r="Q608" t="n">
        <v>1</v>
      </c>
      <c r="R608" t="n">
        <v>1</v>
      </c>
      <c r="S608" t="n">
        <v>1963</v>
      </c>
      <c r="T608" t="s">
        <v>3510</v>
      </c>
      <c r="U608" t="s">
        <v>3511</v>
      </c>
      <c r="V608" t="s">
        <v>74</v>
      </c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3512</v>
      </c>
      <c r="B609" t="s">
        <v>31</v>
      </c>
      <c r="C609" t="s">
        <v>65</v>
      </c>
      <c r="D609" t="s">
        <v>3513</v>
      </c>
      <c r="E609" t="s">
        <v>3461</v>
      </c>
      <c r="F609" t="s">
        <v>3462</v>
      </c>
      <c r="G609" t="s">
        <v>3480</v>
      </c>
      <c r="H609" t="n">
        <v>39.089241</v>
      </c>
      <c r="I609" t="n">
        <v>-108.562086</v>
      </c>
      <c r="J609" t="s">
        <v>35</v>
      </c>
      <c r="K609" t="s">
        <v>89</v>
      </c>
      <c r="L609"/>
      <c r="M609" t="n">
        <v>1973</v>
      </c>
      <c r="N609" t="n">
        <v>1990</v>
      </c>
      <c r="O609" t="s">
        <v>325</v>
      </c>
      <c r="P609" t="n">
        <v>7</v>
      </c>
      <c r="Q609" t="n">
        <v>4</v>
      </c>
      <c r="R609" t="n">
        <v>1</v>
      </c>
      <c r="S609" t="n">
        <v>1951</v>
      </c>
      <c r="T609" t="s">
        <v>3514</v>
      </c>
      <c r="U609" t="s">
        <v>3515</v>
      </c>
      <c r="V609" t="s">
        <v>74</v>
      </c>
      <c r="W609"/>
      <c r="X609"/>
      <c r="Y609"/>
      <c r="Z609"/>
      <c r="AA609"/>
      <c r="AB609"/>
      <c r="AC609"/>
      <c r="AD609"/>
      <c r="AE609"/>
      <c r="AF609" t="s">
        <v>3516</v>
      </c>
      <c r="AG609" t="n">
        <v>153</v>
      </c>
    </row>
    <row r="610">
      <c r="A610" t="s">
        <v>3517</v>
      </c>
      <c r="B610" t="s">
        <v>31</v>
      </c>
      <c r="C610" t="s">
        <v>65</v>
      </c>
      <c r="D610" t="s">
        <v>3518</v>
      </c>
      <c r="E610" t="s">
        <v>3461</v>
      </c>
      <c r="F610" t="s">
        <v>3462</v>
      </c>
      <c r="G610" t="s">
        <v>3487</v>
      </c>
      <c r="H610" t="n">
        <v>39.0649896298622</v>
      </c>
      <c r="I610" t="n">
        <v>-108.592234617966</v>
      </c>
      <c r="J610" t="s">
        <v>35</v>
      </c>
      <c r="K610" t="s">
        <v>270</v>
      </c>
      <c r="L610"/>
      <c r="M610" t="n">
        <v>1973</v>
      </c>
      <c r="N610" t="n">
        <v>1983</v>
      </c>
      <c r="O610" t="s">
        <v>3519</v>
      </c>
      <c r="P610" t="n">
        <v>3</v>
      </c>
      <c r="Q610" t="n">
        <v>2</v>
      </c>
      <c r="R610" t="n">
        <v>2</v>
      </c>
      <c r="S610" t="n">
        <v>1961</v>
      </c>
      <c r="T610" t="s">
        <v>3520</v>
      </c>
      <c r="U610" t="s">
        <v>3521</v>
      </c>
      <c r="V610" t="s">
        <v>74</v>
      </c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3522</v>
      </c>
      <c r="B611" t="s">
        <v>31</v>
      </c>
      <c r="C611" t="s">
        <v>65</v>
      </c>
      <c r="D611" t="s">
        <v>3523</v>
      </c>
      <c r="E611" t="s">
        <v>3461</v>
      </c>
      <c r="F611" t="s">
        <v>3462</v>
      </c>
      <c r="G611" t="s">
        <v>3487</v>
      </c>
      <c r="H611" t="n">
        <v>39.066004240097</v>
      </c>
      <c r="I611" t="n">
        <v>-108.557693099309</v>
      </c>
      <c r="J611" t="s">
        <v>35</v>
      </c>
      <c r="K611" t="s">
        <v>89</v>
      </c>
      <c r="L611"/>
      <c r="M611" t="n">
        <v>1974</v>
      </c>
      <c r="N611" t="n">
        <v>1974</v>
      </c>
      <c r="O611" t="s">
        <v>210</v>
      </c>
      <c r="P611" t="n">
        <v>1</v>
      </c>
      <c r="Q611" t="n">
        <v>1</v>
      </c>
      <c r="R611" t="n">
        <v>1</v>
      </c>
      <c r="S611" t="n">
        <v>1964</v>
      </c>
      <c r="T611" t="s">
        <v>3524</v>
      </c>
      <c r="U611" t="s">
        <v>3525</v>
      </c>
      <c r="V611" t="s">
        <v>74</v>
      </c>
      <c r="W611"/>
      <c r="X611"/>
      <c r="Y611"/>
      <c r="Z611"/>
      <c r="AA611"/>
      <c r="AB611"/>
      <c r="AC611"/>
      <c r="AD611"/>
      <c r="AE611"/>
      <c r="AF611" t="s">
        <v>3477</v>
      </c>
      <c r="AG611" t="n">
        <v>128</v>
      </c>
    </row>
    <row r="612">
      <c r="A612" t="s">
        <v>3526</v>
      </c>
      <c r="B612" t="s">
        <v>31</v>
      </c>
      <c r="C612" t="s">
        <v>65</v>
      </c>
      <c r="D612" t="s">
        <v>3527</v>
      </c>
      <c r="E612" t="s">
        <v>3461</v>
      </c>
      <c r="F612" t="s">
        <v>3462</v>
      </c>
      <c r="G612" t="s">
        <v>3487</v>
      </c>
      <c r="H612" t="n">
        <v>39.0891333673469</v>
      </c>
      <c r="I612" t="n">
        <v>-108.589853346939</v>
      </c>
      <c r="J612" t="s">
        <v>35</v>
      </c>
      <c r="K612" t="s">
        <v>141</v>
      </c>
      <c r="L612"/>
      <c r="M612" t="n">
        <v>1974</v>
      </c>
      <c r="N612" t="n">
        <v>1983</v>
      </c>
      <c r="O612" t="s">
        <v>2439</v>
      </c>
      <c r="P612" t="n">
        <v>4</v>
      </c>
      <c r="Q612" t="n">
        <v>2</v>
      </c>
      <c r="R612" t="n">
        <v>2</v>
      </c>
      <c r="S612" t="n">
        <v>1972</v>
      </c>
      <c r="T612" t="s">
        <v>3528</v>
      </c>
      <c r="U612" t="s">
        <v>3529</v>
      </c>
      <c r="V612" t="s">
        <v>74</v>
      </c>
      <c r="W612"/>
      <c r="X612"/>
      <c r="Y612"/>
      <c r="Z612"/>
      <c r="AA612"/>
      <c r="AB612" t="s">
        <v>3530</v>
      </c>
      <c r="AC612" t="n">
        <v>214</v>
      </c>
      <c r="AD612"/>
      <c r="AE612"/>
      <c r="AF612" t="s">
        <v>3531</v>
      </c>
      <c r="AG612" t="n">
        <v>109</v>
      </c>
    </row>
    <row r="613">
      <c r="A613" t="s">
        <v>3532</v>
      </c>
      <c r="B613" t="s">
        <v>31</v>
      </c>
      <c r="C613" t="s">
        <v>65</v>
      </c>
      <c r="D613" t="s">
        <v>3533</v>
      </c>
      <c r="E613" t="s">
        <v>3461</v>
      </c>
      <c r="F613" t="s">
        <v>3462</v>
      </c>
      <c r="G613" t="s">
        <v>3487</v>
      </c>
      <c r="H613" t="n">
        <v>39.0685648520162</v>
      </c>
      <c r="I613" t="n">
        <v>-108.557679411294</v>
      </c>
      <c r="J613" t="s">
        <v>35</v>
      </c>
      <c r="K613" t="s">
        <v>89</v>
      </c>
      <c r="L613"/>
      <c r="M613" t="n">
        <v>1980</v>
      </c>
      <c r="N613" t="n">
        <v>1980</v>
      </c>
      <c r="O613" t="s">
        <v>255</v>
      </c>
      <c r="P613" t="n">
        <v>1</v>
      </c>
      <c r="Q613" t="n">
        <v>2</v>
      </c>
      <c r="R613" t="n">
        <v>1</v>
      </c>
      <c r="S613" t="n">
        <v>1900</v>
      </c>
      <c r="T613" t="s">
        <v>3534</v>
      </c>
      <c r="U613" t="s">
        <v>3535</v>
      </c>
      <c r="V613" t="s">
        <v>74</v>
      </c>
      <c r="W613"/>
      <c r="X613"/>
      <c r="Y613"/>
      <c r="Z613"/>
      <c r="AA613"/>
      <c r="AB613"/>
      <c r="AC613"/>
      <c r="AD613"/>
      <c r="AE613"/>
      <c r="AF613" t="s">
        <v>3536</v>
      </c>
      <c r="AG613" t="n">
        <v>155</v>
      </c>
    </row>
    <row r="614">
      <c r="A614" t="s">
        <v>3537</v>
      </c>
      <c r="B614" t="s">
        <v>31</v>
      </c>
      <c r="C614" t="s">
        <v>65</v>
      </c>
      <c r="D614" t="s">
        <v>3538</v>
      </c>
      <c r="E614" t="s">
        <v>3461</v>
      </c>
      <c r="F614" t="s">
        <v>3462</v>
      </c>
      <c r="G614" t="s">
        <v>3487</v>
      </c>
      <c r="H614" t="n">
        <v>39.0653486513454</v>
      </c>
      <c r="I614" t="n">
        <v>-108.548632669832</v>
      </c>
      <c r="J614" t="s">
        <v>35</v>
      </c>
      <c r="K614" t="s">
        <v>120</v>
      </c>
      <c r="L614"/>
      <c r="M614" t="n">
        <v>1980</v>
      </c>
      <c r="N614" t="n">
        <v>1990</v>
      </c>
      <c r="O614" t="s">
        <v>1668</v>
      </c>
      <c r="P614" t="n">
        <v>4</v>
      </c>
      <c r="Q614" t="n">
        <v>1</v>
      </c>
      <c r="R614" t="n">
        <v>1</v>
      </c>
      <c r="S614" t="n">
        <v>1949</v>
      </c>
      <c r="T614" t="s">
        <v>3539</v>
      </c>
      <c r="U614" t="s">
        <v>3540</v>
      </c>
      <c r="V614" t="s">
        <v>74</v>
      </c>
      <c r="W614"/>
      <c r="X614"/>
      <c r="Y614"/>
      <c r="Z614"/>
      <c r="AA614"/>
      <c r="AB614"/>
      <c r="AC614"/>
      <c r="AD614"/>
      <c r="AE614"/>
      <c r="AF614" t="s">
        <v>3541</v>
      </c>
      <c r="AG614" t="n">
        <v>108</v>
      </c>
    </row>
    <row r="615">
      <c r="A615" t="s">
        <v>3542</v>
      </c>
      <c r="B615" t="s">
        <v>31</v>
      </c>
      <c r="C615" t="s">
        <v>65</v>
      </c>
      <c r="D615" t="s">
        <v>3543</v>
      </c>
      <c r="E615" t="s">
        <v>3461</v>
      </c>
      <c r="F615" t="s">
        <v>3462</v>
      </c>
      <c r="G615" t="s">
        <v>3487</v>
      </c>
      <c r="H615" t="n">
        <v>39.090875867649</v>
      </c>
      <c r="I615" t="n">
        <v>-108.593016273914</v>
      </c>
      <c r="J615" t="s">
        <v>35</v>
      </c>
      <c r="K615" t="s">
        <v>70</v>
      </c>
      <c r="L615"/>
      <c r="M615" t="n">
        <v>1980</v>
      </c>
      <c r="N615" t="n">
        <v>1980</v>
      </c>
      <c r="O615" t="s">
        <v>255</v>
      </c>
      <c r="P615" t="n">
        <v>1</v>
      </c>
      <c r="Q615" t="n">
        <v>1</v>
      </c>
      <c r="R615" t="n">
        <v>1</v>
      </c>
      <c r="S615" t="n">
        <v>1976</v>
      </c>
      <c r="T615" t="s">
        <v>3544</v>
      </c>
      <c r="U615" t="s">
        <v>3545</v>
      </c>
      <c r="V615" t="s">
        <v>74</v>
      </c>
      <c r="W615"/>
      <c r="X615"/>
      <c r="Y615"/>
      <c r="Z615"/>
      <c r="AA615"/>
      <c r="AB615" t="s">
        <v>3546</v>
      </c>
      <c r="AC615" t="n">
        <v>104</v>
      </c>
      <c r="AD615"/>
      <c r="AE615"/>
      <c r="AF615" t="s">
        <v>3547</v>
      </c>
      <c r="AG615" t="n">
        <v>103</v>
      </c>
    </row>
    <row r="616">
      <c r="A616" t="s">
        <v>3548</v>
      </c>
      <c r="B616" t="s">
        <v>31</v>
      </c>
      <c r="C616" t="s">
        <v>65</v>
      </c>
      <c r="D616" t="s">
        <v>3549</v>
      </c>
      <c r="E616" t="s">
        <v>3550</v>
      </c>
      <c r="F616" t="s">
        <v>3462</v>
      </c>
      <c r="G616" t="s">
        <v>3551</v>
      </c>
      <c r="H616" t="n">
        <v>39.0868959937914</v>
      </c>
      <c r="I616" t="n">
        <v>-108.450061812694</v>
      </c>
      <c r="J616" t="s">
        <v>35</v>
      </c>
      <c r="K616" t="s">
        <v>796</v>
      </c>
      <c r="L616"/>
      <c r="M616" t="n">
        <v>1983</v>
      </c>
      <c r="N616" t="n">
        <v>1988</v>
      </c>
      <c r="O616" t="s">
        <v>325</v>
      </c>
      <c r="P616" t="n">
        <v>2</v>
      </c>
      <c r="Q616" t="n">
        <v>2</v>
      </c>
      <c r="R616" t="n">
        <v>1</v>
      </c>
      <c r="S616" t="n">
        <v>1974</v>
      </c>
      <c r="T616" t="s">
        <v>3552</v>
      </c>
      <c r="U616" t="s">
        <v>3553</v>
      </c>
      <c r="V616" t="s">
        <v>74</v>
      </c>
      <c r="W616"/>
      <c r="X616"/>
      <c r="Y616"/>
      <c r="Z616"/>
      <c r="AA616"/>
      <c r="AB616"/>
      <c r="AC616"/>
      <c r="AD616"/>
      <c r="AE616"/>
      <c r="AF616" t="s">
        <v>3554</v>
      </c>
      <c r="AG616" t="n">
        <v>216</v>
      </c>
    </row>
    <row r="617">
      <c r="A617" t="s">
        <v>3555</v>
      </c>
      <c r="B617" t="s">
        <v>31</v>
      </c>
      <c r="C617" t="s">
        <v>65</v>
      </c>
      <c r="D617" t="s">
        <v>3556</v>
      </c>
      <c r="E617" t="s">
        <v>3461</v>
      </c>
      <c r="F617" t="s">
        <v>3462</v>
      </c>
      <c r="G617" t="s">
        <v>3487</v>
      </c>
      <c r="H617" t="n">
        <v>39.0577176734404</v>
      </c>
      <c r="I617" t="n">
        <v>-108.544279515018</v>
      </c>
      <c r="J617" t="s">
        <v>35</v>
      </c>
      <c r="K617" t="s">
        <v>120</v>
      </c>
      <c r="L617"/>
      <c r="M617" t="n">
        <v>1983</v>
      </c>
      <c r="N617" t="n">
        <v>1983</v>
      </c>
      <c r="O617" t="s">
        <v>264</v>
      </c>
      <c r="P617" t="n">
        <v>1</v>
      </c>
      <c r="Q617" t="n">
        <v>1</v>
      </c>
      <c r="R617" t="n">
        <v>1</v>
      </c>
      <c r="S617" t="n">
        <v>1981</v>
      </c>
      <c r="T617" t="s">
        <v>3557</v>
      </c>
      <c r="U617" t="s">
        <v>3558</v>
      </c>
      <c r="V617" t="s">
        <v>74</v>
      </c>
      <c r="W617"/>
      <c r="X617"/>
      <c r="Y617"/>
      <c r="Z617"/>
      <c r="AA617"/>
      <c r="AB617"/>
      <c r="AC617"/>
      <c r="AD617" t="s">
        <v>3559</v>
      </c>
      <c r="AE617" t="n">
        <v>115</v>
      </c>
      <c r="AF617" t="s">
        <v>3560</v>
      </c>
      <c r="AG617" t="n">
        <v>153</v>
      </c>
    </row>
    <row r="618">
      <c r="A618" t="s">
        <v>3561</v>
      </c>
      <c r="B618" t="s">
        <v>31</v>
      </c>
      <c r="C618" t="s">
        <v>65</v>
      </c>
      <c r="D618" t="s">
        <v>3562</v>
      </c>
      <c r="E618" t="s">
        <v>3461</v>
      </c>
      <c r="F618" t="s">
        <v>3462</v>
      </c>
      <c r="G618" t="s">
        <v>3487</v>
      </c>
      <c r="H618" t="n">
        <v>39.0583908636358</v>
      </c>
      <c r="I618" t="n">
        <v>-108.560257136195</v>
      </c>
      <c r="J618" t="s">
        <v>35</v>
      </c>
      <c r="K618" t="s">
        <v>120</v>
      </c>
      <c r="L618"/>
      <c r="M618" t="n">
        <v>1983</v>
      </c>
      <c r="N618" t="n">
        <v>1983</v>
      </c>
      <c r="O618" t="s">
        <v>264</v>
      </c>
      <c r="P618" t="n">
        <v>1</v>
      </c>
      <c r="Q618" t="n">
        <v>1</v>
      </c>
      <c r="R618" t="n">
        <v>1</v>
      </c>
      <c r="S618" t="n">
        <v>1968</v>
      </c>
      <c r="T618" t="s">
        <v>3563</v>
      </c>
      <c r="U618" t="s">
        <v>3564</v>
      </c>
      <c r="V618" t="s">
        <v>74</v>
      </c>
      <c r="W618"/>
      <c r="X618"/>
      <c r="Y618"/>
      <c r="Z618"/>
      <c r="AA618"/>
      <c r="AB618" t="s">
        <v>3565</v>
      </c>
      <c r="AC618" t="n">
        <v>142</v>
      </c>
      <c r="AD618" t="s">
        <v>3469</v>
      </c>
      <c r="AE618" t="n">
        <v>104</v>
      </c>
      <c r="AF618" t="s">
        <v>3566</v>
      </c>
      <c r="AG618" t="n">
        <v>90</v>
      </c>
    </row>
    <row r="619">
      <c r="A619" t="s">
        <v>3567</v>
      </c>
      <c r="B619" t="s">
        <v>31</v>
      </c>
      <c r="C619" t="s">
        <v>65</v>
      </c>
      <c r="D619" t="s">
        <v>3568</v>
      </c>
      <c r="E619" t="s">
        <v>3461</v>
      </c>
      <c r="F619" t="s">
        <v>3462</v>
      </c>
      <c r="G619" t="s">
        <v>3569</v>
      </c>
      <c r="H619" t="n">
        <v>39.11079025</v>
      </c>
      <c r="I619" t="n">
        <v>-108.626855047422</v>
      </c>
      <c r="J619" t="s">
        <v>35</v>
      </c>
      <c r="K619" t="s">
        <v>70</v>
      </c>
      <c r="L619"/>
      <c r="M619" t="n">
        <v>1988</v>
      </c>
      <c r="N619" t="n">
        <v>1992</v>
      </c>
      <c r="O619" t="s">
        <v>320</v>
      </c>
      <c r="P619" t="n">
        <v>3</v>
      </c>
      <c r="Q619" t="n">
        <v>3</v>
      </c>
      <c r="R619" t="n">
        <v>3</v>
      </c>
      <c r="S619" t="n">
        <v>1968</v>
      </c>
      <c r="T619" t="s">
        <v>3570</v>
      </c>
      <c r="U619" t="s">
        <v>3571</v>
      </c>
      <c r="V619" t="s">
        <v>74</v>
      </c>
      <c r="W619"/>
      <c r="X619"/>
      <c r="Y619"/>
      <c r="Z619"/>
      <c r="AA619"/>
      <c r="AB619"/>
      <c r="AC619"/>
      <c r="AD619"/>
      <c r="AE619"/>
      <c r="AF619" t="s">
        <v>3572</v>
      </c>
      <c r="AG619" t="n">
        <v>199</v>
      </c>
    </row>
    <row r="620">
      <c r="A620" t="s">
        <v>3573</v>
      </c>
      <c r="B620" t="s">
        <v>31</v>
      </c>
      <c r="C620" t="s">
        <v>65</v>
      </c>
      <c r="D620" t="s">
        <v>3574</v>
      </c>
      <c r="E620" t="s">
        <v>3461</v>
      </c>
      <c r="F620" t="s">
        <v>3462</v>
      </c>
      <c r="G620" t="s">
        <v>3569</v>
      </c>
      <c r="H620" t="n">
        <v>39.0819182733495</v>
      </c>
      <c r="I620" t="n">
        <v>-108.591462238462</v>
      </c>
      <c r="J620" t="s">
        <v>35</v>
      </c>
      <c r="K620" t="s">
        <v>120</v>
      </c>
      <c r="L620"/>
      <c r="M620" t="n">
        <v>1988</v>
      </c>
      <c r="N620" t="n">
        <v>1990</v>
      </c>
      <c r="O620" t="s">
        <v>310</v>
      </c>
      <c r="P620" t="n">
        <v>2</v>
      </c>
      <c r="Q620" t="n">
        <v>2</v>
      </c>
      <c r="R620" t="n">
        <v>1</v>
      </c>
      <c r="S620" t="n">
        <v>1974</v>
      </c>
      <c r="T620" t="s">
        <v>3575</v>
      </c>
      <c r="U620" t="s">
        <v>3576</v>
      </c>
      <c r="V620" t="s">
        <v>74</v>
      </c>
      <c r="W620"/>
      <c r="X620"/>
      <c r="Y620"/>
      <c r="Z620"/>
      <c r="AA620"/>
      <c r="AB620"/>
      <c r="AC620"/>
      <c r="AD620"/>
      <c r="AE620"/>
      <c r="AF620" t="s">
        <v>3577</v>
      </c>
      <c r="AG620" t="n">
        <v>102</v>
      </c>
    </row>
    <row r="621">
      <c r="A621" t="s">
        <v>3578</v>
      </c>
      <c r="B621" t="s">
        <v>31</v>
      </c>
      <c r="C621" t="s">
        <v>65</v>
      </c>
      <c r="D621" t="s">
        <v>3579</v>
      </c>
      <c r="E621" t="s">
        <v>3461</v>
      </c>
      <c r="F621" t="s">
        <v>3462</v>
      </c>
      <c r="G621" t="s">
        <v>3580</v>
      </c>
      <c r="H621" t="n">
        <v>39.028319</v>
      </c>
      <c r="I621" t="n">
        <v>-108.513743</v>
      </c>
      <c r="J621" t="s">
        <v>35</v>
      </c>
      <c r="K621" t="s">
        <v>141</v>
      </c>
      <c r="L621"/>
      <c r="M621" t="n">
        <v>1988</v>
      </c>
      <c r="N621" t="n">
        <v>1990</v>
      </c>
      <c r="O621" t="s">
        <v>310</v>
      </c>
      <c r="P621" t="n">
        <v>2</v>
      </c>
      <c r="Q621" t="n">
        <v>1</v>
      </c>
      <c r="R621" t="n">
        <v>1</v>
      </c>
      <c r="S621" t="n">
        <v>1982</v>
      </c>
      <c r="T621" t="s">
        <v>3581</v>
      </c>
      <c r="U621" t="s">
        <v>3582</v>
      </c>
      <c r="V621" t="s">
        <v>74</v>
      </c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3583</v>
      </c>
      <c r="B622" t="s">
        <v>31</v>
      </c>
      <c r="C622" t="s">
        <v>65</v>
      </c>
      <c r="D622" t="s">
        <v>3584</v>
      </c>
      <c r="E622" t="s">
        <v>3461</v>
      </c>
      <c r="F622" t="s">
        <v>3462</v>
      </c>
      <c r="G622" t="s">
        <v>3487</v>
      </c>
      <c r="H622" t="n">
        <v>39.0673124094149</v>
      </c>
      <c r="I622" t="n">
        <v>-108.573105146193</v>
      </c>
      <c r="J622" t="s">
        <v>35</v>
      </c>
      <c r="K622" t="s">
        <v>133</v>
      </c>
      <c r="L622"/>
      <c r="M622" t="n">
        <v>1988</v>
      </c>
      <c r="N622" t="n">
        <v>1990</v>
      </c>
      <c r="O622" t="s">
        <v>351</v>
      </c>
      <c r="P622" t="n">
        <v>2</v>
      </c>
      <c r="Q622" t="n">
        <v>3</v>
      </c>
      <c r="R622" t="n">
        <v>1</v>
      </c>
      <c r="S622" t="n">
        <v>1987</v>
      </c>
      <c r="T622" t="s">
        <v>3585</v>
      </c>
      <c r="U622" t="s">
        <v>3586</v>
      </c>
      <c r="V622" t="s">
        <v>74</v>
      </c>
      <c r="W622"/>
      <c r="X622"/>
      <c r="Y622"/>
      <c r="Z622"/>
      <c r="AA622"/>
      <c r="AB622"/>
      <c r="AC622"/>
      <c r="AD622" t="s">
        <v>3469</v>
      </c>
      <c r="AE622" t="n">
        <v>203</v>
      </c>
      <c r="AF622" t="s">
        <v>3470</v>
      </c>
      <c r="AG622" t="n">
        <v>150</v>
      </c>
    </row>
    <row r="623">
      <c r="A623" t="s">
        <v>3587</v>
      </c>
      <c r="B623" t="s">
        <v>31</v>
      </c>
      <c r="C623" t="s">
        <v>65</v>
      </c>
      <c r="D623" t="s">
        <v>3588</v>
      </c>
      <c r="E623" t="s">
        <v>3461</v>
      </c>
      <c r="F623" t="s">
        <v>3462</v>
      </c>
      <c r="G623" t="s">
        <v>3487</v>
      </c>
      <c r="H623" t="n">
        <v>39.0584032017269</v>
      </c>
      <c r="I623" t="n">
        <v>-108.555770605937</v>
      </c>
      <c r="J623" t="s">
        <v>35</v>
      </c>
      <c r="K623" t="s">
        <v>120</v>
      </c>
      <c r="L623"/>
      <c r="M623" t="n">
        <v>1988</v>
      </c>
      <c r="N623" t="n">
        <v>1990</v>
      </c>
      <c r="O623" t="s">
        <v>310</v>
      </c>
      <c r="P623" t="n">
        <v>2</v>
      </c>
      <c r="Q623" t="n">
        <v>2</v>
      </c>
      <c r="R623" t="n">
        <v>2</v>
      </c>
      <c r="S623" t="n">
        <v>1967</v>
      </c>
      <c r="T623" t="s">
        <v>3589</v>
      </c>
      <c r="U623" t="s">
        <v>3590</v>
      </c>
      <c r="V623" t="s">
        <v>74</v>
      </c>
      <c r="W623"/>
      <c r="X623"/>
      <c r="Y623"/>
      <c r="Z623"/>
      <c r="AA623"/>
      <c r="AB623"/>
      <c r="AC623"/>
      <c r="AD623" t="s">
        <v>3591</v>
      </c>
      <c r="AE623" t="n">
        <v>231</v>
      </c>
      <c r="AF623" t="s">
        <v>3592</v>
      </c>
      <c r="AG623" t="n">
        <v>167</v>
      </c>
    </row>
    <row r="624">
      <c r="A624" t="s">
        <v>3593</v>
      </c>
      <c r="B624" t="s">
        <v>31</v>
      </c>
      <c r="C624" t="s">
        <v>65</v>
      </c>
      <c r="D624" t="s">
        <v>3594</v>
      </c>
      <c r="E624" t="s">
        <v>3492</v>
      </c>
      <c r="F624" t="s">
        <v>3462</v>
      </c>
      <c r="G624" t="s">
        <v>3493</v>
      </c>
      <c r="H624" t="n">
        <v>39.1534826053602</v>
      </c>
      <c r="I624" t="n">
        <v>-108.727216088774</v>
      </c>
      <c r="J624" t="s">
        <v>35</v>
      </c>
      <c r="K624" t="s">
        <v>120</v>
      </c>
      <c r="L624"/>
      <c r="M624" t="n">
        <v>1992</v>
      </c>
      <c r="N624" t="n">
        <v>1992</v>
      </c>
      <c r="O624" t="s">
        <v>1016</v>
      </c>
      <c r="P624" t="n">
        <v>1</v>
      </c>
      <c r="Q624" t="n">
        <v>1</v>
      </c>
      <c r="R624" t="n">
        <v>1</v>
      </c>
      <c r="S624" t="n">
        <v>1989</v>
      </c>
      <c r="T624" t="s">
        <v>3595</v>
      </c>
      <c r="U624" t="s">
        <v>3596</v>
      </c>
      <c r="V624" t="s">
        <v>74</v>
      </c>
      <c r="W624"/>
      <c r="X624"/>
      <c r="Y624"/>
      <c r="Z624"/>
      <c r="AA624"/>
      <c r="AB624" t="s">
        <v>3597</v>
      </c>
      <c r="AC624" t="n">
        <v>205</v>
      </c>
      <c r="AD624"/>
      <c r="AE624"/>
      <c r="AF624" t="s">
        <v>3598</v>
      </c>
      <c r="AG624" t="n">
        <v>118</v>
      </c>
    </row>
    <row r="625">
      <c r="A625" t="s">
        <v>3599</v>
      </c>
      <c r="B625" t="s">
        <v>31</v>
      </c>
      <c r="C625" t="s">
        <v>65</v>
      </c>
      <c r="D625" t="s">
        <v>3600</v>
      </c>
      <c r="E625" t="s">
        <v>3461</v>
      </c>
      <c r="F625" t="s">
        <v>3462</v>
      </c>
      <c r="G625" t="s">
        <v>3487</v>
      </c>
      <c r="H625" t="n">
        <v>39.087724</v>
      </c>
      <c r="I625" t="n">
        <v>-108.570891</v>
      </c>
      <c r="J625" t="s">
        <v>35</v>
      </c>
      <c r="K625" t="s">
        <v>120</v>
      </c>
      <c r="L625"/>
      <c r="M625" t="n">
        <v>1992</v>
      </c>
      <c r="N625" t="n">
        <v>1992</v>
      </c>
      <c r="O625" t="s">
        <v>1016</v>
      </c>
      <c r="P625" t="n">
        <v>1</v>
      </c>
      <c r="Q625" t="n">
        <v>1</v>
      </c>
      <c r="R625" t="n">
        <v>1</v>
      </c>
      <c r="S625" t="n">
        <v>1976</v>
      </c>
      <c r="T625" t="s">
        <v>3601</v>
      </c>
      <c r="U625" t="s">
        <v>3602</v>
      </c>
      <c r="V625" t="s">
        <v>74</v>
      </c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3603</v>
      </c>
      <c r="B626" t="s">
        <v>31</v>
      </c>
      <c r="C626" t="s">
        <v>65</v>
      </c>
      <c r="D626" t="s">
        <v>3604</v>
      </c>
      <c r="E626" t="s">
        <v>3605</v>
      </c>
      <c r="F626" t="s">
        <v>3606</v>
      </c>
      <c r="G626" t="s">
        <v>3607</v>
      </c>
      <c r="H626" t="n">
        <v>40.512314939332</v>
      </c>
      <c r="I626" t="n">
        <v>-107.548468778364</v>
      </c>
      <c r="J626" t="s">
        <v>35</v>
      </c>
      <c r="K626" t="s">
        <v>120</v>
      </c>
      <c r="L626"/>
      <c r="M626" t="n">
        <v>1967</v>
      </c>
      <c r="N626" t="n">
        <v>1968</v>
      </c>
      <c r="O626" t="s">
        <v>106</v>
      </c>
      <c r="P626" t="n">
        <v>2</v>
      </c>
      <c r="Q626" t="n">
        <v>1</v>
      </c>
      <c r="R626" t="n">
        <v>1</v>
      </c>
      <c r="S626" t="n">
        <v>1963</v>
      </c>
      <c r="T626" t="s">
        <v>3608</v>
      </c>
      <c r="U626" t="s">
        <v>3609</v>
      </c>
      <c r="V626" t="s">
        <v>74</v>
      </c>
      <c r="W626"/>
      <c r="X626"/>
      <c r="Y626"/>
      <c r="Z626"/>
      <c r="AA626"/>
      <c r="AB626" t="s">
        <v>3610</v>
      </c>
      <c r="AC626" t="n">
        <v>106</v>
      </c>
      <c r="AD626"/>
      <c r="AE626"/>
      <c r="AF626" t="s">
        <v>3611</v>
      </c>
      <c r="AG626" t="n">
        <v>88</v>
      </c>
    </row>
    <row r="627">
      <c r="A627" t="s">
        <v>3612</v>
      </c>
      <c r="B627" t="s">
        <v>31</v>
      </c>
      <c r="C627" t="s">
        <v>65</v>
      </c>
      <c r="D627" t="s">
        <v>3613</v>
      </c>
      <c r="E627" t="s">
        <v>3605</v>
      </c>
      <c r="F627" t="s">
        <v>3606</v>
      </c>
      <c r="G627" t="s">
        <v>3607</v>
      </c>
      <c r="H627" t="n">
        <v>40.5184879572434</v>
      </c>
      <c r="I627" t="n">
        <v>-107.554484533987</v>
      </c>
      <c r="J627" t="s">
        <v>35</v>
      </c>
      <c r="K627" t="s">
        <v>89</v>
      </c>
      <c r="L627"/>
      <c r="M627" t="n">
        <v>1980</v>
      </c>
      <c r="N627" t="n">
        <v>1992</v>
      </c>
      <c r="O627" t="s">
        <v>3614</v>
      </c>
      <c r="P627" t="n">
        <v>5</v>
      </c>
      <c r="Q627" t="n">
        <v>2</v>
      </c>
      <c r="R627" t="n">
        <v>2</v>
      </c>
      <c r="S627" t="n">
        <v>1965</v>
      </c>
      <c r="T627" t="s">
        <v>3615</v>
      </c>
      <c r="U627" t="s">
        <v>3616</v>
      </c>
      <c r="V627" t="s">
        <v>74</v>
      </c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3617</v>
      </c>
      <c r="B628" t="s">
        <v>31</v>
      </c>
      <c r="C628" t="s">
        <v>65</v>
      </c>
      <c r="D628" t="s">
        <v>3618</v>
      </c>
      <c r="E628" t="s">
        <v>3605</v>
      </c>
      <c r="F628" t="s">
        <v>3606</v>
      </c>
      <c r="G628" t="s">
        <v>3619</v>
      </c>
      <c r="H628" t="n">
        <v>40.51047</v>
      </c>
      <c r="I628" t="n">
        <v>-107.575414768669</v>
      </c>
      <c r="J628" t="s">
        <v>35</v>
      </c>
      <c r="K628" t="s">
        <v>120</v>
      </c>
      <c r="L628"/>
      <c r="M628" t="n">
        <v>1990</v>
      </c>
      <c r="N628" t="n">
        <v>1990</v>
      </c>
      <c r="O628" t="s">
        <v>351</v>
      </c>
      <c r="P628" t="n">
        <v>1</v>
      </c>
      <c r="Q628" t="n">
        <v>1</v>
      </c>
      <c r="R628" t="n">
        <v>1</v>
      </c>
      <c r="S628" t="n">
        <v>1987</v>
      </c>
      <c r="T628" t="s">
        <v>3620</v>
      </c>
      <c r="U628" t="s">
        <v>3621</v>
      </c>
      <c r="V628" t="s">
        <v>74</v>
      </c>
      <c r="W628"/>
      <c r="X628"/>
      <c r="Y628"/>
      <c r="Z628"/>
      <c r="AA628"/>
      <c r="AB628"/>
      <c r="AC628"/>
      <c r="AD628"/>
      <c r="AE628"/>
      <c r="AF628" t="s">
        <v>3622</v>
      </c>
      <c r="AG628" t="n">
        <v>242</v>
      </c>
    </row>
    <row r="629">
      <c r="A629" t="s">
        <v>3623</v>
      </c>
      <c r="B629" t="s">
        <v>31</v>
      </c>
      <c r="C629" t="s">
        <v>65</v>
      </c>
      <c r="D629" t="s">
        <v>3624</v>
      </c>
      <c r="E629" t="s">
        <v>3625</v>
      </c>
      <c r="F629" t="s">
        <v>3626</v>
      </c>
      <c r="G629" t="s">
        <v>3627</v>
      </c>
      <c r="H629" t="n">
        <v>37.348857</v>
      </c>
      <c r="I629" t="n">
        <v>-108.5704325</v>
      </c>
      <c r="J629" t="s">
        <v>35</v>
      </c>
      <c r="K629" t="s">
        <v>89</v>
      </c>
      <c r="L629"/>
      <c r="M629" t="n">
        <v>1967</v>
      </c>
      <c r="N629" t="n">
        <v>1973</v>
      </c>
      <c r="O629" t="s">
        <v>755</v>
      </c>
      <c r="P629" t="n">
        <v>3</v>
      </c>
      <c r="Q629" t="n">
        <v>2</v>
      </c>
      <c r="R629" t="n">
        <v>2</v>
      </c>
      <c r="S629" t="n">
        <v>1949</v>
      </c>
      <c r="T629" t="s">
        <v>3628</v>
      </c>
      <c r="U629" t="s">
        <v>3629</v>
      </c>
      <c r="V629" t="s">
        <v>74</v>
      </c>
      <c r="W629"/>
      <c r="X629"/>
      <c r="Y629"/>
      <c r="Z629"/>
      <c r="AA629"/>
      <c r="AB629"/>
      <c r="AC629"/>
      <c r="AD629"/>
      <c r="AE629"/>
      <c r="AF629" t="s">
        <v>3630</v>
      </c>
      <c r="AG629" t="n">
        <v>74</v>
      </c>
    </row>
    <row r="630">
      <c r="A630" t="s">
        <v>3631</v>
      </c>
      <c r="B630" t="s">
        <v>31</v>
      </c>
      <c r="C630" t="s">
        <v>65</v>
      </c>
      <c r="D630" t="s">
        <v>3632</v>
      </c>
      <c r="E630" t="s">
        <v>3625</v>
      </c>
      <c r="F630" t="s">
        <v>3626</v>
      </c>
      <c r="G630" t="s">
        <v>3627</v>
      </c>
      <c r="H630" t="n">
        <v>37.343388</v>
      </c>
      <c r="I630" t="n">
        <v>-108.585072</v>
      </c>
      <c r="J630" t="s">
        <v>35</v>
      </c>
      <c r="K630" t="s">
        <v>120</v>
      </c>
      <c r="L630"/>
      <c r="M630" t="n">
        <v>1967</v>
      </c>
      <c r="N630" t="n">
        <v>1967</v>
      </c>
      <c r="O630" t="s">
        <v>388</v>
      </c>
      <c r="P630" t="n">
        <v>1</v>
      </c>
      <c r="Q630" t="n">
        <v>1</v>
      </c>
      <c r="R630" t="n">
        <v>1</v>
      </c>
      <c r="S630" t="n">
        <v>1948</v>
      </c>
      <c r="T630" t="s">
        <v>3633</v>
      </c>
      <c r="U630" t="s">
        <v>3634</v>
      </c>
      <c r="V630" t="s">
        <v>74</v>
      </c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3635</v>
      </c>
      <c r="B631" t="s">
        <v>31</v>
      </c>
      <c r="C631" t="s">
        <v>65</v>
      </c>
      <c r="D631" t="s">
        <v>3636</v>
      </c>
      <c r="E631" t="s">
        <v>3625</v>
      </c>
      <c r="F631" t="s">
        <v>3626</v>
      </c>
      <c r="G631" t="s">
        <v>3627</v>
      </c>
      <c r="H631" t="n">
        <v>37.339242</v>
      </c>
      <c r="I631" t="n">
        <v>-108.584636</v>
      </c>
      <c r="J631" t="s">
        <v>35</v>
      </c>
      <c r="K631" t="s">
        <v>120</v>
      </c>
      <c r="L631"/>
      <c r="M631" t="n">
        <v>1968</v>
      </c>
      <c r="N631" t="n">
        <v>1968</v>
      </c>
      <c r="O631" t="s">
        <v>1349</v>
      </c>
      <c r="P631" t="n">
        <v>1</v>
      </c>
      <c r="Q631" t="n">
        <v>1</v>
      </c>
      <c r="R631" t="n">
        <v>1</v>
      </c>
      <c r="S631" t="n">
        <v>1948</v>
      </c>
      <c r="T631" t="s">
        <v>3637</v>
      </c>
      <c r="U631" t="s">
        <v>3638</v>
      </c>
      <c r="V631" t="s">
        <v>74</v>
      </c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3639</v>
      </c>
      <c r="B632" t="s">
        <v>31</v>
      </c>
      <c r="C632" t="s">
        <v>65</v>
      </c>
      <c r="D632" t="s">
        <v>3640</v>
      </c>
      <c r="E632" t="s">
        <v>3625</v>
      </c>
      <c r="F632" t="s">
        <v>3626</v>
      </c>
      <c r="G632" t="s">
        <v>3627</v>
      </c>
      <c r="H632" t="n">
        <v>37.3539172430966</v>
      </c>
      <c r="I632" t="n">
        <v>-108.589644097406</v>
      </c>
      <c r="J632" t="s">
        <v>35</v>
      </c>
      <c r="K632" t="s">
        <v>120</v>
      </c>
      <c r="L632"/>
      <c r="M632" t="n">
        <v>1973</v>
      </c>
      <c r="N632" t="n">
        <v>1973</v>
      </c>
      <c r="O632" t="s">
        <v>121</v>
      </c>
      <c r="P632" t="n">
        <v>1</v>
      </c>
      <c r="Q632" t="n">
        <v>1</v>
      </c>
      <c r="R632" t="n">
        <v>1</v>
      </c>
      <c r="S632" t="n">
        <v>1955</v>
      </c>
      <c r="T632" t="s">
        <v>3641</v>
      </c>
      <c r="U632" t="s">
        <v>3642</v>
      </c>
      <c r="V632" t="s">
        <v>74</v>
      </c>
      <c r="W632"/>
      <c r="X632"/>
      <c r="Y632"/>
      <c r="Z632"/>
      <c r="AA632"/>
      <c r="AB632"/>
      <c r="AC632"/>
      <c r="AD632"/>
      <c r="AE632"/>
      <c r="AF632" t="s">
        <v>3643</v>
      </c>
      <c r="AG632" t="n">
        <v>75</v>
      </c>
    </row>
    <row r="633">
      <c r="A633" t="s">
        <v>3644</v>
      </c>
      <c r="B633" t="s">
        <v>31</v>
      </c>
      <c r="C633" t="s">
        <v>65</v>
      </c>
      <c r="D633" t="s">
        <v>3645</v>
      </c>
      <c r="E633" t="s">
        <v>3625</v>
      </c>
      <c r="F633" t="s">
        <v>3626</v>
      </c>
      <c r="G633" t="s">
        <v>3627</v>
      </c>
      <c r="H633" t="n">
        <v>37.3608507249389</v>
      </c>
      <c r="I633" t="n">
        <v>-108.557827197739</v>
      </c>
      <c r="J633" t="s">
        <v>35</v>
      </c>
      <c r="K633" t="s">
        <v>133</v>
      </c>
      <c r="L633"/>
      <c r="M633" t="n">
        <v>1988</v>
      </c>
      <c r="N633" t="n">
        <v>1988</v>
      </c>
      <c r="O633" t="s">
        <v>325</v>
      </c>
      <c r="P633" t="n">
        <v>1</v>
      </c>
      <c r="Q633" t="n">
        <v>1</v>
      </c>
      <c r="R633" t="n">
        <v>1</v>
      </c>
      <c r="S633" t="n">
        <v>1981</v>
      </c>
      <c r="T633" t="s">
        <v>3646</v>
      </c>
      <c r="U633" t="s">
        <v>3647</v>
      </c>
      <c r="V633" t="s">
        <v>74</v>
      </c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3648</v>
      </c>
      <c r="B634" t="s">
        <v>31</v>
      </c>
      <c r="C634" t="s">
        <v>65</v>
      </c>
      <c r="D634" t="s">
        <v>3649</v>
      </c>
      <c r="E634" t="s">
        <v>3650</v>
      </c>
      <c r="F634" t="s">
        <v>3626</v>
      </c>
      <c r="G634" t="s">
        <v>3651</v>
      </c>
      <c r="H634" t="n">
        <v>37.3461488282435</v>
      </c>
      <c r="I634" t="n">
        <v>-108.292211434477</v>
      </c>
      <c r="J634" t="s">
        <v>35</v>
      </c>
      <c r="K634" t="s">
        <v>70</v>
      </c>
      <c r="L634"/>
      <c r="M634" t="n">
        <v>1990</v>
      </c>
      <c r="N634" t="n">
        <v>1990</v>
      </c>
      <c r="O634" t="s">
        <v>351</v>
      </c>
      <c r="P634" t="n">
        <v>1</v>
      </c>
      <c r="Q634" t="n">
        <v>1</v>
      </c>
      <c r="R634" t="n">
        <v>1</v>
      </c>
      <c r="S634" t="n">
        <v>1988</v>
      </c>
      <c r="T634" t="s">
        <v>3652</v>
      </c>
      <c r="U634" t="s">
        <v>3653</v>
      </c>
      <c r="V634" t="s">
        <v>74</v>
      </c>
      <c r="W634"/>
      <c r="X634"/>
      <c r="Y634"/>
      <c r="Z634"/>
      <c r="AA634"/>
      <c r="AB634" t="s">
        <v>3654</v>
      </c>
      <c r="AC634" t="n">
        <v>174</v>
      </c>
      <c r="AD634"/>
      <c r="AE634"/>
      <c r="AF634" t="s">
        <v>3655</v>
      </c>
      <c r="AG634" t="n">
        <v>142</v>
      </c>
    </row>
    <row r="635">
      <c r="A635" t="s">
        <v>3656</v>
      </c>
      <c r="B635" t="s">
        <v>31</v>
      </c>
      <c r="C635" t="s">
        <v>65</v>
      </c>
      <c r="D635" t="s">
        <v>3657</v>
      </c>
      <c r="E635" t="s">
        <v>3658</v>
      </c>
      <c r="F635" t="s">
        <v>3659</v>
      </c>
      <c r="G635" t="s">
        <v>3660</v>
      </c>
      <c r="H635" t="n">
        <v>38.479612165051</v>
      </c>
      <c r="I635" t="n">
        <v>-107.878456125946</v>
      </c>
      <c r="J635" t="s">
        <v>35</v>
      </c>
      <c r="K635" t="s">
        <v>120</v>
      </c>
      <c r="L635"/>
      <c r="M635" t="n">
        <v>1966</v>
      </c>
      <c r="N635" t="n">
        <v>1974</v>
      </c>
      <c r="O635" t="s">
        <v>1541</v>
      </c>
      <c r="P635" t="n">
        <v>5</v>
      </c>
      <c r="Q635" t="n">
        <v>2</v>
      </c>
      <c r="R635" t="n">
        <v>2</v>
      </c>
      <c r="S635" t="n">
        <v>1947</v>
      </c>
      <c r="T635" t="s">
        <v>3661</v>
      </c>
      <c r="U635" t="s">
        <v>3662</v>
      </c>
      <c r="V635" t="s">
        <v>74</v>
      </c>
      <c r="W635"/>
      <c r="X635"/>
      <c r="Y635"/>
      <c r="Z635"/>
      <c r="AA635"/>
      <c r="AB635" t="s">
        <v>3663</v>
      </c>
      <c r="AC635" t="n">
        <v>247</v>
      </c>
      <c r="AD635"/>
      <c r="AE635"/>
      <c r="AF635" t="s">
        <v>3664</v>
      </c>
      <c r="AG635" t="n">
        <v>136</v>
      </c>
    </row>
    <row r="636">
      <c r="A636" t="s">
        <v>3665</v>
      </c>
      <c r="B636" t="s">
        <v>31</v>
      </c>
      <c r="C636" t="s">
        <v>65</v>
      </c>
      <c r="D636" t="s">
        <v>3666</v>
      </c>
      <c r="E636" t="s">
        <v>3658</v>
      </c>
      <c r="F636" t="s">
        <v>3659</v>
      </c>
      <c r="G636" t="s">
        <v>3660</v>
      </c>
      <c r="H636" t="n">
        <v>38.4882995440692</v>
      </c>
      <c r="I636" t="n">
        <v>-107.882793514493</v>
      </c>
      <c r="J636" t="s">
        <v>35</v>
      </c>
      <c r="K636" t="s">
        <v>120</v>
      </c>
      <c r="L636"/>
      <c r="M636" t="n">
        <v>1973</v>
      </c>
      <c r="N636" t="n">
        <v>1992</v>
      </c>
      <c r="O636" t="s">
        <v>121</v>
      </c>
      <c r="P636" t="n">
        <v>7</v>
      </c>
      <c r="Q636" t="n">
        <v>1</v>
      </c>
      <c r="R636" t="n">
        <v>1</v>
      </c>
      <c r="S636" t="n">
        <v>1959</v>
      </c>
      <c r="T636" t="s">
        <v>3667</v>
      </c>
      <c r="U636" t="s">
        <v>3668</v>
      </c>
      <c r="V636" t="s">
        <v>74</v>
      </c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3669</v>
      </c>
      <c r="B637" t="s">
        <v>31</v>
      </c>
      <c r="C637" t="s">
        <v>65</v>
      </c>
      <c r="D637" t="s">
        <v>3670</v>
      </c>
      <c r="E637" t="s">
        <v>3658</v>
      </c>
      <c r="F637" t="s">
        <v>3659</v>
      </c>
      <c r="G637" t="s">
        <v>3660</v>
      </c>
      <c r="H637" t="n">
        <v>38.4764072232509</v>
      </c>
      <c r="I637" t="n">
        <v>-107.882309084737</v>
      </c>
      <c r="J637" t="s">
        <v>35</v>
      </c>
      <c r="K637" t="s">
        <v>70</v>
      </c>
      <c r="L637"/>
      <c r="M637" t="n">
        <v>1974</v>
      </c>
      <c r="N637" t="n">
        <v>1990</v>
      </c>
      <c r="O637" t="s">
        <v>2874</v>
      </c>
      <c r="P637" t="n">
        <v>4</v>
      </c>
      <c r="Q637" t="n">
        <v>2</v>
      </c>
      <c r="R637" t="n">
        <v>2</v>
      </c>
      <c r="S637" t="n">
        <v>1979</v>
      </c>
      <c r="T637" t="s">
        <v>3671</v>
      </c>
      <c r="U637" t="s">
        <v>3672</v>
      </c>
      <c r="V637" t="s">
        <v>74</v>
      </c>
      <c r="W637"/>
      <c r="X637"/>
      <c r="Y637"/>
      <c r="Z637"/>
      <c r="AA637"/>
      <c r="AB637" t="s">
        <v>3673</v>
      </c>
      <c r="AC637" t="n">
        <v>127</v>
      </c>
      <c r="AD637"/>
      <c r="AE637"/>
      <c r="AF637" t="s">
        <v>3674</v>
      </c>
      <c r="AG637" t="n">
        <v>226</v>
      </c>
    </row>
    <row r="638">
      <c r="A638" t="s">
        <v>3675</v>
      </c>
      <c r="B638" t="s">
        <v>31</v>
      </c>
      <c r="C638" t="s">
        <v>65</v>
      </c>
      <c r="D638" t="s">
        <v>3676</v>
      </c>
      <c r="E638" t="s">
        <v>3658</v>
      </c>
      <c r="F638" t="s">
        <v>3659</v>
      </c>
      <c r="G638" t="s">
        <v>3660</v>
      </c>
      <c r="H638" t="n">
        <v>38.4969124953329</v>
      </c>
      <c r="I638" t="n">
        <v>-107.897681402552</v>
      </c>
      <c r="J638" t="s">
        <v>35</v>
      </c>
      <c r="K638" t="s">
        <v>315</v>
      </c>
      <c r="L638"/>
      <c r="M638" t="n">
        <v>1980</v>
      </c>
      <c r="N638" t="n">
        <v>1990</v>
      </c>
      <c r="O638" t="s">
        <v>582</v>
      </c>
      <c r="P638" t="n">
        <v>3</v>
      </c>
      <c r="Q638" t="n">
        <v>1</v>
      </c>
      <c r="R638" t="n">
        <v>1</v>
      </c>
      <c r="S638" t="n">
        <v>1970</v>
      </c>
      <c r="T638" t="s">
        <v>3677</v>
      </c>
      <c r="U638" t="s">
        <v>3678</v>
      </c>
      <c r="V638" t="s">
        <v>74</v>
      </c>
      <c r="W638"/>
      <c r="X638"/>
      <c r="Y638"/>
      <c r="Z638"/>
      <c r="AA638"/>
      <c r="AB638"/>
      <c r="AC638"/>
      <c r="AD638"/>
      <c r="AE638"/>
      <c r="AF638" t="s">
        <v>3679</v>
      </c>
      <c r="AG638" t="n">
        <v>212</v>
      </c>
    </row>
    <row r="639">
      <c r="A639" t="s">
        <v>3680</v>
      </c>
      <c r="B639" t="s">
        <v>31</v>
      </c>
      <c r="C639" t="s">
        <v>65</v>
      </c>
      <c r="D639" t="s">
        <v>3681</v>
      </c>
      <c r="E639" t="s">
        <v>3682</v>
      </c>
      <c r="F639" t="s">
        <v>3659</v>
      </c>
      <c r="G639" t="s">
        <v>3683</v>
      </c>
      <c r="H639" t="n">
        <v>38.2179359943966</v>
      </c>
      <c r="I639" t="n">
        <v>-108.574694250379</v>
      </c>
      <c r="J639" t="s">
        <v>35</v>
      </c>
      <c r="K639" t="s">
        <v>70</v>
      </c>
      <c r="L639"/>
      <c r="M639" t="n">
        <v>1983</v>
      </c>
      <c r="N639" t="n">
        <v>1990</v>
      </c>
      <c r="O639" t="s">
        <v>271</v>
      </c>
      <c r="P639" t="n">
        <v>3</v>
      </c>
      <c r="Q639" t="n">
        <v>3</v>
      </c>
      <c r="R639" t="n">
        <v>3</v>
      </c>
      <c r="S639" t="n">
        <v>1980</v>
      </c>
      <c r="T639" t="s">
        <v>3684</v>
      </c>
      <c r="U639" t="s">
        <v>3685</v>
      </c>
      <c r="V639" t="s">
        <v>74</v>
      </c>
      <c r="W639"/>
      <c r="X639"/>
      <c r="Y639"/>
      <c r="Z639"/>
      <c r="AA639"/>
      <c r="AB639" t="s">
        <v>3686</v>
      </c>
      <c r="AC639" t="n">
        <v>124</v>
      </c>
      <c r="AD639"/>
      <c r="AE639"/>
      <c r="AF639"/>
      <c r="AG639"/>
    </row>
    <row r="640">
      <c r="A640" t="s">
        <v>3687</v>
      </c>
      <c r="B640" t="s">
        <v>31</v>
      </c>
      <c r="C640" t="s">
        <v>65</v>
      </c>
      <c r="D640" t="s">
        <v>3688</v>
      </c>
      <c r="E640" t="s">
        <v>3689</v>
      </c>
      <c r="F640" t="s">
        <v>3659</v>
      </c>
      <c r="G640" t="s">
        <v>3690</v>
      </c>
      <c r="H640" t="n">
        <v>38.6121155905571</v>
      </c>
      <c r="I640" t="n">
        <v>-107.982140682405</v>
      </c>
      <c r="J640" t="s">
        <v>35</v>
      </c>
      <c r="K640" t="s">
        <v>315</v>
      </c>
      <c r="L640"/>
      <c r="M640" t="n">
        <v>1988</v>
      </c>
      <c r="N640" t="n">
        <v>1990</v>
      </c>
      <c r="O640" t="s">
        <v>310</v>
      </c>
      <c r="P640" t="n">
        <v>2</v>
      </c>
      <c r="Q640" t="n">
        <v>2</v>
      </c>
      <c r="R640" t="n">
        <v>1</v>
      </c>
      <c r="S640" t="n">
        <v>1980</v>
      </c>
      <c r="T640" t="s">
        <v>3691</v>
      </c>
      <c r="U640" t="s">
        <v>3692</v>
      </c>
      <c r="V640" t="s">
        <v>74</v>
      </c>
      <c r="W640"/>
      <c r="X640"/>
      <c r="Y640"/>
      <c r="Z640"/>
      <c r="AA640"/>
      <c r="AB640"/>
      <c r="AC640"/>
      <c r="AD640"/>
      <c r="AE640"/>
      <c r="AF640" t="s">
        <v>3693</v>
      </c>
      <c r="AG640" t="n">
        <v>114</v>
      </c>
    </row>
    <row r="641">
      <c r="A641" t="s">
        <v>3694</v>
      </c>
      <c r="B641" t="s">
        <v>31</v>
      </c>
      <c r="C641" t="s">
        <v>65</v>
      </c>
      <c r="D641" t="s">
        <v>3695</v>
      </c>
      <c r="E641" t="s">
        <v>3682</v>
      </c>
      <c r="F641" t="s">
        <v>3659</v>
      </c>
      <c r="G641" t="s">
        <v>3683</v>
      </c>
      <c r="H641" t="n">
        <v>38.2184596253933</v>
      </c>
      <c r="I641" t="n">
        <v>-108.572317224705</v>
      </c>
      <c r="J641" t="s">
        <v>35</v>
      </c>
      <c r="K641" t="s">
        <v>141</v>
      </c>
      <c r="L641"/>
      <c r="M641" t="n">
        <v>1990</v>
      </c>
      <c r="N641" t="n">
        <v>1990</v>
      </c>
      <c r="O641" t="s">
        <v>351</v>
      </c>
      <c r="P641" t="n">
        <v>1</v>
      </c>
      <c r="Q641" t="n">
        <v>1</v>
      </c>
      <c r="R641" t="n">
        <v>1</v>
      </c>
      <c r="S641" t="n">
        <v>1968</v>
      </c>
      <c r="T641" t="s">
        <v>3696</v>
      </c>
      <c r="U641" t="s">
        <v>3697</v>
      </c>
      <c r="V641" t="s">
        <v>74</v>
      </c>
      <c r="W641"/>
      <c r="X641"/>
      <c r="Y641"/>
      <c r="Z641"/>
      <c r="AA641"/>
      <c r="AB641"/>
      <c r="AC641"/>
      <c r="AD641"/>
      <c r="AE641"/>
      <c r="AF641"/>
      <c r="AG641"/>
    </row>
    <row r="642">
      <c r="A642" t="s">
        <v>3698</v>
      </c>
      <c r="B642" t="s">
        <v>31</v>
      </c>
      <c r="C642" t="s">
        <v>65</v>
      </c>
      <c r="D642" t="s">
        <v>3699</v>
      </c>
      <c r="E642" t="s">
        <v>3658</v>
      </c>
      <c r="F642" t="s">
        <v>3659</v>
      </c>
      <c r="G642" t="s">
        <v>3660</v>
      </c>
      <c r="H642" t="n">
        <v>38.493048</v>
      </c>
      <c r="I642" t="n">
        <v>-107.884775</v>
      </c>
      <c r="J642" t="s">
        <v>35</v>
      </c>
      <c r="K642" t="s">
        <v>1041</v>
      </c>
      <c r="L642"/>
      <c r="M642" t="n">
        <v>1992</v>
      </c>
      <c r="N642" t="n">
        <v>1992</v>
      </c>
      <c r="O642" t="s">
        <v>1016</v>
      </c>
      <c r="P642" t="n">
        <v>1</v>
      </c>
      <c r="Q642" t="n">
        <v>1</v>
      </c>
      <c r="R642" t="n">
        <v>1</v>
      </c>
      <c r="S642" t="n">
        <v>1986</v>
      </c>
      <c r="T642" t="s">
        <v>3700</v>
      </c>
      <c r="U642" t="s">
        <v>3701</v>
      </c>
      <c r="V642" t="s">
        <v>74</v>
      </c>
      <c r="W642"/>
      <c r="X642"/>
      <c r="Y642"/>
      <c r="Z642"/>
      <c r="AA642"/>
      <c r="AB642"/>
      <c r="AC642"/>
      <c r="AD642"/>
      <c r="AE642"/>
      <c r="AF642" t="s">
        <v>3702</v>
      </c>
      <c r="AG642" t="n">
        <v>94</v>
      </c>
    </row>
    <row r="643">
      <c r="A643" t="s">
        <v>3703</v>
      </c>
      <c r="B643" t="s">
        <v>31</v>
      </c>
      <c r="C643" t="s">
        <v>65</v>
      </c>
      <c r="D643" t="s">
        <v>3704</v>
      </c>
      <c r="E643" t="s">
        <v>3705</v>
      </c>
      <c r="F643" t="s">
        <v>3706</v>
      </c>
      <c r="G643" t="s">
        <v>3707</v>
      </c>
      <c r="H643" t="n">
        <v>40.2531331959184</v>
      </c>
      <c r="I643" t="n">
        <v>-103.623173338776</v>
      </c>
      <c r="J643" t="s">
        <v>35</v>
      </c>
      <c r="K643" t="s">
        <v>315</v>
      </c>
      <c r="L643"/>
      <c r="M643" t="n">
        <v>1966</v>
      </c>
      <c r="N643" t="n">
        <v>1990</v>
      </c>
      <c r="O643" t="s">
        <v>325</v>
      </c>
      <c r="P643" t="n">
        <v>5</v>
      </c>
      <c r="Q643" t="n">
        <v>2</v>
      </c>
      <c r="R643" t="n">
        <v>1</v>
      </c>
      <c r="S643" t="n">
        <v>1964</v>
      </c>
      <c r="T643" t="s">
        <v>3708</v>
      </c>
      <c r="U643" t="s">
        <v>3709</v>
      </c>
      <c r="V643" t="s">
        <v>74</v>
      </c>
      <c r="W643"/>
      <c r="X643"/>
      <c r="Y643"/>
      <c r="Z643"/>
      <c r="AA643"/>
      <c r="AB643"/>
      <c r="AC643"/>
      <c r="AD643"/>
      <c r="AE643"/>
      <c r="AF643" t="s">
        <v>3710</v>
      </c>
      <c r="AG643" t="n">
        <v>210</v>
      </c>
    </row>
    <row r="644">
      <c r="A644" t="s">
        <v>3711</v>
      </c>
      <c r="B644" t="s">
        <v>31</v>
      </c>
      <c r="C644" t="s">
        <v>65</v>
      </c>
      <c r="D644" t="s">
        <v>3712</v>
      </c>
      <c r="E644" t="s">
        <v>3705</v>
      </c>
      <c r="F644" t="s">
        <v>3706</v>
      </c>
      <c r="G644" t="s">
        <v>3707</v>
      </c>
      <c r="H644" t="n">
        <v>40.271688154534</v>
      </c>
      <c r="I644" t="n">
        <v>-103.628035660269</v>
      </c>
      <c r="J644" t="s">
        <v>35</v>
      </c>
      <c r="K644" t="s">
        <v>796</v>
      </c>
      <c r="L644"/>
      <c r="M644" t="n">
        <v>1977</v>
      </c>
      <c r="N644" t="n">
        <v>1990</v>
      </c>
      <c r="O644" t="s">
        <v>2446</v>
      </c>
      <c r="P644" t="n">
        <v>4</v>
      </c>
      <c r="Q644" t="n">
        <v>2</v>
      </c>
      <c r="R644" t="n">
        <v>2</v>
      </c>
      <c r="S644" t="n">
        <v>1957</v>
      </c>
      <c r="T644" t="s">
        <v>3713</v>
      </c>
      <c r="U644" t="s">
        <v>3714</v>
      </c>
      <c r="V644" t="s">
        <v>74</v>
      </c>
      <c r="W644"/>
      <c r="X644"/>
      <c r="Y644"/>
      <c r="Z644"/>
      <c r="AA644"/>
      <c r="AB644"/>
      <c r="AC644"/>
      <c r="AD644"/>
      <c r="AE644"/>
      <c r="AF644" t="s">
        <v>3715</v>
      </c>
      <c r="AG644" t="n">
        <v>130</v>
      </c>
    </row>
    <row r="645">
      <c r="A645" t="s">
        <v>3716</v>
      </c>
      <c r="B645" t="s">
        <v>31</v>
      </c>
      <c r="C645" t="s">
        <v>65</v>
      </c>
      <c r="D645" t="s">
        <v>3717</v>
      </c>
      <c r="E645" t="s">
        <v>3705</v>
      </c>
      <c r="F645" t="s">
        <v>3706</v>
      </c>
      <c r="G645" t="s">
        <v>3707</v>
      </c>
      <c r="H645" t="n">
        <v>40.2550717986577</v>
      </c>
      <c r="I645" t="n">
        <v>-103.631962214765</v>
      </c>
      <c r="J645" t="s">
        <v>35</v>
      </c>
      <c r="K645" t="s">
        <v>89</v>
      </c>
      <c r="L645"/>
      <c r="M645" t="n">
        <v>1980</v>
      </c>
      <c r="N645" t="n">
        <v>1988</v>
      </c>
      <c r="O645" t="s">
        <v>3312</v>
      </c>
      <c r="P645" t="n">
        <v>2</v>
      </c>
      <c r="Q645" t="n">
        <v>2</v>
      </c>
      <c r="R645" t="n">
        <v>2</v>
      </c>
      <c r="S645" t="n">
        <v>1973</v>
      </c>
      <c r="T645" t="s">
        <v>3718</v>
      </c>
      <c r="U645" t="s">
        <v>3719</v>
      </c>
      <c r="V645" t="s">
        <v>74</v>
      </c>
      <c r="W645"/>
      <c r="X645"/>
      <c r="Y645"/>
      <c r="Z645"/>
      <c r="AA645"/>
      <c r="AB645"/>
      <c r="AC645"/>
      <c r="AD645"/>
      <c r="AE645"/>
      <c r="AF645"/>
      <c r="AG645"/>
    </row>
    <row r="646">
      <c r="A646" t="s">
        <v>3720</v>
      </c>
      <c r="B646" t="s">
        <v>31</v>
      </c>
      <c r="C646" t="s">
        <v>65</v>
      </c>
      <c r="D646" t="s">
        <v>3721</v>
      </c>
      <c r="E646" t="s">
        <v>3722</v>
      </c>
      <c r="F646" t="s">
        <v>3706</v>
      </c>
      <c r="G646" t="s">
        <v>3723</v>
      </c>
      <c r="H646" t="n">
        <v>40.2466747686905</v>
      </c>
      <c r="I646" t="n">
        <v>-103.800493063889</v>
      </c>
      <c r="J646" t="s">
        <v>35</v>
      </c>
      <c r="K646" t="s">
        <v>70</v>
      </c>
      <c r="L646"/>
      <c r="M646" t="n">
        <v>1990</v>
      </c>
      <c r="N646" t="n">
        <v>1990</v>
      </c>
      <c r="O646" t="s">
        <v>351</v>
      </c>
      <c r="P646" t="n">
        <v>1</v>
      </c>
      <c r="Q646" t="n">
        <v>1</v>
      </c>
      <c r="R646" t="n">
        <v>1</v>
      </c>
      <c r="S646" t="n">
        <v>1978</v>
      </c>
      <c r="T646" t="s">
        <v>3724</v>
      </c>
      <c r="U646" t="s">
        <v>3725</v>
      </c>
      <c r="V646" t="s">
        <v>74</v>
      </c>
      <c r="W646"/>
      <c r="X646"/>
      <c r="Y646"/>
      <c r="Z646"/>
      <c r="AA646"/>
      <c r="AB646"/>
      <c r="AC646"/>
      <c r="AD646"/>
      <c r="AE646"/>
      <c r="AF646" t="s">
        <v>3726</v>
      </c>
      <c r="AG646" t="n">
        <v>99</v>
      </c>
    </row>
    <row r="647">
      <c r="A647" t="s">
        <v>3727</v>
      </c>
      <c r="B647" t="s">
        <v>31</v>
      </c>
      <c r="C647" t="s">
        <v>65</v>
      </c>
      <c r="D647" t="s">
        <v>3728</v>
      </c>
      <c r="E647" t="s">
        <v>3729</v>
      </c>
      <c r="F647" t="s">
        <v>3730</v>
      </c>
      <c r="G647" t="s">
        <v>3731</v>
      </c>
      <c r="H647" t="n">
        <v>38.1316393819242</v>
      </c>
      <c r="I647" t="n">
        <v>-104.022028620991</v>
      </c>
      <c r="J647" t="s">
        <v>35</v>
      </c>
      <c r="K647" t="s">
        <v>126</v>
      </c>
      <c r="L647"/>
      <c r="M647" t="n">
        <v>1966</v>
      </c>
      <c r="N647" t="n">
        <v>1990</v>
      </c>
      <c r="O647" t="s">
        <v>293</v>
      </c>
      <c r="P647" t="n">
        <v>7</v>
      </c>
      <c r="Q647" t="n">
        <v>3</v>
      </c>
      <c r="R647" t="n">
        <v>1</v>
      </c>
      <c r="S647" t="n">
        <v>1914</v>
      </c>
      <c r="T647" t="s">
        <v>3732</v>
      </c>
      <c r="U647" t="s">
        <v>3733</v>
      </c>
      <c r="V647" t="s">
        <v>74</v>
      </c>
      <c r="W647"/>
      <c r="X647"/>
      <c r="Y647"/>
      <c r="Z647"/>
      <c r="AA647"/>
      <c r="AB647"/>
      <c r="AC647"/>
      <c r="AD647"/>
      <c r="AE647"/>
      <c r="AF647"/>
      <c r="AG647"/>
    </row>
    <row r="648">
      <c r="A648" t="s">
        <v>3734</v>
      </c>
      <c r="B648" t="s">
        <v>31</v>
      </c>
      <c r="C648" t="s">
        <v>65</v>
      </c>
      <c r="D648" t="s">
        <v>3735</v>
      </c>
      <c r="E648" t="s">
        <v>3736</v>
      </c>
      <c r="F648" t="s">
        <v>3730</v>
      </c>
      <c r="G648" t="s">
        <v>3737</v>
      </c>
      <c r="H648" t="n">
        <v>37.9745521973856</v>
      </c>
      <c r="I648" t="n">
        <v>-103.532547657427</v>
      </c>
      <c r="J648" t="s">
        <v>35</v>
      </c>
      <c r="K648" t="s">
        <v>70</v>
      </c>
      <c r="L648"/>
      <c r="M648" t="n">
        <v>1983</v>
      </c>
      <c r="N648" t="n">
        <v>1983</v>
      </c>
      <c r="O648" t="s">
        <v>264</v>
      </c>
      <c r="P648" t="n">
        <v>1</v>
      </c>
      <c r="Q648" t="n">
        <v>1</v>
      </c>
      <c r="R648" t="n">
        <v>1</v>
      </c>
      <c r="S648" t="n">
        <v>1974</v>
      </c>
      <c r="T648" t="s">
        <v>3738</v>
      </c>
      <c r="U648" t="s">
        <v>3739</v>
      </c>
      <c r="V648" t="s">
        <v>74</v>
      </c>
      <c r="W648"/>
      <c r="X648"/>
      <c r="Y648"/>
      <c r="Z648"/>
      <c r="AA648"/>
      <c r="AB648" t="s">
        <v>3740</v>
      </c>
      <c r="AC648" t="n">
        <v>210</v>
      </c>
      <c r="AD648"/>
      <c r="AE648"/>
      <c r="AF648"/>
      <c r="AG648"/>
    </row>
    <row r="649">
      <c r="A649" t="s">
        <v>3741</v>
      </c>
      <c r="B649" t="s">
        <v>31</v>
      </c>
      <c r="C649" t="s">
        <v>65</v>
      </c>
      <c r="D649" t="s">
        <v>3742</v>
      </c>
      <c r="E649" t="s">
        <v>3736</v>
      </c>
      <c r="F649" t="s">
        <v>3730</v>
      </c>
      <c r="G649" t="s">
        <v>3737</v>
      </c>
      <c r="H649" t="n">
        <v>37.9847775714286</v>
      </c>
      <c r="I649" t="n">
        <v>-103.545727428571</v>
      </c>
      <c r="J649" t="s">
        <v>35</v>
      </c>
      <c r="K649" t="s">
        <v>141</v>
      </c>
      <c r="L649"/>
      <c r="M649" t="n">
        <v>1990</v>
      </c>
      <c r="N649" t="n">
        <v>1990</v>
      </c>
      <c r="O649" t="s">
        <v>351</v>
      </c>
      <c r="P649" t="n">
        <v>1</v>
      </c>
      <c r="Q649" t="n">
        <v>1</v>
      </c>
      <c r="R649" t="n">
        <v>1</v>
      </c>
      <c r="S649" t="n">
        <v>1956</v>
      </c>
      <c r="T649" t="s">
        <v>3743</v>
      </c>
      <c r="U649" t="s">
        <v>3744</v>
      </c>
      <c r="V649" t="s">
        <v>74</v>
      </c>
      <c r="W649"/>
      <c r="X649"/>
      <c r="Y649"/>
      <c r="Z649"/>
      <c r="AA649"/>
      <c r="AB649"/>
      <c r="AC649"/>
      <c r="AD649"/>
      <c r="AE649"/>
      <c r="AF649" t="s">
        <v>3745</v>
      </c>
      <c r="AG649" t="n">
        <v>129</v>
      </c>
    </row>
    <row r="650">
      <c r="A650" t="s">
        <v>3746</v>
      </c>
      <c r="B650" t="s">
        <v>31</v>
      </c>
      <c r="C650" t="s">
        <v>65</v>
      </c>
      <c r="D650" t="s">
        <v>3747</v>
      </c>
      <c r="E650" t="s">
        <v>3748</v>
      </c>
      <c r="F650" t="s">
        <v>3749</v>
      </c>
      <c r="G650" t="s">
        <v>3750</v>
      </c>
      <c r="H650" t="n">
        <v>39.5033682347018</v>
      </c>
      <c r="I650" t="n">
        <v>-105.534224312841</v>
      </c>
      <c r="J650" t="s">
        <v>35</v>
      </c>
      <c r="K650" t="s">
        <v>1282</v>
      </c>
      <c r="L650"/>
      <c r="M650" t="n">
        <v>1983</v>
      </c>
      <c r="N650" t="n">
        <v>1983</v>
      </c>
      <c r="O650" t="s">
        <v>264</v>
      </c>
      <c r="P650" t="n">
        <v>1</v>
      </c>
      <c r="Q650" t="n">
        <v>1</v>
      </c>
      <c r="R650" t="n">
        <v>1</v>
      </c>
      <c r="S650" t="n">
        <v>1983</v>
      </c>
      <c r="T650" t="s">
        <v>3751</v>
      </c>
      <c r="U650" t="s">
        <v>3752</v>
      </c>
      <c r="V650" t="s">
        <v>74</v>
      </c>
      <c r="W650"/>
      <c r="X650"/>
      <c r="Y650"/>
      <c r="Z650"/>
      <c r="AA650"/>
      <c r="AB650"/>
      <c r="AC650"/>
      <c r="AD650"/>
      <c r="AE650"/>
      <c r="AF650"/>
      <c r="AG650"/>
    </row>
    <row r="651">
      <c r="A651" t="s">
        <v>3753</v>
      </c>
      <c r="B651" t="s">
        <v>31</v>
      </c>
      <c r="C651" t="s">
        <v>65</v>
      </c>
      <c r="D651" t="s">
        <v>3754</v>
      </c>
      <c r="E651" t="s">
        <v>3755</v>
      </c>
      <c r="F651" t="s">
        <v>3749</v>
      </c>
      <c r="G651" t="s">
        <v>3756</v>
      </c>
      <c r="H651" t="n">
        <v>39.4187205511798</v>
      </c>
      <c r="I651" t="n">
        <v>-105.545817768397</v>
      </c>
      <c r="J651" t="s">
        <v>35</v>
      </c>
      <c r="K651" t="s">
        <v>70</v>
      </c>
      <c r="L651"/>
      <c r="M651" t="n">
        <v>1983</v>
      </c>
      <c r="N651" t="n">
        <v>1990</v>
      </c>
      <c r="O651" t="s">
        <v>310</v>
      </c>
      <c r="P651" t="n">
        <v>3</v>
      </c>
      <c r="Q651" t="n">
        <v>3</v>
      </c>
      <c r="R651" t="n">
        <v>2</v>
      </c>
      <c r="S651" t="n">
        <v>1978</v>
      </c>
      <c r="T651" t="s">
        <v>3757</v>
      </c>
      <c r="U651" t="s">
        <v>3758</v>
      </c>
      <c r="V651" t="s">
        <v>74</v>
      </c>
      <c r="W651"/>
      <c r="X651"/>
      <c r="Y651"/>
      <c r="Z651"/>
      <c r="AA651"/>
      <c r="AB651"/>
      <c r="AC651"/>
      <c r="AD651"/>
      <c r="AE651"/>
      <c r="AF651"/>
      <c r="AG651"/>
    </row>
    <row r="652">
      <c r="A652" t="s">
        <v>3759</v>
      </c>
      <c r="B652" t="s">
        <v>31</v>
      </c>
      <c r="C652" t="s">
        <v>65</v>
      </c>
      <c r="D652" t="s">
        <v>3760</v>
      </c>
      <c r="E652" t="s">
        <v>3748</v>
      </c>
      <c r="F652" t="s">
        <v>3749</v>
      </c>
      <c r="G652" t="s">
        <v>3750</v>
      </c>
      <c r="H652" t="n">
        <v>39.4500285204705</v>
      </c>
      <c r="I652" t="n">
        <v>-105.487316823389</v>
      </c>
      <c r="J652" t="s">
        <v>35</v>
      </c>
      <c r="K652" t="s">
        <v>796</v>
      </c>
      <c r="L652"/>
      <c r="M652" t="n">
        <v>1990</v>
      </c>
      <c r="N652" t="n">
        <v>1992</v>
      </c>
      <c r="O652" t="s">
        <v>357</v>
      </c>
      <c r="P652" t="n">
        <v>2</v>
      </c>
      <c r="Q652" t="n">
        <v>2</v>
      </c>
      <c r="R652" t="n">
        <v>2</v>
      </c>
      <c r="S652" t="n">
        <v>1976</v>
      </c>
      <c r="T652" t="s">
        <v>3761</v>
      </c>
      <c r="U652" t="s">
        <v>3762</v>
      </c>
      <c r="V652" t="s">
        <v>74</v>
      </c>
      <c r="W652"/>
      <c r="X652"/>
      <c r="Y652"/>
      <c r="Z652"/>
      <c r="AA652"/>
      <c r="AB652"/>
      <c r="AC652"/>
      <c r="AD652"/>
      <c r="AE652"/>
      <c r="AF652"/>
      <c r="AG652"/>
    </row>
    <row r="653">
      <c r="A653" t="s">
        <v>3763</v>
      </c>
      <c r="B653" t="s">
        <v>31</v>
      </c>
      <c r="C653" t="s">
        <v>65</v>
      </c>
      <c r="D653" t="s">
        <v>3764</v>
      </c>
      <c r="E653" t="s">
        <v>3765</v>
      </c>
      <c r="F653" t="s">
        <v>3766</v>
      </c>
      <c r="G653" t="s">
        <v>3767</v>
      </c>
      <c r="H653" t="n">
        <v>40.6412692113703</v>
      </c>
      <c r="I653" t="n">
        <v>-102.628582783528</v>
      </c>
      <c r="J653" t="s">
        <v>35</v>
      </c>
      <c r="K653" t="s">
        <v>120</v>
      </c>
      <c r="L653"/>
      <c r="M653" t="n">
        <v>1966</v>
      </c>
      <c r="N653" t="n">
        <v>1990</v>
      </c>
      <c r="O653" t="s">
        <v>1587</v>
      </c>
      <c r="P653" t="n">
        <v>7</v>
      </c>
      <c r="Q653" t="n">
        <v>4</v>
      </c>
      <c r="R653" t="n">
        <v>1</v>
      </c>
      <c r="S653" t="n">
        <v>1919</v>
      </c>
      <c r="T653" t="s">
        <v>3768</v>
      </c>
      <c r="U653" t="s">
        <v>3769</v>
      </c>
      <c r="V653" t="s">
        <v>74</v>
      </c>
      <c r="W653"/>
      <c r="X653"/>
      <c r="Y653"/>
      <c r="Z653"/>
      <c r="AA653"/>
      <c r="AB653"/>
      <c r="AC653"/>
      <c r="AD653"/>
      <c r="AE653"/>
      <c r="AF653" t="s">
        <v>3770</v>
      </c>
      <c r="AG653" t="n">
        <v>182</v>
      </c>
    </row>
    <row r="654">
      <c r="A654" t="s">
        <v>3771</v>
      </c>
      <c r="B654" t="s">
        <v>31</v>
      </c>
      <c r="C654" t="s">
        <v>65</v>
      </c>
      <c r="D654" t="s">
        <v>3772</v>
      </c>
      <c r="E654" t="s">
        <v>3773</v>
      </c>
      <c r="F654" t="s">
        <v>3774</v>
      </c>
      <c r="G654" t="s">
        <v>3775</v>
      </c>
      <c r="H654" t="n">
        <v>39.1969836659429</v>
      </c>
      <c r="I654" t="n">
        <v>-106.825413507844</v>
      </c>
      <c r="J654" t="s">
        <v>35</v>
      </c>
      <c r="K654" t="s">
        <v>70</v>
      </c>
      <c r="L654"/>
      <c r="M654" t="n">
        <v>1967</v>
      </c>
      <c r="N654" t="n">
        <v>1973</v>
      </c>
      <c r="O654" t="s">
        <v>3776</v>
      </c>
      <c r="P654" t="n">
        <v>4</v>
      </c>
      <c r="Q654" t="n">
        <v>1</v>
      </c>
      <c r="R654" t="n">
        <v>1</v>
      </c>
      <c r="S654" t="n">
        <v>1946</v>
      </c>
      <c r="T654" t="s">
        <v>3777</v>
      </c>
      <c r="U654" t="s">
        <v>3778</v>
      </c>
      <c r="V654" t="s">
        <v>74</v>
      </c>
      <c r="W654"/>
      <c r="X654"/>
      <c r="Y654"/>
      <c r="Z654"/>
      <c r="AA654"/>
      <c r="AB654"/>
      <c r="AC654"/>
      <c r="AD654"/>
      <c r="AE654"/>
      <c r="AF654"/>
      <c r="AG654"/>
    </row>
    <row r="655">
      <c r="A655" t="s">
        <v>3779</v>
      </c>
      <c r="B655" t="s">
        <v>31</v>
      </c>
      <c r="C655" t="s">
        <v>65</v>
      </c>
      <c r="D655" t="s">
        <v>3780</v>
      </c>
      <c r="E655" t="s">
        <v>2729</v>
      </c>
      <c r="F655" t="s">
        <v>3781</v>
      </c>
      <c r="G655"/>
      <c r="H655" t="n">
        <v>39.796268</v>
      </c>
      <c r="I655" t="n">
        <v>-105.059176</v>
      </c>
      <c r="J655" t="s">
        <v>35</v>
      </c>
      <c r="K655" t="s">
        <v>141</v>
      </c>
      <c r="L655"/>
      <c r="M655" t="n">
        <v>1965</v>
      </c>
      <c r="N655" t="n">
        <v>1990</v>
      </c>
      <c r="O655" t="s">
        <v>1349</v>
      </c>
      <c r="P655" t="n">
        <v>7</v>
      </c>
      <c r="Q655" t="n">
        <v>1</v>
      </c>
      <c r="R655" t="n">
        <v>1</v>
      </c>
      <c r="S655" t="n">
        <v>1951</v>
      </c>
      <c r="T655" t="s">
        <v>3782</v>
      </c>
      <c r="U655" t="s">
        <v>3783</v>
      </c>
      <c r="V655" t="s">
        <v>74</v>
      </c>
      <c r="W655"/>
      <c r="X655"/>
      <c r="Y655"/>
      <c r="Z655"/>
      <c r="AA655"/>
      <c r="AB655" t="s">
        <v>3784</v>
      </c>
      <c r="AC655" t="n">
        <v>126</v>
      </c>
      <c r="AD655" t="s">
        <v>3785</v>
      </c>
      <c r="AE655" t="n">
        <v>225</v>
      </c>
      <c r="AF655" t="s">
        <v>3786</v>
      </c>
      <c r="AG655" t="n">
        <v>97</v>
      </c>
    </row>
    <row r="656">
      <c r="A656" t="s">
        <v>3787</v>
      </c>
      <c r="B656" t="s">
        <v>31</v>
      </c>
      <c r="C656" t="s">
        <v>65</v>
      </c>
      <c r="D656" t="s">
        <v>3788</v>
      </c>
      <c r="E656" t="s">
        <v>3789</v>
      </c>
      <c r="F656" t="s">
        <v>3790</v>
      </c>
      <c r="G656"/>
      <c r="H656" t="n">
        <v>38.0944735714286</v>
      </c>
      <c r="I656" t="n">
        <v>-102.619606535714</v>
      </c>
      <c r="J656" t="s">
        <v>35</v>
      </c>
      <c r="K656" t="s">
        <v>120</v>
      </c>
      <c r="L656"/>
      <c r="M656" t="n">
        <v>1965</v>
      </c>
      <c r="N656" t="n">
        <v>1988</v>
      </c>
      <c r="O656" t="s">
        <v>755</v>
      </c>
      <c r="P656" t="n">
        <v>9</v>
      </c>
      <c r="Q656" t="n">
        <v>5</v>
      </c>
      <c r="R656" t="n">
        <v>2</v>
      </c>
      <c r="S656" t="n">
        <v>1919</v>
      </c>
      <c r="T656" t="s">
        <v>3791</v>
      </c>
      <c r="U656" t="s">
        <v>3792</v>
      </c>
      <c r="V656" t="s">
        <v>74</v>
      </c>
      <c r="W656"/>
      <c r="X656"/>
      <c r="Y656"/>
      <c r="Z656"/>
      <c r="AA656"/>
      <c r="AB656" t="s">
        <v>3793</v>
      </c>
      <c r="AC656" t="n">
        <v>217</v>
      </c>
      <c r="AD656"/>
      <c r="AE656"/>
      <c r="AF656" t="s">
        <v>3794</v>
      </c>
      <c r="AG656" t="n">
        <v>128</v>
      </c>
    </row>
    <row r="657">
      <c r="A657" t="s">
        <v>3795</v>
      </c>
      <c r="B657" t="s">
        <v>31</v>
      </c>
      <c r="C657" t="s">
        <v>65</v>
      </c>
      <c r="D657" t="s">
        <v>3796</v>
      </c>
      <c r="E657" t="s">
        <v>3789</v>
      </c>
      <c r="F657" t="s">
        <v>3790</v>
      </c>
      <c r="G657" t="s">
        <v>3797</v>
      </c>
      <c r="H657" t="n">
        <v>38.088607057279</v>
      </c>
      <c r="I657" t="n">
        <v>-102.629853087999</v>
      </c>
      <c r="J657" t="s">
        <v>35</v>
      </c>
      <c r="K657" t="s">
        <v>70</v>
      </c>
      <c r="L657"/>
      <c r="M657" t="n">
        <v>1967</v>
      </c>
      <c r="N657" t="n">
        <v>1967</v>
      </c>
      <c r="O657" t="s">
        <v>388</v>
      </c>
      <c r="P657" t="n">
        <v>1</v>
      </c>
      <c r="Q657" t="n">
        <v>1</v>
      </c>
      <c r="R657" t="n">
        <v>1</v>
      </c>
      <c r="S657" t="n">
        <v>1941</v>
      </c>
      <c r="T657" t="s">
        <v>3798</v>
      </c>
      <c r="U657" t="s">
        <v>3799</v>
      </c>
      <c r="V657" t="s">
        <v>74</v>
      </c>
      <c r="W657"/>
      <c r="X657"/>
      <c r="Y657"/>
      <c r="Z657"/>
      <c r="AA657"/>
      <c r="AB657"/>
      <c r="AC657"/>
      <c r="AD657"/>
      <c r="AE657"/>
      <c r="AF657" t="s">
        <v>3800</v>
      </c>
      <c r="AG657" t="n">
        <v>139</v>
      </c>
    </row>
    <row r="658">
      <c r="A658" t="s">
        <v>3801</v>
      </c>
      <c r="B658" t="s">
        <v>31</v>
      </c>
      <c r="C658" t="s">
        <v>65</v>
      </c>
      <c r="D658" t="s">
        <v>3802</v>
      </c>
      <c r="E658" t="s">
        <v>3803</v>
      </c>
      <c r="F658" t="s">
        <v>3804</v>
      </c>
      <c r="G658" t="s">
        <v>3805</v>
      </c>
      <c r="H658" t="n">
        <v>38.273347744898</v>
      </c>
      <c r="I658" t="n">
        <v>-104.614727622449</v>
      </c>
      <c r="J658" t="s">
        <v>35</v>
      </c>
      <c r="K658" t="s">
        <v>70</v>
      </c>
      <c r="L658"/>
      <c r="M658" t="n">
        <v>1965</v>
      </c>
      <c r="N658" t="n">
        <v>1990</v>
      </c>
      <c r="O658" t="s">
        <v>3806</v>
      </c>
      <c r="P658" t="n">
        <v>6</v>
      </c>
      <c r="Q658" t="n">
        <v>4</v>
      </c>
      <c r="R658" t="n">
        <v>3</v>
      </c>
      <c r="S658" t="n">
        <v>1932</v>
      </c>
      <c r="T658" t="s">
        <v>3807</v>
      </c>
      <c r="U658" t="s">
        <v>3808</v>
      </c>
      <c r="V658" t="s">
        <v>74</v>
      </c>
      <c r="W658"/>
      <c r="X658"/>
      <c r="Y658"/>
      <c r="Z658"/>
      <c r="AA658"/>
      <c r="AB658" t="s">
        <v>3809</v>
      </c>
      <c r="AC658" t="n">
        <v>112</v>
      </c>
      <c r="AD658"/>
      <c r="AE658"/>
      <c r="AF658" t="s">
        <v>3810</v>
      </c>
      <c r="AG658" t="n">
        <v>105</v>
      </c>
    </row>
    <row r="659">
      <c r="A659" t="s">
        <v>3811</v>
      </c>
      <c r="B659" t="s">
        <v>31</v>
      </c>
      <c r="C659" t="s">
        <v>65</v>
      </c>
      <c r="D659" t="s">
        <v>3812</v>
      </c>
      <c r="E659" t="s">
        <v>3803</v>
      </c>
      <c r="F659" t="s">
        <v>3804</v>
      </c>
      <c r="G659"/>
      <c r="H659" t="n">
        <v>38.2561904081633</v>
      </c>
      <c r="I659" t="n">
        <v>-104.618342653061</v>
      </c>
      <c r="J659" t="s">
        <v>35</v>
      </c>
      <c r="K659" t="s">
        <v>2274</v>
      </c>
      <c r="L659" t="s">
        <v>2476</v>
      </c>
      <c r="M659" t="n">
        <v>1965</v>
      </c>
      <c r="N659" t="n">
        <v>1990</v>
      </c>
      <c r="O659" t="s">
        <v>3813</v>
      </c>
      <c r="P659" t="n">
        <v>8</v>
      </c>
      <c r="Q659" t="n">
        <v>5</v>
      </c>
      <c r="R659" t="n">
        <v>5</v>
      </c>
      <c r="S659" t="n">
        <v>1956</v>
      </c>
      <c r="T659" t="s">
        <v>3814</v>
      </c>
      <c r="U659" t="s">
        <v>3815</v>
      </c>
      <c r="V659" t="s">
        <v>74</v>
      </c>
      <c r="W659"/>
      <c r="X659"/>
      <c r="Y659"/>
      <c r="Z659"/>
      <c r="AA659"/>
      <c r="AB659" t="s">
        <v>3816</v>
      </c>
      <c r="AC659" t="n">
        <v>183</v>
      </c>
      <c r="AD659"/>
      <c r="AE659"/>
      <c r="AF659"/>
      <c r="AG659"/>
    </row>
    <row r="660">
      <c r="A660" t="s">
        <v>3817</v>
      </c>
      <c r="B660" t="s">
        <v>31</v>
      </c>
      <c r="C660" t="s">
        <v>65</v>
      </c>
      <c r="D660" t="s">
        <v>3818</v>
      </c>
      <c r="E660" t="s">
        <v>3803</v>
      </c>
      <c r="F660" t="s">
        <v>3804</v>
      </c>
      <c r="G660"/>
      <c r="H660" t="n">
        <v>38.2788974285714</v>
      </c>
      <c r="I660" t="n">
        <v>-104.616478428571</v>
      </c>
      <c r="J660" t="s">
        <v>35</v>
      </c>
      <c r="K660" t="s">
        <v>70</v>
      </c>
      <c r="L660"/>
      <c r="M660" t="n">
        <v>1965</v>
      </c>
      <c r="N660" t="n">
        <v>1970</v>
      </c>
      <c r="O660" t="s">
        <v>3819</v>
      </c>
      <c r="P660" t="n">
        <v>4</v>
      </c>
      <c r="Q660" t="n">
        <v>2</v>
      </c>
      <c r="R660" t="n">
        <v>2</v>
      </c>
      <c r="S660" t="n">
        <v>1952</v>
      </c>
      <c r="T660" t="s">
        <v>3820</v>
      </c>
      <c r="U660" t="s">
        <v>3821</v>
      </c>
      <c r="V660" t="s">
        <v>74</v>
      </c>
      <c r="W660"/>
      <c r="X660"/>
      <c r="Y660"/>
      <c r="Z660"/>
      <c r="AA660"/>
      <c r="AB660"/>
      <c r="AC660"/>
      <c r="AD660"/>
      <c r="AE660"/>
      <c r="AF660" t="s">
        <v>3822</v>
      </c>
      <c r="AG660" t="n">
        <v>222</v>
      </c>
    </row>
    <row r="661">
      <c r="A661" t="s">
        <v>3823</v>
      </c>
      <c r="B661" t="s">
        <v>31</v>
      </c>
      <c r="C661" t="s">
        <v>65</v>
      </c>
      <c r="D661" t="s">
        <v>3824</v>
      </c>
      <c r="E661" t="s">
        <v>3803</v>
      </c>
      <c r="F661" t="s">
        <v>3804</v>
      </c>
      <c r="G661"/>
      <c r="H661" t="n">
        <v>38.2761346919564</v>
      </c>
      <c r="I661" t="n">
        <v>-104.618193717284</v>
      </c>
      <c r="J661" t="s">
        <v>35</v>
      </c>
      <c r="K661" t="s">
        <v>70</v>
      </c>
      <c r="L661"/>
      <c r="M661" t="n">
        <v>1965</v>
      </c>
      <c r="N661" t="n">
        <v>1990</v>
      </c>
      <c r="O661" t="s">
        <v>3825</v>
      </c>
      <c r="P661" t="n">
        <v>5</v>
      </c>
      <c r="Q661" t="n">
        <v>2</v>
      </c>
      <c r="R661" t="n">
        <v>2</v>
      </c>
      <c r="S661" t="n">
        <v>1959</v>
      </c>
      <c r="T661" t="s">
        <v>3826</v>
      </c>
      <c r="U661" t="s">
        <v>3827</v>
      </c>
      <c r="V661" t="s">
        <v>74</v>
      </c>
      <c r="W661"/>
      <c r="X661"/>
      <c r="Y661"/>
      <c r="Z661"/>
      <c r="AA661"/>
      <c r="AB661"/>
      <c r="AC661"/>
      <c r="AD661"/>
      <c r="AE661"/>
      <c r="AF661" t="s">
        <v>3828</v>
      </c>
      <c r="AG661" t="n">
        <v>215</v>
      </c>
    </row>
    <row r="662">
      <c r="A662" t="s">
        <v>3829</v>
      </c>
      <c r="B662" t="s">
        <v>31</v>
      </c>
      <c r="C662" t="s">
        <v>65</v>
      </c>
      <c r="D662" t="s">
        <v>3830</v>
      </c>
      <c r="E662" t="s">
        <v>3803</v>
      </c>
      <c r="F662" t="s">
        <v>3804</v>
      </c>
      <c r="G662" t="s">
        <v>3831</v>
      </c>
      <c r="H662" t="n">
        <v>38.2524657185843</v>
      </c>
      <c r="I662" t="n">
        <v>-104.61948652491</v>
      </c>
      <c r="J662" t="s">
        <v>35</v>
      </c>
      <c r="K662" t="s">
        <v>70</v>
      </c>
      <c r="L662"/>
      <c r="M662" t="n">
        <v>1966</v>
      </c>
      <c r="N662" t="n">
        <v>1970</v>
      </c>
      <c r="O662" t="s">
        <v>2771</v>
      </c>
      <c r="P662" t="n">
        <v>3</v>
      </c>
      <c r="Q662" t="n">
        <v>1</v>
      </c>
      <c r="R662" t="n">
        <v>1</v>
      </c>
      <c r="S662" t="n">
        <v>1963</v>
      </c>
      <c r="T662" t="s">
        <v>3832</v>
      </c>
      <c r="U662" t="s">
        <v>3833</v>
      </c>
      <c r="V662" t="s">
        <v>74</v>
      </c>
      <c r="W662"/>
      <c r="X662"/>
      <c r="Y662"/>
      <c r="Z662"/>
      <c r="AA662"/>
      <c r="AB662"/>
      <c r="AC662"/>
      <c r="AD662"/>
      <c r="AE662"/>
      <c r="AF662"/>
      <c r="AG662"/>
    </row>
    <row r="663">
      <c r="A663" t="s">
        <v>3834</v>
      </c>
      <c r="B663" t="s">
        <v>31</v>
      </c>
      <c r="C663" t="s">
        <v>65</v>
      </c>
      <c r="D663" t="s">
        <v>3835</v>
      </c>
      <c r="E663" t="s">
        <v>3803</v>
      </c>
      <c r="F663" t="s">
        <v>3804</v>
      </c>
      <c r="G663" t="s">
        <v>3836</v>
      </c>
      <c r="H663" t="n">
        <v>38.2473085306122</v>
      </c>
      <c r="I663" t="n">
        <v>-104.631150346939</v>
      </c>
      <c r="J663" t="s">
        <v>35</v>
      </c>
      <c r="K663" t="s">
        <v>70</v>
      </c>
      <c r="L663"/>
      <c r="M663" t="n">
        <v>1966</v>
      </c>
      <c r="N663" t="n">
        <v>1973</v>
      </c>
      <c r="O663" t="s">
        <v>1349</v>
      </c>
      <c r="P663" t="n">
        <v>3</v>
      </c>
      <c r="Q663" t="n">
        <v>1</v>
      </c>
      <c r="R663" t="n">
        <v>1</v>
      </c>
      <c r="S663" t="n">
        <v>1954</v>
      </c>
      <c r="T663" t="s">
        <v>3837</v>
      </c>
      <c r="U663" t="s">
        <v>3838</v>
      </c>
      <c r="V663" t="s">
        <v>74</v>
      </c>
      <c r="W663"/>
      <c r="X663"/>
      <c r="Y663"/>
      <c r="Z663"/>
      <c r="AA663"/>
      <c r="AB663"/>
      <c r="AC663"/>
      <c r="AD663"/>
      <c r="AE663"/>
      <c r="AF663"/>
      <c r="AG663"/>
    </row>
    <row r="664">
      <c r="A664" t="s">
        <v>3839</v>
      </c>
      <c r="B664" t="s">
        <v>31</v>
      </c>
      <c r="C664" t="s">
        <v>65</v>
      </c>
      <c r="D664" t="s">
        <v>3840</v>
      </c>
      <c r="E664" t="s">
        <v>3803</v>
      </c>
      <c r="F664" t="s">
        <v>3804</v>
      </c>
      <c r="G664" t="s">
        <v>3841</v>
      </c>
      <c r="H664" t="n">
        <v>38.2653906268206</v>
      </c>
      <c r="I664" t="n">
        <v>-104.610481674122</v>
      </c>
      <c r="J664" t="s">
        <v>35</v>
      </c>
      <c r="K664" t="s">
        <v>89</v>
      </c>
      <c r="L664"/>
      <c r="M664" t="n">
        <v>1967</v>
      </c>
      <c r="N664" t="n">
        <v>1967</v>
      </c>
      <c r="O664" t="s">
        <v>388</v>
      </c>
      <c r="P664" t="n">
        <v>1</v>
      </c>
      <c r="Q664" t="n">
        <v>1</v>
      </c>
      <c r="R664" t="n">
        <v>1</v>
      </c>
      <c r="S664"/>
      <c r="T664" t="s">
        <v>3842</v>
      </c>
      <c r="U664" t="s">
        <v>3843</v>
      </c>
      <c r="V664" t="s">
        <v>74</v>
      </c>
      <c r="W664"/>
      <c r="X664"/>
      <c r="Y664"/>
      <c r="Z664"/>
      <c r="AA664"/>
      <c r="AB664" t="s">
        <v>3844</v>
      </c>
      <c r="AC664" t="n">
        <v>85</v>
      </c>
      <c r="AD664"/>
      <c r="AE664"/>
      <c r="AF664" t="s">
        <v>3845</v>
      </c>
      <c r="AG664" t="n">
        <v>58</v>
      </c>
    </row>
    <row r="665">
      <c r="A665" t="s">
        <v>3846</v>
      </c>
      <c r="B665" t="s">
        <v>31</v>
      </c>
      <c r="C665" t="s">
        <v>65</v>
      </c>
      <c r="D665" t="s">
        <v>3847</v>
      </c>
      <c r="E665" t="s">
        <v>3803</v>
      </c>
      <c r="F665" t="s">
        <v>3804</v>
      </c>
      <c r="G665" t="s">
        <v>3805</v>
      </c>
      <c r="H665" t="n">
        <v>38.2724800022676</v>
      </c>
      <c r="I665" t="n">
        <v>-104.611626845805</v>
      </c>
      <c r="J665" t="s">
        <v>35</v>
      </c>
      <c r="K665" t="s">
        <v>70</v>
      </c>
      <c r="L665"/>
      <c r="M665" t="n">
        <v>1967</v>
      </c>
      <c r="N665" t="n">
        <v>1992</v>
      </c>
      <c r="O665" t="s">
        <v>228</v>
      </c>
      <c r="P665" t="n">
        <v>9</v>
      </c>
      <c r="Q665" t="n">
        <v>6</v>
      </c>
      <c r="R665" t="n">
        <v>1</v>
      </c>
      <c r="S665" t="n">
        <v>1940</v>
      </c>
      <c r="T665" t="s">
        <v>3848</v>
      </c>
      <c r="U665" t="s">
        <v>3849</v>
      </c>
      <c r="V665" t="s">
        <v>74</v>
      </c>
      <c r="W665"/>
      <c r="X665"/>
      <c r="Y665"/>
      <c r="Z665"/>
      <c r="AA665"/>
      <c r="AB665"/>
      <c r="AC665"/>
      <c r="AD665"/>
      <c r="AE665"/>
      <c r="AF665" t="s">
        <v>3850</v>
      </c>
      <c r="AG665" t="n">
        <v>143</v>
      </c>
    </row>
    <row r="666">
      <c r="A666" t="s">
        <v>3851</v>
      </c>
      <c r="B666" t="s">
        <v>31</v>
      </c>
      <c r="C666" t="s">
        <v>65</v>
      </c>
      <c r="D666" t="s">
        <v>3852</v>
      </c>
      <c r="E666" t="s">
        <v>3803</v>
      </c>
      <c r="F666" t="s">
        <v>3804</v>
      </c>
      <c r="G666" t="s">
        <v>3841</v>
      </c>
      <c r="H666" t="n">
        <v>38.2660360238131</v>
      </c>
      <c r="I666" t="n">
        <v>-104.606969677249</v>
      </c>
      <c r="J666" t="s">
        <v>35</v>
      </c>
      <c r="K666" t="s">
        <v>89</v>
      </c>
      <c r="L666"/>
      <c r="M666" t="n">
        <v>1973</v>
      </c>
      <c r="N666" t="n">
        <v>1980</v>
      </c>
      <c r="O666" t="s">
        <v>112</v>
      </c>
      <c r="P666" t="n">
        <v>4</v>
      </c>
      <c r="Q666" t="n">
        <v>2</v>
      </c>
      <c r="R666" t="n">
        <v>2</v>
      </c>
      <c r="S666" t="n">
        <v>1966</v>
      </c>
      <c r="T666" t="s">
        <v>3853</v>
      </c>
      <c r="U666" t="s">
        <v>3854</v>
      </c>
      <c r="V666" t="s">
        <v>74</v>
      </c>
      <c r="W666"/>
      <c r="X666"/>
      <c r="Y666"/>
      <c r="Z666"/>
      <c r="AA666"/>
      <c r="AB666" t="s">
        <v>3855</v>
      </c>
      <c r="AC666" t="n">
        <v>136</v>
      </c>
      <c r="AD666"/>
      <c r="AE666"/>
      <c r="AF666" t="s">
        <v>3856</v>
      </c>
      <c r="AG666" t="n">
        <v>151</v>
      </c>
    </row>
    <row r="667">
      <c r="A667" t="s">
        <v>3857</v>
      </c>
      <c r="B667" t="s">
        <v>31</v>
      </c>
      <c r="C667" t="s">
        <v>65</v>
      </c>
      <c r="D667" t="s">
        <v>3858</v>
      </c>
      <c r="E667" t="s">
        <v>3803</v>
      </c>
      <c r="F667" t="s">
        <v>3804</v>
      </c>
      <c r="G667" t="s">
        <v>3859</v>
      </c>
      <c r="H667" t="n">
        <v>38.24554</v>
      </c>
      <c r="I667" t="n">
        <v>-104.569473</v>
      </c>
      <c r="J667" t="s">
        <v>35</v>
      </c>
      <c r="K667" t="s">
        <v>70</v>
      </c>
      <c r="L667"/>
      <c r="M667" t="n">
        <v>1974</v>
      </c>
      <c r="N667" t="n">
        <v>1983</v>
      </c>
      <c r="O667" t="s">
        <v>3860</v>
      </c>
      <c r="P667" t="n">
        <v>3</v>
      </c>
      <c r="Q667" t="n">
        <v>1</v>
      </c>
      <c r="R667" t="n">
        <v>1</v>
      </c>
      <c r="S667" t="n">
        <v>1952</v>
      </c>
      <c r="T667" t="s">
        <v>3861</v>
      </c>
      <c r="U667" t="s">
        <v>3862</v>
      </c>
      <c r="V667" t="s">
        <v>74</v>
      </c>
      <c r="W667"/>
      <c r="X667"/>
      <c r="Y667"/>
      <c r="Z667"/>
      <c r="AA667"/>
      <c r="AB667"/>
      <c r="AC667"/>
      <c r="AD667" t="s">
        <v>3863</v>
      </c>
      <c r="AE667" t="n">
        <v>240</v>
      </c>
      <c r="AF667" t="s">
        <v>3864</v>
      </c>
      <c r="AG667" t="n">
        <v>91</v>
      </c>
    </row>
    <row r="668">
      <c r="A668" t="s">
        <v>3865</v>
      </c>
      <c r="B668" t="s">
        <v>31</v>
      </c>
      <c r="C668" t="s">
        <v>65</v>
      </c>
      <c r="D668" t="s">
        <v>3866</v>
      </c>
      <c r="E668" t="s">
        <v>3803</v>
      </c>
      <c r="F668" t="s">
        <v>3804</v>
      </c>
      <c r="G668" t="s">
        <v>3841</v>
      </c>
      <c r="H668" t="n">
        <v>38.2586896153419</v>
      </c>
      <c r="I668" t="n">
        <v>-104.57798175421</v>
      </c>
      <c r="J668" t="s">
        <v>35</v>
      </c>
      <c r="K668" t="s">
        <v>70</v>
      </c>
      <c r="L668"/>
      <c r="M668" t="n">
        <v>1974</v>
      </c>
      <c r="N668" t="n">
        <v>1974</v>
      </c>
      <c r="O668" t="s">
        <v>210</v>
      </c>
      <c r="P668" t="n">
        <v>1</v>
      </c>
      <c r="Q668" t="n">
        <v>1</v>
      </c>
      <c r="R668" t="n">
        <v>1</v>
      </c>
      <c r="S668" t="n">
        <v>1954</v>
      </c>
      <c r="T668" t="s">
        <v>3867</v>
      </c>
      <c r="U668" t="s">
        <v>3868</v>
      </c>
      <c r="V668" t="s">
        <v>74</v>
      </c>
      <c r="W668"/>
      <c r="X668"/>
      <c r="Y668"/>
      <c r="Z668"/>
      <c r="AA668"/>
      <c r="AB668" t="s">
        <v>3869</v>
      </c>
      <c r="AC668" t="n">
        <v>114</v>
      </c>
      <c r="AD668"/>
      <c r="AE668"/>
      <c r="AF668"/>
      <c r="AG668"/>
    </row>
    <row r="669">
      <c r="A669" t="s">
        <v>3870</v>
      </c>
      <c r="B669" t="s">
        <v>31</v>
      </c>
      <c r="C669" t="s">
        <v>65</v>
      </c>
      <c r="D669" t="s">
        <v>3871</v>
      </c>
      <c r="E669" t="s">
        <v>3803</v>
      </c>
      <c r="F669" t="s">
        <v>3804</v>
      </c>
      <c r="G669" t="s">
        <v>3872</v>
      </c>
      <c r="H669" t="n">
        <v>38.3185715918367</v>
      </c>
      <c r="I669" t="n">
        <v>-104.629436571429</v>
      </c>
      <c r="J669" t="s">
        <v>35</v>
      </c>
      <c r="K669" t="s">
        <v>70</v>
      </c>
      <c r="L669"/>
      <c r="M669" t="n">
        <v>1977</v>
      </c>
      <c r="N669" t="n">
        <v>1977</v>
      </c>
      <c r="O669" t="s">
        <v>228</v>
      </c>
      <c r="P669" t="n">
        <v>1</v>
      </c>
      <c r="Q669" t="n">
        <v>1</v>
      </c>
      <c r="R669" t="n">
        <v>1</v>
      </c>
      <c r="S669"/>
      <c r="T669" t="s">
        <v>3873</v>
      </c>
      <c r="U669" t="s">
        <v>3874</v>
      </c>
      <c r="V669" t="s">
        <v>74</v>
      </c>
      <c r="W669"/>
      <c r="X669"/>
      <c r="Y669"/>
      <c r="Z669"/>
      <c r="AA669"/>
      <c r="AB669"/>
      <c r="AC669"/>
      <c r="AD669"/>
      <c r="AE669"/>
      <c r="AF669"/>
      <c r="AG669"/>
    </row>
    <row r="670">
      <c r="A670" t="s">
        <v>3875</v>
      </c>
      <c r="B670" t="s">
        <v>31</v>
      </c>
      <c r="C670" t="s">
        <v>65</v>
      </c>
      <c r="D670" t="s">
        <v>3876</v>
      </c>
      <c r="E670" t="s">
        <v>3803</v>
      </c>
      <c r="F670" t="s">
        <v>3804</v>
      </c>
      <c r="G670" t="s">
        <v>3836</v>
      </c>
      <c r="H670" t="n">
        <v>38.2325602244898</v>
      </c>
      <c r="I670" t="n">
        <v>-104.619452346939</v>
      </c>
      <c r="J670" t="s">
        <v>35</v>
      </c>
      <c r="K670" t="s">
        <v>70</v>
      </c>
      <c r="L670"/>
      <c r="M670" t="n">
        <v>1977</v>
      </c>
      <c r="N670" t="n">
        <v>1990</v>
      </c>
      <c r="O670" t="s">
        <v>228</v>
      </c>
      <c r="P670" t="n">
        <v>4</v>
      </c>
      <c r="Q670" t="n">
        <v>1</v>
      </c>
      <c r="R670" t="n">
        <v>1</v>
      </c>
      <c r="S670" t="n">
        <v>1977</v>
      </c>
      <c r="T670" t="s">
        <v>3877</v>
      </c>
      <c r="U670" t="s">
        <v>3878</v>
      </c>
      <c r="V670" t="s">
        <v>74</v>
      </c>
      <c r="W670"/>
      <c r="X670"/>
      <c r="Y670"/>
      <c r="Z670"/>
      <c r="AA670"/>
      <c r="AB670"/>
      <c r="AC670"/>
      <c r="AD670"/>
      <c r="AE670"/>
      <c r="AF670"/>
      <c r="AG670"/>
    </row>
    <row r="671">
      <c r="A671" t="s">
        <v>3879</v>
      </c>
      <c r="B671" t="s">
        <v>31</v>
      </c>
      <c r="C671" t="s">
        <v>65</v>
      </c>
      <c r="D671" t="s">
        <v>3880</v>
      </c>
      <c r="E671" t="s">
        <v>3803</v>
      </c>
      <c r="F671" t="s">
        <v>3804</v>
      </c>
      <c r="G671" t="s">
        <v>3836</v>
      </c>
      <c r="H671" t="n">
        <v>38.2583908104107</v>
      </c>
      <c r="I671" t="n">
        <v>-104.620466992543</v>
      </c>
      <c r="J671" t="s">
        <v>35</v>
      </c>
      <c r="K671" t="s">
        <v>133</v>
      </c>
      <c r="L671"/>
      <c r="M671" t="n">
        <v>1980</v>
      </c>
      <c r="N671" t="n">
        <v>1992</v>
      </c>
      <c r="O671" t="s">
        <v>3881</v>
      </c>
      <c r="P671" t="n">
        <v>4</v>
      </c>
      <c r="Q671" t="n">
        <v>1</v>
      </c>
      <c r="R671" t="n">
        <v>1</v>
      </c>
      <c r="S671" t="n">
        <v>1950</v>
      </c>
      <c r="T671" t="s">
        <v>3882</v>
      </c>
      <c r="U671" t="s">
        <v>3883</v>
      </c>
      <c r="V671" t="s">
        <v>74</v>
      </c>
      <c r="W671"/>
      <c r="X671"/>
      <c r="Y671"/>
      <c r="Z671"/>
      <c r="AA671"/>
      <c r="AB671" t="s">
        <v>3816</v>
      </c>
      <c r="AC671" t="n">
        <v>211</v>
      </c>
      <c r="AD671"/>
      <c r="AE671"/>
      <c r="AF671" t="s">
        <v>3884</v>
      </c>
      <c r="AG671" t="n">
        <v>68</v>
      </c>
    </row>
    <row r="672">
      <c r="A672" t="s">
        <v>3885</v>
      </c>
      <c r="B672" t="s">
        <v>31</v>
      </c>
      <c r="C672" t="s">
        <v>65</v>
      </c>
      <c r="D672" t="s">
        <v>3886</v>
      </c>
      <c r="E672" t="s">
        <v>3803</v>
      </c>
      <c r="F672" t="s">
        <v>3804</v>
      </c>
      <c r="G672" t="s">
        <v>3887</v>
      </c>
      <c r="H672" t="n">
        <v>38.2779985102041</v>
      </c>
      <c r="I672" t="n">
        <v>-104.574475673469</v>
      </c>
      <c r="J672" t="s">
        <v>35</v>
      </c>
      <c r="K672" t="s">
        <v>70</v>
      </c>
      <c r="L672"/>
      <c r="M672" t="n">
        <v>1980</v>
      </c>
      <c r="N672" t="n">
        <v>1980</v>
      </c>
      <c r="O672" t="s">
        <v>255</v>
      </c>
      <c r="P672" t="n">
        <v>1</v>
      </c>
      <c r="Q672" t="n">
        <v>1</v>
      </c>
      <c r="R672" t="n">
        <v>1</v>
      </c>
      <c r="S672"/>
      <c r="T672" t="s">
        <v>3888</v>
      </c>
      <c r="U672" t="s">
        <v>3889</v>
      </c>
      <c r="V672" t="s">
        <v>74</v>
      </c>
      <c r="W672"/>
      <c r="X672"/>
      <c r="Y672"/>
      <c r="Z672"/>
      <c r="AA672"/>
      <c r="AB672"/>
      <c r="AC672"/>
      <c r="AD672"/>
      <c r="AE672"/>
      <c r="AF672"/>
      <c r="AG672"/>
    </row>
    <row r="673">
      <c r="A673" t="s">
        <v>3890</v>
      </c>
      <c r="B673" t="s">
        <v>31</v>
      </c>
      <c r="C673" t="s">
        <v>65</v>
      </c>
      <c r="D673" t="s">
        <v>3891</v>
      </c>
      <c r="E673" t="s">
        <v>3803</v>
      </c>
      <c r="F673" t="s">
        <v>3804</v>
      </c>
      <c r="G673" t="s">
        <v>3887</v>
      </c>
      <c r="H673" t="n">
        <v>38.2730455352936</v>
      </c>
      <c r="I673" t="n">
        <v>-104.530061848828</v>
      </c>
      <c r="J673" t="s">
        <v>35</v>
      </c>
      <c r="K673" t="s">
        <v>70</v>
      </c>
      <c r="L673"/>
      <c r="M673" t="n">
        <v>1980</v>
      </c>
      <c r="N673" t="n">
        <v>1988</v>
      </c>
      <c r="O673" t="s">
        <v>1668</v>
      </c>
      <c r="P673" t="n">
        <v>3</v>
      </c>
      <c r="Q673" t="n">
        <v>1</v>
      </c>
      <c r="R673" t="n">
        <v>1</v>
      </c>
      <c r="S673" t="n">
        <v>1966</v>
      </c>
      <c r="T673" t="s">
        <v>3892</v>
      </c>
      <c r="U673" t="s">
        <v>3893</v>
      </c>
      <c r="V673" t="s">
        <v>74</v>
      </c>
      <c r="W673"/>
      <c r="X673"/>
      <c r="Y673"/>
      <c r="Z673"/>
      <c r="AA673"/>
      <c r="AB673"/>
      <c r="AC673"/>
      <c r="AD673"/>
      <c r="AE673"/>
      <c r="AF673"/>
      <c r="AG673"/>
    </row>
    <row r="674">
      <c r="A674" t="s">
        <v>3894</v>
      </c>
      <c r="B674" t="s">
        <v>31</v>
      </c>
      <c r="C674" t="s">
        <v>65</v>
      </c>
      <c r="D674" t="s">
        <v>3895</v>
      </c>
      <c r="E674" t="s">
        <v>3896</v>
      </c>
      <c r="F674" t="s">
        <v>3804</v>
      </c>
      <c r="G674" t="s">
        <v>3897</v>
      </c>
      <c r="H674" t="n">
        <v>38.0747627616916</v>
      </c>
      <c r="I674" t="n">
        <v>-104.99374917036</v>
      </c>
      <c r="J674" t="s">
        <v>35</v>
      </c>
      <c r="K674" t="s">
        <v>70</v>
      </c>
      <c r="L674"/>
      <c r="M674" t="n">
        <v>1983</v>
      </c>
      <c r="N674" t="n">
        <v>1990</v>
      </c>
      <c r="O674" t="s">
        <v>271</v>
      </c>
      <c r="P674" t="n">
        <v>3</v>
      </c>
      <c r="Q674" t="n">
        <v>2</v>
      </c>
      <c r="R674" t="n">
        <v>2</v>
      </c>
      <c r="S674" t="n">
        <v>1979</v>
      </c>
      <c r="T674" t="s">
        <v>3898</v>
      </c>
      <c r="U674" t="s">
        <v>3899</v>
      </c>
      <c r="V674" t="s">
        <v>74</v>
      </c>
      <c r="W674"/>
      <c r="X674"/>
      <c r="Y674"/>
      <c r="Z674"/>
      <c r="AA674"/>
      <c r="AB674"/>
      <c r="AC674"/>
      <c r="AD674"/>
      <c r="AE674"/>
      <c r="AF674"/>
      <c r="AG674"/>
    </row>
    <row r="675">
      <c r="A675" t="s">
        <v>3900</v>
      </c>
      <c r="B675" t="s">
        <v>31</v>
      </c>
      <c r="C675" t="s">
        <v>65</v>
      </c>
      <c r="D675" t="s">
        <v>3901</v>
      </c>
      <c r="E675" t="s">
        <v>3902</v>
      </c>
      <c r="F675" t="s">
        <v>3804</v>
      </c>
      <c r="G675" t="s">
        <v>3903</v>
      </c>
      <c r="H675" t="n">
        <v>38.3383008</v>
      </c>
      <c r="I675" t="n">
        <v>-104.73603128</v>
      </c>
      <c r="J675" t="s">
        <v>35</v>
      </c>
      <c r="K675" t="s">
        <v>1041</v>
      </c>
      <c r="L675"/>
      <c r="M675" t="n">
        <v>1983</v>
      </c>
      <c r="N675" t="n">
        <v>1992</v>
      </c>
      <c r="O675" t="s">
        <v>3904</v>
      </c>
      <c r="P675" t="n">
        <v>3</v>
      </c>
      <c r="Q675" t="n">
        <v>1</v>
      </c>
      <c r="R675" t="n">
        <v>1</v>
      </c>
      <c r="S675" t="n">
        <v>1979</v>
      </c>
      <c r="T675" t="s">
        <v>3905</v>
      </c>
      <c r="U675" t="s">
        <v>3906</v>
      </c>
      <c r="V675" t="s">
        <v>74</v>
      </c>
      <c r="W675"/>
      <c r="X675"/>
      <c r="Y675"/>
      <c r="Z675"/>
      <c r="AA675"/>
      <c r="AB675"/>
      <c r="AC675"/>
      <c r="AD675"/>
      <c r="AE675"/>
      <c r="AF675"/>
      <c r="AG675"/>
    </row>
    <row r="676">
      <c r="A676" t="s">
        <v>3907</v>
      </c>
      <c r="B676" t="s">
        <v>31</v>
      </c>
      <c r="C676" t="s">
        <v>65</v>
      </c>
      <c r="D676" t="s">
        <v>3908</v>
      </c>
      <c r="E676" t="s">
        <v>3803</v>
      </c>
      <c r="F676" t="s">
        <v>3804</v>
      </c>
      <c r="G676" t="s">
        <v>3887</v>
      </c>
      <c r="H676" t="n">
        <v>38.2758845932609</v>
      </c>
      <c r="I676" t="n">
        <v>-104.552108019353</v>
      </c>
      <c r="J676" t="s">
        <v>35</v>
      </c>
      <c r="K676" t="s">
        <v>315</v>
      </c>
      <c r="L676"/>
      <c r="M676" t="n">
        <v>1988</v>
      </c>
      <c r="N676" t="n">
        <v>1990</v>
      </c>
      <c r="O676" t="s">
        <v>310</v>
      </c>
      <c r="P676" t="n">
        <v>2</v>
      </c>
      <c r="Q676" t="n">
        <v>1</v>
      </c>
      <c r="R676" t="n">
        <v>1</v>
      </c>
      <c r="S676" t="n">
        <v>1963</v>
      </c>
      <c r="T676" t="s">
        <v>3909</v>
      </c>
      <c r="U676" t="s">
        <v>3910</v>
      </c>
      <c r="V676" t="s">
        <v>74</v>
      </c>
      <c r="W676"/>
      <c r="X676"/>
      <c r="Y676"/>
      <c r="Z676"/>
      <c r="AA676"/>
      <c r="AB676"/>
      <c r="AC676"/>
      <c r="AD676"/>
      <c r="AE676"/>
      <c r="AF676"/>
      <c r="AG676"/>
    </row>
    <row r="677">
      <c r="A677" t="s">
        <v>3911</v>
      </c>
      <c r="B677" t="s">
        <v>31</v>
      </c>
      <c r="C677" t="s">
        <v>65</v>
      </c>
      <c r="D677" t="s">
        <v>3912</v>
      </c>
      <c r="E677" t="s">
        <v>3803</v>
      </c>
      <c r="F677" t="s">
        <v>3804</v>
      </c>
      <c r="G677" t="s">
        <v>3836</v>
      </c>
      <c r="H677" t="n">
        <v>38.2308543673469</v>
      </c>
      <c r="I677" t="n">
        <v>-104.614848367347</v>
      </c>
      <c r="J677" t="s">
        <v>35</v>
      </c>
      <c r="K677" t="s">
        <v>70</v>
      </c>
      <c r="L677"/>
      <c r="M677" t="n">
        <v>1988</v>
      </c>
      <c r="N677" t="n">
        <v>1990</v>
      </c>
      <c r="O677" t="s">
        <v>310</v>
      </c>
      <c r="P677" t="n">
        <v>2</v>
      </c>
      <c r="Q677" t="n">
        <v>1</v>
      </c>
      <c r="R677" t="n">
        <v>1</v>
      </c>
      <c r="S677" t="n">
        <v>1955</v>
      </c>
      <c r="T677" t="s">
        <v>3913</v>
      </c>
      <c r="U677" t="s">
        <v>3914</v>
      </c>
      <c r="V677" t="s">
        <v>74</v>
      </c>
      <c r="W677"/>
      <c r="X677"/>
      <c r="Y677"/>
      <c r="Z677"/>
      <c r="AA677"/>
      <c r="AB677"/>
      <c r="AC677"/>
      <c r="AD677" t="s">
        <v>3915</v>
      </c>
      <c r="AE677" t="n">
        <v>195</v>
      </c>
      <c r="AF677" t="s">
        <v>3916</v>
      </c>
      <c r="AG677" t="n">
        <v>187</v>
      </c>
    </row>
    <row r="678">
      <c r="A678" t="s">
        <v>3917</v>
      </c>
      <c r="B678" t="s">
        <v>31</v>
      </c>
      <c r="C678" t="s">
        <v>65</v>
      </c>
      <c r="D678" t="s">
        <v>3918</v>
      </c>
      <c r="E678" t="s">
        <v>3902</v>
      </c>
      <c r="F678" t="s">
        <v>3804</v>
      </c>
      <c r="G678" t="s">
        <v>3903</v>
      </c>
      <c r="H678" t="n">
        <v>38.3270941739635</v>
      </c>
      <c r="I678" t="n">
        <v>-104.706648318292</v>
      </c>
      <c r="J678" t="s">
        <v>35</v>
      </c>
      <c r="K678" t="s">
        <v>70</v>
      </c>
      <c r="L678"/>
      <c r="M678" t="n">
        <v>1988</v>
      </c>
      <c r="N678" t="n">
        <v>1990</v>
      </c>
      <c r="O678" t="s">
        <v>310</v>
      </c>
      <c r="P678" t="n">
        <v>2</v>
      </c>
      <c r="Q678" t="n">
        <v>1</v>
      </c>
      <c r="R678" t="n">
        <v>1</v>
      </c>
      <c r="S678" t="n">
        <v>1932</v>
      </c>
      <c r="T678" t="s">
        <v>3919</v>
      </c>
      <c r="U678" t="s">
        <v>3920</v>
      </c>
      <c r="V678" t="s">
        <v>74</v>
      </c>
      <c r="W678"/>
      <c r="X678"/>
      <c r="Y678"/>
      <c r="Z678"/>
      <c r="AA678"/>
      <c r="AB678"/>
      <c r="AC678"/>
      <c r="AD678"/>
      <c r="AE678"/>
      <c r="AF678"/>
      <c r="AG678"/>
    </row>
    <row r="679">
      <c r="A679" t="s">
        <v>3921</v>
      </c>
      <c r="B679" t="s">
        <v>31</v>
      </c>
      <c r="C679" t="s">
        <v>65</v>
      </c>
      <c r="D679" t="s">
        <v>3922</v>
      </c>
      <c r="E679" t="s">
        <v>3803</v>
      </c>
      <c r="F679" t="s">
        <v>3804</v>
      </c>
      <c r="G679" t="s">
        <v>3887</v>
      </c>
      <c r="H679" t="n">
        <v>38.279392</v>
      </c>
      <c r="I679" t="n">
        <v>-104.513577</v>
      </c>
      <c r="J679" t="s">
        <v>35</v>
      </c>
      <c r="K679" t="s">
        <v>120</v>
      </c>
      <c r="L679"/>
      <c r="M679" t="n">
        <v>1990</v>
      </c>
      <c r="N679" t="n">
        <v>1990</v>
      </c>
      <c r="O679" t="s">
        <v>351</v>
      </c>
      <c r="P679" t="n">
        <v>1</v>
      </c>
      <c r="Q679" t="n">
        <v>1</v>
      </c>
      <c r="R679" t="n">
        <v>1</v>
      </c>
      <c r="S679" t="n">
        <v>1987</v>
      </c>
      <c r="T679" t="s">
        <v>3923</v>
      </c>
      <c r="U679" t="s">
        <v>3924</v>
      </c>
      <c r="V679" t="s">
        <v>74</v>
      </c>
      <c r="W679"/>
      <c r="X679"/>
      <c r="Y679"/>
      <c r="Z679"/>
      <c r="AA679"/>
      <c r="AB679"/>
      <c r="AC679"/>
      <c r="AD679" t="s">
        <v>3925</v>
      </c>
      <c r="AE679" t="n">
        <v>136</v>
      </c>
      <c r="AF679"/>
      <c r="AG679"/>
    </row>
    <row r="680">
      <c r="A680" t="s">
        <v>3926</v>
      </c>
      <c r="B680" t="s">
        <v>31</v>
      </c>
      <c r="C680" t="s">
        <v>65</v>
      </c>
      <c r="D680" t="s">
        <v>3927</v>
      </c>
      <c r="E680" t="s">
        <v>3902</v>
      </c>
      <c r="F680" t="s">
        <v>3804</v>
      </c>
      <c r="G680" t="s">
        <v>3903</v>
      </c>
      <c r="H680" t="n">
        <v>38.3368323571429</v>
      </c>
      <c r="I680" t="n">
        <v>-104.726331428571</v>
      </c>
      <c r="J680" t="s">
        <v>35</v>
      </c>
      <c r="K680" t="s">
        <v>70</v>
      </c>
      <c r="L680"/>
      <c r="M680" t="n">
        <v>1990</v>
      </c>
      <c r="N680" t="n">
        <v>1992</v>
      </c>
      <c r="O680" t="s">
        <v>357</v>
      </c>
      <c r="P680" t="n">
        <v>2</v>
      </c>
      <c r="Q680" t="n">
        <v>1</v>
      </c>
      <c r="R680" t="n">
        <v>1</v>
      </c>
      <c r="S680" t="n">
        <v>1951</v>
      </c>
      <c r="T680" t="s">
        <v>3928</v>
      </c>
      <c r="U680" t="s">
        <v>3929</v>
      </c>
      <c r="V680" t="s">
        <v>74</v>
      </c>
      <c r="W680"/>
      <c r="X680"/>
      <c r="Y680"/>
      <c r="Z680"/>
      <c r="AA680"/>
      <c r="AB680"/>
      <c r="AC680"/>
      <c r="AD680"/>
      <c r="AE680"/>
      <c r="AF680"/>
      <c r="AG680"/>
    </row>
    <row r="681">
      <c r="A681" t="s">
        <v>3930</v>
      </c>
      <c r="B681" t="s">
        <v>31</v>
      </c>
      <c r="C681" t="s">
        <v>65</v>
      </c>
      <c r="D681" t="s">
        <v>3931</v>
      </c>
      <c r="E681" t="s">
        <v>3932</v>
      </c>
      <c r="F681" t="s">
        <v>3933</v>
      </c>
      <c r="G681" t="s">
        <v>3934</v>
      </c>
      <c r="H681" t="n">
        <v>40.4648543594804</v>
      </c>
      <c r="I681" t="n">
        <v>-106.822015364383</v>
      </c>
      <c r="J681" t="s">
        <v>35</v>
      </c>
      <c r="K681" t="s">
        <v>120</v>
      </c>
      <c r="L681"/>
      <c r="M681" t="n">
        <v>1983</v>
      </c>
      <c r="N681" t="n">
        <v>1990</v>
      </c>
      <c r="O681" t="s">
        <v>264</v>
      </c>
      <c r="P681" t="n">
        <v>3</v>
      </c>
      <c r="Q681" t="n">
        <v>1</v>
      </c>
      <c r="R681" t="n">
        <v>1</v>
      </c>
      <c r="S681" t="n">
        <v>1969</v>
      </c>
      <c r="T681" t="s">
        <v>3935</v>
      </c>
      <c r="U681" t="s">
        <v>3936</v>
      </c>
      <c r="V681" t="s">
        <v>74</v>
      </c>
      <c r="W681"/>
      <c r="X681"/>
      <c r="Y681"/>
      <c r="Z681"/>
      <c r="AA681"/>
      <c r="AB681"/>
      <c r="AC681"/>
      <c r="AD681"/>
      <c r="AE681"/>
      <c r="AF681"/>
      <c r="AG681"/>
    </row>
    <row r="682">
      <c r="A682" t="s">
        <v>3937</v>
      </c>
      <c r="B682" t="s">
        <v>31</v>
      </c>
      <c r="C682" t="s">
        <v>65</v>
      </c>
      <c r="D682" t="s">
        <v>3938</v>
      </c>
      <c r="E682" t="s">
        <v>3939</v>
      </c>
      <c r="F682" t="s">
        <v>3940</v>
      </c>
      <c r="G682" t="s">
        <v>3941</v>
      </c>
      <c r="H682" t="n">
        <v>40.159111</v>
      </c>
      <c r="I682" t="n">
        <v>-103.214193</v>
      </c>
      <c r="J682" t="s">
        <v>35</v>
      </c>
      <c r="K682" t="s">
        <v>3942</v>
      </c>
      <c r="L682"/>
      <c r="M682" t="n">
        <v>1973</v>
      </c>
      <c r="N682" t="n">
        <v>1990</v>
      </c>
      <c r="O682" t="s">
        <v>3943</v>
      </c>
      <c r="P682" t="n">
        <v>2</v>
      </c>
      <c r="Q682" t="n">
        <v>1</v>
      </c>
      <c r="R682" t="n">
        <v>1</v>
      </c>
      <c r="S682" t="n">
        <v>1969</v>
      </c>
      <c r="T682" t="s">
        <v>3944</v>
      </c>
      <c r="U682" t="s">
        <v>3945</v>
      </c>
      <c r="V682" t="s">
        <v>74</v>
      </c>
      <c r="W682"/>
      <c r="X682"/>
      <c r="Y682"/>
      <c r="Z682"/>
      <c r="AA682"/>
      <c r="AB682"/>
      <c r="AC682"/>
      <c r="AD682"/>
      <c r="AE682"/>
      <c r="AF682" t="s">
        <v>3946</v>
      </c>
      <c r="AG682" t="n">
        <v>185</v>
      </c>
    </row>
    <row r="683">
      <c r="A683" t="s">
        <v>3947</v>
      </c>
      <c r="B683" t="s">
        <v>31</v>
      </c>
      <c r="C683" t="s">
        <v>65</v>
      </c>
      <c r="D683" t="s">
        <v>3948</v>
      </c>
      <c r="E683" t="s">
        <v>3949</v>
      </c>
      <c r="F683" t="s">
        <v>3950</v>
      </c>
      <c r="G683"/>
      <c r="H683" t="n">
        <v>40.3864744392459</v>
      </c>
      <c r="I683" t="n">
        <v>-104.563185262729</v>
      </c>
      <c r="J683" t="s">
        <v>35</v>
      </c>
      <c r="K683" t="s">
        <v>315</v>
      </c>
      <c r="L683"/>
      <c r="M683" t="n">
        <v>1965</v>
      </c>
      <c r="N683" t="n">
        <v>1965</v>
      </c>
      <c r="O683" t="s">
        <v>1275</v>
      </c>
      <c r="P683" t="n">
        <v>1</v>
      </c>
      <c r="Q683" t="n">
        <v>1</v>
      </c>
      <c r="R683" t="n">
        <v>1</v>
      </c>
      <c r="S683"/>
      <c r="T683" t="s">
        <v>3951</v>
      </c>
      <c r="U683" t="s">
        <v>3952</v>
      </c>
      <c r="V683" t="s">
        <v>74</v>
      </c>
      <c r="W683"/>
      <c r="X683"/>
      <c r="Y683"/>
      <c r="Z683"/>
      <c r="AA683"/>
      <c r="AB683" t="s">
        <v>3953</v>
      </c>
      <c r="AC683" t="n">
        <v>171</v>
      </c>
      <c r="AD683" t="s">
        <v>3954</v>
      </c>
      <c r="AE683" t="n">
        <v>164</v>
      </c>
      <c r="AF683" t="s">
        <v>3955</v>
      </c>
      <c r="AG683" t="n">
        <v>155</v>
      </c>
    </row>
    <row r="684">
      <c r="A684" t="s">
        <v>3956</v>
      </c>
      <c r="B684" t="s">
        <v>31</v>
      </c>
      <c r="C684" t="s">
        <v>65</v>
      </c>
      <c r="D684" t="s">
        <v>3957</v>
      </c>
      <c r="E684" t="s">
        <v>3958</v>
      </c>
      <c r="F684" t="s">
        <v>3950</v>
      </c>
      <c r="G684" t="s">
        <v>3959</v>
      </c>
      <c r="H684" t="n">
        <v>40.5336305144318</v>
      </c>
      <c r="I684" t="n">
        <v>-104.713084318404</v>
      </c>
      <c r="J684" t="s">
        <v>35</v>
      </c>
      <c r="K684" t="s">
        <v>3960</v>
      </c>
      <c r="L684"/>
      <c r="M684" t="n">
        <v>1966</v>
      </c>
      <c r="N684" t="n">
        <v>1990</v>
      </c>
      <c r="O684" t="s">
        <v>3961</v>
      </c>
      <c r="P684" t="n">
        <v>7</v>
      </c>
      <c r="Q684" t="n">
        <v>2</v>
      </c>
      <c r="R684" t="n">
        <v>2</v>
      </c>
      <c r="S684" t="n">
        <v>1943</v>
      </c>
      <c r="T684" t="s">
        <v>3962</v>
      </c>
      <c r="U684" t="s">
        <v>3963</v>
      </c>
      <c r="V684" t="s">
        <v>74</v>
      </c>
      <c r="W684"/>
      <c r="X684"/>
      <c r="Y684"/>
      <c r="Z684"/>
      <c r="AA684"/>
      <c r="AB684"/>
      <c r="AC684"/>
      <c r="AD684"/>
      <c r="AE684"/>
      <c r="AF684" t="s">
        <v>3964</v>
      </c>
      <c r="AG684" t="n">
        <v>141</v>
      </c>
    </row>
    <row r="685">
      <c r="A685" t="s">
        <v>3965</v>
      </c>
      <c r="B685" t="s">
        <v>31</v>
      </c>
      <c r="C685" t="s">
        <v>65</v>
      </c>
      <c r="D685" t="s">
        <v>3966</v>
      </c>
      <c r="E685" t="s">
        <v>3967</v>
      </c>
      <c r="F685" t="s">
        <v>3950</v>
      </c>
      <c r="G685" t="s">
        <v>3968</v>
      </c>
      <c r="H685" t="n">
        <v>40.4238525632653</v>
      </c>
      <c r="I685" t="n">
        <v>-104.687271261224</v>
      </c>
      <c r="J685" t="s">
        <v>35</v>
      </c>
      <c r="K685" t="s">
        <v>1639</v>
      </c>
      <c r="L685"/>
      <c r="M685" t="n">
        <v>1966</v>
      </c>
      <c r="N685" t="n">
        <v>1980</v>
      </c>
      <c r="O685" t="s">
        <v>3969</v>
      </c>
      <c r="P685" t="n">
        <v>3</v>
      </c>
      <c r="Q685" t="n">
        <v>4</v>
      </c>
      <c r="R685" t="n">
        <v>2</v>
      </c>
      <c r="S685" t="n">
        <v>1937</v>
      </c>
      <c r="T685" t="s">
        <v>3970</v>
      </c>
      <c r="U685" t="s">
        <v>3971</v>
      </c>
      <c r="V685" t="s">
        <v>74</v>
      </c>
      <c r="W685"/>
      <c r="X685"/>
      <c r="Y685"/>
      <c r="Z685"/>
      <c r="AA685"/>
      <c r="AB685" t="s">
        <v>3972</v>
      </c>
      <c r="AC685" t="n">
        <v>185</v>
      </c>
      <c r="AD685"/>
      <c r="AE685"/>
      <c r="AF685" t="s">
        <v>3973</v>
      </c>
      <c r="AG685" t="n">
        <v>125</v>
      </c>
    </row>
    <row r="686">
      <c r="A686" t="s">
        <v>3974</v>
      </c>
      <c r="B686" t="s">
        <v>31</v>
      </c>
      <c r="C686" t="s">
        <v>65</v>
      </c>
      <c r="D686" t="s">
        <v>3975</v>
      </c>
      <c r="E686" t="s">
        <v>3967</v>
      </c>
      <c r="F686" t="s">
        <v>3950</v>
      </c>
      <c r="G686" t="s">
        <v>3976</v>
      </c>
      <c r="H686" t="n">
        <v>40.4080063488372</v>
      </c>
      <c r="I686" t="n">
        <v>-104.691962046512</v>
      </c>
      <c r="J686" t="s">
        <v>35</v>
      </c>
      <c r="K686" t="s">
        <v>270</v>
      </c>
      <c r="L686"/>
      <c r="M686" t="n">
        <v>1967</v>
      </c>
      <c r="N686" t="n">
        <v>1967</v>
      </c>
      <c r="O686" t="s">
        <v>388</v>
      </c>
      <c r="P686" t="n">
        <v>1</v>
      </c>
      <c r="Q686" t="n">
        <v>1</v>
      </c>
      <c r="R686" t="n">
        <v>1</v>
      </c>
      <c r="S686" t="n">
        <v>1948</v>
      </c>
      <c r="T686" t="s">
        <v>3977</v>
      </c>
      <c r="U686" t="s">
        <v>3978</v>
      </c>
      <c r="V686" t="s">
        <v>74</v>
      </c>
      <c r="W686"/>
      <c r="X686"/>
      <c r="Y686"/>
      <c r="Z686"/>
      <c r="AA686"/>
      <c r="AB686"/>
      <c r="AC686"/>
      <c r="AD686"/>
      <c r="AE686"/>
      <c r="AF686" t="s">
        <v>3979</v>
      </c>
      <c r="AG686" t="n">
        <v>148</v>
      </c>
    </row>
    <row r="687">
      <c r="A687" t="s">
        <v>3980</v>
      </c>
      <c r="B687" t="s">
        <v>31</v>
      </c>
      <c r="C687" t="s">
        <v>65</v>
      </c>
      <c r="D687" t="s">
        <v>3981</v>
      </c>
      <c r="E687" t="s">
        <v>3982</v>
      </c>
      <c r="F687" t="s">
        <v>3950</v>
      </c>
      <c r="G687" t="s">
        <v>3983</v>
      </c>
      <c r="H687" t="n">
        <v>40.6354500204082</v>
      </c>
      <c r="I687" t="n">
        <v>-104.755535755102</v>
      </c>
      <c r="J687" t="s">
        <v>35</v>
      </c>
      <c r="K687" t="s">
        <v>201</v>
      </c>
      <c r="L687"/>
      <c r="M687" t="n">
        <v>1970</v>
      </c>
      <c r="N687" t="n">
        <v>1977</v>
      </c>
      <c r="O687" t="s">
        <v>3984</v>
      </c>
      <c r="P687" t="n">
        <v>4</v>
      </c>
      <c r="Q687" t="n">
        <v>3</v>
      </c>
      <c r="R687" t="n">
        <v>3</v>
      </c>
      <c r="S687" t="n">
        <v>1969</v>
      </c>
      <c r="T687" t="s">
        <v>3985</v>
      </c>
      <c r="U687" t="s">
        <v>3986</v>
      </c>
      <c r="V687" t="s">
        <v>74</v>
      </c>
      <c r="W687"/>
      <c r="X687"/>
      <c r="Y687"/>
      <c r="Z687"/>
      <c r="AA687"/>
      <c r="AB687"/>
      <c r="AC687"/>
      <c r="AD687"/>
      <c r="AE687"/>
      <c r="AF687"/>
      <c r="AG687"/>
    </row>
    <row r="688">
      <c r="A688" t="s">
        <v>3987</v>
      </c>
      <c r="B688" t="s">
        <v>31</v>
      </c>
      <c r="C688" t="s">
        <v>65</v>
      </c>
      <c r="D688" t="s">
        <v>3988</v>
      </c>
      <c r="E688" t="s">
        <v>3967</v>
      </c>
      <c r="F688" t="s">
        <v>3950</v>
      </c>
      <c r="G688" t="s">
        <v>3976</v>
      </c>
      <c r="H688" t="n">
        <v>40.4183488367347</v>
      </c>
      <c r="I688" t="n">
        <v>-104.682207795918</v>
      </c>
      <c r="J688" t="s">
        <v>35</v>
      </c>
      <c r="K688" t="s">
        <v>120</v>
      </c>
      <c r="L688"/>
      <c r="M688" t="n">
        <v>1973</v>
      </c>
      <c r="N688" t="n">
        <v>1983</v>
      </c>
      <c r="O688" t="s">
        <v>121</v>
      </c>
      <c r="P688" t="n">
        <v>3</v>
      </c>
      <c r="Q688" t="n">
        <v>3</v>
      </c>
      <c r="R688" t="n">
        <v>1</v>
      </c>
      <c r="S688" t="n">
        <v>1948</v>
      </c>
      <c r="T688" t="s">
        <v>3989</v>
      </c>
      <c r="U688" t="s">
        <v>3990</v>
      </c>
      <c r="V688" t="s">
        <v>74</v>
      </c>
      <c r="W688"/>
      <c r="X688"/>
      <c r="Y688"/>
      <c r="Z688"/>
      <c r="AA688"/>
      <c r="AB688"/>
      <c r="AC688"/>
      <c r="AD688"/>
      <c r="AE688"/>
      <c r="AF688"/>
      <c r="AG688"/>
    </row>
    <row r="689">
      <c r="A689" t="s">
        <v>3991</v>
      </c>
      <c r="B689" t="s">
        <v>31</v>
      </c>
      <c r="C689" t="s">
        <v>65</v>
      </c>
      <c r="D689" t="s">
        <v>3992</v>
      </c>
      <c r="E689" t="s">
        <v>3967</v>
      </c>
      <c r="F689" t="s">
        <v>3950</v>
      </c>
      <c r="G689" t="s">
        <v>3976</v>
      </c>
      <c r="H689" t="n">
        <v>40.399383847778</v>
      </c>
      <c r="I689" t="n">
        <v>-104.680236291457</v>
      </c>
      <c r="J689" t="s">
        <v>35</v>
      </c>
      <c r="K689" t="s">
        <v>81</v>
      </c>
      <c r="L689"/>
      <c r="M689" t="n">
        <v>1973</v>
      </c>
      <c r="N689" t="n">
        <v>1983</v>
      </c>
      <c r="O689" t="s">
        <v>3993</v>
      </c>
      <c r="P689" t="n">
        <v>2</v>
      </c>
      <c r="Q689" t="n">
        <v>2</v>
      </c>
      <c r="R689" t="n">
        <v>2</v>
      </c>
      <c r="S689" t="n">
        <v>1941</v>
      </c>
      <c r="T689" t="s">
        <v>3994</v>
      </c>
      <c r="U689" t="s">
        <v>3995</v>
      </c>
      <c r="V689" t="s">
        <v>74</v>
      </c>
      <c r="W689"/>
      <c r="X689"/>
      <c r="Y689"/>
      <c r="Z689"/>
      <c r="AA689"/>
      <c r="AB689"/>
      <c r="AC689"/>
      <c r="AD689"/>
      <c r="AE689"/>
      <c r="AF689" t="s">
        <v>3996</v>
      </c>
      <c r="AG689" t="n">
        <v>111</v>
      </c>
    </row>
    <row r="690">
      <c r="A690" t="s">
        <v>3997</v>
      </c>
      <c r="B690" t="s">
        <v>31</v>
      </c>
      <c r="C690" t="s">
        <v>65</v>
      </c>
      <c r="D690" t="s">
        <v>3998</v>
      </c>
      <c r="E690" t="s">
        <v>3967</v>
      </c>
      <c r="F690" t="s">
        <v>3950</v>
      </c>
      <c r="G690" t="s">
        <v>3976</v>
      </c>
      <c r="H690" t="n">
        <v>40.411524</v>
      </c>
      <c r="I690" t="n">
        <v>-104.668458121212</v>
      </c>
      <c r="J690" t="s">
        <v>35</v>
      </c>
      <c r="K690" t="s">
        <v>89</v>
      </c>
      <c r="L690"/>
      <c r="M690" t="n">
        <v>1973</v>
      </c>
      <c r="N690" t="n">
        <v>1973</v>
      </c>
      <c r="O690" t="s">
        <v>121</v>
      </c>
      <c r="P690" t="n">
        <v>1</v>
      </c>
      <c r="Q690" t="n">
        <v>1</v>
      </c>
      <c r="R690" t="n">
        <v>1</v>
      </c>
      <c r="S690" t="n">
        <v>1972</v>
      </c>
      <c r="T690" t="s">
        <v>3999</v>
      </c>
      <c r="U690" t="s">
        <v>4000</v>
      </c>
      <c r="V690" t="s">
        <v>74</v>
      </c>
      <c r="W690"/>
      <c r="X690"/>
      <c r="Y690"/>
      <c r="Z690"/>
      <c r="AA690"/>
      <c r="AB690"/>
      <c r="AC690"/>
      <c r="AD690"/>
      <c r="AE690"/>
      <c r="AF690" t="s">
        <v>4001</v>
      </c>
      <c r="AG690" t="n">
        <v>210</v>
      </c>
    </row>
    <row r="691">
      <c r="A691" t="s">
        <v>4002</v>
      </c>
      <c r="B691" t="s">
        <v>31</v>
      </c>
      <c r="C691" t="s">
        <v>65</v>
      </c>
      <c r="D691" t="s">
        <v>4003</v>
      </c>
      <c r="E691" t="s">
        <v>4004</v>
      </c>
      <c r="F691" t="s">
        <v>3950</v>
      </c>
      <c r="G691" t="s">
        <v>4005</v>
      </c>
      <c r="H691" t="n">
        <v>40.3482358081633</v>
      </c>
      <c r="I691" t="n">
        <v>-104.701594032653</v>
      </c>
      <c r="J691" t="s">
        <v>35</v>
      </c>
      <c r="K691" t="s">
        <v>141</v>
      </c>
      <c r="L691"/>
      <c r="M691" t="n">
        <v>1973</v>
      </c>
      <c r="N691" t="n">
        <v>1990</v>
      </c>
      <c r="O691" t="s">
        <v>4006</v>
      </c>
      <c r="P691" t="n">
        <v>4</v>
      </c>
      <c r="Q691" t="n">
        <v>5</v>
      </c>
      <c r="R691" t="n">
        <v>4</v>
      </c>
      <c r="S691" t="n">
        <v>1948</v>
      </c>
      <c r="T691" t="s">
        <v>4007</v>
      </c>
      <c r="U691" t="s">
        <v>4008</v>
      </c>
      <c r="V691" t="s">
        <v>74</v>
      </c>
      <c r="W691"/>
      <c r="X691"/>
      <c r="Y691"/>
      <c r="Z691"/>
      <c r="AA691"/>
      <c r="AB691"/>
      <c r="AC691"/>
      <c r="AD691"/>
      <c r="AE691"/>
      <c r="AF691" t="s">
        <v>4009</v>
      </c>
      <c r="AG691" t="n">
        <v>64</v>
      </c>
    </row>
    <row r="692">
      <c r="A692" t="s">
        <v>4010</v>
      </c>
      <c r="B692" t="s">
        <v>31</v>
      </c>
      <c r="C692" t="s">
        <v>65</v>
      </c>
      <c r="D692" t="s">
        <v>4011</v>
      </c>
      <c r="E692" t="s">
        <v>4012</v>
      </c>
      <c r="F692" t="s">
        <v>3950</v>
      </c>
      <c r="G692" t="s">
        <v>4013</v>
      </c>
      <c r="H692" t="n">
        <v>40.090075</v>
      </c>
      <c r="I692" t="n">
        <v>-104.810537</v>
      </c>
      <c r="J692" t="s">
        <v>35</v>
      </c>
      <c r="K692" t="s">
        <v>315</v>
      </c>
      <c r="L692"/>
      <c r="M692" t="n">
        <v>1974</v>
      </c>
      <c r="N692" t="n">
        <v>1977</v>
      </c>
      <c r="O692" t="s">
        <v>1830</v>
      </c>
      <c r="P692" t="n">
        <v>2</v>
      </c>
      <c r="Q692" t="n">
        <v>1</v>
      </c>
      <c r="R692" t="n">
        <v>1</v>
      </c>
      <c r="S692" t="n">
        <v>1964</v>
      </c>
      <c r="T692" t="s">
        <v>4014</v>
      </c>
      <c r="U692" t="s">
        <v>4015</v>
      </c>
      <c r="V692" t="s">
        <v>74</v>
      </c>
      <c r="W692"/>
      <c r="X692"/>
      <c r="Y692"/>
      <c r="Z692"/>
      <c r="AA692"/>
      <c r="AB692"/>
      <c r="AC692"/>
      <c r="AD692"/>
      <c r="AE692"/>
      <c r="AF692" t="s">
        <v>4016</v>
      </c>
      <c r="AG692" t="n">
        <v>160</v>
      </c>
    </row>
    <row r="693">
      <c r="A693" t="s">
        <v>4017</v>
      </c>
      <c r="B693" t="s">
        <v>31</v>
      </c>
      <c r="C693" t="s">
        <v>65</v>
      </c>
      <c r="D693" t="s">
        <v>4018</v>
      </c>
      <c r="E693" t="s">
        <v>3967</v>
      </c>
      <c r="F693" t="s">
        <v>3950</v>
      </c>
      <c r="G693" t="s">
        <v>3976</v>
      </c>
      <c r="H693" t="n">
        <v>40.4060695110633</v>
      </c>
      <c r="I693" t="n">
        <v>-104.680325542556</v>
      </c>
      <c r="J693" t="s">
        <v>35</v>
      </c>
      <c r="K693" t="s">
        <v>120</v>
      </c>
      <c r="L693"/>
      <c r="M693" t="n">
        <v>1974</v>
      </c>
      <c r="N693" t="n">
        <v>1990</v>
      </c>
      <c r="O693" t="s">
        <v>4019</v>
      </c>
      <c r="P693" t="n">
        <v>5</v>
      </c>
      <c r="Q693" t="n">
        <v>5</v>
      </c>
      <c r="R693" t="n">
        <v>2</v>
      </c>
      <c r="S693" t="n">
        <v>1972</v>
      </c>
      <c r="T693" t="s">
        <v>4020</v>
      </c>
      <c r="U693" t="s">
        <v>4021</v>
      </c>
      <c r="V693" t="s">
        <v>74</v>
      </c>
      <c r="W693"/>
      <c r="X693"/>
      <c r="Y693"/>
      <c r="Z693"/>
      <c r="AA693"/>
      <c r="AB693"/>
      <c r="AC693"/>
      <c r="AD693" t="s">
        <v>4022</v>
      </c>
      <c r="AE693" t="n">
        <v>100</v>
      </c>
      <c r="AF693" t="s">
        <v>4023</v>
      </c>
      <c r="AG693" t="n">
        <v>185</v>
      </c>
    </row>
    <row r="694">
      <c r="A694" t="s">
        <v>4024</v>
      </c>
      <c r="B694" t="s">
        <v>31</v>
      </c>
      <c r="C694" t="s">
        <v>65</v>
      </c>
      <c r="D694" t="s">
        <v>4025</v>
      </c>
      <c r="E694" t="s">
        <v>3967</v>
      </c>
      <c r="F694" t="s">
        <v>3950</v>
      </c>
      <c r="G694" t="s">
        <v>3976</v>
      </c>
      <c r="H694" t="n">
        <v>40.437984</v>
      </c>
      <c r="I694" t="n">
        <v>-104.693963423516</v>
      </c>
      <c r="J694" t="s">
        <v>35</v>
      </c>
      <c r="K694" t="s">
        <v>120</v>
      </c>
      <c r="L694"/>
      <c r="M694" t="n">
        <v>1974</v>
      </c>
      <c r="N694" t="n">
        <v>1983</v>
      </c>
      <c r="O694" t="s">
        <v>4026</v>
      </c>
      <c r="P694" t="n">
        <v>2</v>
      </c>
      <c r="Q694" t="n">
        <v>2</v>
      </c>
      <c r="R694" t="n">
        <v>2</v>
      </c>
      <c r="S694" t="n">
        <v>1945</v>
      </c>
      <c r="T694" t="s">
        <v>4027</v>
      </c>
      <c r="U694" t="s">
        <v>4028</v>
      </c>
      <c r="V694" t="s">
        <v>74</v>
      </c>
      <c r="W694"/>
      <c r="X694"/>
      <c r="Y694"/>
      <c r="Z694"/>
      <c r="AA694"/>
      <c r="AB694"/>
      <c r="AC694"/>
      <c r="AD694" t="s">
        <v>4029</v>
      </c>
      <c r="AE694" t="n">
        <v>202</v>
      </c>
      <c r="AF694" t="s">
        <v>4030</v>
      </c>
      <c r="AG694" t="n">
        <v>63</v>
      </c>
    </row>
    <row r="695">
      <c r="A695" t="s">
        <v>4031</v>
      </c>
      <c r="B695" t="s">
        <v>31</v>
      </c>
      <c r="C695" t="s">
        <v>65</v>
      </c>
      <c r="D695" t="s">
        <v>4032</v>
      </c>
      <c r="E695" t="s">
        <v>3967</v>
      </c>
      <c r="F695" t="s">
        <v>3950</v>
      </c>
      <c r="G695" t="s">
        <v>3976</v>
      </c>
      <c r="H695" t="n">
        <v>40.395450995845</v>
      </c>
      <c r="I695" t="n">
        <v>-104.689886497039</v>
      </c>
      <c r="J695" t="s">
        <v>35</v>
      </c>
      <c r="K695" t="s">
        <v>70</v>
      </c>
      <c r="L695"/>
      <c r="M695" t="n">
        <v>1980</v>
      </c>
      <c r="N695" t="n">
        <v>1980</v>
      </c>
      <c r="O695" t="s">
        <v>255</v>
      </c>
      <c r="P695" t="n">
        <v>1</v>
      </c>
      <c r="Q695" t="n">
        <v>1</v>
      </c>
      <c r="R695" t="n">
        <v>1</v>
      </c>
      <c r="S695" t="n">
        <v>1975</v>
      </c>
      <c r="T695" t="s">
        <v>4033</v>
      </c>
      <c r="U695" t="s">
        <v>4034</v>
      </c>
      <c r="V695" t="s">
        <v>74</v>
      </c>
      <c r="W695"/>
      <c r="X695"/>
      <c r="Y695"/>
      <c r="Z695"/>
      <c r="AA695"/>
      <c r="AB695"/>
      <c r="AC695"/>
      <c r="AD695" t="s">
        <v>4035</v>
      </c>
      <c r="AE695" t="n">
        <v>108</v>
      </c>
      <c r="AF695" t="s">
        <v>4036</v>
      </c>
      <c r="AG695" t="n">
        <v>112</v>
      </c>
    </row>
    <row r="696">
      <c r="A696" t="s">
        <v>4037</v>
      </c>
      <c r="B696" t="s">
        <v>31</v>
      </c>
      <c r="C696" t="s">
        <v>65</v>
      </c>
      <c r="D696" t="s">
        <v>4038</v>
      </c>
      <c r="E696" t="s">
        <v>3967</v>
      </c>
      <c r="F696" t="s">
        <v>3950</v>
      </c>
      <c r="G696" t="s">
        <v>3976</v>
      </c>
      <c r="H696" t="n">
        <v>40.4100860915033</v>
      </c>
      <c r="I696" t="n">
        <v>-104.664624568627</v>
      </c>
      <c r="J696" t="s">
        <v>35</v>
      </c>
      <c r="K696" t="s">
        <v>120</v>
      </c>
      <c r="L696"/>
      <c r="M696" t="n">
        <v>1980</v>
      </c>
      <c r="N696" t="n">
        <v>1980</v>
      </c>
      <c r="O696" t="s">
        <v>255</v>
      </c>
      <c r="P696" t="n">
        <v>1</v>
      </c>
      <c r="Q696" t="n">
        <v>1</v>
      </c>
      <c r="R696" t="n">
        <v>1</v>
      </c>
      <c r="S696" t="n">
        <v>1965</v>
      </c>
      <c r="T696" t="s">
        <v>4039</v>
      </c>
      <c r="U696" t="s">
        <v>4040</v>
      </c>
      <c r="V696" t="s">
        <v>74</v>
      </c>
      <c r="W696"/>
      <c r="X696"/>
      <c r="Y696"/>
      <c r="Z696"/>
      <c r="AA696"/>
      <c r="AB696"/>
      <c r="AC696"/>
      <c r="AD696"/>
      <c r="AE696"/>
      <c r="AF696" t="s">
        <v>4041</v>
      </c>
      <c r="AG696" t="n">
        <v>68</v>
      </c>
    </row>
    <row r="697">
      <c r="A697" t="s">
        <v>4042</v>
      </c>
      <c r="B697" t="s">
        <v>31</v>
      </c>
      <c r="C697" t="s">
        <v>65</v>
      </c>
      <c r="D697" t="s">
        <v>4043</v>
      </c>
      <c r="E697" t="s">
        <v>4044</v>
      </c>
      <c r="F697" t="s">
        <v>3950</v>
      </c>
      <c r="G697" t="s">
        <v>4045</v>
      </c>
      <c r="H697" t="n">
        <v>40.2137018652465</v>
      </c>
      <c r="I697" t="n">
        <v>-104.823367201053</v>
      </c>
      <c r="J697" t="s">
        <v>35</v>
      </c>
      <c r="K697" t="s">
        <v>70</v>
      </c>
      <c r="L697"/>
      <c r="M697" t="n">
        <v>1980</v>
      </c>
      <c r="N697" t="n">
        <v>1992</v>
      </c>
      <c r="O697" t="s">
        <v>3614</v>
      </c>
      <c r="P697" t="n">
        <v>5</v>
      </c>
      <c r="Q697" t="n">
        <v>4</v>
      </c>
      <c r="R697" t="n">
        <v>3</v>
      </c>
      <c r="S697" t="n">
        <v>1949</v>
      </c>
      <c r="T697" t="s">
        <v>4046</v>
      </c>
      <c r="U697" t="s">
        <v>4047</v>
      </c>
      <c r="V697" t="s">
        <v>74</v>
      </c>
      <c r="W697"/>
      <c r="X697"/>
      <c r="Y697"/>
      <c r="Z697"/>
      <c r="AA697"/>
      <c r="AB697"/>
      <c r="AC697"/>
      <c r="AD697"/>
      <c r="AE697"/>
      <c r="AF697"/>
      <c r="AG697"/>
    </row>
    <row r="698">
      <c r="A698" t="s">
        <v>4048</v>
      </c>
      <c r="B698" t="s">
        <v>31</v>
      </c>
      <c r="C698" t="s">
        <v>65</v>
      </c>
      <c r="D698" t="s">
        <v>4049</v>
      </c>
      <c r="E698" t="s">
        <v>4050</v>
      </c>
      <c r="F698" t="s">
        <v>3950</v>
      </c>
      <c r="G698" t="s">
        <v>4051</v>
      </c>
      <c r="H698" t="n">
        <v>40.3772559126404</v>
      </c>
      <c r="I698" t="n">
        <v>-104.699335822426</v>
      </c>
      <c r="J698" t="s">
        <v>35</v>
      </c>
      <c r="K698" t="s">
        <v>70</v>
      </c>
      <c r="L698" t="s">
        <v>202</v>
      </c>
      <c r="M698" t="n">
        <v>1983</v>
      </c>
      <c r="N698" t="n">
        <v>1983</v>
      </c>
      <c r="O698" t="s">
        <v>264</v>
      </c>
      <c r="P698" t="n">
        <v>1</v>
      </c>
      <c r="Q698" t="n">
        <v>1</v>
      </c>
      <c r="R698" t="n">
        <v>1</v>
      </c>
      <c r="S698" t="n">
        <v>1981</v>
      </c>
      <c r="T698" t="s">
        <v>4052</v>
      </c>
      <c r="U698" t="s">
        <v>4053</v>
      </c>
      <c r="V698" t="s">
        <v>74</v>
      </c>
      <c r="W698"/>
      <c r="X698"/>
      <c r="Y698"/>
      <c r="Z698"/>
      <c r="AA698"/>
      <c r="AB698"/>
      <c r="AC698"/>
      <c r="AD698"/>
      <c r="AE698"/>
      <c r="AF698" t="s">
        <v>4054</v>
      </c>
      <c r="AG698" t="n">
        <v>83</v>
      </c>
    </row>
    <row r="699">
      <c r="A699" t="s">
        <v>4055</v>
      </c>
      <c r="B699" t="s">
        <v>31</v>
      </c>
      <c r="C699" t="s">
        <v>65</v>
      </c>
      <c r="D699" t="s">
        <v>4056</v>
      </c>
      <c r="E699" t="s">
        <v>4012</v>
      </c>
      <c r="F699" t="s">
        <v>3950</v>
      </c>
      <c r="G699" t="s">
        <v>4013</v>
      </c>
      <c r="H699" t="n">
        <v>40.0900757407407</v>
      </c>
      <c r="I699" t="n">
        <v>-104.811583703704</v>
      </c>
      <c r="J699" t="s">
        <v>35</v>
      </c>
      <c r="K699" t="s">
        <v>70</v>
      </c>
      <c r="L699"/>
      <c r="M699" t="n">
        <v>1983</v>
      </c>
      <c r="N699" t="n">
        <v>1983</v>
      </c>
      <c r="O699" t="s">
        <v>264</v>
      </c>
      <c r="P699" t="n">
        <v>1</v>
      </c>
      <c r="Q699" t="n">
        <v>1</v>
      </c>
      <c r="R699" t="n">
        <v>1</v>
      </c>
      <c r="S699" t="n">
        <v>1980</v>
      </c>
      <c r="T699" t="s">
        <v>4057</v>
      </c>
      <c r="U699" t="s">
        <v>4058</v>
      </c>
      <c r="V699" t="s">
        <v>74</v>
      </c>
      <c r="W699"/>
      <c r="X699"/>
      <c r="Y699"/>
      <c r="Z699"/>
      <c r="AA699"/>
      <c r="AB699"/>
      <c r="AC699"/>
      <c r="AD699"/>
      <c r="AE699"/>
      <c r="AF699" t="s">
        <v>4016</v>
      </c>
      <c r="AG699" t="n">
        <v>227</v>
      </c>
    </row>
    <row r="700">
      <c r="A700" t="s">
        <v>4059</v>
      </c>
      <c r="B700" t="s">
        <v>31</v>
      </c>
      <c r="C700" t="s">
        <v>65</v>
      </c>
      <c r="D700" t="s">
        <v>4060</v>
      </c>
      <c r="E700" t="s">
        <v>3967</v>
      </c>
      <c r="F700" t="s">
        <v>3950</v>
      </c>
      <c r="G700" t="s">
        <v>3976</v>
      </c>
      <c r="H700" t="n">
        <v>40.4175868367347</v>
      </c>
      <c r="I700" t="n">
        <v>-104.708146653061</v>
      </c>
      <c r="J700" t="s">
        <v>35</v>
      </c>
      <c r="K700" t="s">
        <v>527</v>
      </c>
      <c r="L700"/>
      <c r="M700" t="n">
        <v>1983</v>
      </c>
      <c r="N700" t="n">
        <v>1983</v>
      </c>
      <c r="O700" t="s">
        <v>264</v>
      </c>
      <c r="P700" t="n">
        <v>1</v>
      </c>
      <c r="Q700" t="n">
        <v>1</v>
      </c>
      <c r="R700" t="n">
        <v>1</v>
      </c>
      <c r="S700" t="n">
        <v>1969</v>
      </c>
      <c r="T700" t="s">
        <v>4061</v>
      </c>
      <c r="U700" t="s">
        <v>4062</v>
      </c>
      <c r="V700" t="s">
        <v>74</v>
      </c>
      <c r="W700"/>
      <c r="X700"/>
      <c r="Y700"/>
      <c r="Z700"/>
      <c r="AA700"/>
      <c r="AB700"/>
      <c r="AC700"/>
      <c r="AD700"/>
      <c r="AE700"/>
      <c r="AF700" t="s">
        <v>4063</v>
      </c>
      <c r="AG700" t="n">
        <v>249</v>
      </c>
    </row>
    <row r="701">
      <c r="A701" t="s">
        <v>4064</v>
      </c>
      <c r="B701" t="s">
        <v>31</v>
      </c>
      <c r="C701" t="s">
        <v>65</v>
      </c>
      <c r="D701" t="s">
        <v>4065</v>
      </c>
      <c r="E701" t="s">
        <v>3967</v>
      </c>
      <c r="F701" t="s">
        <v>3950</v>
      </c>
      <c r="G701" t="s">
        <v>3976</v>
      </c>
      <c r="H701" t="n">
        <v>40.3934015248478</v>
      </c>
      <c r="I701" t="n">
        <v>-104.707928436879</v>
      </c>
      <c r="J701" t="s">
        <v>35</v>
      </c>
      <c r="K701" t="s">
        <v>133</v>
      </c>
      <c r="L701"/>
      <c r="M701" t="n">
        <v>1983</v>
      </c>
      <c r="N701" t="n">
        <v>1990</v>
      </c>
      <c r="O701" t="s">
        <v>283</v>
      </c>
      <c r="P701" t="n">
        <v>3</v>
      </c>
      <c r="Q701" t="n">
        <v>1</v>
      </c>
      <c r="R701" t="n">
        <v>1</v>
      </c>
      <c r="S701" t="n">
        <v>1976</v>
      </c>
      <c r="T701" t="s">
        <v>4066</v>
      </c>
      <c r="U701" t="s">
        <v>4067</v>
      </c>
      <c r="V701" t="s">
        <v>74</v>
      </c>
      <c r="W701"/>
      <c r="X701"/>
      <c r="Y701"/>
      <c r="Z701"/>
      <c r="AA701"/>
      <c r="AB701"/>
      <c r="AC701"/>
      <c r="AD701"/>
      <c r="AE701"/>
      <c r="AF701" t="s">
        <v>4068</v>
      </c>
      <c r="AG701" t="n">
        <v>185</v>
      </c>
    </row>
    <row r="702">
      <c r="A702" t="s">
        <v>4069</v>
      </c>
      <c r="B702" t="s">
        <v>31</v>
      </c>
      <c r="C702" t="s">
        <v>65</v>
      </c>
      <c r="D702" t="s">
        <v>4070</v>
      </c>
      <c r="E702" t="s">
        <v>3967</v>
      </c>
      <c r="F702" t="s">
        <v>3950</v>
      </c>
      <c r="G702" t="s">
        <v>3976</v>
      </c>
      <c r="H702" t="n">
        <v>40.4100905752424</v>
      </c>
      <c r="I702" t="n">
        <v>-104.670034857465</v>
      </c>
      <c r="J702" t="s">
        <v>35</v>
      </c>
      <c r="K702" t="s">
        <v>120</v>
      </c>
      <c r="L702"/>
      <c r="M702" t="n">
        <v>1983</v>
      </c>
      <c r="N702" t="n">
        <v>1983</v>
      </c>
      <c r="O702" t="s">
        <v>264</v>
      </c>
      <c r="P702" t="n">
        <v>1</v>
      </c>
      <c r="Q702" t="n">
        <v>1</v>
      </c>
      <c r="R702" t="n">
        <v>1</v>
      </c>
      <c r="S702" t="n">
        <v>1965</v>
      </c>
      <c r="T702" t="s">
        <v>4071</v>
      </c>
      <c r="U702" t="s">
        <v>4072</v>
      </c>
      <c r="V702" t="s">
        <v>74</v>
      </c>
      <c r="W702"/>
      <c r="X702"/>
      <c r="Y702"/>
      <c r="Z702"/>
      <c r="AA702"/>
      <c r="AB702"/>
      <c r="AC702"/>
      <c r="AD702"/>
      <c r="AE702"/>
      <c r="AF702" t="s">
        <v>4073</v>
      </c>
      <c r="AG702" t="n">
        <v>202</v>
      </c>
    </row>
    <row r="703">
      <c r="A703" t="s">
        <v>4074</v>
      </c>
      <c r="B703" t="s">
        <v>31</v>
      </c>
      <c r="C703" t="s">
        <v>65</v>
      </c>
      <c r="D703" t="s">
        <v>4075</v>
      </c>
      <c r="E703" t="s">
        <v>3967</v>
      </c>
      <c r="F703" t="s">
        <v>3950</v>
      </c>
      <c r="G703" t="s">
        <v>4076</v>
      </c>
      <c r="H703" t="n">
        <v>40.4327083673469</v>
      </c>
      <c r="I703" t="n">
        <v>-104.689071653061</v>
      </c>
      <c r="J703" t="s">
        <v>35</v>
      </c>
      <c r="K703" t="s">
        <v>70</v>
      </c>
      <c r="L703"/>
      <c r="M703" t="n">
        <v>1988</v>
      </c>
      <c r="N703" t="n">
        <v>1988</v>
      </c>
      <c r="O703" t="s">
        <v>325</v>
      </c>
      <c r="P703" t="n">
        <v>1</v>
      </c>
      <c r="Q703" t="n">
        <v>1</v>
      </c>
      <c r="R703" t="n">
        <v>1</v>
      </c>
      <c r="S703" t="n">
        <v>1978</v>
      </c>
      <c r="T703" t="s">
        <v>4077</v>
      </c>
      <c r="U703" t="s">
        <v>4078</v>
      </c>
      <c r="V703" t="s">
        <v>74</v>
      </c>
      <c r="W703"/>
      <c r="X703"/>
      <c r="Y703"/>
      <c r="Z703"/>
      <c r="AA703"/>
      <c r="AB703"/>
      <c r="AC703"/>
      <c r="AD703"/>
      <c r="AE703"/>
      <c r="AF703" t="s">
        <v>4079</v>
      </c>
      <c r="AG703" t="n">
        <v>167</v>
      </c>
    </row>
    <row r="704">
      <c r="A704" t="s">
        <v>4080</v>
      </c>
      <c r="B704" t="s">
        <v>31</v>
      </c>
      <c r="C704" t="s">
        <v>65</v>
      </c>
      <c r="D704" t="s">
        <v>4081</v>
      </c>
      <c r="E704" t="s">
        <v>3967</v>
      </c>
      <c r="F704" t="s">
        <v>3950</v>
      </c>
      <c r="G704" t="s">
        <v>4082</v>
      </c>
      <c r="H704" t="n">
        <v>40.4213437305359</v>
      </c>
      <c r="I704" t="n">
        <v>-104.781343477218</v>
      </c>
      <c r="J704" t="s">
        <v>35</v>
      </c>
      <c r="K704" t="s">
        <v>141</v>
      </c>
      <c r="L704" t="s">
        <v>1808</v>
      </c>
      <c r="M704" t="n">
        <v>1988</v>
      </c>
      <c r="N704" t="n">
        <v>1990</v>
      </c>
      <c r="O704" t="s">
        <v>310</v>
      </c>
      <c r="P704" t="n">
        <v>2</v>
      </c>
      <c r="Q704" t="n">
        <v>5</v>
      </c>
      <c r="R704" t="n">
        <v>5</v>
      </c>
      <c r="S704" t="n">
        <v>1973</v>
      </c>
      <c r="T704" t="s">
        <v>4083</v>
      </c>
      <c r="U704" t="s">
        <v>4084</v>
      </c>
      <c r="V704" t="s">
        <v>74</v>
      </c>
      <c r="W704"/>
      <c r="X704"/>
      <c r="Y704"/>
      <c r="Z704"/>
      <c r="AA704"/>
      <c r="AB704" t="s">
        <v>4085</v>
      </c>
      <c r="AC704" t="n">
        <v>170</v>
      </c>
      <c r="AD704"/>
      <c r="AE704"/>
      <c r="AF704" t="s">
        <v>4086</v>
      </c>
      <c r="AG704" t="n">
        <v>123</v>
      </c>
    </row>
    <row r="705">
      <c r="A705" t="s">
        <v>4087</v>
      </c>
      <c r="B705" t="s">
        <v>31</v>
      </c>
      <c r="C705" t="s">
        <v>65</v>
      </c>
      <c r="D705" t="s">
        <v>4088</v>
      </c>
      <c r="E705" t="s">
        <v>3967</v>
      </c>
      <c r="F705" t="s">
        <v>3950</v>
      </c>
      <c r="G705" t="s">
        <v>4089</v>
      </c>
      <c r="H705" t="n">
        <v>40.415448021305</v>
      </c>
      <c r="I705" t="n">
        <v>-104.677975263453</v>
      </c>
      <c r="J705" t="s">
        <v>35</v>
      </c>
      <c r="K705" t="s">
        <v>120</v>
      </c>
      <c r="L705"/>
      <c r="M705" t="n">
        <v>1988</v>
      </c>
      <c r="N705" t="n">
        <v>1990</v>
      </c>
      <c r="O705" t="s">
        <v>310</v>
      </c>
      <c r="P705" t="n">
        <v>2</v>
      </c>
      <c r="Q705" t="n">
        <v>2</v>
      </c>
      <c r="R705" t="n">
        <v>2</v>
      </c>
      <c r="S705" t="n">
        <v>1969</v>
      </c>
      <c r="T705" t="s">
        <v>4090</v>
      </c>
      <c r="U705" t="s">
        <v>4091</v>
      </c>
      <c r="V705" t="s">
        <v>74</v>
      </c>
      <c r="W705"/>
      <c r="X705"/>
      <c r="Y705"/>
      <c r="Z705"/>
      <c r="AA705"/>
      <c r="AB705"/>
      <c r="AC705"/>
      <c r="AD705" t="s">
        <v>4092</v>
      </c>
      <c r="AE705" t="n">
        <v>245</v>
      </c>
      <c r="AF705" t="s">
        <v>4093</v>
      </c>
      <c r="AG705" t="n">
        <v>74</v>
      </c>
    </row>
    <row r="706">
      <c r="A706" t="s">
        <v>4094</v>
      </c>
      <c r="B706" t="s">
        <v>31</v>
      </c>
      <c r="C706" t="s">
        <v>65</v>
      </c>
      <c r="D706" t="s">
        <v>4095</v>
      </c>
      <c r="E706" t="s">
        <v>3967</v>
      </c>
      <c r="F706" t="s">
        <v>3950</v>
      </c>
      <c r="G706" t="s">
        <v>4082</v>
      </c>
      <c r="H706" t="n">
        <v>40.4213451176403</v>
      </c>
      <c r="I706" t="n">
        <v>-104.782275326009</v>
      </c>
      <c r="J706" t="s">
        <v>35</v>
      </c>
      <c r="K706" t="s">
        <v>315</v>
      </c>
      <c r="L706"/>
      <c r="M706" t="n">
        <v>1990</v>
      </c>
      <c r="N706" t="n">
        <v>1990</v>
      </c>
      <c r="O706" t="s">
        <v>351</v>
      </c>
      <c r="P706" t="n">
        <v>1</v>
      </c>
      <c r="Q706" t="n">
        <v>1</v>
      </c>
      <c r="R706" t="n">
        <v>1</v>
      </c>
      <c r="S706" t="n">
        <v>1979</v>
      </c>
      <c r="T706" t="s">
        <v>4096</v>
      </c>
      <c r="U706" t="s">
        <v>4097</v>
      </c>
      <c r="V706" t="s">
        <v>74</v>
      </c>
      <c r="W706"/>
      <c r="X706"/>
      <c r="Y706"/>
      <c r="Z706"/>
      <c r="AA706"/>
      <c r="AB706" t="s">
        <v>4085</v>
      </c>
      <c r="AC706" t="n">
        <v>248</v>
      </c>
      <c r="AD706"/>
      <c r="AE706"/>
      <c r="AF706" t="s">
        <v>4086</v>
      </c>
      <c r="AG706" t="n">
        <v>202</v>
      </c>
    </row>
    <row r="707">
      <c r="A707" t="s">
        <v>4098</v>
      </c>
      <c r="B707" t="s">
        <v>31</v>
      </c>
      <c r="C707" t="s">
        <v>65</v>
      </c>
      <c r="D707" t="s">
        <v>4099</v>
      </c>
      <c r="E707" t="s">
        <v>3967</v>
      </c>
      <c r="F707" t="s">
        <v>3950</v>
      </c>
      <c r="G707" t="s">
        <v>3976</v>
      </c>
      <c r="H707" t="n">
        <v>40.410077</v>
      </c>
      <c r="I707" t="n">
        <v>-104.674398</v>
      </c>
      <c r="J707" t="s">
        <v>35</v>
      </c>
      <c r="K707" t="s">
        <v>2274</v>
      </c>
      <c r="L707"/>
      <c r="M707" t="n">
        <v>1990</v>
      </c>
      <c r="N707" t="n">
        <v>1990</v>
      </c>
      <c r="O707" t="s">
        <v>351</v>
      </c>
      <c r="P707" t="n">
        <v>1</v>
      </c>
      <c r="Q707" t="n">
        <v>1</v>
      </c>
      <c r="R707" t="n">
        <v>1</v>
      </c>
      <c r="S707" t="n">
        <v>1980</v>
      </c>
      <c r="T707" t="s">
        <v>4100</v>
      </c>
      <c r="U707" t="s">
        <v>4101</v>
      </c>
      <c r="V707" t="s">
        <v>74</v>
      </c>
      <c r="W707"/>
      <c r="X707"/>
      <c r="Y707"/>
      <c r="Z707"/>
      <c r="AA707"/>
      <c r="AB707"/>
      <c r="AC707"/>
      <c r="AD707"/>
      <c r="AE707"/>
      <c r="AF707"/>
      <c r="AG707"/>
    </row>
    <row r="708">
      <c r="A708" t="s">
        <v>4102</v>
      </c>
      <c r="B708" t="s">
        <v>31</v>
      </c>
      <c r="C708" t="s">
        <v>65</v>
      </c>
      <c r="D708" t="s">
        <v>4103</v>
      </c>
      <c r="E708" t="s">
        <v>3967</v>
      </c>
      <c r="F708" t="s">
        <v>3950</v>
      </c>
      <c r="G708" t="s">
        <v>3976</v>
      </c>
      <c r="H708" t="n">
        <v>40.4150345714286</v>
      </c>
      <c r="I708" t="n">
        <v>-104.683713102041</v>
      </c>
      <c r="J708" t="s">
        <v>35</v>
      </c>
      <c r="K708" t="s">
        <v>70</v>
      </c>
      <c r="L708"/>
      <c r="M708" t="n">
        <v>1990</v>
      </c>
      <c r="N708" t="n">
        <v>1990</v>
      </c>
      <c r="O708" t="s">
        <v>351</v>
      </c>
      <c r="P708" t="n">
        <v>1</v>
      </c>
      <c r="Q708" t="n">
        <v>1</v>
      </c>
      <c r="R708" t="n">
        <v>1</v>
      </c>
      <c r="S708" t="n">
        <v>1978</v>
      </c>
      <c r="T708" t="s">
        <v>4104</v>
      </c>
      <c r="U708" t="s">
        <v>4105</v>
      </c>
      <c r="V708" t="s">
        <v>74</v>
      </c>
      <c r="W708"/>
      <c r="X708"/>
      <c r="Y708"/>
      <c r="Z708"/>
      <c r="AA708"/>
      <c r="AB708"/>
      <c r="AC708"/>
      <c r="AD708"/>
      <c r="AE708"/>
      <c r="AF708" t="s">
        <v>4106</v>
      </c>
      <c r="AG708" t="n">
        <v>157</v>
      </c>
    </row>
    <row r="709">
      <c r="A709" t="s">
        <v>4107</v>
      </c>
      <c r="B709" t="s">
        <v>31</v>
      </c>
      <c r="C709" t="s">
        <v>24</v>
      </c>
      <c r="D709" t="s">
        <v>4108</v>
      </c>
      <c r="E709" t="s">
        <v>67</v>
      </c>
      <c r="F709" t="s">
        <v>68</v>
      </c>
      <c r="G709" t="s">
        <v>69</v>
      </c>
      <c r="H709" t="n">
        <v>39.8723022888032</v>
      </c>
      <c r="I709" t="n">
        <v>-104.927517089318</v>
      </c>
      <c r="J709" t="s">
        <v>4109</v>
      </c>
      <c r="K709" t="s">
        <v>120</v>
      </c>
      <c r="L709"/>
      <c r="M709" t="n">
        <v>1973</v>
      </c>
      <c r="N709" t="n">
        <v>1973</v>
      </c>
      <c r="O709" t="s">
        <v>121</v>
      </c>
      <c r="P709" t="n">
        <v>1</v>
      </c>
      <c r="Q709" t="n">
        <v>1</v>
      </c>
      <c r="R709" t="n">
        <v>1</v>
      </c>
      <c r="S709" t="n">
        <v>1962</v>
      </c>
      <c r="T709" t="s">
        <v>4110</v>
      </c>
      <c r="U709" t="s">
        <v>4111</v>
      </c>
      <c r="V709" t="s">
        <v>74</v>
      </c>
      <c r="W709"/>
      <c r="X709"/>
      <c r="Y709"/>
      <c r="Z709"/>
      <c r="AA709"/>
      <c r="AB709"/>
      <c r="AC709"/>
      <c r="AD709"/>
      <c r="AE709"/>
      <c r="AF709"/>
      <c r="AG709"/>
    </row>
    <row r="710">
      <c r="A710" t="s">
        <v>4112</v>
      </c>
      <c r="B710" t="s">
        <v>31</v>
      </c>
      <c r="C710" t="s">
        <v>24</v>
      </c>
      <c r="D710" t="s">
        <v>4113</v>
      </c>
      <c r="E710" t="s">
        <v>67</v>
      </c>
      <c r="F710" t="s">
        <v>68</v>
      </c>
      <c r="G710" t="s">
        <v>69</v>
      </c>
      <c r="H710" t="n">
        <v>39.7174874080449</v>
      </c>
      <c r="I710" t="n">
        <v>-104.931627212298</v>
      </c>
      <c r="J710" t="s">
        <v>4109</v>
      </c>
      <c r="K710" t="s">
        <v>282</v>
      </c>
      <c r="L710" t="s">
        <v>98</v>
      </c>
      <c r="M710" t="n">
        <v>1973</v>
      </c>
      <c r="N710" t="n">
        <v>1977</v>
      </c>
      <c r="O710" t="s">
        <v>4114</v>
      </c>
      <c r="P710" t="n">
        <v>2</v>
      </c>
      <c r="Q710" t="n">
        <v>1</v>
      </c>
      <c r="R710" t="n">
        <v>1</v>
      </c>
      <c r="S710" t="n">
        <v>1965</v>
      </c>
      <c r="T710" t="s">
        <v>4115</v>
      </c>
      <c r="U710" t="s">
        <v>4116</v>
      </c>
      <c r="V710" t="s">
        <v>74</v>
      </c>
      <c r="W710"/>
      <c r="X710"/>
      <c r="Y710"/>
      <c r="Z710"/>
      <c r="AA710"/>
      <c r="AB710"/>
      <c r="AC710"/>
      <c r="AD710"/>
      <c r="AE710"/>
      <c r="AF710"/>
      <c r="AG710"/>
    </row>
    <row r="711">
      <c r="A711" t="s">
        <v>4117</v>
      </c>
      <c r="B711" t="s">
        <v>31</v>
      </c>
      <c r="C711" t="s">
        <v>24</v>
      </c>
      <c r="D711" t="s">
        <v>4118</v>
      </c>
      <c r="E711" t="s">
        <v>67</v>
      </c>
      <c r="F711" t="s">
        <v>68</v>
      </c>
      <c r="G711" t="s">
        <v>69</v>
      </c>
      <c r="H711" t="n">
        <v>39.731096714902</v>
      </c>
      <c r="I711" t="n">
        <v>-104.910497035418</v>
      </c>
      <c r="J711" t="s">
        <v>4109</v>
      </c>
      <c r="K711" t="s">
        <v>120</v>
      </c>
      <c r="L711"/>
      <c r="M711" t="n">
        <v>1983</v>
      </c>
      <c r="N711" t="n">
        <v>1983</v>
      </c>
      <c r="O711" t="s">
        <v>264</v>
      </c>
      <c r="P711" t="n">
        <v>1</v>
      </c>
      <c r="Q711" t="n">
        <v>1</v>
      </c>
      <c r="R711" t="n">
        <v>1</v>
      </c>
      <c r="S711" t="n">
        <v>1978</v>
      </c>
      <c r="T711" t="s">
        <v>4119</v>
      </c>
      <c r="U711" t="s">
        <v>4120</v>
      </c>
      <c r="V711" t="s">
        <v>74</v>
      </c>
      <c r="W711"/>
      <c r="X711"/>
      <c r="Y711"/>
      <c r="Z711"/>
      <c r="AA711"/>
      <c r="AB711"/>
      <c r="AC711"/>
      <c r="AD711"/>
      <c r="AE711"/>
      <c r="AF711"/>
      <c r="AG711"/>
    </row>
    <row r="712">
      <c r="A712" t="s">
        <v>4121</v>
      </c>
      <c r="B712" t="s">
        <v>31</v>
      </c>
      <c r="C712" t="s">
        <v>24</v>
      </c>
      <c r="D712" t="s">
        <v>4122</v>
      </c>
      <c r="E712" t="s">
        <v>95</v>
      </c>
      <c r="F712" t="s">
        <v>68</v>
      </c>
      <c r="G712" t="s">
        <v>96</v>
      </c>
      <c r="H712" t="n">
        <v>39.61261</v>
      </c>
      <c r="I712" t="n">
        <v>-104.79548</v>
      </c>
      <c r="J712" t="s">
        <v>4109</v>
      </c>
      <c r="K712" t="s">
        <v>89</v>
      </c>
      <c r="L712"/>
      <c r="M712" t="n">
        <v>1990</v>
      </c>
      <c r="N712" t="n">
        <v>1990</v>
      </c>
      <c r="O712" t="s">
        <v>351</v>
      </c>
      <c r="P712" t="n">
        <v>1</v>
      </c>
      <c r="Q712" t="n">
        <v>1</v>
      </c>
      <c r="R712" t="n">
        <v>1</v>
      </c>
      <c r="S712" t="n">
        <v>1979</v>
      </c>
      <c r="T712" t="s">
        <v>4123</v>
      </c>
      <c r="U712" t="s">
        <v>4124</v>
      </c>
      <c r="V712" t="s">
        <v>74</v>
      </c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4125</v>
      </c>
      <c r="B713" t="s">
        <v>31</v>
      </c>
      <c r="C713" t="s">
        <v>24</v>
      </c>
      <c r="D713" t="s">
        <v>4126</v>
      </c>
      <c r="E713" t="s">
        <v>177</v>
      </c>
      <c r="F713" t="s">
        <v>68</v>
      </c>
      <c r="G713" t="s">
        <v>4127</v>
      </c>
      <c r="H713" t="n">
        <v>39.910991</v>
      </c>
      <c r="I713" t="n">
        <v>-104.991637</v>
      </c>
      <c r="J713" t="s">
        <v>4109</v>
      </c>
      <c r="K713" t="s">
        <v>141</v>
      </c>
      <c r="L713"/>
      <c r="M713" t="n">
        <v>1992</v>
      </c>
      <c r="N713" t="n">
        <v>1992</v>
      </c>
      <c r="O713" t="s">
        <v>1016</v>
      </c>
      <c r="P713" t="n">
        <v>1</v>
      </c>
      <c r="Q713" t="n">
        <v>1</v>
      </c>
      <c r="R713" t="n">
        <v>1</v>
      </c>
      <c r="S713" t="n">
        <v>1982</v>
      </c>
      <c r="T713" t="s">
        <v>4128</v>
      </c>
      <c r="U713" t="s">
        <v>4129</v>
      </c>
      <c r="V713" t="s">
        <v>74</v>
      </c>
      <c r="W713"/>
      <c r="X713"/>
      <c r="Y713"/>
      <c r="Z713"/>
      <c r="AA713"/>
      <c r="AB713"/>
      <c r="AC713"/>
      <c r="AD713"/>
      <c r="AE713"/>
      <c r="AF713"/>
      <c r="AG713"/>
    </row>
    <row r="714">
      <c r="A714" t="s">
        <v>4130</v>
      </c>
      <c r="B714" t="s">
        <v>31</v>
      </c>
      <c r="C714" t="s">
        <v>24</v>
      </c>
      <c r="D714" t="s">
        <v>4131</v>
      </c>
      <c r="E714" t="s">
        <v>394</v>
      </c>
      <c r="F714" t="s">
        <v>387</v>
      </c>
      <c r="G714" t="s">
        <v>395</v>
      </c>
      <c r="H714" t="n">
        <v>39.7082192248262</v>
      </c>
      <c r="I714" t="n">
        <v>-105.020388313282</v>
      </c>
      <c r="J714" t="s">
        <v>4109</v>
      </c>
      <c r="K714" t="s">
        <v>141</v>
      </c>
      <c r="L714"/>
      <c r="M714" t="n">
        <v>1967</v>
      </c>
      <c r="N714" t="n">
        <v>1967</v>
      </c>
      <c r="O714" t="s">
        <v>388</v>
      </c>
      <c r="P714" t="n">
        <v>1</v>
      </c>
      <c r="Q714" t="n">
        <v>1</v>
      </c>
      <c r="R714" t="n">
        <v>1</v>
      </c>
      <c r="S714" t="n">
        <v>1947</v>
      </c>
      <c r="T714" t="s">
        <v>4132</v>
      </c>
      <c r="U714" t="s">
        <v>4133</v>
      </c>
      <c r="V714" t="s">
        <v>74</v>
      </c>
      <c r="W714"/>
      <c r="X714"/>
      <c r="Y714"/>
      <c r="Z714"/>
      <c r="AA714"/>
      <c r="AB714"/>
      <c r="AC714"/>
      <c r="AD714"/>
      <c r="AE714"/>
      <c r="AF714"/>
      <c r="AG714"/>
    </row>
    <row r="715">
      <c r="A715" t="s">
        <v>4134</v>
      </c>
      <c r="B715" t="s">
        <v>31</v>
      </c>
      <c r="C715" t="s">
        <v>24</v>
      </c>
      <c r="D715" t="s">
        <v>4135</v>
      </c>
      <c r="E715" t="s">
        <v>95</v>
      </c>
      <c r="F715" t="s">
        <v>387</v>
      </c>
      <c r="G715" t="s">
        <v>433</v>
      </c>
      <c r="H715" t="n">
        <v>39.7524358936264</v>
      </c>
      <c r="I715" t="n">
        <v>-104.867010731855</v>
      </c>
      <c r="J715" t="s">
        <v>4109</v>
      </c>
      <c r="K715" t="s">
        <v>120</v>
      </c>
      <c r="L715"/>
      <c r="M715" t="n">
        <v>1973</v>
      </c>
      <c r="N715" t="n">
        <v>1973</v>
      </c>
      <c r="O715" t="s">
        <v>121</v>
      </c>
      <c r="P715" t="n">
        <v>1</v>
      </c>
      <c r="Q715" t="n">
        <v>1</v>
      </c>
      <c r="R715" t="n">
        <v>1</v>
      </c>
      <c r="S715" t="n">
        <v>1968</v>
      </c>
      <c r="T715" t="s">
        <v>4136</v>
      </c>
      <c r="U715" t="s">
        <v>4137</v>
      </c>
      <c r="V715" t="s">
        <v>74</v>
      </c>
      <c r="W715"/>
      <c r="X715"/>
      <c r="Y715"/>
      <c r="Z715"/>
      <c r="AA715"/>
      <c r="AB715"/>
      <c r="AC715"/>
      <c r="AD715"/>
      <c r="AE715"/>
      <c r="AF715" t="s">
        <v>4138</v>
      </c>
      <c r="AG715" t="n">
        <v>70</v>
      </c>
    </row>
    <row r="716">
      <c r="A716" t="s">
        <v>4139</v>
      </c>
      <c r="B716" t="s">
        <v>31</v>
      </c>
      <c r="C716" t="s">
        <v>24</v>
      </c>
      <c r="D716" t="s">
        <v>4140</v>
      </c>
      <c r="E716" t="s">
        <v>95</v>
      </c>
      <c r="F716" t="s">
        <v>387</v>
      </c>
      <c r="G716" t="s">
        <v>433</v>
      </c>
      <c r="H716" t="n">
        <v>39.721000023946</v>
      </c>
      <c r="I716" t="n">
        <v>-104.857569312954</v>
      </c>
      <c r="J716" t="s">
        <v>4109</v>
      </c>
      <c r="K716" t="s">
        <v>1041</v>
      </c>
      <c r="L716"/>
      <c r="M716" t="n">
        <v>1977</v>
      </c>
      <c r="N716" t="n">
        <v>1977</v>
      </c>
      <c r="O716" t="s">
        <v>228</v>
      </c>
      <c r="P716" t="n">
        <v>1</v>
      </c>
      <c r="Q716" t="n">
        <v>1</v>
      </c>
      <c r="R716" t="n">
        <v>1</v>
      </c>
      <c r="S716" t="n">
        <v>1974</v>
      </c>
      <c r="T716" t="s">
        <v>4141</v>
      </c>
      <c r="U716" t="s">
        <v>4142</v>
      </c>
      <c r="V716" t="s">
        <v>74</v>
      </c>
      <c r="W716"/>
      <c r="X716"/>
      <c r="Y716"/>
      <c r="Z716"/>
      <c r="AA716"/>
      <c r="AB716"/>
      <c r="AC716"/>
      <c r="AD716"/>
      <c r="AE716"/>
      <c r="AF716" t="s">
        <v>4063</v>
      </c>
      <c r="AG716" t="n">
        <v>162</v>
      </c>
    </row>
    <row r="717">
      <c r="A717" t="s">
        <v>4143</v>
      </c>
      <c r="B717" t="s">
        <v>31</v>
      </c>
      <c r="C717" t="s">
        <v>24</v>
      </c>
      <c r="D717" t="s">
        <v>4144</v>
      </c>
      <c r="E717" t="s">
        <v>394</v>
      </c>
      <c r="F717" t="s">
        <v>387</v>
      </c>
      <c r="G717" t="s">
        <v>395</v>
      </c>
      <c r="H717" t="n">
        <v>39.6349433673469</v>
      </c>
      <c r="I717" t="n">
        <v>-104.998634530612</v>
      </c>
      <c r="J717" t="s">
        <v>4109</v>
      </c>
      <c r="K717" t="s">
        <v>282</v>
      </c>
      <c r="L717" t="s">
        <v>98</v>
      </c>
      <c r="M717" t="n">
        <v>1980</v>
      </c>
      <c r="N717" t="n">
        <v>1980</v>
      </c>
      <c r="O717" t="s">
        <v>255</v>
      </c>
      <c r="P717" t="n">
        <v>1</v>
      </c>
      <c r="Q717" t="n">
        <v>1</v>
      </c>
      <c r="R717" t="n">
        <v>1</v>
      </c>
      <c r="S717" t="n">
        <v>1975</v>
      </c>
      <c r="T717" t="s">
        <v>4145</v>
      </c>
      <c r="U717" t="s">
        <v>4146</v>
      </c>
      <c r="V717" t="s">
        <v>74</v>
      </c>
      <c r="W717"/>
      <c r="X717"/>
      <c r="Y717"/>
      <c r="Z717"/>
      <c r="AA717"/>
      <c r="AB717"/>
      <c r="AC717"/>
      <c r="AD717"/>
      <c r="AE717"/>
      <c r="AF717"/>
      <c r="AG717"/>
    </row>
    <row r="718">
      <c r="A718" t="s">
        <v>4147</v>
      </c>
      <c r="B718" t="s">
        <v>31</v>
      </c>
      <c r="C718" t="s">
        <v>24</v>
      </c>
      <c r="D718" t="s">
        <v>4148</v>
      </c>
      <c r="E718" t="s">
        <v>95</v>
      </c>
      <c r="F718" t="s">
        <v>387</v>
      </c>
      <c r="G718" t="s">
        <v>678</v>
      </c>
      <c r="H718" t="n">
        <v>39.6628406341463</v>
      </c>
      <c r="I718" t="n">
        <v>-104.837064780488</v>
      </c>
      <c r="J718" t="s">
        <v>4109</v>
      </c>
      <c r="K718" t="s">
        <v>70</v>
      </c>
      <c r="L718"/>
      <c r="M718" t="n">
        <v>1988</v>
      </c>
      <c r="N718" t="n">
        <v>1988</v>
      </c>
      <c r="O718" t="s">
        <v>325</v>
      </c>
      <c r="P718" t="n">
        <v>1</v>
      </c>
      <c r="Q718" t="n">
        <v>1</v>
      </c>
      <c r="R718" t="n">
        <v>1</v>
      </c>
      <c r="S718" t="n">
        <v>1973</v>
      </c>
      <c r="T718" t="s">
        <v>4149</v>
      </c>
      <c r="U718" t="s">
        <v>4150</v>
      </c>
      <c r="V718" t="s">
        <v>74</v>
      </c>
      <c r="W718"/>
      <c r="X718"/>
      <c r="Y718"/>
      <c r="Z718"/>
      <c r="AA718"/>
      <c r="AB718"/>
      <c r="AC718"/>
      <c r="AD718"/>
      <c r="AE718"/>
      <c r="AF718"/>
      <c r="AG718"/>
    </row>
    <row r="719">
      <c r="A719" t="s">
        <v>4151</v>
      </c>
      <c r="B719" t="s">
        <v>31</v>
      </c>
      <c r="C719" t="s">
        <v>24</v>
      </c>
      <c r="D719" t="s">
        <v>4152</v>
      </c>
      <c r="E719" t="s">
        <v>95</v>
      </c>
      <c r="F719" t="s">
        <v>387</v>
      </c>
      <c r="G719" t="s">
        <v>515</v>
      </c>
      <c r="H719" t="n">
        <v>39.7292908585859</v>
      </c>
      <c r="I719" t="n">
        <v>-104.865882515151</v>
      </c>
      <c r="J719" t="s">
        <v>4109</v>
      </c>
      <c r="K719" t="s">
        <v>89</v>
      </c>
      <c r="L719"/>
      <c r="M719" t="n">
        <v>1988</v>
      </c>
      <c r="N719" t="n">
        <v>1988</v>
      </c>
      <c r="O719" t="s">
        <v>325</v>
      </c>
      <c r="P719" t="n">
        <v>1</v>
      </c>
      <c r="Q719" t="n">
        <v>1</v>
      </c>
      <c r="R719" t="n">
        <v>1</v>
      </c>
      <c r="S719" t="n">
        <v>1984</v>
      </c>
      <c r="T719" t="s">
        <v>4153</v>
      </c>
      <c r="U719" t="s">
        <v>4154</v>
      </c>
      <c r="V719" t="s">
        <v>74</v>
      </c>
      <c r="W719"/>
      <c r="X719"/>
      <c r="Y719"/>
      <c r="Z719"/>
      <c r="AA719"/>
      <c r="AB719"/>
      <c r="AC719"/>
      <c r="AD719"/>
      <c r="AE719"/>
      <c r="AF719" t="s">
        <v>4155</v>
      </c>
      <c r="AG719" t="n">
        <v>239</v>
      </c>
    </row>
    <row r="720">
      <c r="A720" t="s">
        <v>4156</v>
      </c>
      <c r="B720" t="s">
        <v>31</v>
      </c>
      <c r="C720" t="s">
        <v>24</v>
      </c>
      <c r="D720" t="s">
        <v>4157</v>
      </c>
      <c r="E720" t="s">
        <v>394</v>
      </c>
      <c r="F720" t="s">
        <v>387</v>
      </c>
      <c r="G720" t="s">
        <v>395</v>
      </c>
      <c r="H720" t="n">
        <v>39.7245422789139</v>
      </c>
      <c r="I720" t="n">
        <v>-105.038768572974</v>
      </c>
      <c r="J720" t="s">
        <v>4109</v>
      </c>
      <c r="K720" t="s">
        <v>3960</v>
      </c>
      <c r="L720"/>
      <c r="M720" t="n">
        <v>1988</v>
      </c>
      <c r="N720" t="n">
        <v>1988</v>
      </c>
      <c r="O720" t="s">
        <v>325</v>
      </c>
      <c r="P720" t="n">
        <v>1</v>
      </c>
      <c r="Q720" t="n">
        <v>1</v>
      </c>
      <c r="R720" t="n">
        <v>1</v>
      </c>
      <c r="S720" t="n">
        <v>1960</v>
      </c>
      <c r="T720" t="s">
        <v>4158</v>
      </c>
      <c r="U720" t="s">
        <v>4159</v>
      </c>
      <c r="V720" t="s">
        <v>74</v>
      </c>
      <c r="W720"/>
      <c r="X720"/>
      <c r="Y720"/>
      <c r="Z720"/>
      <c r="AA720"/>
      <c r="AB720"/>
      <c r="AC720"/>
      <c r="AD720"/>
      <c r="AE720"/>
      <c r="AF720"/>
      <c r="AG720"/>
    </row>
    <row r="721">
      <c r="A721" t="s">
        <v>4160</v>
      </c>
      <c r="B721" t="s">
        <v>31</v>
      </c>
      <c r="C721" t="s">
        <v>24</v>
      </c>
      <c r="D721" t="s">
        <v>4161</v>
      </c>
      <c r="E721" t="s">
        <v>713</v>
      </c>
      <c r="F721" t="s">
        <v>714</v>
      </c>
      <c r="G721" t="s">
        <v>715</v>
      </c>
      <c r="H721" t="n">
        <v>38.0713171836735</v>
      </c>
      <c r="I721" t="n">
        <v>-103.21988222449</v>
      </c>
      <c r="J721" t="s">
        <v>4109</v>
      </c>
      <c r="K721" t="s">
        <v>89</v>
      </c>
      <c r="L721"/>
      <c r="M721" t="n">
        <v>1966</v>
      </c>
      <c r="N721" t="n">
        <v>1968</v>
      </c>
      <c r="O721" t="s">
        <v>106</v>
      </c>
      <c r="P721" t="n">
        <v>3</v>
      </c>
      <c r="Q721" t="n">
        <v>1</v>
      </c>
      <c r="R721" t="n">
        <v>1</v>
      </c>
      <c r="S721" t="n">
        <v>1927</v>
      </c>
      <c r="T721" t="s">
        <v>4162</v>
      </c>
      <c r="U721" t="s">
        <v>4163</v>
      </c>
      <c r="V721" t="s">
        <v>74</v>
      </c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4164</v>
      </c>
      <c r="B722" t="s">
        <v>31</v>
      </c>
      <c r="C722" t="s">
        <v>24</v>
      </c>
      <c r="D722" t="s">
        <v>4165</v>
      </c>
      <c r="E722" t="s">
        <v>738</v>
      </c>
      <c r="F722" t="s">
        <v>724</v>
      </c>
      <c r="G722"/>
      <c r="H722" t="n">
        <v>40.1601989573356</v>
      </c>
      <c r="I722" t="n">
        <v>-105.105378821509</v>
      </c>
      <c r="J722" t="s">
        <v>4109</v>
      </c>
      <c r="K722" t="s">
        <v>70</v>
      </c>
      <c r="L722"/>
      <c r="M722" t="n">
        <v>1965</v>
      </c>
      <c r="N722" t="n">
        <v>1965</v>
      </c>
      <c r="O722" t="s">
        <v>1275</v>
      </c>
      <c r="P722" t="n">
        <v>1</v>
      </c>
      <c r="Q722" t="n">
        <v>1</v>
      </c>
      <c r="R722" t="n">
        <v>1</v>
      </c>
      <c r="S722"/>
      <c r="T722" t="s">
        <v>4166</v>
      </c>
      <c r="U722" t="s">
        <v>4167</v>
      </c>
      <c r="V722" t="s">
        <v>74</v>
      </c>
      <c r="W722"/>
      <c r="X722"/>
      <c r="Y722"/>
      <c r="Z722"/>
      <c r="AA722"/>
      <c r="AB722" t="s">
        <v>751</v>
      </c>
      <c r="AC722" t="n">
        <v>153</v>
      </c>
      <c r="AD722"/>
      <c r="AE722"/>
      <c r="AF722" t="s">
        <v>4168</v>
      </c>
      <c r="AG722" t="n">
        <v>71</v>
      </c>
    </row>
    <row r="723">
      <c r="A723" t="s">
        <v>4169</v>
      </c>
      <c r="B723" t="s">
        <v>31</v>
      </c>
      <c r="C723" t="s">
        <v>24</v>
      </c>
      <c r="D723" t="s">
        <v>4170</v>
      </c>
      <c r="E723" t="s">
        <v>723</v>
      </c>
      <c r="F723" t="s">
        <v>724</v>
      </c>
      <c r="G723" t="s">
        <v>4171</v>
      </c>
      <c r="H723" t="n">
        <v>40.0209287095761</v>
      </c>
      <c r="I723" t="n">
        <v>-105.281005938775</v>
      </c>
      <c r="J723" t="s">
        <v>35</v>
      </c>
      <c r="K723" t="s">
        <v>89</v>
      </c>
      <c r="L723"/>
      <c r="M723" t="n">
        <v>1966</v>
      </c>
      <c r="N723" t="n">
        <v>1990</v>
      </c>
      <c r="O723" t="s">
        <v>4172</v>
      </c>
      <c r="P723" t="n">
        <v>9</v>
      </c>
      <c r="Q723" t="n">
        <v>6</v>
      </c>
      <c r="R723" t="n">
        <v>1</v>
      </c>
      <c r="S723" t="n">
        <v>1945</v>
      </c>
      <c r="T723" t="s">
        <v>4173</v>
      </c>
      <c r="U723" t="s">
        <v>4174</v>
      </c>
      <c r="V723" t="s">
        <v>4175</v>
      </c>
      <c r="W723"/>
      <c r="X723"/>
      <c r="Y723"/>
      <c r="Z723"/>
      <c r="AA723"/>
      <c r="AB723"/>
      <c r="AC723"/>
      <c r="AD723"/>
      <c r="AE723"/>
      <c r="AF723"/>
      <c r="AG723"/>
    </row>
    <row r="724">
      <c r="A724" t="s">
        <v>4176</v>
      </c>
      <c r="B724" t="s">
        <v>31</v>
      </c>
      <c r="C724" t="s">
        <v>24</v>
      </c>
      <c r="D724" t="s">
        <v>4177</v>
      </c>
      <c r="E724" t="s">
        <v>883</v>
      </c>
      <c r="F724" t="s">
        <v>724</v>
      </c>
      <c r="G724" t="s">
        <v>884</v>
      </c>
      <c r="H724" t="n">
        <v>40.0002347813853</v>
      </c>
      <c r="I724" t="n">
        <v>-105.100166811688</v>
      </c>
      <c r="J724" t="s">
        <v>4109</v>
      </c>
      <c r="K724" t="s">
        <v>120</v>
      </c>
      <c r="L724"/>
      <c r="M724" t="n">
        <v>1966</v>
      </c>
      <c r="N724" t="n">
        <v>1988</v>
      </c>
      <c r="O724" t="s">
        <v>264</v>
      </c>
      <c r="P724" t="n">
        <v>7</v>
      </c>
      <c r="Q724" t="n">
        <v>3</v>
      </c>
      <c r="R724" t="n">
        <v>1</v>
      </c>
      <c r="S724" t="n">
        <v>1957</v>
      </c>
      <c r="T724" t="s">
        <v>4178</v>
      </c>
      <c r="U724" t="s">
        <v>4179</v>
      </c>
      <c r="V724" t="s">
        <v>74</v>
      </c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4180</v>
      </c>
      <c r="B725" t="s">
        <v>31</v>
      </c>
      <c r="C725" t="s">
        <v>24</v>
      </c>
      <c r="D725" t="s">
        <v>4181</v>
      </c>
      <c r="E725" t="s">
        <v>723</v>
      </c>
      <c r="F725" t="s">
        <v>724</v>
      </c>
      <c r="G725" t="s">
        <v>725</v>
      </c>
      <c r="H725" t="n">
        <v>40.023101</v>
      </c>
      <c r="I725" t="n">
        <v>-105.420591</v>
      </c>
      <c r="J725" t="s">
        <v>4109</v>
      </c>
      <c r="K725" t="s">
        <v>70</v>
      </c>
      <c r="L725"/>
      <c r="M725" t="n">
        <v>1973</v>
      </c>
      <c r="N725" t="n">
        <v>1973</v>
      </c>
      <c r="O725" t="s">
        <v>121</v>
      </c>
      <c r="P725" t="n">
        <v>1</v>
      </c>
      <c r="Q725" t="n">
        <v>1</v>
      </c>
      <c r="R725" t="n">
        <v>1</v>
      </c>
      <c r="S725" t="n">
        <v>1942</v>
      </c>
      <c r="T725" t="s">
        <v>4182</v>
      </c>
      <c r="U725" t="s">
        <v>4183</v>
      </c>
      <c r="V725" t="s">
        <v>74</v>
      </c>
      <c r="W725"/>
      <c r="X725"/>
      <c r="Y725"/>
      <c r="Z725"/>
      <c r="AA725"/>
      <c r="AB725"/>
      <c r="AC725"/>
      <c r="AD725"/>
      <c r="AE725"/>
      <c r="AF725"/>
      <c r="AG725"/>
    </row>
    <row r="726">
      <c r="A726" t="s">
        <v>4184</v>
      </c>
      <c r="B726" t="s">
        <v>31</v>
      </c>
      <c r="C726" t="s">
        <v>24</v>
      </c>
      <c r="D726" t="s">
        <v>4185</v>
      </c>
      <c r="E726" t="s">
        <v>738</v>
      </c>
      <c r="F726" t="s">
        <v>724</v>
      </c>
      <c r="G726" t="s">
        <v>4186</v>
      </c>
      <c r="H726" t="n">
        <v>40.201177</v>
      </c>
      <c r="I726" t="n">
        <v>-105.130114</v>
      </c>
      <c r="J726" t="s">
        <v>4109</v>
      </c>
      <c r="K726" t="s">
        <v>141</v>
      </c>
      <c r="L726"/>
      <c r="M726" t="n">
        <v>1973</v>
      </c>
      <c r="N726" t="n">
        <v>1973</v>
      </c>
      <c r="O726" t="s">
        <v>121</v>
      </c>
      <c r="P726" t="n">
        <v>1</v>
      </c>
      <c r="Q726" t="n">
        <v>1</v>
      </c>
      <c r="R726" t="n">
        <v>1</v>
      </c>
      <c r="S726" t="n">
        <v>1963</v>
      </c>
      <c r="T726" t="s">
        <v>4187</v>
      </c>
      <c r="U726" t="s">
        <v>4188</v>
      </c>
      <c r="V726" t="s">
        <v>74</v>
      </c>
      <c r="W726"/>
      <c r="X726"/>
      <c r="Y726"/>
      <c r="Z726"/>
      <c r="AA726"/>
      <c r="AB726"/>
      <c r="AC726"/>
      <c r="AD726"/>
      <c r="AE726"/>
      <c r="AF726"/>
      <c r="AG726"/>
    </row>
    <row r="727">
      <c r="A727" t="s">
        <v>4189</v>
      </c>
      <c r="B727" t="s">
        <v>31</v>
      </c>
      <c r="C727" t="s">
        <v>24</v>
      </c>
      <c r="D727" t="s">
        <v>4190</v>
      </c>
      <c r="E727" t="s">
        <v>723</v>
      </c>
      <c r="F727" t="s">
        <v>724</v>
      </c>
      <c r="G727" t="s">
        <v>817</v>
      </c>
      <c r="H727" t="n">
        <v>40.0293417334678</v>
      </c>
      <c r="I727" t="n">
        <v>-105.130994885207</v>
      </c>
      <c r="J727" t="s">
        <v>4109</v>
      </c>
      <c r="K727" t="s">
        <v>315</v>
      </c>
      <c r="L727"/>
      <c r="M727" t="n">
        <v>1980</v>
      </c>
      <c r="N727" t="n">
        <v>1980</v>
      </c>
      <c r="O727" t="s">
        <v>255</v>
      </c>
      <c r="P727" t="n">
        <v>1</v>
      </c>
      <c r="Q727" t="n">
        <v>1</v>
      </c>
      <c r="R727" t="n">
        <v>1</v>
      </c>
      <c r="S727" t="n">
        <v>1965</v>
      </c>
      <c r="T727" t="s">
        <v>4191</v>
      </c>
      <c r="U727" t="s">
        <v>4192</v>
      </c>
      <c r="V727" t="s">
        <v>74</v>
      </c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4193</v>
      </c>
      <c r="B728" t="s">
        <v>31</v>
      </c>
      <c r="C728" t="s">
        <v>24</v>
      </c>
      <c r="D728" t="s">
        <v>4194</v>
      </c>
      <c r="E728" t="s">
        <v>738</v>
      </c>
      <c r="F728" t="s">
        <v>724</v>
      </c>
      <c r="G728" t="s">
        <v>739</v>
      </c>
      <c r="H728" t="n">
        <v>40.1547622750398</v>
      </c>
      <c r="I728" t="n">
        <v>-105.113329390988</v>
      </c>
      <c r="J728" t="s">
        <v>4109</v>
      </c>
      <c r="K728" t="s">
        <v>126</v>
      </c>
      <c r="L728"/>
      <c r="M728" t="n">
        <v>1980</v>
      </c>
      <c r="N728" t="n">
        <v>1992</v>
      </c>
      <c r="O728" t="s">
        <v>1668</v>
      </c>
      <c r="P728" t="n">
        <v>4</v>
      </c>
      <c r="Q728" t="n">
        <v>3</v>
      </c>
      <c r="R728" t="n">
        <v>2</v>
      </c>
      <c r="S728" t="n">
        <v>1978</v>
      </c>
      <c r="T728" t="s">
        <v>4195</v>
      </c>
      <c r="U728" t="s">
        <v>4196</v>
      </c>
      <c r="V728" t="s">
        <v>74</v>
      </c>
      <c r="W728"/>
      <c r="X728"/>
      <c r="Y728"/>
      <c r="Z728"/>
      <c r="AA728"/>
      <c r="AB728"/>
      <c r="AC728"/>
      <c r="AD728"/>
      <c r="AE728"/>
      <c r="AF728" t="s">
        <v>4197</v>
      </c>
      <c r="AG728" t="n">
        <v>45</v>
      </c>
    </row>
    <row r="729">
      <c r="A729" t="s">
        <v>4198</v>
      </c>
      <c r="B729" t="s">
        <v>31</v>
      </c>
      <c r="C729" t="s">
        <v>24</v>
      </c>
      <c r="D729" t="s">
        <v>4199</v>
      </c>
      <c r="E729" t="s">
        <v>723</v>
      </c>
      <c r="F729" t="s">
        <v>724</v>
      </c>
      <c r="G729" t="s">
        <v>863</v>
      </c>
      <c r="H729" t="n">
        <v>40.0718629587696</v>
      </c>
      <c r="I729" t="n">
        <v>-105.282411045288</v>
      </c>
      <c r="J729" t="s">
        <v>4109</v>
      </c>
      <c r="K729" t="s">
        <v>120</v>
      </c>
      <c r="L729"/>
      <c r="M729" t="n">
        <v>1983</v>
      </c>
      <c r="N729" t="n">
        <v>1983</v>
      </c>
      <c r="O729" t="s">
        <v>264</v>
      </c>
      <c r="P729" t="n">
        <v>1</v>
      </c>
      <c r="Q729" t="n">
        <v>1</v>
      </c>
      <c r="R729" t="n">
        <v>1</v>
      </c>
      <c r="S729" t="n">
        <v>1965</v>
      </c>
      <c r="T729" t="s">
        <v>4200</v>
      </c>
      <c r="U729" t="s">
        <v>4201</v>
      </c>
      <c r="V729" t="s">
        <v>74</v>
      </c>
      <c r="W729"/>
      <c r="X729"/>
      <c r="Y729"/>
      <c r="Z729"/>
      <c r="AA729"/>
      <c r="AB729"/>
      <c r="AC729"/>
      <c r="AD729"/>
      <c r="AE729"/>
      <c r="AF729"/>
      <c r="AG729"/>
    </row>
    <row r="730">
      <c r="A730" t="s">
        <v>4202</v>
      </c>
      <c r="B730" t="s">
        <v>31</v>
      </c>
      <c r="C730" t="s">
        <v>24</v>
      </c>
      <c r="D730" t="s">
        <v>4203</v>
      </c>
      <c r="E730" t="s">
        <v>738</v>
      </c>
      <c r="F730" t="s">
        <v>724</v>
      </c>
      <c r="G730" t="s">
        <v>739</v>
      </c>
      <c r="H730" t="n">
        <v>40.184189</v>
      </c>
      <c r="I730" t="n">
        <v>-105.099957</v>
      </c>
      <c r="J730" t="s">
        <v>4109</v>
      </c>
      <c r="K730" t="s">
        <v>120</v>
      </c>
      <c r="L730"/>
      <c r="M730" t="n">
        <v>1983</v>
      </c>
      <c r="N730" t="n">
        <v>1983</v>
      </c>
      <c r="O730" t="s">
        <v>264</v>
      </c>
      <c r="P730" t="n">
        <v>1</v>
      </c>
      <c r="Q730" t="n">
        <v>1</v>
      </c>
      <c r="R730" t="n">
        <v>1</v>
      </c>
      <c r="S730" t="n">
        <v>1981</v>
      </c>
      <c r="T730" t="s">
        <v>4204</v>
      </c>
      <c r="U730" t="s">
        <v>4205</v>
      </c>
      <c r="V730" t="s">
        <v>74</v>
      </c>
      <c r="W730"/>
      <c r="X730"/>
      <c r="Y730"/>
      <c r="Z730"/>
      <c r="AA730"/>
      <c r="AB730"/>
      <c r="AC730"/>
      <c r="AD730"/>
      <c r="AE730"/>
      <c r="AF730" t="s">
        <v>744</v>
      </c>
      <c r="AG730" t="n">
        <v>239</v>
      </c>
    </row>
    <row r="731">
      <c r="A731" t="s">
        <v>4206</v>
      </c>
      <c r="B731" t="s">
        <v>31</v>
      </c>
      <c r="C731" t="s">
        <v>24</v>
      </c>
      <c r="D731" t="s">
        <v>4207</v>
      </c>
      <c r="E731" t="s">
        <v>723</v>
      </c>
      <c r="F731" t="s">
        <v>724</v>
      </c>
      <c r="G731" t="s">
        <v>863</v>
      </c>
      <c r="H731" t="n">
        <v>39.9895887567568</v>
      </c>
      <c r="I731" t="n">
        <v>-105.180964567568</v>
      </c>
      <c r="J731" t="s">
        <v>4109</v>
      </c>
      <c r="K731" t="s">
        <v>282</v>
      </c>
      <c r="L731"/>
      <c r="M731" t="n">
        <v>1988</v>
      </c>
      <c r="N731" t="n">
        <v>1988</v>
      </c>
      <c r="O731" t="s">
        <v>325</v>
      </c>
      <c r="P731" t="n">
        <v>1</v>
      </c>
      <c r="Q731" t="n">
        <v>1</v>
      </c>
      <c r="R731" t="n">
        <v>1</v>
      </c>
      <c r="S731" t="n">
        <v>1971</v>
      </c>
      <c r="T731" t="s">
        <v>4208</v>
      </c>
      <c r="U731" t="s">
        <v>4209</v>
      </c>
      <c r="V731" t="s">
        <v>74</v>
      </c>
      <c r="W731"/>
      <c r="X731"/>
      <c r="Y731"/>
      <c r="Z731"/>
      <c r="AA731"/>
      <c r="AB731"/>
      <c r="AC731"/>
      <c r="AD731"/>
      <c r="AE731"/>
      <c r="AF731"/>
      <c r="AG731"/>
    </row>
    <row r="732">
      <c r="A732" t="s">
        <v>4210</v>
      </c>
      <c r="B732" t="s">
        <v>31</v>
      </c>
      <c r="C732" t="s">
        <v>24</v>
      </c>
      <c r="D732" t="s">
        <v>4211</v>
      </c>
      <c r="E732" t="s">
        <v>738</v>
      </c>
      <c r="F732" t="s">
        <v>724</v>
      </c>
      <c r="G732" t="s">
        <v>739</v>
      </c>
      <c r="H732" t="n">
        <v>40.181314</v>
      </c>
      <c r="I732" t="n">
        <v>-105.12137</v>
      </c>
      <c r="J732" t="s">
        <v>4109</v>
      </c>
      <c r="K732" t="s">
        <v>120</v>
      </c>
      <c r="L732"/>
      <c r="M732" t="n">
        <v>1988</v>
      </c>
      <c r="N732" t="n">
        <v>1988</v>
      </c>
      <c r="O732" t="s">
        <v>325</v>
      </c>
      <c r="P732" t="n">
        <v>1</v>
      </c>
      <c r="Q732" t="n">
        <v>1</v>
      </c>
      <c r="R732" t="n">
        <v>1</v>
      </c>
      <c r="S732" t="n">
        <v>1983</v>
      </c>
      <c r="T732" t="s">
        <v>4212</v>
      </c>
      <c r="U732" t="s">
        <v>4213</v>
      </c>
      <c r="V732" t="s">
        <v>74</v>
      </c>
      <c r="W732"/>
      <c r="X732"/>
      <c r="Y732"/>
      <c r="Z732"/>
      <c r="AA732"/>
      <c r="AB732"/>
      <c r="AC732"/>
      <c r="AD732"/>
      <c r="AE732"/>
      <c r="AF732" t="s">
        <v>4214</v>
      </c>
      <c r="AG732" t="n">
        <v>113</v>
      </c>
    </row>
    <row r="733">
      <c r="A733" t="s">
        <v>4215</v>
      </c>
      <c r="B733" t="s">
        <v>31</v>
      </c>
      <c r="C733" t="s">
        <v>24</v>
      </c>
      <c r="D733" t="s">
        <v>4216</v>
      </c>
      <c r="E733" t="s">
        <v>738</v>
      </c>
      <c r="F733" t="s">
        <v>724</v>
      </c>
      <c r="G733" t="s">
        <v>739</v>
      </c>
      <c r="H733" t="n">
        <v>40.1854904594858</v>
      </c>
      <c r="I733" t="n">
        <v>-105.111939085354</v>
      </c>
      <c r="J733" t="s">
        <v>4109</v>
      </c>
      <c r="K733" t="s">
        <v>141</v>
      </c>
      <c r="L733"/>
      <c r="M733" t="n">
        <v>1988</v>
      </c>
      <c r="N733" t="n">
        <v>1992</v>
      </c>
      <c r="O733" t="s">
        <v>357</v>
      </c>
      <c r="P733" t="n">
        <v>3</v>
      </c>
      <c r="Q733" t="n">
        <v>1</v>
      </c>
      <c r="R733" t="n">
        <v>1</v>
      </c>
      <c r="S733" t="n">
        <v>1978</v>
      </c>
      <c r="T733" t="s">
        <v>4217</v>
      </c>
      <c r="U733" t="s">
        <v>4218</v>
      </c>
      <c r="V733" t="s">
        <v>74</v>
      </c>
      <c r="W733"/>
      <c r="X733"/>
      <c r="Y733"/>
      <c r="Z733"/>
      <c r="AA733"/>
      <c r="AB733"/>
      <c r="AC733"/>
      <c r="AD733"/>
      <c r="AE733"/>
      <c r="AF733"/>
      <c r="AG733"/>
    </row>
    <row r="734">
      <c r="A734" t="s">
        <v>4219</v>
      </c>
      <c r="B734" t="s">
        <v>31</v>
      </c>
      <c r="C734" t="s">
        <v>24</v>
      </c>
      <c r="D734" t="s">
        <v>4220</v>
      </c>
      <c r="E734" t="s">
        <v>1010</v>
      </c>
      <c r="F734" t="s">
        <v>724</v>
      </c>
      <c r="G734" t="s">
        <v>1011</v>
      </c>
      <c r="H734" t="n">
        <v>39.9910630767731</v>
      </c>
      <c r="I734" t="n">
        <v>-105.144261583297</v>
      </c>
      <c r="J734" t="s">
        <v>4109</v>
      </c>
      <c r="K734" t="s">
        <v>89</v>
      </c>
      <c r="L734"/>
      <c r="M734" t="n">
        <v>1990</v>
      </c>
      <c r="N734" t="n">
        <v>1992</v>
      </c>
      <c r="O734" t="s">
        <v>357</v>
      </c>
      <c r="P734" t="n">
        <v>2</v>
      </c>
      <c r="Q734" t="n">
        <v>2</v>
      </c>
      <c r="R734" t="n">
        <v>2</v>
      </c>
      <c r="S734" t="n">
        <v>1985</v>
      </c>
      <c r="T734" t="s">
        <v>4221</v>
      </c>
      <c r="U734" t="s">
        <v>4222</v>
      </c>
      <c r="V734" t="s">
        <v>74</v>
      </c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4223</v>
      </c>
      <c r="B735" t="s">
        <v>31</v>
      </c>
      <c r="C735" t="s">
        <v>24</v>
      </c>
      <c r="D735" t="s">
        <v>4224</v>
      </c>
      <c r="E735" t="s">
        <v>883</v>
      </c>
      <c r="F735" t="s">
        <v>724</v>
      </c>
      <c r="G735" t="s">
        <v>884</v>
      </c>
      <c r="H735" t="n">
        <v>39.974236</v>
      </c>
      <c r="I735" t="n">
        <v>-105.141023</v>
      </c>
      <c r="J735" t="s">
        <v>4109</v>
      </c>
      <c r="K735" t="s">
        <v>70</v>
      </c>
      <c r="L735" t="s">
        <v>202</v>
      </c>
      <c r="M735" t="n">
        <v>1990</v>
      </c>
      <c r="N735" t="n">
        <v>1990</v>
      </c>
      <c r="O735" t="s">
        <v>351</v>
      </c>
      <c r="P735" t="n">
        <v>1</v>
      </c>
      <c r="Q735" t="n">
        <v>1</v>
      </c>
      <c r="R735" t="n">
        <v>1</v>
      </c>
      <c r="S735" t="n">
        <v>1983</v>
      </c>
      <c r="T735" t="s">
        <v>4225</v>
      </c>
      <c r="U735" t="s">
        <v>4226</v>
      </c>
      <c r="V735" t="s">
        <v>74</v>
      </c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4227</v>
      </c>
      <c r="B736" t="s">
        <v>31</v>
      </c>
      <c r="C736" t="s">
        <v>24</v>
      </c>
      <c r="D736" t="s">
        <v>4228</v>
      </c>
      <c r="E736" t="s">
        <v>738</v>
      </c>
      <c r="F736" t="s">
        <v>724</v>
      </c>
      <c r="G736" t="s">
        <v>739</v>
      </c>
      <c r="H736" t="n">
        <v>40.172759419053</v>
      </c>
      <c r="I736" t="n">
        <v>-105.115283488541</v>
      </c>
      <c r="J736" t="s">
        <v>4109</v>
      </c>
      <c r="K736" t="s">
        <v>81</v>
      </c>
      <c r="L736"/>
      <c r="M736" t="n">
        <v>1992</v>
      </c>
      <c r="N736" t="n">
        <v>1992</v>
      </c>
      <c r="O736" t="s">
        <v>1016</v>
      </c>
      <c r="P736" t="n">
        <v>1</v>
      </c>
      <c r="Q736" t="n">
        <v>1</v>
      </c>
      <c r="R736" t="n">
        <v>1</v>
      </c>
      <c r="S736" t="n">
        <v>1976</v>
      </c>
      <c r="T736" t="s">
        <v>4229</v>
      </c>
      <c r="U736" t="s">
        <v>4230</v>
      </c>
      <c r="V736" t="s">
        <v>74</v>
      </c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4231</v>
      </c>
      <c r="B737" t="s">
        <v>31</v>
      </c>
      <c r="C737" t="s">
        <v>24</v>
      </c>
      <c r="D737" t="s">
        <v>4232</v>
      </c>
      <c r="E737" t="s">
        <v>1164</v>
      </c>
      <c r="F737" t="s">
        <v>1165</v>
      </c>
      <c r="G737" t="s">
        <v>1166</v>
      </c>
      <c r="H737" t="n">
        <v>39.831394</v>
      </c>
      <c r="I737" t="n">
        <v>-105.109111</v>
      </c>
      <c r="J737" t="s">
        <v>4109</v>
      </c>
      <c r="K737" t="s">
        <v>70</v>
      </c>
      <c r="L737"/>
      <c r="M737" t="n">
        <v>1992</v>
      </c>
      <c r="N737" t="n">
        <v>1992</v>
      </c>
      <c r="O737" t="s">
        <v>1016</v>
      </c>
      <c r="P737" t="n">
        <v>1</v>
      </c>
      <c r="Q737" t="n">
        <v>1</v>
      </c>
      <c r="R737" t="n">
        <v>1</v>
      </c>
      <c r="S737"/>
      <c r="T737" t="s">
        <v>4233</v>
      </c>
      <c r="U737" t="s">
        <v>4234</v>
      </c>
      <c r="V737" t="s">
        <v>74</v>
      </c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4235</v>
      </c>
      <c r="B738" t="s">
        <v>31</v>
      </c>
      <c r="C738" t="s">
        <v>24</v>
      </c>
      <c r="D738" t="s">
        <v>4236</v>
      </c>
      <c r="E738" t="s">
        <v>4237</v>
      </c>
      <c r="F738" t="s">
        <v>1240</v>
      </c>
      <c r="G738" t="s">
        <v>4238</v>
      </c>
      <c r="H738" t="n">
        <v>38.8303587819592</v>
      </c>
      <c r="I738" t="n">
        <v>-106.123113381091</v>
      </c>
      <c r="J738" t="s">
        <v>4109</v>
      </c>
      <c r="K738" t="s">
        <v>120</v>
      </c>
      <c r="L738"/>
      <c r="M738" t="n">
        <v>1980</v>
      </c>
      <c r="N738" t="n">
        <v>1980</v>
      </c>
      <c r="O738" t="s">
        <v>255</v>
      </c>
      <c r="P738" t="n">
        <v>1</v>
      </c>
      <c r="Q738" t="n">
        <v>1</v>
      </c>
      <c r="R738" t="n">
        <v>1</v>
      </c>
      <c r="S738" t="n">
        <v>1979</v>
      </c>
      <c r="T738" t="s">
        <v>4239</v>
      </c>
      <c r="U738" t="s">
        <v>4240</v>
      </c>
      <c r="V738" t="s">
        <v>74</v>
      </c>
      <c r="W738"/>
      <c r="X738"/>
      <c r="Y738"/>
      <c r="Z738"/>
      <c r="AA738"/>
      <c r="AB738"/>
      <c r="AC738"/>
      <c r="AD738"/>
      <c r="AE738"/>
      <c r="AF738"/>
      <c r="AG738"/>
    </row>
    <row r="739">
      <c r="A739" t="s">
        <v>4241</v>
      </c>
      <c r="B739" t="s">
        <v>31</v>
      </c>
      <c r="C739" t="s">
        <v>24</v>
      </c>
      <c r="D739" t="s">
        <v>4242</v>
      </c>
      <c r="E739" t="s">
        <v>79</v>
      </c>
      <c r="F739" t="s">
        <v>1274</v>
      </c>
      <c r="G739"/>
      <c r="H739" t="n">
        <v>39.7227012789116</v>
      </c>
      <c r="I739" t="n">
        <v>-105.000182653061</v>
      </c>
      <c r="J739" t="s">
        <v>4109</v>
      </c>
      <c r="K739" t="s">
        <v>120</v>
      </c>
      <c r="L739"/>
      <c r="M739" t="n">
        <v>1965</v>
      </c>
      <c r="N739" t="n">
        <v>1967</v>
      </c>
      <c r="O739" t="s">
        <v>1275</v>
      </c>
      <c r="P739" t="n">
        <v>2</v>
      </c>
      <c r="Q739" t="n">
        <v>2</v>
      </c>
      <c r="R739" t="n">
        <v>1</v>
      </c>
      <c r="S739" t="n">
        <v>1952</v>
      </c>
      <c r="T739" t="s">
        <v>4243</v>
      </c>
      <c r="U739" t="s">
        <v>4244</v>
      </c>
      <c r="V739" t="s">
        <v>74</v>
      </c>
      <c r="W739"/>
      <c r="X739"/>
      <c r="Y739"/>
      <c r="Z739"/>
      <c r="AA739"/>
      <c r="AB739" t="s">
        <v>4245</v>
      </c>
      <c r="AC739" t="n">
        <v>174</v>
      </c>
      <c r="AD739" t="s">
        <v>2076</v>
      </c>
      <c r="AE739" t="n">
        <v>229</v>
      </c>
      <c r="AF739" t="s">
        <v>4246</v>
      </c>
      <c r="AG739" t="n">
        <v>65</v>
      </c>
    </row>
    <row r="740">
      <c r="A740" t="s">
        <v>4247</v>
      </c>
      <c r="B740" t="s">
        <v>31</v>
      </c>
      <c r="C740" t="s">
        <v>24</v>
      </c>
      <c r="D740" t="s">
        <v>4248</v>
      </c>
      <c r="E740" t="s">
        <v>79</v>
      </c>
      <c r="F740" t="s">
        <v>1274</v>
      </c>
      <c r="G740"/>
      <c r="H740" t="n">
        <v>39.7235486125835</v>
      </c>
      <c r="I740" t="n">
        <v>-104.990844641572</v>
      </c>
      <c r="J740" t="s">
        <v>4109</v>
      </c>
      <c r="K740" t="s">
        <v>70</v>
      </c>
      <c r="L740"/>
      <c r="M740" t="n">
        <v>1965</v>
      </c>
      <c r="N740" t="n">
        <v>1965</v>
      </c>
      <c r="O740" t="s">
        <v>1275</v>
      </c>
      <c r="P740" t="n">
        <v>1</v>
      </c>
      <c r="Q740" t="n">
        <v>1</v>
      </c>
      <c r="R740" t="n">
        <v>1</v>
      </c>
      <c r="S740"/>
      <c r="T740" t="s">
        <v>4249</v>
      </c>
      <c r="U740" t="s">
        <v>4250</v>
      </c>
      <c r="V740" t="s">
        <v>74</v>
      </c>
      <c r="W740"/>
      <c r="X740"/>
      <c r="Y740"/>
      <c r="Z740"/>
      <c r="AA740"/>
      <c r="AB740" t="s">
        <v>4251</v>
      </c>
      <c r="AC740" t="n">
        <v>119</v>
      </c>
      <c r="AD740"/>
      <c r="AE740"/>
      <c r="AF740" t="s">
        <v>4252</v>
      </c>
      <c r="AG740" t="n">
        <v>127</v>
      </c>
    </row>
    <row r="741">
      <c r="A741" t="s">
        <v>4253</v>
      </c>
      <c r="B741" t="s">
        <v>31</v>
      </c>
      <c r="C741" t="s">
        <v>24</v>
      </c>
      <c r="D741" t="s">
        <v>4254</v>
      </c>
      <c r="E741" t="s">
        <v>79</v>
      </c>
      <c r="F741" t="s">
        <v>1274</v>
      </c>
      <c r="G741"/>
      <c r="H741" t="n">
        <v>39.7451786572161</v>
      </c>
      <c r="I741" t="n">
        <v>-104.9993881787</v>
      </c>
      <c r="J741" t="s">
        <v>4109</v>
      </c>
      <c r="K741" t="s">
        <v>1041</v>
      </c>
      <c r="L741"/>
      <c r="M741" t="n">
        <v>1965</v>
      </c>
      <c r="N741" t="n">
        <v>1974</v>
      </c>
      <c r="O741" t="s">
        <v>4255</v>
      </c>
      <c r="P741" t="n">
        <v>7</v>
      </c>
      <c r="Q741" t="n">
        <v>7</v>
      </c>
      <c r="R741" t="n">
        <v>2</v>
      </c>
      <c r="S741" t="n">
        <v>1923</v>
      </c>
      <c r="T741" t="s">
        <v>4256</v>
      </c>
      <c r="U741" t="s">
        <v>4257</v>
      </c>
      <c r="V741" t="s">
        <v>74</v>
      </c>
      <c r="W741"/>
      <c r="X741"/>
      <c r="Y741"/>
      <c r="Z741"/>
      <c r="AA741"/>
      <c r="AB741" t="s">
        <v>1332</v>
      </c>
      <c r="AC741" t="n">
        <v>196</v>
      </c>
      <c r="AD741"/>
      <c r="AE741"/>
      <c r="AF741" t="s">
        <v>1320</v>
      </c>
      <c r="AG741" t="n">
        <v>196</v>
      </c>
    </row>
    <row r="742">
      <c r="A742" t="s">
        <v>4258</v>
      </c>
      <c r="B742" t="s">
        <v>31</v>
      </c>
      <c r="C742" t="s">
        <v>24</v>
      </c>
      <c r="D742" t="s">
        <v>4259</v>
      </c>
      <c r="E742" t="s">
        <v>79</v>
      </c>
      <c r="F742" t="s">
        <v>1274</v>
      </c>
      <c r="G742"/>
      <c r="H742" t="n">
        <v>39.7225340765015</v>
      </c>
      <c r="I742" t="n">
        <v>-104.993042736654</v>
      </c>
      <c r="J742" t="s">
        <v>35</v>
      </c>
      <c r="K742" t="s">
        <v>70</v>
      </c>
      <c r="L742"/>
      <c r="M742" t="n">
        <v>1965</v>
      </c>
      <c r="N742" t="n">
        <v>1992</v>
      </c>
      <c r="O742" t="s">
        <v>4172</v>
      </c>
      <c r="P742" t="n">
        <v>9</v>
      </c>
      <c r="Q742" t="n">
        <v>3</v>
      </c>
      <c r="R742" t="n">
        <v>1</v>
      </c>
      <c r="S742" t="n">
        <v>1935</v>
      </c>
      <c r="T742" t="s">
        <v>4260</v>
      </c>
      <c r="U742" t="s">
        <v>4261</v>
      </c>
      <c r="V742" t="s">
        <v>4175</v>
      </c>
      <c r="W742"/>
      <c r="X742"/>
      <c r="Y742"/>
      <c r="Z742"/>
      <c r="AA742"/>
      <c r="AB742" t="s">
        <v>4251</v>
      </c>
      <c r="AC742" t="n">
        <v>123</v>
      </c>
      <c r="AD742"/>
      <c r="AE742"/>
      <c r="AF742" t="s">
        <v>4262</v>
      </c>
      <c r="AG742" t="n">
        <v>119</v>
      </c>
    </row>
    <row r="743">
      <c r="A743" t="s">
        <v>4263</v>
      </c>
      <c r="B743" t="s">
        <v>31</v>
      </c>
      <c r="C743" t="s">
        <v>24</v>
      </c>
      <c r="D743" t="s">
        <v>4264</v>
      </c>
      <c r="E743" t="s">
        <v>79</v>
      </c>
      <c r="F743" t="s">
        <v>1274</v>
      </c>
      <c r="G743"/>
      <c r="H743" t="n">
        <v>39.7279029115285</v>
      </c>
      <c r="I743" t="n">
        <v>-105.022122087898</v>
      </c>
      <c r="J743" t="s">
        <v>4109</v>
      </c>
      <c r="K743" t="s">
        <v>141</v>
      </c>
      <c r="L743"/>
      <c r="M743" t="n">
        <v>1965</v>
      </c>
      <c r="N743" t="n">
        <v>1980</v>
      </c>
      <c r="O743" t="s">
        <v>4265</v>
      </c>
      <c r="P743" t="n">
        <v>5</v>
      </c>
      <c r="Q743" t="n">
        <v>1</v>
      </c>
      <c r="R743" t="n">
        <v>1</v>
      </c>
      <c r="S743" t="n">
        <v>1945</v>
      </c>
      <c r="T743" t="s">
        <v>4266</v>
      </c>
      <c r="U743" t="s">
        <v>4267</v>
      </c>
      <c r="V743" t="s">
        <v>74</v>
      </c>
      <c r="W743"/>
      <c r="X743"/>
      <c r="Y743"/>
      <c r="Z743"/>
      <c r="AA743"/>
      <c r="AB743" t="s">
        <v>4268</v>
      </c>
      <c r="AC743" t="n">
        <v>157</v>
      </c>
      <c r="AD743"/>
      <c r="AE743"/>
      <c r="AF743" t="s">
        <v>4269</v>
      </c>
      <c r="AG743" t="n">
        <v>45</v>
      </c>
    </row>
    <row r="744">
      <c r="A744" t="s">
        <v>4270</v>
      </c>
      <c r="B744" t="s">
        <v>31</v>
      </c>
      <c r="C744" t="s">
        <v>24</v>
      </c>
      <c r="D744" t="s">
        <v>4271</v>
      </c>
      <c r="E744" t="s">
        <v>79</v>
      </c>
      <c r="F744" t="s">
        <v>1274</v>
      </c>
      <c r="G744"/>
      <c r="H744" t="n">
        <v>39.7427840855934</v>
      </c>
      <c r="I744" t="n">
        <v>-105.003245844944</v>
      </c>
      <c r="J744" t="s">
        <v>4109</v>
      </c>
      <c r="K744" t="s">
        <v>120</v>
      </c>
      <c r="L744"/>
      <c r="M744" t="n">
        <v>1965</v>
      </c>
      <c r="N744" t="n">
        <v>1965</v>
      </c>
      <c r="O744" t="s">
        <v>1275</v>
      </c>
      <c r="P744" t="n">
        <v>1</v>
      </c>
      <c r="Q744" t="n">
        <v>1</v>
      </c>
      <c r="R744" t="n">
        <v>1</v>
      </c>
      <c r="S744"/>
      <c r="T744" t="s">
        <v>4272</v>
      </c>
      <c r="U744" t="s">
        <v>4273</v>
      </c>
      <c r="V744" t="s">
        <v>74</v>
      </c>
      <c r="W744"/>
      <c r="X744"/>
      <c r="Y744"/>
      <c r="Z744"/>
      <c r="AA744"/>
      <c r="AB744" t="s">
        <v>4274</v>
      </c>
      <c r="AC744" t="n">
        <v>155</v>
      </c>
      <c r="AD744"/>
      <c r="AE744"/>
      <c r="AF744" t="s">
        <v>4275</v>
      </c>
      <c r="AG744" t="n">
        <v>139</v>
      </c>
    </row>
    <row r="745">
      <c r="A745" t="s">
        <v>4276</v>
      </c>
      <c r="B745" t="s">
        <v>31</v>
      </c>
      <c r="C745" t="s">
        <v>24</v>
      </c>
      <c r="D745" t="s">
        <v>4277</v>
      </c>
      <c r="E745" t="s">
        <v>79</v>
      </c>
      <c r="F745" t="s">
        <v>1274</v>
      </c>
      <c r="G745"/>
      <c r="H745" t="n">
        <v>39.7590966576087</v>
      </c>
      <c r="I745" t="n">
        <v>-105.015835</v>
      </c>
      <c r="J745" t="s">
        <v>4109</v>
      </c>
      <c r="K745" t="s">
        <v>1282</v>
      </c>
      <c r="L745"/>
      <c r="M745" t="n">
        <v>1965</v>
      </c>
      <c r="N745" t="n">
        <v>1983</v>
      </c>
      <c r="O745" t="s">
        <v>4278</v>
      </c>
      <c r="P745" t="n">
        <v>7</v>
      </c>
      <c r="Q745" t="n">
        <v>5</v>
      </c>
      <c r="R745" t="n">
        <v>2</v>
      </c>
      <c r="S745" t="n">
        <v>1933</v>
      </c>
      <c r="T745" t="s">
        <v>4279</v>
      </c>
      <c r="U745" t="s">
        <v>4280</v>
      </c>
      <c r="V745" t="s">
        <v>74</v>
      </c>
      <c r="W745"/>
      <c r="X745"/>
      <c r="Y745"/>
      <c r="Z745"/>
      <c r="AA745"/>
      <c r="AB745" t="s">
        <v>4281</v>
      </c>
      <c r="AC745" t="n">
        <v>237</v>
      </c>
      <c r="AD745"/>
      <c r="AE745"/>
      <c r="AF745" t="s">
        <v>4282</v>
      </c>
      <c r="AG745" t="n">
        <v>101</v>
      </c>
    </row>
    <row r="746">
      <c r="A746" t="s">
        <v>4283</v>
      </c>
      <c r="B746" t="s">
        <v>31</v>
      </c>
      <c r="C746" t="s">
        <v>24</v>
      </c>
      <c r="D746" t="s">
        <v>4284</v>
      </c>
      <c r="E746" t="s">
        <v>79</v>
      </c>
      <c r="F746" t="s">
        <v>1274</v>
      </c>
      <c r="G746"/>
      <c r="H746" t="n">
        <v>39.7174288469816</v>
      </c>
      <c r="I746" t="n">
        <v>-104.987505616258</v>
      </c>
      <c r="J746" t="s">
        <v>4109</v>
      </c>
      <c r="K746" t="s">
        <v>120</v>
      </c>
      <c r="L746"/>
      <c r="M746" t="n">
        <v>1965</v>
      </c>
      <c r="N746" t="n">
        <v>1974</v>
      </c>
      <c r="O746" t="s">
        <v>210</v>
      </c>
      <c r="P746" t="n">
        <v>5</v>
      </c>
      <c r="Q746" t="n">
        <v>5</v>
      </c>
      <c r="R746" t="n">
        <v>1</v>
      </c>
      <c r="S746" t="n">
        <v>1931</v>
      </c>
      <c r="T746" t="s">
        <v>4285</v>
      </c>
      <c r="U746" t="s">
        <v>4286</v>
      </c>
      <c r="V746" t="s">
        <v>74</v>
      </c>
      <c r="W746"/>
      <c r="X746"/>
      <c r="Y746"/>
      <c r="Z746"/>
      <c r="AA746"/>
      <c r="AB746"/>
      <c r="AC746"/>
      <c r="AD746"/>
      <c r="AE746"/>
      <c r="AF746" t="s">
        <v>4287</v>
      </c>
      <c r="AG746" t="n">
        <v>44</v>
      </c>
    </row>
    <row r="747">
      <c r="A747" t="s">
        <v>4288</v>
      </c>
      <c r="B747" t="s">
        <v>31</v>
      </c>
      <c r="C747" t="s">
        <v>24</v>
      </c>
      <c r="D747" t="s">
        <v>4289</v>
      </c>
      <c r="E747" t="s">
        <v>79</v>
      </c>
      <c r="F747" t="s">
        <v>1274</v>
      </c>
      <c r="G747"/>
      <c r="H747" t="n">
        <v>39.6924346390404</v>
      </c>
      <c r="I747" t="n">
        <v>-104.998022729426</v>
      </c>
      <c r="J747" t="s">
        <v>35</v>
      </c>
      <c r="K747" t="s">
        <v>315</v>
      </c>
      <c r="L747"/>
      <c r="M747" t="n">
        <v>1965</v>
      </c>
      <c r="N747" t="n">
        <v>1970</v>
      </c>
      <c r="O747" t="s">
        <v>4172</v>
      </c>
      <c r="P747" t="n">
        <v>5</v>
      </c>
      <c r="Q747" t="n">
        <v>2</v>
      </c>
      <c r="R747" t="n">
        <v>1</v>
      </c>
      <c r="S747" t="n">
        <v>1908</v>
      </c>
      <c r="T747" t="s">
        <v>4290</v>
      </c>
      <c r="U747" t="s">
        <v>4291</v>
      </c>
      <c r="V747" t="s">
        <v>4175</v>
      </c>
      <c r="W747"/>
      <c r="X747"/>
      <c r="Y747"/>
      <c r="Z747"/>
      <c r="AA747"/>
      <c r="AB747" t="s">
        <v>1286</v>
      </c>
      <c r="AC747" t="n">
        <v>230</v>
      </c>
      <c r="AD747" t="s">
        <v>1478</v>
      </c>
      <c r="AE747" t="n">
        <v>230</v>
      </c>
      <c r="AF747" t="s">
        <v>1287</v>
      </c>
      <c r="AG747" t="n">
        <v>72</v>
      </c>
    </row>
    <row r="748">
      <c r="A748" t="s">
        <v>4292</v>
      </c>
      <c r="B748" t="s">
        <v>31</v>
      </c>
      <c r="C748" t="s">
        <v>24</v>
      </c>
      <c r="D748" t="s">
        <v>4293</v>
      </c>
      <c r="E748" t="s">
        <v>79</v>
      </c>
      <c r="F748" t="s">
        <v>1274</v>
      </c>
      <c r="G748"/>
      <c r="H748" t="n">
        <v>39.7216774285714</v>
      </c>
      <c r="I748" t="n">
        <v>-105.000182</v>
      </c>
      <c r="J748" t="s">
        <v>4109</v>
      </c>
      <c r="K748" t="s">
        <v>70</v>
      </c>
      <c r="L748"/>
      <c r="M748" t="n">
        <v>1965</v>
      </c>
      <c r="N748" t="n">
        <v>1983</v>
      </c>
      <c r="O748" t="s">
        <v>388</v>
      </c>
      <c r="P748" t="n">
        <v>6</v>
      </c>
      <c r="Q748" t="n">
        <v>2</v>
      </c>
      <c r="R748" t="n">
        <v>1</v>
      </c>
      <c r="S748" t="n">
        <v>1934</v>
      </c>
      <c r="T748" t="s">
        <v>4294</v>
      </c>
      <c r="U748" t="s">
        <v>4295</v>
      </c>
      <c r="V748" t="s">
        <v>74</v>
      </c>
      <c r="W748"/>
      <c r="X748"/>
      <c r="Y748"/>
      <c r="Z748"/>
      <c r="AA748"/>
      <c r="AB748" t="s">
        <v>1736</v>
      </c>
      <c r="AC748" t="n">
        <v>130</v>
      </c>
      <c r="AD748"/>
      <c r="AE748"/>
      <c r="AF748" t="s">
        <v>4296</v>
      </c>
      <c r="AG748" t="n">
        <v>137</v>
      </c>
    </row>
    <row r="749">
      <c r="A749" t="s">
        <v>4297</v>
      </c>
      <c r="B749" t="s">
        <v>31</v>
      </c>
      <c r="C749" t="s">
        <v>24</v>
      </c>
      <c r="D749" t="s">
        <v>4298</v>
      </c>
      <c r="E749" t="s">
        <v>79</v>
      </c>
      <c r="F749" t="s">
        <v>1274</v>
      </c>
      <c r="G749"/>
      <c r="H749" t="n">
        <v>39.7167562514226</v>
      </c>
      <c r="I749" t="n">
        <v>-104.996354</v>
      </c>
      <c r="J749" t="s">
        <v>4109</v>
      </c>
      <c r="K749" t="s">
        <v>89</v>
      </c>
      <c r="L749"/>
      <c r="M749" t="n">
        <v>1965</v>
      </c>
      <c r="N749" t="n">
        <v>1968</v>
      </c>
      <c r="O749" t="s">
        <v>4299</v>
      </c>
      <c r="P749" t="n">
        <v>3</v>
      </c>
      <c r="Q749" t="n">
        <v>1</v>
      </c>
      <c r="R749" t="n">
        <v>1</v>
      </c>
      <c r="S749" t="n">
        <v>1910</v>
      </c>
      <c r="T749" t="s">
        <v>4300</v>
      </c>
      <c r="U749" t="s">
        <v>4301</v>
      </c>
      <c r="V749" t="s">
        <v>74</v>
      </c>
      <c r="W749"/>
      <c r="X749"/>
      <c r="Y749"/>
      <c r="Z749"/>
      <c r="AA749"/>
      <c r="AB749"/>
      <c r="AC749"/>
      <c r="AD749"/>
      <c r="AE749"/>
      <c r="AF749" t="s">
        <v>4302</v>
      </c>
      <c r="AG749" t="n">
        <v>134</v>
      </c>
    </row>
    <row r="750">
      <c r="A750" t="s">
        <v>4303</v>
      </c>
      <c r="B750" t="s">
        <v>31</v>
      </c>
      <c r="C750" t="s">
        <v>24</v>
      </c>
      <c r="D750" t="s">
        <v>4304</v>
      </c>
      <c r="E750" t="s">
        <v>79</v>
      </c>
      <c r="F750" t="s">
        <v>1274</v>
      </c>
      <c r="G750" t="s">
        <v>1911</v>
      </c>
      <c r="H750" t="n">
        <v>39.7401354675646</v>
      </c>
      <c r="I750" t="n">
        <v>-104.932626575315</v>
      </c>
      <c r="J750" t="s">
        <v>35</v>
      </c>
      <c r="K750" t="s">
        <v>120</v>
      </c>
      <c r="L750"/>
      <c r="M750" t="n">
        <v>1966</v>
      </c>
      <c r="N750" t="n">
        <v>1970</v>
      </c>
      <c r="O750" t="s">
        <v>4172</v>
      </c>
      <c r="P750" t="n">
        <v>3</v>
      </c>
      <c r="Q750" t="n">
        <v>1</v>
      </c>
      <c r="R750" t="n">
        <v>1</v>
      </c>
      <c r="S750" t="n">
        <v>1957</v>
      </c>
      <c r="T750" t="s">
        <v>4305</v>
      </c>
      <c r="U750" t="s">
        <v>4306</v>
      </c>
      <c r="V750" t="s">
        <v>4175</v>
      </c>
      <c r="W750"/>
      <c r="X750"/>
      <c r="Y750"/>
      <c r="Z750"/>
      <c r="AA750"/>
      <c r="AB750"/>
      <c r="AC750"/>
      <c r="AD750"/>
      <c r="AE750"/>
      <c r="AF750" t="s">
        <v>4307</v>
      </c>
      <c r="AG750" t="n">
        <v>113</v>
      </c>
    </row>
    <row r="751">
      <c r="A751" t="s">
        <v>4308</v>
      </c>
      <c r="B751" t="s">
        <v>31</v>
      </c>
      <c r="C751" t="s">
        <v>24</v>
      </c>
      <c r="D751" t="s">
        <v>4309</v>
      </c>
      <c r="E751" t="s">
        <v>79</v>
      </c>
      <c r="F751" t="s">
        <v>1274</v>
      </c>
      <c r="G751" t="s">
        <v>1555</v>
      </c>
      <c r="H751" t="n">
        <v>39.7353199356497</v>
      </c>
      <c r="I751" t="n">
        <v>-104.994598739691</v>
      </c>
      <c r="J751" t="s">
        <v>4109</v>
      </c>
      <c r="K751" t="s">
        <v>120</v>
      </c>
      <c r="L751"/>
      <c r="M751" t="n">
        <v>1966</v>
      </c>
      <c r="N751" t="n">
        <v>1988</v>
      </c>
      <c r="O751" t="s">
        <v>1349</v>
      </c>
      <c r="P751" t="n">
        <v>9</v>
      </c>
      <c r="Q751" t="n">
        <v>8</v>
      </c>
      <c r="R751" t="n">
        <v>1</v>
      </c>
      <c r="S751" t="n">
        <v>1916</v>
      </c>
      <c r="T751" t="s">
        <v>4310</v>
      </c>
      <c r="U751" t="s">
        <v>4311</v>
      </c>
      <c r="V751" t="s">
        <v>74</v>
      </c>
      <c r="W751"/>
      <c r="X751"/>
      <c r="Y751"/>
      <c r="Z751"/>
      <c r="AA751"/>
      <c r="AB751"/>
      <c r="AC751"/>
      <c r="AD751"/>
      <c r="AE751"/>
      <c r="AF751" t="s">
        <v>4312</v>
      </c>
      <c r="AG751" t="n">
        <v>63</v>
      </c>
    </row>
    <row r="752">
      <c r="A752" t="s">
        <v>4313</v>
      </c>
      <c r="B752" t="s">
        <v>31</v>
      </c>
      <c r="C752" t="s">
        <v>24</v>
      </c>
      <c r="D752" t="s">
        <v>4314</v>
      </c>
      <c r="E752" t="s">
        <v>79</v>
      </c>
      <c r="F752" t="s">
        <v>1274</v>
      </c>
      <c r="G752" t="s">
        <v>1638</v>
      </c>
      <c r="H752" t="n">
        <v>39.7525793912754</v>
      </c>
      <c r="I752" t="n">
        <v>-104.996962789076</v>
      </c>
      <c r="J752" t="s">
        <v>4109</v>
      </c>
      <c r="K752" t="s">
        <v>1282</v>
      </c>
      <c r="L752"/>
      <c r="M752" t="n">
        <v>1966</v>
      </c>
      <c r="N752" t="n">
        <v>1977</v>
      </c>
      <c r="O752" t="s">
        <v>4315</v>
      </c>
      <c r="P752" t="n">
        <v>4</v>
      </c>
      <c r="Q752" t="n">
        <v>4</v>
      </c>
      <c r="R752" t="n">
        <v>2</v>
      </c>
      <c r="S752" t="n">
        <v>1927</v>
      </c>
      <c r="T752" t="s">
        <v>4316</v>
      </c>
      <c r="U752" t="s">
        <v>4317</v>
      </c>
      <c r="V752" t="s">
        <v>74</v>
      </c>
      <c r="W752"/>
      <c r="X752"/>
      <c r="Y752"/>
      <c r="Z752"/>
      <c r="AA752"/>
      <c r="AB752" t="s">
        <v>4318</v>
      </c>
      <c r="AC752" t="n">
        <v>133</v>
      </c>
      <c r="AD752"/>
      <c r="AE752"/>
      <c r="AF752" t="s">
        <v>4319</v>
      </c>
      <c r="AG752" t="n">
        <v>167</v>
      </c>
    </row>
    <row r="753">
      <c r="A753" t="s">
        <v>4320</v>
      </c>
      <c r="B753" t="s">
        <v>31</v>
      </c>
      <c r="C753" t="s">
        <v>24</v>
      </c>
      <c r="D753" t="s">
        <v>4321</v>
      </c>
      <c r="E753" t="s">
        <v>79</v>
      </c>
      <c r="F753" t="s">
        <v>1274</v>
      </c>
      <c r="G753" t="s">
        <v>1555</v>
      </c>
      <c r="H753" t="n">
        <v>39.7432892919293</v>
      </c>
      <c r="I753" t="n">
        <v>-105.002113593743</v>
      </c>
      <c r="J753" t="s">
        <v>4109</v>
      </c>
      <c r="K753" t="s">
        <v>120</v>
      </c>
      <c r="L753"/>
      <c r="M753" t="n">
        <v>1966</v>
      </c>
      <c r="N753" t="n">
        <v>1973</v>
      </c>
      <c r="O753" t="s">
        <v>1349</v>
      </c>
      <c r="P753" t="n">
        <v>4</v>
      </c>
      <c r="Q753" t="n">
        <v>4</v>
      </c>
      <c r="R753" t="n">
        <v>1</v>
      </c>
      <c r="S753" t="n">
        <v>1949</v>
      </c>
      <c r="T753" t="s">
        <v>4322</v>
      </c>
      <c r="U753" t="s">
        <v>4323</v>
      </c>
      <c r="V753" t="s">
        <v>74</v>
      </c>
      <c r="W753"/>
      <c r="X753"/>
      <c r="Y753"/>
      <c r="Z753"/>
      <c r="AA753"/>
      <c r="AB753" t="s">
        <v>4274</v>
      </c>
      <c r="AC753" t="n">
        <v>188</v>
      </c>
      <c r="AD753"/>
      <c r="AE753"/>
      <c r="AF753" t="s">
        <v>4275</v>
      </c>
      <c r="AG753" t="n">
        <v>80</v>
      </c>
    </row>
    <row r="754">
      <c r="A754" t="s">
        <v>4324</v>
      </c>
      <c r="B754" t="s">
        <v>31</v>
      </c>
      <c r="C754" t="s">
        <v>24</v>
      </c>
      <c r="D754" t="s">
        <v>4325</v>
      </c>
      <c r="E754" t="s">
        <v>79</v>
      </c>
      <c r="F754" t="s">
        <v>1274</v>
      </c>
      <c r="G754" t="s">
        <v>1881</v>
      </c>
      <c r="H754" t="n">
        <v>39.7694427356094</v>
      </c>
      <c r="I754" t="n">
        <v>-104.931735816913</v>
      </c>
      <c r="J754" t="s">
        <v>4109</v>
      </c>
      <c r="K754" t="s">
        <v>270</v>
      </c>
      <c r="L754"/>
      <c r="M754" t="n">
        <v>1966</v>
      </c>
      <c r="N754" t="n">
        <v>1973</v>
      </c>
      <c r="O754" t="s">
        <v>2349</v>
      </c>
      <c r="P754" t="n">
        <v>3</v>
      </c>
      <c r="Q754" t="n">
        <v>2</v>
      </c>
      <c r="R754" t="n">
        <v>2</v>
      </c>
      <c r="S754" t="n">
        <v>1953</v>
      </c>
      <c r="T754" t="s">
        <v>4326</v>
      </c>
      <c r="U754" t="s">
        <v>4327</v>
      </c>
      <c r="V754" t="s">
        <v>74</v>
      </c>
      <c r="W754"/>
      <c r="X754"/>
      <c r="Y754"/>
      <c r="Z754"/>
      <c r="AA754"/>
      <c r="AB754"/>
      <c r="AC754"/>
      <c r="AD754"/>
      <c r="AE754"/>
      <c r="AF754" t="s">
        <v>2012</v>
      </c>
      <c r="AG754" t="n">
        <v>135</v>
      </c>
    </row>
    <row r="755">
      <c r="A755" t="s">
        <v>4328</v>
      </c>
      <c r="B755" t="s">
        <v>31</v>
      </c>
      <c r="C755" t="s">
        <v>24</v>
      </c>
      <c r="D755" t="s">
        <v>4329</v>
      </c>
      <c r="E755" t="s">
        <v>79</v>
      </c>
      <c r="F755" t="s">
        <v>1274</v>
      </c>
      <c r="G755" t="s">
        <v>1555</v>
      </c>
      <c r="H755" t="n">
        <v>39.7465798336941</v>
      </c>
      <c r="I755" t="n">
        <v>-105.003155295538</v>
      </c>
      <c r="J755" t="s">
        <v>4109</v>
      </c>
      <c r="K755" t="s">
        <v>315</v>
      </c>
      <c r="L755"/>
      <c r="M755" t="n">
        <v>1966</v>
      </c>
      <c r="N755" t="n">
        <v>1968</v>
      </c>
      <c r="O755" t="s">
        <v>1349</v>
      </c>
      <c r="P755" t="n">
        <v>2</v>
      </c>
      <c r="Q755" t="n">
        <v>2</v>
      </c>
      <c r="R755" t="n">
        <v>1</v>
      </c>
      <c r="S755" t="n">
        <v>1918</v>
      </c>
      <c r="T755" t="s">
        <v>4330</v>
      </c>
      <c r="U755" t="s">
        <v>4331</v>
      </c>
      <c r="V755" t="s">
        <v>74</v>
      </c>
      <c r="W755"/>
      <c r="X755"/>
      <c r="Y755"/>
      <c r="Z755"/>
      <c r="AA755"/>
      <c r="AB755" t="s">
        <v>1319</v>
      </c>
      <c r="AC755" t="n">
        <v>90</v>
      </c>
      <c r="AD755"/>
      <c r="AE755"/>
      <c r="AF755" t="s">
        <v>4332</v>
      </c>
      <c r="AG755" t="n">
        <v>177</v>
      </c>
    </row>
    <row r="756">
      <c r="A756" t="s">
        <v>4333</v>
      </c>
      <c r="B756" t="s">
        <v>31</v>
      </c>
      <c r="C756" t="s">
        <v>24</v>
      </c>
      <c r="D756" t="s">
        <v>4334</v>
      </c>
      <c r="E756" t="s">
        <v>79</v>
      </c>
      <c r="F756" t="s">
        <v>1274</v>
      </c>
      <c r="G756" t="s">
        <v>4335</v>
      </c>
      <c r="H756" t="n">
        <v>39.7432362161203</v>
      </c>
      <c r="I756" t="n">
        <v>-104.971806467749</v>
      </c>
      <c r="J756" t="s">
        <v>35</v>
      </c>
      <c r="K756" t="s">
        <v>89</v>
      </c>
      <c r="L756"/>
      <c r="M756" t="n">
        <v>1966</v>
      </c>
      <c r="N756" t="n">
        <v>1974</v>
      </c>
      <c r="O756" t="s">
        <v>4172</v>
      </c>
      <c r="P756" t="n">
        <v>3</v>
      </c>
      <c r="Q756" t="n">
        <v>3</v>
      </c>
      <c r="R756" t="n">
        <v>1</v>
      </c>
      <c r="S756" t="n">
        <v>1942</v>
      </c>
      <c r="T756" t="s">
        <v>4336</v>
      </c>
      <c r="U756" t="s">
        <v>4337</v>
      </c>
      <c r="V756" t="s">
        <v>4175</v>
      </c>
      <c r="W756"/>
      <c r="X756"/>
      <c r="Y756"/>
      <c r="Z756"/>
      <c r="AA756"/>
      <c r="AB756" t="s">
        <v>4338</v>
      </c>
      <c r="AC756" t="n">
        <v>119</v>
      </c>
      <c r="AD756"/>
      <c r="AE756"/>
      <c r="AF756" t="s">
        <v>4339</v>
      </c>
      <c r="AG756" t="n">
        <v>94</v>
      </c>
    </row>
    <row r="757">
      <c r="A757" t="s">
        <v>4340</v>
      </c>
      <c r="B757" t="s">
        <v>31</v>
      </c>
      <c r="C757" t="s">
        <v>24</v>
      </c>
      <c r="D757" t="s">
        <v>4341</v>
      </c>
      <c r="E757" t="s">
        <v>79</v>
      </c>
      <c r="F757" t="s">
        <v>1274</v>
      </c>
      <c r="G757" t="s">
        <v>1574</v>
      </c>
      <c r="H757" t="n">
        <v>39.7549341099792</v>
      </c>
      <c r="I757" t="n">
        <v>-104.990333067179</v>
      </c>
      <c r="J757" t="s">
        <v>4109</v>
      </c>
      <c r="K757" t="s">
        <v>89</v>
      </c>
      <c r="L757"/>
      <c r="M757" t="n">
        <v>1966</v>
      </c>
      <c r="N757" t="n">
        <v>1973</v>
      </c>
      <c r="O757" t="s">
        <v>4342</v>
      </c>
      <c r="P757" t="n">
        <v>4</v>
      </c>
      <c r="Q757" t="n">
        <v>2</v>
      </c>
      <c r="R757" t="n">
        <v>2</v>
      </c>
      <c r="S757" t="n">
        <v>1958</v>
      </c>
      <c r="T757" t="s">
        <v>4343</v>
      </c>
      <c r="U757" t="s">
        <v>4344</v>
      </c>
      <c r="V757" t="s">
        <v>74</v>
      </c>
      <c r="W757"/>
      <c r="X757"/>
      <c r="Y757"/>
      <c r="Z757"/>
      <c r="AA757"/>
      <c r="AB757" t="s">
        <v>1384</v>
      </c>
      <c r="AC757" t="n">
        <v>126</v>
      </c>
      <c r="AD757"/>
      <c r="AE757"/>
      <c r="AF757" t="s">
        <v>1293</v>
      </c>
      <c r="AG757" t="n">
        <v>65</v>
      </c>
    </row>
    <row r="758">
      <c r="A758" t="s">
        <v>4345</v>
      </c>
      <c r="B758" t="s">
        <v>31</v>
      </c>
      <c r="C758" t="s">
        <v>24</v>
      </c>
      <c r="D758" t="s">
        <v>4346</v>
      </c>
      <c r="E758" t="s">
        <v>79</v>
      </c>
      <c r="F758" t="s">
        <v>1274</v>
      </c>
      <c r="G758" t="s">
        <v>1824</v>
      </c>
      <c r="H758" t="n">
        <v>39.7029703626479</v>
      </c>
      <c r="I758" t="n">
        <v>-104.987488</v>
      </c>
      <c r="J758" t="s">
        <v>35</v>
      </c>
      <c r="K758" t="s">
        <v>120</v>
      </c>
      <c r="L758"/>
      <c r="M758" t="n">
        <v>1966</v>
      </c>
      <c r="N758" t="n">
        <v>1990</v>
      </c>
      <c r="O758" t="s">
        <v>4172</v>
      </c>
      <c r="P758" t="n">
        <v>6</v>
      </c>
      <c r="Q758" t="n">
        <v>3</v>
      </c>
      <c r="R758" t="n">
        <v>1</v>
      </c>
      <c r="S758" t="n">
        <v>1955</v>
      </c>
      <c r="T758" t="s">
        <v>4347</v>
      </c>
      <c r="U758" t="s">
        <v>4348</v>
      </c>
      <c r="V758" t="s">
        <v>4175</v>
      </c>
      <c r="W758"/>
      <c r="X758"/>
      <c r="Y758"/>
      <c r="Z758"/>
      <c r="AA758"/>
      <c r="AB758"/>
      <c r="AC758"/>
      <c r="AD758"/>
      <c r="AE758"/>
      <c r="AF758" t="s">
        <v>4349</v>
      </c>
      <c r="AG758" t="n">
        <v>63</v>
      </c>
    </row>
    <row r="759">
      <c r="A759" t="s">
        <v>4350</v>
      </c>
      <c r="B759" t="s">
        <v>31</v>
      </c>
      <c r="C759" t="s">
        <v>24</v>
      </c>
      <c r="D759" t="s">
        <v>4351</v>
      </c>
      <c r="E759" t="s">
        <v>79</v>
      </c>
      <c r="F759" t="s">
        <v>1274</v>
      </c>
      <c r="G759" t="s">
        <v>1555</v>
      </c>
      <c r="H759" t="n">
        <v>39.722532</v>
      </c>
      <c r="I759" t="n">
        <v>-104.998577</v>
      </c>
      <c r="J759" t="s">
        <v>4109</v>
      </c>
      <c r="K759" t="s">
        <v>120</v>
      </c>
      <c r="L759" t="s">
        <v>1337</v>
      </c>
      <c r="M759" t="n">
        <v>1966</v>
      </c>
      <c r="N759" t="n">
        <v>1983</v>
      </c>
      <c r="O759" t="s">
        <v>1556</v>
      </c>
      <c r="P759" t="n">
        <v>5</v>
      </c>
      <c r="Q759" t="n">
        <v>3</v>
      </c>
      <c r="R759" t="n">
        <v>2</v>
      </c>
      <c r="S759" t="n">
        <v>1880</v>
      </c>
      <c r="T759" t="s">
        <v>4352</v>
      </c>
      <c r="U759" t="s">
        <v>4353</v>
      </c>
      <c r="V759" t="s">
        <v>74</v>
      </c>
      <c r="W759"/>
      <c r="X759"/>
      <c r="Y759"/>
      <c r="Z759"/>
      <c r="AA759"/>
      <c r="AB759" t="s">
        <v>1736</v>
      </c>
      <c r="AC759" t="n">
        <v>97</v>
      </c>
      <c r="AD759"/>
      <c r="AE759"/>
      <c r="AF759" t="s">
        <v>4354</v>
      </c>
      <c r="AG759" t="n">
        <v>77</v>
      </c>
    </row>
    <row r="760">
      <c r="A760" t="s">
        <v>4355</v>
      </c>
      <c r="B760" t="s">
        <v>31</v>
      </c>
      <c r="C760" t="s">
        <v>24</v>
      </c>
      <c r="D760" t="s">
        <v>4356</v>
      </c>
      <c r="E760" t="s">
        <v>79</v>
      </c>
      <c r="F760" t="s">
        <v>1274</v>
      </c>
      <c r="G760" t="s">
        <v>1653</v>
      </c>
      <c r="H760" t="n">
        <v>39.7796693278395</v>
      </c>
      <c r="I760" t="n">
        <v>-104.944053023234</v>
      </c>
      <c r="J760" t="s">
        <v>35</v>
      </c>
      <c r="K760" t="s">
        <v>70</v>
      </c>
      <c r="L760"/>
      <c r="M760" t="n">
        <v>1966</v>
      </c>
      <c r="N760" t="n">
        <v>1990</v>
      </c>
      <c r="O760" t="s">
        <v>4172</v>
      </c>
      <c r="P760" t="n">
        <v>10</v>
      </c>
      <c r="Q760" t="n">
        <v>10</v>
      </c>
      <c r="R760" t="n">
        <v>1</v>
      </c>
      <c r="S760" t="n">
        <v>1889</v>
      </c>
      <c r="T760" t="s">
        <v>4357</v>
      </c>
      <c r="U760" t="s">
        <v>4358</v>
      </c>
      <c r="V760" t="s">
        <v>4175</v>
      </c>
      <c r="W760"/>
      <c r="X760"/>
      <c r="Y760"/>
      <c r="Z760"/>
      <c r="AA760"/>
      <c r="AB760"/>
      <c r="AC760"/>
      <c r="AD760" t="s">
        <v>4359</v>
      </c>
      <c r="AE760" t="n">
        <v>203</v>
      </c>
      <c r="AF760" t="s">
        <v>4360</v>
      </c>
      <c r="AG760" t="n">
        <v>58</v>
      </c>
    </row>
    <row r="761">
      <c r="A761" t="s">
        <v>4361</v>
      </c>
      <c r="B761" t="s">
        <v>31</v>
      </c>
      <c r="C761" t="s">
        <v>24</v>
      </c>
      <c r="D761" t="s">
        <v>4362</v>
      </c>
      <c r="E761" t="s">
        <v>79</v>
      </c>
      <c r="F761" t="s">
        <v>1274</v>
      </c>
      <c r="G761" t="s">
        <v>1555</v>
      </c>
      <c r="H761" t="n">
        <v>39.7307263665073</v>
      </c>
      <c r="I761" t="n">
        <v>-105.012826624068</v>
      </c>
      <c r="J761" t="s">
        <v>4109</v>
      </c>
      <c r="K761" t="s">
        <v>70</v>
      </c>
      <c r="L761"/>
      <c r="M761" t="n">
        <v>1967</v>
      </c>
      <c r="N761" t="n">
        <v>1968</v>
      </c>
      <c r="O761" t="s">
        <v>106</v>
      </c>
      <c r="P761" t="n">
        <v>2</v>
      </c>
      <c r="Q761" t="n">
        <v>1</v>
      </c>
      <c r="R761" t="n">
        <v>1</v>
      </c>
      <c r="S761" t="n">
        <v>1962</v>
      </c>
      <c r="T761" t="s">
        <v>4363</v>
      </c>
      <c r="U761" t="s">
        <v>4364</v>
      </c>
      <c r="V761" t="s">
        <v>74</v>
      </c>
      <c r="W761"/>
      <c r="X761"/>
      <c r="Y761"/>
      <c r="Z761"/>
      <c r="AA761"/>
      <c r="AB761" t="s">
        <v>2064</v>
      </c>
      <c r="AC761" t="n">
        <v>140</v>
      </c>
      <c r="AD761" t="s">
        <v>4365</v>
      </c>
      <c r="AE761" t="n">
        <v>238</v>
      </c>
      <c r="AF761" t="s">
        <v>4366</v>
      </c>
      <c r="AG761" t="n">
        <v>79</v>
      </c>
    </row>
    <row r="762">
      <c r="A762" t="s">
        <v>4367</v>
      </c>
      <c r="B762" t="s">
        <v>31</v>
      </c>
      <c r="C762" t="s">
        <v>24</v>
      </c>
      <c r="D762" t="s">
        <v>4368</v>
      </c>
      <c r="E762" t="s">
        <v>79</v>
      </c>
      <c r="F762" t="s">
        <v>1274</v>
      </c>
      <c r="G762" t="s">
        <v>1574</v>
      </c>
      <c r="H762" t="n">
        <v>39.7438740903291</v>
      </c>
      <c r="I762" t="n">
        <v>-105.007159516328</v>
      </c>
      <c r="J762" t="s">
        <v>4109</v>
      </c>
      <c r="K762" t="s">
        <v>1041</v>
      </c>
      <c r="L762"/>
      <c r="M762" t="n">
        <v>1967</v>
      </c>
      <c r="N762" t="n">
        <v>1988</v>
      </c>
      <c r="O762" t="s">
        <v>388</v>
      </c>
      <c r="P762" t="n">
        <v>2</v>
      </c>
      <c r="Q762" t="n">
        <v>3</v>
      </c>
      <c r="R762" t="n">
        <v>1</v>
      </c>
      <c r="S762" t="n">
        <v>1969</v>
      </c>
      <c r="T762" t="s">
        <v>4369</v>
      </c>
      <c r="U762" t="s">
        <v>4370</v>
      </c>
      <c r="V762" t="s">
        <v>74</v>
      </c>
      <c r="W762"/>
      <c r="X762"/>
      <c r="Y762"/>
      <c r="Z762"/>
      <c r="AA762"/>
      <c r="AB762"/>
      <c r="AC762"/>
      <c r="AD762"/>
      <c r="AE762"/>
      <c r="AF762" t="s">
        <v>4371</v>
      </c>
      <c r="AG762" t="n">
        <v>119</v>
      </c>
    </row>
    <row r="763">
      <c r="A763" t="s">
        <v>4372</v>
      </c>
      <c r="B763" t="s">
        <v>31</v>
      </c>
      <c r="C763" t="s">
        <v>24</v>
      </c>
      <c r="D763" t="s">
        <v>4373</v>
      </c>
      <c r="E763" t="s">
        <v>79</v>
      </c>
      <c r="F763" t="s">
        <v>1274</v>
      </c>
      <c r="G763" t="s">
        <v>1555</v>
      </c>
      <c r="H763" t="n">
        <v>39.7334635714286</v>
      </c>
      <c r="I763" t="n">
        <v>-105.001579</v>
      </c>
      <c r="J763" t="s">
        <v>4109</v>
      </c>
      <c r="K763" t="s">
        <v>133</v>
      </c>
      <c r="L763"/>
      <c r="M763" t="n">
        <v>1967</v>
      </c>
      <c r="N763" t="n">
        <v>1973</v>
      </c>
      <c r="O763" t="s">
        <v>121</v>
      </c>
      <c r="P763" t="n">
        <v>2</v>
      </c>
      <c r="Q763" t="n">
        <v>2</v>
      </c>
      <c r="R763" t="n">
        <v>1</v>
      </c>
      <c r="S763" t="n">
        <v>1971</v>
      </c>
      <c r="T763" t="s">
        <v>4374</v>
      </c>
      <c r="U763" t="s">
        <v>4375</v>
      </c>
      <c r="V763" t="s">
        <v>74</v>
      </c>
      <c r="W763"/>
      <c r="X763"/>
      <c r="Y763"/>
      <c r="Z763"/>
      <c r="AA763"/>
      <c r="AB763"/>
      <c r="AC763"/>
      <c r="AD763"/>
      <c r="AE763"/>
      <c r="AF763" t="s">
        <v>4376</v>
      </c>
      <c r="AG763" t="n">
        <v>113</v>
      </c>
    </row>
    <row r="764">
      <c r="A764" t="s">
        <v>4377</v>
      </c>
      <c r="B764" t="s">
        <v>31</v>
      </c>
      <c r="C764" t="s">
        <v>24</v>
      </c>
      <c r="D764" t="s">
        <v>4378</v>
      </c>
      <c r="E764" t="s">
        <v>79</v>
      </c>
      <c r="F764" t="s">
        <v>1274</v>
      </c>
      <c r="G764" t="s">
        <v>1574</v>
      </c>
      <c r="H764" t="n">
        <v>39.7544465215441</v>
      </c>
      <c r="I764" t="n">
        <v>-104.988906886788</v>
      </c>
      <c r="J764" t="s">
        <v>35</v>
      </c>
      <c r="K764" t="s">
        <v>133</v>
      </c>
      <c r="L764"/>
      <c r="M764" t="n">
        <v>1968</v>
      </c>
      <c r="N764" t="n">
        <v>1974</v>
      </c>
      <c r="O764" t="s">
        <v>121</v>
      </c>
      <c r="P764" t="n">
        <v>4</v>
      </c>
      <c r="Q764" t="n">
        <v>3</v>
      </c>
      <c r="R764" t="n">
        <v>1</v>
      </c>
      <c r="S764" t="n">
        <v>1950</v>
      </c>
      <c r="T764" t="s">
        <v>4379</v>
      </c>
      <c r="U764" t="s">
        <v>4380</v>
      </c>
      <c r="V764" t="s">
        <v>4175</v>
      </c>
      <c r="W764"/>
      <c r="X764"/>
      <c r="Y764"/>
      <c r="Z764"/>
      <c r="AA764"/>
      <c r="AB764" t="s">
        <v>1292</v>
      </c>
      <c r="AC764" t="n">
        <v>102</v>
      </c>
      <c r="AD764"/>
      <c r="AE764"/>
      <c r="AF764" t="s">
        <v>1293</v>
      </c>
      <c r="AG764" t="n">
        <v>108</v>
      </c>
    </row>
    <row r="765">
      <c r="A765" t="s">
        <v>4381</v>
      </c>
      <c r="B765" t="s">
        <v>31</v>
      </c>
      <c r="C765" t="s">
        <v>24</v>
      </c>
      <c r="D765" t="s">
        <v>4382</v>
      </c>
      <c r="E765" t="s">
        <v>79</v>
      </c>
      <c r="F765" t="s">
        <v>1274</v>
      </c>
      <c r="G765" t="s">
        <v>1612</v>
      </c>
      <c r="H765" t="n">
        <v>39.7178303073492</v>
      </c>
      <c r="I765" t="n">
        <v>-105.036107970164</v>
      </c>
      <c r="J765" t="s">
        <v>4109</v>
      </c>
      <c r="K765" t="s">
        <v>120</v>
      </c>
      <c r="L765"/>
      <c r="M765" t="n">
        <v>1968</v>
      </c>
      <c r="N765" t="n">
        <v>1970</v>
      </c>
      <c r="O765" t="s">
        <v>1587</v>
      </c>
      <c r="P765" t="n">
        <v>2</v>
      </c>
      <c r="Q765" t="n">
        <v>1</v>
      </c>
      <c r="R765" t="n">
        <v>1</v>
      </c>
      <c r="S765" t="n">
        <v>1960</v>
      </c>
      <c r="T765" t="s">
        <v>4383</v>
      </c>
      <c r="U765" t="s">
        <v>4384</v>
      </c>
      <c r="V765" t="s">
        <v>74</v>
      </c>
      <c r="W765"/>
      <c r="X765"/>
      <c r="Y765"/>
      <c r="Z765"/>
      <c r="AA765"/>
      <c r="AB765" t="s">
        <v>4385</v>
      </c>
      <c r="AC765" t="n">
        <v>209</v>
      </c>
      <c r="AD765"/>
      <c r="AE765"/>
      <c r="AF765" t="s">
        <v>4386</v>
      </c>
      <c r="AG765" t="n">
        <v>66</v>
      </c>
    </row>
    <row r="766">
      <c r="A766" t="s">
        <v>4387</v>
      </c>
      <c r="B766" t="s">
        <v>31</v>
      </c>
      <c r="C766" t="s">
        <v>24</v>
      </c>
      <c r="D766" t="s">
        <v>4388</v>
      </c>
      <c r="E766" t="s">
        <v>79</v>
      </c>
      <c r="F766" t="s">
        <v>1274</v>
      </c>
      <c r="G766"/>
      <c r="H766" t="n">
        <v>39.745654</v>
      </c>
      <c r="I766" t="n">
        <v>-105.006940060606</v>
      </c>
      <c r="J766" t="s">
        <v>4109</v>
      </c>
      <c r="K766" t="s">
        <v>270</v>
      </c>
      <c r="L766"/>
      <c r="M766" t="n">
        <v>1968</v>
      </c>
      <c r="N766" t="n">
        <v>1980</v>
      </c>
      <c r="O766" t="s">
        <v>4389</v>
      </c>
      <c r="P766" t="n">
        <v>4</v>
      </c>
      <c r="Q766" t="n">
        <v>5</v>
      </c>
      <c r="R766" t="n">
        <v>3</v>
      </c>
      <c r="S766" t="n">
        <v>1933</v>
      </c>
      <c r="T766" t="s">
        <v>4390</v>
      </c>
      <c r="U766" t="s">
        <v>4391</v>
      </c>
      <c r="V766" t="s">
        <v>74</v>
      </c>
      <c r="W766"/>
      <c r="X766"/>
      <c r="Y766"/>
      <c r="Z766"/>
      <c r="AA766"/>
      <c r="AB766" t="s">
        <v>4392</v>
      </c>
      <c r="AC766" t="n">
        <v>105</v>
      </c>
      <c r="AD766"/>
      <c r="AE766"/>
      <c r="AF766" t="s">
        <v>4393</v>
      </c>
      <c r="AG766" t="n">
        <v>91</v>
      </c>
    </row>
    <row r="767">
      <c r="A767" t="s">
        <v>4394</v>
      </c>
      <c r="B767" t="s">
        <v>31</v>
      </c>
      <c r="C767" t="s">
        <v>24</v>
      </c>
      <c r="D767" t="s">
        <v>4395</v>
      </c>
      <c r="E767" t="s">
        <v>79</v>
      </c>
      <c r="F767" t="s">
        <v>1274</v>
      </c>
      <c r="G767" t="s">
        <v>1911</v>
      </c>
      <c r="H767" t="n">
        <v>39.7381437341891</v>
      </c>
      <c r="I767" t="n">
        <v>-104.9104986246</v>
      </c>
      <c r="J767" t="s">
        <v>4109</v>
      </c>
      <c r="K767" t="s">
        <v>89</v>
      </c>
      <c r="L767"/>
      <c r="M767" t="n">
        <v>1968</v>
      </c>
      <c r="N767" t="n">
        <v>1970</v>
      </c>
      <c r="O767" t="s">
        <v>1587</v>
      </c>
      <c r="P767" t="n">
        <v>2</v>
      </c>
      <c r="Q767" t="n">
        <v>1</v>
      </c>
      <c r="R767" t="n">
        <v>1</v>
      </c>
      <c r="S767" t="n">
        <v>1965</v>
      </c>
      <c r="T767" t="s">
        <v>4396</v>
      </c>
      <c r="U767" t="s">
        <v>4397</v>
      </c>
      <c r="V767" t="s">
        <v>74</v>
      </c>
      <c r="W767"/>
      <c r="X767"/>
      <c r="Y767"/>
      <c r="Z767"/>
      <c r="AA767"/>
      <c r="AB767" t="s">
        <v>4398</v>
      </c>
      <c r="AC767" t="n">
        <v>218</v>
      </c>
      <c r="AD767"/>
      <c r="AE767"/>
      <c r="AF767" t="s">
        <v>4399</v>
      </c>
      <c r="AG767" t="n">
        <v>186</v>
      </c>
    </row>
    <row r="768">
      <c r="A768" t="s">
        <v>4400</v>
      </c>
      <c r="B768" t="s">
        <v>31</v>
      </c>
      <c r="C768" t="s">
        <v>24</v>
      </c>
      <c r="D768" t="s">
        <v>4401</v>
      </c>
      <c r="E768" t="s">
        <v>79</v>
      </c>
      <c r="F768" t="s">
        <v>1274</v>
      </c>
      <c r="G768" t="s">
        <v>1555</v>
      </c>
      <c r="H768" t="n">
        <v>39.7310742188951</v>
      </c>
      <c r="I768" t="n">
        <v>-105.012826</v>
      </c>
      <c r="J768" t="s">
        <v>4109</v>
      </c>
      <c r="K768" t="s">
        <v>796</v>
      </c>
      <c r="L768"/>
      <c r="M768" t="n">
        <v>1968</v>
      </c>
      <c r="N768" t="n">
        <v>1977</v>
      </c>
      <c r="O768" t="s">
        <v>4402</v>
      </c>
      <c r="P768" t="n">
        <v>4</v>
      </c>
      <c r="Q768" t="n">
        <v>2</v>
      </c>
      <c r="R768" t="n">
        <v>2</v>
      </c>
      <c r="S768" t="n">
        <v>1963</v>
      </c>
      <c r="T768" t="s">
        <v>4403</v>
      </c>
      <c r="U768" t="s">
        <v>4404</v>
      </c>
      <c r="V768" t="s">
        <v>74</v>
      </c>
      <c r="W768"/>
      <c r="X768"/>
      <c r="Y768"/>
      <c r="Z768"/>
      <c r="AA768"/>
      <c r="AB768" t="s">
        <v>2064</v>
      </c>
      <c r="AC768" t="n">
        <v>103</v>
      </c>
      <c r="AD768"/>
      <c r="AE768"/>
      <c r="AF768" t="s">
        <v>4405</v>
      </c>
      <c r="AG768" t="n">
        <v>61</v>
      </c>
    </row>
    <row r="769">
      <c r="A769" t="s">
        <v>4406</v>
      </c>
      <c r="B769" t="s">
        <v>31</v>
      </c>
      <c r="C769" t="s">
        <v>24</v>
      </c>
      <c r="D769" t="s">
        <v>4407</v>
      </c>
      <c r="E769" t="s">
        <v>79</v>
      </c>
      <c r="F769" t="s">
        <v>1274</v>
      </c>
      <c r="G769" t="s">
        <v>1525</v>
      </c>
      <c r="H769" t="n">
        <v>39.7242891574068</v>
      </c>
      <c r="I769" t="n">
        <v>-104.987476894753</v>
      </c>
      <c r="J769" t="s">
        <v>4109</v>
      </c>
      <c r="K769" t="s">
        <v>70</v>
      </c>
      <c r="L769"/>
      <c r="M769" t="n">
        <v>1968</v>
      </c>
      <c r="N769" t="n">
        <v>1970</v>
      </c>
      <c r="O769" t="s">
        <v>1587</v>
      </c>
      <c r="P769" t="n">
        <v>2</v>
      </c>
      <c r="Q769" t="n">
        <v>1</v>
      </c>
      <c r="R769" t="n">
        <v>1</v>
      </c>
      <c r="S769" t="n">
        <v>1906</v>
      </c>
      <c r="T769" t="s">
        <v>4408</v>
      </c>
      <c r="U769" t="s">
        <v>4409</v>
      </c>
      <c r="V769" t="s">
        <v>74</v>
      </c>
      <c r="W769"/>
      <c r="X769"/>
      <c r="Y769"/>
      <c r="Z769"/>
      <c r="AA769"/>
      <c r="AB769"/>
      <c r="AC769"/>
      <c r="AD769"/>
      <c r="AE769"/>
      <c r="AF769" t="s">
        <v>4410</v>
      </c>
      <c r="AG769" t="n">
        <v>67</v>
      </c>
    </row>
    <row r="770">
      <c r="A770" t="s">
        <v>4411</v>
      </c>
      <c r="B770" t="s">
        <v>31</v>
      </c>
      <c r="C770" t="s">
        <v>24</v>
      </c>
      <c r="D770" t="s">
        <v>4412</v>
      </c>
      <c r="E770" t="s">
        <v>79</v>
      </c>
      <c r="F770" t="s">
        <v>1274</v>
      </c>
      <c r="G770" t="s">
        <v>1555</v>
      </c>
      <c r="H770" t="n">
        <v>39.7287713764236</v>
      </c>
      <c r="I770" t="n">
        <v>-105.004087243782</v>
      </c>
      <c r="J770" t="s">
        <v>4109</v>
      </c>
      <c r="K770" t="s">
        <v>120</v>
      </c>
      <c r="L770"/>
      <c r="M770" t="n">
        <v>1968</v>
      </c>
      <c r="N770" t="n">
        <v>1968</v>
      </c>
      <c r="O770" t="s">
        <v>1349</v>
      </c>
      <c r="P770" t="n">
        <v>1</v>
      </c>
      <c r="Q770" t="n">
        <v>1</v>
      </c>
      <c r="R770" t="n">
        <v>1</v>
      </c>
      <c r="S770" t="n">
        <v>1961</v>
      </c>
      <c r="T770" t="s">
        <v>4413</v>
      </c>
      <c r="U770" t="s">
        <v>4414</v>
      </c>
      <c r="V770" t="s">
        <v>74</v>
      </c>
      <c r="W770"/>
      <c r="X770"/>
      <c r="Y770"/>
      <c r="Z770"/>
      <c r="AA770"/>
      <c r="AB770"/>
      <c r="AC770"/>
      <c r="AD770"/>
      <c r="AE770"/>
      <c r="AF770" t="s">
        <v>4415</v>
      </c>
      <c r="AG770" t="n">
        <v>79</v>
      </c>
    </row>
    <row r="771">
      <c r="A771" t="s">
        <v>4416</v>
      </c>
      <c r="B771" t="s">
        <v>31</v>
      </c>
      <c r="C771" t="s">
        <v>24</v>
      </c>
      <c r="D771" t="s">
        <v>4417</v>
      </c>
      <c r="E771" t="s">
        <v>79</v>
      </c>
      <c r="F771" t="s">
        <v>1274</v>
      </c>
      <c r="G771" t="s">
        <v>4335</v>
      </c>
      <c r="H771" t="n">
        <v>39.74248426099</v>
      </c>
      <c r="I771" t="n">
        <v>-105.003015750435</v>
      </c>
      <c r="J771" t="s">
        <v>4109</v>
      </c>
      <c r="K771" t="s">
        <v>120</v>
      </c>
      <c r="L771"/>
      <c r="M771" t="n">
        <v>1968</v>
      </c>
      <c r="N771" t="n">
        <v>1968</v>
      </c>
      <c r="O771" t="s">
        <v>1349</v>
      </c>
      <c r="P771" t="n">
        <v>1</v>
      </c>
      <c r="Q771" t="n">
        <v>2</v>
      </c>
      <c r="R771" t="n">
        <v>1</v>
      </c>
      <c r="S771" t="n">
        <v>1961</v>
      </c>
      <c r="T771" t="s">
        <v>4418</v>
      </c>
      <c r="U771" t="s">
        <v>4419</v>
      </c>
      <c r="V771" t="s">
        <v>74</v>
      </c>
      <c r="W771"/>
      <c r="X771"/>
      <c r="Y771"/>
      <c r="Z771"/>
      <c r="AA771"/>
      <c r="AB771" t="s">
        <v>4274</v>
      </c>
      <c r="AC771" t="n">
        <v>194</v>
      </c>
      <c r="AD771"/>
      <c r="AE771"/>
      <c r="AF771" t="s">
        <v>4275</v>
      </c>
      <c r="AG771" t="n">
        <v>121</v>
      </c>
    </row>
    <row r="772">
      <c r="A772" t="s">
        <v>4420</v>
      </c>
      <c r="B772" t="s">
        <v>31</v>
      </c>
      <c r="C772" t="s">
        <v>24</v>
      </c>
      <c r="D772" t="s">
        <v>4421</v>
      </c>
      <c r="E772" t="s">
        <v>79</v>
      </c>
      <c r="F772" t="s">
        <v>1274</v>
      </c>
      <c r="G772" t="s">
        <v>1653</v>
      </c>
      <c r="H772" t="n">
        <v>39.798396</v>
      </c>
      <c r="I772" t="n">
        <v>-104.968716</v>
      </c>
      <c r="J772" t="s">
        <v>35</v>
      </c>
      <c r="K772" t="s">
        <v>89</v>
      </c>
      <c r="L772"/>
      <c r="M772" t="n">
        <v>1970</v>
      </c>
      <c r="N772" t="n">
        <v>1970</v>
      </c>
      <c r="O772" t="s">
        <v>726</v>
      </c>
      <c r="P772" t="n">
        <v>1</v>
      </c>
      <c r="Q772" t="n">
        <v>1</v>
      </c>
      <c r="R772" t="n">
        <v>1</v>
      </c>
      <c r="S772" t="n">
        <v>1960</v>
      </c>
      <c r="T772" t="s">
        <v>4422</v>
      </c>
      <c r="U772" t="s">
        <v>4423</v>
      </c>
      <c r="V772" t="s">
        <v>4175</v>
      </c>
      <c r="W772"/>
      <c r="X772"/>
      <c r="Y772"/>
      <c r="Z772"/>
      <c r="AA772"/>
      <c r="AB772"/>
      <c r="AC772"/>
      <c r="AD772" t="s">
        <v>4424</v>
      </c>
      <c r="AE772" t="n">
        <v>153</v>
      </c>
      <c r="AF772" t="s">
        <v>4425</v>
      </c>
      <c r="AG772" t="n">
        <v>61</v>
      </c>
    </row>
    <row r="773">
      <c r="A773" t="s">
        <v>4426</v>
      </c>
      <c r="B773" t="s">
        <v>31</v>
      </c>
      <c r="C773" t="s">
        <v>24</v>
      </c>
      <c r="D773" t="s">
        <v>4427</v>
      </c>
      <c r="E773" t="s">
        <v>79</v>
      </c>
      <c r="F773" t="s">
        <v>1274</v>
      </c>
      <c r="G773" t="s">
        <v>1440</v>
      </c>
      <c r="H773" t="n">
        <v>39.7611787142857</v>
      </c>
      <c r="I773" t="n">
        <v>-105.010600857143</v>
      </c>
      <c r="J773" t="s">
        <v>4109</v>
      </c>
      <c r="K773" t="s">
        <v>527</v>
      </c>
      <c r="L773"/>
      <c r="M773" t="n">
        <v>1970</v>
      </c>
      <c r="N773" t="n">
        <v>1992</v>
      </c>
      <c r="O773" t="s">
        <v>1016</v>
      </c>
      <c r="P773" t="n">
        <v>6</v>
      </c>
      <c r="Q773" t="n">
        <v>2</v>
      </c>
      <c r="R773" t="n">
        <v>1</v>
      </c>
      <c r="S773" t="n">
        <v>1935</v>
      </c>
      <c r="T773" t="s">
        <v>4428</v>
      </c>
      <c r="U773" t="s">
        <v>4429</v>
      </c>
      <c r="V773" t="s">
        <v>74</v>
      </c>
      <c r="W773"/>
      <c r="X773"/>
      <c r="Y773"/>
      <c r="Z773"/>
      <c r="AA773"/>
      <c r="AB773" t="s">
        <v>1341</v>
      </c>
      <c r="AC773" t="n">
        <v>170</v>
      </c>
      <c r="AD773" t="s">
        <v>1278</v>
      </c>
      <c r="AE773" t="n">
        <v>215</v>
      </c>
      <c r="AF773" t="s">
        <v>1279</v>
      </c>
      <c r="AG773" t="n">
        <v>115</v>
      </c>
    </row>
    <row r="774">
      <c r="A774" t="s">
        <v>4430</v>
      </c>
      <c r="B774" t="s">
        <v>31</v>
      </c>
      <c r="C774" t="s">
        <v>24</v>
      </c>
      <c r="D774" t="s">
        <v>4431</v>
      </c>
      <c r="E774" t="s">
        <v>79</v>
      </c>
      <c r="F774" t="s">
        <v>1274</v>
      </c>
      <c r="G774" t="s">
        <v>1612</v>
      </c>
      <c r="H774" t="n">
        <v>39.7179095882917</v>
      </c>
      <c r="I774" t="n">
        <v>-105.032471</v>
      </c>
      <c r="J774" t="s">
        <v>4109</v>
      </c>
      <c r="K774" t="s">
        <v>220</v>
      </c>
      <c r="L774"/>
      <c r="M774" t="n">
        <v>1970</v>
      </c>
      <c r="N774" t="n">
        <v>1992</v>
      </c>
      <c r="O774" t="s">
        <v>1016</v>
      </c>
      <c r="P774" t="n">
        <v>2</v>
      </c>
      <c r="Q774" t="n">
        <v>2</v>
      </c>
      <c r="R774" t="n">
        <v>1</v>
      </c>
      <c r="S774" t="n">
        <v>1966</v>
      </c>
      <c r="T774" t="s">
        <v>4432</v>
      </c>
      <c r="U774" t="s">
        <v>4433</v>
      </c>
      <c r="V774" t="s">
        <v>74</v>
      </c>
      <c r="W774"/>
      <c r="X774"/>
      <c r="Y774"/>
      <c r="Z774"/>
      <c r="AA774"/>
      <c r="AB774" t="s">
        <v>4385</v>
      </c>
      <c r="AC774" t="n">
        <v>108</v>
      </c>
      <c r="AD774"/>
      <c r="AE774"/>
      <c r="AF774"/>
      <c r="AG774"/>
    </row>
    <row r="775">
      <c r="A775" t="s">
        <v>4434</v>
      </c>
      <c r="B775" t="s">
        <v>31</v>
      </c>
      <c r="C775" t="s">
        <v>24</v>
      </c>
      <c r="D775" t="s">
        <v>4435</v>
      </c>
      <c r="E775" t="s">
        <v>79</v>
      </c>
      <c r="F775" t="s">
        <v>1274</v>
      </c>
      <c r="G775" t="s">
        <v>1555</v>
      </c>
      <c r="H775" t="n">
        <v>39.7348786171596</v>
      </c>
      <c r="I775" t="n">
        <v>-104.998668326577</v>
      </c>
      <c r="J775" t="s">
        <v>4109</v>
      </c>
      <c r="K775" t="s">
        <v>133</v>
      </c>
      <c r="L775"/>
      <c r="M775" t="n">
        <v>1970</v>
      </c>
      <c r="N775" t="n">
        <v>1974</v>
      </c>
      <c r="O775" t="s">
        <v>726</v>
      </c>
      <c r="P775" t="n">
        <v>2</v>
      </c>
      <c r="Q775" t="n">
        <v>1</v>
      </c>
      <c r="R775" t="n">
        <v>1</v>
      </c>
      <c r="S775" t="n">
        <v>1960</v>
      </c>
      <c r="T775" t="s">
        <v>4436</v>
      </c>
      <c r="U775" t="s">
        <v>4437</v>
      </c>
      <c r="V775" t="s">
        <v>74</v>
      </c>
      <c r="W775"/>
      <c r="X775"/>
      <c r="Y775"/>
      <c r="Z775"/>
      <c r="AA775"/>
      <c r="AB775" t="s">
        <v>1648</v>
      </c>
      <c r="AC775" t="n">
        <v>224</v>
      </c>
      <c r="AD775"/>
      <c r="AE775"/>
      <c r="AF775" t="s">
        <v>1757</v>
      </c>
      <c r="AG775" t="n">
        <v>100</v>
      </c>
    </row>
    <row r="776">
      <c r="A776" t="s">
        <v>4438</v>
      </c>
      <c r="B776" t="s">
        <v>31</v>
      </c>
      <c r="C776" t="s">
        <v>24</v>
      </c>
      <c r="D776" t="s">
        <v>4439</v>
      </c>
      <c r="E776" t="s">
        <v>79</v>
      </c>
      <c r="F776" t="s">
        <v>1274</v>
      </c>
      <c r="G776" t="s">
        <v>1574</v>
      </c>
      <c r="H776" t="n">
        <v>39.756009</v>
      </c>
      <c r="I776" t="n">
        <v>-104.986889</v>
      </c>
      <c r="J776" t="s">
        <v>4109</v>
      </c>
      <c r="K776" t="s">
        <v>70</v>
      </c>
      <c r="L776"/>
      <c r="M776" t="n">
        <v>1970</v>
      </c>
      <c r="N776" t="n">
        <v>1970</v>
      </c>
      <c r="O776" t="s">
        <v>726</v>
      </c>
      <c r="P776" t="n">
        <v>1</v>
      </c>
      <c r="Q776" t="n">
        <v>1</v>
      </c>
      <c r="R776" t="n">
        <v>1</v>
      </c>
      <c r="S776" t="n">
        <v>1964</v>
      </c>
      <c r="T776" t="s">
        <v>4440</v>
      </c>
      <c r="U776" t="s">
        <v>4441</v>
      </c>
      <c r="V776" t="s">
        <v>74</v>
      </c>
      <c r="W776"/>
      <c r="X776"/>
      <c r="Y776"/>
      <c r="Z776"/>
      <c r="AA776"/>
      <c r="AB776" t="s">
        <v>1936</v>
      </c>
      <c r="AC776" t="n">
        <v>120</v>
      </c>
      <c r="AD776"/>
      <c r="AE776"/>
      <c r="AF776" t="s">
        <v>1326</v>
      </c>
      <c r="AG776" t="n">
        <v>90</v>
      </c>
    </row>
    <row r="777">
      <c r="A777" t="s">
        <v>4442</v>
      </c>
      <c r="B777" t="s">
        <v>31</v>
      </c>
      <c r="C777" t="s">
        <v>24</v>
      </c>
      <c r="D777" t="s">
        <v>4443</v>
      </c>
      <c r="E777" t="s">
        <v>79</v>
      </c>
      <c r="F777" t="s">
        <v>1274</v>
      </c>
      <c r="G777" t="s">
        <v>1516</v>
      </c>
      <c r="H777" t="n">
        <v>39.7809042202047</v>
      </c>
      <c r="I777" t="n">
        <v>-105.001711095736</v>
      </c>
      <c r="J777" t="s">
        <v>4109</v>
      </c>
      <c r="K777" t="s">
        <v>70</v>
      </c>
      <c r="L777"/>
      <c r="M777" t="n">
        <v>1973</v>
      </c>
      <c r="N777" t="n">
        <v>1974</v>
      </c>
      <c r="O777" t="s">
        <v>127</v>
      </c>
      <c r="P777" t="n">
        <v>2</v>
      </c>
      <c r="Q777" t="n">
        <v>1</v>
      </c>
      <c r="R777" t="n">
        <v>1</v>
      </c>
      <c r="S777" t="n">
        <v>1951</v>
      </c>
      <c r="T777" t="s">
        <v>4444</v>
      </c>
      <c r="U777" t="s">
        <v>4445</v>
      </c>
      <c r="V777" t="s">
        <v>74</v>
      </c>
      <c r="W777"/>
      <c r="X777"/>
      <c r="Y777"/>
      <c r="Z777"/>
      <c r="AA777"/>
      <c r="AB777" t="s">
        <v>1918</v>
      </c>
      <c r="AC777" t="n">
        <v>94</v>
      </c>
      <c r="AD777" t="s">
        <v>1919</v>
      </c>
      <c r="AE777" t="n">
        <v>231</v>
      </c>
      <c r="AF777" t="s">
        <v>4446</v>
      </c>
      <c r="AG777" t="n">
        <v>165</v>
      </c>
    </row>
    <row r="778">
      <c r="A778" t="s">
        <v>4447</v>
      </c>
      <c r="B778" t="s">
        <v>31</v>
      </c>
      <c r="C778" t="s">
        <v>24</v>
      </c>
      <c r="D778" t="s">
        <v>4448</v>
      </c>
      <c r="E778" t="s">
        <v>79</v>
      </c>
      <c r="F778" t="s">
        <v>1274</v>
      </c>
      <c r="G778" t="s">
        <v>1516</v>
      </c>
      <c r="H778" t="n">
        <v>39.7340779352409</v>
      </c>
      <c r="I778" t="n">
        <v>-105.001575550569</v>
      </c>
      <c r="J778" t="s">
        <v>4109</v>
      </c>
      <c r="K778" t="s">
        <v>2274</v>
      </c>
      <c r="L778"/>
      <c r="M778" t="n">
        <v>1973</v>
      </c>
      <c r="N778" t="n">
        <v>1974</v>
      </c>
      <c r="O778" t="s">
        <v>127</v>
      </c>
      <c r="P778" t="n">
        <v>2</v>
      </c>
      <c r="Q778" t="n">
        <v>1</v>
      </c>
      <c r="R778" t="n">
        <v>1</v>
      </c>
      <c r="S778"/>
      <c r="T778" t="s">
        <v>4449</v>
      </c>
      <c r="U778" t="s">
        <v>4450</v>
      </c>
      <c r="V778" t="s">
        <v>74</v>
      </c>
      <c r="W778"/>
      <c r="X778"/>
      <c r="Y778"/>
      <c r="Z778"/>
      <c r="AA778"/>
      <c r="AB778"/>
      <c r="AC778"/>
      <c r="AD778"/>
      <c r="AE778"/>
      <c r="AF778" t="s">
        <v>4376</v>
      </c>
      <c r="AG778" t="n">
        <v>45</v>
      </c>
    </row>
    <row r="779">
      <c r="A779" t="s">
        <v>4451</v>
      </c>
      <c r="B779" t="s">
        <v>31</v>
      </c>
      <c r="C779" t="s">
        <v>24</v>
      </c>
      <c r="D779" t="s">
        <v>4452</v>
      </c>
      <c r="E779" t="s">
        <v>79</v>
      </c>
      <c r="F779" t="s">
        <v>1274</v>
      </c>
      <c r="G779" t="s">
        <v>1555</v>
      </c>
      <c r="H779" t="n">
        <v>39.7360367138303</v>
      </c>
      <c r="I779" t="n">
        <v>-104.990244549486</v>
      </c>
      <c r="J779" t="s">
        <v>4109</v>
      </c>
      <c r="K779" t="s">
        <v>70</v>
      </c>
      <c r="L779"/>
      <c r="M779" t="n">
        <v>1973</v>
      </c>
      <c r="N779" t="n">
        <v>1983</v>
      </c>
      <c r="O779" t="s">
        <v>121</v>
      </c>
      <c r="P779" t="n">
        <v>2</v>
      </c>
      <c r="Q779" t="n">
        <v>2</v>
      </c>
      <c r="R779" t="n">
        <v>1</v>
      </c>
      <c r="S779" t="n">
        <v>1925</v>
      </c>
      <c r="T779" t="s">
        <v>4453</v>
      </c>
      <c r="U779" t="s">
        <v>4454</v>
      </c>
      <c r="V779" t="s">
        <v>74</v>
      </c>
      <c r="W779"/>
      <c r="X779"/>
      <c r="Y779"/>
      <c r="Z779"/>
      <c r="AA779"/>
      <c r="AB779" t="s">
        <v>1465</v>
      </c>
      <c r="AC779" t="n">
        <v>89</v>
      </c>
      <c r="AD779"/>
      <c r="AE779"/>
      <c r="AF779" t="s">
        <v>1466</v>
      </c>
      <c r="AG779" t="n">
        <v>149</v>
      </c>
    </row>
    <row r="780">
      <c r="A780" t="s">
        <v>4455</v>
      </c>
      <c r="B780" t="s">
        <v>31</v>
      </c>
      <c r="C780" t="s">
        <v>24</v>
      </c>
      <c r="D780" t="s">
        <v>4456</v>
      </c>
      <c r="E780" t="s">
        <v>79</v>
      </c>
      <c r="F780" t="s">
        <v>1274</v>
      </c>
      <c r="G780" t="s">
        <v>1555</v>
      </c>
      <c r="H780" t="n">
        <v>39.7341879949695</v>
      </c>
      <c r="I780" t="n">
        <v>-104.993757746227</v>
      </c>
      <c r="J780" t="s">
        <v>4109</v>
      </c>
      <c r="K780" t="s">
        <v>315</v>
      </c>
      <c r="L780"/>
      <c r="M780" t="n">
        <v>1973</v>
      </c>
      <c r="N780" t="n">
        <v>1990</v>
      </c>
      <c r="O780" t="s">
        <v>127</v>
      </c>
      <c r="P780" t="n">
        <v>3</v>
      </c>
      <c r="Q780" t="n">
        <v>2</v>
      </c>
      <c r="R780" t="n">
        <v>1</v>
      </c>
      <c r="S780" t="n">
        <v>1957</v>
      </c>
      <c r="T780" t="s">
        <v>4457</v>
      </c>
      <c r="U780" t="s">
        <v>4458</v>
      </c>
      <c r="V780" t="s">
        <v>74</v>
      </c>
      <c r="W780"/>
      <c r="X780"/>
      <c r="Y780"/>
      <c r="Z780"/>
      <c r="AA780"/>
      <c r="AB780"/>
      <c r="AC780"/>
      <c r="AD780"/>
      <c r="AE780"/>
      <c r="AF780" t="s">
        <v>4312</v>
      </c>
      <c r="AG780" t="n">
        <v>178</v>
      </c>
    </row>
    <row r="781">
      <c r="A781" t="s">
        <v>4459</v>
      </c>
      <c r="B781" t="s">
        <v>31</v>
      </c>
      <c r="C781" t="s">
        <v>24</v>
      </c>
      <c r="D781" t="s">
        <v>4460</v>
      </c>
      <c r="E781" t="s">
        <v>79</v>
      </c>
      <c r="F781" t="s">
        <v>1274</v>
      </c>
      <c r="G781" t="s">
        <v>1516</v>
      </c>
      <c r="H781" t="n">
        <v>39.716955612244</v>
      </c>
      <c r="I781" t="n">
        <v>-105.00018202097</v>
      </c>
      <c r="J781" t="s">
        <v>4109</v>
      </c>
      <c r="K781" t="s">
        <v>141</v>
      </c>
      <c r="L781"/>
      <c r="M781" t="n">
        <v>1973</v>
      </c>
      <c r="N781" t="n">
        <v>1974</v>
      </c>
      <c r="O781" t="s">
        <v>127</v>
      </c>
      <c r="P781" t="n">
        <v>2</v>
      </c>
      <c r="Q781" t="n">
        <v>2</v>
      </c>
      <c r="R781" t="n">
        <v>2</v>
      </c>
      <c r="S781" t="n">
        <v>1914</v>
      </c>
      <c r="T781" t="s">
        <v>4461</v>
      </c>
      <c r="U781" t="s">
        <v>4462</v>
      </c>
      <c r="V781" t="s">
        <v>74</v>
      </c>
      <c r="W781"/>
      <c r="X781"/>
      <c r="Y781"/>
      <c r="Z781"/>
      <c r="AA781"/>
      <c r="AB781" t="s">
        <v>2132</v>
      </c>
      <c r="AC781" t="n">
        <v>126</v>
      </c>
      <c r="AD781"/>
      <c r="AE781"/>
      <c r="AF781" t="s">
        <v>4463</v>
      </c>
      <c r="AG781" t="n">
        <v>49</v>
      </c>
    </row>
    <row r="782">
      <c r="A782" t="s">
        <v>4464</v>
      </c>
      <c r="B782" t="s">
        <v>31</v>
      </c>
      <c r="C782" t="s">
        <v>24</v>
      </c>
      <c r="D782" t="s">
        <v>4465</v>
      </c>
      <c r="E782" t="s">
        <v>79</v>
      </c>
      <c r="F782" t="s">
        <v>1274</v>
      </c>
      <c r="G782" t="s">
        <v>1555</v>
      </c>
      <c r="H782" t="n">
        <v>39.749516278481</v>
      </c>
      <c r="I782" t="n">
        <v>-105.005906113924</v>
      </c>
      <c r="J782" t="s">
        <v>35</v>
      </c>
      <c r="K782" t="s">
        <v>133</v>
      </c>
      <c r="L782"/>
      <c r="M782" t="n">
        <v>1973</v>
      </c>
      <c r="N782" t="n">
        <v>1980</v>
      </c>
      <c r="O782" t="s">
        <v>121</v>
      </c>
      <c r="P782" t="n">
        <v>3</v>
      </c>
      <c r="Q782" t="n">
        <v>2</v>
      </c>
      <c r="R782" t="n">
        <v>1</v>
      </c>
      <c r="S782" t="n">
        <v>1921</v>
      </c>
      <c r="T782" t="s">
        <v>4466</v>
      </c>
      <c r="U782" t="s">
        <v>4467</v>
      </c>
      <c r="V782" t="s">
        <v>4175</v>
      </c>
      <c r="W782"/>
      <c r="X782"/>
      <c r="Y782"/>
      <c r="Z782"/>
      <c r="AA782"/>
      <c r="AB782" t="s">
        <v>4468</v>
      </c>
      <c r="AC782" t="n">
        <v>224</v>
      </c>
      <c r="AD782"/>
      <c r="AE782"/>
      <c r="AF782" t="s">
        <v>1635</v>
      </c>
      <c r="AG782" t="n">
        <v>125</v>
      </c>
    </row>
    <row r="783">
      <c r="A783" t="s">
        <v>4469</v>
      </c>
      <c r="B783" t="s">
        <v>31</v>
      </c>
      <c r="C783" t="s">
        <v>24</v>
      </c>
      <c r="D783" t="s">
        <v>4470</v>
      </c>
      <c r="E783" t="s">
        <v>79</v>
      </c>
      <c r="F783" t="s">
        <v>1274</v>
      </c>
      <c r="G783" t="s">
        <v>1612</v>
      </c>
      <c r="H783" t="n">
        <v>39.7209232631579</v>
      </c>
      <c r="I783" t="n">
        <v>-105.032474263158</v>
      </c>
      <c r="J783" t="s">
        <v>4109</v>
      </c>
      <c r="K783" t="s">
        <v>70</v>
      </c>
      <c r="L783"/>
      <c r="M783" t="n">
        <v>1973</v>
      </c>
      <c r="N783" t="n">
        <v>1973</v>
      </c>
      <c r="O783" t="s">
        <v>121</v>
      </c>
      <c r="P783" t="n">
        <v>1</v>
      </c>
      <c r="Q783" t="n">
        <v>1</v>
      </c>
      <c r="R783" t="n">
        <v>1</v>
      </c>
      <c r="S783" t="n">
        <v>1955</v>
      </c>
      <c r="T783" t="s">
        <v>4471</v>
      </c>
      <c r="U783" t="s">
        <v>4472</v>
      </c>
      <c r="V783" t="s">
        <v>74</v>
      </c>
      <c r="W783"/>
      <c r="X783"/>
      <c r="Y783"/>
      <c r="Z783"/>
      <c r="AA783"/>
      <c r="AB783" t="s">
        <v>4473</v>
      </c>
      <c r="AC783" t="n">
        <v>128</v>
      </c>
      <c r="AD783"/>
      <c r="AE783"/>
      <c r="AF783" t="s">
        <v>4474</v>
      </c>
      <c r="AG783" t="n">
        <v>55</v>
      </c>
    </row>
    <row r="784">
      <c r="A784" t="s">
        <v>4475</v>
      </c>
      <c r="B784" t="s">
        <v>31</v>
      </c>
      <c r="C784" t="s">
        <v>24</v>
      </c>
      <c r="D784" t="s">
        <v>4476</v>
      </c>
      <c r="E784" t="s">
        <v>79</v>
      </c>
      <c r="F784" t="s">
        <v>1274</v>
      </c>
      <c r="G784" t="s">
        <v>1653</v>
      </c>
      <c r="H784" t="n">
        <v>39.773384</v>
      </c>
      <c r="I784" t="n">
        <v>-104.908213</v>
      </c>
      <c r="J784" t="s">
        <v>4109</v>
      </c>
      <c r="K784" t="s">
        <v>133</v>
      </c>
      <c r="L784"/>
      <c r="M784" t="n">
        <v>1980</v>
      </c>
      <c r="N784" t="n">
        <v>1980</v>
      </c>
      <c r="O784" t="s">
        <v>255</v>
      </c>
      <c r="P784" t="n">
        <v>1</v>
      </c>
      <c r="Q784" t="n">
        <v>1</v>
      </c>
      <c r="R784" t="n">
        <v>1</v>
      </c>
      <c r="S784" t="n">
        <v>1974</v>
      </c>
      <c r="T784" t="s">
        <v>4477</v>
      </c>
      <c r="U784" t="s">
        <v>4478</v>
      </c>
      <c r="V784" t="s">
        <v>74</v>
      </c>
      <c r="W784"/>
      <c r="X784"/>
      <c r="Y784"/>
      <c r="Z784"/>
      <c r="AA784"/>
      <c r="AB784"/>
      <c r="AC784"/>
      <c r="AD784"/>
      <c r="AE784"/>
      <c r="AF784" t="s">
        <v>4479</v>
      </c>
      <c r="AG784" t="n">
        <v>58</v>
      </c>
    </row>
    <row r="785">
      <c r="A785" t="s">
        <v>4480</v>
      </c>
      <c r="B785" t="s">
        <v>31</v>
      </c>
      <c r="C785" t="s">
        <v>24</v>
      </c>
      <c r="D785" t="s">
        <v>4481</v>
      </c>
      <c r="E785" t="s">
        <v>79</v>
      </c>
      <c r="F785" t="s">
        <v>1274</v>
      </c>
      <c r="G785" t="s">
        <v>1653</v>
      </c>
      <c r="H785" t="n">
        <v>39.7191711416074</v>
      </c>
      <c r="I785" t="n">
        <v>-104.943749426782</v>
      </c>
      <c r="J785" t="s">
        <v>4109</v>
      </c>
      <c r="K785" t="s">
        <v>81</v>
      </c>
      <c r="L785"/>
      <c r="M785" t="n">
        <v>1980</v>
      </c>
      <c r="N785" t="n">
        <v>1980</v>
      </c>
      <c r="O785" t="s">
        <v>255</v>
      </c>
      <c r="P785" t="n">
        <v>1</v>
      </c>
      <c r="Q785" t="n">
        <v>1</v>
      </c>
      <c r="R785" t="n">
        <v>1</v>
      </c>
      <c r="S785" t="n">
        <v>1979</v>
      </c>
      <c r="T785" t="s">
        <v>4482</v>
      </c>
      <c r="U785" t="s">
        <v>4483</v>
      </c>
      <c r="V785" t="s">
        <v>74</v>
      </c>
      <c r="W785"/>
      <c r="X785"/>
      <c r="Y785"/>
      <c r="Z785"/>
      <c r="AA785"/>
      <c r="AB785"/>
      <c r="AC785"/>
      <c r="AD785"/>
      <c r="AE785"/>
      <c r="AF785" t="s">
        <v>4484</v>
      </c>
      <c r="AG785" t="n">
        <v>223</v>
      </c>
    </row>
    <row r="786">
      <c r="A786" t="s">
        <v>4485</v>
      </c>
      <c r="B786" t="s">
        <v>31</v>
      </c>
      <c r="C786" t="s">
        <v>24</v>
      </c>
      <c r="D786" t="s">
        <v>4486</v>
      </c>
      <c r="E786" t="s">
        <v>79</v>
      </c>
      <c r="F786" t="s">
        <v>1274</v>
      </c>
      <c r="G786" t="s">
        <v>1653</v>
      </c>
      <c r="H786" t="n">
        <v>39.863594</v>
      </c>
      <c r="I786" t="n">
        <v>-104.946675</v>
      </c>
      <c r="J786" t="s">
        <v>4109</v>
      </c>
      <c r="K786" t="s">
        <v>70</v>
      </c>
      <c r="L786"/>
      <c r="M786" t="n">
        <v>1980</v>
      </c>
      <c r="N786" t="n">
        <v>1980</v>
      </c>
      <c r="O786" t="s">
        <v>255</v>
      </c>
      <c r="P786" t="n">
        <v>1</v>
      </c>
      <c r="Q786" t="n">
        <v>1</v>
      </c>
      <c r="R786" t="n">
        <v>1</v>
      </c>
      <c r="S786" t="n">
        <v>1968</v>
      </c>
      <c r="T786" t="s">
        <v>4487</v>
      </c>
      <c r="U786" t="s">
        <v>4488</v>
      </c>
      <c r="V786" t="s">
        <v>74</v>
      </c>
      <c r="W786"/>
      <c r="X786"/>
      <c r="Y786"/>
      <c r="Z786"/>
      <c r="AA786"/>
      <c r="AB786"/>
      <c r="AC786"/>
      <c r="AD786"/>
      <c r="AE786"/>
      <c r="AF786"/>
      <c r="AG786"/>
    </row>
    <row r="787">
      <c r="A787" t="s">
        <v>4489</v>
      </c>
      <c r="B787" t="s">
        <v>31</v>
      </c>
      <c r="C787" t="s">
        <v>24</v>
      </c>
      <c r="D787" t="s">
        <v>4490</v>
      </c>
      <c r="E787" t="s">
        <v>79</v>
      </c>
      <c r="F787" t="s">
        <v>1274</v>
      </c>
      <c r="G787" t="s">
        <v>1653</v>
      </c>
      <c r="H787" t="n">
        <v>39.717957877551</v>
      </c>
      <c r="I787" t="n">
        <v>-104.922261877551</v>
      </c>
      <c r="J787" t="s">
        <v>4109</v>
      </c>
      <c r="K787" t="s">
        <v>133</v>
      </c>
      <c r="L787"/>
      <c r="M787" t="n">
        <v>1980</v>
      </c>
      <c r="N787" t="n">
        <v>1980</v>
      </c>
      <c r="O787" t="s">
        <v>255</v>
      </c>
      <c r="P787" t="n">
        <v>1</v>
      </c>
      <c r="Q787" t="n">
        <v>1</v>
      </c>
      <c r="R787" t="n">
        <v>1</v>
      </c>
      <c r="S787" t="n">
        <v>1967</v>
      </c>
      <c r="T787" t="s">
        <v>4491</v>
      </c>
      <c r="U787" t="s">
        <v>4492</v>
      </c>
      <c r="V787" t="s">
        <v>74</v>
      </c>
      <c r="W787"/>
      <c r="X787"/>
      <c r="Y787"/>
      <c r="Z787"/>
      <c r="AA787"/>
      <c r="AB787"/>
      <c r="AC787"/>
      <c r="AD787"/>
      <c r="AE787"/>
      <c r="AF787" t="s">
        <v>4493</v>
      </c>
      <c r="AG787" t="n">
        <v>172</v>
      </c>
    </row>
    <row r="788">
      <c r="A788" t="s">
        <v>4494</v>
      </c>
      <c r="B788" t="s">
        <v>31</v>
      </c>
      <c r="C788" t="s">
        <v>24</v>
      </c>
      <c r="D788" t="s">
        <v>4495</v>
      </c>
      <c r="E788" t="s">
        <v>79</v>
      </c>
      <c r="F788" t="s">
        <v>1274</v>
      </c>
      <c r="G788" t="s">
        <v>4335</v>
      </c>
      <c r="H788" t="n">
        <v>39.725589</v>
      </c>
      <c r="I788" t="n">
        <v>-104.975233</v>
      </c>
      <c r="J788" t="s">
        <v>4109</v>
      </c>
      <c r="K788" t="s">
        <v>120</v>
      </c>
      <c r="L788"/>
      <c r="M788" t="n">
        <v>1980</v>
      </c>
      <c r="N788" t="n">
        <v>1990</v>
      </c>
      <c r="O788" t="s">
        <v>540</v>
      </c>
      <c r="P788" t="n">
        <v>4</v>
      </c>
      <c r="Q788" t="n">
        <v>1</v>
      </c>
      <c r="R788" t="n">
        <v>1</v>
      </c>
      <c r="S788" t="n">
        <v>1970</v>
      </c>
      <c r="T788" t="s">
        <v>4496</v>
      </c>
      <c r="U788" t="s">
        <v>4497</v>
      </c>
      <c r="V788" t="s">
        <v>74</v>
      </c>
      <c r="W788"/>
      <c r="X788"/>
      <c r="Y788"/>
      <c r="Z788"/>
      <c r="AA788"/>
      <c r="AB788" t="s">
        <v>4498</v>
      </c>
      <c r="AC788" t="n">
        <v>181</v>
      </c>
      <c r="AD788"/>
      <c r="AE788"/>
      <c r="AF788" t="s">
        <v>568</v>
      </c>
      <c r="AG788" t="n">
        <v>121</v>
      </c>
    </row>
    <row r="789">
      <c r="A789" t="s">
        <v>4499</v>
      </c>
      <c r="B789" t="s">
        <v>31</v>
      </c>
      <c r="C789" t="s">
        <v>24</v>
      </c>
      <c r="D789" t="s">
        <v>4500</v>
      </c>
      <c r="E789" t="s">
        <v>79</v>
      </c>
      <c r="F789" t="s">
        <v>1274</v>
      </c>
      <c r="G789" t="s">
        <v>1516</v>
      </c>
      <c r="H789" t="n">
        <v>39.844606</v>
      </c>
      <c r="I789" t="n">
        <v>-105.009379</v>
      </c>
      <c r="J789" t="s">
        <v>4109</v>
      </c>
      <c r="K789" t="s">
        <v>70</v>
      </c>
      <c r="L789"/>
      <c r="M789" t="n">
        <v>1983</v>
      </c>
      <c r="N789" t="n">
        <v>1983</v>
      </c>
      <c r="O789" t="s">
        <v>264</v>
      </c>
      <c r="P789" t="n">
        <v>1</v>
      </c>
      <c r="Q789" t="n">
        <v>1</v>
      </c>
      <c r="R789" t="n">
        <v>1</v>
      </c>
      <c r="S789" t="n">
        <v>1975</v>
      </c>
      <c r="T789" t="s">
        <v>4501</v>
      </c>
      <c r="U789" t="s">
        <v>4502</v>
      </c>
      <c r="V789" t="s">
        <v>74</v>
      </c>
      <c r="W789"/>
      <c r="X789"/>
      <c r="Y789"/>
      <c r="Z789"/>
      <c r="AA789"/>
      <c r="AB789"/>
      <c r="AC789"/>
      <c r="AD789"/>
      <c r="AE789"/>
      <c r="AF789"/>
      <c r="AG789"/>
    </row>
    <row r="790">
      <c r="A790" t="s">
        <v>4503</v>
      </c>
      <c r="B790" t="s">
        <v>31</v>
      </c>
      <c r="C790" t="s">
        <v>24</v>
      </c>
      <c r="D790" t="s">
        <v>4504</v>
      </c>
      <c r="E790" t="s">
        <v>79</v>
      </c>
      <c r="F790" t="s">
        <v>1274</v>
      </c>
      <c r="G790" t="s">
        <v>1653</v>
      </c>
      <c r="H790" t="n">
        <v>39.7173539180922</v>
      </c>
      <c r="I790" t="n">
        <v>-104.995173169288</v>
      </c>
      <c r="J790" t="s">
        <v>4109</v>
      </c>
      <c r="K790" t="s">
        <v>141</v>
      </c>
      <c r="L790"/>
      <c r="M790" t="n">
        <v>1983</v>
      </c>
      <c r="N790" t="n">
        <v>1992</v>
      </c>
      <c r="O790" t="s">
        <v>1003</v>
      </c>
      <c r="P790" t="n">
        <v>2</v>
      </c>
      <c r="Q790" t="n">
        <v>2</v>
      </c>
      <c r="R790" t="n">
        <v>2</v>
      </c>
      <c r="S790" t="n">
        <v>1955</v>
      </c>
      <c r="T790" t="s">
        <v>4505</v>
      </c>
      <c r="U790" t="s">
        <v>4506</v>
      </c>
      <c r="V790" t="s">
        <v>74</v>
      </c>
      <c r="W790"/>
      <c r="X790"/>
      <c r="Y790"/>
      <c r="Z790"/>
      <c r="AA790"/>
      <c r="AB790"/>
      <c r="AC790"/>
      <c r="AD790"/>
      <c r="AE790"/>
      <c r="AF790" t="s">
        <v>1537</v>
      </c>
      <c r="AG790" t="n">
        <v>173</v>
      </c>
    </row>
    <row r="791">
      <c r="A791" t="s">
        <v>4507</v>
      </c>
      <c r="B791" t="s">
        <v>31</v>
      </c>
      <c r="C791" t="s">
        <v>24</v>
      </c>
      <c r="D791" t="s">
        <v>4508</v>
      </c>
      <c r="E791" t="s">
        <v>79</v>
      </c>
      <c r="F791" t="s">
        <v>1274</v>
      </c>
      <c r="G791" t="s">
        <v>1555</v>
      </c>
      <c r="H791" t="n">
        <v>39.7280532157804</v>
      </c>
      <c r="I791" t="n">
        <v>-104.998605642867</v>
      </c>
      <c r="J791" t="s">
        <v>4109</v>
      </c>
      <c r="K791" t="s">
        <v>527</v>
      </c>
      <c r="L791"/>
      <c r="M791" t="n">
        <v>1983</v>
      </c>
      <c r="N791" t="n">
        <v>1992</v>
      </c>
      <c r="O791" t="s">
        <v>264</v>
      </c>
      <c r="P791" t="n">
        <v>4</v>
      </c>
      <c r="Q791" t="n">
        <v>3</v>
      </c>
      <c r="R791" t="n">
        <v>1</v>
      </c>
      <c r="S791" t="n">
        <v>1979</v>
      </c>
      <c r="T791" t="s">
        <v>4509</v>
      </c>
      <c r="U791" t="s">
        <v>4510</v>
      </c>
      <c r="V791" t="s">
        <v>74</v>
      </c>
      <c r="W791"/>
      <c r="X791"/>
      <c r="Y791"/>
      <c r="Z791"/>
      <c r="AA791"/>
      <c r="AB791"/>
      <c r="AC791"/>
      <c r="AD791"/>
      <c r="AE791"/>
      <c r="AF791" t="s">
        <v>4511</v>
      </c>
      <c r="AG791" t="n">
        <v>113</v>
      </c>
    </row>
    <row r="792">
      <c r="A792" t="s">
        <v>4512</v>
      </c>
      <c r="B792" t="s">
        <v>31</v>
      </c>
      <c r="C792" t="s">
        <v>24</v>
      </c>
      <c r="D792" t="s">
        <v>4513</v>
      </c>
      <c r="E792" t="s">
        <v>79</v>
      </c>
      <c r="F792" t="s">
        <v>1274</v>
      </c>
      <c r="G792" t="s">
        <v>1525</v>
      </c>
      <c r="H792" t="n">
        <v>39.7340499985587</v>
      </c>
      <c r="I792" t="n">
        <v>-104.986128568431</v>
      </c>
      <c r="J792" t="s">
        <v>4109</v>
      </c>
      <c r="K792" t="s">
        <v>70</v>
      </c>
      <c r="L792"/>
      <c r="M792" t="n">
        <v>1983</v>
      </c>
      <c r="N792" t="n">
        <v>1990</v>
      </c>
      <c r="O792" t="s">
        <v>271</v>
      </c>
      <c r="P792" t="n">
        <v>3</v>
      </c>
      <c r="Q792" t="n">
        <v>1</v>
      </c>
      <c r="R792" t="n">
        <v>1</v>
      </c>
      <c r="S792" t="n">
        <v>1907</v>
      </c>
      <c r="T792" t="s">
        <v>4514</v>
      </c>
      <c r="U792" t="s">
        <v>4515</v>
      </c>
      <c r="V792" t="s">
        <v>74</v>
      </c>
      <c r="W792"/>
      <c r="X792"/>
      <c r="Y792"/>
      <c r="Z792"/>
      <c r="AA792"/>
      <c r="AB792"/>
      <c r="AC792"/>
      <c r="AD792" t="s">
        <v>4516</v>
      </c>
      <c r="AE792" t="n">
        <v>198</v>
      </c>
      <c r="AF792" t="s">
        <v>4517</v>
      </c>
      <c r="AG792" t="n">
        <v>40</v>
      </c>
    </row>
    <row r="793">
      <c r="A793" t="s">
        <v>4518</v>
      </c>
      <c r="B793" t="s">
        <v>31</v>
      </c>
      <c r="C793" t="s">
        <v>24</v>
      </c>
      <c r="D793" t="s">
        <v>4519</v>
      </c>
      <c r="E793" t="s">
        <v>79</v>
      </c>
      <c r="F793" t="s">
        <v>1274</v>
      </c>
      <c r="G793" t="s">
        <v>1516</v>
      </c>
      <c r="H793" t="n">
        <v>39.7292311226376</v>
      </c>
      <c r="I793" t="n">
        <v>-105.001589</v>
      </c>
      <c r="J793" t="s">
        <v>4109</v>
      </c>
      <c r="K793" t="s">
        <v>1495</v>
      </c>
      <c r="L793"/>
      <c r="M793" t="n">
        <v>1983</v>
      </c>
      <c r="N793" t="n">
        <v>1992</v>
      </c>
      <c r="O793" t="s">
        <v>1016</v>
      </c>
      <c r="P793" t="n">
        <v>2</v>
      </c>
      <c r="Q793" t="n">
        <v>1</v>
      </c>
      <c r="R793" t="n">
        <v>1</v>
      </c>
      <c r="S793" t="n">
        <v>1942</v>
      </c>
      <c r="T793" t="s">
        <v>4520</v>
      </c>
      <c r="U793" t="s">
        <v>4521</v>
      </c>
      <c r="V793" t="s">
        <v>74</v>
      </c>
      <c r="W793"/>
      <c r="X793"/>
      <c r="Y793"/>
      <c r="Z793"/>
      <c r="AA793"/>
      <c r="AB793"/>
      <c r="AC793"/>
      <c r="AD793"/>
      <c r="AE793"/>
      <c r="AF793" t="s">
        <v>4522</v>
      </c>
      <c r="AG793" t="n">
        <v>46</v>
      </c>
    </row>
    <row r="794">
      <c r="A794" t="s">
        <v>4523</v>
      </c>
      <c r="B794" t="s">
        <v>31</v>
      </c>
      <c r="C794" t="s">
        <v>24</v>
      </c>
      <c r="D794" t="s">
        <v>4524</v>
      </c>
      <c r="E794" t="s">
        <v>79</v>
      </c>
      <c r="F794" t="s">
        <v>1274</v>
      </c>
      <c r="G794" t="s">
        <v>1555</v>
      </c>
      <c r="H794" t="n">
        <v>39.7285075006975</v>
      </c>
      <c r="I794" t="n">
        <v>-104.998608500004</v>
      </c>
      <c r="J794" t="s">
        <v>4109</v>
      </c>
      <c r="K794" t="s">
        <v>527</v>
      </c>
      <c r="L794"/>
      <c r="M794" t="n">
        <v>1983</v>
      </c>
      <c r="N794" t="n">
        <v>1992</v>
      </c>
      <c r="O794" t="s">
        <v>3904</v>
      </c>
      <c r="P794" t="n">
        <v>3</v>
      </c>
      <c r="Q794" t="n">
        <v>3</v>
      </c>
      <c r="R794" t="n">
        <v>3</v>
      </c>
      <c r="S794" t="n">
        <v>1969</v>
      </c>
      <c r="T794" t="s">
        <v>4525</v>
      </c>
      <c r="U794" t="s">
        <v>4526</v>
      </c>
      <c r="V794" t="s">
        <v>74</v>
      </c>
      <c r="W794"/>
      <c r="X794"/>
      <c r="Y794"/>
      <c r="Z794"/>
      <c r="AA794"/>
      <c r="AB794"/>
      <c r="AC794"/>
      <c r="AD794"/>
      <c r="AE794"/>
      <c r="AF794" t="s">
        <v>4511</v>
      </c>
      <c r="AG794" t="n">
        <v>77</v>
      </c>
    </row>
    <row r="795">
      <c r="A795" t="s">
        <v>4527</v>
      </c>
      <c r="B795" t="s">
        <v>31</v>
      </c>
      <c r="C795" t="s">
        <v>24</v>
      </c>
      <c r="D795" t="s">
        <v>4528</v>
      </c>
      <c r="E795" t="s">
        <v>79</v>
      </c>
      <c r="F795" t="s">
        <v>1274</v>
      </c>
      <c r="G795" t="s">
        <v>1653</v>
      </c>
      <c r="H795" t="n">
        <v>39.866522</v>
      </c>
      <c r="I795" t="n">
        <v>-104.942891</v>
      </c>
      <c r="J795" t="s">
        <v>4109</v>
      </c>
      <c r="K795" t="s">
        <v>315</v>
      </c>
      <c r="L795"/>
      <c r="M795" t="n">
        <v>1983</v>
      </c>
      <c r="N795" t="n">
        <v>1983</v>
      </c>
      <c r="O795" t="s">
        <v>264</v>
      </c>
      <c r="P795" t="n">
        <v>1</v>
      </c>
      <c r="Q795" t="n">
        <v>1</v>
      </c>
      <c r="R795" t="n">
        <v>1</v>
      </c>
      <c r="S795" t="n">
        <v>1962</v>
      </c>
      <c r="T795" t="s">
        <v>4529</v>
      </c>
      <c r="U795" t="s">
        <v>4530</v>
      </c>
      <c r="V795" t="s">
        <v>74</v>
      </c>
      <c r="W795"/>
      <c r="X795"/>
      <c r="Y795"/>
      <c r="Z795"/>
      <c r="AA795"/>
      <c r="AB795"/>
      <c r="AC795"/>
      <c r="AD795"/>
      <c r="AE795"/>
      <c r="AF795"/>
      <c r="AG795"/>
    </row>
    <row r="796">
      <c r="A796" t="s">
        <v>4531</v>
      </c>
      <c r="B796" t="s">
        <v>31</v>
      </c>
      <c r="C796" t="s">
        <v>24</v>
      </c>
      <c r="D796" t="s">
        <v>4532</v>
      </c>
      <c r="E796" t="s">
        <v>79</v>
      </c>
      <c r="F796" t="s">
        <v>1274</v>
      </c>
      <c r="G796" t="s">
        <v>1653</v>
      </c>
      <c r="H796" t="n">
        <v>39.7214631062749</v>
      </c>
      <c r="I796" t="n">
        <v>-104.91275977085</v>
      </c>
      <c r="J796" t="s">
        <v>4109</v>
      </c>
      <c r="K796" t="s">
        <v>120</v>
      </c>
      <c r="L796"/>
      <c r="M796" t="n">
        <v>1983</v>
      </c>
      <c r="N796" t="n">
        <v>1983</v>
      </c>
      <c r="O796" t="s">
        <v>264</v>
      </c>
      <c r="P796" t="n">
        <v>1</v>
      </c>
      <c r="Q796" t="n">
        <v>1</v>
      </c>
      <c r="R796" t="n">
        <v>1</v>
      </c>
      <c r="S796" t="n">
        <v>1976</v>
      </c>
      <c r="T796" t="s">
        <v>4533</v>
      </c>
      <c r="U796" t="s">
        <v>4534</v>
      </c>
      <c r="V796" t="s">
        <v>74</v>
      </c>
      <c r="W796"/>
      <c r="X796"/>
      <c r="Y796"/>
      <c r="Z796"/>
      <c r="AA796"/>
      <c r="AB796"/>
      <c r="AC796"/>
      <c r="AD796"/>
      <c r="AE796"/>
      <c r="AF796"/>
      <c r="AG796"/>
    </row>
    <row r="797">
      <c r="A797" t="s">
        <v>4535</v>
      </c>
      <c r="B797" t="s">
        <v>31</v>
      </c>
      <c r="C797" t="s">
        <v>24</v>
      </c>
      <c r="D797" t="s">
        <v>4536</v>
      </c>
      <c r="E797" t="s">
        <v>79</v>
      </c>
      <c r="F797" t="s">
        <v>1274</v>
      </c>
      <c r="G797" t="s">
        <v>1881</v>
      </c>
      <c r="H797" t="n">
        <v>39.7511844149081</v>
      </c>
      <c r="I797" t="n">
        <v>-104.930504061791</v>
      </c>
      <c r="J797" t="s">
        <v>4109</v>
      </c>
      <c r="K797" t="s">
        <v>141</v>
      </c>
      <c r="L797"/>
      <c r="M797" t="n">
        <v>1983</v>
      </c>
      <c r="N797" t="n">
        <v>1992</v>
      </c>
      <c r="O797" t="s">
        <v>4537</v>
      </c>
      <c r="P797" t="n">
        <v>3</v>
      </c>
      <c r="Q797" t="n">
        <v>2</v>
      </c>
      <c r="R797" t="n">
        <v>2</v>
      </c>
      <c r="S797" t="n">
        <v>1964</v>
      </c>
      <c r="T797" t="s">
        <v>4538</v>
      </c>
      <c r="U797" t="s">
        <v>4539</v>
      </c>
      <c r="V797" t="s">
        <v>74</v>
      </c>
      <c r="W797"/>
      <c r="X797"/>
      <c r="Y797"/>
      <c r="Z797"/>
      <c r="AA797"/>
      <c r="AB797"/>
      <c r="AC797"/>
      <c r="AD797"/>
      <c r="AE797"/>
      <c r="AF797" t="s">
        <v>4540</v>
      </c>
      <c r="AG797" t="n">
        <v>239</v>
      </c>
    </row>
    <row r="798">
      <c r="A798" t="s">
        <v>4541</v>
      </c>
      <c r="B798" t="s">
        <v>31</v>
      </c>
      <c r="C798" t="s">
        <v>24</v>
      </c>
      <c r="D798" t="s">
        <v>4542</v>
      </c>
      <c r="E798" t="s">
        <v>79</v>
      </c>
      <c r="F798" t="s">
        <v>1274</v>
      </c>
      <c r="G798" t="s">
        <v>1540</v>
      </c>
      <c r="H798" t="n">
        <v>39.8474621950017</v>
      </c>
      <c r="I798" t="n">
        <v>-105.048318012074</v>
      </c>
      <c r="J798" t="s">
        <v>4109</v>
      </c>
      <c r="K798" t="s">
        <v>70</v>
      </c>
      <c r="L798"/>
      <c r="M798" t="n">
        <v>1988</v>
      </c>
      <c r="N798" t="n">
        <v>1988</v>
      </c>
      <c r="O798" t="s">
        <v>325</v>
      </c>
      <c r="P798" t="n">
        <v>1</v>
      </c>
      <c r="Q798" t="n">
        <v>1</v>
      </c>
      <c r="R798" t="n">
        <v>1</v>
      </c>
      <c r="S798" t="n">
        <v>1976</v>
      </c>
      <c r="T798" t="s">
        <v>4543</v>
      </c>
      <c r="U798" t="s">
        <v>4544</v>
      </c>
      <c r="V798" t="s">
        <v>74</v>
      </c>
      <c r="W798"/>
      <c r="X798"/>
      <c r="Y798"/>
      <c r="Z798"/>
      <c r="AA798"/>
      <c r="AB798"/>
      <c r="AC798"/>
      <c r="AD798"/>
      <c r="AE798"/>
      <c r="AF798"/>
      <c r="AG798"/>
    </row>
    <row r="799">
      <c r="A799" t="s">
        <v>4545</v>
      </c>
      <c r="B799" t="s">
        <v>31</v>
      </c>
      <c r="C799" t="s">
        <v>24</v>
      </c>
      <c r="D799" t="s">
        <v>4546</v>
      </c>
      <c r="E799" t="s">
        <v>79</v>
      </c>
      <c r="F799" t="s">
        <v>1274</v>
      </c>
      <c r="G799" t="s">
        <v>1653</v>
      </c>
      <c r="H799" t="n">
        <v>39.7242114285714</v>
      </c>
      <c r="I799" t="n">
        <v>-104.940748489796</v>
      </c>
      <c r="J799" t="s">
        <v>4109</v>
      </c>
      <c r="K799" t="s">
        <v>70</v>
      </c>
      <c r="L799"/>
      <c r="M799" t="n">
        <v>1988</v>
      </c>
      <c r="N799" t="n">
        <v>1988</v>
      </c>
      <c r="O799" t="s">
        <v>325</v>
      </c>
      <c r="P799" t="n">
        <v>1</v>
      </c>
      <c r="Q799" t="n">
        <v>1</v>
      </c>
      <c r="R799" t="n">
        <v>1</v>
      </c>
      <c r="S799" t="n">
        <v>1958</v>
      </c>
      <c r="T799" t="s">
        <v>4547</v>
      </c>
      <c r="U799" t="s">
        <v>4548</v>
      </c>
      <c r="V799" t="s">
        <v>74</v>
      </c>
      <c r="W799"/>
      <c r="X799"/>
      <c r="Y799"/>
      <c r="Z799"/>
      <c r="AA799"/>
      <c r="AB799"/>
      <c r="AC799"/>
      <c r="AD799"/>
      <c r="AE799"/>
      <c r="AF799"/>
      <c r="AG799"/>
    </row>
    <row r="800">
      <c r="A800" t="s">
        <v>4549</v>
      </c>
      <c r="B800" t="s">
        <v>31</v>
      </c>
      <c r="C800" t="s">
        <v>24</v>
      </c>
      <c r="D800" t="s">
        <v>4550</v>
      </c>
      <c r="E800" t="s">
        <v>79</v>
      </c>
      <c r="F800" t="s">
        <v>1274</v>
      </c>
      <c r="G800" t="s">
        <v>1516</v>
      </c>
      <c r="H800" t="n">
        <v>39.736864</v>
      </c>
      <c r="I800" t="n">
        <v>-104.991649</v>
      </c>
      <c r="J800" t="s">
        <v>4109</v>
      </c>
      <c r="K800" t="s">
        <v>70</v>
      </c>
      <c r="L800"/>
      <c r="M800" t="n">
        <v>1988</v>
      </c>
      <c r="N800" t="n">
        <v>1988</v>
      </c>
      <c r="O800" t="s">
        <v>325</v>
      </c>
      <c r="P800" t="n">
        <v>1</v>
      </c>
      <c r="Q800" t="n">
        <v>1</v>
      </c>
      <c r="R800" t="n">
        <v>1</v>
      </c>
      <c r="S800" t="n">
        <v>1964</v>
      </c>
      <c r="T800" t="s">
        <v>4551</v>
      </c>
      <c r="U800" t="s">
        <v>4552</v>
      </c>
      <c r="V800" t="s">
        <v>74</v>
      </c>
      <c r="W800"/>
      <c r="X800"/>
      <c r="Y800"/>
      <c r="Z800"/>
      <c r="AA800"/>
      <c r="AB800" t="s">
        <v>4553</v>
      </c>
      <c r="AC800" t="n">
        <v>159</v>
      </c>
      <c r="AD800"/>
      <c r="AE800"/>
      <c r="AF800" t="s">
        <v>4554</v>
      </c>
      <c r="AG800" t="n">
        <v>122</v>
      </c>
    </row>
    <row r="801">
      <c r="A801" t="s">
        <v>4555</v>
      </c>
      <c r="B801" t="s">
        <v>31</v>
      </c>
      <c r="C801" t="s">
        <v>24</v>
      </c>
      <c r="D801" t="s">
        <v>4556</v>
      </c>
      <c r="E801" t="s">
        <v>79</v>
      </c>
      <c r="F801" t="s">
        <v>1274</v>
      </c>
      <c r="G801" t="s">
        <v>1653</v>
      </c>
      <c r="H801" t="n">
        <v>39.871209</v>
      </c>
      <c r="I801" t="n">
        <v>-104.968906</v>
      </c>
      <c r="J801" t="s">
        <v>4109</v>
      </c>
      <c r="K801" t="s">
        <v>70</v>
      </c>
      <c r="L801"/>
      <c r="M801" t="n">
        <v>1988</v>
      </c>
      <c r="N801" t="n">
        <v>1988</v>
      </c>
      <c r="O801" t="s">
        <v>325</v>
      </c>
      <c r="P801" t="n">
        <v>1</v>
      </c>
      <c r="Q801" t="n">
        <v>1</v>
      </c>
      <c r="R801" t="n">
        <v>1</v>
      </c>
      <c r="S801" t="n">
        <v>1904</v>
      </c>
      <c r="T801" t="s">
        <v>4557</v>
      </c>
      <c r="U801" t="s">
        <v>4558</v>
      </c>
      <c r="V801" t="s">
        <v>74</v>
      </c>
      <c r="W801"/>
      <c r="X801"/>
      <c r="Y801"/>
      <c r="Z801"/>
      <c r="AA801"/>
      <c r="AB801"/>
      <c r="AC801"/>
      <c r="AD801"/>
      <c r="AE801"/>
      <c r="AF801"/>
      <c r="AG801"/>
    </row>
    <row r="802">
      <c r="A802" t="s">
        <v>4559</v>
      </c>
      <c r="B802" t="s">
        <v>31</v>
      </c>
      <c r="C802" t="s">
        <v>24</v>
      </c>
      <c r="D802" t="s">
        <v>4560</v>
      </c>
      <c r="E802" t="s">
        <v>79</v>
      </c>
      <c r="F802" t="s">
        <v>1274</v>
      </c>
      <c r="G802" t="s">
        <v>1555</v>
      </c>
      <c r="H802" t="n">
        <v>39.7285117336166</v>
      </c>
      <c r="I802" t="n">
        <v>-105.002844295379</v>
      </c>
      <c r="J802" t="s">
        <v>4109</v>
      </c>
      <c r="K802" t="s">
        <v>141</v>
      </c>
      <c r="L802" t="s">
        <v>2901</v>
      </c>
      <c r="M802" t="n">
        <v>1990</v>
      </c>
      <c r="N802" t="n">
        <v>1990</v>
      </c>
      <c r="O802" t="s">
        <v>351</v>
      </c>
      <c r="P802" t="n">
        <v>1</v>
      </c>
      <c r="Q802" t="n">
        <v>1</v>
      </c>
      <c r="R802" t="n">
        <v>1</v>
      </c>
      <c r="S802" t="n">
        <v>1983</v>
      </c>
      <c r="T802" t="s">
        <v>4561</v>
      </c>
      <c r="U802" t="s">
        <v>4562</v>
      </c>
      <c r="V802" t="s">
        <v>74</v>
      </c>
      <c r="W802"/>
      <c r="X802"/>
      <c r="Y802"/>
      <c r="Z802"/>
      <c r="AA802"/>
      <c r="AB802"/>
      <c r="AC802"/>
      <c r="AD802"/>
      <c r="AE802"/>
      <c r="AF802" t="s">
        <v>4415</v>
      </c>
      <c r="AG802" t="n">
        <v>112</v>
      </c>
    </row>
    <row r="803">
      <c r="A803" t="s">
        <v>4563</v>
      </c>
      <c r="B803" t="s">
        <v>31</v>
      </c>
      <c r="C803" t="s">
        <v>24</v>
      </c>
      <c r="D803" t="s">
        <v>4564</v>
      </c>
      <c r="E803" t="s">
        <v>4565</v>
      </c>
      <c r="F803" t="s">
        <v>2221</v>
      </c>
      <c r="G803" t="s">
        <v>4566</v>
      </c>
      <c r="H803" t="n">
        <v>39.4764652008493</v>
      </c>
      <c r="I803" t="n">
        <v>-105.026546232795</v>
      </c>
      <c r="J803" t="s">
        <v>4109</v>
      </c>
      <c r="K803" t="s">
        <v>89</v>
      </c>
      <c r="L803"/>
      <c r="M803" t="n">
        <v>1977</v>
      </c>
      <c r="N803" t="n">
        <v>1980</v>
      </c>
      <c r="O803" t="s">
        <v>1949</v>
      </c>
      <c r="P803" t="n">
        <v>2</v>
      </c>
      <c r="Q803" t="n">
        <v>1</v>
      </c>
      <c r="R803" t="n">
        <v>1</v>
      </c>
      <c r="S803" t="n">
        <v>1966</v>
      </c>
      <c r="T803" t="s">
        <v>4567</v>
      </c>
      <c r="U803" t="s">
        <v>4568</v>
      </c>
      <c r="V803" t="s">
        <v>74</v>
      </c>
      <c r="W803"/>
      <c r="X803"/>
      <c r="Y803"/>
      <c r="Z803"/>
      <c r="AA803"/>
      <c r="AB803"/>
      <c r="AC803"/>
      <c r="AD803"/>
      <c r="AE803"/>
      <c r="AF803"/>
      <c r="AG803"/>
    </row>
    <row r="804">
      <c r="A804" t="s">
        <v>4569</v>
      </c>
      <c r="B804" t="s">
        <v>31</v>
      </c>
      <c r="C804" t="s">
        <v>24</v>
      </c>
      <c r="D804" t="s">
        <v>4570</v>
      </c>
      <c r="E804" t="s">
        <v>2246</v>
      </c>
      <c r="F804" t="s">
        <v>2221</v>
      </c>
      <c r="G804" t="s">
        <v>2247</v>
      </c>
      <c r="H804" t="n">
        <v>39.5554396091201</v>
      </c>
      <c r="I804" t="n">
        <v>-104.67057993871</v>
      </c>
      <c r="J804" t="s">
        <v>4109</v>
      </c>
      <c r="K804" t="s">
        <v>89</v>
      </c>
      <c r="L804"/>
      <c r="M804" t="n">
        <v>1980</v>
      </c>
      <c r="N804" t="n">
        <v>1980</v>
      </c>
      <c r="O804" t="s">
        <v>255</v>
      </c>
      <c r="P804" t="n">
        <v>1</v>
      </c>
      <c r="Q804" t="n">
        <v>1</v>
      </c>
      <c r="R804" t="n">
        <v>1</v>
      </c>
      <c r="S804" t="n">
        <v>1978</v>
      </c>
      <c r="T804" t="s">
        <v>4571</v>
      </c>
      <c r="U804" t="s">
        <v>4572</v>
      </c>
      <c r="V804" t="s">
        <v>74</v>
      </c>
      <c r="W804"/>
      <c r="X804"/>
      <c r="Y804"/>
      <c r="Z804"/>
      <c r="AA804"/>
      <c r="AB804"/>
      <c r="AC804"/>
      <c r="AD804"/>
      <c r="AE804"/>
      <c r="AF804"/>
      <c r="AG804"/>
    </row>
    <row r="805">
      <c r="A805" t="s">
        <v>4573</v>
      </c>
      <c r="B805" t="s">
        <v>31</v>
      </c>
      <c r="C805" t="s">
        <v>24</v>
      </c>
      <c r="D805" t="s">
        <v>4574</v>
      </c>
      <c r="E805" t="s">
        <v>386</v>
      </c>
      <c r="F805" t="s">
        <v>2221</v>
      </c>
      <c r="G805" t="s">
        <v>4575</v>
      </c>
      <c r="H805" t="n">
        <v>39.5066898126475</v>
      </c>
      <c r="I805" t="n">
        <v>-105.020087455845</v>
      </c>
      <c r="J805" t="s">
        <v>4109</v>
      </c>
      <c r="K805" t="s">
        <v>70</v>
      </c>
      <c r="L805"/>
      <c r="M805" t="n">
        <v>1992</v>
      </c>
      <c r="N805" t="n">
        <v>1992</v>
      </c>
      <c r="O805" t="s">
        <v>1016</v>
      </c>
      <c r="P805" t="n">
        <v>1</v>
      </c>
      <c r="Q805" t="n">
        <v>1</v>
      </c>
      <c r="R805" t="n">
        <v>1</v>
      </c>
      <c r="S805" t="n">
        <v>1962</v>
      </c>
      <c r="T805" t="s">
        <v>4576</v>
      </c>
      <c r="U805" t="s">
        <v>4577</v>
      </c>
      <c r="V805" t="s">
        <v>74</v>
      </c>
      <c r="W805"/>
      <c r="X805"/>
      <c r="Y805"/>
      <c r="Z805"/>
      <c r="AA805"/>
      <c r="AB805" t="s">
        <v>4578</v>
      </c>
      <c r="AC805" t="n">
        <v>183</v>
      </c>
      <c r="AD805" t="s">
        <v>4579</v>
      </c>
      <c r="AE805" t="n">
        <v>209</v>
      </c>
      <c r="AF805" t="s">
        <v>4580</v>
      </c>
      <c r="AG805" t="n">
        <v>161</v>
      </c>
    </row>
    <row r="806">
      <c r="A806" t="s">
        <v>4581</v>
      </c>
      <c r="B806" t="s">
        <v>31</v>
      </c>
      <c r="C806" t="s">
        <v>24</v>
      </c>
      <c r="D806" t="s">
        <v>4582</v>
      </c>
      <c r="E806" t="s">
        <v>2266</v>
      </c>
      <c r="F806" t="s">
        <v>2267</v>
      </c>
      <c r="G806" t="s">
        <v>2488</v>
      </c>
      <c r="H806" t="n">
        <v>38.8553878085136</v>
      </c>
      <c r="I806" t="n">
        <v>-104.914330383049</v>
      </c>
      <c r="J806" t="s">
        <v>4109</v>
      </c>
      <c r="K806" t="s">
        <v>70</v>
      </c>
      <c r="L806"/>
      <c r="M806" t="n">
        <v>1967</v>
      </c>
      <c r="N806" t="n">
        <v>1968</v>
      </c>
      <c r="O806" t="s">
        <v>1349</v>
      </c>
      <c r="P806" t="n">
        <v>2</v>
      </c>
      <c r="Q806" t="n">
        <v>2</v>
      </c>
      <c r="R806" t="n">
        <v>1</v>
      </c>
      <c r="S806" t="n">
        <v>1948</v>
      </c>
      <c r="T806" t="s">
        <v>4583</v>
      </c>
      <c r="U806" t="s">
        <v>4584</v>
      </c>
      <c r="V806" t="s">
        <v>74</v>
      </c>
      <c r="W806"/>
      <c r="X806"/>
      <c r="Y806"/>
      <c r="Z806"/>
      <c r="AA806"/>
      <c r="AB806"/>
      <c r="AC806"/>
      <c r="AD806"/>
      <c r="AE806"/>
      <c r="AF806"/>
      <c r="AG806"/>
    </row>
    <row r="807">
      <c r="A807" t="s">
        <v>4585</v>
      </c>
      <c r="B807" t="s">
        <v>31</v>
      </c>
      <c r="C807" t="s">
        <v>24</v>
      </c>
      <c r="D807" t="s">
        <v>4586</v>
      </c>
      <c r="E807" t="s">
        <v>2272</v>
      </c>
      <c r="F807" t="s">
        <v>2267</v>
      </c>
      <c r="G807" t="s">
        <v>2296</v>
      </c>
      <c r="H807" t="n">
        <v>38.8670360356662</v>
      </c>
      <c r="I807" t="n">
        <v>-104.891669110712</v>
      </c>
      <c r="J807" t="s">
        <v>4109</v>
      </c>
      <c r="K807" t="s">
        <v>141</v>
      </c>
      <c r="L807"/>
      <c r="M807" t="n">
        <v>1970</v>
      </c>
      <c r="N807" t="n">
        <v>1983</v>
      </c>
      <c r="O807" t="s">
        <v>4587</v>
      </c>
      <c r="P807" t="n">
        <v>5</v>
      </c>
      <c r="Q807" t="n">
        <v>4</v>
      </c>
      <c r="R807" t="n">
        <v>4</v>
      </c>
      <c r="S807" t="n">
        <v>1965</v>
      </c>
      <c r="T807" t="s">
        <v>4588</v>
      </c>
      <c r="U807" t="s">
        <v>4589</v>
      </c>
      <c r="V807" t="s">
        <v>74</v>
      </c>
      <c r="W807"/>
      <c r="X807"/>
      <c r="Y807"/>
      <c r="Z807"/>
      <c r="AA807"/>
      <c r="AB807"/>
      <c r="AC807"/>
      <c r="AD807"/>
      <c r="AE807"/>
      <c r="AF807"/>
      <c r="AG807"/>
    </row>
    <row r="808">
      <c r="A808" t="s">
        <v>4590</v>
      </c>
      <c r="B808" t="s">
        <v>31</v>
      </c>
      <c r="C808" t="s">
        <v>24</v>
      </c>
      <c r="D808" t="s">
        <v>4591</v>
      </c>
      <c r="E808" t="s">
        <v>2272</v>
      </c>
      <c r="F808" t="s">
        <v>2267</v>
      </c>
      <c r="G808" t="s">
        <v>2296</v>
      </c>
      <c r="H808" t="n">
        <v>38.8672644618713</v>
      </c>
      <c r="I808" t="n">
        <v>-104.890685551582</v>
      </c>
      <c r="J808" t="s">
        <v>4109</v>
      </c>
      <c r="K808" t="s">
        <v>120</v>
      </c>
      <c r="L808"/>
      <c r="M808" t="n">
        <v>1973</v>
      </c>
      <c r="N808" t="n">
        <v>1983</v>
      </c>
      <c r="O808" t="s">
        <v>4592</v>
      </c>
      <c r="P808" t="n">
        <v>4</v>
      </c>
      <c r="Q808" t="n">
        <v>1</v>
      </c>
      <c r="R808" t="n">
        <v>1</v>
      </c>
      <c r="S808" t="n">
        <v>1963</v>
      </c>
      <c r="T808" t="s">
        <v>4593</v>
      </c>
      <c r="U808" t="s">
        <v>4594</v>
      </c>
      <c r="V808" t="s">
        <v>74</v>
      </c>
      <c r="W808"/>
      <c r="X808"/>
      <c r="Y808"/>
      <c r="Z808"/>
      <c r="AA808"/>
      <c r="AB808"/>
      <c r="AC808"/>
      <c r="AD808"/>
      <c r="AE808"/>
      <c r="AF808"/>
      <c r="AG808"/>
    </row>
    <row r="809">
      <c r="A809" t="s">
        <v>4595</v>
      </c>
      <c r="B809" t="s">
        <v>31</v>
      </c>
      <c r="C809" t="s">
        <v>24</v>
      </c>
      <c r="D809" t="s">
        <v>4596</v>
      </c>
      <c r="E809" t="s">
        <v>2272</v>
      </c>
      <c r="F809" t="s">
        <v>2267</v>
      </c>
      <c r="G809" t="s">
        <v>4597</v>
      </c>
      <c r="H809" t="n">
        <v>38.865128</v>
      </c>
      <c r="I809" t="n">
        <v>-104.894306</v>
      </c>
      <c r="J809" t="s">
        <v>4109</v>
      </c>
      <c r="K809" t="s">
        <v>120</v>
      </c>
      <c r="L809"/>
      <c r="M809" t="n">
        <v>1980</v>
      </c>
      <c r="N809" t="n">
        <v>1980</v>
      </c>
      <c r="O809" t="s">
        <v>255</v>
      </c>
      <c r="P809" t="n">
        <v>1</v>
      </c>
      <c r="Q809" t="n">
        <v>1</v>
      </c>
      <c r="R809" t="n">
        <v>1</v>
      </c>
      <c r="S809" t="n">
        <v>1976</v>
      </c>
      <c r="T809" t="s">
        <v>4598</v>
      </c>
      <c r="U809" t="s">
        <v>4599</v>
      </c>
      <c r="V809" t="s">
        <v>74</v>
      </c>
      <c r="W809"/>
      <c r="X809"/>
      <c r="Y809"/>
      <c r="Z809"/>
      <c r="AA809"/>
      <c r="AB809"/>
      <c r="AC809"/>
      <c r="AD809"/>
      <c r="AE809"/>
      <c r="AF809"/>
      <c r="AG809"/>
    </row>
    <row r="810">
      <c r="A810" t="s">
        <v>4600</v>
      </c>
      <c r="B810" t="s">
        <v>31</v>
      </c>
      <c r="C810" t="s">
        <v>24</v>
      </c>
      <c r="D810" t="s">
        <v>4601</v>
      </c>
      <c r="E810" t="s">
        <v>4602</v>
      </c>
      <c r="F810" t="s">
        <v>2267</v>
      </c>
      <c r="G810" t="s">
        <v>4603</v>
      </c>
      <c r="H810" t="n">
        <v>39.077709</v>
      </c>
      <c r="I810" t="n">
        <v>-104.87299</v>
      </c>
      <c r="J810" t="s">
        <v>4109</v>
      </c>
      <c r="K810" t="s">
        <v>533</v>
      </c>
      <c r="L810"/>
      <c r="M810" t="n">
        <v>1980</v>
      </c>
      <c r="N810" t="n">
        <v>1990</v>
      </c>
      <c r="O810" t="s">
        <v>540</v>
      </c>
      <c r="P810" t="n">
        <v>4</v>
      </c>
      <c r="Q810" t="n">
        <v>4</v>
      </c>
      <c r="R810" t="n">
        <v>4</v>
      </c>
      <c r="S810" t="n">
        <v>1979</v>
      </c>
      <c r="T810" t="s">
        <v>4604</v>
      </c>
      <c r="U810" t="s">
        <v>4605</v>
      </c>
      <c r="V810" t="s">
        <v>74</v>
      </c>
      <c r="W810"/>
      <c r="X810"/>
      <c r="Y810"/>
      <c r="Z810"/>
      <c r="AA810"/>
      <c r="AB810"/>
      <c r="AC810"/>
      <c r="AD810"/>
      <c r="AE810"/>
      <c r="AF810"/>
      <c r="AG810"/>
    </row>
    <row r="811">
      <c r="A811" t="s">
        <v>4606</v>
      </c>
      <c r="B811" t="s">
        <v>31</v>
      </c>
      <c r="C811" t="s">
        <v>24</v>
      </c>
      <c r="D811" t="s">
        <v>4607</v>
      </c>
      <c r="E811" t="s">
        <v>2272</v>
      </c>
      <c r="F811" t="s">
        <v>2267</v>
      </c>
      <c r="G811" t="s">
        <v>4608</v>
      </c>
      <c r="H811" t="n">
        <v>38.922395</v>
      </c>
      <c r="I811" t="n">
        <v>-104.842881</v>
      </c>
      <c r="J811" t="s">
        <v>4109</v>
      </c>
      <c r="K811" t="s">
        <v>120</v>
      </c>
      <c r="L811"/>
      <c r="M811" t="n">
        <v>1988</v>
      </c>
      <c r="N811" t="n">
        <v>1992</v>
      </c>
      <c r="O811" t="s">
        <v>310</v>
      </c>
      <c r="P811" t="n">
        <v>3</v>
      </c>
      <c r="Q811" t="n">
        <v>1</v>
      </c>
      <c r="R811" t="n">
        <v>1</v>
      </c>
      <c r="S811" t="n">
        <v>1976</v>
      </c>
      <c r="T811" t="s">
        <v>4609</v>
      </c>
      <c r="U811" t="s">
        <v>4610</v>
      </c>
      <c r="V811" t="s">
        <v>74</v>
      </c>
      <c r="W811"/>
      <c r="X811"/>
      <c r="Y811"/>
      <c r="Z811"/>
      <c r="AA811"/>
      <c r="AB811"/>
      <c r="AC811"/>
      <c r="AD811"/>
      <c r="AE811"/>
      <c r="AF811" t="s">
        <v>4611</v>
      </c>
      <c r="AG811" t="n">
        <v>75</v>
      </c>
    </row>
    <row r="812">
      <c r="A812" t="s">
        <v>4612</v>
      </c>
      <c r="B812" t="s">
        <v>31</v>
      </c>
      <c r="C812" t="s">
        <v>24</v>
      </c>
      <c r="D812" t="s">
        <v>4613</v>
      </c>
      <c r="E812" t="s">
        <v>2272</v>
      </c>
      <c r="F812" t="s">
        <v>2267</v>
      </c>
      <c r="G812" t="s">
        <v>2444</v>
      </c>
      <c r="H812" t="n">
        <v>38.937002439673</v>
      </c>
      <c r="I812" t="n">
        <v>-104.846392518942</v>
      </c>
      <c r="J812" t="s">
        <v>4109</v>
      </c>
      <c r="K812" t="s">
        <v>141</v>
      </c>
      <c r="L812"/>
      <c r="M812" t="n">
        <v>1988</v>
      </c>
      <c r="N812" t="n">
        <v>1990</v>
      </c>
      <c r="O812" t="s">
        <v>310</v>
      </c>
      <c r="P812" t="n">
        <v>2</v>
      </c>
      <c r="Q812" t="n">
        <v>1</v>
      </c>
      <c r="R812" t="n">
        <v>1</v>
      </c>
      <c r="S812" t="n">
        <v>1982</v>
      </c>
      <c r="T812" t="s">
        <v>4614</v>
      </c>
      <c r="U812" t="s">
        <v>4615</v>
      </c>
      <c r="V812" t="s">
        <v>74</v>
      </c>
      <c r="W812"/>
      <c r="X812"/>
      <c r="Y812"/>
      <c r="Z812"/>
      <c r="AA812"/>
      <c r="AB812"/>
      <c r="AC812"/>
      <c r="AD812"/>
      <c r="AE812"/>
      <c r="AF812"/>
      <c r="AG812"/>
    </row>
    <row r="813">
      <c r="A813" t="s">
        <v>4616</v>
      </c>
      <c r="B813" t="s">
        <v>31</v>
      </c>
      <c r="C813" t="s">
        <v>24</v>
      </c>
      <c r="D813" t="s">
        <v>4617</v>
      </c>
      <c r="E813" t="s">
        <v>2272</v>
      </c>
      <c r="F813" t="s">
        <v>2267</v>
      </c>
      <c r="G813" t="s">
        <v>2296</v>
      </c>
      <c r="H813" t="n">
        <v>38.846748</v>
      </c>
      <c r="I813" t="n">
        <v>-104.698371</v>
      </c>
      <c r="J813" t="s">
        <v>4109</v>
      </c>
      <c r="K813" t="s">
        <v>120</v>
      </c>
      <c r="L813" t="s">
        <v>202</v>
      </c>
      <c r="M813" t="n">
        <v>1988</v>
      </c>
      <c r="N813" t="n">
        <v>1992</v>
      </c>
      <c r="O813" t="s">
        <v>320</v>
      </c>
      <c r="P813" t="n">
        <v>3</v>
      </c>
      <c r="Q813" t="n">
        <v>1</v>
      </c>
      <c r="R813" t="n">
        <v>1</v>
      </c>
      <c r="S813" t="n">
        <v>1980</v>
      </c>
      <c r="T813" t="s">
        <v>4618</v>
      </c>
      <c r="U813" t="s">
        <v>4619</v>
      </c>
      <c r="V813" t="s">
        <v>74</v>
      </c>
      <c r="W813"/>
      <c r="X813"/>
      <c r="Y813"/>
      <c r="Z813"/>
      <c r="AA813"/>
      <c r="AB813"/>
      <c r="AC813"/>
      <c r="AD813"/>
      <c r="AE813"/>
      <c r="AF813"/>
      <c r="AG813"/>
    </row>
    <row r="814">
      <c r="A814" t="s">
        <v>4620</v>
      </c>
      <c r="B814" t="s">
        <v>31</v>
      </c>
      <c r="C814" t="s">
        <v>24</v>
      </c>
      <c r="D814" t="s">
        <v>4621</v>
      </c>
      <c r="E814" t="s">
        <v>4602</v>
      </c>
      <c r="F814" t="s">
        <v>2267</v>
      </c>
      <c r="G814" t="s">
        <v>4622</v>
      </c>
      <c r="H814" t="n">
        <v>39.1004223153114</v>
      </c>
      <c r="I814" t="n">
        <v>-104.867442114554</v>
      </c>
      <c r="J814" t="s">
        <v>4109</v>
      </c>
      <c r="K814" t="s">
        <v>120</v>
      </c>
      <c r="L814"/>
      <c r="M814" t="n">
        <v>1988</v>
      </c>
      <c r="N814" t="n">
        <v>1992</v>
      </c>
      <c r="O814" t="s">
        <v>320</v>
      </c>
      <c r="P814" t="n">
        <v>3</v>
      </c>
      <c r="Q814" t="n">
        <v>1</v>
      </c>
      <c r="R814" t="n">
        <v>1</v>
      </c>
      <c r="S814" t="n">
        <v>1982</v>
      </c>
      <c r="T814" t="s">
        <v>4623</v>
      </c>
      <c r="U814" t="s">
        <v>4624</v>
      </c>
      <c r="V814" t="s">
        <v>74</v>
      </c>
      <c r="W814"/>
      <c r="X814"/>
      <c r="Y814"/>
      <c r="Z814"/>
      <c r="AA814"/>
      <c r="AB814"/>
      <c r="AC814"/>
      <c r="AD814"/>
      <c r="AE814"/>
      <c r="AF814"/>
      <c r="AG814"/>
    </row>
    <row r="815">
      <c r="A815" t="s">
        <v>4625</v>
      </c>
      <c r="B815" t="s">
        <v>31</v>
      </c>
      <c r="C815" t="s">
        <v>24</v>
      </c>
      <c r="D815" t="s">
        <v>4626</v>
      </c>
      <c r="E815" t="s">
        <v>4627</v>
      </c>
      <c r="F815" t="s">
        <v>2667</v>
      </c>
      <c r="G815" t="s">
        <v>4628</v>
      </c>
      <c r="H815" t="n">
        <v>39.547026</v>
      </c>
      <c r="I815" t="n">
        <v>-107.659095</v>
      </c>
      <c r="J815" t="s">
        <v>4109</v>
      </c>
      <c r="K815" t="s">
        <v>70</v>
      </c>
      <c r="L815"/>
      <c r="M815" t="n">
        <v>1974</v>
      </c>
      <c r="N815" t="n">
        <v>1990</v>
      </c>
      <c r="O815" t="s">
        <v>264</v>
      </c>
      <c r="P815" t="n">
        <v>4</v>
      </c>
      <c r="Q815" t="n">
        <v>3</v>
      </c>
      <c r="R815" t="n">
        <v>1</v>
      </c>
      <c r="S815" t="n">
        <v>1973</v>
      </c>
      <c r="T815" t="s">
        <v>4629</v>
      </c>
      <c r="U815" t="s">
        <v>4630</v>
      </c>
      <c r="V815" t="s">
        <v>74</v>
      </c>
      <c r="W815"/>
      <c r="X815"/>
      <c r="Y815"/>
      <c r="Z815"/>
      <c r="AA815"/>
      <c r="AB815"/>
      <c r="AC815"/>
      <c r="AD815"/>
      <c r="AE815"/>
      <c r="AF815"/>
      <c r="AG815"/>
    </row>
    <row r="816">
      <c r="A816" t="s">
        <v>4631</v>
      </c>
      <c r="B816" t="s">
        <v>31</v>
      </c>
      <c r="C816" t="s">
        <v>24</v>
      </c>
      <c r="D816" t="s">
        <v>4632</v>
      </c>
      <c r="E816" t="s">
        <v>4633</v>
      </c>
      <c r="F816" t="s">
        <v>4634</v>
      </c>
      <c r="G816" t="s">
        <v>4635</v>
      </c>
      <c r="H816" t="n">
        <v>40.108915</v>
      </c>
      <c r="I816" t="n">
        <v>-105.895028</v>
      </c>
      <c r="J816" t="s">
        <v>4109</v>
      </c>
      <c r="K816" t="s">
        <v>282</v>
      </c>
      <c r="L816" t="s">
        <v>98</v>
      </c>
      <c r="M816" t="n">
        <v>1988</v>
      </c>
      <c r="N816" t="n">
        <v>1990</v>
      </c>
      <c r="O816" t="s">
        <v>310</v>
      </c>
      <c r="P816" t="n">
        <v>2</v>
      </c>
      <c r="Q816" t="n">
        <v>1</v>
      </c>
      <c r="R816" t="n">
        <v>1</v>
      </c>
      <c r="S816" t="n">
        <v>1967</v>
      </c>
      <c r="T816" t="s">
        <v>4636</v>
      </c>
      <c r="U816" t="s">
        <v>4637</v>
      </c>
      <c r="V816" t="s">
        <v>74</v>
      </c>
      <c r="W816"/>
      <c r="X816"/>
      <c r="Y816"/>
      <c r="Z816"/>
      <c r="AA816"/>
      <c r="AB816"/>
      <c r="AC816"/>
      <c r="AD816"/>
      <c r="AE816"/>
      <c r="AF816"/>
      <c r="AG816"/>
    </row>
    <row r="817">
      <c r="A817" t="s">
        <v>4638</v>
      </c>
      <c r="B817" t="s">
        <v>31</v>
      </c>
      <c r="C817" t="s">
        <v>24</v>
      </c>
      <c r="D817" t="s">
        <v>4639</v>
      </c>
      <c r="E817" t="s">
        <v>2682</v>
      </c>
      <c r="F817" t="s">
        <v>2683</v>
      </c>
      <c r="G817" t="s">
        <v>2684</v>
      </c>
      <c r="H817" t="n">
        <v>38.6087223478343</v>
      </c>
      <c r="I817" t="n">
        <v>-106.945935051268</v>
      </c>
      <c r="J817" t="s">
        <v>4109</v>
      </c>
      <c r="K817" t="s">
        <v>70</v>
      </c>
      <c r="L817"/>
      <c r="M817" t="n">
        <v>1977</v>
      </c>
      <c r="N817" t="n">
        <v>1977</v>
      </c>
      <c r="O817" t="s">
        <v>228</v>
      </c>
      <c r="P817" t="n">
        <v>1</v>
      </c>
      <c r="Q817" t="n">
        <v>1</v>
      </c>
      <c r="R817" t="n">
        <v>1</v>
      </c>
      <c r="S817" t="n">
        <v>1977</v>
      </c>
      <c r="T817" t="s">
        <v>4640</v>
      </c>
      <c r="U817" t="s">
        <v>4641</v>
      </c>
      <c r="V817" t="s">
        <v>74</v>
      </c>
      <c r="W817"/>
      <c r="X817"/>
      <c r="Y817"/>
      <c r="Z817"/>
      <c r="AA817"/>
      <c r="AB817"/>
      <c r="AC817"/>
      <c r="AD817"/>
      <c r="AE817"/>
      <c r="AF817"/>
      <c r="AG817"/>
    </row>
    <row r="818">
      <c r="A818" t="s">
        <v>4642</v>
      </c>
      <c r="B818" t="s">
        <v>31</v>
      </c>
      <c r="C818" t="s">
        <v>24</v>
      </c>
      <c r="D818" t="s">
        <v>4643</v>
      </c>
      <c r="E818" t="s">
        <v>2710</v>
      </c>
      <c r="F818" t="s">
        <v>2711</v>
      </c>
      <c r="G818" t="s">
        <v>2712</v>
      </c>
      <c r="H818" t="n">
        <v>37.6250454551046</v>
      </c>
      <c r="I818" t="n">
        <v>-104.783556148831</v>
      </c>
      <c r="J818" t="s">
        <v>35</v>
      </c>
      <c r="K818" t="s">
        <v>120</v>
      </c>
      <c r="L818"/>
      <c r="M818" t="n">
        <v>1966</v>
      </c>
      <c r="N818" t="n">
        <v>1973</v>
      </c>
      <c r="O818" t="s">
        <v>1349</v>
      </c>
      <c r="P818" t="n">
        <v>4</v>
      </c>
      <c r="Q818" t="n">
        <v>2</v>
      </c>
      <c r="R818" t="n">
        <v>1</v>
      </c>
      <c r="S818" t="n">
        <v>1915</v>
      </c>
      <c r="T818" t="s">
        <v>4644</v>
      </c>
      <c r="U818" t="s">
        <v>4645</v>
      </c>
      <c r="V818" t="s">
        <v>4175</v>
      </c>
      <c r="W818"/>
      <c r="X818"/>
      <c r="Y818"/>
      <c r="Z818"/>
      <c r="AA818"/>
      <c r="AB818" t="s">
        <v>4646</v>
      </c>
      <c r="AC818" t="n">
        <v>182</v>
      </c>
      <c r="AD818"/>
      <c r="AE818"/>
      <c r="AF818"/>
      <c r="AG818"/>
    </row>
    <row r="819">
      <c r="A819" t="s">
        <v>4647</v>
      </c>
      <c r="B819" t="s">
        <v>31</v>
      </c>
      <c r="C819" t="s">
        <v>24</v>
      </c>
      <c r="D819" t="s">
        <v>4648</v>
      </c>
      <c r="E819" t="s">
        <v>2748</v>
      </c>
      <c r="F819" t="s">
        <v>2724</v>
      </c>
      <c r="G819" t="s">
        <v>2856</v>
      </c>
      <c r="H819" t="n">
        <v>39.7468056326531</v>
      </c>
      <c r="I819" t="n">
        <v>-105.062593142857</v>
      </c>
      <c r="J819" t="s">
        <v>4109</v>
      </c>
      <c r="K819" t="s">
        <v>141</v>
      </c>
      <c r="L819"/>
      <c r="M819" t="n">
        <v>1966</v>
      </c>
      <c r="N819" t="n">
        <v>1970</v>
      </c>
      <c r="O819" t="s">
        <v>1556</v>
      </c>
      <c r="P819" t="n">
        <v>3</v>
      </c>
      <c r="Q819" t="n">
        <v>2</v>
      </c>
      <c r="R819" t="n">
        <v>1</v>
      </c>
      <c r="S819" t="n">
        <v>1958</v>
      </c>
      <c r="T819" t="s">
        <v>4649</v>
      </c>
      <c r="U819" t="s">
        <v>4650</v>
      </c>
      <c r="V819" t="s">
        <v>74</v>
      </c>
      <c r="W819"/>
      <c r="X819"/>
      <c r="Y819"/>
      <c r="Z819"/>
      <c r="AA819"/>
      <c r="AB819"/>
      <c r="AC819"/>
      <c r="AD819"/>
      <c r="AE819"/>
      <c r="AF819" t="s">
        <v>4651</v>
      </c>
      <c r="AG819" t="n">
        <v>95</v>
      </c>
    </row>
    <row r="820">
      <c r="A820" t="s">
        <v>4652</v>
      </c>
      <c r="B820" t="s">
        <v>31</v>
      </c>
      <c r="C820" t="s">
        <v>24</v>
      </c>
      <c r="D820" t="s">
        <v>4653</v>
      </c>
      <c r="E820" t="s">
        <v>2723</v>
      </c>
      <c r="F820" t="s">
        <v>2724</v>
      </c>
      <c r="G820" t="s">
        <v>2778</v>
      </c>
      <c r="H820" t="n">
        <v>39.7347810384615</v>
      </c>
      <c r="I820" t="n">
        <v>-105.137710615385</v>
      </c>
      <c r="J820" t="s">
        <v>4109</v>
      </c>
      <c r="K820" t="s">
        <v>120</v>
      </c>
      <c r="L820"/>
      <c r="M820" t="n">
        <v>1966</v>
      </c>
      <c r="N820" t="n">
        <v>1973</v>
      </c>
      <c r="O820" t="s">
        <v>2736</v>
      </c>
      <c r="P820" t="n">
        <v>3</v>
      </c>
      <c r="Q820" t="n">
        <v>2</v>
      </c>
      <c r="R820" t="n">
        <v>2</v>
      </c>
      <c r="S820" t="n">
        <v>1960</v>
      </c>
      <c r="T820" t="s">
        <v>4654</v>
      </c>
      <c r="U820" t="s">
        <v>4655</v>
      </c>
      <c r="V820" t="s">
        <v>74</v>
      </c>
      <c r="W820"/>
      <c r="X820"/>
      <c r="Y820"/>
      <c r="Z820"/>
      <c r="AA820"/>
      <c r="AB820"/>
      <c r="AC820"/>
      <c r="AD820"/>
      <c r="AE820"/>
      <c r="AF820"/>
      <c r="AG820"/>
    </row>
    <row r="821">
      <c r="A821" t="s">
        <v>4656</v>
      </c>
      <c r="B821" t="s">
        <v>31</v>
      </c>
      <c r="C821" t="s">
        <v>24</v>
      </c>
      <c r="D821" t="s">
        <v>4657</v>
      </c>
      <c r="E821" t="s">
        <v>2748</v>
      </c>
      <c r="F821" t="s">
        <v>2724</v>
      </c>
      <c r="G821" t="s">
        <v>2856</v>
      </c>
      <c r="H821" t="n">
        <v>39.7343151380471</v>
      </c>
      <c r="I821" t="n">
        <v>-105.06260389899</v>
      </c>
      <c r="J821" t="s">
        <v>4109</v>
      </c>
      <c r="K821" t="s">
        <v>220</v>
      </c>
      <c r="L821"/>
      <c r="M821" t="n">
        <v>1966</v>
      </c>
      <c r="N821" t="n">
        <v>1992</v>
      </c>
      <c r="O821" t="s">
        <v>4658</v>
      </c>
      <c r="P821" t="n">
        <v>11</v>
      </c>
      <c r="Q821" t="n">
        <v>10</v>
      </c>
      <c r="R821" t="n">
        <v>7</v>
      </c>
      <c r="S821" t="n">
        <v>1955</v>
      </c>
      <c r="T821" t="s">
        <v>4659</v>
      </c>
      <c r="U821" t="s">
        <v>4660</v>
      </c>
      <c r="V821" t="s">
        <v>74</v>
      </c>
      <c r="W821"/>
      <c r="X821"/>
      <c r="Y821"/>
      <c r="Z821"/>
      <c r="AA821"/>
      <c r="AB821" t="s">
        <v>2869</v>
      </c>
      <c r="AC821" t="n">
        <v>179</v>
      </c>
      <c r="AD821" t="s">
        <v>2870</v>
      </c>
      <c r="AE821" t="n">
        <v>233</v>
      </c>
      <c r="AF821" t="s">
        <v>2871</v>
      </c>
      <c r="AG821" t="n">
        <v>162</v>
      </c>
    </row>
    <row r="822">
      <c r="A822" t="s">
        <v>4661</v>
      </c>
      <c r="B822" t="s">
        <v>31</v>
      </c>
      <c r="C822" t="s">
        <v>24</v>
      </c>
      <c r="D822" t="s">
        <v>4662</v>
      </c>
      <c r="E822" t="s">
        <v>2748</v>
      </c>
      <c r="F822" t="s">
        <v>2724</v>
      </c>
      <c r="G822" t="s">
        <v>2749</v>
      </c>
      <c r="H822" t="n">
        <v>39.738455</v>
      </c>
      <c r="I822" t="n">
        <v>-105.075462</v>
      </c>
      <c r="J822" t="s">
        <v>4109</v>
      </c>
      <c r="K822" t="s">
        <v>97</v>
      </c>
      <c r="L822" t="s">
        <v>98</v>
      </c>
      <c r="M822" t="n">
        <v>1966</v>
      </c>
      <c r="N822" t="n">
        <v>1968</v>
      </c>
      <c r="O822" t="s">
        <v>2764</v>
      </c>
      <c r="P822" t="n">
        <v>3</v>
      </c>
      <c r="Q822" t="n">
        <v>1</v>
      </c>
      <c r="R822" t="n">
        <v>1</v>
      </c>
      <c r="S822" t="n">
        <v>1962</v>
      </c>
      <c r="T822" t="s">
        <v>4663</v>
      </c>
      <c r="U822" t="s">
        <v>4664</v>
      </c>
      <c r="V822" t="s">
        <v>74</v>
      </c>
      <c r="W822"/>
      <c r="X822"/>
      <c r="Y822"/>
      <c r="Z822"/>
      <c r="AA822"/>
      <c r="AB822"/>
      <c r="AC822"/>
      <c r="AD822"/>
      <c r="AE822"/>
      <c r="AF822" t="s">
        <v>4665</v>
      </c>
      <c r="AG822" t="n">
        <v>168</v>
      </c>
    </row>
    <row r="823">
      <c r="A823" t="s">
        <v>4666</v>
      </c>
      <c r="B823" t="s">
        <v>31</v>
      </c>
      <c r="C823" t="s">
        <v>24</v>
      </c>
      <c r="D823" t="s">
        <v>4667</v>
      </c>
      <c r="E823" t="s">
        <v>2729</v>
      </c>
      <c r="F823" t="s">
        <v>2724</v>
      </c>
      <c r="G823" t="s">
        <v>2730</v>
      </c>
      <c r="H823" t="n">
        <v>39.8705347142857</v>
      </c>
      <c r="I823" t="n">
        <v>-105.062432857143</v>
      </c>
      <c r="J823" t="s">
        <v>4109</v>
      </c>
      <c r="K823" t="s">
        <v>133</v>
      </c>
      <c r="L823"/>
      <c r="M823" t="n">
        <v>1967</v>
      </c>
      <c r="N823" t="n">
        <v>1967</v>
      </c>
      <c r="O823" t="s">
        <v>388</v>
      </c>
      <c r="P823" t="n">
        <v>1</v>
      </c>
      <c r="Q823" t="n">
        <v>1</v>
      </c>
      <c r="R823" t="n">
        <v>1</v>
      </c>
      <c r="S823" t="n">
        <v>1965</v>
      </c>
      <c r="T823" t="s">
        <v>4668</v>
      </c>
      <c r="U823" t="s">
        <v>4669</v>
      </c>
      <c r="V823" t="s">
        <v>74</v>
      </c>
      <c r="W823"/>
      <c r="X823"/>
      <c r="Y823"/>
      <c r="Z823"/>
      <c r="AA823"/>
      <c r="AB823"/>
      <c r="AC823"/>
      <c r="AD823"/>
      <c r="AE823"/>
      <c r="AF823"/>
      <c r="AG823"/>
    </row>
    <row r="824">
      <c r="A824" t="s">
        <v>4670</v>
      </c>
      <c r="B824" t="s">
        <v>31</v>
      </c>
      <c r="C824" t="s">
        <v>24</v>
      </c>
      <c r="D824" t="s">
        <v>4671</v>
      </c>
      <c r="E824" t="s">
        <v>2748</v>
      </c>
      <c r="F824" t="s">
        <v>2724</v>
      </c>
      <c r="G824" t="s">
        <v>2763</v>
      </c>
      <c r="H824" t="n">
        <v>39.7207200241853</v>
      </c>
      <c r="I824" t="n">
        <v>-105.065062632115</v>
      </c>
      <c r="J824" t="s">
        <v>4109</v>
      </c>
      <c r="K824" t="s">
        <v>70</v>
      </c>
      <c r="L824"/>
      <c r="M824" t="n">
        <v>1967</v>
      </c>
      <c r="N824" t="n">
        <v>1968</v>
      </c>
      <c r="O824" t="s">
        <v>106</v>
      </c>
      <c r="P824" t="n">
        <v>2</v>
      </c>
      <c r="Q824" t="n">
        <v>2</v>
      </c>
      <c r="R824" t="n">
        <v>2</v>
      </c>
      <c r="S824"/>
      <c r="T824" t="s">
        <v>4672</v>
      </c>
      <c r="U824" t="s">
        <v>4673</v>
      </c>
      <c r="V824" t="s">
        <v>74</v>
      </c>
      <c r="W824"/>
      <c r="X824"/>
      <c r="Y824"/>
      <c r="Z824"/>
      <c r="AA824"/>
      <c r="AB824"/>
      <c r="AC824"/>
      <c r="AD824"/>
      <c r="AE824"/>
      <c r="AF824" t="s">
        <v>4674</v>
      </c>
      <c r="AG824" t="n">
        <v>106</v>
      </c>
    </row>
    <row r="825">
      <c r="A825" t="s">
        <v>4675</v>
      </c>
      <c r="B825" t="s">
        <v>31</v>
      </c>
      <c r="C825" t="s">
        <v>24</v>
      </c>
      <c r="D825" t="s">
        <v>4676</v>
      </c>
      <c r="E825" t="s">
        <v>2729</v>
      </c>
      <c r="F825" t="s">
        <v>2724</v>
      </c>
      <c r="G825" t="s">
        <v>2730</v>
      </c>
      <c r="H825" t="n">
        <v>39.87591</v>
      </c>
      <c r="I825" t="n">
        <v>-105.050156</v>
      </c>
      <c r="J825" t="s">
        <v>4109</v>
      </c>
      <c r="K825" t="s">
        <v>270</v>
      </c>
      <c r="L825"/>
      <c r="M825" t="n">
        <v>1968</v>
      </c>
      <c r="N825" t="n">
        <v>1980</v>
      </c>
      <c r="O825" t="s">
        <v>1640</v>
      </c>
      <c r="P825" t="n">
        <v>3</v>
      </c>
      <c r="Q825" t="n">
        <v>2</v>
      </c>
      <c r="R825" t="n">
        <v>2</v>
      </c>
      <c r="S825" t="n">
        <v>1954</v>
      </c>
      <c r="T825" t="s">
        <v>4677</v>
      </c>
      <c r="U825" t="s">
        <v>4678</v>
      </c>
      <c r="V825" t="s">
        <v>74</v>
      </c>
      <c r="W825"/>
      <c r="X825"/>
      <c r="Y825"/>
      <c r="Z825"/>
      <c r="AA825"/>
      <c r="AB825"/>
      <c r="AC825"/>
      <c r="AD825"/>
      <c r="AE825"/>
      <c r="AF825"/>
      <c r="AG825"/>
    </row>
    <row r="826">
      <c r="A826" t="s">
        <v>4679</v>
      </c>
      <c r="B826" t="s">
        <v>31</v>
      </c>
      <c r="C826" t="s">
        <v>24</v>
      </c>
      <c r="D826" t="s">
        <v>4680</v>
      </c>
      <c r="E826" t="s">
        <v>2748</v>
      </c>
      <c r="F826" t="s">
        <v>2724</v>
      </c>
      <c r="G826" t="s">
        <v>2749</v>
      </c>
      <c r="H826" t="n">
        <v>39.7423492214765</v>
      </c>
      <c r="I826" t="n">
        <v>-105.09310742953</v>
      </c>
      <c r="J826" t="s">
        <v>4109</v>
      </c>
      <c r="K826" t="s">
        <v>70</v>
      </c>
      <c r="L826"/>
      <c r="M826" t="n">
        <v>1973</v>
      </c>
      <c r="N826" t="n">
        <v>1973</v>
      </c>
      <c r="O826" t="s">
        <v>121</v>
      </c>
      <c r="P826" t="n">
        <v>1</v>
      </c>
      <c r="Q826" t="n">
        <v>1</v>
      </c>
      <c r="R826" t="n">
        <v>1</v>
      </c>
      <c r="S826" t="n">
        <v>1971</v>
      </c>
      <c r="T826" t="s">
        <v>4681</v>
      </c>
      <c r="U826" t="s">
        <v>4682</v>
      </c>
      <c r="V826" t="s">
        <v>74</v>
      </c>
      <c r="W826"/>
      <c r="X826"/>
      <c r="Y826"/>
      <c r="Z826"/>
      <c r="AA826"/>
      <c r="AB826"/>
      <c r="AC826"/>
      <c r="AD826"/>
      <c r="AE826"/>
      <c r="AF826" t="s">
        <v>4683</v>
      </c>
      <c r="AG826" t="n">
        <v>57</v>
      </c>
    </row>
    <row r="827">
      <c r="A827" t="s">
        <v>4684</v>
      </c>
      <c r="B827" t="s">
        <v>31</v>
      </c>
      <c r="C827" t="s">
        <v>24</v>
      </c>
      <c r="D827" t="s">
        <v>4685</v>
      </c>
      <c r="E827" t="s">
        <v>2748</v>
      </c>
      <c r="F827" t="s">
        <v>2724</v>
      </c>
      <c r="G827" t="s">
        <v>2749</v>
      </c>
      <c r="H827" t="n">
        <v>39.743923952381</v>
      </c>
      <c r="I827" t="n">
        <v>-105.080183952381</v>
      </c>
      <c r="J827" t="s">
        <v>35</v>
      </c>
      <c r="K827" t="s">
        <v>89</v>
      </c>
      <c r="L827"/>
      <c r="M827" t="n">
        <v>1973</v>
      </c>
      <c r="N827" t="n">
        <v>1983</v>
      </c>
      <c r="O827" t="s">
        <v>121</v>
      </c>
      <c r="P827" t="n">
        <v>3</v>
      </c>
      <c r="Q827" t="n">
        <v>2</v>
      </c>
      <c r="R827" t="n">
        <v>1</v>
      </c>
      <c r="S827" t="n">
        <v>1954</v>
      </c>
      <c r="T827" t="s">
        <v>4686</v>
      </c>
      <c r="U827" t="s">
        <v>4687</v>
      </c>
      <c r="V827" t="s">
        <v>4175</v>
      </c>
      <c r="W827"/>
      <c r="X827"/>
      <c r="Y827"/>
      <c r="Z827"/>
      <c r="AA827"/>
      <c r="AB827"/>
      <c r="AC827"/>
      <c r="AD827"/>
      <c r="AE827"/>
      <c r="AF827" t="s">
        <v>4688</v>
      </c>
      <c r="AG827" t="n">
        <v>100</v>
      </c>
    </row>
    <row r="828">
      <c r="A828" t="s">
        <v>4689</v>
      </c>
      <c r="B828" t="s">
        <v>31</v>
      </c>
      <c r="C828" t="s">
        <v>24</v>
      </c>
      <c r="D828" t="s">
        <v>4690</v>
      </c>
      <c r="E828" t="s">
        <v>2729</v>
      </c>
      <c r="F828" t="s">
        <v>2724</v>
      </c>
      <c r="G828" t="s">
        <v>2919</v>
      </c>
      <c r="H828" t="n">
        <v>39.8757388359195</v>
      </c>
      <c r="I828" t="n">
        <v>-105.070446949015</v>
      </c>
      <c r="J828" t="s">
        <v>4109</v>
      </c>
      <c r="K828" t="s">
        <v>70</v>
      </c>
      <c r="L828"/>
      <c r="M828" t="n">
        <v>1974</v>
      </c>
      <c r="N828" t="n">
        <v>1980</v>
      </c>
      <c r="O828" t="s">
        <v>255</v>
      </c>
      <c r="P828" t="n">
        <v>2</v>
      </c>
      <c r="Q828" t="n">
        <v>3</v>
      </c>
      <c r="R828" t="n">
        <v>1</v>
      </c>
      <c r="S828" t="n">
        <v>1969</v>
      </c>
      <c r="T828" t="s">
        <v>4691</v>
      </c>
      <c r="U828" t="s">
        <v>4692</v>
      </c>
      <c r="V828" t="s">
        <v>74</v>
      </c>
      <c r="W828"/>
      <c r="X828"/>
      <c r="Y828"/>
      <c r="Z828"/>
      <c r="AA828"/>
      <c r="AB828"/>
      <c r="AC828"/>
      <c r="AD828"/>
      <c r="AE828"/>
      <c r="AF828"/>
      <c r="AG828"/>
    </row>
    <row r="829">
      <c r="A829" t="s">
        <v>4693</v>
      </c>
      <c r="B829" t="s">
        <v>31</v>
      </c>
      <c r="C829" t="s">
        <v>24</v>
      </c>
      <c r="D829" t="s">
        <v>4694</v>
      </c>
      <c r="E829" t="s">
        <v>2723</v>
      </c>
      <c r="F829" t="s">
        <v>2724</v>
      </c>
      <c r="G829" t="s">
        <v>2778</v>
      </c>
      <c r="H829" t="n">
        <v>39.727328</v>
      </c>
      <c r="I829" t="n">
        <v>-105.161129</v>
      </c>
      <c r="J829" t="s">
        <v>4109</v>
      </c>
      <c r="K829" t="s">
        <v>120</v>
      </c>
      <c r="L829"/>
      <c r="M829" t="n">
        <v>1974</v>
      </c>
      <c r="N829" t="n">
        <v>1990</v>
      </c>
      <c r="O829" t="s">
        <v>528</v>
      </c>
      <c r="P829" t="n">
        <v>5</v>
      </c>
      <c r="Q829" t="n">
        <v>2</v>
      </c>
      <c r="R829" t="n">
        <v>2</v>
      </c>
      <c r="S829" t="n">
        <v>1952</v>
      </c>
      <c r="T829" t="s">
        <v>4695</v>
      </c>
      <c r="U829" t="s">
        <v>4696</v>
      </c>
      <c r="V829" t="s">
        <v>74</v>
      </c>
      <c r="W829"/>
      <c r="X829"/>
      <c r="Y829"/>
      <c r="Z829"/>
      <c r="AA829"/>
      <c r="AB829"/>
      <c r="AC829"/>
      <c r="AD829"/>
      <c r="AE829"/>
      <c r="AF829"/>
      <c r="AG829"/>
    </row>
    <row r="830">
      <c r="A830" t="s">
        <v>4697</v>
      </c>
      <c r="B830" t="s">
        <v>31</v>
      </c>
      <c r="C830" t="s">
        <v>24</v>
      </c>
      <c r="D830" t="s">
        <v>4698</v>
      </c>
      <c r="E830" t="s">
        <v>2748</v>
      </c>
      <c r="F830" t="s">
        <v>2724</v>
      </c>
      <c r="G830" t="s">
        <v>2749</v>
      </c>
      <c r="H830" t="n">
        <v>39.7480951111111</v>
      </c>
      <c r="I830" t="n">
        <v>-105.089587777778</v>
      </c>
      <c r="J830" t="s">
        <v>4109</v>
      </c>
      <c r="K830" t="s">
        <v>315</v>
      </c>
      <c r="L830"/>
      <c r="M830" t="n">
        <v>1974</v>
      </c>
      <c r="N830" t="n">
        <v>1977</v>
      </c>
      <c r="O830" t="s">
        <v>1830</v>
      </c>
      <c r="P830" t="n">
        <v>2</v>
      </c>
      <c r="Q830" t="n">
        <v>1</v>
      </c>
      <c r="R830" t="n">
        <v>1</v>
      </c>
      <c r="S830" t="n">
        <v>1968</v>
      </c>
      <c r="T830" t="s">
        <v>4699</v>
      </c>
      <c r="U830" t="s">
        <v>4700</v>
      </c>
      <c r="V830" t="s">
        <v>74</v>
      </c>
      <c r="W830"/>
      <c r="X830"/>
      <c r="Y830"/>
      <c r="Z830"/>
      <c r="AA830"/>
      <c r="AB830"/>
      <c r="AC830"/>
      <c r="AD830"/>
      <c r="AE830"/>
      <c r="AF830"/>
      <c r="AG830"/>
    </row>
    <row r="831">
      <c r="A831" t="s">
        <v>4701</v>
      </c>
      <c r="B831" t="s">
        <v>31</v>
      </c>
      <c r="C831" t="s">
        <v>24</v>
      </c>
      <c r="D831" t="s">
        <v>4702</v>
      </c>
      <c r="E831" t="s">
        <v>2748</v>
      </c>
      <c r="F831" t="s">
        <v>2724</v>
      </c>
      <c r="G831" t="s">
        <v>2851</v>
      </c>
      <c r="H831" t="n">
        <v>39.669901</v>
      </c>
      <c r="I831" t="n">
        <v>-105.106613</v>
      </c>
      <c r="J831" t="s">
        <v>4109</v>
      </c>
      <c r="K831" t="s">
        <v>89</v>
      </c>
      <c r="L831"/>
      <c r="M831" t="n">
        <v>1974</v>
      </c>
      <c r="N831" t="n">
        <v>1980</v>
      </c>
      <c r="O831" t="s">
        <v>221</v>
      </c>
      <c r="P831" t="n">
        <v>3</v>
      </c>
      <c r="Q831" t="n">
        <v>2</v>
      </c>
      <c r="R831" t="n">
        <v>1</v>
      </c>
      <c r="S831" t="n">
        <v>1929</v>
      </c>
      <c r="T831" t="s">
        <v>4703</v>
      </c>
      <c r="U831" t="s">
        <v>4704</v>
      </c>
      <c r="V831" t="s">
        <v>74</v>
      </c>
      <c r="W831"/>
      <c r="X831"/>
      <c r="Y831"/>
      <c r="Z831"/>
      <c r="AA831"/>
      <c r="AB831"/>
      <c r="AC831"/>
      <c r="AD831"/>
      <c r="AE831"/>
      <c r="AF831"/>
      <c r="AG831"/>
    </row>
    <row r="832">
      <c r="A832" t="s">
        <v>4705</v>
      </c>
      <c r="B832" t="s">
        <v>31</v>
      </c>
      <c r="C832" t="s">
        <v>24</v>
      </c>
      <c r="D832" t="s">
        <v>4706</v>
      </c>
      <c r="E832" t="s">
        <v>2729</v>
      </c>
      <c r="F832" t="s">
        <v>2724</v>
      </c>
      <c r="G832" t="s">
        <v>2730</v>
      </c>
      <c r="H832" t="n">
        <v>39.873959</v>
      </c>
      <c r="I832" t="n">
        <v>-105.106568</v>
      </c>
      <c r="J832" t="s">
        <v>4109</v>
      </c>
      <c r="K832" t="s">
        <v>89</v>
      </c>
      <c r="L832"/>
      <c r="M832" t="n">
        <v>1977</v>
      </c>
      <c r="N832" t="n">
        <v>1977</v>
      </c>
      <c r="O832" t="s">
        <v>228</v>
      </c>
      <c r="P832" t="n">
        <v>1</v>
      </c>
      <c r="Q832" t="n">
        <v>1</v>
      </c>
      <c r="R832" t="n">
        <v>1</v>
      </c>
      <c r="S832" t="n">
        <v>1954</v>
      </c>
      <c r="T832" t="s">
        <v>4707</v>
      </c>
      <c r="U832" t="s">
        <v>4708</v>
      </c>
      <c r="V832" t="s">
        <v>74</v>
      </c>
      <c r="W832"/>
      <c r="X832"/>
      <c r="Y832"/>
      <c r="Z832"/>
      <c r="AA832"/>
      <c r="AB832"/>
      <c r="AC832"/>
      <c r="AD832"/>
      <c r="AE832"/>
      <c r="AF832"/>
      <c r="AG832"/>
    </row>
    <row r="833">
      <c r="A833" t="s">
        <v>4709</v>
      </c>
      <c r="B833" t="s">
        <v>31</v>
      </c>
      <c r="C833" t="s">
        <v>24</v>
      </c>
      <c r="D833" t="s">
        <v>4710</v>
      </c>
      <c r="E833" t="s">
        <v>2729</v>
      </c>
      <c r="F833" t="s">
        <v>2724</v>
      </c>
      <c r="G833" t="s">
        <v>2952</v>
      </c>
      <c r="H833" t="n">
        <v>39.8526721202913</v>
      </c>
      <c r="I833" t="n">
        <v>-105.072256735727</v>
      </c>
      <c r="J833" t="s">
        <v>4109</v>
      </c>
      <c r="K833" t="s">
        <v>120</v>
      </c>
      <c r="L833"/>
      <c r="M833" t="n">
        <v>1980</v>
      </c>
      <c r="N833" t="n">
        <v>1980</v>
      </c>
      <c r="O833" t="s">
        <v>255</v>
      </c>
      <c r="P833" t="n">
        <v>1</v>
      </c>
      <c r="Q833" t="n">
        <v>1</v>
      </c>
      <c r="R833" t="n">
        <v>1</v>
      </c>
      <c r="S833" t="n">
        <v>1975</v>
      </c>
      <c r="T833" t="s">
        <v>4711</v>
      </c>
      <c r="U833" t="s">
        <v>4712</v>
      </c>
      <c r="V833" t="s">
        <v>74</v>
      </c>
      <c r="W833"/>
      <c r="X833"/>
      <c r="Y833"/>
      <c r="Z833"/>
      <c r="AA833"/>
      <c r="AB833"/>
      <c r="AC833"/>
      <c r="AD833"/>
      <c r="AE833"/>
      <c r="AF833"/>
      <c r="AG833"/>
    </row>
    <row r="834">
      <c r="A834" t="s">
        <v>4713</v>
      </c>
      <c r="B834" t="s">
        <v>31</v>
      </c>
      <c r="C834" t="s">
        <v>24</v>
      </c>
      <c r="D834" t="s">
        <v>4714</v>
      </c>
      <c r="E834" t="s">
        <v>2729</v>
      </c>
      <c r="F834" t="s">
        <v>2724</v>
      </c>
      <c r="G834" t="s">
        <v>2730</v>
      </c>
      <c r="H834" t="n">
        <v>39.7655312653061</v>
      </c>
      <c r="I834" t="n">
        <v>-105.062625938775</v>
      </c>
      <c r="J834" t="s">
        <v>4109</v>
      </c>
      <c r="K834" t="s">
        <v>120</v>
      </c>
      <c r="L834"/>
      <c r="M834" t="n">
        <v>1980</v>
      </c>
      <c r="N834" t="n">
        <v>1983</v>
      </c>
      <c r="O834" t="s">
        <v>264</v>
      </c>
      <c r="P834" t="n">
        <v>2</v>
      </c>
      <c r="Q834" t="n">
        <v>2</v>
      </c>
      <c r="R834" t="n">
        <v>1</v>
      </c>
      <c r="S834" t="n">
        <v>1931</v>
      </c>
      <c r="T834" t="s">
        <v>4715</v>
      </c>
      <c r="U834" t="s">
        <v>4716</v>
      </c>
      <c r="V834" t="s">
        <v>74</v>
      </c>
      <c r="W834"/>
      <c r="X834"/>
      <c r="Y834"/>
      <c r="Z834"/>
      <c r="AA834"/>
      <c r="AB834"/>
      <c r="AC834"/>
      <c r="AD834"/>
      <c r="AE834"/>
      <c r="AF834"/>
      <c r="AG834"/>
    </row>
    <row r="835">
      <c r="A835" t="s">
        <v>4717</v>
      </c>
      <c r="B835" t="s">
        <v>31</v>
      </c>
      <c r="C835" t="s">
        <v>24</v>
      </c>
      <c r="D835" t="s">
        <v>4718</v>
      </c>
      <c r="E835" t="s">
        <v>2729</v>
      </c>
      <c r="F835" t="s">
        <v>2724</v>
      </c>
      <c r="G835" t="s">
        <v>2730</v>
      </c>
      <c r="H835" t="n">
        <v>39.8749859337456</v>
      </c>
      <c r="I835" t="n">
        <v>-105.037267454721</v>
      </c>
      <c r="J835" t="s">
        <v>4109</v>
      </c>
      <c r="K835" t="s">
        <v>141</v>
      </c>
      <c r="L835"/>
      <c r="M835" t="n">
        <v>1980</v>
      </c>
      <c r="N835" t="n">
        <v>1980</v>
      </c>
      <c r="O835" t="s">
        <v>255</v>
      </c>
      <c r="P835" t="n">
        <v>1</v>
      </c>
      <c r="Q835" t="n">
        <v>1</v>
      </c>
      <c r="R835" t="n">
        <v>1</v>
      </c>
      <c r="S835" t="n">
        <v>1953</v>
      </c>
      <c r="T835" t="s">
        <v>4719</v>
      </c>
      <c r="U835" t="s">
        <v>4720</v>
      </c>
      <c r="V835" t="s">
        <v>74</v>
      </c>
      <c r="W835"/>
      <c r="X835"/>
      <c r="Y835"/>
      <c r="Z835"/>
      <c r="AA835"/>
      <c r="AB835"/>
      <c r="AC835"/>
      <c r="AD835"/>
      <c r="AE835"/>
      <c r="AF835"/>
      <c r="AG835"/>
    </row>
    <row r="836">
      <c r="A836" t="s">
        <v>4721</v>
      </c>
      <c r="B836" t="s">
        <v>31</v>
      </c>
      <c r="C836" t="s">
        <v>24</v>
      </c>
      <c r="D836" t="s">
        <v>4722</v>
      </c>
      <c r="E836" t="s">
        <v>2729</v>
      </c>
      <c r="F836" t="s">
        <v>2724</v>
      </c>
      <c r="G836" t="s">
        <v>2730</v>
      </c>
      <c r="H836" t="n">
        <v>39.867217</v>
      </c>
      <c r="I836" t="n">
        <v>-105.104954</v>
      </c>
      <c r="J836" t="s">
        <v>4109</v>
      </c>
      <c r="K836" t="s">
        <v>70</v>
      </c>
      <c r="L836"/>
      <c r="M836" t="n">
        <v>1980</v>
      </c>
      <c r="N836" t="n">
        <v>1980</v>
      </c>
      <c r="O836" t="s">
        <v>255</v>
      </c>
      <c r="P836" t="n">
        <v>1</v>
      </c>
      <c r="Q836" t="n">
        <v>1</v>
      </c>
      <c r="R836" t="n">
        <v>1</v>
      </c>
      <c r="S836" t="n">
        <v>1955</v>
      </c>
      <c r="T836" t="s">
        <v>4723</v>
      </c>
      <c r="U836" t="s">
        <v>4724</v>
      </c>
      <c r="V836" t="s">
        <v>74</v>
      </c>
      <c r="W836"/>
      <c r="X836"/>
      <c r="Y836"/>
      <c r="Z836"/>
      <c r="AA836"/>
      <c r="AB836"/>
      <c r="AC836"/>
      <c r="AD836"/>
      <c r="AE836"/>
      <c r="AF836"/>
      <c r="AG836"/>
    </row>
    <row r="837">
      <c r="A837" t="s">
        <v>4725</v>
      </c>
      <c r="B837" t="s">
        <v>31</v>
      </c>
      <c r="C837" t="s">
        <v>24</v>
      </c>
      <c r="D837" t="s">
        <v>4726</v>
      </c>
      <c r="E837" t="s">
        <v>2729</v>
      </c>
      <c r="F837" t="s">
        <v>2724</v>
      </c>
      <c r="G837" t="s">
        <v>2730</v>
      </c>
      <c r="H837" t="n">
        <v>39.8773337068273</v>
      </c>
      <c r="I837" t="n">
        <v>-105.067730259694</v>
      </c>
      <c r="J837" t="s">
        <v>4109</v>
      </c>
      <c r="K837" t="s">
        <v>89</v>
      </c>
      <c r="L837"/>
      <c r="M837" t="n">
        <v>1980</v>
      </c>
      <c r="N837" t="n">
        <v>1980</v>
      </c>
      <c r="O837" t="s">
        <v>255</v>
      </c>
      <c r="P837" t="n">
        <v>1</v>
      </c>
      <c r="Q837" t="n">
        <v>1</v>
      </c>
      <c r="R837" t="n">
        <v>1</v>
      </c>
      <c r="S837" t="n">
        <v>1972</v>
      </c>
      <c r="T837" t="s">
        <v>4727</v>
      </c>
      <c r="U837" t="s">
        <v>4728</v>
      </c>
      <c r="V837" t="s">
        <v>74</v>
      </c>
      <c r="W837"/>
      <c r="X837"/>
      <c r="Y837"/>
      <c r="Z837"/>
      <c r="AA837"/>
      <c r="AB837"/>
      <c r="AC837"/>
      <c r="AD837"/>
      <c r="AE837"/>
      <c r="AF837"/>
      <c r="AG837"/>
    </row>
    <row r="838">
      <c r="A838" t="s">
        <v>4729</v>
      </c>
      <c r="B838" t="s">
        <v>31</v>
      </c>
      <c r="C838" t="s">
        <v>24</v>
      </c>
      <c r="D838" t="s">
        <v>4730</v>
      </c>
      <c r="E838" t="s">
        <v>2729</v>
      </c>
      <c r="F838" t="s">
        <v>2724</v>
      </c>
      <c r="G838" t="s">
        <v>2730</v>
      </c>
      <c r="H838" t="n">
        <v>39.869727611359</v>
      </c>
      <c r="I838" t="n">
        <v>-105.060955889656</v>
      </c>
      <c r="J838" t="s">
        <v>4109</v>
      </c>
      <c r="K838" t="s">
        <v>70</v>
      </c>
      <c r="L838"/>
      <c r="M838" t="n">
        <v>1980</v>
      </c>
      <c r="N838" t="n">
        <v>1980</v>
      </c>
      <c r="O838" t="s">
        <v>255</v>
      </c>
      <c r="P838" t="n">
        <v>1</v>
      </c>
      <c r="Q838" t="n">
        <v>1</v>
      </c>
      <c r="R838" t="n">
        <v>1</v>
      </c>
      <c r="S838" t="n">
        <v>1976</v>
      </c>
      <c r="T838" t="s">
        <v>4731</v>
      </c>
      <c r="U838" t="s">
        <v>4732</v>
      </c>
      <c r="V838" t="s">
        <v>74</v>
      </c>
      <c r="W838"/>
      <c r="X838"/>
      <c r="Y838"/>
      <c r="Z838"/>
      <c r="AA838"/>
      <c r="AB838"/>
      <c r="AC838"/>
      <c r="AD838"/>
      <c r="AE838"/>
      <c r="AF838"/>
      <c r="AG838"/>
    </row>
    <row r="839">
      <c r="A839" t="s">
        <v>4733</v>
      </c>
      <c r="B839" t="s">
        <v>31</v>
      </c>
      <c r="C839" t="s">
        <v>24</v>
      </c>
      <c r="D839" t="s">
        <v>4734</v>
      </c>
      <c r="E839" t="s">
        <v>2729</v>
      </c>
      <c r="F839" t="s">
        <v>2724</v>
      </c>
      <c r="G839" t="s">
        <v>2730</v>
      </c>
      <c r="H839" t="n">
        <v>39.868259</v>
      </c>
      <c r="I839" t="n">
        <v>-105.064783</v>
      </c>
      <c r="J839" t="s">
        <v>4109</v>
      </c>
      <c r="K839" t="s">
        <v>796</v>
      </c>
      <c r="L839"/>
      <c r="M839" t="n">
        <v>1980</v>
      </c>
      <c r="N839" t="n">
        <v>1980</v>
      </c>
      <c r="O839" t="s">
        <v>255</v>
      </c>
      <c r="P839" t="n">
        <v>1</v>
      </c>
      <c r="Q839" t="n">
        <v>1</v>
      </c>
      <c r="R839" t="n">
        <v>1</v>
      </c>
      <c r="S839" t="n">
        <v>1921</v>
      </c>
      <c r="T839" t="s">
        <v>4735</v>
      </c>
      <c r="U839" t="s">
        <v>4736</v>
      </c>
      <c r="V839" t="s">
        <v>74</v>
      </c>
      <c r="W839"/>
      <c r="X839"/>
      <c r="Y839"/>
      <c r="Z839"/>
      <c r="AA839"/>
      <c r="AB839"/>
      <c r="AC839"/>
      <c r="AD839"/>
      <c r="AE839"/>
      <c r="AF839"/>
      <c r="AG839"/>
    </row>
    <row r="840">
      <c r="A840" t="s">
        <v>4737</v>
      </c>
      <c r="B840" t="s">
        <v>31</v>
      </c>
      <c r="C840" t="s">
        <v>24</v>
      </c>
      <c r="D840" t="s">
        <v>4738</v>
      </c>
      <c r="E840" t="s">
        <v>2748</v>
      </c>
      <c r="F840" t="s">
        <v>2724</v>
      </c>
      <c r="G840" t="s">
        <v>2749</v>
      </c>
      <c r="H840" t="n">
        <v>39.7811305666667</v>
      </c>
      <c r="I840" t="n">
        <v>-105.076725288889</v>
      </c>
      <c r="J840" t="s">
        <v>4109</v>
      </c>
      <c r="K840" t="s">
        <v>315</v>
      </c>
      <c r="L840"/>
      <c r="M840" t="n">
        <v>1980</v>
      </c>
      <c r="N840" t="n">
        <v>1980</v>
      </c>
      <c r="O840" t="s">
        <v>255</v>
      </c>
      <c r="P840" t="n">
        <v>1</v>
      </c>
      <c r="Q840" t="n">
        <v>1</v>
      </c>
      <c r="R840" t="n">
        <v>1</v>
      </c>
      <c r="S840" t="n">
        <v>1965</v>
      </c>
      <c r="T840" t="s">
        <v>4739</v>
      </c>
      <c r="U840" t="s">
        <v>4740</v>
      </c>
      <c r="V840" t="s">
        <v>74</v>
      </c>
      <c r="W840"/>
      <c r="X840"/>
      <c r="Y840"/>
      <c r="Z840"/>
      <c r="AA840"/>
      <c r="AB840"/>
      <c r="AC840"/>
      <c r="AD840"/>
      <c r="AE840"/>
      <c r="AF840"/>
      <c r="AG840"/>
    </row>
    <row r="841">
      <c r="A841" t="s">
        <v>4741</v>
      </c>
      <c r="B841" t="s">
        <v>31</v>
      </c>
      <c r="C841" t="s">
        <v>24</v>
      </c>
      <c r="D841" t="s">
        <v>4742</v>
      </c>
      <c r="E841" t="s">
        <v>4743</v>
      </c>
      <c r="F841" t="s">
        <v>2724</v>
      </c>
      <c r="G841" t="s">
        <v>4744</v>
      </c>
      <c r="H841" t="n">
        <v>39.6494610597194</v>
      </c>
      <c r="I841" t="n">
        <v>-105.362995089211</v>
      </c>
      <c r="J841" t="s">
        <v>4109</v>
      </c>
      <c r="K841" t="s">
        <v>120</v>
      </c>
      <c r="L841"/>
      <c r="M841" t="n">
        <v>1980</v>
      </c>
      <c r="N841" t="n">
        <v>1980</v>
      </c>
      <c r="O841" t="s">
        <v>255</v>
      </c>
      <c r="P841" t="n">
        <v>1</v>
      </c>
      <c r="Q841" t="n">
        <v>1</v>
      </c>
      <c r="R841" t="n">
        <v>1</v>
      </c>
      <c r="S841" t="n">
        <v>1979</v>
      </c>
      <c r="T841" t="s">
        <v>4745</v>
      </c>
      <c r="U841" t="s">
        <v>4746</v>
      </c>
      <c r="V841" t="s">
        <v>74</v>
      </c>
      <c r="W841"/>
      <c r="X841"/>
      <c r="Y841"/>
      <c r="Z841"/>
      <c r="AA841"/>
      <c r="AB841"/>
      <c r="AC841"/>
      <c r="AD841"/>
      <c r="AE841"/>
      <c r="AF841"/>
      <c r="AG841"/>
    </row>
    <row r="842">
      <c r="A842" t="s">
        <v>4747</v>
      </c>
      <c r="B842" t="s">
        <v>31</v>
      </c>
      <c r="C842" t="s">
        <v>24</v>
      </c>
      <c r="D842" t="s">
        <v>4748</v>
      </c>
      <c r="E842" t="s">
        <v>2748</v>
      </c>
      <c r="F842" t="s">
        <v>2724</v>
      </c>
      <c r="G842" t="s">
        <v>2749</v>
      </c>
      <c r="H842" t="n">
        <v>39.752176</v>
      </c>
      <c r="I842" t="n">
        <v>-105.090814</v>
      </c>
      <c r="J842" t="s">
        <v>4109</v>
      </c>
      <c r="K842" t="s">
        <v>89</v>
      </c>
      <c r="L842"/>
      <c r="M842" t="n">
        <v>1980</v>
      </c>
      <c r="N842" t="n">
        <v>1980</v>
      </c>
      <c r="O842" t="s">
        <v>255</v>
      </c>
      <c r="P842" t="n">
        <v>1</v>
      </c>
      <c r="Q842" t="n">
        <v>1</v>
      </c>
      <c r="R842" t="n">
        <v>1</v>
      </c>
      <c r="S842" t="n">
        <v>1977</v>
      </c>
      <c r="T842" t="s">
        <v>4749</v>
      </c>
      <c r="U842" t="s">
        <v>4750</v>
      </c>
      <c r="V842" t="s">
        <v>74</v>
      </c>
      <c r="W842"/>
      <c r="X842"/>
      <c r="Y842"/>
      <c r="Z842"/>
      <c r="AA842"/>
      <c r="AB842" t="s">
        <v>4751</v>
      </c>
      <c r="AC842" t="n">
        <v>234</v>
      </c>
      <c r="AD842"/>
      <c r="AE842"/>
      <c r="AF842"/>
      <c r="AG842"/>
    </row>
    <row r="843">
      <c r="A843" t="s">
        <v>4752</v>
      </c>
      <c r="B843" t="s">
        <v>31</v>
      </c>
      <c r="C843" t="s">
        <v>24</v>
      </c>
      <c r="D843" t="s">
        <v>4753</v>
      </c>
      <c r="E843" t="s">
        <v>2729</v>
      </c>
      <c r="F843" t="s">
        <v>2724</v>
      </c>
      <c r="G843" t="s">
        <v>2730</v>
      </c>
      <c r="H843" t="n">
        <v>39.8587601</v>
      </c>
      <c r="I843" t="n">
        <v>-105.03943045</v>
      </c>
      <c r="J843" t="s">
        <v>4109</v>
      </c>
      <c r="K843" t="s">
        <v>120</v>
      </c>
      <c r="L843"/>
      <c r="M843" t="n">
        <v>1988</v>
      </c>
      <c r="N843" t="n">
        <v>1988</v>
      </c>
      <c r="O843" t="s">
        <v>325</v>
      </c>
      <c r="P843" t="n">
        <v>1</v>
      </c>
      <c r="Q843" t="n">
        <v>1</v>
      </c>
      <c r="R843" t="n">
        <v>1</v>
      </c>
      <c r="S843" t="n">
        <v>1967</v>
      </c>
      <c r="T843" t="s">
        <v>4754</v>
      </c>
      <c r="U843" t="s">
        <v>4755</v>
      </c>
      <c r="V843" t="s">
        <v>74</v>
      </c>
      <c r="W843"/>
      <c r="X843"/>
      <c r="Y843"/>
      <c r="Z843"/>
      <c r="AA843"/>
      <c r="AB843"/>
      <c r="AC843"/>
      <c r="AD843"/>
      <c r="AE843"/>
      <c r="AF843"/>
      <c r="AG843"/>
    </row>
    <row r="844">
      <c r="A844" t="s">
        <v>4756</v>
      </c>
      <c r="B844" t="s">
        <v>31</v>
      </c>
      <c r="C844" t="s">
        <v>24</v>
      </c>
      <c r="D844" t="s">
        <v>4757</v>
      </c>
      <c r="E844" t="s">
        <v>2748</v>
      </c>
      <c r="F844" t="s">
        <v>2724</v>
      </c>
      <c r="G844" t="s">
        <v>2749</v>
      </c>
      <c r="H844" t="n">
        <v>39.7321311199444</v>
      </c>
      <c r="I844" t="n">
        <v>-105.10054041484</v>
      </c>
      <c r="J844" t="s">
        <v>4109</v>
      </c>
      <c r="K844" t="s">
        <v>315</v>
      </c>
      <c r="L844"/>
      <c r="M844" t="n">
        <v>1988</v>
      </c>
      <c r="N844" t="n">
        <v>1990</v>
      </c>
      <c r="O844" t="s">
        <v>325</v>
      </c>
      <c r="P844" t="n">
        <v>2</v>
      </c>
      <c r="Q844" t="n">
        <v>1</v>
      </c>
      <c r="R844" t="n">
        <v>1</v>
      </c>
      <c r="S844" t="n">
        <v>1981</v>
      </c>
      <c r="T844" t="s">
        <v>4758</v>
      </c>
      <c r="U844" t="s">
        <v>4759</v>
      </c>
      <c r="V844" t="s">
        <v>74</v>
      </c>
      <c r="W844"/>
      <c r="X844"/>
      <c r="Y844"/>
      <c r="Z844"/>
      <c r="AA844"/>
      <c r="AB844"/>
      <c r="AC844"/>
      <c r="AD844"/>
      <c r="AE844"/>
      <c r="AF844"/>
      <c r="AG844"/>
    </row>
    <row r="845">
      <c r="A845" t="s">
        <v>4760</v>
      </c>
      <c r="B845" t="s">
        <v>31</v>
      </c>
      <c r="C845" t="s">
        <v>24</v>
      </c>
      <c r="D845" t="s">
        <v>4761</v>
      </c>
      <c r="E845" t="s">
        <v>386</v>
      </c>
      <c r="F845" t="s">
        <v>2724</v>
      </c>
      <c r="G845" t="s">
        <v>3011</v>
      </c>
      <c r="H845" t="n">
        <v>39.5687567537689</v>
      </c>
      <c r="I845" t="n">
        <v>-105.118270080402</v>
      </c>
      <c r="J845" t="s">
        <v>4109</v>
      </c>
      <c r="K845" t="s">
        <v>120</v>
      </c>
      <c r="L845"/>
      <c r="M845" t="n">
        <v>1988</v>
      </c>
      <c r="N845" t="n">
        <v>1990</v>
      </c>
      <c r="O845" t="s">
        <v>310</v>
      </c>
      <c r="P845" t="n">
        <v>2</v>
      </c>
      <c r="Q845" t="n">
        <v>2</v>
      </c>
      <c r="R845" t="n">
        <v>2</v>
      </c>
      <c r="S845" t="n">
        <v>1981</v>
      </c>
      <c r="T845" t="s">
        <v>4762</v>
      </c>
      <c r="U845" t="s">
        <v>4763</v>
      </c>
      <c r="V845" t="s">
        <v>74</v>
      </c>
      <c r="W845"/>
      <c r="X845"/>
      <c r="Y845"/>
      <c r="Z845"/>
      <c r="AA845"/>
      <c r="AB845"/>
      <c r="AC845"/>
      <c r="AD845" t="s">
        <v>3014</v>
      </c>
      <c r="AE845" t="n">
        <v>116</v>
      </c>
      <c r="AF845" t="s">
        <v>3014</v>
      </c>
      <c r="AG845" t="n">
        <v>94</v>
      </c>
    </row>
    <row r="846">
      <c r="A846" t="s">
        <v>4764</v>
      </c>
      <c r="B846" t="s">
        <v>31</v>
      </c>
      <c r="C846" t="s">
        <v>24</v>
      </c>
      <c r="D846" t="s">
        <v>4765</v>
      </c>
      <c r="E846" t="s">
        <v>2748</v>
      </c>
      <c r="F846" t="s">
        <v>2724</v>
      </c>
      <c r="G846" t="s">
        <v>2749</v>
      </c>
      <c r="H846" t="n">
        <v>39.7349542716049</v>
      </c>
      <c r="I846" t="n">
        <v>-105.062603135803</v>
      </c>
      <c r="J846" t="s">
        <v>4109</v>
      </c>
      <c r="K846" t="s">
        <v>120</v>
      </c>
      <c r="L846"/>
      <c r="M846" t="n">
        <v>1990</v>
      </c>
      <c r="N846" t="n">
        <v>1990</v>
      </c>
      <c r="O846" t="s">
        <v>351</v>
      </c>
      <c r="P846" t="n">
        <v>1</v>
      </c>
      <c r="Q846" t="n">
        <v>1</v>
      </c>
      <c r="R846" t="n">
        <v>1</v>
      </c>
      <c r="S846" t="n">
        <v>1951</v>
      </c>
      <c r="T846" t="s">
        <v>4766</v>
      </c>
      <c r="U846" t="s">
        <v>4767</v>
      </c>
      <c r="V846" t="s">
        <v>74</v>
      </c>
      <c r="W846"/>
      <c r="X846"/>
      <c r="Y846"/>
      <c r="Z846"/>
      <c r="AA846"/>
      <c r="AB846" t="s">
        <v>2869</v>
      </c>
      <c r="AC846" t="n">
        <v>109</v>
      </c>
      <c r="AD846" t="s">
        <v>2870</v>
      </c>
      <c r="AE846" t="n">
        <v>163</v>
      </c>
      <c r="AF846" t="s">
        <v>2871</v>
      </c>
      <c r="AG846" t="n">
        <v>91</v>
      </c>
    </row>
    <row r="847">
      <c r="A847" t="s">
        <v>4768</v>
      </c>
      <c r="B847" t="s">
        <v>31</v>
      </c>
      <c r="C847" t="s">
        <v>24</v>
      </c>
      <c r="D847" t="s">
        <v>4769</v>
      </c>
      <c r="E847" t="s">
        <v>3057</v>
      </c>
      <c r="F847" t="s">
        <v>2724</v>
      </c>
      <c r="G847" t="s">
        <v>3058</v>
      </c>
      <c r="H847" t="n">
        <v>39.4898879873919</v>
      </c>
      <c r="I847" t="n">
        <v>-105.350995887175</v>
      </c>
      <c r="J847" t="s">
        <v>4109</v>
      </c>
      <c r="K847" t="s">
        <v>70</v>
      </c>
      <c r="L847"/>
      <c r="M847" t="n">
        <v>1992</v>
      </c>
      <c r="N847" t="n">
        <v>1992</v>
      </c>
      <c r="O847" t="s">
        <v>1016</v>
      </c>
      <c r="P847" t="n">
        <v>1</v>
      </c>
      <c r="Q847" t="n">
        <v>1</v>
      </c>
      <c r="R847" t="n">
        <v>1</v>
      </c>
      <c r="S847" t="n">
        <v>1989</v>
      </c>
      <c r="T847" t="s">
        <v>4770</v>
      </c>
      <c r="U847" t="s">
        <v>4771</v>
      </c>
      <c r="V847" t="s">
        <v>74</v>
      </c>
      <c r="W847"/>
      <c r="X847"/>
      <c r="Y847"/>
      <c r="Z847"/>
      <c r="AA847"/>
      <c r="AB847"/>
      <c r="AC847"/>
      <c r="AD847"/>
      <c r="AE847"/>
      <c r="AF847" t="s">
        <v>4772</v>
      </c>
      <c r="AG847" t="n">
        <v>52</v>
      </c>
    </row>
    <row r="848">
      <c r="A848" t="s">
        <v>4773</v>
      </c>
      <c r="B848" t="s">
        <v>31</v>
      </c>
      <c r="C848" t="s">
        <v>24</v>
      </c>
      <c r="D848" t="s">
        <v>4774</v>
      </c>
      <c r="E848" t="s">
        <v>4743</v>
      </c>
      <c r="F848" t="s">
        <v>2724</v>
      </c>
      <c r="G848" t="s">
        <v>4744</v>
      </c>
      <c r="H848" t="n">
        <v>39.6276529710238</v>
      </c>
      <c r="I848" t="n">
        <v>-105.325304767346</v>
      </c>
      <c r="J848" t="s">
        <v>4109</v>
      </c>
      <c r="K848" t="s">
        <v>89</v>
      </c>
      <c r="L848"/>
      <c r="M848" t="n">
        <v>1992</v>
      </c>
      <c r="N848" t="n">
        <v>1992</v>
      </c>
      <c r="O848" t="s">
        <v>1016</v>
      </c>
      <c r="P848" t="n">
        <v>1</v>
      </c>
      <c r="Q848" t="n">
        <v>1</v>
      </c>
      <c r="R848" t="n">
        <v>1</v>
      </c>
      <c r="S848" t="n">
        <v>1964</v>
      </c>
      <c r="T848" t="s">
        <v>4775</v>
      </c>
      <c r="U848" t="s">
        <v>4776</v>
      </c>
      <c r="V848" t="s">
        <v>74</v>
      </c>
      <c r="W848"/>
      <c r="X848"/>
      <c r="Y848"/>
      <c r="Z848"/>
      <c r="AA848"/>
      <c r="AB848"/>
      <c r="AC848"/>
      <c r="AD848"/>
      <c r="AE848"/>
      <c r="AF848"/>
      <c r="AG848"/>
    </row>
    <row r="849">
      <c r="A849" t="s">
        <v>4777</v>
      </c>
      <c r="B849" t="s">
        <v>31</v>
      </c>
      <c r="C849" t="s">
        <v>24</v>
      </c>
      <c r="D849" t="s">
        <v>4778</v>
      </c>
      <c r="E849" t="s">
        <v>4743</v>
      </c>
      <c r="F849" t="s">
        <v>2724</v>
      </c>
      <c r="G849" t="s">
        <v>4744</v>
      </c>
      <c r="H849" t="n">
        <v>39.624645980478</v>
      </c>
      <c r="I849" t="n">
        <v>-105.321072343045</v>
      </c>
      <c r="J849" t="s">
        <v>4109</v>
      </c>
      <c r="K849" t="s">
        <v>120</v>
      </c>
      <c r="L849"/>
      <c r="M849" t="n">
        <v>1992</v>
      </c>
      <c r="N849" t="n">
        <v>1992</v>
      </c>
      <c r="O849" t="s">
        <v>1016</v>
      </c>
      <c r="P849" t="n">
        <v>1</v>
      </c>
      <c r="Q849" t="n">
        <v>1</v>
      </c>
      <c r="R849" t="n">
        <v>1</v>
      </c>
      <c r="S849" t="n">
        <v>1986</v>
      </c>
      <c r="T849" t="s">
        <v>4779</v>
      </c>
      <c r="U849" t="s">
        <v>4780</v>
      </c>
      <c r="V849" t="s">
        <v>74</v>
      </c>
      <c r="W849"/>
      <c r="X849"/>
      <c r="Y849"/>
      <c r="Z849"/>
      <c r="AA849"/>
      <c r="AB849"/>
      <c r="AC849"/>
      <c r="AD849"/>
      <c r="AE849"/>
      <c r="AF849"/>
      <c r="AG849"/>
    </row>
    <row r="850">
      <c r="A850" t="s">
        <v>4781</v>
      </c>
      <c r="B850" t="s">
        <v>31</v>
      </c>
      <c r="C850" t="s">
        <v>24</v>
      </c>
      <c r="D850" t="s">
        <v>4782</v>
      </c>
      <c r="E850" t="s">
        <v>2723</v>
      </c>
      <c r="F850" t="s">
        <v>2724</v>
      </c>
      <c r="G850" t="s">
        <v>3030</v>
      </c>
      <c r="H850" t="n">
        <v>39.8269710809852</v>
      </c>
      <c r="I850" t="n">
        <v>-105.18780594479</v>
      </c>
      <c r="J850" t="s">
        <v>4109</v>
      </c>
      <c r="K850" t="s">
        <v>133</v>
      </c>
      <c r="L850"/>
      <c r="M850" t="n">
        <v>1992</v>
      </c>
      <c r="N850" t="n">
        <v>1992</v>
      </c>
      <c r="O850" t="s">
        <v>1016</v>
      </c>
      <c r="P850" t="n">
        <v>1</v>
      </c>
      <c r="Q850" t="n">
        <v>1</v>
      </c>
      <c r="R850" t="n">
        <v>1</v>
      </c>
      <c r="S850" t="n">
        <v>1970</v>
      </c>
      <c r="T850" t="s">
        <v>4783</v>
      </c>
      <c r="U850" t="s">
        <v>4784</v>
      </c>
      <c r="V850" t="s">
        <v>74</v>
      </c>
      <c r="W850"/>
      <c r="X850"/>
      <c r="Y850"/>
      <c r="Z850"/>
      <c r="AA850"/>
      <c r="AB850"/>
      <c r="AC850"/>
      <c r="AD850"/>
      <c r="AE850"/>
      <c r="AF850"/>
      <c r="AG850"/>
    </row>
    <row r="851">
      <c r="A851" t="s">
        <v>4785</v>
      </c>
      <c r="B851" t="s">
        <v>31</v>
      </c>
      <c r="C851" t="s">
        <v>24</v>
      </c>
      <c r="D851" t="s">
        <v>4786</v>
      </c>
      <c r="E851" t="s">
        <v>386</v>
      </c>
      <c r="F851" t="s">
        <v>2724</v>
      </c>
      <c r="G851" t="s">
        <v>3011</v>
      </c>
      <c r="H851" t="n">
        <v>39.6155912241847</v>
      </c>
      <c r="I851" t="n">
        <v>-105.115055467024</v>
      </c>
      <c r="J851" t="s">
        <v>4109</v>
      </c>
      <c r="K851" t="s">
        <v>120</v>
      </c>
      <c r="L851"/>
      <c r="M851" t="n">
        <v>1992</v>
      </c>
      <c r="N851" t="n">
        <v>1992</v>
      </c>
      <c r="O851" t="s">
        <v>1016</v>
      </c>
      <c r="P851" t="n">
        <v>1</v>
      </c>
      <c r="Q851" t="n">
        <v>1</v>
      </c>
      <c r="R851" t="n">
        <v>1</v>
      </c>
      <c r="S851"/>
      <c r="T851" t="s">
        <v>4787</v>
      </c>
      <c r="U851" t="s">
        <v>4788</v>
      </c>
      <c r="V851" t="s">
        <v>74</v>
      </c>
      <c r="W851"/>
      <c r="X851"/>
      <c r="Y851"/>
      <c r="Z851"/>
      <c r="AA851"/>
      <c r="AB851"/>
      <c r="AC851"/>
      <c r="AD851"/>
      <c r="AE851"/>
      <c r="AF851"/>
      <c r="AG851"/>
    </row>
    <row r="852">
      <c r="A852" t="s">
        <v>4789</v>
      </c>
      <c r="B852" t="s">
        <v>31</v>
      </c>
      <c r="C852" t="s">
        <v>24</v>
      </c>
      <c r="D852" t="s">
        <v>4790</v>
      </c>
      <c r="E852" t="s">
        <v>2769</v>
      </c>
      <c r="F852" t="s">
        <v>2724</v>
      </c>
      <c r="G852" t="s">
        <v>2770</v>
      </c>
      <c r="H852" t="n">
        <v>39.8244532653061</v>
      </c>
      <c r="I852" t="n">
        <v>-105.125860877551</v>
      </c>
      <c r="J852" t="s">
        <v>4109</v>
      </c>
      <c r="K852" t="s">
        <v>89</v>
      </c>
      <c r="L852"/>
      <c r="M852" t="n">
        <v>1992</v>
      </c>
      <c r="N852" t="n">
        <v>1992</v>
      </c>
      <c r="O852" t="s">
        <v>1016</v>
      </c>
      <c r="P852" t="n">
        <v>1</v>
      </c>
      <c r="Q852" t="n">
        <v>1</v>
      </c>
      <c r="R852" t="n">
        <v>1</v>
      </c>
      <c r="S852" t="n">
        <v>1986</v>
      </c>
      <c r="T852" t="s">
        <v>4791</v>
      </c>
      <c r="U852" t="s">
        <v>4792</v>
      </c>
      <c r="V852" t="s">
        <v>74</v>
      </c>
      <c r="W852"/>
      <c r="X852"/>
      <c r="Y852"/>
      <c r="Z852"/>
      <c r="AA852"/>
      <c r="AB852"/>
      <c r="AC852"/>
      <c r="AD852"/>
      <c r="AE852"/>
      <c r="AF852"/>
      <c r="AG852"/>
    </row>
    <row r="853">
      <c r="A853" t="s">
        <v>4793</v>
      </c>
      <c r="B853" t="s">
        <v>31</v>
      </c>
      <c r="C853" t="s">
        <v>24</v>
      </c>
      <c r="D853" t="s">
        <v>4794</v>
      </c>
      <c r="E853" t="s">
        <v>3113</v>
      </c>
      <c r="F853" t="s">
        <v>3114</v>
      </c>
      <c r="G853" t="s">
        <v>3115</v>
      </c>
      <c r="H853" t="n">
        <v>37.2638483265306</v>
      </c>
      <c r="I853" t="n">
        <v>-107.876476755102</v>
      </c>
      <c r="J853" t="s">
        <v>35</v>
      </c>
      <c r="K853" t="s">
        <v>70</v>
      </c>
      <c r="L853"/>
      <c r="M853" t="n">
        <v>1966</v>
      </c>
      <c r="N853" t="n">
        <v>1966</v>
      </c>
      <c r="O853" t="s">
        <v>4172</v>
      </c>
      <c r="P853" t="n">
        <v>1</v>
      </c>
      <c r="Q853" t="n">
        <v>1</v>
      </c>
      <c r="R853" t="n">
        <v>1</v>
      </c>
      <c r="S853" t="n">
        <v>1953</v>
      </c>
      <c r="T853" t="s">
        <v>4795</v>
      </c>
      <c r="U853" t="s">
        <v>4796</v>
      </c>
      <c r="V853" t="s">
        <v>4175</v>
      </c>
      <c r="W853"/>
      <c r="X853"/>
      <c r="Y853"/>
      <c r="Z853"/>
      <c r="AA853"/>
      <c r="AB853"/>
      <c r="AC853"/>
      <c r="AD853"/>
      <c r="AE853"/>
      <c r="AF853"/>
      <c r="AG853"/>
    </row>
    <row r="854">
      <c r="A854" t="s">
        <v>4797</v>
      </c>
      <c r="B854" t="s">
        <v>31</v>
      </c>
      <c r="C854" t="s">
        <v>24</v>
      </c>
      <c r="D854" t="s">
        <v>4798</v>
      </c>
      <c r="E854" t="s">
        <v>3113</v>
      </c>
      <c r="F854" t="s">
        <v>3114</v>
      </c>
      <c r="G854" t="s">
        <v>3115</v>
      </c>
      <c r="H854" t="n">
        <v>37.287536</v>
      </c>
      <c r="I854" t="n">
        <v>-107.935407</v>
      </c>
      <c r="J854" t="s">
        <v>4109</v>
      </c>
      <c r="K854" t="s">
        <v>70</v>
      </c>
      <c r="L854"/>
      <c r="M854" t="n">
        <v>1988</v>
      </c>
      <c r="N854" t="n">
        <v>1988</v>
      </c>
      <c r="O854" t="s">
        <v>325</v>
      </c>
      <c r="P854" t="n">
        <v>1</v>
      </c>
      <c r="Q854" t="n">
        <v>1</v>
      </c>
      <c r="R854" t="n">
        <v>1</v>
      </c>
      <c r="S854" t="n">
        <v>1981</v>
      </c>
      <c r="T854" t="s">
        <v>4799</v>
      </c>
      <c r="U854" t="s">
        <v>4800</v>
      </c>
      <c r="V854" t="s">
        <v>74</v>
      </c>
      <c r="W854"/>
      <c r="X854"/>
      <c r="Y854"/>
      <c r="Z854"/>
      <c r="AA854"/>
      <c r="AB854"/>
      <c r="AC854"/>
      <c r="AD854"/>
      <c r="AE854"/>
      <c r="AF854"/>
      <c r="AG854"/>
    </row>
    <row r="855">
      <c r="A855" t="s">
        <v>4801</v>
      </c>
      <c r="B855" t="s">
        <v>31</v>
      </c>
      <c r="C855" t="s">
        <v>24</v>
      </c>
      <c r="D855" t="s">
        <v>4802</v>
      </c>
      <c r="E855" t="s">
        <v>3170</v>
      </c>
      <c r="F855" t="s">
        <v>3152</v>
      </c>
      <c r="G855" t="s">
        <v>3171</v>
      </c>
      <c r="H855" t="n">
        <v>40.5870372973761</v>
      </c>
      <c r="I855" t="n">
        <v>-105.079047793003</v>
      </c>
      <c r="J855" t="s">
        <v>35</v>
      </c>
      <c r="K855" t="s">
        <v>70</v>
      </c>
      <c r="L855"/>
      <c r="M855" t="n">
        <v>1966</v>
      </c>
      <c r="N855" t="n">
        <v>1973</v>
      </c>
      <c r="O855" t="s">
        <v>1349</v>
      </c>
      <c r="P855" t="n">
        <v>5</v>
      </c>
      <c r="Q855" t="n">
        <v>5</v>
      </c>
      <c r="R855" t="n">
        <v>1</v>
      </c>
      <c r="S855" t="n">
        <v>1900</v>
      </c>
      <c r="T855" t="s">
        <v>4803</v>
      </c>
      <c r="U855" t="s">
        <v>4804</v>
      </c>
      <c r="V855" t="s">
        <v>4175</v>
      </c>
      <c r="W855"/>
      <c r="X855"/>
      <c r="Y855"/>
      <c r="Z855"/>
      <c r="AA855"/>
      <c r="AB855"/>
      <c r="AC855"/>
      <c r="AD855"/>
      <c r="AE855"/>
      <c r="AF855" t="s">
        <v>3377</v>
      </c>
      <c r="AG855" t="n">
        <v>172</v>
      </c>
    </row>
    <row r="856">
      <c r="A856" t="s">
        <v>4805</v>
      </c>
      <c r="B856" t="s">
        <v>31</v>
      </c>
      <c r="C856" t="s">
        <v>24</v>
      </c>
      <c r="D856" t="s">
        <v>4806</v>
      </c>
      <c r="E856" t="s">
        <v>3170</v>
      </c>
      <c r="F856" t="s">
        <v>3152</v>
      </c>
      <c r="G856" t="s">
        <v>3171</v>
      </c>
      <c r="H856" t="n">
        <v>40.5883662857143</v>
      </c>
      <c r="I856" t="n">
        <v>-105.078953428571</v>
      </c>
      <c r="J856" t="s">
        <v>35</v>
      </c>
      <c r="K856" t="s">
        <v>141</v>
      </c>
      <c r="L856"/>
      <c r="M856" t="n">
        <v>1966</v>
      </c>
      <c r="N856" t="n">
        <v>1967</v>
      </c>
      <c r="O856" t="s">
        <v>716</v>
      </c>
      <c r="P856" t="n">
        <v>2</v>
      </c>
      <c r="Q856" t="n">
        <v>2</v>
      </c>
      <c r="R856" t="n">
        <v>2</v>
      </c>
      <c r="S856" t="n">
        <v>1931</v>
      </c>
      <c r="T856" t="s">
        <v>4807</v>
      </c>
      <c r="U856" t="s">
        <v>4808</v>
      </c>
      <c r="V856" t="s">
        <v>4175</v>
      </c>
      <c r="W856"/>
      <c r="X856"/>
      <c r="Y856"/>
      <c r="Z856"/>
      <c r="AA856"/>
      <c r="AB856"/>
      <c r="AC856"/>
      <c r="AD856"/>
      <c r="AE856"/>
      <c r="AF856" t="s">
        <v>4809</v>
      </c>
      <c r="AG856" t="n">
        <v>100</v>
      </c>
    </row>
    <row r="857">
      <c r="A857" t="s">
        <v>4810</v>
      </c>
      <c r="B857" t="s">
        <v>31</v>
      </c>
      <c r="C857" t="s">
        <v>24</v>
      </c>
      <c r="D857" t="s">
        <v>4811</v>
      </c>
      <c r="E857" t="s">
        <v>3170</v>
      </c>
      <c r="F857" t="s">
        <v>3152</v>
      </c>
      <c r="G857" t="s">
        <v>3171</v>
      </c>
      <c r="H857" t="n">
        <v>40.58543</v>
      </c>
      <c r="I857" t="n">
        <v>-105.129044</v>
      </c>
      <c r="J857" t="s">
        <v>4109</v>
      </c>
      <c r="K857" t="s">
        <v>988</v>
      </c>
      <c r="L857"/>
      <c r="M857" t="n">
        <v>1967</v>
      </c>
      <c r="N857" t="n">
        <v>1977</v>
      </c>
      <c r="O857" t="s">
        <v>4812</v>
      </c>
      <c r="P857" t="n">
        <v>3</v>
      </c>
      <c r="Q857" t="n">
        <v>3</v>
      </c>
      <c r="R857" t="n">
        <v>3</v>
      </c>
      <c r="S857" t="n">
        <v>1963</v>
      </c>
      <c r="T857" t="s">
        <v>4813</v>
      </c>
      <c r="U857" t="s">
        <v>4814</v>
      </c>
      <c r="V857" t="s">
        <v>74</v>
      </c>
      <c r="W857"/>
      <c r="X857"/>
      <c r="Y857"/>
      <c r="Z857"/>
      <c r="AA857"/>
      <c r="AB857"/>
      <c r="AC857"/>
      <c r="AD857"/>
      <c r="AE857"/>
      <c r="AF857"/>
      <c r="AG857"/>
    </row>
    <row r="858">
      <c r="A858" t="s">
        <v>4815</v>
      </c>
      <c r="B858" t="s">
        <v>31</v>
      </c>
      <c r="C858" t="s">
        <v>24</v>
      </c>
      <c r="D858" t="s">
        <v>4816</v>
      </c>
      <c r="E858" t="s">
        <v>3151</v>
      </c>
      <c r="F858" t="s">
        <v>3152</v>
      </c>
      <c r="G858" t="s">
        <v>3163</v>
      </c>
      <c r="H858" t="n">
        <v>40.31475</v>
      </c>
      <c r="I858" t="n">
        <v>-105.074293755102</v>
      </c>
      <c r="J858" t="s">
        <v>4109</v>
      </c>
      <c r="K858" t="s">
        <v>70</v>
      </c>
      <c r="L858"/>
      <c r="M858" t="n">
        <v>1977</v>
      </c>
      <c r="N858" t="n">
        <v>1983</v>
      </c>
      <c r="O858" t="s">
        <v>228</v>
      </c>
      <c r="P858" t="n">
        <v>2</v>
      </c>
      <c r="Q858" t="n">
        <v>2</v>
      </c>
      <c r="R858" t="n">
        <v>1</v>
      </c>
      <c r="S858" t="n">
        <v>1975</v>
      </c>
      <c r="T858" t="s">
        <v>4817</v>
      </c>
      <c r="U858" t="s">
        <v>4818</v>
      </c>
      <c r="V858" t="s">
        <v>74</v>
      </c>
      <c r="W858"/>
      <c r="X858"/>
      <c r="Y858"/>
      <c r="Z858"/>
      <c r="AA858"/>
      <c r="AB858"/>
      <c r="AC858"/>
      <c r="AD858"/>
      <c r="AE858"/>
      <c r="AF858"/>
      <c r="AG858"/>
    </row>
    <row r="859">
      <c r="A859" t="s">
        <v>4819</v>
      </c>
      <c r="B859" t="s">
        <v>31</v>
      </c>
      <c r="C859" t="s">
        <v>24</v>
      </c>
      <c r="D859" t="s">
        <v>4820</v>
      </c>
      <c r="E859" t="s">
        <v>3170</v>
      </c>
      <c r="F859" t="s">
        <v>3152</v>
      </c>
      <c r="G859" t="s">
        <v>3171</v>
      </c>
      <c r="H859" t="n">
        <v>40.602860984418</v>
      </c>
      <c r="I859" t="n">
        <v>-105.131704191715</v>
      </c>
      <c r="J859" t="s">
        <v>4109</v>
      </c>
      <c r="K859" t="s">
        <v>120</v>
      </c>
      <c r="L859"/>
      <c r="M859" t="n">
        <v>1980</v>
      </c>
      <c r="N859" t="n">
        <v>1983</v>
      </c>
      <c r="O859" t="s">
        <v>255</v>
      </c>
      <c r="P859" t="n">
        <v>2</v>
      </c>
      <c r="Q859" t="n">
        <v>2</v>
      </c>
      <c r="R859" t="n">
        <v>1</v>
      </c>
      <c r="S859" t="n">
        <v>1974</v>
      </c>
      <c r="T859" t="s">
        <v>4821</v>
      </c>
      <c r="U859" t="s">
        <v>4822</v>
      </c>
      <c r="V859" t="s">
        <v>74</v>
      </c>
      <c r="W859"/>
      <c r="X859"/>
      <c r="Y859"/>
      <c r="Z859"/>
      <c r="AA859"/>
      <c r="AB859"/>
      <c r="AC859"/>
      <c r="AD859"/>
      <c r="AE859"/>
      <c r="AF859"/>
      <c r="AG859"/>
    </row>
    <row r="860">
      <c r="A860" t="s">
        <v>4823</v>
      </c>
      <c r="B860" t="s">
        <v>31</v>
      </c>
      <c r="C860" t="s">
        <v>24</v>
      </c>
      <c r="D860" t="s">
        <v>4824</v>
      </c>
      <c r="E860" t="s">
        <v>3170</v>
      </c>
      <c r="F860" t="s">
        <v>3152</v>
      </c>
      <c r="G860" t="s">
        <v>3292</v>
      </c>
      <c r="H860" t="n">
        <v>40.5788218208966</v>
      </c>
      <c r="I860" t="n">
        <v>-105.008549101074</v>
      </c>
      <c r="J860" t="s">
        <v>35</v>
      </c>
      <c r="K860" t="s">
        <v>70</v>
      </c>
      <c r="L860"/>
      <c r="M860" t="n">
        <v>1980</v>
      </c>
      <c r="N860" t="n">
        <v>1980</v>
      </c>
      <c r="O860" t="s">
        <v>255</v>
      </c>
      <c r="P860" t="n">
        <v>1</v>
      </c>
      <c r="Q860" t="n">
        <v>1</v>
      </c>
      <c r="R860" t="n">
        <v>1</v>
      </c>
      <c r="S860" t="n">
        <v>1980</v>
      </c>
      <c r="T860" t="s">
        <v>4825</v>
      </c>
      <c r="U860" t="s">
        <v>4826</v>
      </c>
      <c r="V860" t="s">
        <v>4175</v>
      </c>
      <c r="W860"/>
      <c r="X860"/>
      <c r="Y860"/>
      <c r="Z860"/>
      <c r="AA860"/>
      <c r="AB860"/>
      <c r="AC860"/>
      <c r="AD860"/>
      <c r="AE860"/>
      <c r="AF860" t="s">
        <v>4827</v>
      </c>
      <c r="AG860" t="n">
        <v>62</v>
      </c>
    </row>
    <row r="861">
      <c r="A861" t="s">
        <v>4828</v>
      </c>
      <c r="B861" t="s">
        <v>31</v>
      </c>
      <c r="C861" t="s">
        <v>24</v>
      </c>
      <c r="D861" t="s">
        <v>4829</v>
      </c>
      <c r="E861" t="s">
        <v>3151</v>
      </c>
      <c r="F861" t="s">
        <v>3152</v>
      </c>
      <c r="G861" t="s">
        <v>3163</v>
      </c>
      <c r="H861" t="n">
        <v>40.3996598</v>
      </c>
      <c r="I861" t="n">
        <v>-105.0792254</v>
      </c>
      <c r="J861" t="s">
        <v>4109</v>
      </c>
      <c r="K861" t="s">
        <v>270</v>
      </c>
      <c r="L861"/>
      <c r="M861" t="n">
        <v>1983</v>
      </c>
      <c r="N861" t="n">
        <v>1992</v>
      </c>
      <c r="O861" t="s">
        <v>2061</v>
      </c>
      <c r="P861" t="n">
        <v>4</v>
      </c>
      <c r="Q861" t="n">
        <v>1</v>
      </c>
      <c r="R861" t="n">
        <v>1</v>
      </c>
      <c r="S861" t="n">
        <v>1976</v>
      </c>
      <c r="T861" t="s">
        <v>4830</v>
      </c>
      <c r="U861" t="s">
        <v>4831</v>
      </c>
      <c r="V861" t="s">
        <v>74</v>
      </c>
      <c r="W861"/>
      <c r="X861"/>
      <c r="Y861"/>
      <c r="Z861"/>
      <c r="AA861"/>
      <c r="AB861"/>
      <c r="AC861"/>
      <c r="AD861"/>
      <c r="AE861"/>
      <c r="AF861" t="s">
        <v>4832</v>
      </c>
      <c r="AG861" t="n">
        <v>198</v>
      </c>
    </row>
    <row r="862">
      <c r="A862" t="s">
        <v>4833</v>
      </c>
      <c r="B862" t="s">
        <v>31</v>
      </c>
      <c r="C862" t="s">
        <v>24</v>
      </c>
      <c r="D862" t="s">
        <v>4834</v>
      </c>
      <c r="E862" t="s">
        <v>3278</v>
      </c>
      <c r="F862" t="s">
        <v>3152</v>
      </c>
      <c r="G862" t="s">
        <v>3279</v>
      </c>
      <c r="H862" t="n">
        <v>40.378638</v>
      </c>
      <c r="I862" t="n">
        <v>-105.173542</v>
      </c>
      <c r="J862" t="s">
        <v>4109</v>
      </c>
      <c r="K862" t="s">
        <v>70</v>
      </c>
      <c r="L862"/>
      <c r="M862" t="n">
        <v>1988</v>
      </c>
      <c r="N862" t="n">
        <v>1992</v>
      </c>
      <c r="O862" t="s">
        <v>320</v>
      </c>
      <c r="P862" t="n">
        <v>3</v>
      </c>
      <c r="Q862" t="n">
        <v>2</v>
      </c>
      <c r="R862" t="n">
        <v>2</v>
      </c>
      <c r="S862" t="n">
        <v>1982</v>
      </c>
      <c r="T862" t="s">
        <v>4835</v>
      </c>
      <c r="U862" t="s">
        <v>4836</v>
      </c>
      <c r="V862" t="s">
        <v>74</v>
      </c>
      <c r="W862"/>
      <c r="X862"/>
      <c r="Y862"/>
      <c r="Z862"/>
      <c r="AA862"/>
      <c r="AB862"/>
      <c r="AC862"/>
      <c r="AD862"/>
      <c r="AE862"/>
      <c r="AF862"/>
      <c r="AG862"/>
    </row>
    <row r="863">
      <c r="A863" t="s">
        <v>4837</v>
      </c>
      <c r="B863" t="s">
        <v>31</v>
      </c>
      <c r="C863" t="s">
        <v>24</v>
      </c>
      <c r="D863" t="s">
        <v>4838</v>
      </c>
      <c r="E863" t="s">
        <v>4839</v>
      </c>
      <c r="F863" t="s">
        <v>4840</v>
      </c>
      <c r="G863" t="s">
        <v>4841</v>
      </c>
      <c r="H863" t="n">
        <v>37.1700459243002</v>
      </c>
      <c r="I863" t="n">
        <v>-104.497340546492</v>
      </c>
      <c r="J863" t="s">
        <v>4109</v>
      </c>
      <c r="K863" t="s">
        <v>315</v>
      </c>
      <c r="L863"/>
      <c r="M863" t="n">
        <v>1973</v>
      </c>
      <c r="N863" t="n">
        <v>1973</v>
      </c>
      <c r="O863" t="s">
        <v>121</v>
      </c>
      <c r="P863" t="n">
        <v>1</v>
      </c>
      <c r="Q863" t="n">
        <v>1</v>
      </c>
      <c r="R863" t="n">
        <v>1</v>
      </c>
      <c r="S863" t="n">
        <v>1972</v>
      </c>
      <c r="T863" t="s">
        <v>4842</v>
      </c>
      <c r="U863" t="s">
        <v>4843</v>
      </c>
      <c r="V863" t="s">
        <v>74</v>
      </c>
      <c r="W863"/>
      <c r="X863"/>
      <c r="Y863"/>
      <c r="Z863"/>
      <c r="AA863"/>
      <c r="AB863" t="s">
        <v>4844</v>
      </c>
      <c r="AC863" t="n">
        <v>132</v>
      </c>
      <c r="AD863"/>
      <c r="AE863"/>
      <c r="AF863"/>
      <c r="AG863"/>
    </row>
    <row r="864">
      <c r="A864" t="s">
        <v>4845</v>
      </c>
      <c r="B864" t="s">
        <v>31</v>
      </c>
      <c r="C864" t="s">
        <v>24</v>
      </c>
      <c r="D864" t="s">
        <v>4846</v>
      </c>
      <c r="E864" t="s">
        <v>4847</v>
      </c>
      <c r="F864" t="s">
        <v>4848</v>
      </c>
      <c r="G864" t="s">
        <v>4849</v>
      </c>
      <c r="H864" t="n">
        <v>39.2625760331633</v>
      </c>
      <c r="I864" t="n">
        <v>-103.687923</v>
      </c>
      <c r="J864" t="s">
        <v>35</v>
      </c>
      <c r="K864" t="s">
        <v>315</v>
      </c>
      <c r="L864"/>
      <c r="M864" t="n">
        <v>1968</v>
      </c>
      <c r="N864" t="n">
        <v>1990</v>
      </c>
      <c r="O864" t="s">
        <v>210</v>
      </c>
      <c r="P864" t="n">
        <v>7</v>
      </c>
      <c r="Q864" t="n">
        <v>3</v>
      </c>
      <c r="R864" t="n">
        <v>1</v>
      </c>
      <c r="S864" t="n">
        <v>1937</v>
      </c>
      <c r="T864" t="s">
        <v>4850</v>
      </c>
      <c r="U864" t="s">
        <v>4851</v>
      </c>
      <c r="V864" t="s">
        <v>4175</v>
      </c>
      <c r="W864"/>
      <c r="X864"/>
      <c r="Y864"/>
      <c r="Z864"/>
      <c r="AA864"/>
      <c r="AB864"/>
      <c r="AC864"/>
      <c r="AD864"/>
      <c r="AE864"/>
      <c r="AF864" t="s">
        <v>4852</v>
      </c>
      <c r="AG864" t="n">
        <v>93</v>
      </c>
    </row>
    <row r="865">
      <c r="A865" t="s">
        <v>4853</v>
      </c>
      <c r="B865" t="s">
        <v>31</v>
      </c>
      <c r="C865" t="s">
        <v>24</v>
      </c>
      <c r="D865" t="s">
        <v>4854</v>
      </c>
      <c r="E865" t="s">
        <v>3454</v>
      </c>
      <c r="F865" t="s">
        <v>3455</v>
      </c>
      <c r="G865" t="s">
        <v>3456</v>
      </c>
      <c r="H865" t="n">
        <v>40.6848366114535</v>
      </c>
      <c r="I865" t="n">
        <v>-103.2631721288</v>
      </c>
      <c r="J865" t="s">
        <v>4109</v>
      </c>
      <c r="K865" t="s">
        <v>120</v>
      </c>
      <c r="L865"/>
      <c r="M865" t="n">
        <v>1988</v>
      </c>
      <c r="N865" t="n">
        <v>1992</v>
      </c>
      <c r="O865" t="s">
        <v>4855</v>
      </c>
      <c r="P865" t="n">
        <v>3</v>
      </c>
      <c r="Q865" t="n">
        <v>2</v>
      </c>
      <c r="R865" t="n">
        <v>2</v>
      </c>
      <c r="S865" t="n">
        <v>1977</v>
      </c>
      <c r="T865" t="s">
        <v>4856</v>
      </c>
      <c r="U865" t="s">
        <v>4857</v>
      </c>
      <c r="V865" t="s">
        <v>74</v>
      </c>
      <c r="W865"/>
      <c r="X865"/>
      <c r="Y865"/>
      <c r="Z865"/>
      <c r="AA865"/>
      <c r="AB865"/>
      <c r="AC865"/>
      <c r="AD865"/>
      <c r="AE865"/>
      <c r="AF865"/>
      <c r="AG865"/>
    </row>
    <row r="866">
      <c r="A866" t="s">
        <v>4858</v>
      </c>
      <c r="B866" t="s">
        <v>31</v>
      </c>
      <c r="C866" t="s">
        <v>24</v>
      </c>
      <c r="D866" t="s">
        <v>4859</v>
      </c>
      <c r="E866" t="s">
        <v>3461</v>
      </c>
      <c r="F866" t="s">
        <v>3462</v>
      </c>
      <c r="G866"/>
      <c r="H866" t="n">
        <v>39.0682985850516</v>
      </c>
      <c r="I866" t="n">
        <v>-108.55892228708</v>
      </c>
      <c r="J866" t="s">
        <v>4109</v>
      </c>
      <c r="K866" t="s">
        <v>120</v>
      </c>
      <c r="L866"/>
      <c r="M866" t="n">
        <v>1965</v>
      </c>
      <c r="N866" t="n">
        <v>1965</v>
      </c>
      <c r="O866" t="s">
        <v>1275</v>
      </c>
      <c r="P866" t="n">
        <v>1</v>
      </c>
      <c r="Q866" t="n">
        <v>1</v>
      </c>
      <c r="R866" t="n">
        <v>1</v>
      </c>
      <c r="S866"/>
      <c r="T866" t="s">
        <v>4860</v>
      </c>
      <c r="U866" t="s">
        <v>4861</v>
      </c>
      <c r="V866" t="s">
        <v>74</v>
      </c>
      <c r="W866"/>
      <c r="X866"/>
      <c r="Y866"/>
      <c r="Z866"/>
      <c r="AA866"/>
      <c r="AB866" t="s">
        <v>4862</v>
      </c>
      <c r="AC866" t="n">
        <v>175</v>
      </c>
      <c r="AD866"/>
      <c r="AE866"/>
      <c r="AF866" t="s">
        <v>3536</v>
      </c>
      <c r="AG866" t="n">
        <v>115</v>
      </c>
    </row>
    <row r="867">
      <c r="A867" t="s">
        <v>4863</v>
      </c>
      <c r="B867" t="s">
        <v>31</v>
      </c>
      <c r="C867" t="s">
        <v>24</v>
      </c>
      <c r="D867" t="s">
        <v>4864</v>
      </c>
      <c r="E867" t="s">
        <v>3461</v>
      </c>
      <c r="F867" t="s">
        <v>3462</v>
      </c>
      <c r="G867"/>
      <c r="H867" t="n">
        <v>39.059276932438</v>
      </c>
      <c r="I867" t="n">
        <v>-108.558604514505</v>
      </c>
      <c r="J867" t="s">
        <v>4109</v>
      </c>
      <c r="K867" t="s">
        <v>89</v>
      </c>
      <c r="L867"/>
      <c r="M867" t="n">
        <v>1965</v>
      </c>
      <c r="N867" t="n">
        <v>1965</v>
      </c>
      <c r="O867" t="s">
        <v>1275</v>
      </c>
      <c r="P867" t="n">
        <v>1</v>
      </c>
      <c r="Q867" t="n">
        <v>1</v>
      </c>
      <c r="R867" t="n">
        <v>1</v>
      </c>
      <c r="S867"/>
      <c r="T867" t="s">
        <v>4865</v>
      </c>
      <c r="U867" t="s">
        <v>4866</v>
      </c>
      <c r="V867" t="s">
        <v>74</v>
      </c>
      <c r="W867"/>
      <c r="X867"/>
      <c r="Y867"/>
      <c r="Z867"/>
      <c r="AA867"/>
      <c r="AB867"/>
      <c r="AC867"/>
      <c r="AD867" t="s">
        <v>3469</v>
      </c>
      <c r="AE867" t="n">
        <v>110</v>
      </c>
      <c r="AF867" t="s">
        <v>4867</v>
      </c>
      <c r="AG867" t="n">
        <v>100</v>
      </c>
    </row>
    <row r="868">
      <c r="A868" t="s">
        <v>4868</v>
      </c>
      <c r="B868" t="s">
        <v>31</v>
      </c>
      <c r="C868" t="s">
        <v>24</v>
      </c>
      <c r="D868" t="s">
        <v>4869</v>
      </c>
      <c r="E868" t="s">
        <v>3461</v>
      </c>
      <c r="F868" t="s">
        <v>3462</v>
      </c>
      <c r="G868" t="s">
        <v>3487</v>
      </c>
      <c r="H868" t="n">
        <v>39.0652052176405</v>
      </c>
      <c r="I868" t="n">
        <v>-108.593194971248</v>
      </c>
      <c r="J868" t="s">
        <v>4109</v>
      </c>
      <c r="K868" t="s">
        <v>4870</v>
      </c>
      <c r="L868"/>
      <c r="M868" t="n">
        <v>1968</v>
      </c>
      <c r="N868" t="n">
        <v>1974</v>
      </c>
      <c r="O868" t="s">
        <v>4871</v>
      </c>
      <c r="P868" t="n">
        <v>2</v>
      </c>
      <c r="Q868" t="n">
        <v>1</v>
      </c>
      <c r="R868" t="n">
        <v>1</v>
      </c>
      <c r="S868" t="n">
        <v>1961</v>
      </c>
      <c r="T868" t="s">
        <v>4872</v>
      </c>
      <c r="U868" t="s">
        <v>4873</v>
      </c>
      <c r="V868" t="s">
        <v>74</v>
      </c>
      <c r="W868"/>
      <c r="X868"/>
      <c r="Y868"/>
      <c r="Z868"/>
      <c r="AA868"/>
      <c r="AB868"/>
      <c r="AC868"/>
      <c r="AD868"/>
      <c r="AE868"/>
      <c r="AF868"/>
      <c r="AG868"/>
    </row>
    <row r="869">
      <c r="A869" t="s">
        <v>4874</v>
      </c>
      <c r="B869" t="s">
        <v>31</v>
      </c>
      <c r="C869" t="s">
        <v>24</v>
      </c>
      <c r="D869" t="s">
        <v>4875</v>
      </c>
      <c r="E869" t="s">
        <v>3461</v>
      </c>
      <c r="F869" t="s">
        <v>3462</v>
      </c>
      <c r="G869" t="s">
        <v>3487</v>
      </c>
      <c r="H869" t="n">
        <v>39.067341</v>
      </c>
      <c r="I869" t="n">
        <v>-108.603672</v>
      </c>
      <c r="J869" t="s">
        <v>4109</v>
      </c>
      <c r="K869" t="s">
        <v>120</v>
      </c>
      <c r="L869"/>
      <c r="M869" t="n">
        <v>1968</v>
      </c>
      <c r="N869" t="n">
        <v>1968</v>
      </c>
      <c r="O869" t="s">
        <v>1349</v>
      </c>
      <c r="P869" t="n">
        <v>1</v>
      </c>
      <c r="Q869" t="n">
        <v>1</v>
      </c>
      <c r="R869" t="n">
        <v>1</v>
      </c>
      <c r="S869" t="n">
        <v>1958</v>
      </c>
      <c r="T869" t="s">
        <v>4876</v>
      </c>
      <c r="U869" t="s">
        <v>4877</v>
      </c>
      <c r="V869" t="s">
        <v>74</v>
      </c>
      <c r="W869"/>
      <c r="X869"/>
      <c r="Y869"/>
      <c r="Z869"/>
      <c r="AA869"/>
      <c r="AB869"/>
      <c r="AC869"/>
      <c r="AD869"/>
      <c r="AE869"/>
      <c r="AF869"/>
      <c r="AG869"/>
    </row>
    <row r="870">
      <c r="A870" t="s">
        <v>4878</v>
      </c>
      <c r="B870" t="s">
        <v>31</v>
      </c>
      <c r="C870" t="s">
        <v>24</v>
      </c>
      <c r="D870" t="s">
        <v>4879</v>
      </c>
      <c r="E870" t="s">
        <v>3461</v>
      </c>
      <c r="F870" t="s">
        <v>3462</v>
      </c>
      <c r="G870" t="s">
        <v>3487</v>
      </c>
      <c r="H870" t="n">
        <v>39.084246</v>
      </c>
      <c r="I870" t="n">
        <v>-108.522765</v>
      </c>
      <c r="J870" t="s">
        <v>4109</v>
      </c>
      <c r="K870" t="s">
        <v>120</v>
      </c>
      <c r="L870"/>
      <c r="M870" t="n">
        <v>1983</v>
      </c>
      <c r="N870" t="n">
        <v>1983</v>
      </c>
      <c r="O870" t="s">
        <v>264</v>
      </c>
      <c r="P870" t="n">
        <v>1</v>
      </c>
      <c r="Q870" t="n">
        <v>1</v>
      </c>
      <c r="R870" t="n">
        <v>1</v>
      </c>
      <c r="S870" t="n">
        <v>1974</v>
      </c>
      <c r="T870" t="s">
        <v>4880</v>
      </c>
      <c r="U870" t="s">
        <v>4881</v>
      </c>
      <c r="V870" t="s">
        <v>74</v>
      </c>
      <c r="W870"/>
      <c r="X870"/>
      <c r="Y870"/>
      <c r="Z870"/>
      <c r="AA870"/>
      <c r="AB870"/>
      <c r="AC870"/>
      <c r="AD870"/>
      <c r="AE870"/>
      <c r="AF870"/>
      <c r="AG870"/>
    </row>
    <row r="871">
      <c r="A871" t="s">
        <v>4882</v>
      </c>
      <c r="B871" t="s">
        <v>31</v>
      </c>
      <c r="C871" t="s">
        <v>24</v>
      </c>
      <c r="D871" t="s">
        <v>4883</v>
      </c>
      <c r="E871" t="s">
        <v>3461</v>
      </c>
      <c r="F871" t="s">
        <v>3462</v>
      </c>
      <c r="G871" t="s">
        <v>3487</v>
      </c>
      <c r="H871" t="n">
        <v>39.0611840114207</v>
      </c>
      <c r="I871" t="n">
        <v>-108.558283385464</v>
      </c>
      <c r="J871" t="s">
        <v>4109</v>
      </c>
      <c r="K871" t="s">
        <v>133</v>
      </c>
      <c r="L871"/>
      <c r="M871" t="n">
        <v>1983</v>
      </c>
      <c r="N871" t="n">
        <v>1983</v>
      </c>
      <c r="O871" t="s">
        <v>264</v>
      </c>
      <c r="P871" t="n">
        <v>1</v>
      </c>
      <c r="Q871" t="n">
        <v>1</v>
      </c>
      <c r="R871" t="n">
        <v>1</v>
      </c>
      <c r="S871" t="n">
        <v>1973</v>
      </c>
      <c r="T871" t="s">
        <v>4884</v>
      </c>
      <c r="U871" t="s">
        <v>4885</v>
      </c>
      <c r="V871" t="s">
        <v>74</v>
      </c>
      <c r="W871"/>
      <c r="X871"/>
      <c r="Y871"/>
      <c r="Z871"/>
      <c r="AA871"/>
      <c r="AB871" t="s">
        <v>4886</v>
      </c>
      <c r="AC871" t="n">
        <v>145</v>
      </c>
      <c r="AD871" t="s">
        <v>4887</v>
      </c>
      <c r="AE871" t="n">
        <v>151</v>
      </c>
      <c r="AF871" t="s">
        <v>4888</v>
      </c>
      <c r="AG871" t="n">
        <v>66</v>
      </c>
    </row>
    <row r="872">
      <c r="A872" t="s">
        <v>4889</v>
      </c>
      <c r="B872" t="s">
        <v>31</v>
      </c>
      <c r="C872" t="s">
        <v>24</v>
      </c>
      <c r="D872" t="s">
        <v>4890</v>
      </c>
      <c r="E872" t="s">
        <v>3461</v>
      </c>
      <c r="F872" t="s">
        <v>3462</v>
      </c>
      <c r="G872" t="s">
        <v>3580</v>
      </c>
      <c r="H872" t="n">
        <v>39.099287</v>
      </c>
      <c r="I872" t="n">
        <v>-108.668768</v>
      </c>
      <c r="J872" t="s">
        <v>4109</v>
      </c>
      <c r="K872" t="s">
        <v>70</v>
      </c>
      <c r="L872"/>
      <c r="M872" t="n">
        <v>1988</v>
      </c>
      <c r="N872" t="n">
        <v>1988</v>
      </c>
      <c r="O872" t="s">
        <v>325</v>
      </c>
      <c r="P872" t="n">
        <v>1</v>
      </c>
      <c r="Q872" t="n">
        <v>1</v>
      </c>
      <c r="R872" t="n">
        <v>1</v>
      </c>
      <c r="S872" t="n">
        <v>1968</v>
      </c>
      <c r="T872" t="s">
        <v>4891</v>
      </c>
      <c r="U872" t="s">
        <v>4892</v>
      </c>
      <c r="V872" t="s">
        <v>74</v>
      </c>
      <c r="W872"/>
      <c r="X872"/>
      <c r="Y872"/>
      <c r="Z872"/>
      <c r="AA872"/>
      <c r="AB872"/>
      <c r="AC872"/>
      <c r="AD872"/>
      <c r="AE872"/>
      <c r="AF872"/>
      <c r="AG872"/>
    </row>
    <row r="873">
      <c r="A873" t="s">
        <v>4893</v>
      </c>
      <c r="B873" t="s">
        <v>31</v>
      </c>
      <c r="C873" t="s">
        <v>24</v>
      </c>
      <c r="D873" t="s">
        <v>4894</v>
      </c>
      <c r="E873" t="s">
        <v>3461</v>
      </c>
      <c r="F873" t="s">
        <v>3462</v>
      </c>
      <c r="G873" t="s">
        <v>3487</v>
      </c>
      <c r="H873" t="n">
        <v>39.048399</v>
      </c>
      <c r="I873" t="n">
        <v>-108.5395</v>
      </c>
      <c r="J873" t="s">
        <v>4109</v>
      </c>
      <c r="K873" t="s">
        <v>120</v>
      </c>
      <c r="L873"/>
      <c r="M873" t="n">
        <v>1990</v>
      </c>
      <c r="N873" t="n">
        <v>1990</v>
      </c>
      <c r="O873" t="s">
        <v>351</v>
      </c>
      <c r="P873" t="n">
        <v>1</v>
      </c>
      <c r="Q873" t="n">
        <v>1</v>
      </c>
      <c r="R873" t="n">
        <v>1</v>
      </c>
      <c r="S873" t="n">
        <v>1968</v>
      </c>
      <c r="T873" t="s">
        <v>4895</v>
      </c>
      <c r="U873" t="s">
        <v>4896</v>
      </c>
      <c r="V873" t="s">
        <v>74</v>
      </c>
      <c r="W873"/>
      <c r="X873"/>
      <c r="Y873"/>
      <c r="Z873"/>
      <c r="AA873"/>
      <c r="AB873"/>
      <c r="AC873"/>
      <c r="AD873"/>
      <c r="AE873"/>
      <c r="AF873"/>
      <c r="AG873"/>
    </row>
    <row r="874">
      <c r="A874" t="s">
        <v>4897</v>
      </c>
      <c r="B874" t="s">
        <v>31</v>
      </c>
      <c r="C874" t="s">
        <v>24</v>
      </c>
      <c r="D874" t="s">
        <v>4898</v>
      </c>
      <c r="E874" t="s">
        <v>3650</v>
      </c>
      <c r="F874" t="s">
        <v>3626</v>
      </c>
      <c r="G874" t="s">
        <v>3651</v>
      </c>
      <c r="H874" t="n">
        <v>37.3449984081633</v>
      </c>
      <c r="I874" t="n">
        <v>-108.297763816326</v>
      </c>
      <c r="J874" t="s">
        <v>4109</v>
      </c>
      <c r="K874" t="s">
        <v>70</v>
      </c>
      <c r="L874"/>
      <c r="M874" t="n">
        <v>1990</v>
      </c>
      <c r="N874" t="n">
        <v>1990</v>
      </c>
      <c r="O874" t="s">
        <v>351</v>
      </c>
      <c r="P874" t="n">
        <v>1</v>
      </c>
      <c r="Q874" t="n">
        <v>1</v>
      </c>
      <c r="R874" t="n">
        <v>1</v>
      </c>
      <c r="S874" t="n">
        <v>1988</v>
      </c>
      <c r="T874" t="s">
        <v>4899</v>
      </c>
      <c r="U874" t="s">
        <v>4900</v>
      </c>
      <c r="V874" t="s">
        <v>74</v>
      </c>
      <c r="W874"/>
      <c r="X874"/>
      <c r="Y874"/>
      <c r="Z874"/>
      <c r="AA874"/>
      <c r="AB874"/>
      <c r="AC874"/>
      <c r="AD874"/>
      <c r="AE874"/>
      <c r="AF874"/>
      <c r="AG874"/>
    </row>
    <row r="875">
      <c r="A875" t="s">
        <v>4901</v>
      </c>
      <c r="B875" t="s">
        <v>31</v>
      </c>
      <c r="C875" t="s">
        <v>24</v>
      </c>
      <c r="D875" t="s">
        <v>4902</v>
      </c>
      <c r="E875" t="s">
        <v>3658</v>
      </c>
      <c r="F875" t="s">
        <v>3659</v>
      </c>
      <c r="G875" t="s">
        <v>3660</v>
      </c>
      <c r="H875" t="n">
        <v>38.4810308571428</v>
      </c>
      <c r="I875" t="n">
        <v>-107.868551714286</v>
      </c>
      <c r="J875" t="s">
        <v>35</v>
      </c>
      <c r="K875" t="s">
        <v>70</v>
      </c>
      <c r="L875"/>
      <c r="M875" t="n">
        <v>1966</v>
      </c>
      <c r="N875" t="n">
        <v>1968</v>
      </c>
      <c r="O875" t="s">
        <v>4172</v>
      </c>
      <c r="P875" t="n">
        <v>2</v>
      </c>
      <c r="Q875" t="n">
        <v>1</v>
      </c>
      <c r="R875" t="n">
        <v>1</v>
      </c>
      <c r="S875" t="n">
        <v>1951</v>
      </c>
      <c r="T875" t="s">
        <v>4903</v>
      </c>
      <c r="U875" t="s">
        <v>4904</v>
      </c>
      <c r="V875" t="s">
        <v>4175</v>
      </c>
      <c r="W875"/>
      <c r="X875"/>
      <c r="Y875"/>
      <c r="Z875"/>
      <c r="AA875"/>
      <c r="AB875"/>
      <c r="AC875"/>
      <c r="AD875"/>
      <c r="AE875"/>
      <c r="AF875" t="s">
        <v>4905</v>
      </c>
      <c r="AG875" t="n">
        <v>71</v>
      </c>
    </row>
    <row r="876">
      <c r="A876" t="s">
        <v>4906</v>
      </c>
      <c r="B876" t="s">
        <v>31</v>
      </c>
      <c r="C876" t="s">
        <v>24</v>
      </c>
      <c r="D876" t="s">
        <v>4907</v>
      </c>
      <c r="E876" t="s">
        <v>3722</v>
      </c>
      <c r="F876" t="s">
        <v>3706</v>
      </c>
      <c r="G876" t="s">
        <v>3723</v>
      </c>
      <c r="H876" t="n">
        <v>40.2581264883721</v>
      </c>
      <c r="I876" t="n">
        <v>-103.805537511628</v>
      </c>
      <c r="J876" t="s">
        <v>4109</v>
      </c>
      <c r="K876" t="s">
        <v>120</v>
      </c>
      <c r="L876"/>
      <c r="M876" t="n">
        <v>1968</v>
      </c>
      <c r="N876" t="n">
        <v>1968</v>
      </c>
      <c r="O876" t="s">
        <v>1349</v>
      </c>
      <c r="P876" t="n">
        <v>1</v>
      </c>
      <c r="Q876" t="n">
        <v>1</v>
      </c>
      <c r="R876" t="n">
        <v>1</v>
      </c>
      <c r="S876" t="n">
        <v>1954</v>
      </c>
      <c r="T876" t="s">
        <v>4908</v>
      </c>
      <c r="U876" t="s">
        <v>4909</v>
      </c>
      <c r="V876" t="s">
        <v>74</v>
      </c>
      <c r="W876"/>
      <c r="X876"/>
      <c r="Y876"/>
      <c r="Z876"/>
      <c r="AA876"/>
      <c r="AB876"/>
      <c r="AC876"/>
      <c r="AD876"/>
      <c r="AE876"/>
      <c r="AF876"/>
      <c r="AG876"/>
    </row>
    <row r="877">
      <c r="A877" t="s">
        <v>4910</v>
      </c>
      <c r="B877" t="s">
        <v>31</v>
      </c>
      <c r="C877" t="s">
        <v>24</v>
      </c>
      <c r="D877" t="s">
        <v>4911</v>
      </c>
      <c r="E877" t="s">
        <v>4912</v>
      </c>
      <c r="F877" t="s">
        <v>3730</v>
      </c>
      <c r="G877" t="s">
        <v>4913</v>
      </c>
      <c r="H877" t="n">
        <v>38.0492</v>
      </c>
      <c r="I877" t="n">
        <v>-103.71043</v>
      </c>
      <c r="J877" t="s">
        <v>4109</v>
      </c>
      <c r="K877" t="s">
        <v>120</v>
      </c>
      <c r="L877"/>
      <c r="M877" t="n">
        <v>1977</v>
      </c>
      <c r="N877" t="n">
        <v>1983</v>
      </c>
      <c r="O877" t="s">
        <v>3217</v>
      </c>
      <c r="P877" t="n">
        <v>2</v>
      </c>
      <c r="Q877" t="n">
        <v>2</v>
      </c>
      <c r="R877" t="n">
        <v>2</v>
      </c>
      <c r="S877" t="n">
        <v>1939</v>
      </c>
      <c r="T877" t="s">
        <v>4914</v>
      </c>
      <c r="U877" t="s">
        <v>4915</v>
      </c>
      <c r="V877" t="s">
        <v>74</v>
      </c>
      <c r="W877"/>
      <c r="X877"/>
      <c r="Y877"/>
      <c r="Z877"/>
      <c r="AA877"/>
      <c r="AB877"/>
      <c r="AC877"/>
      <c r="AD877"/>
      <c r="AE877"/>
      <c r="AF877"/>
      <c r="AG877"/>
    </row>
    <row r="878">
      <c r="A878" t="s">
        <v>4916</v>
      </c>
      <c r="B878" t="s">
        <v>31</v>
      </c>
      <c r="C878" t="s">
        <v>24</v>
      </c>
      <c r="D878" t="s">
        <v>4917</v>
      </c>
      <c r="E878" t="s">
        <v>3736</v>
      </c>
      <c r="F878" t="s">
        <v>3730</v>
      </c>
      <c r="G878" t="s">
        <v>3737</v>
      </c>
      <c r="H878" t="n">
        <v>38.0374970218425</v>
      </c>
      <c r="I878" t="n">
        <v>-103.519989533131</v>
      </c>
      <c r="J878" t="s">
        <v>4109</v>
      </c>
      <c r="K878" t="s">
        <v>70</v>
      </c>
      <c r="L878"/>
      <c r="M878" t="n">
        <v>1988</v>
      </c>
      <c r="N878" t="n">
        <v>1990</v>
      </c>
      <c r="O878" t="s">
        <v>310</v>
      </c>
      <c r="P878" t="n">
        <v>2</v>
      </c>
      <c r="Q878" t="n">
        <v>3</v>
      </c>
      <c r="R878" t="n">
        <v>2</v>
      </c>
      <c r="S878" t="n">
        <v>1980</v>
      </c>
      <c r="T878" t="s">
        <v>4918</v>
      </c>
      <c r="U878" t="s">
        <v>4919</v>
      </c>
      <c r="V878" t="s">
        <v>74</v>
      </c>
      <c r="W878"/>
      <c r="X878"/>
      <c r="Y878"/>
      <c r="Z878"/>
      <c r="AA878"/>
      <c r="AB878"/>
      <c r="AC878"/>
      <c r="AD878"/>
      <c r="AE878"/>
      <c r="AF878"/>
      <c r="AG878"/>
    </row>
    <row r="879">
      <c r="A879" t="s">
        <v>4920</v>
      </c>
      <c r="B879" t="s">
        <v>31</v>
      </c>
      <c r="C879" t="s">
        <v>24</v>
      </c>
      <c r="D879" t="s">
        <v>4921</v>
      </c>
      <c r="E879" t="s">
        <v>3789</v>
      </c>
      <c r="F879" t="s">
        <v>3790</v>
      </c>
      <c r="G879" t="s">
        <v>3797</v>
      </c>
      <c r="H879" t="n">
        <v>38.0793662222222</v>
      </c>
      <c r="I879" t="n">
        <v>-102.617132</v>
      </c>
      <c r="J879" t="s">
        <v>35</v>
      </c>
      <c r="K879" t="s">
        <v>120</v>
      </c>
      <c r="L879"/>
      <c r="M879" t="n">
        <v>1983</v>
      </c>
      <c r="N879" t="n">
        <v>1992</v>
      </c>
      <c r="O879" t="s">
        <v>264</v>
      </c>
      <c r="P879" t="n">
        <v>4</v>
      </c>
      <c r="Q879" t="n">
        <v>1</v>
      </c>
      <c r="R879" t="n">
        <v>1</v>
      </c>
      <c r="S879" t="n">
        <v>1964</v>
      </c>
      <c r="T879" t="s">
        <v>4922</v>
      </c>
      <c r="U879" t="s">
        <v>4923</v>
      </c>
      <c r="V879" t="s">
        <v>4175</v>
      </c>
      <c r="W879"/>
      <c r="X879"/>
      <c r="Y879"/>
      <c r="Z879"/>
      <c r="AA879"/>
      <c r="AB879" t="s">
        <v>4924</v>
      </c>
      <c r="AC879" t="n">
        <v>149</v>
      </c>
      <c r="AD879"/>
      <c r="AE879"/>
      <c r="AF879"/>
      <c r="AG879"/>
    </row>
    <row r="880">
      <c r="A880" t="s">
        <v>4925</v>
      </c>
      <c r="B880" t="s">
        <v>31</v>
      </c>
      <c r="C880" t="s">
        <v>24</v>
      </c>
      <c r="D880" t="s">
        <v>4926</v>
      </c>
      <c r="E880" t="s">
        <v>3803</v>
      </c>
      <c r="F880" t="s">
        <v>3804</v>
      </c>
      <c r="G880"/>
      <c r="H880" t="n">
        <v>38.2708026479217</v>
      </c>
      <c r="I880" t="n">
        <v>-104.602659610262</v>
      </c>
      <c r="J880" t="s">
        <v>35</v>
      </c>
      <c r="K880" t="s">
        <v>141</v>
      </c>
      <c r="L880"/>
      <c r="M880" t="n">
        <v>1965</v>
      </c>
      <c r="N880" t="n">
        <v>1990</v>
      </c>
      <c r="O880" t="s">
        <v>4172</v>
      </c>
      <c r="P880" t="n">
        <v>4</v>
      </c>
      <c r="Q880" t="n">
        <v>3</v>
      </c>
      <c r="R880" t="n">
        <v>2</v>
      </c>
      <c r="S880" t="n">
        <v>1964</v>
      </c>
      <c r="T880" t="s">
        <v>4927</v>
      </c>
      <c r="U880" t="s">
        <v>4928</v>
      </c>
      <c r="V880" t="s">
        <v>4175</v>
      </c>
      <c r="W880"/>
      <c r="X880"/>
      <c r="Y880"/>
      <c r="Z880"/>
      <c r="AA880"/>
      <c r="AB880"/>
      <c r="AC880"/>
      <c r="AD880"/>
      <c r="AE880"/>
      <c r="AF880" t="s">
        <v>4929</v>
      </c>
      <c r="AG880" t="n">
        <v>83</v>
      </c>
    </row>
    <row r="881">
      <c r="A881" t="s">
        <v>4930</v>
      </c>
      <c r="B881" t="s">
        <v>31</v>
      </c>
      <c r="C881" t="s">
        <v>24</v>
      </c>
      <c r="D881" t="s">
        <v>4931</v>
      </c>
      <c r="E881" t="s">
        <v>3803</v>
      </c>
      <c r="F881" t="s">
        <v>3804</v>
      </c>
      <c r="G881" t="s">
        <v>3805</v>
      </c>
      <c r="H881" t="n">
        <v>38.2751887130527</v>
      </c>
      <c r="I881" t="n">
        <v>-104.616218913011</v>
      </c>
      <c r="J881" t="s">
        <v>35</v>
      </c>
      <c r="K881" t="s">
        <v>1041</v>
      </c>
      <c r="L881"/>
      <c r="M881" t="n">
        <v>1966</v>
      </c>
      <c r="N881" t="n">
        <v>1990</v>
      </c>
      <c r="O881" t="s">
        <v>4172</v>
      </c>
      <c r="P881" t="n">
        <v>5</v>
      </c>
      <c r="Q881" t="n">
        <v>2</v>
      </c>
      <c r="R881" t="n">
        <v>1</v>
      </c>
      <c r="S881" t="n">
        <v>1889</v>
      </c>
      <c r="T881" t="s">
        <v>4932</v>
      </c>
      <c r="U881" t="s">
        <v>4933</v>
      </c>
      <c r="V881" t="s">
        <v>4175</v>
      </c>
      <c r="W881"/>
      <c r="X881"/>
      <c r="Y881"/>
      <c r="Z881"/>
      <c r="AA881"/>
      <c r="AB881"/>
      <c r="AC881"/>
      <c r="AD881"/>
      <c r="AE881"/>
      <c r="AF881" t="s">
        <v>4934</v>
      </c>
      <c r="AG881" t="n">
        <v>110</v>
      </c>
    </row>
    <row r="882">
      <c r="A882" t="s">
        <v>4935</v>
      </c>
      <c r="B882" t="s">
        <v>31</v>
      </c>
      <c r="C882" t="s">
        <v>24</v>
      </c>
      <c r="D882" t="s">
        <v>4936</v>
      </c>
      <c r="E882" t="s">
        <v>3803</v>
      </c>
      <c r="F882" t="s">
        <v>3804</v>
      </c>
      <c r="G882" t="s">
        <v>3831</v>
      </c>
      <c r="H882" t="n">
        <v>38.2650399183673</v>
      </c>
      <c r="I882" t="n">
        <v>-104.672496877551</v>
      </c>
      <c r="J882" t="s">
        <v>35</v>
      </c>
      <c r="K882" t="s">
        <v>70</v>
      </c>
      <c r="L882"/>
      <c r="M882" t="n">
        <v>1974</v>
      </c>
      <c r="N882" t="n">
        <v>1974</v>
      </c>
      <c r="O882" t="s">
        <v>210</v>
      </c>
      <c r="P882" t="n">
        <v>1</v>
      </c>
      <c r="Q882" t="n">
        <v>1</v>
      </c>
      <c r="R882" t="n">
        <v>1</v>
      </c>
      <c r="S882" t="n">
        <v>1963</v>
      </c>
      <c r="T882" t="s">
        <v>4937</v>
      </c>
      <c r="U882" t="s">
        <v>4938</v>
      </c>
      <c r="V882" t="s">
        <v>4175</v>
      </c>
      <c r="W882"/>
      <c r="X882"/>
      <c r="Y882"/>
      <c r="Z882"/>
      <c r="AA882"/>
      <c r="AB882"/>
      <c r="AC882"/>
      <c r="AD882"/>
      <c r="AE882"/>
      <c r="AF882"/>
      <c r="AG882"/>
    </row>
    <row r="883">
      <c r="A883" t="s">
        <v>4939</v>
      </c>
      <c r="B883" t="s">
        <v>31</v>
      </c>
      <c r="C883" t="s">
        <v>24</v>
      </c>
      <c r="D883" t="s">
        <v>4940</v>
      </c>
      <c r="E883" t="s">
        <v>3902</v>
      </c>
      <c r="F883" t="s">
        <v>3804</v>
      </c>
      <c r="G883" t="s">
        <v>3903</v>
      </c>
      <c r="H883" t="n">
        <v>38.324126</v>
      </c>
      <c r="I883" t="n">
        <v>-104.688652</v>
      </c>
      <c r="J883" t="s">
        <v>4109</v>
      </c>
      <c r="K883" t="s">
        <v>70</v>
      </c>
      <c r="L883"/>
      <c r="M883" t="n">
        <v>1988</v>
      </c>
      <c r="N883" t="n">
        <v>1988</v>
      </c>
      <c r="O883" t="s">
        <v>325</v>
      </c>
      <c r="P883" t="n">
        <v>1</v>
      </c>
      <c r="Q883" t="n">
        <v>1</v>
      </c>
      <c r="R883" t="n">
        <v>1</v>
      </c>
      <c r="S883" t="n">
        <v>1951</v>
      </c>
      <c r="T883" t="s">
        <v>4941</v>
      </c>
      <c r="U883" t="s">
        <v>4942</v>
      </c>
      <c r="V883" t="s">
        <v>74</v>
      </c>
      <c r="W883"/>
      <c r="X883"/>
      <c r="Y883"/>
      <c r="Z883"/>
      <c r="AA883"/>
      <c r="AB883"/>
      <c r="AC883"/>
      <c r="AD883"/>
      <c r="AE883"/>
      <c r="AF883"/>
      <c r="AG883"/>
    </row>
    <row r="884">
      <c r="A884" t="s">
        <v>4943</v>
      </c>
      <c r="B884" t="s">
        <v>31</v>
      </c>
      <c r="C884" t="s">
        <v>24</v>
      </c>
      <c r="D884" t="s">
        <v>4944</v>
      </c>
      <c r="E884" t="s">
        <v>4945</v>
      </c>
      <c r="F884" t="s">
        <v>4946</v>
      </c>
      <c r="G884" t="s">
        <v>4947</v>
      </c>
      <c r="H884" t="n">
        <v>39.5752309394211</v>
      </c>
      <c r="I884" t="n">
        <v>-106.105430003138</v>
      </c>
      <c r="J884" t="s">
        <v>4109</v>
      </c>
      <c r="K884" t="s">
        <v>70</v>
      </c>
      <c r="L884"/>
      <c r="M884" t="n">
        <v>1988</v>
      </c>
      <c r="N884" t="n">
        <v>1992</v>
      </c>
      <c r="O884" t="s">
        <v>310</v>
      </c>
      <c r="P884" t="n">
        <v>3</v>
      </c>
      <c r="Q884" t="n">
        <v>4</v>
      </c>
      <c r="R884" t="n">
        <v>2</v>
      </c>
      <c r="S884" t="n">
        <v>1967</v>
      </c>
      <c r="T884" t="s">
        <v>4948</v>
      </c>
      <c r="U884" t="s">
        <v>4949</v>
      </c>
      <c r="V884" t="s">
        <v>74</v>
      </c>
      <c r="W884"/>
      <c r="X884"/>
      <c r="Y884"/>
      <c r="Z884"/>
      <c r="AA884"/>
      <c r="AB884"/>
      <c r="AC884"/>
      <c r="AD884"/>
      <c r="AE884"/>
      <c r="AF884"/>
      <c r="AG884"/>
    </row>
    <row r="885">
      <c r="A885" t="s">
        <v>4950</v>
      </c>
      <c r="B885" t="s">
        <v>31</v>
      </c>
      <c r="C885" t="s">
        <v>24</v>
      </c>
      <c r="D885" t="s">
        <v>4951</v>
      </c>
      <c r="E885" t="s">
        <v>3967</v>
      </c>
      <c r="F885" t="s">
        <v>3950</v>
      </c>
      <c r="G885" t="s">
        <v>3968</v>
      </c>
      <c r="H885" t="n">
        <v>40.4196482857143</v>
      </c>
      <c r="I885" t="n">
        <v>-104.690877122449</v>
      </c>
      <c r="J885" t="s">
        <v>4109</v>
      </c>
      <c r="K885" t="s">
        <v>120</v>
      </c>
      <c r="L885"/>
      <c r="M885" t="n">
        <v>1966</v>
      </c>
      <c r="N885" t="n">
        <v>1968</v>
      </c>
      <c r="O885" t="s">
        <v>1556</v>
      </c>
      <c r="P885" t="n">
        <v>2</v>
      </c>
      <c r="Q885" t="n">
        <v>2</v>
      </c>
      <c r="R885" t="n">
        <v>2</v>
      </c>
      <c r="S885" t="n">
        <v>1917</v>
      </c>
      <c r="T885" t="s">
        <v>4952</v>
      </c>
      <c r="U885" t="s">
        <v>4953</v>
      </c>
      <c r="V885" t="s">
        <v>74</v>
      </c>
      <c r="W885"/>
      <c r="X885"/>
      <c r="Y885"/>
      <c r="Z885"/>
      <c r="AA885"/>
      <c r="AB885" t="s">
        <v>4954</v>
      </c>
      <c r="AC885" t="n">
        <v>191</v>
      </c>
      <c r="AD885"/>
      <c r="AE885"/>
      <c r="AF885" t="s">
        <v>4955</v>
      </c>
      <c r="AG885" t="n">
        <v>50</v>
      </c>
    </row>
    <row r="886">
      <c r="A886" t="s">
        <v>4956</v>
      </c>
      <c r="B886" t="s">
        <v>31</v>
      </c>
      <c r="C886" t="s">
        <v>24</v>
      </c>
      <c r="D886" t="s">
        <v>4957</v>
      </c>
      <c r="E886" t="s">
        <v>3967</v>
      </c>
      <c r="F886" t="s">
        <v>3950</v>
      </c>
      <c r="G886" t="s">
        <v>3976</v>
      </c>
      <c r="H886" t="n">
        <v>40.4248516122449</v>
      </c>
      <c r="I886" t="n">
        <v>-104.687306586735</v>
      </c>
      <c r="J886" t="s">
        <v>4109</v>
      </c>
      <c r="K886" t="s">
        <v>120</v>
      </c>
      <c r="L886"/>
      <c r="M886" t="n">
        <v>1966</v>
      </c>
      <c r="N886" t="n">
        <v>1992</v>
      </c>
      <c r="O886" t="s">
        <v>1556</v>
      </c>
      <c r="P886" t="n">
        <v>4</v>
      </c>
      <c r="Q886" t="n">
        <v>3</v>
      </c>
      <c r="R886" t="n">
        <v>1</v>
      </c>
      <c r="S886" t="n">
        <v>1935</v>
      </c>
      <c r="T886" t="s">
        <v>4958</v>
      </c>
      <c r="U886" t="s">
        <v>4959</v>
      </c>
      <c r="V886" t="s">
        <v>74</v>
      </c>
      <c r="W886"/>
      <c r="X886"/>
      <c r="Y886"/>
      <c r="Z886"/>
      <c r="AA886"/>
      <c r="AB886"/>
      <c r="AC886"/>
      <c r="AD886"/>
      <c r="AE886"/>
      <c r="AF886" t="s">
        <v>3973</v>
      </c>
      <c r="AG886" t="n">
        <v>59</v>
      </c>
    </row>
    <row r="887">
      <c r="A887" t="s">
        <v>4960</v>
      </c>
      <c r="B887" t="s">
        <v>31</v>
      </c>
      <c r="C887" t="s">
        <v>24</v>
      </c>
      <c r="D887" t="s">
        <v>4961</v>
      </c>
      <c r="E887" t="s">
        <v>118</v>
      </c>
      <c r="F887" t="s">
        <v>3950</v>
      </c>
      <c r="G887" t="s">
        <v>3968</v>
      </c>
      <c r="H887" t="n">
        <v>39.995831</v>
      </c>
      <c r="I887" t="n">
        <v>-104.815434</v>
      </c>
      <c r="J887" t="s">
        <v>4109</v>
      </c>
      <c r="K887" t="s">
        <v>120</v>
      </c>
      <c r="L887"/>
      <c r="M887" t="n">
        <v>1968</v>
      </c>
      <c r="N887" t="n">
        <v>1968</v>
      </c>
      <c r="O887" t="s">
        <v>1349</v>
      </c>
      <c r="P887" t="n">
        <v>1</v>
      </c>
      <c r="Q887" t="n">
        <v>1</v>
      </c>
      <c r="R887" t="n">
        <v>1</v>
      </c>
      <c r="S887" t="n">
        <v>1925</v>
      </c>
      <c r="T887" t="s">
        <v>4962</v>
      </c>
      <c r="U887" t="s">
        <v>4963</v>
      </c>
      <c r="V887" t="s">
        <v>74</v>
      </c>
      <c r="W887"/>
      <c r="X887"/>
      <c r="Y887"/>
      <c r="Z887"/>
      <c r="AA887"/>
      <c r="AB887"/>
      <c r="AC887"/>
      <c r="AD887"/>
      <c r="AE887"/>
      <c r="AF887"/>
      <c r="AG887"/>
    </row>
    <row r="888">
      <c r="A888" t="s">
        <v>4964</v>
      </c>
      <c r="B888" t="s">
        <v>31</v>
      </c>
      <c r="C888" t="s">
        <v>24</v>
      </c>
      <c r="D888" t="s">
        <v>4965</v>
      </c>
      <c r="E888" t="s">
        <v>3967</v>
      </c>
      <c r="F888" t="s">
        <v>3950</v>
      </c>
      <c r="G888" t="s">
        <v>3976</v>
      </c>
      <c r="H888" t="n">
        <v>40.421165</v>
      </c>
      <c r="I888" t="n">
        <v>-104.690864</v>
      </c>
      <c r="J888" t="s">
        <v>4109</v>
      </c>
      <c r="K888" t="s">
        <v>126</v>
      </c>
      <c r="L888"/>
      <c r="M888" t="n">
        <v>1973</v>
      </c>
      <c r="N888" t="n">
        <v>1990</v>
      </c>
      <c r="O888" t="s">
        <v>121</v>
      </c>
      <c r="P888" t="n">
        <v>2</v>
      </c>
      <c r="Q888" t="n">
        <v>2</v>
      </c>
      <c r="R888" t="n">
        <v>1</v>
      </c>
      <c r="S888" t="n">
        <v>1870</v>
      </c>
      <c r="T888" t="s">
        <v>4966</v>
      </c>
      <c r="U888" t="s">
        <v>4967</v>
      </c>
      <c r="V888" t="s">
        <v>74</v>
      </c>
      <c r="W888"/>
      <c r="X888"/>
      <c r="Y888"/>
      <c r="Z888"/>
      <c r="AA888"/>
      <c r="AB888" t="s">
        <v>4954</v>
      </c>
      <c r="AC888" t="n">
        <v>147</v>
      </c>
      <c r="AD888"/>
      <c r="AE888"/>
      <c r="AF888" t="s">
        <v>4968</v>
      </c>
      <c r="AG888" t="n">
        <v>43</v>
      </c>
    </row>
    <row r="889">
      <c r="A889" t="s">
        <v>4969</v>
      </c>
      <c r="B889" t="s">
        <v>31</v>
      </c>
      <c r="C889" t="s">
        <v>24</v>
      </c>
      <c r="D889" t="s">
        <v>4970</v>
      </c>
      <c r="E889" t="s">
        <v>3967</v>
      </c>
      <c r="F889" t="s">
        <v>3950</v>
      </c>
      <c r="G889" t="s">
        <v>3976</v>
      </c>
      <c r="H889" t="n">
        <v>40.4098988571429</v>
      </c>
      <c r="I889" t="n">
        <v>-104.687755938775</v>
      </c>
      <c r="J889" t="s">
        <v>4109</v>
      </c>
      <c r="K889" t="s">
        <v>120</v>
      </c>
      <c r="L889"/>
      <c r="M889" t="n">
        <v>1974</v>
      </c>
      <c r="N889" t="n">
        <v>1974</v>
      </c>
      <c r="O889" t="s">
        <v>210</v>
      </c>
      <c r="P889" t="n">
        <v>1</v>
      </c>
      <c r="Q889" t="n">
        <v>1</v>
      </c>
      <c r="R889" t="n">
        <v>1</v>
      </c>
      <c r="S889" t="n">
        <v>1965</v>
      </c>
      <c r="T889" t="s">
        <v>4971</v>
      </c>
      <c r="U889" t="s">
        <v>4972</v>
      </c>
      <c r="V889" t="s">
        <v>74</v>
      </c>
      <c r="W889"/>
      <c r="X889"/>
      <c r="Y889"/>
      <c r="Z889"/>
      <c r="AA889"/>
      <c r="AB889"/>
      <c r="AC889"/>
      <c r="AD889"/>
      <c r="AE889"/>
      <c r="AF889"/>
      <c r="AG889"/>
    </row>
    <row r="890">
      <c r="A890" t="s">
        <v>4973</v>
      </c>
      <c r="B890" t="s">
        <v>31</v>
      </c>
      <c r="C890" t="s">
        <v>24</v>
      </c>
      <c r="D890" t="s">
        <v>4974</v>
      </c>
      <c r="E890" t="s">
        <v>3967</v>
      </c>
      <c r="F890" t="s">
        <v>3950</v>
      </c>
      <c r="G890" t="s">
        <v>3976</v>
      </c>
      <c r="H890" t="n">
        <v>40.4271811163127</v>
      </c>
      <c r="I890" t="n">
        <v>-104.683152956075</v>
      </c>
      <c r="J890" t="s">
        <v>4109</v>
      </c>
      <c r="K890" t="s">
        <v>141</v>
      </c>
      <c r="L890"/>
      <c r="M890" t="n">
        <v>1983</v>
      </c>
      <c r="N890" t="n">
        <v>1983</v>
      </c>
      <c r="O890" t="s">
        <v>264</v>
      </c>
      <c r="P890" t="n">
        <v>1</v>
      </c>
      <c r="Q890" t="n">
        <v>1</v>
      </c>
      <c r="R890" t="n">
        <v>1</v>
      </c>
      <c r="S890" t="n">
        <v>1970</v>
      </c>
      <c r="T890" t="s">
        <v>4975</v>
      </c>
      <c r="U890" t="s">
        <v>4976</v>
      </c>
      <c r="V890" t="s">
        <v>74</v>
      </c>
      <c r="W890"/>
      <c r="X890"/>
      <c r="Y890"/>
      <c r="Z890"/>
      <c r="AA890"/>
      <c r="AB890"/>
      <c r="AC890"/>
      <c r="AD890"/>
      <c r="AE890"/>
      <c r="AF890" t="s">
        <v>4977</v>
      </c>
      <c r="AG890" t="n">
        <v>193</v>
      </c>
    </row>
    <row r="891">
      <c r="A891" t="s">
        <v>4978</v>
      </c>
      <c r="B891" t="s">
        <v>31</v>
      </c>
      <c r="C891" t="s">
        <v>24</v>
      </c>
      <c r="D891" t="s">
        <v>4979</v>
      </c>
      <c r="E891" t="s">
        <v>3967</v>
      </c>
      <c r="F891" t="s">
        <v>3950</v>
      </c>
      <c r="G891" t="s">
        <v>4082</v>
      </c>
      <c r="H891" t="n">
        <v>40.4292698787879</v>
      </c>
      <c r="I891" t="n">
        <v>-104.780107858586</v>
      </c>
      <c r="J891" t="s">
        <v>4109</v>
      </c>
      <c r="K891" t="s">
        <v>796</v>
      </c>
      <c r="L891"/>
      <c r="M891" t="n">
        <v>1983</v>
      </c>
      <c r="N891" t="n">
        <v>1983</v>
      </c>
      <c r="O891" t="s">
        <v>264</v>
      </c>
      <c r="P891" t="n">
        <v>1</v>
      </c>
      <c r="Q891" t="n">
        <v>1</v>
      </c>
      <c r="R891" t="n">
        <v>1</v>
      </c>
      <c r="S891" t="n">
        <v>1977</v>
      </c>
      <c r="T891" t="s">
        <v>4980</v>
      </c>
      <c r="U891" t="s">
        <v>4981</v>
      </c>
      <c r="V891" t="s">
        <v>74</v>
      </c>
      <c r="W891"/>
      <c r="X891"/>
      <c r="Y891"/>
      <c r="Z891"/>
      <c r="AA891"/>
      <c r="AB891"/>
      <c r="AC891"/>
      <c r="AD891"/>
      <c r="AE891"/>
      <c r="AF891"/>
      <c r="AG891"/>
    </row>
    <row r="892">
      <c r="A892" t="s">
        <v>4982</v>
      </c>
      <c r="B892" t="s">
        <v>31</v>
      </c>
      <c r="C892" t="s">
        <v>24</v>
      </c>
      <c r="D892" t="s">
        <v>4983</v>
      </c>
      <c r="E892" t="s">
        <v>3967</v>
      </c>
      <c r="F892" t="s">
        <v>3950</v>
      </c>
      <c r="G892" t="s">
        <v>3976</v>
      </c>
      <c r="H892" t="n">
        <v>40.4284271084005</v>
      </c>
      <c r="I892" t="n">
        <v>-104.678385926879</v>
      </c>
      <c r="J892" t="s">
        <v>4109</v>
      </c>
      <c r="K892" t="s">
        <v>70</v>
      </c>
      <c r="L892"/>
      <c r="M892" t="n">
        <v>1983</v>
      </c>
      <c r="N892" t="n">
        <v>1992</v>
      </c>
      <c r="O892" t="s">
        <v>264</v>
      </c>
      <c r="P892" t="n">
        <v>3</v>
      </c>
      <c r="Q892" t="n">
        <v>3</v>
      </c>
      <c r="R892" t="n">
        <v>1</v>
      </c>
      <c r="S892" t="n">
        <v>1976</v>
      </c>
      <c r="T892" t="s">
        <v>4984</v>
      </c>
      <c r="U892" t="s">
        <v>4985</v>
      </c>
      <c r="V892" t="s">
        <v>74</v>
      </c>
      <c r="W892"/>
      <c r="X892"/>
      <c r="Y892"/>
      <c r="Z892"/>
      <c r="AA892"/>
      <c r="AB892"/>
      <c r="AC892"/>
      <c r="AD892" t="s">
        <v>4986</v>
      </c>
      <c r="AE892" t="n">
        <v>201</v>
      </c>
      <c r="AF892" t="s">
        <v>4987</v>
      </c>
      <c r="AG892" t="n">
        <v>143</v>
      </c>
    </row>
    <row r="893">
      <c r="A893" t="s">
        <v>4988</v>
      </c>
      <c r="B893" t="s">
        <v>31</v>
      </c>
      <c r="C893" t="s">
        <v>24</v>
      </c>
      <c r="D893" t="s">
        <v>4989</v>
      </c>
      <c r="E893" t="s">
        <v>3967</v>
      </c>
      <c r="F893" t="s">
        <v>3950</v>
      </c>
      <c r="G893" t="s">
        <v>3976</v>
      </c>
      <c r="H893" t="n">
        <v>40.391920539392</v>
      </c>
      <c r="I893" t="n">
        <v>-104.689744802968</v>
      </c>
      <c r="J893" t="s">
        <v>4109</v>
      </c>
      <c r="K893" t="s">
        <v>120</v>
      </c>
      <c r="L893"/>
      <c r="M893" t="n">
        <v>1983</v>
      </c>
      <c r="N893" t="n">
        <v>1983</v>
      </c>
      <c r="O893" t="s">
        <v>264</v>
      </c>
      <c r="P893" t="n">
        <v>1</v>
      </c>
      <c r="Q893" t="n">
        <v>1</v>
      </c>
      <c r="R893" t="n">
        <v>1</v>
      </c>
      <c r="S893" t="n">
        <v>1960</v>
      </c>
      <c r="T893" t="s">
        <v>4990</v>
      </c>
      <c r="U893" t="s">
        <v>4991</v>
      </c>
      <c r="V893" t="s">
        <v>74</v>
      </c>
      <c r="W893"/>
      <c r="X893"/>
      <c r="Y893"/>
      <c r="Z893"/>
      <c r="AA893"/>
      <c r="AB893"/>
      <c r="AC893"/>
      <c r="AD893"/>
      <c r="AE893"/>
      <c r="AF893" t="s">
        <v>4992</v>
      </c>
      <c r="AG893" t="n">
        <v>149</v>
      </c>
    </row>
    <row r="894">
      <c r="A894" t="s">
        <v>4993</v>
      </c>
      <c r="B894" t="s">
        <v>31</v>
      </c>
      <c r="C894" t="s">
        <v>24</v>
      </c>
      <c r="D894" t="s">
        <v>4994</v>
      </c>
      <c r="E894" t="s">
        <v>3967</v>
      </c>
      <c r="F894" t="s">
        <v>3950</v>
      </c>
      <c r="G894" t="s">
        <v>3976</v>
      </c>
      <c r="H894" t="n">
        <v>40.4110549183673</v>
      </c>
      <c r="I894" t="n">
        <v>-104.698654755102</v>
      </c>
      <c r="J894" t="s">
        <v>4109</v>
      </c>
      <c r="K894" t="s">
        <v>796</v>
      </c>
      <c r="L894"/>
      <c r="M894" t="n">
        <v>1983</v>
      </c>
      <c r="N894" t="n">
        <v>1983</v>
      </c>
      <c r="O894" t="s">
        <v>264</v>
      </c>
      <c r="P894" t="n">
        <v>1</v>
      </c>
      <c r="Q894" t="n">
        <v>1</v>
      </c>
      <c r="R894" t="n">
        <v>1</v>
      </c>
      <c r="S894" t="n">
        <v>1970</v>
      </c>
      <c r="T894" t="s">
        <v>4995</v>
      </c>
      <c r="U894" t="s">
        <v>4996</v>
      </c>
      <c r="V894" t="s">
        <v>74</v>
      </c>
      <c r="W894"/>
      <c r="X894"/>
      <c r="Y894"/>
      <c r="Z894"/>
      <c r="AA894"/>
      <c r="AB894"/>
      <c r="AC894"/>
      <c r="AD894"/>
      <c r="AE894"/>
      <c r="AF894"/>
      <c r="AG894"/>
    </row>
    <row r="895">
      <c r="A895" t="s">
        <v>4997</v>
      </c>
      <c r="B895" t="s">
        <v>31</v>
      </c>
      <c r="C895" t="s">
        <v>24</v>
      </c>
      <c r="D895" t="s">
        <v>4998</v>
      </c>
      <c r="E895" t="s">
        <v>4012</v>
      </c>
      <c r="F895" t="s">
        <v>3950</v>
      </c>
      <c r="G895" t="s">
        <v>4013</v>
      </c>
      <c r="H895" t="n">
        <v>40.094537</v>
      </c>
      <c r="I895" t="n">
        <v>-104.828657</v>
      </c>
      <c r="J895" t="s">
        <v>4109</v>
      </c>
      <c r="K895" t="s">
        <v>141</v>
      </c>
      <c r="L895"/>
      <c r="M895" t="n">
        <v>1988</v>
      </c>
      <c r="N895" t="n">
        <v>1988</v>
      </c>
      <c r="O895" t="s">
        <v>325</v>
      </c>
      <c r="P895" t="n">
        <v>1</v>
      </c>
      <c r="Q895" t="n">
        <v>1</v>
      </c>
      <c r="R895" t="n">
        <v>1</v>
      </c>
      <c r="S895" t="n">
        <v>1979</v>
      </c>
      <c r="T895" t="s">
        <v>4999</v>
      </c>
      <c r="U895" t="s">
        <v>5000</v>
      </c>
      <c r="V895" t="s">
        <v>74</v>
      </c>
      <c r="W895"/>
      <c r="X895"/>
      <c r="Y895"/>
      <c r="Z895"/>
      <c r="AA895"/>
      <c r="AB895"/>
      <c r="AC895"/>
      <c r="AD895"/>
      <c r="AE895"/>
      <c r="AF895"/>
      <c r="AG895"/>
    </row>
    <row r="896">
      <c r="A896" t="s">
        <v>5001</v>
      </c>
      <c r="B896" t="s">
        <v>31</v>
      </c>
      <c r="C896" t="s">
        <v>24</v>
      </c>
      <c r="D896" t="s">
        <v>5002</v>
      </c>
      <c r="E896" t="s">
        <v>3967</v>
      </c>
      <c r="F896" t="s">
        <v>3950</v>
      </c>
      <c r="G896" t="s">
        <v>3976</v>
      </c>
      <c r="H896" t="n">
        <v>40.4126138125</v>
      </c>
      <c r="I896" t="n">
        <v>-104.6909496875</v>
      </c>
      <c r="J896" t="s">
        <v>4109</v>
      </c>
      <c r="K896" t="s">
        <v>70</v>
      </c>
      <c r="L896"/>
      <c r="M896" t="n">
        <v>1988</v>
      </c>
      <c r="N896" t="n">
        <v>1990</v>
      </c>
      <c r="O896" t="s">
        <v>325</v>
      </c>
      <c r="P896" t="n">
        <v>2</v>
      </c>
      <c r="Q896" t="n">
        <v>1</v>
      </c>
      <c r="R896" t="n">
        <v>1</v>
      </c>
      <c r="S896" t="n">
        <v>1967</v>
      </c>
      <c r="T896" t="s">
        <v>5003</v>
      </c>
      <c r="U896" t="s">
        <v>5004</v>
      </c>
      <c r="V896" t="s">
        <v>74</v>
      </c>
      <c r="W896"/>
      <c r="X896"/>
      <c r="Y896"/>
      <c r="Z896"/>
      <c r="AA896"/>
      <c r="AB896"/>
      <c r="AC896"/>
      <c r="AD896"/>
      <c r="AE896"/>
      <c r="AF896"/>
      <c r="AG896"/>
    </row>
    <row r="897">
      <c r="A897" t="s">
        <v>5005</v>
      </c>
      <c r="B897" t="s">
        <v>31</v>
      </c>
      <c r="C897" t="s">
        <v>24</v>
      </c>
      <c r="D897" t="s">
        <v>5006</v>
      </c>
      <c r="E897" t="s">
        <v>4044</v>
      </c>
      <c r="F897" t="s">
        <v>3950</v>
      </c>
      <c r="G897" t="s">
        <v>4045</v>
      </c>
      <c r="H897" t="n">
        <v>40.23188</v>
      </c>
      <c r="I897" t="n">
        <v>-104.819491</v>
      </c>
      <c r="J897" t="s">
        <v>4109</v>
      </c>
      <c r="K897" t="s">
        <v>126</v>
      </c>
      <c r="L897"/>
      <c r="M897" t="n">
        <v>1988</v>
      </c>
      <c r="N897" t="n">
        <v>1990</v>
      </c>
      <c r="O897" t="s">
        <v>310</v>
      </c>
      <c r="P897" t="n">
        <v>2</v>
      </c>
      <c r="Q897" t="n">
        <v>3</v>
      </c>
      <c r="R897" t="n">
        <v>3</v>
      </c>
      <c r="S897" t="n">
        <v>1976</v>
      </c>
      <c r="T897" t="s">
        <v>5007</v>
      </c>
      <c r="U897" t="s">
        <v>5008</v>
      </c>
      <c r="V897" t="s">
        <v>74</v>
      </c>
      <c r="W897"/>
      <c r="X897"/>
      <c r="Y897"/>
      <c r="Z897"/>
      <c r="AA897"/>
      <c r="AB897"/>
      <c r="AC897"/>
      <c r="AD897"/>
      <c r="AE897"/>
      <c r="AF897"/>
      <c r="AG897"/>
    </row>
    <row r="898">
      <c r="A898" t="s">
        <v>5009</v>
      </c>
      <c r="B898" t="s">
        <v>31</v>
      </c>
      <c r="C898" t="s">
        <v>24</v>
      </c>
      <c r="D898" t="s">
        <v>5010</v>
      </c>
      <c r="E898" t="s">
        <v>3967</v>
      </c>
      <c r="F898" t="s">
        <v>3950</v>
      </c>
      <c r="G898" t="s">
        <v>3976</v>
      </c>
      <c r="H898" t="n">
        <v>40.3988602132753</v>
      </c>
      <c r="I898" t="n">
        <v>-104.677887794655</v>
      </c>
      <c r="J898" t="s">
        <v>4109</v>
      </c>
      <c r="K898" t="s">
        <v>220</v>
      </c>
      <c r="L898"/>
      <c r="M898" t="n">
        <v>1990</v>
      </c>
      <c r="N898" t="n">
        <v>1990</v>
      </c>
      <c r="O898" t="s">
        <v>351</v>
      </c>
      <c r="P898" t="n">
        <v>1</v>
      </c>
      <c r="Q898" t="n">
        <v>1</v>
      </c>
      <c r="R898" t="n">
        <v>1</v>
      </c>
      <c r="S898" t="n">
        <v>1981</v>
      </c>
      <c r="T898" t="s">
        <v>5011</v>
      </c>
      <c r="U898" t="s">
        <v>5012</v>
      </c>
      <c r="V898" t="s">
        <v>74</v>
      </c>
      <c r="W898"/>
      <c r="X898"/>
      <c r="Y898"/>
      <c r="Z898"/>
      <c r="AA898"/>
      <c r="AB898"/>
      <c r="AC898"/>
      <c r="AD898"/>
      <c r="AE898"/>
      <c r="AF898"/>
      <c r="AG898"/>
    </row>
    <row r="899">
      <c r="A899" t="s">
        <v>5013</v>
      </c>
      <c r="B899" t="s">
        <v>31</v>
      </c>
      <c r="C899" t="s">
        <v>24</v>
      </c>
      <c r="D899" t="s">
        <v>5014</v>
      </c>
      <c r="E899" t="s">
        <v>3967</v>
      </c>
      <c r="F899" t="s">
        <v>3950</v>
      </c>
      <c r="G899" t="s">
        <v>3976</v>
      </c>
      <c r="H899" t="n">
        <v>40.427138959677</v>
      </c>
      <c r="I899" t="n">
        <v>-104.683579517931</v>
      </c>
      <c r="J899" t="s">
        <v>4109</v>
      </c>
      <c r="K899" t="s">
        <v>70</v>
      </c>
      <c r="L899"/>
      <c r="M899" t="n">
        <v>1992</v>
      </c>
      <c r="N899" t="n">
        <v>1992</v>
      </c>
      <c r="O899" t="s">
        <v>1016</v>
      </c>
      <c r="P899" t="n">
        <v>1</v>
      </c>
      <c r="Q899" t="n">
        <v>1</v>
      </c>
      <c r="R899" t="n">
        <v>1</v>
      </c>
      <c r="S899" t="n">
        <v>1970</v>
      </c>
      <c r="T899" t="s">
        <v>5015</v>
      </c>
      <c r="U899" t="s">
        <v>5016</v>
      </c>
      <c r="V899" t="s">
        <v>74</v>
      </c>
      <c r="W899"/>
      <c r="X899"/>
      <c r="Y899"/>
      <c r="Z899"/>
      <c r="AA899"/>
      <c r="AB899"/>
      <c r="AC899"/>
      <c r="AD899"/>
      <c r="AE899"/>
      <c r="AF899" t="s">
        <v>4977</v>
      </c>
      <c r="AG899" t="n">
        <v>156</v>
      </c>
    </row>
    <row r="900">
      <c r="A900" t="s">
        <v>5017</v>
      </c>
      <c r="B900" t="s">
        <v>31</v>
      </c>
      <c r="C900" t="s">
        <v>24</v>
      </c>
      <c r="D900" t="s">
        <v>5018</v>
      </c>
      <c r="E900" t="s">
        <v>3967</v>
      </c>
      <c r="F900" t="s">
        <v>3950</v>
      </c>
      <c r="G900" t="s">
        <v>3976</v>
      </c>
      <c r="H900" t="n">
        <v>40.4292203877551</v>
      </c>
      <c r="I900" t="n">
        <v>-104.692562469388</v>
      </c>
      <c r="J900" t="s">
        <v>4109</v>
      </c>
      <c r="K900" t="s">
        <v>70</v>
      </c>
      <c r="L900"/>
      <c r="M900" t="n">
        <v>1992</v>
      </c>
      <c r="N900" t="n">
        <v>1992</v>
      </c>
      <c r="O900" t="s">
        <v>1016</v>
      </c>
      <c r="P900" t="n">
        <v>1</v>
      </c>
      <c r="Q900" t="n">
        <v>1</v>
      </c>
      <c r="R900" t="n">
        <v>1</v>
      </c>
      <c r="S900" t="n">
        <v>1973</v>
      </c>
      <c r="T900" t="s">
        <v>5019</v>
      </c>
      <c r="U900" t="s">
        <v>5020</v>
      </c>
      <c r="V900" t="s">
        <v>74</v>
      </c>
      <c r="W900"/>
      <c r="X900"/>
      <c r="Y900"/>
      <c r="Z900"/>
      <c r="AA900"/>
      <c r="AB900"/>
      <c r="AC900"/>
      <c r="AD900"/>
      <c r="AE900"/>
      <c r="AF900" t="s">
        <v>5021</v>
      </c>
      <c r="AG900" t="n">
        <v>154</v>
      </c>
    </row>
    <row r="901">
      <c r="A901" t="s">
        <v>5022</v>
      </c>
      <c r="B901" t="s">
        <v>31</v>
      </c>
      <c r="C901" t="s">
        <v>24</v>
      </c>
      <c r="D901" t="s">
        <v>5023</v>
      </c>
      <c r="E901" t="s">
        <v>5024</v>
      </c>
      <c r="F901" t="s">
        <v>5025</v>
      </c>
      <c r="G901" t="s">
        <v>5026</v>
      </c>
      <c r="H901" t="n">
        <v>40.080878</v>
      </c>
      <c r="I901" t="n">
        <v>-102.22209</v>
      </c>
      <c r="J901" t="s">
        <v>4109</v>
      </c>
      <c r="K901" t="s">
        <v>126</v>
      </c>
      <c r="L901"/>
      <c r="M901" t="n">
        <v>1992</v>
      </c>
      <c r="N901" t="n">
        <v>1992</v>
      </c>
      <c r="O901" t="s">
        <v>1016</v>
      </c>
      <c r="P901" t="n">
        <v>1</v>
      </c>
      <c r="Q901" t="n">
        <v>1</v>
      </c>
      <c r="R901" t="n">
        <v>1</v>
      </c>
      <c r="S901"/>
      <c r="T901" t="s">
        <v>5027</v>
      </c>
      <c r="U901" t="s">
        <v>5028</v>
      </c>
      <c r="V901" t="s">
        <v>74</v>
      </c>
      <c r="W901"/>
      <c r="X901"/>
      <c r="Y901"/>
      <c r="Z901"/>
      <c r="AA901"/>
      <c r="AB901"/>
      <c r="AC901"/>
      <c r="AD901"/>
      <c r="AE901"/>
      <c r="AF901" t="s">
        <v>5029</v>
      </c>
      <c r="AG901" t="n">
        <v>233</v>
      </c>
    </row>
    <row r="902">
      <c r="A902" t="s">
        <v>5030</v>
      </c>
      <c r="B902" t="s">
        <v>31</v>
      </c>
      <c r="C902" t="s">
        <v>25</v>
      </c>
      <c r="D902" t="s">
        <v>5031</v>
      </c>
      <c r="E902" t="s">
        <v>95</v>
      </c>
      <c r="F902" t="s">
        <v>387</v>
      </c>
      <c r="G902" t="s">
        <v>433</v>
      </c>
      <c r="H902" t="n">
        <v>39.7336072040816</v>
      </c>
      <c r="I902" t="n">
        <v>-104.861177469388</v>
      </c>
      <c r="J902" t="s">
        <v>4109</v>
      </c>
      <c r="K902" t="s">
        <v>120</v>
      </c>
      <c r="L902"/>
      <c r="M902" t="n">
        <v>1966</v>
      </c>
      <c r="N902" t="n">
        <v>1966</v>
      </c>
      <c r="O902" t="s">
        <v>4172</v>
      </c>
      <c r="P902" t="n">
        <v>1</v>
      </c>
      <c r="Q902" t="n">
        <v>1</v>
      </c>
      <c r="R902" t="n">
        <v>1</v>
      </c>
      <c r="S902" t="n">
        <v>1950</v>
      </c>
      <c r="T902" t="s">
        <v>5032</v>
      </c>
      <c r="U902" t="s">
        <v>5033</v>
      </c>
      <c r="V902" t="s">
        <v>4175</v>
      </c>
      <c r="W902"/>
      <c r="X902"/>
      <c r="Y902"/>
      <c r="Z902"/>
      <c r="AA902"/>
      <c r="AB902"/>
      <c r="AC902"/>
      <c r="AD902"/>
      <c r="AE902"/>
      <c r="AF902" t="s">
        <v>5034</v>
      </c>
      <c r="AG902" t="n">
        <v>240</v>
      </c>
    </row>
    <row r="903">
      <c r="A903" t="s">
        <v>5035</v>
      </c>
      <c r="B903" t="s">
        <v>31</v>
      </c>
      <c r="C903" t="s">
        <v>25</v>
      </c>
      <c r="D903" t="s">
        <v>5036</v>
      </c>
      <c r="E903" t="s">
        <v>79</v>
      </c>
      <c r="F903" t="s">
        <v>1274</v>
      </c>
      <c r="G903" t="s">
        <v>1881</v>
      </c>
      <c r="H903" t="n">
        <v>39.7714259401301</v>
      </c>
      <c r="I903" t="n">
        <v>-104.90767644899</v>
      </c>
      <c r="J903" t="s">
        <v>4109</v>
      </c>
      <c r="K903" t="s">
        <v>282</v>
      </c>
      <c r="L903"/>
      <c r="M903" t="n">
        <v>1966</v>
      </c>
      <c r="N903" t="n">
        <v>1966</v>
      </c>
      <c r="O903" t="s">
        <v>4172</v>
      </c>
      <c r="P903" t="n">
        <v>1</v>
      </c>
      <c r="Q903" t="n">
        <v>1</v>
      </c>
      <c r="R903" t="n">
        <v>1</v>
      </c>
      <c r="S903" t="n">
        <v>1939</v>
      </c>
      <c r="T903" t="s">
        <v>5037</v>
      </c>
      <c r="U903" t="s">
        <v>5038</v>
      </c>
      <c r="V903" t="s">
        <v>4175</v>
      </c>
      <c r="W903"/>
      <c r="X903"/>
      <c r="Y903"/>
      <c r="Z903"/>
      <c r="AA903"/>
      <c r="AB903" t="s">
        <v>5039</v>
      </c>
      <c r="AC903" t="n">
        <v>172</v>
      </c>
      <c r="AD903" t="s">
        <v>5040</v>
      </c>
      <c r="AE903" t="n">
        <v>139</v>
      </c>
      <c r="AF903" t="s">
        <v>5041</v>
      </c>
      <c r="AG903" t="n">
        <v>111</v>
      </c>
    </row>
    <row r="904">
      <c r="A904" t="s">
        <v>5042</v>
      </c>
      <c r="B904" t="s">
        <v>31</v>
      </c>
      <c r="C904" t="s">
        <v>25</v>
      </c>
      <c r="D904" t="s">
        <v>5043</v>
      </c>
      <c r="E904" t="s">
        <v>79</v>
      </c>
      <c r="F904" t="s">
        <v>1274</v>
      </c>
      <c r="G904" t="s">
        <v>1574</v>
      </c>
      <c r="H904" t="n">
        <v>39.748206</v>
      </c>
      <c r="I904" t="n">
        <v>-104.96965</v>
      </c>
      <c r="J904" t="s">
        <v>4109</v>
      </c>
      <c r="K904" t="s">
        <v>89</v>
      </c>
      <c r="L904"/>
      <c r="M904" t="n">
        <v>1966</v>
      </c>
      <c r="N904" t="n">
        <v>1990</v>
      </c>
      <c r="O904" t="s">
        <v>264</v>
      </c>
      <c r="P904" t="n">
        <v>5</v>
      </c>
      <c r="Q904" t="n">
        <v>5</v>
      </c>
      <c r="R904" t="n">
        <v>1</v>
      </c>
      <c r="S904" t="n">
        <v>1948</v>
      </c>
      <c r="T904" t="s">
        <v>5044</v>
      </c>
      <c r="U904" t="s">
        <v>5045</v>
      </c>
      <c r="V904" t="s">
        <v>4175</v>
      </c>
      <c r="W904"/>
      <c r="X904"/>
      <c r="Y904"/>
      <c r="Z904"/>
      <c r="AA904"/>
      <c r="AB904"/>
      <c r="AC904"/>
      <c r="AD904"/>
      <c r="AE904"/>
      <c r="AF904" t="s">
        <v>5046</v>
      </c>
      <c r="AG904" t="n">
        <v>126</v>
      </c>
    </row>
    <row r="905">
      <c r="A905" t="s">
        <v>5047</v>
      </c>
      <c r="B905" t="s">
        <v>31</v>
      </c>
      <c r="C905" t="s">
        <v>25</v>
      </c>
      <c r="D905" t="s">
        <v>5048</v>
      </c>
      <c r="E905" t="s">
        <v>79</v>
      </c>
      <c r="F905" t="s">
        <v>1274</v>
      </c>
      <c r="G905" t="s">
        <v>1440</v>
      </c>
      <c r="H905" t="n">
        <v>39.7347283489933</v>
      </c>
      <c r="I905" t="n">
        <v>-105.064863006711</v>
      </c>
      <c r="J905" t="s">
        <v>4109</v>
      </c>
      <c r="K905" t="s">
        <v>70</v>
      </c>
      <c r="L905"/>
      <c r="M905" t="n">
        <v>1966</v>
      </c>
      <c r="N905" t="n">
        <v>1990</v>
      </c>
      <c r="O905" t="s">
        <v>4172</v>
      </c>
      <c r="P905" t="n">
        <v>6</v>
      </c>
      <c r="Q905" t="n">
        <v>3</v>
      </c>
      <c r="R905" t="n">
        <v>1</v>
      </c>
      <c r="S905" t="n">
        <v>1932</v>
      </c>
      <c r="T905" t="s">
        <v>5049</v>
      </c>
      <c r="U905" t="s">
        <v>5050</v>
      </c>
      <c r="V905" t="s">
        <v>4175</v>
      </c>
      <c r="W905"/>
      <c r="X905"/>
      <c r="Y905"/>
      <c r="Z905"/>
      <c r="AA905"/>
      <c r="AB905" t="s">
        <v>5051</v>
      </c>
      <c r="AC905" t="n">
        <v>201</v>
      </c>
      <c r="AD905"/>
      <c r="AE905"/>
      <c r="AF905" t="s">
        <v>2871</v>
      </c>
      <c r="AG905" t="n">
        <v>223</v>
      </c>
    </row>
    <row r="906">
      <c r="A906" t="s">
        <v>5052</v>
      </c>
      <c r="B906" t="s">
        <v>31</v>
      </c>
      <c r="C906" t="s">
        <v>25</v>
      </c>
      <c r="D906" t="s">
        <v>5053</v>
      </c>
      <c r="E906" t="s">
        <v>3170</v>
      </c>
      <c r="F906" t="s">
        <v>3152</v>
      </c>
      <c r="G906" t="s">
        <v>3171</v>
      </c>
      <c r="H906" t="n">
        <v>40.639433</v>
      </c>
      <c r="I906" t="n">
        <v>-105.064791</v>
      </c>
      <c r="J906" t="s">
        <v>4109</v>
      </c>
      <c r="K906" t="s">
        <v>70</v>
      </c>
      <c r="L906"/>
      <c r="M906" t="n">
        <v>1974</v>
      </c>
      <c r="N906" t="n">
        <v>1974</v>
      </c>
      <c r="O906" t="s">
        <v>210</v>
      </c>
      <c r="P906" t="n">
        <v>1</v>
      </c>
      <c r="Q906" t="n">
        <v>1</v>
      </c>
      <c r="R906" t="n">
        <v>1</v>
      </c>
      <c r="S906" t="n">
        <v>1974</v>
      </c>
      <c r="T906" t="s">
        <v>5054</v>
      </c>
      <c r="U906" t="s">
        <v>5055</v>
      </c>
      <c r="V906" t="s">
        <v>4175</v>
      </c>
      <c r="W906"/>
      <c r="X906"/>
      <c r="Y906"/>
      <c r="Z906"/>
      <c r="AA906"/>
      <c r="AB906"/>
      <c r="AC906"/>
      <c r="AD906"/>
      <c r="AE906"/>
      <c r="AF906"/>
      <c r="AG906"/>
    </row>
    <row r="907">
      <c r="A907" t="s">
        <v>5056</v>
      </c>
      <c r="B907" t="s">
        <v>31</v>
      </c>
      <c r="C907" t="s">
        <v>25</v>
      </c>
      <c r="D907" t="s">
        <v>5057</v>
      </c>
      <c r="E907" t="s">
        <v>3461</v>
      </c>
      <c r="F907" t="s">
        <v>3462</v>
      </c>
      <c r="G907"/>
      <c r="H907" t="n">
        <v>39.067310958594</v>
      </c>
      <c r="I907" t="n">
        <v>-108.563680707259</v>
      </c>
      <c r="J907" t="s">
        <v>4109</v>
      </c>
      <c r="K907" t="s">
        <v>988</v>
      </c>
      <c r="L907"/>
      <c r="M907" t="n">
        <v>1966</v>
      </c>
      <c r="N907" t="n">
        <v>1973</v>
      </c>
      <c r="O907" t="s">
        <v>4172</v>
      </c>
      <c r="P907" t="n">
        <v>3</v>
      </c>
      <c r="Q907" t="n">
        <v>2</v>
      </c>
      <c r="R907" t="n">
        <v>2</v>
      </c>
      <c r="S907" t="n">
        <v>1927</v>
      </c>
      <c r="T907" t="s">
        <v>5058</v>
      </c>
      <c r="U907" t="s">
        <v>5059</v>
      </c>
      <c r="V907" t="s">
        <v>4175</v>
      </c>
      <c r="W907"/>
      <c r="X907"/>
      <c r="Y907"/>
      <c r="Z907"/>
      <c r="AA907"/>
      <c r="AB907" t="s">
        <v>5060</v>
      </c>
      <c r="AC907" t="n">
        <v>114</v>
      </c>
      <c r="AD907"/>
      <c r="AE907"/>
      <c r="AF907" t="s">
        <v>3477</v>
      </c>
      <c r="AG907" t="n">
        <v>112</v>
      </c>
    </row>
    <row r="908">
      <c r="A908" t="s">
        <v>5061</v>
      </c>
      <c r="B908" t="s">
        <v>31</v>
      </c>
      <c r="C908" t="s">
        <v>25</v>
      </c>
      <c r="D908" t="s">
        <v>5062</v>
      </c>
      <c r="E908" t="s">
        <v>3461</v>
      </c>
      <c r="F908" t="s">
        <v>3462</v>
      </c>
      <c r="G908" t="s">
        <v>3480</v>
      </c>
      <c r="H908" t="n">
        <v>39.084613</v>
      </c>
      <c r="I908" t="n">
        <v>-108.49576</v>
      </c>
      <c r="J908" t="s">
        <v>4109</v>
      </c>
      <c r="K908" t="s">
        <v>120</v>
      </c>
      <c r="L908"/>
      <c r="M908" t="n">
        <v>1966</v>
      </c>
      <c r="N908" t="n">
        <v>1983</v>
      </c>
      <c r="O908" t="s">
        <v>4172</v>
      </c>
      <c r="P908" t="n">
        <v>3</v>
      </c>
      <c r="Q908" t="n">
        <v>3</v>
      </c>
      <c r="R908" t="n">
        <v>1</v>
      </c>
      <c r="S908" t="n">
        <v>1954</v>
      </c>
      <c r="T908" t="s">
        <v>5063</v>
      </c>
      <c r="U908" t="s">
        <v>5064</v>
      </c>
      <c r="V908" t="s">
        <v>4175</v>
      </c>
      <c r="W908"/>
      <c r="X908"/>
      <c r="Y908"/>
      <c r="Z908"/>
      <c r="AA908"/>
      <c r="AB908"/>
      <c r="AC908"/>
      <c r="AD908"/>
      <c r="AE908"/>
      <c r="AF908"/>
      <c r="AG908"/>
    </row>
    <row r="909">
      <c r="A909" t="s">
        <v>5065</v>
      </c>
      <c r="B909" t="s">
        <v>31</v>
      </c>
      <c r="C909" t="s">
        <v>25</v>
      </c>
      <c r="D909" t="s">
        <v>5066</v>
      </c>
      <c r="E909" t="s">
        <v>3789</v>
      </c>
      <c r="F909" t="s">
        <v>3790</v>
      </c>
      <c r="G909" t="s">
        <v>3797</v>
      </c>
      <c r="H909" t="n">
        <v>38.0952963367347</v>
      </c>
      <c r="I909" t="n">
        <v>-102.621135602041</v>
      </c>
      <c r="J909" t="s">
        <v>4109</v>
      </c>
      <c r="K909" t="s">
        <v>315</v>
      </c>
      <c r="L909"/>
      <c r="M909" t="n">
        <v>1966</v>
      </c>
      <c r="N909" t="n">
        <v>1977</v>
      </c>
      <c r="O909" t="s">
        <v>4172</v>
      </c>
      <c r="P909" t="n">
        <v>2</v>
      </c>
      <c r="Q909" t="n">
        <v>1</v>
      </c>
      <c r="R909" t="n">
        <v>1</v>
      </c>
      <c r="S909" t="n">
        <v>1948</v>
      </c>
      <c r="T909" t="s">
        <v>5067</v>
      </c>
      <c r="U909" t="s">
        <v>5068</v>
      </c>
      <c r="V909" t="s">
        <v>4175</v>
      </c>
      <c r="W909"/>
      <c r="X909"/>
      <c r="Y909"/>
      <c r="Z909"/>
      <c r="AA909"/>
      <c r="AB909"/>
      <c r="AC909"/>
      <c r="AD909"/>
      <c r="AE909"/>
      <c r="AF909"/>
      <c r="AG90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0.71" hidden="0" customWidth="1"/>
    <col min="3" max="3" width="10.71" hidden="0" customWidth="1"/>
    <col min="4" max="4" width="24.71" hidden="0" customWidth="1"/>
    <col min="5" max="5" width="15.71" hidden="0" customWidth="1"/>
    <col min="6" max="6" width="13.71" hidden="0" customWidth="1"/>
    <col min="7" max="7" width="10.71" hidden="0" customWidth="1"/>
    <col min="8" max="8" width="18.71" hidden="0" customWidth="1"/>
    <col min="9" max="9" width="19.71" hidden="0" customWidth="1"/>
    <col min="10" max="10" width="16.71" hidden="0" customWidth="1"/>
    <col min="11" max="11" width="60.71" hidden="0" customWidth="1"/>
    <col min="12" max="12" width="34.71" hidden="0" customWidth="1"/>
    <col min="13" max="13" width="10.71" hidden="0" customWidth="1"/>
    <col min="14" max="14" width="10.71" hidden="0" customWidth="1"/>
    <col min="15" max="15" width="6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60.71" hidden="0" customWidth="1"/>
    <col min="21" max="21" width="60.71" hidden="0" customWidth="1"/>
    <col min="22" max="22" width="10.71" hidden="0" customWidth="1"/>
    <col min="23" max="23" width="60.71" hidden="0" customWidth="1"/>
    <col min="24" max="24" width="60.71" hidden="0" customWidth="1"/>
    <col min="25" max="25" width="60.71" hidden="0" customWidth="1"/>
    <col min="26" max="26" width="60.71" hidden="0" customWidth="1"/>
    <col min="27" max="27" width="60.71" hidden="0" customWidth="1"/>
    <col min="28" max="28" width="52.71" hidden="0" customWidth="1"/>
    <col min="29" max="29" width="10.71" hidden="0" customWidth="1"/>
    <col min="30" max="30" width="60.71" hidden="0" customWidth="1"/>
    <col min="31" max="31" width="10.71" hidden="0" customWidth="1"/>
    <col min="32" max="32" width="57.71" hidden="0" customWidth="1"/>
    <col min="33" max="33" width="10.71" hidden="0" customWidth="1"/>
  </cols>
  <sheetData>
    <row r="1">
      <c r="A1" s="1" t="s">
        <v>34</v>
      </c>
      <c r="B1" s="1" t="s">
        <v>11</v>
      </c>
      <c r="C1" s="1" t="s">
        <v>13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</row>
    <row r="2">
      <c r="A2" t="s">
        <v>5069</v>
      </c>
      <c r="B2" t="s">
        <v>26</v>
      </c>
      <c r="C2" t="s">
        <v>24</v>
      </c>
      <c r="D2" t="s">
        <v>5070</v>
      </c>
      <c r="E2" t="s">
        <v>79</v>
      </c>
      <c r="F2" t="s">
        <v>68</v>
      </c>
      <c r="G2"/>
      <c r="H2" t="n">
        <v>39.791055</v>
      </c>
      <c r="I2" t="n">
        <v>-105.012371</v>
      </c>
      <c r="J2" t="s">
        <v>4109</v>
      </c>
      <c r="K2" t="s">
        <v>89</v>
      </c>
      <c r="L2"/>
      <c r="M2" t="n">
        <v>1965</v>
      </c>
      <c r="N2" t="n">
        <v>1965</v>
      </c>
      <c r="O2" t="s">
        <v>1275</v>
      </c>
      <c r="P2" t="n">
        <v>1</v>
      </c>
      <c r="Q2" t="n">
        <v>1</v>
      </c>
      <c r="R2" t="n">
        <v>1</v>
      </c>
      <c r="S2"/>
      <c r="T2" t="s">
        <v>5071</v>
      </c>
      <c r="U2" t="s">
        <v>5072</v>
      </c>
      <c r="V2" t="s">
        <v>74</v>
      </c>
      <c r="W2" t="s">
        <v>5073</v>
      </c>
      <c r="X2"/>
      <c r="Y2" t="s">
        <v>5074</v>
      </c>
      <c r="Z2"/>
      <c r="AA2" t="s">
        <v>5075</v>
      </c>
      <c r="AB2" t="s">
        <v>5076</v>
      </c>
      <c r="AC2" t="n">
        <v>106</v>
      </c>
      <c r="AD2"/>
      <c r="AE2"/>
      <c r="AF2" t="s">
        <v>5077</v>
      </c>
      <c r="AG2" t="n">
        <v>19</v>
      </c>
    </row>
    <row r="3">
      <c r="A3" t="s">
        <v>5078</v>
      </c>
      <c r="B3" t="s">
        <v>26</v>
      </c>
      <c r="C3" t="s">
        <v>65</v>
      </c>
      <c r="D3" t="s">
        <v>5079</v>
      </c>
      <c r="E3" t="s">
        <v>67</v>
      </c>
      <c r="F3" t="s">
        <v>68</v>
      </c>
      <c r="G3" t="s">
        <v>69</v>
      </c>
      <c r="H3" t="n">
        <v>39.7938316887251</v>
      </c>
      <c r="I3" t="n">
        <v>-104.938587679779</v>
      </c>
      <c r="J3" t="s">
        <v>35</v>
      </c>
      <c r="K3" t="s">
        <v>81</v>
      </c>
      <c r="L3"/>
      <c r="M3" t="n">
        <v>1966</v>
      </c>
      <c r="N3" t="n">
        <v>1988</v>
      </c>
      <c r="O3" t="s">
        <v>5080</v>
      </c>
      <c r="P3" t="n">
        <v>7</v>
      </c>
      <c r="Q3" t="n">
        <v>3</v>
      </c>
      <c r="R3" t="n">
        <v>2</v>
      </c>
      <c r="S3" t="n">
        <v>1937</v>
      </c>
      <c r="T3" t="s">
        <v>5081</v>
      </c>
      <c r="U3" t="s">
        <v>5082</v>
      </c>
      <c r="V3" t="s">
        <v>74</v>
      </c>
      <c r="W3" t="s">
        <v>5083</v>
      </c>
      <c r="X3"/>
      <c r="Y3" t="s">
        <v>5084</v>
      </c>
      <c r="Z3"/>
      <c r="AA3" t="s">
        <v>5085</v>
      </c>
      <c r="AB3" t="s">
        <v>5086</v>
      </c>
      <c r="AC3" t="n">
        <v>101</v>
      </c>
      <c r="AD3"/>
      <c r="AE3"/>
      <c r="AF3" t="s">
        <v>5087</v>
      </c>
      <c r="AG3" t="n">
        <v>33</v>
      </c>
    </row>
    <row r="4">
      <c r="A4" t="s">
        <v>5088</v>
      </c>
      <c r="B4" t="s">
        <v>26</v>
      </c>
      <c r="C4" t="s">
        <v>65</v>
      </c>
      <c r="D4" t="s">
        <v>5089</v>
      </c>
      <c r="E4" t="s">
        <v>67</v>
      </c>
      <c r="F4" t="s">
        <v>68</v>
      </c>
      <c r="G4" t="s">
        <v>69</v>
      </c>
      <c r="H4" t="n">
        <v>39.7932869511814</v>
      </c>
      <c r="I4" t="n">
        <v>-104.939471445428</v>
      </c>
      <c r="J4" t="s">
        <v>35</v>
      </c>
      <c r="K4" t="s">
        <v>126</v>
      </c>
      <c r="L4"/>
      <c r="M4" t="n">
        <v>1966</v>
      </c>
      <c r="N4" t="n">
        <v>1990</v>
      </c>
      <c r="O4" t="s">
        <v>5090</v>
      </c>
      <c r="P4" t="n">
        <v>9</v>
      </c>
      <c r="Q4" t="n">
        <v>8</v>
      </c>
      <c r="R4" t="n">
        <v>5</v>
      </c>
      <c r="S4" t="n">
        <v>1958</v>
      </c>
      <c r="T4" t="s">
        <v>5091</v>
      </c>
      <c r="U4" t="s">
        <v>5092</v>
      </c>
      <c r="V4" t="s">
        <v>74</v>
      </c>
      <c r="W4" t="s">
        <v>5093</v>
      </c>
      <c r="X4"/>
      <c r="Y4" t="s">
        <v>5094</v>
      </c>
      <c r="Z4"/>
      <c r="AA4"/>
      <c r="AB4" t="s">
        <v>5086</v>
      </c>
      <c r="AC4" t="n">
        <v>74</v>
      </c>
      <c r="AD4"/>
      <c r="AE4"/>
      <c r="AF4" t="s">
        <v>5095</v>
      </c>
      <c r="AG4" t="n">
        <v>39</v>
      </c>
    </row>
    <row r="5">
      <c r="A5" t="s">
        <v>5096</v>
      </c>
      <c r="B5" t="s">
        <v>26</v>
      </c>
      <c r="C5" t="s">
        <v>65</v>
      </c>
      <c r="D5" t="s">
        <v>5097</v>
      </c>
      <c r="E5" t="s">
        <v>67</v>
      </c>
      <c r="F5" t="s">
        <v>68</v>
      </c>
      <c r="G5" t="s">
        <v>69</v>
      </c>
      <c r="H5" t="n">
        <v>39.7910382448365</v>
      </c>
      <c r="I5" t="n">
        <v>-104.929458758611</v>
      </c>
      <c r="J5" t="s">
        <v>35</v>
      </c>
      <c r="K5" t="s">
        <v>120</v>
      </c>
      <c r="L5"/>
      <c r="M5" t="n">
        <v>1966</v>
      </c>
      <c r="N5" t="n">
        <v>1968</v>
      </c>
      <c r="O5" t="s">
        <v>388</v>
      </c>
      <c r="P5" t="n">
        <v>3</v>
      </c>
      <c r="Q5" t="n">
        <v>3</v>
      </c>
      <c r="R5" t="n">
        <v>1</v>
      </c>
      <c r="S5" t="n">
        <v>1955</v>
      </c>
      <c r="T5" t="s">
        <v>5098</v>
      </c>
      <c r="U5" t="s">
        <v>5099</v>
      </c>
      <c r="V5" t="s">
        <v>74</v>
      </c>
      <c r="W5" t="s">
        <v>5083</v>
      </c>
      <c r="X5"/>
      <c r="Y5"/>
      <c r="Z5"/>
      <c r="AA5" t="s">
        <v>5100</v>
      </c>
      <c r="AB5" t="s">
        <v>5101</v>
      </c>
      <c r="AC5" t="n">
        <v>180</v>
      </c>
      <c r="AD5"/>
      <c r="AE5"/>
      <c r="AF5" t="s">
        <v>5102</v>
      </c>
      <c r="AG5" t="n">
        <v>124</v>
      </c>
    </row>
    <row r="6">
      <c r="A6" t="s">
        <v>5103</v>
      </c>
      <c r="B6" t="s">
        <v>26</v>
      </c>
      <c r="C6" t="s">
        <v>65</v>
      </c>
      <c r="D6" t="s">
        <v>5104</v>
      </c>
      <c r="E6" t="s">
        <v>67</v>
      </c>
      <c r="F6" t="s">
        <v>68</v>
      </c>
      <c r="G6" t="s">
        <v>69</v>
      </c>
      <c r="H6" t="n">
        <v>39.8128472472725</v>
      </c>
      <c r="I6" t="n">
        <v>-104.91864983236</v>
      </c>
      <c r="J6" t="s">
        <v>35</v>
      </c>
      <c r="K6" t="s">
        <v>315</v>
      </c>
      <c r="L6"/>
      <c r="M6" t="n">
        <v>1966</v>
      </c>
      <c r="N6" t="n">
        <v>1992</v>
      </c>
      <c r="O6" t="s">
        <v>5105</v>
      </c>
      <c r="P6" t="n">
        <v>6</v>
      </c>
      <c r="Q6" t="n">
        <v>2</v>
      </c>
      <c r="R6" t="n">
        <v>1</v>
      </c>
      <c r="S6" t="n">
        <v>1959</v>
      </c>
      <c r="T6" t="s">
        <v>5106</v>
      </c>
      <c r="U6" t="s">
        <v>5107</v>
      </c>
      <c r="V6" t="s">
        <v>74</v>
      </c>
      <c r="W6" t="s">
        <v>5108</v>
      </c>
      <c r="X6"/>
      <c r="Y6" t="s">
        <v>5109</v>
      </c>
      <c r="Z6"/>
      <c r="AA6"/>
      <c r="AB6"/>
      <c r="AC6"/>
      <c r="AD6"/>
      <c r="AE6"/>
      <c r="AF6" t="s">
        <v>5110</v>
      </c>
      <c r="AG6" t="n">
        <v>5</v>
      </c>
    </row>
    <row r="7">
      <c r="A7" t="s">
        <v>5111</v>
      </c>
      <c r="B7" t="s">
        <v>26</v>
      </c>
      <c r="C7" t="s">
        <v>65</v>
      </c>
      <c r="D7" t="s">
        <v>5112</v>
      </c>
      <c r="E7" t="s">
        <v>67</v>
      </c>
      <c r="F7" t="s">
        <v>68</v>
      </c>
      <c r="G7" t="s">
        <v>69</v>
      </c>
      <c r="H7" t="n">
        <v>39.8123855</v>
      </c>
      <c r="I7" t="n">
        <v>-104.919906</v>
      </c>
      <c r="J7" t="s">
        <v>35</v>
      </c>
      <c r="K7" t="s">
        <v>282</v>
      </c>
      <c r="L7" t="s">
        <v>98</v>
      </c>
      <c r="M7" t="n">
        <v>1966</v>
      </c>
      <c r="N7" t="n">
        <v>1980</v>
      </c>
      <c r="O7" t="s">
        <v>388</v>
      </c>
      <c r="P7" t="n">
        <v>6</v>
      </c>
      <c r="Q7" t="n">
        <v>2</v>
      </c>
      <c r="R7" t="n">
        <v>1</v>
      </c>
      <c r="S7" t="n">
        <v>1938</v>
      </c>
      <c r="T7" t="s">
        <v>5113</v>
      </c>
      <c r="U7" t="s">
        <v>5114</v>
      </c>
      <c r="V7" t="s">
        <v>74</v>
      </c>
      <c r="W7" t="s">
        <v>5108</v>
      </c>
      <c r="X7"/>
      <c r="Y7"/>
      <c r="Z7"/>
      <c r="AA7"/>
      <c r="AB7"/>
      <c r="AC7"/>
      <c r="AD7" t="s">
        <v>5115</v>
      </c>
      <c r="AE7" t="n">
        <v>213</v>
      </c>
      <c r="AF7" t="s">
        <v>5116</v>
      </c>
      <c r="AG7" t="n">
        <v>51</v>
      </c>
    </row>
    <row r="8">
      <c r="A8" t="s">
        <v>5117</v>
      </c>
      <c r="B8" t="s">
        <v>26</v>
      </c>
      <c r="C8" t="s">
        <v>65</v>
      </c>
      <c r="D8" t="s">
        <v>5118</v>
      </c>
      <c r="E8" t="s">
        <v>67</v>
      </c>
      <c r="F8" t="s">
        <v>68</v>
      </c>
      <c r="G8" t="s">
        <v>69</v>
      </c>
      <c r="H8" t="n">
        <v>39.7922077530864</v>
      </c>
      <c r="I8" t="n">
        <v>-104.931648527497</v>
      </c>
      <c r="J8" t="s">
        <v>35</v>
      </c>
      <c r="K8" t="s">
        <v>1871</v>
      </c>
      <c r="L8" t="s">
        <v>1337</v>
      </c>
      <c r="M8" t="n">
        <v>1966</v>
      </c>
      <c r="N8" t="n">
        <v>1990</v>
      </c>
      <c r="O8" t="s">
        <v>5119</v>
      </c>
      <c r="P8" t="n">
        <v>8</v>
      </c>
      <c r="Q8" t="n">
        <v>6</v>
      </c>
      <c r="R8" t="n">
        <v>6</v>
      </c>
      <c r="S8" t="n">
        <v>1951</v>
      </c>
      <c r="T8" t="s">
        <v>5120</v>
      </c>
      <c r="U8" t="s">
        <v>5121</v>
      </c>
      <c r="V8" t="s">
        <v>74</v>
      </c>
      <c r="W8" t="s">
        <v>5122</v>
      </c>
      <c r="X8"/>
      <c r="Y8" t="s">
        <v>5123</v>
      </c>
      <c r="Z8"/>
      <c r="AA8" t="s">
        <v>5124</v>
      </c>
      <c r="AB8" t="s">
        <v>5125</v>
      </c>
      <c r="AC8" t="n">
        <v>47</v>
      </c>
      <c r="AD8"/>
      <c r="AE8"/>
      <c r="AF8" t="s">
        <v>5126</v>
      </c>
      <c r="AG8" t="n">
        <v>65</v>
      </c>
    </row>
    <row r="9">
      <c r="A9" t="s">
        <v>5127</v>
      </c>
      <c r="B9" t="s">
        <v>26</v>
      </c>
      <c r="C9" t="s">
        <v>24</v>
      </c>
      <c r="D9" t="s">
        <v>5128</v>
      </c>
      <c r="E9" t="s">
        <v>67</v>
      </c>
      <c r="F9" t="s">
        <v>68</v>
      </c>
      <c r="G9" t="s">
        <v>69</v>
      </c>
      <c r="H9" t="n">
        <v>39.81712994</v>
      </c>
      <c r="I9" t="n">
        <v>-104.91281244</v>
      </c>
      <c r="J9" t="s">
        <v>35</v>
      </c>
      <c r="K9" t="s">
        <v>315</v>
      </c>
      <c r="L9"/>
      <c r="M9" t="n">
        <v>1966</v>
      </c>
      <c r="N9" t="n">
        <v>1968</v>
      </c>
      <c r="O9" t="s">
        <v>4172</v>
      </c>
      <c r="P9" t="n">
        <v>2</v>
      </c>
      <c r="Q9" t="n">
        <v>2</v>
      </c>
      <c r="R9" t="n">
        <v>1</v>
      </c>
      <c r="S9" t="n">
        <v>1961</v>
      </c>
      <c r="T9" t="s">
        <v>5129</v>
      </c>
      <c r="U9" t="s">
        <v>5130</v>
      </c>
      <c r="V9" t="s">
        <v>4175</v>
      </c>
      <c r="W9" t="s">
        <v>5108</v>
      </c>
      <c r="X9"/>
      <c r="Y9"/>
      <c r="Z9"/>
      <c r="AA9"/>
      <c r="AB9"/>
      <c r="AC9"/>
      <c r="AD9"/>
      <c r="AE9"/>
      <c r="AF9"/>
      <c r="AG9"/>
    </row>
    <row r="10">
      <c r="A10" t="s">
        <v>5131</v>
      </c>
      <c r="B10" t="s">
        <v>26</v>
      </c>
      <c r="C10" t="s">
        <v>25</v>
      </c>
      <c r="D10" t="s">
        <v>5132</v>
      </c>
      <c r="E10" t="s">
        <v>95</v>
      </c>
      <c r="F10" t="s">
        <v>68</v>
      </c>
      <c r="G10" t="s">
        <v>96</v>
      </c>
      <c r="H10" t="n">
        <v>39.740254</v>
      </c>
      <c r="I10" t="n">
        <v>-104.774126</v>
      </c>
      <c r="J10" t="s">
        <v>4109</v>
      </c>
      <c r="K10" t="s">
        <v>70</v>
      </c>
      <c r="L10"/>
      <c r="M10" t="n">
        <v>1966</v>
      </c>
      <c r="N10" t="n">
        <v>1966</v>
      </c>
      <c r="O10" t="s">
        <v>4172</v>
      </c>
      <c r="P10" t="n">
        <v>1</v>
      </c>
      <c r="Q10" t="n">
        <v>1</v>
      </c>
      <c r="R10" t="n">
        <v>1</v>
      </c>
      <c r="S10" t="n">
        <v>1961</v>
      </c>
      <c r="T10" t="s">
        <v>5133</v>
      </c>
      <c r="U10" t="s">
        <v>5134</v>
      </c>
      <c r="V10" t="s">
        <v>4175</v>
      </c>
      <c r="W10" t="s">
        <v>5135</v>
      </c>
      <c r="X10"/>
      <c r="Y10" t="s">
        <v>5136</v>
      </c>
      <c r="Z10"/>
      <c r="AA10" t="s">
        <v>5137</v>
      </c>
      <c r="AB10" t="s">
        <v>5138</v>
      </c>
      <c r="AC10" t="n">
        <v>213</v>
      </c>
      <c r="AD10"/>
      <c r="AE10"/>
      <c r="AF10" t="s">
        <v>5139</v>
      </c>
      <c r="AG10" t="n">
        <v>119</v>
      </c>
    </row>
    <row r="11">
      <c r="A11" t="s">
        <v>5140</v>
      </c>
      <c r="B11" t="s">
        <v>26</v>
      </c>
      <c r="C11" t="s">
        <v>65</v>
      </c>
      <c r="D11" t="s">
        <v>5141</v>
      </c>
      <c r="E11" t="s">
        <v>67</v>
      </c>
      <c r="F11" t="s">
        <v>68</v>
      </c>
      <c r="G11" t="s">
        <v>69</v>
      </c>
      <c r="H11" t="n">
        <v>39.807245</v>
      </c>
      <c r="I11" t="n">
        <v>-104.934842</v>
      </c>
      <c r="J11" t="s">
        <v>35</v>
      </c>
      <c r="K11" t="s">
        <v>70</v>
      </c>
      <c r="L11"/>
      <c r="M11" t="n">
        <v>1966</v>
      </c>
      <c r="N11" t="n">
        <v>1990</v>
      </c>
      <c r="O11" t="s">
        <v>5142</v>
      </c>
      <c r="P11" t="n">
        <v>7</v>
      </c>
      <c r="Q11" t="n">
        <v>2</v>
      </c>
      <c r="R11" t="n">
        <v>2</v>
      </c>
      <c r="S11" t="n">
        <v>1955</v>
      </c>
      <c r="T11" t="s">
        <v>5143</v>
      </c>
      <c r="U11" t="s">
        <v>5144</v>
      </c>
      <c r="V11" t="s">
        <v>74</v>
      </c>
      <c r="W11" t="s">
        <v>5145</v>
      </c>
      <c r="X11" t="s">
        <v>5146</v>
      </c>
      <c r="Y11" t="s">
        <v>5147</v>
      </c>
      <c r="Z11"/>
      <c r="AA11" t="s">
        <v>5148</v>
      </c>
      <c r="AB11" t="s">
        <v>5149</v>
      </c>
      <c r="AC11" t="n">
        <v>142</v>
      </c>
      <c r="AD11" t="s">
        <v>5150</v>
      </c>
      <c r="AE11" t="n">
        <v>233</v>
      </c>
      <c r="AF11" t="s">
        <v>5151</v>
      </c>
      <c r="AG11" t="n">
        <v>42</v>
      </c>
    </row>
    <row r="12">
      <c r="A12" t="s">
        <v>5152</v>
      </c>
      <c r="B12" t="s">
        <v>26</v>
      </c>
      <c r="C12" t="s">
        <v>65</v>
      </c>
      <c r="D12" t="s">
        <v>5153</v>
      </c>
      <c r="E12" t="s">
        <v>79</v>
      </c>
      <c r="F12" t="s">
        <v>68</v>
      </c>
      <c r="G12" t="s">
        <v>80</v>
      </c>
      <c r="H12" t="n">
        <v>39.80406</v>
      </c>
      <c r="I12" t="n">
        <v>-105.025393</v>
      </c>
      <c r="J12" t="s">
        <v>35</v>
      </c>
      <c r="K12" t="s">
        <v>282</v>
      </c>
      <c r="L12"/>
      <c r="M12" t="n">
        <v>1966</v>
      </c>
      <c r="N12" t="n">
        <v>1974</v>
      </c>
      <c r="O12" t="s">
        <v>5154</v>
      </c>
      <c r="P12" t="n">
        <v>4</v>
      </c>
      <c r="Q12" t="n">
        <v>1</v>
      </c>
      <c r="R12" t="n">
        <v>1</v>
      </c>
      <c r="S12" t="n">
        <v>1933</v>
      </c>
      <c r="T12" t="s">
        <v>5155</v>
      </c>
      <c r="U12" t="s">
        <v>5156</v>
      </c>
      <c r="V12" t="s">
        <v>74</v>
      </c>
      <c r="W12" t="s">
        <v>5157</v>
      </c>
      <c r="X12"/>
      <c r="Y12"/>
      <c r="Z12"/>
      <c r="AA12" t="s">
        <v>5158</v>
      </c>
      <c r="AB12" t="s">
        <v>5159</v>
      </c>
      <c r="AC12" t="n">
        <v>14</v>
      </c>
      <c r="AD12"/>
      <c r="AE12"/>
      <c r="AF12" t="s">
        <v>5160</v>
      </c>
      <c r="AG12" t="n">
        <v>55</v>
      </c>
    </row>
    <row r="13">
      <c r="A13" t="s">
        <v>5161</v>
      </c>
      <c r="B13" t="s">
        <v>26</v>
      </c>
      <c r="C13" t="s">
        <v>65</v>
      </c>
      <c r="D13" t="s">
        <v>5162</v>
      </c>
      <c r="E13" t="s">
        <v>67</v>
      </c>
      <c r="F13" t="s">
        <v>68</v>
      </c>
      <c r="G13" t="s">
        <v>69</v>
      </c>
      <c r="H13" t="n">
        <v>39.783818</v>
      </c>
      <c r="I13" t="n">
        <v>-104.912887</v>
      </c>
      <c r="J13" t="s">
        <v>35</v>
      </c>
      <c r="K13" t="s">
        <v>120</v>
      </c>
      <c r="L13"/>
      <c r="M13" t="n">
        <v>1967</v>
      </c>
      <c r="N13" t="n">
        <v>1983</v>
      </c>
      <c r="O13" t="s">
        <v>388</v>
      </c>
      <c r="P13" t="n">
        <v>7</v>
      </c>
      <c r="Q13" t="n">
        <v>4</v>
      </c>
      <c r="R13" t="n">
        <v>1</v>
      </c>
      <c r="S13" t="n">
        <v>1951</v>
      </c>
      <c r="T13" t="s">
        <v>5163</v>
      </c>
      <c r="U13" t="s">
        <v>5164</v>
      </c>
      <c r="V13" t="s">
        <v>74</v>
      </c>
      <c r="W13" t="s">
        <v>5108</v>
      </c>
      <c r="X13"/>
      <c r="Y13"/>
      <c r="Z13"/>
      <c r="AA13"/>
      <c r="AB13" t="s">
        <v>5165</v>
      </c>
      <c r="AC13" t="n">
        <v>167</v>
      </c>
      <c r="AD13" t="s">
        <v>5166</v>
      </c>
      <c r="AE13" t="n">
        <v>161</v>
      </c>
      <c r="AF13" t="s">
        <v>5167</v>
      </c>
      <c r="AG13" t="n">
        <v>104</v>
      </c>
    </row>
    <row r="14">
      <c r="A14" t="s">
        <v>5168</v>
      </c>
      <c r="B14" t="s">
        <v>26</v>
      </c>
      <c r="C14" t="s">
        <v>24</v>
      </c>
      <c r="D14" t="s">
        <v>5169</v>
      </c>
      <c r="E14" t="s">
        <v>79</v>
      </c>
      <c r="F14" t="s">
        <v>68</v>
      </c>
      <c r="G14" t="s">
        <v>80</v>
      </c>
      <c r="H14" t="n">
        <v>39.7943734081633</v>
      </c>
      <c r="I14" t="n">
        <v>-105.025149510204</v>
      </c>
      <c r="J14" t="s">
        <v>4109</v>
      </c>
      <c r="K14" t="s">
        <v>70</v>
      </c>
      <c r="L14"/>
      <c r="M14" t="n">
        <v>1967</v>
      </c>
      <c r="N14" t="n">
        <v>1970</v>
      </c>
      <c r="O14" t="s">
        <v>3494</v>
      </c>
      <c r="P14" t="n">
        <v>3</v>
      </c>
      <c r="Q14" t="n">
        <v>1</v>
      </c>
      <c r="R14" t="n">
        <v>1</v>
      </c>
      <c r="S14" t="n">
        <v>1965</v>
      </c>
      <c r="T14" t="s">
        <v>5170</v>
      </c>
      <c r="U14" t="s">
        <v>5171</v>
      </c>
      <c r="V14" t="s">
        <v>74</v>
      </c>
      <c r="W14" t="s">
        <v>5172</v>
      </c>
      <c r="X14"/>
      <c r="Y14" t="s">
        <v>5173</v>
      </c>
      <c r="Z14"/>
      <c r="AA14" t="s">
        <v>5174</v>
      </c>
      <c r="AB14" t="s">
        <v>5175</v>
      </c>
      <c r="AC14" t="n">
        <v>139</v>
      </c>
      <c r="AD14"/>
      <c r="AE14"/>
      <c r="AF14" t="s">
        <v>5176</v>
      </c>
      <c r="AG14" t="n">
        <v>17</v>
      </c>
    </row>
    <row r="15">
      <c r="A15" t="s">
        <v>5177</v>
      </c>
      <c r="B15" t="s">
        <v>26</v>
      </c>
      <c r="C15" t="s">
        <v>65</v>
      </c>
      <c r="D15" t="s">
        <v>5178</v>
      </c>
      <c r="E15" t="s">
        <v>67</v>
      </c>
      <c r="F15" t="s">
        <v>68</v>
      </c>
      <c r="G15" t="s">
        <v>69</v>
      </c>
      <c r="H15" t="n">
        <v>39.7863035032937</v>
      </c>
      <c r="I15" t="n">
        <v>-104.91125704933</v>
      </c>
      <c r="J15" t="s">
        <v>35</v>
      </c>
      <c r="K15" t="s">
        <v>796</v>
      </c>
      <c r="L15"/>
      <c r="M15" t="n">
        <v>1968</v>
      </c>
      <c r="N15" t="n">
        <v>1983</v>
      </c>
      <c r="O15" t="s">
        <v>5179</v>
      </c>
      <c r="P15" t="n">
        <v>6</v>
      </c>
      <c r="Q15" t="n">
        <v>3</v>
      </c>
      <c r="R15" t="n">
        <v>2</v>
      </c>
      <c r="S15" t="n">
        <v>1966</v>
      </c>
      <c r="T15" t="s">
        <v>5180</v>
      </c>
      <c r="U15" t="s">
        <v>5181</v>
      </c>
      <c r="V15" t="s">
        <v>74</v>
      </c>
      <c r="W15" t="s">
        <v>5182</v>
      </c>
      <c r="X15"/>
      <c r="Y15"/>
      <c r="Z15"/>
      <c r="AA15"/>
      <c r="AB15" t="s">
        <v>150</v>
      </c>
      <c r="AC15" t="n">
        <v>6</v>
      </c>
      <c r="AD15" t="s">
        <v>5183</v>
      </c>
      <c r="AE15" t="n">
        <v>132</v>
      </c>
      <c r="AF15" t="s">
        <v>5184</v>
      </c>
      <c r="AG15" t="n">
        <v>103</v>
      </c>
    </row>
    <row r="16">
      <c r="A16" t="s">
        <v>5185</v>
      </c>
      <c r="B16" t="s">
        <v>26</v>
      </c>
      <c r="C16" t="s">
        <v>65</v>
      </c>
      <c r="D16" t="s">
        <v>5186</v>
      </c>
      <c r="E16" t="s">
        <v>177</v>
      </c>
      <c r="F16" t="s">
        <v>68</v>
      </c>
      <c r="G16" t="s">
        <v>178</v>
      </c>
      <c r="H16" t="n">
        <v>39.8564302210227</v>
      </c>
      <c r="I16" t="n">
        <v>-105.033345843924</v>
      </c>
      <c r="J16" t="s">
        <v>35</v>
      </c>
      <c r="K16" t="s">
        <v>5187</v>
      </c>
      <c r="L16"/>
      <c r="M16" t="n">
        <v>1968</v>
      </c>
      <c r="N16" t="n">
        <v>1990</v>
      </c>
      <c r="O16" t="s">
        <v>5188</v>
      </c>
      <c r="P16" t="n">
        <v>5</v>
      </c>
      <c r="Q16" t="n">
        <v>4</v>
      </c>
      <c r="R16" t="n">
        <v>4</v>
      </c>
      <c r="S16" t="n">
        <v>1956</v>
      </c>
      <c r="T16" t="s">
        <v>5189</v>
      </c>
      <c r="U16" t="s">
        <v>5190</v>
      </c>
      <c r="V16" t="s">
        <v>74</v>
      </c>
      <c r="W16" t="s">
        <v>5191</v>
      </c>
      <c r="X16"/>
      <c r="Y16"/>
      <c r="Z16"/>
      <c r="AA16"/>
      <c r="AB16" t="s">
        <v>5192</v>
      </c>
      <c r="AC16" t="n">
        <v>89</v>
      </c>
      <c r="AD16"/>
      <c r="AE16"/>
      <c r="AF16" t="s">
        <v>5192</v>
      </c>
      <c r="AG16" t="n">
        <v>205</v>
      </c>
    </row>
    <row r="17">
      <c r="A17" t="s">
        <v>5193</v>
      </c>
      <c r="B17" t="s">
        <v>26</v>
      </c>
      <c r="C17" t="s">
        <v>65</v>
      </c>
      <c r="D17" t="s">
        <v>5194</v>
      </c>
      <c r="E17" t="s">
        <v>79</v>
      </c>
      <c r="F17" t="s">
        <v>68</v>
      </c>
      <c r="G17" t="s">
        <v>80</v>
      </c>
      <c r="H17" t="n">
        <v>39.780163</v>
      </c>
      <c r="I17" t="n">
        <v>-105.001529868496</v>
      </c>
      <c r="J17" t="s">
        <v>35</v>
      </c>
      <c r="K17" t="s">
        <v>133</v>
      </c>
      <c r="L17"/>
      <c r="M17" t="n">
        <v>1968</v>
      </c>
      <c r="N17" t="n">
        <v>1983</v>
      </c>
      <c r="O17" t="s">
        <v>264</v>
      </c>
      <c r="P17" t="n">
        <v>3</v>
      </c>
      <c r="Q17" t="n">
        <v>2</v>
      </c>
      <c r="R17" t="n">
        <v>1</v>
      </c>
      <c r="S17" t="n">
        <v>1959</v>
      </c>
      <c r="T17" t="s">
        <v>5195</v>
      </c>
      <c r="U17" t="s">
        <v>5196</v>
      </c>
      <c r="V17" t="s">
        <v>74</v>
      </c>
      <c r="W17" t="s">
        <v>5197</v>
      </c>
      <c r="X17"/>
      <c r="Y17"/>
      <c r="Z17"/>
      <c r="AA17" t="s">
        <v>5198</v>
      </c>
      <c r="AB17" t="s">
        <v>1918</v>
      </c>
      <c r="AC17" t="n">
        <v>33</v>
      </c>
      <c r="AD17" t="s">
        <v>1919</v>
      </c>
      <c r="AE17" t="n">
        <v>149</v>
      </c>
      <c r="AF17" t="s">
        <v>5199</v>
      </c>
      <c r="AG17" t="n">
        <v>92</v>
      </c>
    </row>
    <row r="18">
      <c r="A18" t="s">
        <v>5200</v>
      </c>
      <c r="B18" t="s">
        <v>26</v>
      </c>
      <c r="C18" t="s">
        <v>65</v>
      </c>
      <c r="D18" t="s">
        <v>5201</v>
      </c>
      <c r="E18" t="s">
        <v>253</v>
      </c>
      <c r="F18" t="s">
        <v>68</v>
      </c>
      <c r="G18" t="s">
        <v>254</v>
      </c>
      <c r="H18" t="n">
        <v>39.8706116027659</v>
      </c>
      <c r="I18" t="n">
        <v>-104.894390224183</v>
      </c>
      <c r="J18" t="s">
        <v>35</v>
      </c>
      <c r="K18" t="s">
        <v>315</v>
      </c>
      <c r="L18"/>
      <c r="M18" t="n">
        <v>1970</v>
      </c>
      <c r="N18" t="n">
        <v>1983</v>
      </c>
      <c r="O18" t="s">
        <v>5202</v>
      </c>
      <c r="P18" t="n">
        <v>4</v>
      </c>
      <c r="Q18" t="n">
        <v>3</v>
      </c>
      <c r="R18" t="n">
        <v>3</v>
      </c>
      <c r="S18" t="n">
        <v>1957</v>
      </c>
      <c r="T18" t="s">
        <v>5203</v>
      </c>
      <c r="U18" t="s">
        <v>5204</v>
      </c>
      <c r="V18" t="s">
        <v>74</v>
      </c>
      <c r="W18" t="s">
        <v>5205</v>
      </c>
      <c r="X18" t="s">
        <v>5206</v>
      </c>
      <c r="Y18"/>
      <c r="Z18"/>
      <c r="AA18" t="s">
        <v>5207</v>
      </c>
      <c r="AB18"/>
      <c r="AC18"/>
      <c r="AD18" t="s">
        <v>5208</v>
      </c>
      <c r="AE18" t="n">
        <v>98</v>
      </c>
      <c r="AF18" t="s">
        <v>5209</v>
      </c>
      <c r="AG18" t="n">
        <v>152</v>
      </c>
    </row>
    <row r="19">
      <c r="A19" t="s">
        <v>5210</v>
      </c>
      <c r="B19" t="s">
        <v>26</v>
      </c>
      <c r="C19" t="s">
        <v>65</v>
      </c>
      <c r="D19" t="s">
        <v>5211</v>
      </c>
      <c r="E19" t="s">
        <v>161</v>
      </c>
      <c r="F19" t="s">
        <v>68</v>
      </c>
      <c r="G19" t="s">
        <v>162</v>
      </c>
      <c r="H19" t="n">
        <v>39.8151801655012</v>
      </c>
      <c r="I19" t="n">
        <v>-104.978050331779</v>
      </c>
      <c r="J19" t="s">
        <v>35</v>
      </c>
      <c r="K19" t="s">
        <v>5212</v>
      </c>
      <c r="L19" t="s">
        <v>202</v>
      </c>
      <c r="M19" t="n">
        <v>1970</v>
      </c>
      <c r="N19" t="n">
        <v>1990</v>
      </c>
      <c r="O19" t="s">
        <v>2361</v>
      </c>
      <c r="P19" t="n">
        <v>8</v>
      </c>
      <c r="Q19" t="n">
        <v>10</v>
      </c>
      <c r="R19" t="n">
        <v>7</v>
      </c>
      <c r="S19" t="n">
        <v>1967</v>
      </c>
      <c r="T19" t="s">
        <v>5213</v>
      </c>
      <c r="U19" t="s">
        <v>5214</v>
      </c>
      <c r="V19" t="s">
        <v>74</v>
      </c>
      <c r="W19" t="s">
        <v>5215</v>
      </c>
      <c r="X19" t="s">
        <v>5216</v>
      </c>
      <c r="Y19" t="s">
        <v>5217</v>
      </c>
      <c r="Z19"/>
      <c r="AA19" t="s">
        <v>5218</v>
      </c>
      <c r="AB19" t="s">
        <v>5219</v>
      </c>
      <c r="AC19" t="n">
        <v>97</v>
      </c>
      <c r="AD19" t="s">
        <v>5220</v>
      </c>
      <c r="AE19" t="n">
        <v>1</v>
      </c>
      <c r="AF19" t="s">
        <v>5221</v>
      </c>
      <c r="AG19" t="n">
        <v>3</v>
      </c>
    </row>
    <row r="20">
      <c r="A20" t="s">
        <v>5222</v>
      </c>
      <c r="B20" t="s">
        <v>26</v>
      </c>
      <c r="C20" t="s">
        <v>65</v>
      </c>
      <c r="D20" t="s">
        <v>5223</v>
      </c>
      <c r="E20" t="s">
        <v>67</v>
      </c>
      <c r="F20" t="s">
        <v>68</v>
      </c>
      <c r="G20" t="s">
        <v>69</v>
      </c>
      <c r="H20" t="n">
        <v>39.8118732</v>
      </c>
      <c r="I20" t="n">
        <v>-104.92220124</v>
      </c>
      <c r="J20" t="s">
        <v>35</v>
      </c>
      <c r="K20" t="s">
        <v>220</v>
      </c>
      <c r="L20"/>
      <c r="M20" t="n">
        <v>1973</v>
      </c>
      <c r="N20" t="n">
        <v>1973</v>
      </c>
      <c r="O20" t="s">
        <v>121</v>
      </c>
      <c r="P20" t="n">
        <v>1</v>
      </c>
      <c r="Q20" t="n">
        <v>1</v>
      </c>
      <c r="R20" t="n">
        <v>1</v>
      </c>
      <c r="S20" t="n">
        <v>1967</v>
      </c>
      <c r="T20" t="s">
        <v>5224</v>
      </c>
      <c r="U20" t="s">
        <v>5225</v>
      </c>
      <c r="V20" t="s">
        <v>74</v>
      </c>
      <c r="W20" t="s">
        <v>5226</v>
      </c>
      <c r="X20" t="s">
        <v>5227</v>
      </c>
      <c r="Y20"/>
      <c r="Z20"/>
      <c r="AA20"/>
      <c r="AB20"/>
      <c r="AC20"/>
      <c r="AD20" t="s">
        <v>5115</v>
      </c>
      <c r="AE20" t="n">
        <v>23</v>
      </c>
      <c r="AF20" t="s">
        <v>5228</v>
      </c>
      <c r="AG20" t="n">
        <v>91</v>
      </c>
    </row>
    <row r="21">
      <c r="A21" t="s">
        <v>5229</v>
      </c>
      <c r="B21" t="s">
        <v>26</v>
      </c>
      <c r="C21" t="s">
        <v>65</v>
      </c>
      <c r="D21" t="s">
        <v>5230</v>
      </c>
      <c r="E21" t="s">
        <v>67</v>
      </c>
      <c r="F21" t="s">
        <v>68</v>
      </c>
      <c r="G21" t="s">
        <v>69</v>
      </c>
      <c r="H21" t="n">
        <v>39.8128010867561</v>
      </c>
      <c r="I21" t="n">
        <v>-104.927384365639</v>
      </c>
      <c r="J21" t="s">
        <v>35</v>
      </c>
      <c r="K21" t="s">
        <v>315</v>
      </c>
      <c r="L21"/>
      <c r="M21" t="n">
        <v>1973</v>
      </c>
      <c r="N21" t="n">
        <v>1974</v>
      </c>
      <c r="O21" t="s">
        <v>127</v>
      </c>
      <c r="P21" t="n">
        <v>2</v>
      </c>
      <c r="Q21" t="n">
        <v>1</v>
      </c>
      <c r="R21" t="n">
        <v>1</v>
      </c>
      <c r="S21"/>
      <c r="T21" t="s">
        <v>5231</v>
      </c>
      <c r="U21" t="s">
        <v>5232</v>
      </c>
      <c r="V21" t="s">
        <v>74</v>
      </c>
      <c r="W21" t="s">
        <v>5233</v>
      </c>
      <c r="X21"/>
      <c r="Y21"/>
      <c r="Z21"/>
      <c r="AA21"/>
      <c r="AB21" t="s">
        <v>5234</v>
      </c>
      <c r="AC21" t="n">
        <v>240</v>
      </c>
      <c r="AD21"/>
      <c r="AE21"/>
      <c r="AF21"/>
      <c r="AG21"/>
    </row>
    <row r="22">
      <c r="A22" t="s">
        <v>5235</v>
      </c>
      <c r="B22" t="s">
        <v>26</v>
      </c>
      <c r="C22" t="s">
        <v>65</v>
      </c>
      <c r="D22" t="s">
        <v>5236</v>
      </c>
      <c r="E22" t="s">
        <v>67</v>
      </c>
      <c r="F22" t="s">
        <v>68</v>
      </c>
      <c r="G22" t="s">
        <v>69</v>
      </c>
      <c r="H22" t="n">
        <v>39.798205653162</v>
      </c>
      <c r="I22" t="n">
        <v>-104.915740621904</v>
      </c>
      <c r="J22" t="s">
        <v>35</v>
      </c>
      <c r="K22" t="s">
        <v>70</v>
      </c>
      <c r="L22"/>
      <c r="M22" t="n">
        <v>1973</v>
      </c>
      <c r="N22" t="n">
        <v>1988</v>
      </c>
      <c r="O22" t="s">
        <v>5237</v>
      </c>
      <c r="P22" t="n">
        <v>4</v>
      </c>
      <c r="Q22" t="n">
        <v>3</v>
      </c>
      <c r="R22" t="n">
        <v>2</v>
      </c>
      <c r="S22" t="n">
        <v>1954</v>
      </c>
      <c r="T22" t="s">
        <v>5238</v>
      </c>
      <c r="U22" t="s">
        <v>5239</v>
      </c>
      <c r="V22" t="s">
        <v>74</v>
      </c>
      <c r="W22" t="s">
        <v>5108</v>
      </c>
      <c r="X22"/>
      <c r="Y22" t="s">
        <v>5240</v>
      </c>
      <c r="Z22"/>
      <c r="AA22" t="s">
        <v>5241</v>
      </c>
      <c r="AB22" t="s">
        <v>5242</v>
      </c>
      <c r="AC22" t="n">
        <v>111</v>
      </c>
      <c r="AD22"/>
      <c r="AE22"/>
      <c r="AF22" t="s">
        <v>5243</v>
      </c>
      <c r="AG22" t="n">
        <v>38</v>
      </c>
    </row>
    <row r="23">
      <c r="A23" t="s">
        <v>5244</v>
      </c>
      <c r="B23" t="s">
        <v>26</v>
      </c>
      <c r="C23" t="s">
        <v>24</v>
      </c>
      <c r="D23" t="s">
        <v>5245</v>
      </c>
      <c r="E23" t="s">
        <v>67</v>
      </c>
      <c r="F23" t="s">
        <v>68</v>
      </c>
      <c r="G23" t="s">
        <v>69</v>
      </c>
      <c r="H23" t="n">
        <v>39.805616</v>
      </c>
      <c r="I23" t="n">
        <v>-104.941111</v>
      </c>
      <c r="J23" t="s">
        <v>4109</v>
      </c>
      <c r="K23" t="s">
        <v>120</v>
      </c>
      <c r="L23"/>
      <c r="M23" t="n">
        <v>1973</v>
      </c>
      <c r="N23" t="n">
        <v>1990</v>
      </c>
      <c r="O23" t="s">
        <v>434</v>
      </c>
      <c r="P23" t="n">
        <v>6</v>
      </c>
      <c r="Q23" t="n">
        <v>1</v>
      </c>
      <c r="R23" t="n">
        <v>1</v>
      </c>
      <c r="S23" t="n">
        <v>1946</v>
      </c>
      <c r="T23" t="s">
        <v>5246</v>
      </c>
      <c r="U23" t="s">
        <v>5247</v>
      </c>
      <c r="V23" t="s">
        <v>74</v>
      </c>
      <c r="W23" t="s">
        <v>5248</v>
      </c>
      <c r="X23"/>
      <c r="Y23" t="s">
        <v>5249</v>
      </c>
      <c r="Z23"/>
      <c r="AA23" t="s">
        <v>5250</v>
      </c>
      <c r="AB23" t="s">
        <v>5251</v>
      </c>
      <c r="AC23" t="n">
        <v>96</v>
      </c>
      <c r="AD23"/>
      <c r="AE23"/>
      <c r="AF23" t="s">
        <v>5252</v>
      </c>
      <c r="AG23" t="n">
        <v>166</v>
      </c>
    </row>
    <row r="24">
      <c r="A24" t="s">
        <v>5253</v>
      </c>
      <c r="B24" t="s">
        <v>26</v>
      </c>
      <c r="C24" t="s">
        <v>65</v>
      </c>
      <c r="D24" t="s">
        <v>5254</v>
      </c>
      <c r="E24" t="s">
        <v>67</v>
      </c>
      <c r="F24" t="s">
        <v>68</v>
      </c>
      <c r="G24" t="s">
        <v>69</v>
      </c>
      <c r="H24" t="n">
        <v>39.7852296122449</v>
      </c>
      <c r="I24" t="n">
        <v>-104.914151326531</v>
      </c>
      <c r="J24" t="s">
        <v>35</v>
      </c>
      <c r="K24" t="s">
        <v>133</v>
      </c>
      <c r="L24"/>
      <c r="M24" t="n">
        <v>1973</v>
      </c>
      <c r="N24" t="n">
        <v>1977</v>
      </c>
      <c r="O24" t="s">
        <v>1857</v>
      </c>
      <c r="P24" t="n">
        <v>3</v>
      </c>
      <c r="Q24" t="n">
        <v>2</v>
      </c>
      <c r="R24" t="n">
        <v>2</v>
      </c>
      <c r="S24" t="n">
        <v>1972</v>
      </c>
      <c r="T24" t="s">
        <v>5255</v>
      </c>
      <c r="U24" t="s">
        <v>5256</v>
      </c>
      <c r="V24" t="s">
        <v>74</v>
      </c>
      <c r="W24" t="s">
        <v>5257</v>
      </c>
      <c r="X24" t="s">
        <v>5258</v>
      </c>
      <c r="Y24" t="s">
        <v>5259</v>
      </c>
      <c r="Z24"/>
      <c r="AA24"/>
      <c r="AB24" t="s">
        <v>5165</v>
      </c>
      <c r="AC24" t="n">
        <v>47</v>
      </c>
      <c r="AD24" t="s">
        <v>5166</v>
      </c>
      <c r="AE24" t="n">
        <v>68</v>
      </c>
      <c r="AF24" t="s">
        <v>5260</v>
      </c>
      <c r="AG24" t="n">
        <v>15</v>
      </c>
    </row>
    <row r="25">
      <c r="A25" t="s">
        <v>5261</v>
      </c>
      <c r="B25" t="s">
        <v>26</v>
      </c>
      <c r="C25" t="s">
        <v>65</v>
      </c>
      <c r="D25" t="s">
        <v>5262</v>
      </c>
      <c r="E25" t="s">
        <v>67</v>
      </c>
      <c r="F25" t="s">
        <v>68</v>
      </c>
      <c r="G25" t="s">
        <v>69</v>
      </c>
      <c r="H25" t="n">
        <v>39.8050855443149</v>
      </c>
      <c r="I25" t="n">
        <v>-104.937875569515</v>
      </c>
      <c r="J25" t="s">
        <v>35</v>
      </c>
      <c r="K25" t="s">
        <v>282</v>
      </c>
      <c r="L25" t="s">
        <v>98</v>
      </c>
      <c r="M25" t="n">
        <v>1973</v>
      </c>
      <c r="N25" t="n">
        <v>1990</v>
      </c>
      <c r="O25" t="s">
        <v>2820</v>
      </c>
      <c r="P25" t="n">
        <v>6</v>
      </c>
      <c r="Q25" t="n">
        <v>1</v>
      </c>
      <c r="R25" t="n">
        <v>1</v>
      </c>
      <c r="S25" t="n">
        <v>1964</v>
      </c>
      <c r="T25" t="s">
        <v>5263</v>
      </c>
      <c r="U25" t="s">
        <v>5264</v>
      </c>
      <c r="V25" t="s">
        <v>74</v>
      </c>
      <c r="W25" t="s">
        <v>5265</v>
      </c>
      <c r="X25" t="s">
        <v>5266</v>
      </c>
      <c r="Y25"/>
      <c r="Z25"/>
      <c r="AA25"/>
      <c r="AB25" t="s">
        <v>5267</v>
      </c>
      <c r="AC25" t="n">
        <v>176</v>
      </c>
      <c r="AD25" t="s">
        <v>5268</v>
      </c>
      <c r="AE25" t="n">
        <v>91</v>
      </c>
      <c r="AF25" t="s">
        <v>5269</v>
      </c>
      <c r="AG25" t="n">
        <v>77</v>
      </c>
    </row>
    <row r="26">
      <c r="A26" t="s">
        <v>5270</v>
      </c>
      <c r="B26" t="s">
        <v>26</v>
      </c>
      <c r="C26" t="s">
        <v>65</v>
      </c>
      <c r="D26" t="s">
        <v>5271</v>
      </c>
      <c r="E26" t="s">
        <v>67</v>
      </c>
      <c r="F26" t="s">
        <v>68</v>
      </c>
      <c r="G26" t="s">
        <v>69</v>
      </c>
      <c r="H26" t="n">
        <v>39.7862255894404</v>
      </c>
      <c r="I26" t="n">
        <v>-104.912882463227</v>
      </c>
      <c r="J26" t="s">
        <v>35</v>
      </c>
      <c r="K26" t="s">
        <v>527</v>
      </c>
      <c r="L26"/>
      <c r="M26" t="n">
        <v>1973</v>
      </c>
      <c r="N26" t="n">
        <v>1990</v>
      </c>
      <c r="O26" t="s">
        <v>2395</v>
      </c>
      <c r="P26" t="n">
        <v>5</v>
      </c>
      <c r="Q26" t="n">
        <v>3</v>
      </c>
      <c r="R26" t="n">
        <v>2</v>
      </c>
      <c r="S26" t="n">
        <v>1967</v>
      </c>
      <c r="T26" t="s">
        <v>5272</v>
      </c>
      <c r="U26" t="s">
        <v>5273</v>
      </c>
      <c r="V26" t="s">
        <v>74</v>
      </c>
      <c r="W26" t="s">
        <v>5108</v>
      </c>
      <c r="X26"/>
      <c r="Y26" t="s">
        <v>5274</v>
      </c>
      <c r="Z26" t="s">
        <v>5275</v>
      </c>
      <c r="AA26"/>
      <c r="AB26" t="s">
        <v>5165</v>
      </c>
      <c r="AC26" t="n">
        <v>128</v>
      </c>
      <c r="AD26" t="s">
        <v>151</v>
      </c>
      <c r="AE26" t="n">
        <v>110</v>
      </c>
      <c r="AF26" t="s">
        <v>5276</v>
      </c>
      <c r="AG26" t="n">
        <v>10</v>
      </c>
    </row>
    <row r="27">
      <c r="A27" t="s">
        <v>5277</v>
      </c>
      <c r="B27" t="s">
        <v>26</v>
      </c>
      <c r="C27" t="s">
        <v>65</v>
      </c>
      <c r="D27" t="s">
        <v>5278</v>
      </c>
      <c r="E27" t="s">
        <v>67</v>
      </c>
      <c r="F27" t="s">
        <v>68</v>
      </c>
      <c r="G27" t="s">
        <v>69</v>
      </c>
      <c r="H27" t="n">
        <v>39.7859520033491</v>
      </c>
      <c r="I27" t="n">
        <v>-104.917595946989</v>
      </c>
      <c r="J27" t="s">
        <v>35</v>
      </c>
      <c r="K27" t="s">
        <v>270</v>
      </c>
      <c r="L27"/>
      <c r="M27" t="n">
        <v>1973</v>
      </c>
      <c r="N27" t="n">
        <v>1990</v>
      </c>
      <c r="O27" t="s">
        <v>5279</v>
      </c>
      <c r="P27" t="n">
        <v>3</v>
      </c>
      <c r="Q27" t="n">
        <v>3</v>
      </c>
      <c r="R27" t="n">
        <v>2</v>
      </c>
      <c r="S27" t="n">
        <v>1970</v>
      </c>
      <c r="T27" t="s">
        <v>5280</v>
      </c>
      <c r="U27" t="s">
        <v>5281</v>
      </c>
      <c r="V27" t="s">
        <v>74</v>
      </c>
      <c r="W27" t="s">
        <v>5282</v>
      </c>
      <c r="X27"/>
      <c r="Y27" t="s">
        <v>5283</v>
      </c>
      <c r="Z27"/>
      <c r="AA27" t="s">
        <v>5284</v>
      </c>
      <c r="AB27" t="s">
        <v>5285</v>
      </c>
      <c r="AC27" t="n">
        <v>62</v>
      </c>
      <c r="AD27"/>
      <c r="AE27"/>
      <c r="AF27" t="s">
        <v>5286</v>
      </c>
      <c r="AG27" t="n">
        <v>23</v>
      </c>
    </row>
    <row r="28">
      <c r="A28" t="s">
        <v>5287</v>
      </c>
      <c r="B28" t="s">
        <v>26</v>
      </c>
      <c r="C28" t="s">
        <v>65</v>
      </c>
      <c r="D28" t="s">
        <v>5288</v>
      </c>
      <c r="E28" t="s">
        <v>67</v>
      </c>
      <c r="F28" t="s">
        <v>68</v>
      </c>
      <c r="G28" t="s">
        <v>69</v>
      </c>
      <c r="H28" t="n">
        <v>39.8272310909091</v>
      </c>
      <c r="I28" t="n">
        <v>-104.925239909091</v>
      </c>
      <c r="J28" t="s">
        <v>35</v>
      </c>
      <c r="K28" t="s">
        <v>282</v>
      </c>
      <c r="L28"/>
      <c r="M28" t="n">
        <v>1974</v>
      </c>
      <c r="N28" t="n">
        <v>1990</v>
      </c>
      <c r="O28" t="s">
        <v>5289</v>
      </c>
      <c r="P28" t="n">
        <v>3</v>
      </c>
      <c r="Q28" t="n">
        <v>2</v>
      </c>
      <c r="R28" t="n">
        <v>2</v>
      </c>
      <c r="S28" t="n">
        <v>1965</v>
      </c>
      <c r="T28" t="s">
        <v>5290</v>
      </c>
      <c r="U28" t="s">
        <v>5291</v>
      </c>
      <c r="V28" t="s">
        <v>74</v>
      </c>
      <c r="W28" t="s">
        <v>5292</v>
      </c>
      <c r="X28"/>
      <c r="Y28" t="s">
        <v>5293</v>
      </c>
      <c r="Z28"/>
      <c r="AA28" t="s">
        <v>5294</v>
      </c>
      <c r="AB28" t="s">
        <v>5295</v>
      </c>
      <c r="AC28" t="n">
        <v>217</v>
      </c>
      <c r="AD28"/>
      <c r="AE28"/>
      <c r="AF28" t="s">
        <v>5296</v>
      </c>
      <c r="AG28" t="n">
        <v>15</v>
      </c>
    </row>
    <row r="29">
      <c r="A29" t="s">
        <v>5297</v>
      </c>
      <c r="B29" t="s">
        <v>26</v>
      </c>
      <c r="C29" t="s">
        <v>24</v>
      </c>
      <c r="D29" t="s">
        <v>5298</v>
      </c>
      <c r="E29" t="s">
        <v>5299</v>
      </c>
      <c r="F29" t="s">
        <v>68</v>
      </c>
      <c r="G29" t="s">
        <v>5300</v>
      </c>
      <c r="H29" t="n">
        <v>39.8378187812686</v>
      </c>
      <c r="I29" t="n">
        <v>-104.923406862966</v>
      </c>
      <c r="J29" t="s">
        <v>4109</v>
      </c>
      <c r="K29" t="s">
        <v>70</v>
      </c>
      <c r="L29"/>
      <c r="M29" t="n">
        <v>1974</v>
      </c>
      <c r="N29" t="n">
        <v>1974</v>
      </c>
      <c r="O29" t="s">
        <v>210</v>
      </c>
      <c r="P29" t="n">
        <v>1</v>
      </c>
      <c r="Q29" t="n">
        <v>1</v>
      </c>
      <c r="R29" t="n">
        <v>1</v>
      </c>
      <c r="S29" t="n">
        <v>1970</v>
      </c>
      <c r="T29" t="s">
        <v>5301</v>
      </c>
      <c r="U29" t="s">
        <v>5302</v>
      </c>
      <c r="V29" t="s">
        <v>74</v>
      </c>
      <c r="W29" t="s">
        <v>5108</v>
      </c>
      <c r="X29"/>
      <c r="Y29" t="s">
        <v>5303</v>
      </c>
      <c r="Z29"/>
      <c r="AA29" t="s">
        <v>5304</v>
      </c>
      <c r="AB29"/>
      <c r="AC29"/>
      <c r="AD29"/>
      <c r="AE29"/>
      <c r="AF29" t="s">
        <v>5305</v>
      </c>
      <c r="AG29" t="n">
        <v>80</v>
      </c>
    </row>
    <row r="30">
      <c r="A30" t="s">
        <v>5306</v>
      </c>
      <c r="B30" t="s">
        <v>26</v>
      </c>
      <c r="C30" t="s">
        <v>65</v>
      </c>
      <c r="D30" t="s">
        <v>5307</v>
      </c>
      <c r="E30" t="s">
        <v>67</v>
      </c>
      <c r="F30" t="s">
        <v>68</v>
      </c>
      <c r="G30" t="s">
        <v>69</v>
      </c>
      <c r="H30" t="n">
        <v>39.805509</v>
      </c>
      <c r="I30" t="n">
        <v>-104.931913</v>
      </c>
      <c r="J30" t="s">
        <v>35</v>
      </c>
      <c r="K30" t="s">
        <v>315</v>
      </c>
      <c r="L30"/>
      <c r="M30" t="n">
        <v>1974</v>
      </c>
      <c r="N30" t="n">
        <v>1974</v>
      </c>
      <c r="O30" t="s">
        <v>210</v>
      </c>
      <c r="P30" t="n">
        <v>1</v>
      </c>
      <c r="Q30" t="n">
        <v>1</v>
      </c>
      <c r="R30" t="n">
        <v>1</v>
      </c>
      <c r="S30" t="n">
        <v>1973</v>
      </c>
      <c r="T30" t="s">
        <v>5308</v>
      </c>
      <c r="U30" t="s">
        <v>5309</v>
      </c>
      <c r="V30" t="s">
        <v>74</v>
      </c>
      <c r="W30" t="s">
        <v>5310</v>
      </c>
      <c r="X30"/>
      <c r="Y30"/>
      <c r="Z30"/>
      <c r="AA30" t="s">
        <v>5311</v>
      </c>
      <c r="AB30" t="s">
        <v>238</v>
      </c>
      <c r="AC30" t="n">
        <v>3</v>
      </c>
      <c r="AD30"/>
      <c r="AE30"/>
      <c r="AF30" t="s">
        <v>5312</v>
      </c>
      <c r="AG30" t="n">
        <v>95</v>
      </c>
    </row>
    <row r="31">
      <c r="A31" t="s">
        <v>5313</v>
      </c>
      <c r="B31" t="s">
        <v>26</v>
      </c>
      <c r="C31" t="s">
        <v>24</v>
      </c>
      <c r="D31" t="s">
        <v>5314</v>
      </c>
      <c r="E31" t="s">
        <v>67</v>
      </c>
      <c r="F31" t="s">
        <v>68</v>
      </c>
      <c r="G31" t="s">
        <v>69</v>
      </c>
      <c r="H31" t="n">
        <v>39.8946334199881</v>
      </c>
      <c r="I31" t="n">
        <v>-104.924615293155</v>
      </c>
      <c r="J31" t="s">
        <v>4109</v>
      </c>
      <c r="K31" t="s">
        <v>133</v>
      </c>
      <c r="L31"/>
      <c r="M31" t="n">
        <v>1974</v>
      </c>
      <c r="N31" t="n">
        <v>1988</v>
      </c>
      <c r="O31" t="s">
        <v>221</v>
      </c>
      <c r="P31" t="n">
        <v>3</v>
      </c>
      <c r="Q31" t="n">
        <v>2</v>
      </c>
      <c r="R31" t="n">
        <v>1</v>
      </c>
      <c r="S31" t="n">
        <v>1963</v>
      </c>
      <c r="T31" t="s">
        <v>5315</v>
      </c>
      <c r="U31" t="s">
        <v>5316</v>
      </c>
      <c r="V31" t="s">
        <v>74</v>
      </c>
      <c r="W31" t="s">
        <v>5317</v>
      </c>
      <c r="X31"/>
      <c r="Y31"/>
      <c r="Z31"/>
      <c r="AA31" t="s">
        <v>5318</v>
      </c>
      <c r="AB31" t="s">
        <v>5319</v>
      </c>
      <c r="AC31" t="n">
        <v>15</v>
      </c>
      <c r="AD31"/>
      <c r="AE31"/>
      <c r="AF31"/>
      <c r="AG31"/>
    </row>
    <row r="32">
      <c r="A32" t="s">
        <v>5320</v>
      </c>
      <c r="B32" t="s">
        <v>26</v>
      </c>
      <c r="C32" t="s">
        <v>65</v>
      </c>
      <c r="D32" t="s">
        <v>5321</v>
      </c>
      <c r="E32" t="s">
        <v>67</v>
      </c>
      <c r="F32" t="s">
        <v>68</v>
      </c>
      <c r="G32" t="s">
        <v>69</v>
      </c>
      <c r="H32" t="n">
        <v>39.7983431155779</v>
      </c>
      <c r="I32" t="n">
        <v>-104.920211396985</v>
      </c>
      <c r="J32" t="s">
        <v>35</v>
      </c>
      <c r="K32" t="s">
        <v>527</v>
      </c>
      <c r="L32" t="s">
        <v>2814</v>
      </c>
      <c r="M32" t="n">
        <v>1974</v>
      </c>
      <c r="N32" t="n">
        <v>1992</v>
      </c>
      <c r="O32" t="s">
        <v>5322</v>
      </c>
      <c r="P32" t="n">
        <v>5</v>
      </c>
      <c r="Q32" t="n">
        <v>2</v>
      </c>
      <c r="R32" t="n">
        <v>2</v>
      </c>
      <c r="S32" t="n">
        <v>1948</v>
      </c>
      <c r="T32" t="s">
        <v>5323</v>
      </c>
      <c r="U32" t="s">
        <v>5324</v>
      </c>
      <c r="V32" t="s">
        <v>74</v>
      </c>
      <c r="W32" t="s">
        <v>5108</v>
      </c>
      <c r="X32" t="s">
        <v>5325</v>
      </c>
      <c r="Y32"/>
      <c r="Z32"/>
      <c r="AA32" t="s">
        <v>5326</v>
      </c>
      <c r="AB32" t="s">
        <v>5327</v>
      </c>
      <c r="AC32" t="n">
        <v>197</v>
      </c>
      <c r="AD32" t="s">
        <v>5328</v>
      </c>
      <c r="AE32" t="n">
        <v>45</v>
      </c>
      <c r="AF32" t="s">
        <v>5329</v>
      </c>
      <c r="AG32" t="n">
        <v>83</v>
      </c>
    </row>
    <row r="33">
      <c r="A33" t="s">
        <v>5330</v>
      </c>
      <c r="B33" t="s">
        <v>26</v>
      </c>
      <c r="C33" t="s">
        <v>65</v>
      </c>
      <c r="D33" t="s">
        <v>5331</v>
      </c>
      <c r="E33" t="s">
        <v>67</v>
      </c>
      <c r="F33" t="s">
        <v>68</v>
      </c>
      <c r="G33" t="s">
        <v>69</v>
      </c>
      <c r="H33" t="n">
        <v>39.7855537191599</v>
      </c>
      <c r="I33" t="n">
        <v>-104.911254905559</v>
      </c>
      <c r="J33" t="s">
        <v>35</v>
      </c>
      <c r="K33" t="s">
        <v>81</v>
      </c>
      <c r="L33"/>
      <c r="M33" t="n">
        <v>1974</v>
      </c>
      <c r="N33" t="n">
        <v>1988</v>
      </c>
      <c r="O33" t="s">
        <v>3312</v>
      </c>
      <c r="P33" t="n">
        <v>3</v>
      </c>
      <c r="Q33" t="n">
        <v>3</v>
      </c>
      <c r="R33" t="n">
        <v>2</v>
      </c>
      <c r="S33" t="n">
        <v>1971</v>
      </c>
      <c r="T33" t="s">
        <v>5332</v>
      </c>
      <c r="U33" t="s">
        <v>5333</v>
      </c>
      <c r="V33" t="s">
        <v>74</v>
      </c>
      <c r="W33" t="s">
        <v>5108</v>
      </c>
      <c r="X33"/>
      <c r="Y33"/>
      <c r="Z33"/>
      <c r="AA33" t="s">
        <v>5334</v>
      </c>
      <c r="AB33" t="s">
        <v>150</v>
      </c>
      <c r="AC33" t="n">
        <v>77</v>
      </c>
      <c r="AD33" t="s">
        <v>151</v>
      </c>
      <c r="AE33" t="n">
        <v>111</v>
      </c>
      <c r="AF33" t="s">
        <v>5335</v>
      </c>
      <c r="AG33" t="n">
        <v>59</v>
      </c>
    </row>
    <row r="34">
      <c r="A34" t="s">
        <v>5336</v>
      </c>
      <c r="B34" t="s">
        <v>26</v>
      </c>
      <c r="C34" t="s">
        <v>24</v>
      </c>
      <c r="D34" t="s">
        <v>5337</v>
      </c>
      <c r="E34" t="s">
        <v>79</v>
      </c>
      <c r="F34" t="s">
        <v>68</v>
      </c>
      <c r="G34" t="s">
        <v>80</v>
      </c>
      <c r="H34" t="n">
        <v>39.8490697777778</v>
      </c>
      <c r="I34" t="n">
        <v>-104.9926105</v>
      </c>
      <c r="J34" t="s">
        <v>4109</v>
      </c>
      <c r="K34" t="s">
        <v>70</v>
      </c>
      <c r="L34"/>
      <c r="M34" t="n">
        <v>1974</v>
      </c>
      <c r="N34" t="n">
        <v>1990</v>
      </c>
      <c r="O34" t="s">
        <v>453</v>
      </c>
      <c r="P34" t="n">
        <v>4</v>
      </c>
      <c r="Q34" t="n">
        <v>1</v>
      </c>
      <c r="R34" t="n">
        <v>1</v>
      </c>
      <c r="S34" t="n">
        <v>1958</v>
      </c>
      <c r="T34" t="s">
        <v>5338</v>
      </c>
      <c r="U34" t="s">
        <v>5339</v>
      </c>
      <c r="V34" t="s">
        <v>74</v>
      </c>
      <c r="W34" t="s">
        <v>5340</v>
      </c>
      <c r="X34"/>
      <c r="Y34" t="s">
        <v>5341</v>
      </c>
      <c r="Z34"/>
      <c r="AA34" t="s">
        <v>5342</v>
      </c>
      <c r="AB34" t="s">
        <v>5343</v>
      </c>
      <c r="AC34" t="n">
        <v>33</v>
      </c>
      <c r="AD34"/>
      <c r="AE34"/>
      <c r="AF34" t="s">
        <v>5344</v>
      </c>
      <c r="AG34" t="n">
        <v>111</v>
      </c>
    </row>
    <row r="35">
      <c r="A35" t="s">
        <v>5345</v>
      </c>
      <c r="B35" t="s">
        <v>26</v>
      </c>
      <c r="C35" t="s">
        <v>24</v>
      </c>
      <c r="D35" t="s">
        <v>5346</v>
      </c>
      <c r="E35" t="s">
        <v>67</v>
      </c>
      <c r="F35" t="s">
        <v>68</v>
      </c>
      <c r="G35" t="s">
        <v>69</v>
      </c>
      <c r="H35" t="n">
        <v>39.8957949037481</v>
      </c>
      <c r="I35" t="n">
        <v>-104.927010665032</v>
      </c>
      <c r="J35" t="s">
        <v>4109</v>
      </c>
      <c r="K35" t="s">
        <v>141</v>
      </c>
      <c r="L35"/>
      <c r="M35" t="n">
        <v>1977</v>
      </c>
      <c r="N35" t="n">
        <v>1977</v>
      </c>
      <c r="O35" t="s">
        <v>228</v>
      </c>
      <c r="P35" t="n">
        <v>1</v>
      </c>
      <c r="Q35" t="n">
        <v>1</v>
      </c>
      <c r="R35" t="n">
        <v>1</v>
      </c>
      <c r="S35" t="n">
        <v>1960</v>
      </c>
      <c r="T35" t="s">
        <v>5347</v>
      </c>
      <c r="U35" t="s">
        <v>5348</v>
      </c>
      <c r="V35" t="s">
        <v>74</v>
      </c>
      <c r="W35" t="s">
        <v>5349</v>
      </c>
      <c r="X35"/>
      <c r="Y35"/>
      <c r="Z35"/>
      <c r="AA35"/>
      <c r="AB35" t="s">
        <v>5319</v>
      </c>
      <c r="AC35" t="n">
        <v>248</v>
      </c>
      <c r="AD35"/>
      <c r="AE35"/>
      <c r="AF35"/>
      <c r="AG35"/>
    </row>
    <row r="36">
      <c r="A36" t="s">
        <v>5350</v>
      </c>
      <c r="B36" t="s">
        <v>26</v>
      </c>
      <c r="C36" t="s">
        <v>65</v>
      </c>
      <c r="D36" t="s">
        <v>5351</v>
      </c>
      <c r="E36" t="s">
        <v>67</v>
      </c>
      <c r="F36" t="s">
        <v>68</v>
      </c>
      <c r="G36" t="s">
        <v>69</v>
      </c>
      <c r="H36" t="n">
        <v>39.7852311428571</v>
      </c>
      <c r="I36" t="n">
        <v>-104.913342142857</v>
      </c>
      <c r="J36" t="s">
        <v>35</v>
      </c>
      <c r="K36" t="s">
        <v>81</v>
      </c>
      <c r="L36"/>
      <c r="M36" t="n">
        <v>1977</v>
      </c>
      <c r="N36" t="n">
        <v>1990</v>
      </c>
      <c r="O36" t="s">
        <v>2446</v>
      </c>
      <c r="P36" t="n">
        <v>4</v>
      </c>
      <c r="Q36" t="n">
        <v>1</v>
      </c>
      <c r="R36" t="n">
        <v>1</v>
      </c>
      <c r="S36" t="n">
        <v>1960</v>
      </c>
      <c r="T36" t="s">
        <v>5352</v>
      </c>
      <c r="U36" t="s">
        <v>5353</v>
      </c>
      <c r="V36" t="s">
        <v>74</v>
      </c>
      <c r="W36" t="s">
        <v>5354</v>
      </c>
      <c r="X36" t="s">
        <v>5355</v>
      </c>
      <c r="Y36" t="s">
        <v>5356</v>
      </c>
      <c r="Z36"/>
      <c r="AA36" t="s">
        <v>5357</v>
      </c>
      <c r="AB36" t="s">
        <v>5165</v>
      </c>
      <c r="AC36" t="n">
        <v>22</v>
      </c>
      <c r="AD36" t="s">
        <v>5166</v>
      </c>
      <c r="AE36" t="n">
        <v>1</v>
      </c>
      <c r="AF36" t="s">
        <v>5358</v>
      </c>
      <c r="AG36" t="n">
        <v>53</v>
      </c>
    </row>
    <row r="37">
      <c r="A37" t="s">
        <v>5359</v>
      </c>
      <c r="B37" t="s">
        <v>26</v>
      </c>
      <c r="C37" t="s">
        <v>65</v>
      </c>
      <c r="D37" t="s">
        <v>5360</v>
      </c>
      <c r="E37" t="s">
        <v>67</v>
      </c>
      <c r="F37" t="s">
        <v>68</v>
      </c>
      <c r="G37" t="s">
        <v>69</v>
      </c>
      <c r="H37" t="n">
        <v>39.8460509254766</v>
      </c>
      <c r="I37" t="n">
        <v>-104.905434475382</v>
      </c>
      <c r="J37" t="s">
        <v>35</v>
      </c>
      <c r="K37" t="s">
        <v>70</v>
      </c>
      <c r="L37"/>
      <c r="M37" t="n">
        <v>1977</v>
      </c>
      <c r="N37" t="n">
        <v>1977</v>
      </c>
      <c r="O37" t="s">
        <v>228</v>
      </c>
      <c r="P37" t="n">
        <v>1</v>
      </c>
      <c r="Q37" t="n">
        <v>1</v>
      </c>
      <c r="R37" t="n">
        <v>1</v>
      </c>
      <c r="S37" t="n">
        <v>1977</v>
      </c>
      <c r="T37" t="s">
        <v>5361</v>
      </c>
      <c r="U37" t="s">
        <v>5362</v>
      </c>
      <c r="V37" t="s">
        <v>74</v>
      </c>
      <c r="W37" t="s">
        <v>5108</v>
      </c>
      <c r="X37"/>
      <c r="Y37"/>
      <c r="Z37"/>
      <c r="AA37"/>
      <c r="AB37"/>
      <c r="AC37"/>
      <c r="AD37"/>
      <c r="AE37"/>
      <c r="AF37" t="s">
        <v>5363</v>
      </c>
      <c r="AG37" t="n">
        <v>187</v>
      </c>
    </row>
    <row r="38">
      <c r="A38" t="s">
        <v>5364</v>
      </c>
      <c r="B38" t="s">
        <v>26</v>
      </c>
      <c r="C38" t="s">
        <v>65</v>
      </c>
      <c r="D38" t="s">
        <v>5365</v>
      </c>
      <c r="E38" t="s">
        <v>67</v>
      </c>
      <c r="F38" t="s">
        <v>68</v>
      </c>
      <c r="G38" t="s">
        <v>69</v>
      </c>
      <c r="H38" t="n">
        <v>39.7960970687393</v>
      </c>
      <c r="I38" t="n">
        <v>-104.909731103025</v>
      </c>
      <c r="J38" t="s">
        <v>35</v>
      </c>
      <c r="K38" t="s">
        <v>1041</v>
      </c>
      <c r="L38"/>
      <c r="M38" t="n">
        <v>1977</v>
      </c>
      <c r="N38" t="n">
        <v>1980</v>
      </c>
      <c r="O38" t="s">
        <v>1949</v>
      </c>
      <c r="P38" t="n">
        <v>2</v>
      </c>
      <c r="Q38" t="n">
        <v>1</v>
      </c>
      <c r="R38" t="n">
        <v>1</v>
      </c>
      <c r="S38" t="n">
        <v>1930</v>
      </c>
      <c r="T38" t="s">
        <v>5366</v>
      </c>
      <c r="U38" t="s">
        <v>5367</v>
      </c>
      <c r="V38" t="s">
        <v>74</v>
      </c>
      <c r="W38" t="s">
        <v>5108</v>
      </c>
      <c r="X38"/>
      <c r="Y38" t="s">
        <v>5368</v>
      </c>
      <c r="Z38"/>
      <c r="AA38" t="s">
        <v>5369</v>
      </c>
      <c r="AB38" t="s">
        <v>5370</v>
      </c>
      <c r="AC38" t="n">
        <v>117</v>
      </c>
      <c r="AD38" t="s">
        <v>5371</v>
      </c>
      <c r="AE38" t="n">
        <v>238</v>
      </c>
      <c r="AF38" t="s">
        <v>5372</v>
      </c>
      <c r="AG38" t="n">
        <v>39</v>
      </c>
    </row>
    <row r="39">
      <c r="A39" t="s">
        <v>5373</v>
      </c>
      <c r="B39" t="s">
        <v>26</v>
      </c>
      <c r="C39" t="s">
        <v>65</v>
      </c>
      <c r="D39" t="s">
        <v>5374</v>
      </c>
      <c r="E39" t="s">
        <v>67</v>
      </c>
      <c r="F39" t="s">
        <v>68</v>
      </c>
      <c r="G39" t="s">
        <v>69</v>
      </c>
      <c r="H39" t="n">
        <v>39.7956709607475</v>
      </c>
      <c r="I39" t="n">
        <v>-104.907506185305</v>
      </c>
      <c r="J39" t="s">
        <v>35</v>
      </c>
      <c r="K39" t="s">
        <v>133</v>
      </c>
      <c r="L39"/>
      <c r="M39" t="n">
        <v>1977</v>
      </c>
      <c r="N39" t="n">
        <v>1990</v>
      </c>
      <c r="O39" t="s">
        <v>5375</v>
      </c>
      <c r="P39" t="n">
        <v>3</v>
      </c>
      <c r="Q39" t="n">
        <v>1</v>
      </c>
      <c r="R39" t="n">
        <v>1</v>
      </c>
      <c r="S39" t="n">
        <v>1970</v>
      </c>
      <c r="T39" t="s">
        <v>5376</v>
      </c>
      <c r="U39" t="s">
        <v>5377</v>
      </c>
      <c r="V39" t="s">
        <v>74</v>
      </c>
      <c r="W39" t="s">
        <v>5378</v>
      </c>
      <c r="X39" t="s">
        <v>5379</v>
      </c>
      <c r="Y39"/>
      <c r="Z39"/>
      <c r="AA39"/>
      <c r="AB39" t="s">
        <v>5380</v>
      </c>
      <c r="AC39" t="n">
        <v>2</v>
      </c>
      <c r="AD39" t="s">
        <v>5371</v>
      </c>
      <c r="AE39" t="n">
        <v>45</v>
      </c>
      <c r="AF39" t="s">
        <v>5370</v>
      </c>
      <c r="AG39" t="n">
        <v>74</v>
      </c>
    </row>
    <row r="40">
      <c r="A40" t="s">
        <v>5381</v>
      </c>
      <c r="B40" t="s">
        <v>26</v>
      </c>
      <c r="C40" t="s">
        <v>65</v>
      </c>
      <c r="D40" t="s">
        <v>5382</v>
      </c>
      <c r="E40" t="s">
        <v>67</v>
      </c>
      <c r="F40" t="s">
        <v>68</v>
      </c>
      <c r="G40" t="s">
        <v>69</v>
      </c>
      <c r="H40" t="n">
        <v>39.7910604388435</v>
      </c>
      <c r="I40" t="n">
        <v>-104.924737140141</v>
      </c>
      <c r="J40" t="s">
        <v>35</v>
      </c>
      <c r="K40" t="s">
        <v>120</v>
      </c>
      <c r="L40"/>
      <c r="M40" t="n">
        <v>1980</v>
      </c>
      <c r="N40" t="n">
        <v>1980</v>
      </c>
      <c r="O40" t="s">
        <v>255</v>
      </c>
      <c r="P40" t="n">
        <v>1</v>
      </c>
      <c r="Q40" t="n">
        <v>1</v>
      </c>
      <c r="R40" t="n">
        <v>1</v>
      </c>
      <c r="S40" t="n">
        <v>1978</v>
      </c>
      <c r="T40" t="s">
        <v>5383</v>
      </c>
      <c r="U40" t="s">
        <v>5384</v>
      </c>
      <c r="V40" t="s">
        <v>74</v>
      </c>
      <c r="W40" t="s">
        <v>5385</v>
      </c>
      <c r="X40"/>
      <c r="Y40" t="s">
        <v>5386</v>
      </c>
      <c r="Z40"/>
      <c r="AA40" t="s">
        <v>5387</v>
      </c>
      <c r="AB40" t="s">
        <v>5388</v>
      </c>
      <c r="AC40" t="n">
        <v>74</v>
      </c>
      <c r="AD40"/>
      <c r="AE40"/>
      <c r="AF40" t="s">
        <v>5389</v>
      </c>
      <c r="AG40" t="n">
        <v>9</v>
      </c>
    </row>
    <row r="41">
      <c r="A41" t="s">
        <v>5390</v>
      </c>
      <c r="B41" t="s">
        <v>26</v>
      </c>
      <c r="C41" t="s">
        <v>65</v>
      </c>
      <c r="D41" t="s">
        <v>5391</v>
      </c>
      <c r="E41" t="s">
        <v>67</v>
      </c>
      <c r="F41" t="s">
        <v>68</v>
      </c>
      <c r="G41" t="s">
        <v>69</v>
      </c>
      <c r="H41" t="n">
        <v>39.7852372727273</v>
      </c>
      <c r="I41" t="n">
        <v>-104.911147818182</v>
      </c>
      <c r="J41" t="s">
        <v>35</v>
      </c>
      <c r="K41" t="s">
        <v>120</v>
      </c>
      <c r="L41"/>
      <c r="M41" t="n">
        <v>1980</v>
      </c>
      <c r="N41" t="n">
        <v>1990</v>
      </c>
      <c r="O41" t="s">
        <v>242</v>
      </c>
      <c r="P41" t="n">
        <v>3</v>
      </c>
      <c r="Q41" t="n">
        <v>2</v>
      </c>
      <c r="R41" t="n">
        <v>1</v>
      </c>
      <c r="S41" t="n">
        <v>1964</v>
      </c>
      <c r="T41" t="s">
        <v>5392</v>
      </c>
      <c r="U41" t="s">
        <v>5393</v>
      </c>
      <c r="V41" t="s">
        <v>74</v>
      </c>
      <c r="W41" t="s">
        <v>5108</v>
      </c>
      <c r="X41"/>
      <c r="Y41"/>
      <c r="Z41"/>
      <c r="AA41" t="s">
        <v>5394</v>
      </c>
      <c r="AB41" t="s">
        <v>150</v>
      </c>
      <c r="AC41" t="n">
        <v>113</v>
      </c>
      <c r="AD41" t="s">
        <v>151</v>
      </c>
      <c r="AE41" t="n">
        <v>116</v>
      </c>
      <c r="AF41" t="s">
        <v>5335</v>
      </c>
      <c r="AG41" t="n">
        <v>56</v>
      </c>
    </row>
    <row r="42">
      <c r="A42" t="s">
        <v>5395</v>
      </c>
      <c r="B42" t="s">
        <v>26</v>
      </c>
      <c r="C42" t="s">
        <v>24</v>
      </c>
      <c r="D42" t="s">
        <v>5396</v>
      </c>
      <c r="E42" t="s">
        <v>67</v>
      </c>
      <c r="F42" t="s">
        <v>68</v>
      </c>
      <c r="G42" t="s">
        <v>69</v>
      </c>
      <c r="H42" t="n">
        <v>39.7852353898305</v>
      </c>
      <c r="I42" t="n">
        <v>-104.911780525424</v>
      </c>
      <c r="J42" t="s">
        <v>4109</v>
      </c>
      <c r="K42" t="s">
        <v>70</v>
      </c>
      <c r="L42"/>
      <c r="M42" t="n">
        <v>1980</v>
      </c>
      <c r="N42" t="n">
        <v>1980</v>
      </c>
      <c r="O42" t="s">
        <v>255</v>
      </c>
      <c r="P42" t="n">
        <v>1</v>
      </c>
      <c r="Q42" t="n">
        <v>1</v>
      </c>
      <c r="R42" t="n">
        <v>1</v>
      </c>
      <c r="S42" t="n">
        <v>1976</v>
      </c>
      <c r="T42" t="s">
        <v>5397</v>
      </c>
      <c r="U42" t="s">
        <v>5398</v>
      </c>
      <c r="V42" t="s">
        <v>74</v>
      </c>
      <c r="W42" t="s">
        <v>5399</v>
      </c>
      <c r="X42" t="s">
        <v>5400</v>
      </c>
      <c r="Y42" t="s">
        <v>5401</v>
      </c>
      <c r="Z42" t="s">
        <v>5402</v>
      </c>
      <c r="AA42" t="s">
        <v>5403</v>
      </c>
      <c r="AB42" t="s">
        <v>150</v>
      </c>
      <c r="AC42" t="n">
        <v>122</v>
      </c>
      <c r="AD42" t="s">
        <v>151</v>
      </c>
      <c r="AE42" t="n">
        <v>62</v>
      </c>
      <c r="AF42" t="s">
        <v>5404</v>
      </c>
      <c r="AG42" t="n">
        <v>2</v>
      </c>
    </row>
    <row r="43">
      <c r="A43" t="s">
        <v>5405</v>
      </c>
      <c r="B43" t="s">
        <v>26</v>
      </c>
      <c r="C43" t="s">
        <v>65</v>
      </c>
      <c r="D43" t="s">
        <v>5406</v>
      </c>
      <c r="E43" t="s">
        <v>67</v>
      </c>
      <c r="F43" t="s">
        <v>68</v>
      </c>
      <c r="G43" t="s">
        <v>69</v>
      </c>
      <c r="H43" t="n">
        <v>39.7995516666667</v>
      </c>
      <c r="I43" t="n">
        <v>-104.912893</v>
      </c>
      <c r="J43" t="s">
        <v>35</v>
      </c>
      <c r="K43" t="s">
        <v>527</v>
      </c>
      <c r="L43"/>
      <c r="M43" t="n">
        <v>1980</v>
      </c>
      <c r="N43" t="n">
        <v>1992</v>
      </c>
      <c r="O43" t="s">
        <v>5407</v>
      </c>
      <c r="P43" t="n">
        <v>3</v>
      </c>
      <c r="Q43" t="n">
        <v>2</v>
      </c>
      <c r="R43" t="n">
        <v>2</v>
      </c>
      <c r="S43" t="n">
        <v>1954</v>
      </c>
      <c r="T43" t="s">
        <v>5408</v>
      </c>
      <c r="U43" t="s">
        <v>5409</v>
      </c>
      <c r="V43" t="s">
        <v>74</v>
      </c>
      <c r="W43" t="s">
        <v>5108</v>
      </c>
      <c r="X43"/>
      <c r="Y43"/>
      <c r="Z43"/>
      <c r="AA43" t="s">
        <v>5410</v>
      </c>
      <c r="AB43" t="s">
        <v>5411</v>
      </c>
      <c r="AC43" t="n">
        <v>182</v>
      </c>
      <c r="AD43"/>
      <c r="AE43"/>
      <c r="AF43" t="s">
        <v>5412</v>
      </c>
      <c r="AG43" t="n">
        <v>111</v>
      </c>
    </row>
    <row r="44">
      <c r="A44" t="s">
        <v>5413</v>
      </c>
      <c r="B44" t="s">
        <v>26</v>
      </c>
      <c r="C44" t="s">
        <v>65</v>
      </c>
      <c r="D44" t="s">
        <v>5414</v>
      </c>
      <c r="E44" t="s">
        <v>67</v>
      </c>
      <c r="F44" t="s">
        <v>68</v>
      </c>
      <c r="G44" t="s">
        <v>69</v>
      </c>
      <c r="H44" t="n">
        <v>39.8417270208333</v>
      </c>
      <c r="I44" t="n">
        <v>-104.9144528125</v>
      </c>
      <c r="J44" t="s">
        <v>35</v>
      </c>
      <c r="K44" t="s">
        <v>70</v>
      </c>
      <c r="L44"/>
      <c r="M44" t="n">
        <v>1980</v>
      </c>
      <c r="N44" t="n">
        <v>1992</v>
      </c>
      <c r="O44" t="s">
        <v>255</v>
      </c>
      <c r="P44" t="n">
        <v>3</v>
      </c>
      <c r="Q44" t="n">
        <v>3</v>
      </c>
      <c r="R44" t="n">
        <v>1</v>
      </c>
      <c r="S44" t="n">
        <v>1978</v>
      </c>
      <c r="T44" t="s">
        <v>5415</v>
      </c>
      <c r="U44" t="s">
        <v>5416</v>
      </c>
      <c r="V44" t="s">
        <v>74</v>
      </c>
      <c r="W44" t="s">
        <v>5417</v>
      </c>
      <c r="X44" t="s">
        <v>5418</v>
      </c>
      <c r="Y44" t="s">
        <v>5419</v>
      </c>
      <c r="Z44"/>
      <c r="AA44" t="s">
        <v>5420</v>
      </c>
      <c r="AB44" t="s">
        <v>5421</v>
      </c>
      <c r="AC44" t="n">
        <v>2</v>
      </c>
      <c r="AD44" t="s">
        <v>5422</v>
      </c>
      <c r="AE44" t="n">
        <v>2</v>
      </c>
      <c r="AF44" t="s">
        <v>5423</v>
      </c>
      <c r="AG44" t="n">
        <v>2</v>
      </c>
    </row>
    <row r="45">
      <c r="A45" t="s">
        <v>5424</v>
      </c>
      <c r="B45" t="s">
        <v>26</v>
      </c>
      <c r="C45" t="s">
        <v>24</v>
      </c>
      <c r="D45" t="s">
        <v>5425</v>
      </c>
      <c r="E45" t="s">
        <v>170</v>
      </c>
      <c r="F45" t="s">
        <v>68</v>
      </c>
      <c r="G45" t="s">
        <v>171</v>
      </c>
      <c r="H45" t="n">
        <v>39.9226872835021</v>
      </c>
      <c r="I45" t="n">
        <v>-104.977847475955</v>
      </c>
      <c r="J45" t="s">
        <v>4109</v>
      </c>
      <c r="K45" t="s">
        <v>120</v>
      </c>
      <c r="L45"/>
      <c r="M45" t="n">
        <v>1980</v>
      </c>
      <c r="N45" t="n">
        <v>1990</v>
      </c>
      <c r="O45" t="s">
        <v>242</v>
      </c>
      <c r="P45" t="n">
        <v>3</v>
      </c>
      <c r="Q45" t="n">
        <v>2</v>
      </c>
      <c r="R45" t="n">
        <v>2</v>
      </c>
      <c r="S45" t="n">
        <v>1962</v>
      </c>
      <c r="T45" t="s">
        <v>5426</v>
      </c>
      <c r="U45" t="s">
        <v>5427</v>
      </c>
      <c r="V45" t="s">
        <v>74</v>
      </c>
      <c r="W45" t="s">
        <v>5428</v>
      </c>
      <c r="X45"/>
      <c r="Y45" t="s">
        <v>5429</v>
      </c>
      <c r="Z45"/>
      <c r="AA45" t="s">
        <v>5430</v>
      </c>
      <c r="AB45" t="s">
        <v>5431</v>
      </c>
      <c r="AC45" t="n">
        <v>244</v>
      </c>
      <c r="AD45"/>
      <c r="AE45"/>
      <c r="AF45" t="s">
        <v>5432</v>
      </c>
      <c r="AG45" t="n">
        <v>78</v>
      </c>
    </row>
    <row r="46">
      <c r="A46" t="s">
        <v>5433</v>
      </c>
      <c r="B46" t="s">
        <v>26</v>
      </c>
      <c r="C46" t="s">
        <v>65</v>
      </c>
      <c r="D46" t="s">
        <v>5434</v>
      </c>
      <c r="E46" t="s">
        <v>67</v>
      </c>
      <c r="F46" t="s">
        <v>68</v>
      </c>
      <c r="G46" t="s">
        <v>69</v>
      </c>
      <c r="H46" t="n">
        <v>39.787455661055</v>
      </c>
      <c r="I46" t="n">
        <v>-104.91085565881</v>
      </c>
      <c r="J46" t="s">
        <v>35</v>
      </c>
      <c r="K46" t="s">
        <v>120</v>
      </c>
      <c r="L46"/>
      <c r="M46" t="n">
        <v>1980</v>
      </c>
      <c r="N46" t="n">
        <v>1992</v>
      </c>
      <c r="O46" t="s">
        <v>351</v>
      </c>
      <c r="P46" t="n">
        <v>5</v>
      </c>
      <c r="Q46" t="n">
        <v>6</v>
      </c>
      <c r="R46" t="n">
        <v>1</v>
      </c>
      <c r="S46" t="n">
        <v>1967</v>
      </c>
      <c r="T46" t="s">
        <v>5435</v>
      </c>
      <c r="U46" t="s">
        <v>5436</v>
      </c>
      <c r="V46" t="s">
        <v>74</v>
      </c>
      <c r="W46" t="s">
        <v>5437</v>
      </c>
      <c r="X46" t="s">
        <v>5438</v>
      </c>
      <c r="Y46" t="s">
        <v>5439</v>
      </c>
      <c r="Z46"/>
      <c r="AA46" t="s">
        <v>5440</v>
      </c>
      <c r="AB46" t="s">
        <v>5441</v>
      </c>
      <c r="AC46" t="n">
        <v>16</v>
      </c>
      <c r="AD46" t="s">
        <v>5183</v>
      </c>
      <c r="AE46" t="n">
        <v>2</v>
      </c>
      <c r="AF46" t="s">
        <v>5441</v>
      </c>
      <c r="AG46" t="n">
        <v>6</v>
      </c>
    </row>
    <row r="47">
      <c r="A47" t="s">
        <v>5442</v>
      </c>
      <c r="B47" t="s">
        <v>26</v>
      </c>
      <c r="C47" t="s">
        <v>65</v>
      </c>
      <c r="D47" t="s">
        <v>5443</v>
      </c>
      <c r="E47" t="s">
        <v>79</v>
      </c>
      <c r="F47" t="s">
        <v>68</v>
      </c>
      <c r="G47" t="s">
        <v>80</v>
      </c>
      <c r="H47" t="n">
        <v>39.804463</v>
      </c>
      <c r="I47" t="n">
        <v>-105.025206</v>
      </c>
      <c r="J47" t="s">
        <v>35</v>
      </c>
      <c r="K47" t="s">
        <v>282</v>
      </c>
      <c r="L47"/>
      <c r="M47" t="n">
        <v>1980</v>
      </c>
      <c r="N47" t="n">
        <v>1983</v>
      </c>
      <c r="O47" t="s">
        <v>528</v>
      </c>
      <c r="P47" t="n">
        <v>2</v>
      </c>
      <c r="Q47" t="n">
        <v>1</v>
      </c>
      <c r="R47" t="n">
        <v>1</v>
      </c>
      <c r="S47" t="n">
        <v>1933</v>
      </c>
      <c r="T47" t="s">
        <v>5444</v>
      </c>
      <c r="U47" t="s">
        <v>5445</v>
      </c>
      <c r="V47" t="s">
        <v>74</v>
      </c>
      <c r="W47" t="s">
        <v>5446</v>
      </c>
      <c r="X47"/>
      <c r="Y47" t="s">
        <v>5447</v>
      </c>
      <c r="Z47"/>
      <c r="AA47"/>
      <c r="AB47" t="s">
        <v>5448</v>
      </c>
      <c r="AC47" t="n">
        <v>12</v>
      </c>
      <c r="AD47"/>
      <c r="AE47"/>
      <c r="AF47" t="s">
        <v>5160</v>
      </c>
      <c r="AG47" t="n">
        <v>12</v>
      </c>
    </row>
    <row r="48">
      <c r="A48" t="s">
        <v>5449</v>
      </c>
      <c r="B48" t="s">
        <v>26</v>
      </c>
      <c r="C48" t="s">
        <v>24</v>
      </c>
      <c r="D48" t="s">
        <v>5450</v>
      </c>
      <c r="E48" t="s">
        <v>177</v>
      </c>
      <c r="F48" t="s">
        <v>68</v>
      </c>
      <c r="G48" t="s">
        <v>178</v>
      </c>
      <c r="H48" t="n">
        <v>39.827032</v>
      </c>
      <c r="I48" t="n">
        <v>-105.026278</v>
      </c>
      <c r="J48" t="s">
        <v>4109</v>
      </c>
      <c r="K48" t="s">
        <v>270</v>
      </c>
      <c r="L48"/>
      <c r="M48" t="n">
        <v>1980</v>
      </c>
      <c r="N48" t="n">
        <v>1992</v>
      </c>
      <c r="O48" t="s">
        <v>582</v>
      </c>
      <c r="P48" t="n">
        <v>4</v>
      </c>
      <c r="Q48" t="n">
        <v>1</v>
      </c>
      <c r="R48" t="n">
        <v>1</v>
      </c>
      <c r="S48" t="n">
        <v>1955</v>
      </c>
      <c r="T48" t="s">
        <v>5451</v>
      </c>
      <c r="U48" t="s">
        <v>5452</v>
      </c>
      <c r="V48" t="s">
        <v>74</v>
      </c>
      <c r="W48" t="s">
        <v>5453</v>
      </c>
      <c r="X48"/>
      <c r="Y48" t="s">
        <v>5454</v>
      </c>
      <c r="Z48"/>
      <c r="AA48" t="s">
        <v>5455</v>
      </c>
      <c r="AB48" t="s">
        <v>5456</v>
      </c>
      <c r="AC48" t="n">
        <v>130</v>
      </c>
      <c r="AD48"/>
      <c r="AE48"/>
      <c r="AF48" t="s">
        <v>1364</v>
      </c>
      <c r="AG48" t="n">
        <v>32</v>
      </c>
    </row>
    <row r="49">
      <c r="A49" t="s">
        <v>5457</v>
      </c>
      <c r="B49" t="s">
        <v>26</v>
      </c>
      <c r="C49" t="s">
        <v>65</v>
      </c>
      <c r="D49" t="s">
        <v>5458</v>
      </c>
      <c r="E49" t="s">
        <v>177</v>
      </c>
      <c r="F49" t="s">
        <v>68</v>
      </c>
      <c r="G49" t="s">
        <v>178</v>
      </c>
      <c r="H49" t="n">
        <v>39.827284</v>
      </c>
      <c r="I49" t="n">
        <v>-105.039927</v>
      </c>
      <c r="J49" t="s">
        <v>35</v>
      </c>
      <c r="K49" t="s">
        <v>70</v>
      </c>
      <c r="L49"/>
      <c r="M49" t="n">
        <v>1980</v>
      </c>
      <c r="N49" t="n">
        <v>1983</v>
      </c>
      <c r="O49" t="s">
        <v>528</v>
      </c>
      <c r="P49" t="n">
        <v>2</v>
      </c>
      <c r="Q49" t="n">
        <v>2</v>
      </c>
      <c r="R49" t="n">
        <v>2</v>
      </c>
      <c r="S49" t="n">
        <v>1971</v>
      </c>
      <c r="T49" t="s">
        <v>5459</v>
      </c>
      <c r="U49" t="s">
        <v>5460</v>
      </c>
      <c r="V49" t="s">
        <v>74</v>
      </c>
      <c r="W49" t="s">
        <v>5461</v>
      </c>
      <c r="X49"/>
      <c r="Y49"/>
      <c r="Z49"/>
      <c r="AA49" t="s">
        <v>5462</v>
      </c>
      <c r="AB49" t="s">
        <v>5463</v>
      </c>
      <c r="AC49" t="n">
        <v>15</v>
      </c>
      <c r="AD49"/>
      <c r="AE49"/>
      <c r="AF49" t="s">
        <v>5464</v>
      </c>
      <c r="AG49" t="n">
        <v>131</v>
      </c>
    </row>
    <row r="50">
      <c r="A50" t="s">
        <v>5465</v>
      </c>
      <c r="B50" t="s">
        <v>26</v>
      </c>
      <c r="C50" t="s">
        <v>24</v>
      </c>
      <c r="D50" t="s">
        <v>5466</v>
      </c>
      <c r="E50" t="s">
        <v>95</v>
      </c>
      <c r="F50" t="s">
        <v>68</v>
      </c>
      <c r="G50" t="s">
        <v>96</v>
      </c>
      <c r="H50" t="n">
        <v>39.7633014101796</v>
      </c>
      <c r="I50" t="n">
        <v>-104.815714305389</v>
      </c>
      <c r="J50" t="s">
        <v>4109</v>
      </c>
      <c r="K50" t="s">
        <v>141</v>
      </c>
      <c r="L50"/>
      <c r="M50" t="n">
        <v>1983</v>
      </c>
      <c r="N50" t="n">
        <v>1992</v>
      </c>
      <c r="O50" t="s">
        <v>351</v>
      </c>
      <c r="P50" t="n">
        <v>3</v>
      </c>
      <c r="Q50" t="n">
        <v>2</v>
      </c>
      <c r="R50" t="n">
        <v>1</v>
      </c>
      <c r="S50" t="n">
        <v>1934</v>
      </c>
      <c r="T50" t="s">
        <v>5467</v>
      </c>
      <c r="U50" t="s">
        <v>5468</v>
      </c>
      <c r="V50" t="s">
        <v>74</v>
      </c>
      <c r="W50" t="s">
        <v>5469</v>
      </c>
      <c r="X50" t="s">
        <v>5470</v>
      </c>
      <c r="Y50" t="s">
        <v>5471</v>
      </c>
      <c r="Z50"/>
      <c r="AA50" t="s">
        <v>5472</v>
      </c>
      <c r="AB50" t="s">
        <v>5473</v>
      </c>
      <c r="AC50" t="n">
        <v>21</v>
      </c>
      <c r="AD50" t="s">
        <v>5474</v>
      </c>
      <c r="AE50" t="n">
        <v>16</v>
      </c>
      <c r="AF50" t="s">
        <v>5475</v>
      </c>
      <c r="AG50" t="n">
        <v>232</v>
      </c>
    </row>
    <row r="51">
      <c r="A51" t="s">
        <v>5476</v>
      </c>
      <c r="B51" t="s">
        <v>26</v>
      </c>
      <c r="C51" t="s">
        <v>24</v>
      </c>
      <c r="D51" t="s">
        <v>5477</v>
      </c>
      <c r="E51" t="s">
        <v>67</v>
      </c>
      <c r="F51" t="s">
        <v>68</v>
      </c>
      <c r="G51" t="s">
        <v>69</v>
      </c>
      <c r="H51" t="n">
        <v>39.7874240883534</v>
      </c>
      <c r="I51" t="n">
        <v>-104.917338843373</v>
      </c>
      <c r="J51" t="s">
        <v>4109</v>
      </c>
      <c r="K51" t="s">
        <v>120</v>
      </c>
      <c r="L51"/>
      <c r="M51" t="n">
        <v>1983</v>
      </c>
      <c r="N51" t="n">
        <v>1988</v>
      </c>
      <c r="O51" t="s">
        <v>283</v>
      </c>
      <c r="P51" t="n">
        <v>2</v>
      </c>
      <c r="Q51" t="n">
        <v>1</v>
      </c>
      <c r="R51" t="n">
        <v>1</v>
      </c>
      <c r="S51" t="n">
        <v>1979</v>
      </c>
      <c r="T51" t="s">
        <v>5478</v>
      </c>
      <c r="U51" t="s">
        <v>5479</v>
      </c>
      <c r="V51" t="s">
        <v>74</v>
      </c>
      <c r="W51" t="s">
        <v>5480</v>
      </c>
      <c r="X51"/>
      <c r="Y51" t="s">
        <v>5481</v>
      </c>
      <c r="Z51"/>
      <c r="AA51" t="s">
        <v>5482</v>
      </c>
      <c r="AB51" t="s">
        <v>5483</v>
      </c>
      <c r="AC51" t="n">
        <v>131</v>
      </c>
      <c r="AD51"/>
      <c r="AE51"/>
      <c r="AF51" t="s">
        <v>5484</v>
      </c>
      <c r="AG51" t="n">
        <v>17</v>
      </c>
    </row>
    <row r="52">
      <c r="A52" t="s">
        <v>5485</v>
      </c>
      <c r="B52" t="s">
        <v>26</v>
      </c>
      <c r="C52" t="s">
        <v>65</v>
      </c>
      <c r="D52" t="s">
        <v>5486</v>
      </c>
      <c r="E52" t="s">
        <v>67</v>
      </c>
      <c r="F52" t="s">
        <v>68</v>
      </c>
      <c r="G52" t="s">
        <v>69</v>
      </c>
      <c r="H52" t="n">
        <v>39.820079</v>
      </c>
      <c r="I52" t="n">
        <v>-104.941083</v>
      </c>
      <c r="J52" t="s">
        <v>35</v>
      </c>
      <c r="K52" t="s">
        <v>1282</v>
      </c>
      <c r="L52"/>
      <c r="M52" t="n">
        <v>1983</v>
      </c>
      <c r="N52" t="n">
        <v>1990</v>
      </c>
      <c r="O52" t="s">
        <v>293</v>
      </c>
      <c r="P52" t="n">
        <v>2</v>
      </c>
      <c r="Q52" t="n">
        <v>2</v>
      </c>
      <c r="R52" t="n">
        <v>2</v>
      </c>
      <c r="S52" t="n">
        <v>1936</v>
      </c>
      <c r="T52" t="s">
        <v>5487</v>
      </c>
      <c r="U52" t="s">
        <v>5488</v>
      </c>
      <c r="V52" t="s">
        <v>74</v>
      </c>
      <c r="W52" t="s">
        <v>5489</v>
      </c>
      <c r="X52" t="s">
        <v>5490</v>
      </c>
      <c r="Y52" t="s">
        <v>5491</v>
      </c>
      <c r="Z52"/>
      <c r="AA52" t="s">
        <v>5492</v>
      </c>
      <c r="AB52" t="s">
        <v>5493</v>
      </c>
      <c r="AC52" t="n">
        <v>115</v>
      </c>
      <c r="AD52" t="s">
        <v>1491</v>
      </c>
      <c r="AE52" t="n">
        <v>22</v>
      </c>
      <c r="AF52" t="s">
        <v>5494</v>
      </c>
      <c r="AG52" t="n">
        <v>115</v>
      </c>
    </row>
    <row r="53">
      <c r="A53" t="s">
        <v>5495</v>
      </c>
      <c r="B53" t="s">
        <v>26</v>
      </c>
      <c r="C53" t="s">
        <v>24</v>
      </c>
      <c r="D53" t="s">
        <v>5496</v>
      </c>
      <c r="E53" t="s">
        <v>67</v>
      </c>
      <c r="F53" t="s">
        <v>68</v>
      </c>
      <c r="G53" t="s">
        <v>69</v>
      </c>
      <c r="H53" t="n">
        <v>39.8009517272727</v>
      </c>
      <c r="I53" t="n">
        <v>-104.912897727273</v>
      </c>
      <c r="J53" t="s">
        <v>35</v>
      </c>
      <c r="K53" t="s">
        <v>133</v>
      </c>
      <c r="L53"/>
      <c r="M53" t="n">
        <v>1983</v>
      </c>
      <c r="N53" t="n">
        <v>1990</v>
      </c>
      <c r="O53" t="s">
        <v>264</v>
      </c>
      <c r="P53" t="n">
        <v>2</v>
      </c>
      <c r="Q53" t="n">
        <v>2</v>
      </c>
      <c r="R53" t="n">
        <v>1</v>
      </c>
      <c r="S53" t="n">
        <v>1965</v>
      </c>
      <c r="T53" t="s">
        <v>5497</v>
      </c>
      <c r="U53" t="s">
        <v>5498</v>
      </c>
      <c r="V53" t="s">
        <v>4175</v>
      </c>
      <c r="W53" t="s">
        <v>5108</v>
      </c>
      <c r="X53"/>
      <c r="Y53" t="s">
        <v>5499</v>
      </c>
      <c r="Z53"/>
      <c r="AA53"/>
      <c r="AB53"/>
      <c r="AC53"/>
      <c r="AD53"/>
      <c r="AE53"/>
      <c r="AF53" t="s">
        <v>5500</v>
      </c>
      <c r="AG53" t="n">
        <v>5</v>
      </c>
    </row>
    <row r="54">
      <c r="A54" t="s">
        <v>5501</v>
      </c>
      <c r="B54" t="s">
        <v>26</v>
      </c>
      <c r="C54" t="s">
        <v>65</v>
      </c>
      <c r="D54" t="s">
        <v>5502</v>
      </c>
      <c r="E54" t="s">
        <v>67</v>
      </c>
      <c r="F54" t="s">
        <v>68</v>
      </c>
      <c r="G54" t="s">
        <v>5503</v>
      </c>
      <c r="H54" t="n">
        <v>39.7983660694444</v>
      </c>
      <c r="I54" t="n">
        <v>-104.913413833333</v>
      </c>
      <c r="J54" t="s">
        <v>35</v>
      </c>
      <c r="K54" t="s">
        <v>120</v>
      </c>
      <c r="L54"/>
      <c r="M54" t="n">
        <v>1983</v>
      </c>
      <c r="N54" t="n">
        <v>1990</v>
      </c>
      <c r="O54" t="s">
        <v>264</v>
      </c>
      <c r="P54" t="n">
        <v>3</v>
      </c>
      <c r="Q54" t="n">
        <v>3</v>
      </c>
      <c r="R54" t="n">
        <v>1</v>
      </c>
      <c r="S54" t="n">
        <v>1980</v>
      </c>
      <c r="T54" t="s">
        <v>5504</v>
      </c>
      <c r="U54" t="s">
        <v>5505</v>
      </c>
      <c r="V54" t="s">
        <v>74</v>
      </c>
      <c r="W54" t="s">
        <v>5108</v>
      </c>
      <c r="X54"/>
      <c r="Y54" t="s">
        <v>5506</v>
      </c>
      <c r="Z54"/>
      <c r="AA54" t="s">
        <v>5507</v>
      </c>
      <c r="AB54" t="s">
        <v>5411</v>
      </c>
      <c r="AC54" t="n">
        <v>109</v>
      </c>
      <c r="AD54"/>
      <c r="AE54"/>
      <c r="AF54" t="s">
        <v>5508</v>
      </c>
      <c r="AG54" t="n">
        <v>2</v>
      </c>
    </row>
    <row r="55">
      <c r="A55" t="s">
        <v>5509</v>
      </c>
      <c r="B55" t="s">
        <v>26</v>
      </c>
      <c r="C55" t="s">
        <v>65</v>
      </c>
      <c r="D55" t="s">
        <v>5510</v>
      </c>
      <c r="E55" t="s">
        <v>67</v>
      </c>
      <c r="F55" t="s">
        <v>68</v>
      </c>
      <c r="G55" t="s">
        <v>69</v>
      </c>
      <c r="H55" t="n">
        <v>39.7874400263103</v>
      </c>
      <c r="I55" t="n">
        <v>-104.913903119548</v>
      </c>
      <c r="J55" t="s">
        <v>35</v>
      </c>
      <c r="K55" t="s">
        <v>220</v>
      </c>
      <c r="L55"/>
      <c r="M55" t="n">
        <v>1983</v>
      </c>
      <c r="N55" t="n">
        <v>1988</v>
      </c>
      <c r="O55" t="s">
        <v>325</v>
      </c>
      <c r="P55" t="n">
        <v>2</v>
      </c>
      <c r="Q55" t="n">
        <v>2</v>
      </c>
      <c r="R55" t="n">
        <v>1</v>
      </c>
      <c r="S55" t="n">
        <v>1951</v>
      </c>
      <c r="T55" t="s">
        <v>5511</v>
      </c>
      <c r="U55" t="s">
        <v>5512</v>
      </c>
      <c r="V55" t="s">
        <v>74</v>
      </c>
      <c r="W55" t="s">
        <v>5108</v>
      </c>
      <c r="X55"/>
      <c r="Y55"/>
      <c r="Z55"/>
      <c r="AA55"/>
      <c r="AB55" t="s">
        <v>5513</v>
      </c>
      <c r="AC55" t="n">
        <v>223</v>
      </c>
      <c r="AD55"/>
      <c r="AE55"/>
      <c r="AF55" t="s">
        <v>5514</v>
      </c>
      <c r="AG55" t="n">
        <v>70</v>
      </c>
    </row>
    <row r="56">
      <c r="A56" t="s">
        <v>5515</v>
      </c>
      <c r="B56" t="s">
        <v>26</v>
      </c>
      <c r="C56" t="s">
        <v>24</v>
      </c>
      <c r="D56" t="s">
        <v>5516</v>
      </c>
      <c r="E56" t="s">
        <v>177</v>
      </c>
      <c r="F56" t="s">
        <v>68</v>
      </c>
      <c r="G56" t="s">
        <v>178</v>
      </c>
      <c r="H56" t="n">
        <v>39.8247177390165</v>
      </c>
      <c r="I56" t="n">
        <v>-105.025083090685</v>
      </c>
      <c r="J56" t="s">
        <v>4109</v>
      </c>
      <c r="K56" t="s">
        <v>89</v>
      </c>
      <c r="L56" t="s">
        <v>554</v>
      </c>
      <c r="M56" t="n">
        <v>1983</v>
      </c>
      <c r="N56" t="n">
        <v>1983</v>
      </c>
      <c r="O56" t="s">
        <v>264</v>
      </c>
      <c r="P56" t="n">
        <v>1</v>
      </c>
      <c r="Q56" t="n">
        <v>1</v>
      </c>
      <c r="R56" t="n">
        <v>1</v>
      </c>
      <c r="S56" t="n">
        <v>1980</v>
      </c>
      <c r="T56" t="s">
        <v>5517</v>
      </c>
      <c r="U56" t="s">
        <v>5518</v>
      </c>
      <c r="V56" t="s">
        <v>74</v>
      </c>
      <c r="W56" t="s">
        <v>5519</v>
      </c>
      <c r="X56"/>
      <c r="Y56" t="s">
        <v>5520</v>
      </c>
      <c r="Z56"/>
      <c r="AA56" t="s">
        <v>5521</v>
      </c>
      <c r="AB56" t="s">
        <v>5522</v>
      </c>
      <c r="AC56" t="n">
        <v>122</v>
      </c>
      <c r="AD56"/>
      <c r="AE56"/>
      <c r="AF56" t="s">
        <v>5523</v>
      </c>
      <c r="AG56" t="n">
        <v>126</v>
      </c>
    </row>
    <row r="57">
      <c r="A57" t="s">
        <v>5524</v>
      </c>
      <c r="B57" t="s">
        <v>26</v>
      </c>
      <c r="C57" t="s">
        <v>65</v>
      </c>
      <c r="D57" t="s">
        <v>5525</v>
      </c>
      <c r="E57" t="s">
        <v>79</v>
      </c>
      <c r="F57" t="s">
        <v>68</v>
      </c>
      <c r="G57" t="s">
        <v>80</v>
      </c>
      <c r="H57" t="n">
        <v>39.8127607644544</v>
      </c>
      <c r="I57" t="n">
        <v>-104.986074586788</v>
      </c>
      <c r="J57" t="s">
        <v>35</v>
      </c>
      <c r="K57" t="s">
        <v>315</v>
      </c>
      <c r="L57"/>
      <c r="M57" t="n">
        <v>1983</v>
      </c>
      <c r="N57" t="n">
        <v>1992</v>
      </c>
      <c r="O57" t="s">
        <v>357</v>
      </c>
      <c r="P57" t="n">
        <v>4</v>
      </c>
      <c r="Q57" t="n">
        <v>3</v>
      </c>
      <c r="R57" t="n">
        <v>2</v>
      </c>
      <c r="S57" t="n">
        <v>1958</v>
      </c>
      <c r="T57" t="s">
        <v>5526</v>
      </c>
      <c r="U57" t="s">
        <v>5527</v>
      </c>
      <c r="V57" t="s">
        <v>74</v>
      </c>
      <c r="W57" t="s">
        <v>5528</v>
      </c>
      <c r="X57"/>
      <c r="Y57" t="s">
        <v>5529</v>
      </c>
      <c r="Z57"/>
      <c r="AA57" t="s">
        <v>5530</v>
      </c>
      <c r="AB57" t="s">
        <v>5531</v>
      </c>
      <c r="AC57" t="n">
        <v>60</v>
      </c>
      <c r="AD57" t="s">
        <v>5532</v>
      </c>
      <c r="AE57" t="n">
        <v>170</v>
      </c>
      <c r="AF57" t="s">
        <v>5533</v>
      </c>
      <c r="AG57" t="n">
        <v>8</v>
      </c>
    </row>
    <row r="58">
      <c r="A58" t="s">
        <v>5534</v>
      </c>
      <c r="B58" t="s">
        <v>26</v>
      </c>
      <c r="C58" t="s">
        <v>65</v>
      </c>
      <c r="D58" t="s">
        <v>5535</v>
      </c>
      <c r="E58" t="s">
        <v>253</v>
      </c>
      <c r="F58" t="s">
        <v>68</v>
      </c>
      <c r="G58" t="s">
        <v>254</v>
      </c>
      <c r="H58" t="n">
        <v>39.8707404035088</v>
      </c>
      <c r="I58" t="n">
        <v>-104.883285087719</v>
      </c>
      <c r="J58" t="s">
        <v>35</v>
      </c>
      <c r="K58" t="s">
        <v>89</v>
      </c>
      <c r="L58"/>
      <c r="M58" t="n">
        <v>1983</v>
      </c>
      <c r="N58" t="n">
        <v>1990</v>
      </c>
      <c r="O58" t="s">
        <v>293</v>
      </c>
      <c r="P58" t="n">
        <v>2</v>
      </c>
      <c r="Q58" t="n">
        <v>1</v>
      </c>
      <c r="R58" t="n">
        <v>1</v>
      </c>
      <c r="S58" t="n">
        <v>1980</v>
      </c>
      <c r="T58" t="s">
        <v>5536</v>
      </c>
      <c r="U58" t="s">
        <v>5537</v>
      </c>
      <c r="V58" t="s">
        <v>74</v>
      </c>
      <c r="W58" t="s">
        <v>5538</v>
      </c>
      <c r="X58" t="s">
        <v>5539</v>
      </c>
      <c r="Y58" t="s">
        <v>5540</v>
      </c>
      <c r="Z58"/>
      <c r="AA58" t="s">
        <v>5541</v>
      </c>
      <c r="AB58" t="s">
        <v>5542</v>
      </c>
      <c r="AC58" t="n">
        <v>137</v>
      </c>
      <c r="AD58" t="s">
        <v>5543</v>
      </c>
      <c r="AE58" t="n">
        <v>137</v>
      </c>
      <c r="AF58" t="s">
        <v>5544</v>
      </c>
      <c r="AG58" t="n">
        <v>19</v>
      </c>
    </row>
    <row r="59">
      <c r="A59" t="s">
        <v>5545</v>
      </c>
      <c r="B59" t="s">
        <v>26</v>
      </c>
      <c r="C59" t="s">
        <v>24</v>
      </c>
      <c r="D59" t="s">
        <v>5546</v>
      </c>
      <c r="E59" t="s">
        <v>95</v>
      </c>
      <c r="F59" t="s">
        <v>68</v>
      </c>
      <c r="G59" t="s">
        <v>96</v>
      </c>
      <c r="H59" t="n">
        <v>39.7461133511183</v>
      </c>
      <c r="I59" t="n">
        <v>-104.810121793872</v>
      </c>
      <c r="J59" t="s">
        <v>4109</v>
      </c>
      <c r="K59" t="s">
        <v>5547</v>
      </c>
      <c r="L59"/>
      <c r="M59" t="n">
        <v>1988</v>
      </c>
      <c r="N59" t="n">
        <v>1988</v>
      </c>
      <c r="O59" t="s">
        <v>325</v>
      </c>
      <c r="P59" t="n">
        <v>1</v>
      </c>
      <c r="Q59" t="n">
        <v>1</v>
      </c>
      <c r="R59" t="n">
        <v>1</v>
      </c>
      <c r="S59" t="n">
        <v>1982</v>
      </c>
      <c r="T59" t="s">
        <v>5548</v>
      </c>
      <c r="U59" t="s">
        <v>5549</v>
      </c>
      <c r="V59" t="s">
        <v>74</v>
      </c>
      <c r="W59" t="s">
        <v>5550</v>
      </c>
      <c r="X59"/>
      <c r="Y59" t="s">
        <v>5551</v>
      </c>
      <c r="Z59"/>
      <c r="AA59" t="s">
        <v>5552</v>
      </c>
      <c r="AB59" t="s">
        <v>5553</v>
      </c>
      <c r="AC59" t="n">
        <v>250</v>
      </c>
      <c r="AD59"/>
      <c r="AE59"/>
      <c r="AF59" t="s">
        <v>5554</v>
      </c>
      <c r="AG59" t="n">
        <v>80</v>
      </c>
    </row>
    <row r="60">
      <c r="A60" t="s">
        <v>5555</v>
      </c>
      <c r="B60" t="s">
        <v>26</v>
      </c>
      <c r="C60" t="s">
        <v>24</v>
      </c>
      <c r="D60" t="s">
        <v>5556</v>
      </c>
      <c r="E60" t="s">
        <v>95</v>
      </c>
      <c r="F60" t="s">
        <v>68</v>
      </c>
      <c r="G60"/>
      <c r="H60" t="n">
        <v>39.752892</v>
      </c>
      <c r="I60" t="n">
        <v>-104.876392</v>
      </c>
      <c r="J60" t="s">
        <v>4109</v>
      </c>
      <c r="K60" t="s">
        <v>2896</v>
      </c>
      <c r="L60"/>
      <c r="M60" t="n">
        <v>1988</v>
      </c>
      <c r="N60" t="n">
        <v>1988</v>
      </c>
      <c r="O60" t="s">
        <v>325</v>
      </c>
      <c r="P60" t="n">
        <v>1</v>
      </c>
      <c r="Q60" t="n">
        <v>1</v>
      </c>
      <c r="R60" t="n">
        <v>1</v>
      </c>
      <c r="S60" t="n">
        <v>1954</v>
      </c>
      <c r="T60" t="s">
        <v>5557</v>
      </c>
      <c r="U60" t="s">
        <v>5558</v>
      </c>
      <c r="V60" t="s">
        <v>74</v>
      </c>
      <c r="W60" t="s">
        <v>5559</v>
      </c>
      <c r="X60"/>
      <c r="Y60" t="s">
        <v>5560</v>
      </c>
      <c r="Z60"/>
      <c r="AA60" t="s">
        <v>5561</v>
      </c>
      <c r="AB60" t="s">
        <v>5562</v>
      </c>
      <c r="AC60" t="n">
        <v>20</v>
      </c>
      <c r="AD60"/>
      <c r="AE60"/>
      <c r="AF60" t="s">
        <v>5563</v>
      </c>
      <c r="AG60" t="n">
        <v>131</v>
      </c>
    </row>
    <row r="61">
      <c r="A61" t="s">
        <v>5564</v>
      </c>
      <c r="B61" t="s">
        <v>26</v>
      </c>
      <c r="C61" t="s">
        <v>65</v>
      </c>
      <c r="D61" t="s">
        <v>5565</v>
      </c>
      <c r="E61" t="s">
        <v>67</v>
      </c>
      <c r="F61" t="s">
        <v>68</v>
      </c>
      <c r="G61" t="s">
        <v>69</v>
      </c>
      <c r="H61" t="n">
        <v>39.7942717569519</v>
      </c>
      <c r="I61" t="n">
        <v>-104.909766175421</v>
      </c>
      <c r="J61" t="s">
        <v>35</v>
      </c>
      <c r="K61" t="s">
        <v>234</v>
      </c>
      <c r="L61"/>
      <c r="M61" t="n">
        <v>1988</v>
      </c>
      <c r="N61" t="n">
        <v>1992</v>
      </c>
      <c r="O61" t="s">
        <v>320</v>
      </c>
      <c r="P61" t="n">
        <v>3</v>
      </c>
      <c r="Q61" t="n">
        <v>2</v>
      </c>
      <c r="R61" t="n">
        <v>2</v>
      </c>
      <c r="S61" t="n">
        <v>1973</v>
      </c>
      <c r="T61" t="s">
        <v>5566</v>
      </c>
      <c r="U61" t="s">
        <v>5567</v>
      </c>
      <c r="V61" t="s">
        <v>74</v>
      </c>
      <c r="W61" t="s">
        <v>5568</v>
      </c>
      <c r="X61"/>
      <c r="Y61" t="s">
        <v>5569</v>
      </c>
      <c r="Z61"/>
      <c r="AA61"/>
      <c r="AB61" t="s">
        <v>5570</v>
      </c>
      <c r="AC61" t="n">
        <v>18</v>
      </c>
      <c r="AD61"/>
      <c r="AE61"/>
      <c r="AF61" t="s">
        <v>5571</v>
      </c>
      <c r="AG61" t="n">
        <v>21</v>
      </c>
    </row>
    <row r="62">
      <c r="A62" t="s">
        <v>5572</v>
      </c>
      <c r="B62" t="s">
        <v>26</v>
      </c>
      <c r="C62" t="s">
        <v>65</v>
      </c>
      <c r="D62" t="s">
        <v>5573</v>
      </c>
      <c r="E62" t="s">
        <v>67</v>
      </c>
      <c r="F62" t="s">
        <v>68</v>
      </c>
      <c r="G62" t="s">
        <v>69</v>
      </c>
      <c r="H62" t="n">
        <v>39.8417278333333</v>
      </c>
      <c r="I62" t="n">
        <v>-104.9137825</v>
      </c>
      <c r="J62" t="s">
        <v>35</v>
      </c>
      <c r="K62" t="s">
        <v>141</v>
      </c>
      <c r="L62"/>
      <c r="M62" t="n">
        <v>1988</v>
      </c>
      <c r="N62" t="n">
        <v>1988</v>
      </c>
      <c r="O62" t="s">
        <v>325</v>
      </c>
      <c r="P62" t="n">
        <v>1</v>
      </c>
      <c r="Q62" t="n">
        <v>1</v>
      </c>
      <c r="R62" t="n">
        <v>1</v>
      </c>
      <c r="S62" t="n">
        <v>1971</v>
      </c>
      <c r="T62" t="s">
        <v>5574</v>
      </c>
      <c r="U62" t="s">
        <v>5575</v>
      </c>
      <c r="V62" t="s">
        <v>74</v>
      </c>
      <c r="W62" t="s">
        <v>5576</v>
      </c>
      <c r="X62" t="s">
        <v>5577</v>
      </c>
      <c r="Y62"/>
      <c r="Z62"/>
      <c r="AA62"/>
      <c r="AB62" t="s">
        <v>5421</v>
      </c>
      <c r="AC62" t="n">
        <v>59</v>
      </c>
      <c r="AD62" t="s">
        <v>5422</v>
      </c>
      <c r="AE62" t="n">
        <v>59</v>
      </c>
      <c r="AF62" t="s">
        <v>5423</v>
      </c>
      <c r="AG62" t="n">
        <v>59</v>
      </c>
    </row>
    <row r="63">
      <c r="A63" t="s">
        <v>5578</v>
      </c>
      <c r="B63" t="s">
        <v>26</v>
      </c>
      <c r="C63" t="s">
        <v>24</v>
      </c>
      <c r="D63" t="s">
        <v>5579</v>
      </c>
      <c r="E63" t="s">
        <v>67</v>
      </c>
      <c r="F63" t="s">
        <v>68</v>
      </c>
      <c r="G63" t="s">
        <v>69</v>
      </c>
      <c r="H63" t="n">
        <v>39.8019043526535</v>
      </c>
      <c r="I63" t="n">
        <v>-104.917549333835</v>
      </c>
      <c r="J63" t="s">
        <v>4109</v>
      </c>
      <c r="K63" t="s">
        <v>70</v>
      </c>
      <c r="L63"/>
      <c r="M63" t="n">
        <v>1988</v>
      </c>
      <c r="N63" t="n">
        <v>1990</v>
      </c>
      <c r="O63" t="s">
        <v>310</v>
      </c>
      <c r="P63" t="n">
        <v>2</v>
      </c>
      <c r="Q63" t="n">
        <v>1</v>
      </c>
      <c r="R63" t="n">
        <v>1</v>
      </c>
      <c r="S63" t="n">
        <v>1982</v>
      </c>
      <c r="T63" t="s">
        <v>5580</v>
      </c>
      <c r="U63" t="s">
        <v>5581</v>
      </c>
      <c r="V63" t="s">
        <v>74</v>
      </c>
      <c r="W63" t="s">
        <v>5582</v>
      </c>
      <c r="X63" t="s">
        <v>5583</v>
      </c>
      <c r="Y63" t="s">
        <v>5584</v>
      </c>
      <c r="Z63"/>
      <c r="AA63" t="s">
        <v>5585</v>
      </c>
      <c r="AB63" t="s">
        <v>5586</v>
      </c>
      <c r="AC63" t="n">
        <v>37</v>
      </c>
      <c r="AD63" t="s">
        <v>5587</v>
      </c>
      <c r="AE63" t="n">
        <v>98</v>
      </c>
      <c r="AF63" t="s">
        <v>5588</v>
      </c>
      <c r="AG63" t="n">
        <v>2</v>
      </c>
    </row>
    <row r="64">
      <c r="A64" t="s">
        <v>5589</v>
      </c>
      <c r="B64" t="s">
        <v>26</v>
      </c>
      <c r="C64" t="s">
        <v>24</v>
      </c>
      <c r="D64" t="s">
        <v>5590</v>
      </c>
      <c r="E64" t="s">
        <v>67</v>
      </c>
      <c r="F64" t="s">
        <v>68</v>
      </c>
      <c r="G64" t="s">
        <v>69</v>
      </c>
      <c r="H64" t="n">
        <v>39.848937</v>
      </c>
      <c r="I64" t="n">
        <v>-104.905352</v>
      </c>
      <c r="J64" t="s">
        <v>4109</v>
      </c>
      <c r="K64" t="s">
        <v>133</v>
      </c>
      <c r="L64"/>
      <c r="M64" t="n">
        <v>1988</v>
      </c>
      <c r="N64" t="n">
        <v>1988</v>
      </c>
      <c r="O64" t="s">
        <v>325</v>
      </c>
      <c r="P64" t="n">
        <v>1</v>
      </c>
      <c r="Q64" t="n">
        <v>1</v>
      </c>
      <c r="R64" t="n">
        <v>1</v>
      </c>
      <c r="S64" t="n">
        <v>1970</v>
      </c>
      <c r="T64" t="s">
        <v>5591</v>
      </c>
      <c r="U64" t="s">
        <v>5592</v>
      </c>
      <c r="V64" t="s">
        <v>74</v>
      </c>
      <c r="W64" t="s">
        <v>5108</v>
      </c>
      <c r="X64"/>
      <c r="Y64" t="s">
        <v>5593</v>
      </c>
      <c r="Z64"/>
      <c r="AA64" t="s">
        <v>5594</v>
      </c>
      <c r="AB64"/>
      <c r="AC64"/>
      <c r="AD64"/>
      <c r="AE64"/>
      <c r="AF64" t="s">
        <v>5363</v>
      </c>
      <c r="AG64" t="n">
        <v>134</v>
      </c>
    </row>
    <row r="65">
      <c r="A65" t="s">
        <v>5595</v>
      </c>
      <c r="B65" t="s">
        <v>26</v>
      </c>
      <c r="C65" t="s">
        <v>24</v>
      </c>
      <c r="D65" t="s">
        <v>5596</v>
      </c>
      <c r="E65" t="s">
        <v>79</v>
      </c>
      <c r="F65" t="s">
        <v>68</v>
      </c>
      <c r="G65" t="s">
        <v>80</v>
      </c>
      <c r="H65" t="n">
        <v>39.7535243849434</v>
      </c>
      <c r="I65" t="n">
        <v>-105.025278222501</v>
      </c>
      <c r="J65" t="s">
        <v>4109</v>
      </c>
      <c r="K65" t="s">
        <v>133</v>
      </c>
      <c r="L65"/>
      <c r="M65" t="n">
        <v>1988</v>
      </c>
      <c r="N65" t="n">
        <v>1988</v>
      </c>
      <c r="O65" t="s">
        <v>325</v>
      </c>
      <c r="P65" t="n">
        <v>1</v>
      </c>
      <c r="Q65" t="n">
        <v>1</v>
      </c>
      <c r="R65" t="n">
        <v>1</v>
      </c>
      <c r="S65" t="n">
        <v>1983</v>
      </c>
      <c r="T65" t="s">
        <v>5597</v>
      </c>
      <c r="U65" t="s">
        <v>5598</v>
      </c>
      <c r="V65" t="s">
        <v>74</v>
      </c>
      <c r="W65" t="s">
        <v>5599</v>
      </c>
      <c r="X65"/>
      <c r="Y65" t="s">
        <v>5600</v>
      </c>
      <c r="Z65"/>
      <c r="AA65" t="s">
        <v>5601</v>
      </c>
      <c r="AB65" t="s">
        <v>1597</v>
      </c>
      <c r="AC65" t="n">
        <v>219</v>
      </c>
      <c r="AD65"/>
      <c r="AE65"/>
      <c r="AF65" t="s">
        <v>5602</v>
      </c>
      <c r="AG65" t="n">
        <v>117</v>
      </c>
    </row>
    <row r="66">
      <c r="A66" t="s">
        <v>5603</v>
      </c>
      <c r="B66" t="s">
        <v>26</v>
      </c>
      <c r="C66" t="s">
        <v>65</v>
      </c>
      <c r="D66" t="s">
        <v>5604</v>
      </c>
      <c r="E66" t="s">
        <v>67</v>
      </c>
      <c r="F66" t="s">
        <v>68</v>
      </c>
      <c r="G66" t="s">
        <v>69</v>
      </c>
      <c r="H66" t="n">
        <v>39.793534</v>
      </c>
      <c r="I66" t="n">
        <v>-104.90976</v>
      </c>
      <c r="J66" t="s">
        <v>35</v>
      </c>
      <c r="K66" t="s">
        <v>120</v>
      </c>
      <c r="L66"/>
      <c r="M66" t="n">
        <v>1990</v>
      </c>
      <c r="N66" t="n">
        <v>1990</v>
      </c>
      <c r="O66" t="s">
        <v>351</v>
      </c>
      <c r="P66" t="n">
        <v>1</v>
      </c>
      <c r="Q66" t="n">
        <v>1</v>
      </c>
      <c r="R66" t="n">
        <v>1</v>
      </c>
      <c r="S66" t="n">
        <v>1977</v>
      </c>
      <c r="T66" t="s">
        <v>5605</v>
      </c>
      <c r="U66" t="s">
        <v>5606</v>
      </c>
      <c r="V66" t="s">
        <v>74</v>
      </c>
      <c r="W66" t="s">
        <v>5607</v>
      </c>
      <c r="X66"/>
      <c r="Y66"/>
      <c r="Z66"/>
      <c r="AA66"/>
      <c r="AB66" t="s">
        <v>5608</v>
      </c>
      <c r="AC66" t="n">
        <v>6</v>
      </c>
      <c r="AD66"/>
      <c r="AE66"/>
      <c r="AF66" t="s">
        <v>5571</v>
      </c>
      <c r="AG66" t="n">
        <v>61</v>
      </c>
    </row>
    <row r="67">
      <c r="A67" t="s">
        <v>5609</v>
      </c>
      <c r="B67" t="s">
        <v>26</v>
      </c>
      <c r="C67" t="s">
        <v>65</v>
      </c>
      <c r="D67" t="s">
        <v>5610</v>
      </c>
      <c r="E67" t="s">
        <v>67</v>
      </c>
      <c r="F67" t="s">
        <v>68</v>
      </c>
      <c r="G67" t="s">
        <v>69</v>
      </c>
      <c r="H67" t="n">
        <v>39.8019060421533</v>
      </c>
      <c r="I67" t="n">
        <v>-104.916892195206</v>
      </c>
      <c r="J67" t="s">
        <v>35</v>
      </c>
      <c r="K67" t="s">
        <v>1639</v>
      </c>
      <c r="L67"/>
      <c r="M67" t="n">
        <v>1990</v>
      </c>
      <c r="N67" t="n">
        <v>1992</v>
      </c>
      <c r="O67" t="s">
        <v>351</v>
      </c>
      <c r="P67" t="n">
        <v>2</v>
      </c>
      <c r="Q67" t="n">
        <v>3</v>
      </c>
      <c r="R67" t="n">
        <v>2</v>
      </c>
      <c r="S67" t="n">
        <v>1980</v>
      </c>
      <c r="T67" t="s">
        <v>5611</v>
      </c>
      <c r="U67" t="s">
        <v>5612</v>
      </c>
      <c r="V67" t="s">
        <v>74</v>
      </c>
      <c r="W67" t="s">
        <v>5613</v>
      </c>
      <c r="X67" t="s">
        <v>5614</v>
      </c>
      <c r="Y67" t="s">
        <v>5615</v>
      </c>
      <c r="Z67"/>
      <c r="AA67" t="s">
        <v>5616</v>
      </c>
      <c r="AB67" t="s">
        <v>5586</v>
      </c>
      <c r="AC67" t="n">
        <v>20</v>
      </c>
      <c r="AD67" t="s">
        <v>5587</v>
      </c>
      <c r="AE67" t="n">
        <v>42</v>
      </c>
      <c r="AF67" t="s">
        <v>5617</v>
      </c>
      <c r="AG67" t="n">
        <v>11</v>
      </c>
    </row>
    <row r="68">
      <c r="A68" t="s">
        <v>5618</v>
      </c>
      <c r="B68" t="s">
        <v>26</v>
      </c>
      <c r="C68" t="s">
        <v>65</v>
      </c>
      <c r="D68" t="s">
        <v>5619</v>
      </c>
      <c r="E68" t="s">
        <v>67</v>
      </c>
      <c r="F68" t="s">
        <v>68</v>
      </c>
      <c r="G68" t="s">
        <v>69</v>
      </c>
      <c r="H68" t="n">
        <v>39.7956695369523</v>
      </c>
      <c r="I68" t="n">
        <v>-104.906635107421</v>
      </c>
      <c r="J68" t="s">
        <v>35</v>
      </c>
      <c r="K68" t="s">
        <v>70</v>
      </c>
      <c r="L68"/>
      <c r="M68" t="n">
        <v>1990</v>
      </c>
      <c r="N68" t="n">
        <v>1990</v>
      </c>
      <c r="O68" t="s">
        <v>351</v>
      </c>
      <c r="P68" t="n">
        <v>1</v>
      </c>
      <c r="Q68" t="n">
        <v>1</v>
      </c>
      <c r="R68" t="n">
        <v>1</v>
      </c>
      <c r="S68" t="n">
        <v>1974</v>
      </c>
      <c r="T68" t="s">
        <v>5620</v>
      </c>
      <c r="U68" t="s">
        <v>5621</v>
      </c>
      <c r="V68" t="s">
        <v>74</v>
      </c>
      <c r="W68" t="s">
        <v>5622</v>
      </c>
      <c r="X68" t="s">
        <v>5623</v>
      </c>
      <c r="Y68" t="s">
        <v>5624</v>
      </c>
      <c r="Z68"/>
      <c r="AA68"/>
      <c r="AB68" t="s">
        <v>5380</v>
      </c>
      <c r="AC68" t="n">
        <v>74</v>
      </c>
      <c r="AD68" t="s">
        <v>5371</v>
      </c>
      <c r="AE68" t="n">
        <v>31</v>
      </c>
      <c r="AF68" t="s">
        <v>5370</v>
      </c>
      <c r="AG68" t="n">
        <v>2</v>
      </c>
    </row>
    <row r="69">
      <c r="A69" t="s">
        <v>5625</v>
      </c>
      <c r="B69" t="s">
        <v>26</v>
      </c>
      <c r="C69" t="s">
        <v>65</v>
      </c>
      <c r="D69" t="s">
        <v>5626</v>
      </c>
      <c r="E69" t="s">
        <v>67</v>
      </c>
      <c r="F69" t="s">
        <v>68</v>
      </c>
      <c r="G69" t="s">
        <v>69</v>
      </c>
      <c r="H69" t="n">
        <v>39.8010145454545</v>
      </c>
      <c r="I69" t="n">
        <v>-104.922223060606</v>
      </c>
      <c r="J69" t="s">
        <v>35</v>
      </c>
      <c r="K69" t="s">
        <v>70</v>
      </c>
      <c r="L69"/>
      <c r="M69" t="n">
        <v>1990</v>
      </c>
      <c r="N69" t="n">
        <v>1990</v>
      </c>
      <c r="O69" t="s">
        <v>351</v>
      </c>
      <c r="P69" t="n">
        <v>1</v>
      </c>
      <c r="Q69" t="n">
        <v>1</v>
      </c>
      <c r="R69" t="n">
        <v>1</v>
      </c>
      <c r="S69" t="n">
        <v>1984</v>
      </c>
      <c r="T69" t="s">
        <v>5627</v>
      </c>
      <c r="U69" t="s">
        <v>5628</v>
      </c>
      <c r="V69" t="s">
        <v>74</v>
      </c>
      <c r="W69" t="s">
        <v>5108</v>
      </c>
      <c r="X69"/>
      <c r="Y69" t="s">
        <v>5629</v>
      </c>
      <c r="Z69"/>
      <c r="AA69"/>
      <c r="AB69" t="s">
        <v>5630</v>
      </c>
      <c r="AC69" t="n">
        <v>107</v>
      </c>
      <c r="AD69" t="s">
        <v>5631</v>
      </c>
      <c r="AE69" t="n">
        <v>211</v>
      </c>
      <c r="AF69" t="s">
        <v>5632</v>
      </c>
      <c r="AG69" t="n">
        <v>32</v>
      </c>
    </row>
    <row r="70">
      <c r="A70" t="s">
        <v>5633</v>
      </c>
      <c r="B70" t="s">
        <v>26</v>
      </c>
      <c r="C70" t="s">
        <v>65</v>
      </c>
      <c r="D70" t="s">
        <v>5634</v>
      </c>
      <c r="E70" t="s">
        <v>67</v>
      </c>
      <c r="F70" t="s">
        <v>68</v>
      </c>
      <c r="G70" t="s">
        <v>69</v>
      </c>
      <c r="H70" t="n">
        <v>39.8008171015634</v>
      </c>
      <c r="I70" t="n">
        <v>-104.948106486994</v>
      </c>
      <c r="J70" t="s">
        <v>35</v>
      </c>
      <c r="K70" t="s">
        <v>282</v>
      </c>
      <c r="L70" t="s">
        <v>98</v>
      </c>
      <c r="M70" t="n">
        <v>1990</v>
      </c>
      <c r="N70" t="n">
        <v>1990</v>
      </c>
      <c r="O70" t="s">
        <v>351</v>
      </c>
      <c r="P70" t="n">
        <v>1</v>
      </c>
      <c r="Q70" t="n">
        <v>1</v>
      </c>
      <c r="R70" t="n">
        <v>1</v>
      </c>
      <c r="S70" t="n">
        <v>1875</v>
      </c>
      <c r="T70" t="s">
        <v>5635</v>
      </c>
      <c r="U70" t="s">
        <v>5636</v>
      </c>
      <c r="V70" t="s">
        <v>74</v>
      </c>
      <c r="W70" t="s">
        <v>5637</v>
      </c>
      <c r="X70" t="s">
        <v>5638</v>
      </c>
      <c r="Y70" t="s">
        <v>5639</v>
      </c>
      <c r="Z70"/>
      <c r="AA70" t="s">
        <v>5640</v>
      </c>
      <c r="AB70"/>
      <c r="AC70"/>
      <c r="AD70"/>
      <c r="AE70"/>
      <c r="AF70" t="s">
        <v>5641</v>
      </c>
      <c r="AG70" t="n">
        <v>242</v>
      </c>
    </row>
    <row r="71">
      <c r="A71" t="s">
        <v>5642</v>
      </c>
      <c r="B71" t="s">
        <v>26</v>
      </c>
      <c r="C71" t="s">
        <v>24</v>
      </c>
      <c r="D71" t="s">
        <v>5643</v>
      </c>
      <c r="E71" t="s">
        <v>67</v>
      </c>
      <c r="F71" t="s">
        <v>68</v>
      </c>
      <c r="G71" t="s">
        <v>69</v>
      </c>
      <c r="H71" t="n">
        <v>39.7940071931574</v>
      </c>
      <c r="I71" t="n">
        <v>-104.911123966881</v>
      </c>
      <c r="J71" t="s">
        <v>4109</v>
      </c>
      <c r="K71" t="s">
        <v>133</v>
      </c>
      <c r="L71"/>
      <c r="M71" t="n">
        <v>1990</v>
      </c>
      <c r="N71" t="n">
        <v>1990</v>
      </c>
      <c r="O71" t="s">
        <v>351</v>
      </c>
      <c r="P71" t="n">
        <v>1</v>
      </c>
      <c r="Q71" t="n">
        <v>1</v>
      </c>
      <c r="R71" t="n">
        <v>1</v>
      </c>
      <c r="S71" t="n">
        <v>1981</v>
      </c>
      <c r="T71" t="s">
        <v>5644</v>
      </c>
      <c r="U71" t="s">
        <v>5645</v>
      </c>
      <c r="V71" t="s">
        <v>74</v>
      </c>
      <c r="W71" t="s">
        <v>5646</v>
      </c>
      <c r="X71"/>
      <c r="Y71" t="s">
        <v>5647</v>
      </c>
      <c r="Z71" t="s">
        <v>5648</v>
      </c>
      <c r="AA71" t="s">
        <v>5649</v>
      </c>
      <c r="AB71" t="s">
        <v>5570</v>
      </c>
      <c r="AC71" t="n">
        <v>118</v>
      </c>
      <c r="AD71"/>
      <c r="AE71"/>
      <c r="AF71" t="s">
        <v>5571</v>
      </c>
      <c r="AG71" t="n">
        <v>118</v>
      </c>
    </row>
    <row r="72">
      <c r="A72" t="s">
        <v>5650</v>
      </c>
      <c r="B72" t="s">
        <v>26</v>
      </c>
      <c r="C72" t="s">
        <v>65</v>
      </c>
      <c r="D72" t="s">
        <v>5651</v>
      </c>
      <c r="E72" t="s">
        <v>67</v>
      </c>
      <c r="F72" t="s">
        <v>68</v>
      </c>
      <c r="G72" t="s">
        <v>69</v>
      </c>
      <c r="H72" t="n">
        <v>39.7851587878788</v>
      </c>
      <c r="I72" t="n">
        <v>-104.927011121212</v>
      </c>
      <c r="J72" t="s">
        <v>35</v>
      </c>
      <c r="K72" t="s">
        <v>282</v>
      </c>
      <c r="L72" t="s">
        <v>98</v>
      </c>
      <c r="M72" t="n">
        <v>1990</v>
      </c>
      <c r="N72" t="n">
        <v>1990</v>
      </c>
      <c r="O72" t="s">
        <v>351</v>
      </c>
      <c r="P72" t="n">
        <v>1</v>
      </c>
      <c r="Q72" t="n">
        <v>1</v>
      </c>
      <c r="R72" t="n">
        <v>1</v>
      </c>
      <c r="S72" t="n">
        <v>1987</v>
      </c>
      <c r="T72" t="s">
        <v>5652</v>
      </c>
      <c r="U72" t="s">
        <v>5653</v>
      </c>
      <c r="V72" t="s">
        <v>74</v>
      </c>
      <c r="W72" t="s">
        <v>5083</v>
      </c>
      <c r="X72" t="s">
        <v>5654</v>
      </c>
      <c r="Y72" t="s">
        <v>5655</v>
      </c>
      <c r="Z72"/>
      <c r="AA72" t="s">
        <v>5656</v>
      </c>
      <c r="AB72" t="s">
        <v>5657</v>
      </c>
      <c r="AC72" t="n">
        <v>159</v>
      </c>
      <c r="AD72" t="s">
        <v>5658</v>
      </c>
      <c r="AE72" t="n">
        <v>25</v>
      </c>
      <c r="AF72" t="s">
        <v>5658</v>
      </c>
      <c r="AG72" t="n">
        <v>16</v>
      </c>
    </row>
    <row r="73">
      <c r="A73" t="s">
        <v>5659</v>
      </c>
      <c r="B73" t="s">
        <v>26</v>
      </c>
      <c r="C73" t="s">
        <v>65</v>
      </c>
      <c r="D73" t="s">
        <v>5660</v>
      </c>
      <c r="E73" t="s">
        <v>67</v>
      </c>
      <c r="F73" t="s">
        <v>68</v>
      </c>
      <c r="G73" t="s">
        <v>69</v>
      </c>
      <c r="H73" t="n">
        <v>39.8438358043476</v>
      </c>
      <c r="I73" t="n">
        <v>-104.899682640737</v>
      </c>
      <c r="J73" t="s">
        <v>35</v>
      </c>
      <c r="K73" t="s">
        <v>70</v>
      </c>
      <c r="L73"/>
      <c r="M73" t="n">
        <v>1990</v>
      </c>
      <c r="N73" t="n">
        <v>1990</v>
      </c>
      <c r="O73" t="s">
        <v>351</v>
      </c>
      <c r="P73" t="n">
        <v>1</v>
      </c>
      <c r="Q73" t="n">
        <v>1</v>
      </c>
      <c r="R73" t="n">
        <v>1</v>
      </c>
      <c r="S73" t="n">
        <v>1971</v>
      </c>
      <c r="T73" t="s">
        <v>5661</v>
      </c>
      <c r="U73" t="s">
        <v>5662</v>
      </c>
      <c r="V73" t="s">
        <v>74</v>
      </c>
      <c r="W73" t="s">
        <v>5108</v>
      </c>
      <c r="X73"/>
      <c r="Y73"/>
      <c r="Z73"/>
      <c r="AA73"/>
      <c r="AB73"/>
      <c r="AC73"/>
      <c r="AD73"/>
      <c r="AE73"/>
      <c r="AF73"/>
      <c r="AG73"/>
    </row>
    <row r="74">
      <c r="A74" t="s">
        <v>5663</v>
      </c>
      <c r="B74" t="s">
        <v>26</v>
      </c>
      <c r="C74" t="s">
        <v>65</v>
      </c>
      <c r="D74" t="s">
        <v>5664</v>
      </c>
      <c r="E74" t="s">
        <v>161</v>
      </c>
      <c r="F74" t="s">
        <v>68</v>
      </c>
      <c r="G74" t="s">
        <v>162</v>
      </c>
      <c r="H74" t="n">
        <v>39.8159570666211</v>
      </c>
      <c r="I74" t="n">
        <v>-104.961941018828</v>
      </c>
      <c r="J74" t="s">
        <v>35</v>
      </c>
      <c r="K74" t="s">
        <v>141</v>
      </c>
      <c r="L74"/>
      <c r="M74" t="n">
        <v>1990</v>
      </c>
      <c r="N74" t="n">
        <v>1990</v>
      </c>
      <c r="O74" t="s">
        <v>351</v>
      </c>
      <c r="P74" t="n">
        <v>1</v>
      </c>
      <c r="Q74" t="n">
        <v>1</v>
      </c>
      <c r="R74" t="n">
        <v>1</v>
      </c>
      <c r="S74" t="n">
        <v>1915</v>
      </c>
      <c r="T74" t="s">
        <v>5665</v>
      </c>
      <c r="U74" t="s">
        <v>5666</v>
      </c>
      <c r="V74" t="s">
        <v>74</v>
      </c>
      <c r="W74" t="s">
        <v>5667</v>
      </c>
      <c r="X74"/>
      <c r="Y74" t="s">
        <v>5668</v>
      </c>
      <c r="Z74"/>
      <c r="AA74" t="s">
        <v>5669</v>
      </c>
      <c r="AB74" t="s">
        <v>5670</v>
      </c>
      <c r="AC74" t="n">
        <v>40</v>
      </c>
      <c r="AD74"/>
      <c r="AE74"/>
      <c r="AF74" t="s">
        <v>5671</v>
      </c>
      <c r="AG74" t="n">
        <v>17</v>
      </c>
    </row>
    <row r="75">
      <c r="A75" t="s">
        <v>5672</v>
      </c>
      <c r="B75" t="s">
        <v>26</v>
      </c>
      <c r="C75" t="s">
        <v>65</v>
      </c>
      <c r="D75" t="s">
        <v>5673</v>
      </c>
      <c r="E75" t="s">
        <v>79</v>
      </c>
      <c r="F75" t="s">
        <v>68</v>
      </c>
      <c r="G75" t="s">
        <v>80</v>
      </c>
      <c r="H75" t="n">
        <v>39.8217195287109</v>
      </c>
      <c r="I75" t="n">
        <v>-105.015651076029</v>
      </c>
      <c r="J75" t="s">
        <v>35</v>
      </c>
      <c r="K75" t="s">
        <v>315</v>
      </c>
      <c r="L75"/>
      <c r="M75" t="n">
        <v>1990</v>
      </c>
      <c r="N75" t="n">
        <v>1990</v>
      </c>
      <c r="O75" t="s">
        <v>351</v>
      </c>
      <c r="P75" t="n">
        <v>1</v>
      </c>
      <c r="Q75" t="n">
        <v>1</v>
      </c>
      <c r="R75" t="n">
        <v>1</v>
      </c>
      <c r="S75" t="n">
        <v>1955</v>
      </c>
      <c r="T75" t="s">
        <v>5674</v>
      </c>
      <c r="U75" t="s">
        <v>5675</v>
      </c>
      <c r="V75" t="s">
        <v>74</v>
      </c>
      <c r="W75" t="s">
        <v>5676</v>
      </c>
      <c r="X75" t="s">
        <v>5677</v>
      </c>
      <c r="Y75" t="s">
        <v>5678</v>
      </c>
      <c r="Z75"/>
      <c r="AA75" t="s">
        <v>5679</v>
      </c>
      <c r="AB75" t="s">
        <v>5680</v>
      </c>
      <c r="AC75" t="n">
        <v>67</v>
      </c>
      <c r="AD75" t="s">
        <v>5681</v>
      </c>
      <c r="AE75" t="n">
        <v>43</v>
      </c>
      <c r="AF75" t="s">
        <v>5682</v>
      </c>
      <c r="AG75" t="n">
        <v>19</v>
      </c>
    </row>
    <row r="76">
      <c r="A76" t="s">
        <v>5683</v>
      </c>
      <c r="B76" t="s">
        <v>26</v>
      </c>
      <c r="C76" t="s">
        <v>65</v>
      </c>
      <c r="D76" t="s">
        <v>5684</v>
      </c>
      <c r="E76" t="s">
        <v>67</v>
      </c>
      <c r="F76" t="s">
        <v>68</v>
      </c>
      <c r="G76" t="s">
        <v>69</v>
      </c>
      <c r="H76" t="n">
        <v>39.7982875771779</v>
      </c>
      <c r="I76" t="n">
        <v>-104.942525287423</v>
      </c>
      <c r="J76" t="s">
        <v>35</v>
      </c>
      <c r="K76" t="s">
        <v>282</v>
      </c>
      <c r="L76"/>
      <c r="M76" t="n">
        <v>1992</v>
      </c>
      <c r="N76" t="n">
        <v>1992</v>
      </c>
      <c r="O76" t="s">
        <v>1016</v>
      </c>
      <c r="P76" t="n">
        <v>1</v>
      </c>
      <c r="Q76" t="n">
        <v>1</v>
      </c>
      <c r="R76" t="n">
        <v>1</v>
      </c>
      <c r="S76"/>
      <c r="T76" t="s">
        <v>5685</v>
      </c>
      <c r="U76" t="s">
        <v>5686</v>
      </c>
      <c r="V76" t="s">
        <v>74</v>
      </c>
      <c r="W76" t="s">
        <v>5687</v>
      </c>
      <c r="X76" t="s">
        <v>5688</v>
      </c>
      <c r="Y76" t="s">
        <v>5689</v>
      </c>
      <c r="Z76"/>
      <c r="AA76" t="s">
        <v>5690</v>
      </c>
      <c r="AB76" t="s">
        <v>5691</v>
      </c>
      <c r="AC76" t="n">
        <v>57</v>
      </c>
      <c r="AD76" t="s">
        <v>5692</v>
      </c>
      <c r="AE76" t="n">
        <v>10</v>
      </c>
      <c r="AF76" t="s">
        <v>5693</v>
      </c>
      <c r="AG76" t="n">
        <v>19</v>
      </c>
    </row>
    <row r="77">
      <c r="A77" t="s">
        <v>5694</v>
      </c>
      <c r="B77" t="s">
        <v>26</v>
      </c>
      <c r="C77" t="s">
        <v>24</v>
      </c>
      <c r="D77" t="s">
        <v>5695</v>
      </c>
      <c r="E77" t="s">
        <v>67</v>
      </c>
      <c r="F77" t="s">
        <v>68</v>
      </c>
      <c r="G77" t="s">
        <v>69</v>
      </c>
      <c r="H77" t="n">
        <v>39.8004786363636</v>
      </c>
      <c r="I77" t="n">
        <v>-104.922226848485</v>
      </c>
      <c r="J77" t="s">
        <v>4109</v>
      </c>
      <c r="K77" t="s">
        <v>111</v>
      </c>
      <c r="L77"/>
      <c r="M77" t="n">
        <v>1992</v>
      </c>
      <c r="N77" t="n">
        <v>1992</v>
      </c>
      <c r="O77" t="s">
        <v>1016</v>
      </c>
      <c r="P77" t="n">
        <v>1</v>
      </c>
      <c r="Q77" t="n">
        <v>1</v>
      </c>
      <c r="R77" t="n">
        <v>1</v>
      </c>
      <c r="S77" t="n">
        <v>1979</v>
      </c>
      <c r="T77" t="s">
        <v>5696</v>
      </c>
      <c r="U77" t="s">
        <v>5697</v>
      </c>
      <c r="V77" t="s">
        <v>74</v>
      </c>
      <c r="W77" t="s">
        <v>5698</v>
      </c>
      <c r="X77" t="s">
        <v>5699</v>
      </c>
      <c r="Y77" t="s">
        <v>5700</v>
      </c>
      <c r="Z77"/>
      <c r="AA77" t="s">
        <v>5701</v>
      </c>
      <c r="AB77" t="s">
        <v>5630</v>
      </c>
      <c r="AC77" t="n">
        <v>167</v>
      </c>
      <c r="AD77" t="s">
        <v>5631</v>
      </c>
      <c r="AE77" t="n">
        <v>166</v>
      </c>
      <c r="AF77" t="s">
        <v>5702</v>
      </c>
      <c r="AG77" t="n">
        <v>11</v>
      </c>
    </row>
    <row r="78">
      <c r="A78" t="s">
        <v>5703</v>
      </c>
      <c r="B78" t="s">
        <v>26</v>
      </c>
      <c r="C78" t="s">
        <v>24</v>
      </c>
      <c r="D78" t="s">
        <v>5704</v>
      </c>
      <c r="E78" t="s">
        <v>79</v>
      </c>
      <c r="F78" t="s">
        <v>387</v>
      </c>
      <c r="G78"/>
      <c r="H78" t="n">
        <v>39.667691</v>
      </c>
      <c r="I78" t="n">
        <v>-104.996198</v>
      </c>
      <c r="J78" t="s">
        <v>4109</v>
      </c>
      <c r="K78" t="s">
        <v>120</v>
      </c>
      <c r="L78"/>
      <c r="M78" t="n">
        <v>1965</v>
      </c>
      <c r="N78" t="n">
        <v>1965</v>
      </c>
      <c r="O78" t="s">
        <v>1275</v>
      </c>
      <c r="P78" t="n">
        <v>1</v>
      </c>
      <c r="Q78" t="n">
        <v>4</v>
      </c>
      <c r="R78" t="n">
        <v>1</v>
      </c>
      <c r="S78"/>
      <c r="T78" t="s">
        <v>5705</v>
      </c>
      <c r="U78" t="s">
        <v>5706</v>
      </c>
      <c r="V78" t="s">
        <v>74</v>
      </c>
      <c r="W78" t="s">
        <v>5707</v>
      </c>
      <c r="X78" t="s">
        <v>5708</v>
      </c>
      <c r="Y78" t="s">
        <v>5709</v>
      </c>
      <c r="Z78"/>
      <c r="AA78" t="s">
        <v>5710</v>
      </c>
      <c r="AB78" t="s">
        <v>5711</v>
      </c>
      <c r="AC78" t="n">
        <v>77</v>
      </c>
      <c r="AD78" t="s">
        <v>5712</v>
      </c>
      <c r="AE78" t="n">
        <v>246</v>
      </c>
      <c r="AF78" t="s">
        <v>5713</v>
      </c>
      <c r="AG78" t="n">
        <v>40</v>
      </c>
    </row>
    <row r="79">
      <c r="A79" t="s">
        <v>5714</v>
      </c>
      <c r="B79" t="s">
        <v>26</v>
      </c>
      <c r="C79" t="s">
        <v>65</v>
      </c>
      <c r="D79" t="s">
        <v>5715</v>
      </c>
      <c r="E79" t="s">
        <v>386</v>
      </c>
      <c r="F79" t="s">
        <v>387</v>
      </c>
      <c r="G79" t="s">
        <v>428</v>
      </c>
      <c r="H79" t="n">
        <v>39.6244444545454</v>
      </c>
      <c r="I79" t="n">
        <v>-105.010752272727</v>
      </c>
      <c r="J79" t="s">
        <v>35</v>
      </c>
      <c r="K79" t="s">
        <v>315</v>
      </c>
      <c r="L79"/>
      <c r="M79" t="n">
        <v>1965</v>
      </c>
      <c r="N79" t="n">
        <v>1970</v>
      </c>
      <c r="O79" t="s">
        <v>3494</v>
      </c>
      <c r="P79" t="n">
        <v>4</v>
      </c>
      <c r="Q79" t="n">
        <v>3</v>
      </c>
      <c r="R79" t="n">
        <v>2</v>
      </c>
      <c r="S79" t="n">
        <v>1957</v>
      </c>
      <c r="T79" t="s">
        <v>5716</v>
      </c>
      <c r="U79" t="s">
        <v>5717</v>
      </c>
      <c r="V79" t="s">
        <v>74</v>
      </c>
      <c r="W79" t="s">
        <v>5718</v>
      </c>
      <c r="X79" t="s">
        <v>5719</v>
      </c>
      <c r="Y79"/>
      <c r="Z79"/>
      <c r="AA79"/>
      <c r="AB79" t="s">
        <v>5720</v>
      </c>
      <c r="AC79" t="n">
        <v>6</v>
      </c>
      <c r="AD79" t="s">
        <v>5721</v>
      </c>
      <c r="AE79" t="n">
        <v>11</v>
      </c>
      <c r="AF79" t="s">
        <v>5722</v>
      </c>
      <c r="AG79" t="n">
        <v>41</v>
      </c>
    </row>
    <row r="80">
      <c r="A80" t="s">
        <v>5723</v>
      </c>
      <c r="B80" t="s">
        <v>26</v>
      </c>
      <c r="C80" t="s">
        <v>65</v>
      </c>
      <c r="D80" t="s">
        <v>5724</v>
      </c>
      <c r="E80" t="s">
        <v>386</v>
      </c>
      <c r="F80" t="s">
        <v>387</v>
      </c>
      <c r="G80" t="s">
        <v>605</v>
      </c>
      <c r="H80" t="n">
        <v>39.5805555151515</v>
      </c>
      <c r="I80" t="n">
        <v>-104.931696515152</v>
      </c>
      <c r="J80" t="s">
        <v>35</v>
      </c>
      <c r="K80" t="s">
        <v>120</v>
      </c>
      <c r="L80"/>
      <c r="M80" t="n">
        <v>1965</v>
      </c>
      <c r="N80" t="n">
        <v>1992</v>
      </c>
      <c r="O80" t="s">
        <v>357</v>
      </c>
      <c r="P80" t="n">
        <v>4</v>
      </c>
      <c r="Q80" t="n">
        <v>3</v>
      </c>
      <c r="R80" t="n">
        <v>2</v>
      </c>
      <c r="S80" t="n">
        <v>1885</v>
      </c>
      <c r="T80" t="s">
        <v>5725</v>
      </c>
      <c r="U80" t="s">
        <v>5726</v>
      </c>
      <c r="V80" t="s">
        <v>74</v>
      </c>
      <c r="W80" t="s">
        <v>5727</v>
      </c>
      <c r="X80" t="s">
        <v>5728</v>
      </c>
      <c r="Y80" t="s">
        <v>5729</v>
      </c>
      <c r="Z80"/>
      <c r="AA80" t="s">
        <v>5730</v>
      </c>
      <c r="AB80" t="s">
        <v>5731</v>
      </c>
      <c r="AC80" t="n">
        <v>51</v>
      </c>
      <c r="AD80"/>
      <c r="AE80"/>
      <c r="AF80" t="s">
        <v>5732</v>
      </c>
      <c r="AG80" t="n">
        <v>138</v>
      </c>
    </row>
    <row r="81">
      <c r="A81" t="s">
        <v>5733</v>
      </c>
      <c r="B81" t="s">
        <v>26</v>
      </c>
      <c r="C81" t="s">
        <v>65</v>
      </c>
      <c r="D81" t="s">
        <v>5734</v>
      </c>
      <c r="E81" t="s">
        <v>394</v>
      </c>
      <c r="F81" t="s">
        <v>387</v>
      </c>
      <c r="G81" t="s">
        <v>395</v>
      </c>
      <c r="H81" t="n">
        <v>39.6553348791946</v>
      </c>
      <c r="I81" t="n">
        <v>-105.007572516778</v>
      </c>
      <c r="J81" t="s">
        <v>35</v>
      </c>
      <c r="K81" t="s">
        <v>120</v>
      </c>
      <c r="L81"/>
      <c r="M81" t="n">
        <v>1966</v>
      </c>
      <c r="N81" t="n">
        <v>1990</v>
      </c>
      <c r="O81" t="s">
        <v>5735</v>
      </c>
      <c r="P81" t="n">
        <v>10</v>
      </c>
      <c r="Q81" t="n">
        <v>4</v>
      </c>
      <c r="R81" t="n">
        <v>4</v>
      </c>
      <c r="S81" t="n">
        <v>1956</v>
      </c>
      <c r="T81" t="s">
        <v>5736</v>
      </c>
      <c r="U81" t="s">
        <v>5737</v>
      </c>
      <c r="V81" t="s">
        <v>74</v>
      </c>
      <c r="W81" t="s">
        <v>5738</v>
      </c>
      <c r="X81" t="s">
        <v>5739</v>
      </c>
      <c r="Y81"/>
      <c r="Z81"/>
      <c r="AA81"/>
      <c r="AB81" t="s">
        <v>5740</v>
      </c>
      <c r="AC81" t="n">
        <v>44</v>
      </c>
      <c r="AD81" t="s">
        <v>5741</v>
      </c>
      <c r="AE81" t="n">
        <v>47</v>
      </c>
      <c r="AF81" t="s">
        <v>5742</v>
      </c>
      <c r="AG81" t="n">
        <v>105</v>
      </c>
    </row>
    <row r="82">
      <c r="A82" t="s">
        <v>5743</v>
      </c>
      <c r="B82" t="s">
        <v>26</v>
      </c>
      <c r="C82" t="s">
        <v>65</v>
      </c>
      <c r="D82" t="s">
        <v>5744</v>
      </c>
      <c r="E82" t="s">
        <v>394</v>
      </c>
      <c r="F82" t="s">
        <v>387</v>
      </c>
      <c r="G82" t="s">
        <v>395</v>
      </c>
      <c r="H82" t="n">
        <v>39.653305</v>
      </c>
      <c r="I82" t="n">
        <v>-105.000078559184</v>
      </c>
      <c r="J82" t="s">
        <v>35</v>
      </c>
      <c r="K82" t="s">
        <v>70</v>
      </c>
      <c r="L82"/>
      <c r="M82" t="n">
        <v>1966</v>
      </c>
      <c r="N82" t="n">
        <v>1970</v>
      </c>
      <c r="O82" t="s">
        <v>1556</v>
      </c>
      <c r="P82" t="n">
        <v>3</v>
      </c>
      <c r="Q82" t="n">
        <v>4</v>
      </c>
      <c r="R82" t="n">
        <v>1</v>
      </c>
      <c r="S82" t="n">
        <v>1960</v>
      </c>
      <c r="T82" t="s">
        <v>5745</v>
      </c>
      <c r="U82" t="s">
        <v>5746</v>
      </c>
      <c r="V82" t="s">
        <v>74</v>
      </c>
      <c r="W82" t="s">
        <v>5747</v>
      </c>
      <c r="X82"/>
      <c r="Y82" t="s">
        <v>5748</v>
      </c>
      <c r="Z82"/>
      <c r="AA82" t="s">
        <v>5749</v>
      </c>
      <c r="AB82" t="s">
        <v>405</v>
      </c>
      <c r="AC82" t="n">
        <v>35</v>
      </c>
      <c r="AD82"/>
      <c r="AE82"/>
      <c r="AF82" t="s">
        <v>5750</v>
      </c>
      <c r="AG82" t="n">
        <v>40</v>
      </c>
    </row>
    <row r="83">
      <c r="A83" t="s">
        <v>5751</v>
      </c>
      <c r="B83" t="s">
        <v>26</v>
      </c>
      <c r="C83" t="s">
        <v>25</v>
      </c>
      <c r="D83" t="s">
        <v>5704</v>
      </c>
      <c r="E83" t="s">
        <v>394</v>
      </c>
      <c r="F83" t="s">
        <v>387</v>
      </c>
      <c r="G83" t="s">
        <v>395</v>
      </c>
      <c r="H83" t="n">
        <v>39.6637350230653</v>
      </c>
      <c r="I83" t="n">
        <v>-104.99734747714</v>
      </c>
      <c r="J83" t="s">
        <v>4109</v>
      </c>
      <c r="K83" t="s">
        <v>120</v>
      </c>
      <c r="L83"/>
      <c r="M83" t="n">
        <v>1966</v>
      </c>
      <c r="N83" t="n">
        <v>1988</v>
      </c>
      <c r="O83" t="s">
        <v>4172</v>
      </c>
      <c r="P83" t="n">
        <v>3</v>
      </c>
      <c r="Q83" t="n">
        <v>3</v>
      </c>
      <c r="R83" t="n">
        <v>1</v>
      </c>
      <c r="S83" t="n">
        <v>1957</v>
      </c>
      <c r="T83" t="s">
        <v>5752</v>
      </c>
      <c r="U83" t="s">
        <v>5753</v>
      </c>
      <c r="V83" t="s">
        <v>4175</v>
      </c>
      <c r="W83" t="s">
        <v>5754</v>
      </c>
      <c r="X83" t="s">
        <v>5755</v>
      </c>
      <c r="Y83" t="s">
        <v>5756</v>
      </c>
      <c r="Z83"/>
      <c r="AA83" t="s">
        <v>5757</v>
      </c>
      <c r="AB83" t="s">
        <v>5758</v>
      </c>
      <c r="AC83" t="n">
        <v>228</v>
      </c>
      <c r="AD83" t="s">
        <v>5759</v>
      </c>
      <c r="AE83" t="n">
        <v>194</v>
      </c>
      <c r="AF83" t="s">
        <v>5760</v>
      </c>
      <c r="AG83" t="n">
        <v>34</v>
      </c>
    </row>
    <row r="84">
      <c r="A84" t="s">
        <v>5761</v>
      </c>
      <c r="B84" t="s">
        <v>26</v>
      </c>
      <c r="C84" t="s">
        <v>65</v>
      </c>
      <c r="D84" t="s">
        <v>5762</v>
      </c>
      <c r="E84" t="s">
        <v>394</v>
      </c>
      <c r="F84" t="s">
        <v>387</v>
      </c>
      <c r="G84" t="s">
        <v>395</v>
      </c>
      <c r="H84" t="n">
        <v>39.634964</v>
      </c>
      <c r="I84" t="n">
        <v>-105.004554</v>
      </c>
      <c r="J84" t="s">
        <v>35</v>
      </c>
      <c r="K84" t="s">
        <v>81</v>
      </c>
      <c r="L84"/>
      <c r="M84" t="n">
        <v>1966</v>
      </c>
      <c r="N84" t="n">
        <v>1990</v>
      </c>
      <c r="O84" t="s">
        <v>5763</v>
      </c>
      <c r="P84" t="n">
        <v>8</v>
      </c>
      <c r="Q84" t="n">
        <v>6</v>
      </c>
      <c r="R84" t="n">
        <v>5</v>
      </c>
      <c r="S84" t="n">
        <v>1962</v>
      </c>
      <c r="T84" t="s">
        <v>5764</v>
      </c>
      <c r="U84" t="s">
        <v>5765</v>
      </c>
      <c r="V84" t="s">
        <v>74</v>
      </c>
      <c r="W84" t="s">
        <v>5766</v>
      </c>
      <c r="X84" t="s">
        <v>5767</v>
      </c>
      <c r="Y84" t="s">
        <v>5768</v>
      </c>
      <c r="Z84"/>
      <c r="AA84" t="s">
        <v>5769</v>
      </c>
      <c r="AB84" t="s">
        <v>5770</v>
      </c>
      <c r="AC84" t="n">
        <v>25</v>
      </c>
      <c r="AD84" t="s">
        <v>5771</v>
      </c>
      <c r="AE84" t="n">
        <v>25</v>
      </c>
      <c r="AF84" t="s">
        <v>5772</v>
      </c>
      <c r="AG84" t="n">
        <v>55</v>
      </c>
    </row>
    <row r="85">
      <c r="A85" t="s">
        <v>5773</v>
      </c>
      <c r="B85" t="s">
        <v>26</v>
      </c>
      <c r="C85" t="s">
        <v>65</v>
      </c>
      <c r="D85" t="s">
        <v>5774</v>
      </c>
      <c r="E85" t="s">
        <v>394</v>
      </c>
      <c r="F85" t="s">
        <v>387</v>
      </c>
      <c r="G85" t="s">
        <v>395</v>
      </c>
      <c r="H85" t="n">
        <v>39.6640379635526</v>
      </c>
      <c r="I85" t="n">
        <v>-104.994638019761</v>
      </c>
      <c r="J85" t="s">
        <v>35</v>
      </c>
      <c r="K85" t="s">
        <v>234</v>
      </c>
      <c r="L85"/>
      <c r="M85" t="n">
        <v>1966</v>
      </c>
      <c r="N85" t="n">
        <v>1983</v>
      </c>
      <c r="O85" t="s">
        <v>5775</v>
      </c>
      <c r="P85" t="n">
        <v>7</v>
      </c>
      <c r="Q85" t="n">
        <v>2</v>
      </c>
      <c r="R85" t="n">
        <v>1</v>
      </c>
      <c r="S85" t="n">
        <v>1921</v>
      </c>
      <c r="T85" t="s">
        <v>5776</v>
      </c>
      <c r="U85" t="s">
        <v>5777</v>
      </c>
      <c r="V85" t="s">
        <v>74</v>
      </c>
      <c r="W85" t="s">
        <v>5778</v>
      </c>
      <c r="X85"/>
      <c r="Y85" t="s">
        <v>5779</v>
      </c>
      <c r="Z85"/>
      <c r="AA85" t="s">
        <v>5780</v>
      </c>
      <c r="AB85" t="s">
        <v>5758</v>
      </c>
      <c r="AC85" t="n">
        <v>6</v>
      </c>
      <c r="AD85" t="s">
        <v>5759</v>
      </c>
      <c r="AE85" t="n">
        <v>238</v>
      </c>
      <c r="AF85" t="s">
        <v>5781</v>
      </c>
      <c r="AG85" t="n">
        <v>1</v>
      </c>
    </row>
    <row r="86">
      <c r="A86" t="s">
        <v>5782</v>
      </c>
      <c r="B86" t="s">
        <v>26</v>
      </c>
      <c r="C86" t="s">
        <v>65</v>
      </c>
      <c r="D86" t="s">
        <v>5783</v>
      </c>
      <c r="E86" t="s">
        <v>394</v>
      </c>
      <c r="F86" t="s">
        <v>387</v>
      </c>
      <c r="G86" t="s">
        <v>395</v>
      </c>
      <c r="H86" t="n">
        <v>39.6489114285714</v>
      </c>
      <c r="I86" t="n">
        <v>-105.001719714286</v>
      </c>
      <c r="J86" t="s">
        <v>35</v>
      </c>
      <c r="K86" t="s">
        <v>5784</v>
      </c>
      <c r="L86"/>
      <c r="M86" t="n">
        <v>1966</v>
      </c>
      <c r="N86" t="n">
        <v>1990</v>
      </c>
      <c r="O86" t="s">
        <v>5785</v>
      </c>
      <c r="P86" t="n">
        <v>7</v>
      </c>
      <c r="Q86" t="n">
        <v>8</v>
      </c>
      <c r="R86" t="n">
        <v>6</v>
      </c>
      <c r="S86" t="n">
        <v>1962</v>
      </c>
      <c r="T86" t="s">
        <v>5786</v>
      </c>
      <c r="U86" t="s">
        <v>5787</v>
      </c>
      <c r="V86" t="s">
        <v>74</v>
      </c>
      <c r="W86" t="s">
        <v>5788</v>
      </c>
      <c r="X86" t="s">
        <v>5789</v>
      </c>
      <c r="Y86"/>
      <c r="Z86"/>
      <c r="AA86" t="s">
        <v>5790</v>
      </c>
      <c r="AB86" t="s">
        <v>5791</v>
      </c>
      <c r="AC86" t="n">
        <v>54</v>
      </c>
      <c r="AD86" t="s">
        <v>5792</v>
      </c>
      <c r="AE86" t="n">
        <v>102</v>
      </c>
      <c r="AF86" t="s">
        <v>5793</v>
      </c>
      <c r="AG86" t="n">
        <v>57</v>
      </c>
    </row>
    <row r="87">
      <c r="A87" t="s">
        <v>5794</v>
      </c>
      <c r="B87" t="s">
        <v>26</v>
      </c>
      <c r="C87" t="s">
        <v>65</v>
      </c>
      <c r="D87" t="s">
        <v>5795</v>
      </c>
      <c r="E87" t="s">
        <v>394</v>
      </c>
      <c r="F87" t="s">
        <v>387</v>
      </c>
      <c r="G87" t="s">
        <v>395</v>
      </c>
      <c r="H87" t="n">
        <v>39.6462529047619</v>
      </c>
      <c r="I87" t="n">
        <v>-105.000618603175</v>
      </c>
      <c r="J87" t="s">
        <v>35</v>
      </c>
      <c r="K87" t="s">
        <v>120</v>
      </c>
      <c r="L87"/>
      <c r="M87" t="n">
        <v>1966</v>
      </c>
      <c r="N87" t="n">
        <v>1988</v>
      </c>
      <c r="O87" t="s">
        <v>5796</v>
      </c>
      <c r="P87" t="n">
        <v>8</v>
      </c>
      <c r="Q87" t="n">
        <v>3</v>
      </c>
      <c r="R87" t="n">
        <v>3</v>
      </c>
      <c r="S87" t="n">
        <v>1953</v>
      </c>
      <c r="T87" t="s">
        <v>5797</v>
      </c>
      <c r="U87" t="s">
        <v>5798</v>
      </c>
      <c r="V87" t="s">
        <v>74</v>
      </c>
      <c r="W87" t="s">
        <v>5799</v>
      </c>
      <c r="X87" t="s">
        <v>5800</v>
      </c>
      <c r="Y87" t="s">
        <v>5801</v>
      </c>
      <c r="Z87"/>
      <c r="AA87" t="s">
        <v>5802</v>
      </c>
      <c r="AB87" t="s">
        <v>5803</v>
      </c>
      <c r="AC87" t="n">
        <v>93</v>
      </c>
      <c r="AD87" t="s">
        <v>5804</v>
      </c>
      <c r="AE87" t="n">
        <v>68</v>
      </c>
      <c r="AF87" t="s">
        <v>5805</v>
      </c>
      <c r="AG87" t="n">
        <v>49</v>
      </c>
    </row>
    <row r="88">
      <c r="A88" t="s">
        <v>5806</v>
      </c>
      <c r="B88" t="s">
        <v>26</v>
      </c>
      <c r="C88" t="s">
        <v>65</v>
      </c>
      <c r="D88" t="s">
        <v>5807</v>
      </c>
      <c r="E88" t="s">
        <v>394</v>
      </c>
      <c r="F88" t="s">
        <v>387</v>
      </c>
      <c r="G88" t="s">
        <v>395</v>
      </c>
      <c r="H88" t="n">
        <v>39.648244369898</v>
      </c>
      <c r="I88" t="n">
        <v>-105.000583086735</v>
      </c>
      <c r="J88" t="s">
        <v>35</v>
      </c>
      <c r="K88" t="s">
        <v>70</v>
      </c>
      <c r="L88" t="s">
        <v>1310</v>
      </c>
      <c r="M88" t="n">
        <v>1966</v>
      </c>
      <c r="N88" t="n">
        <v>1990</v>
      </c>
      <c r="O88" t="s">
        <v>5808</v>
      </c>
      <c r="P88" t="n">
        <v>7</v>
      </c>
      <c r="Q88" t="n">
        <v>6</v>
      </c>
      <c r="R88" t="n">
        <v>3</v>
      </c>
      <c r="S88" t="n">
        <v>1950</v>
      </c>
      <c r="T88" t="s">
        <v>5809</v>
      </c>
      <c r="U88" t="s">
        <v>5810</v>
      </c>
      <c r="V88" t="s">
        <v>74</v>
      </c>
      <c r="W88" t="s">
        <v>5811</v>
      </c>
      <c r="X88" t="s">
        <v>5812</v>
      </c>
      <c r="Y88" t="s">
        <v>5813</v>
      </c>
      <c r="Z88"/>
      <c r="AA88" t="s">
        <v>5814</v>
      </c>
      <c r="AB88" t="s">
        <v>5791</v>
      </c>
      <c r="AC88" t="n">
        <v>104</v>
      </c>
      <c r="AD88" t="s">
        <v>5792</v>
      </c>
      <c r="AE88" t="n">
        <v>57</v>
      </c>
      <c r="AF88" t="s">
        <v>5815</v>
      </c>
      <c r="AG88" t="n">
        <v>28</v>
      </c>
    </row>
    <row r="89">
      <c r="A89" t="s">
        <v>5816</v>
      </c>
      <c r="B89" t="s">
        <v>26</v>
      </c>
      <c r="C89" t="s">
        <v>65</v>
      </c>
      <c r="D89" t="s">
        <v>5817</v>
      </c>
      <c r="E89" t="s">
        <v>394</v>
      </c>
      <c r="F89" t="s">
        <v>387</v>
      </c>
      <c r="G89" t="s">
        <v>395</v>
      </c>
      <c r="H89" t="n">
        <v>39.6457944949495</v>
      </c>
      <c r="I89" t="n">
        <v>-105.001201737374</v>
      </c>
      <c r="J89" t="s">
        <v>35</v>
      </c>
      <c r="K89" t="s">
        <v>201</v>
      </c>
      <c r="L89"/>
      <c r="M89" t="n">
        <v>1966</v>
      </c>
      <c r="N89" t="n">
        <v>1990</v>
      </c>
      <c r="O89" t="s">
        <v>5818</v>
      </c>
      <c r="P89" t="n">
        <v>6</v>
      </c>
      <c r="Q89" t="n">
        <v>1</v>
      </c>
      <c r="R89" t="n">
        <v>1</v>
      </c>
      <c r="S89" t="n">
        <v>1948</v>
      </c>
      <c r="T89" t="s">
        <v>5819</v>
      </c>
      <c r="U89" t="s">
        <v>5820</v>
      </c>
      <c r="V89" t="s">
        <v>74</v>
      </c>
      <c r="W89" t="s">
        <v>5821</v>
      </c>
      <c r="X89" t="s">
        <v>5822</v>
      </c>
      <c r="Y89"/>
      <c r="Z89"/>
      <c r="AA89"/>
      <c r="AB89" t="s">
        <v>5803</v>
      </c>
      <c r="AC89" t="n">
        <v>78</v>
      </c>
      <c r="AD89" t="s">
        <v>5823</v>
      </c>
      <c r="AE89" t="n">
        <v>64</v>
      </c>
      <c r="AF89" t="s">
        <v>5824</v>
      </c>
      <c r="AG89" t="n">
        <v>53</v>
      </c>
    </row>
    <row r="90">
      <c r="A90" t="s">
        <v>5825</v>
      </c>
      <c r="B90" t="s">
        <v>26</v>
      </c>
      <c r="C90" t="s">
        <v>65</v>
      </c>
      <c r="D90" t="s">
        <v>5826</v>
      </c>
      <c r="E90" t="s">
        <v>386</v>
      </c>
      <c r="F90" t="s">
        <v>387</v>
      </c>
      <c r="G90" t="s">
        <v>428</v>
      </c>
      <c r="H90" t="n">
        <v>39.621872</v>
      </c>
      <c r="I90" t="n">
        <v>-105.011486</v>
      </c>
      <c r="J90" t="s">
        <v>35</v>
      </c>
      <c r="K90" t="s">
        <v>533</v>
      </c>
      <c r="L90"/>
      <c r="M90" t="n">
        <v>1966</v>
      </c>
      <c r="N90" t="n">
        <v>1992</v>
      </c>
      <c r="O90" t="s">
        <v>5827</v>
      </c>
      <c r="P90" t="n">
        <v>10</v>
      </c>
      <c r="Q90" t="n">
        <v>4</v>
      </c>
      <c r="R90" t="n">
        <v>4</v>
      </c>
      <c r="S90" t="n">
        <v>1936</v>
      </c>
      <c r="T90" t="s">
        <v>5828</v>
      </c>
      <c r="U90" t="s">
        <v>5829</v>
      </c>
      <c r="V90" t="s">
        <v>74</v>
      </c>
      <c r="W90" t="s">
        <v>5830</v>
      </c>
      <c r="X90"/>
      <c r="Y90"/>
      <c r="Z90"/>
      <c r="AA90"/>
      <c r="AB90" t="s">
        <v>5831</v>
      </c>
      <c r="AC90" t="n">
        <v>133</v>
      </c>
      <c r="AD90"/>
      <c r="AE90"/>
      <c r="AF90" t="s">
        <v>1500</v>
      </c>
      <c r="AG90" t="n">
        <v>134</v>
      </c>
    </row>
    <row r="91">
      <c r="A91" t="s">
        <v>5832</v>
      </c>
      <c r="B91" t="s">
        <v>26</v>
      </c>
      <c r="C91" t="s">
        <v>65</v>
      </c>
      <c r="D91" t="s">
        <v>5833</v>
      </c>
      <c r="E91" t="s">
        <v>394</v>
      </c>
      <c r="F91" t="s">
        <v>387</v>
      </c>
      <c r="G91" t="s">
        <v>395</v>
      </c>
      <c r="H91" t="n">
        <v>39.6455800787172</v>
      </c>
      <c r="I91" t="n">
        <v>-105.000628</v>
      </c>
      <c r="J91" t="s">
        <v>35</v>
      </c>
      <c r="K91" t="s">
        <v>81</v>
      </c>
      <c r="L91" t="s">
        <v>202</v>
      </c>
      <c r="M91" t="n">
        <v>1966</v>
      </c>
      <c r="N91" t="n">
        <v>1992</v>
      </c>
      <c r="O91" t="s">
        <v>5834</v>
      </c>
      <c r="P91" t="n">
        <v>11</v>
      </c>
      <c r="Q91" t="n">
        <v>13</v>
      </c>
      <c r="R91" t="n">
        <v>10</v>
      </c>
      <c r="S91" t="n">
        <v>1959</v>
      </c>
      <c r="T91" t="s">
        <v>5835</v>
      </c>
      <c r="U91" t="s">
        <v>5836</v>
      </c>
      <c r="V91" t="s">
        <v>74</v>
      </c>
      <c r="W91" t="s">
        <v>5799</v>
      </c>
      <c r="X91" t="s">
        <v>5837</v>
      </c>
      <c r="Y91" t="s">
        <v>5838</v>
      </c>
      <c r="Z91"/>
      <c r="AA91" t="s">
        <v>5839</v>
      </c>
      <c r="AB91" t="s">
        <v>5803</v>
      </c>
      <c r="AC91" t="n">
        <v>128</v>
      </c>
      <c r="AD91" t="s">
        <v>5804</v>
      </c>
      <c r="AE91" t="n">
        <v>111</v>
      </c>
      <c r="AF91" t="s">
        <v>5824</v>
      </c>
      <c r="AG91" t="n">
        <v>26</v>
      </c>
    </row>
    <row r="92">
      <c r="A92" t="s">
        <v>5840</v>
      </c>
      <c r="B92" t="s">
        <v>26</v>
      </c>
      <c r="C92" t="s">
        <v>65</v>
      </c>
      <c r="D92" t="s">
        <v>5841</v>
      </c>
      <c r="E92" t="s">
        <v>394</v>
      </c>
      <c r="F92" t="s">
        <v>387</v>
      </c>
      <c r="G92" t="s">
        <v>395</v>
      </c>
      <c r="H92" t="n">
        <v>39.6642503424284</v>
      </c>
      <c r="I92" t="n">
        <v>-105.011072062625</v>
      </c>
      <c r="J92" t="s">
        <v>35</v>
      </c>
      <c r="K92" t="s">
        <v>89</v>
      </c>
      <c r="L92"/>
      <c r="M92" t="n">
        <v>1966</v>
      </c>
      <c r="N92" t="n">
        <v>1990</v>
      </c>
      <c r="O92" t="s">
        <v>5842</v>
      </c>
      <c r="P92" t="n">
        <v>7</v>
      </c>
      <c r="Q92" t="n">
        <v>5</v>
      </c>
      <c r="R92" t="n">
        <v>1</v>
      </c>
      <c r="S92" t="n">
        <v>1954</v>
      </c>
      <c r="T92" t="s">
        <v>5843</v>
      </c>
      <c r="U92" t="s">
        <v>5844</v>
      </c>
      <c r="V92" t="s">
        <v>74</v>
      </c>
      <c r="W92" t="s">
        <v>5845</v>
      </c>
      <c r="X92"/>
      <c r="Y92" t="s">
        <v>5846</v>
      </c>
      <c r="Z92"/>
      <c r="AA92" t="s">
        <v>5847</v>
      </c>
      <c r="AB92" t="s">
        <v>5848</v>
      </c>
      <c r="AC92" t="n">
        <v>62</v>
      </c>
      <c r="AD92" t="s">
        <v>5849</v>
      </c>
      <c r="AE92" t="n">
        <v>153</v>
      </c>
      <c r="AF92" t="s">
        <v>5850</v>
      </c>
      <c r="AG92" t="n">
        <v>7</v>
      </c>
    </row>
    <row r="93">
      <c r="A93" t="s">
        <v>5851</v>
      </c>
      <c r="B93" t="s">
        <v>26</v>
      </c>
      <c r="C93" t="s">
        <v>65</v>
      </c>
      <c r="D93" t="s">
        <v>5852</v>
      </c>
      <c r="E93" t="s">
        <v>95</v>
      </c>
      <c r="F93" t="s">
        <v>387</v>
      </c>
      <c r="G93" t="s">
        <v>433</v>
      </c>
      <c r="H93" t="n">
        <v>39.7513865234899</v>
      </c>
      <c r="I93" t="n">
        <v>-104.876387006711</v>
      </c>
      <c r="J93" t="s">
        <v>35</v>
      </c>
      <c r="K93" t="s">
        <v>70</v>
      </c>
      <c r="L93"/>
      <c r="M93" t="n">
        <v>1967</v>
      </c>
      <c r="N93" t="n">
        <v>1980</v>
      </c>
      <c r="O93" t="s">
        <v>5853</v>
      </c>
      <c r="P93" t="n">
        <v>6</v>
      </c>
      <c r="Q93" t="n">
        <v>2</v>
      </c>
      <c r="R93" t="n">
        <v>2</v>
      </c>
      <c r="S93" t="n">
        <v>1950</v>
      </c>
      <c r="T93" t="s">
        <v>5854</v>
      </c>
      <c r="U93" t="s">
        <v>5855</v>
      </c>
      <c r="V93" t="s">
        <v>74</v>
      </c>
      <c r="W93" t="s">
        <v>5856</v>
      </c>
      <c r="X93"/>
      <c r="Y93"/>
      <c r="Z93"/>
      <c r="AA93" t="s">
        <v>5857</v>
      </c>
      <c r="AB93" t="s">
        <v>5562</v>
      </c>
      <c r="AC93" t="n">
        <v>147</v>
      </c>
      <c r="AD93"/>
      <c r="AE93"/>
      <c r="AF93" t="s">
        <v>5563</v>
      </c>
      <c r="AG93" t="n">
        <v>128</v>
      </c>
    </row>
    <row r="94">
      <c r="A94" t="s">
        <v>5858</v>
      </c>
      <c r="B94" t="s">
        <v>26</v>
      </c>
      <c r="C94" t="s">
        <v>65</v>
      </c>
      <c r="D94" t="s">
        <v>5859</v>
      </c>
      <c r="E94" t="s">
        <v>95</v>
      </c>
      <c r="F94" t="s">
        <v>387</v>
      </c>
      <c r="G94" t="s">
        <v>433</v>
      </c>
      <c r="H94" t="n">
        <v>39.7522970939597</v>
      </c>
      <c r="I94" t="n">
        <v>-104.876390026846</v>
      </c>
      <c r="J94" t="s">
        <v>35</v>
      </c>
      <c r="K94" t="s">
        <v>201</v>
      </c>
      <c r="L94"/>
      <c r="M94" t="n">
        <v>1967</v>
      </c>
      <c r="N94" t="n">
        <v>1990</v>
      </c>
      <c r="O94" t="s">
        <v>5860</v>
      </c>
      <c r="P94" t="n">
        <v>8</v>
      </c>
      <c r="Q94" t="n">
        <v>4</v>
      </c>
      <c r="R94" t="n">
        <v>4</v>
      </c>
      <c r="S94" t="n">
        <v>1948</v>
      </c>
      <c r="T94" t="s">
        <v>5861</v>
      </c>
      <c r="U94" t="s">
        <v>5862</v>
      </c>
      <c r="V94" t="s">
        <v>74</v>
      </c>
      <c r="W94" t="s">
        <v>5863</v>
      </c>
      <c r="X94"/>
      <c r="Y94"/>
      <c r="Z94"/>
      <c r="AA94" t="s">
        <v>5864</v>
      </c>
      <c r="AB94" t="s">
        <v>5562</v>
      </c>
      <c r="AC94" t="n">
        <v>46</v>
      </c>
      <c r="AD94"/>
      <c r="AE94"/>
      <c r="AF94" t="s">
        <v>5563</v>
      </c>
      <c r="AG94" t="n">
        <v>101</v>
      </c>
    </row>
    <row r="95">
      <c r="A95" t="s">
        <v>5865</v>
      </c>
      <c r="B95" t="s">
        <v>26</v>
      </c>
      <c r="C95" t="s">
        <v>65</v>
      </c>
      <c r="D95" t="s">
        <v>5866</v>
      </c>
      <c r="E95" t="s">
        <v>394</v>
      </c>
      <c r="F95" t="s">
        <v>387</v>
      </c>
      <c r="G95" t="s">
        <v>395</v>
      </c>
      <c r="H95" t="n">
        <v>39.6641355463108</v>
      </c>
      <c r="I95" t="n">
        <v>-105.009901384615</v>
      </c>
      <c r="J95" t="s">
        <v>35</v>
      </c>
      <c r="K95" t="s">
        <v>2896</v>
      </c>
      <c r="L95" t="s">
        <v>2204</v>
      </c>
      <c r="M95" t="n">
        <v>1967</v>
      </c>
      <c r="N95" t="n">
        <v>1983</v>
      </c>
      <c r="O95" t="s">
        <v>5867</v>
      </c>
      <c r="P95" t="n">
        <v>6</v>
      </c>
      <c r="Q95" t="n">
        <v>8</v>
      </c>
      <c r="R95" t="n">
        <v>5</v>
      </c>
      <c r="S95" t="n">
        <v>1959</v>
      </c>
      <c r="T95" t="s">
        <v>5868</v>
      </c>
      <c r="U95" t="s">
        <v>5869</v>
      </c>
      <c r="V95" t="s">
        <v>74</v>
      </c>
      <c r="W95" t="s">
        <v>5870</v>
      </c>
      <c r="X95"/>
      <c r="Y95"/>
      <c r="Z95"/>
      <c r="AA95"/>
      <c r="AB95" t="s">
        <v>5871</v>
      </c>
      <c r="AC95" t="n">
        <v>56</v>
      </c>
      <c r="AD95" t="s">
        <v>5872</v>
      </c>
      <c r="AE95" t="n">
        <v>131</v>
      </c>
      <c r="AF95" t="s">
        <v>5873</v>
      </c>
      <c r="AG95" t="n">
        <v>60</v>
      </c>
    </row>
    <row r="96">
      <c r="A96" t="s">
        <v>5874</v>
      </c>
      <c r="B96" t="s">
        <v>26</v>
      </c>
      <c r="C96" t="s">
        <v>65</v>
      </c>
      <c r="D96" t="s">
        <v>5875</v>
      </c>
      <c r="E96" t="s">
        <v>394</v>
      </c>
      <c r="F96" t="s">
        <v>387</v>
      </c>
      <c r="G96" t="s">
        <v>395</v>
      </c>
      <c r="H96" t="n">
        <v>39.64225006821</v>
      </c>
      <c r="I96" t="n">
        <v>-105.008117670521</v>
      </c>
      <c r="J96" t="s">
        <v>35</v>
      </c>
      <c r="K96" t="s">
        <v>141</v>
      </c>
      <c r="L96"/>
      <c r="M96" t="n">
        <v>1967</v>
      </c>
      <c r="N96" t="n">
        <v>1990</v>
      </c>
      <c r="O96" t="s">
        <v>5876</v>
      </c>
      <c r="P96" t="n">
        <v>5</v>
      </c>
      <c r="Q96" t="n">
        <v>3</v>
      </c>
      <c r="R96" t="n">
        <v>2</v>
      </c>
      <c r="S96" t="n">
        <v>1923</v>
      </c>
      <c r="T96" t="s">
        <v>5877</v>
      </c>
      <c r="U96" t="s">
        <v>5878</v>
      </c>
      <c r="V96" t="s">
        <v>74</v>
      </c>
      <c r="W96" t="s">
        <v>5879</v>
      </c>
      <c r="X96"/>
      <c r="Y96" t="s">
        <v>5880</v>
      </c>
      <c r="Z96"/>
      <c r="AA96"/>
      <c r="AB96" t="s">
        <v>5881</v>
      </c>
      <c r="AC96" t="n">
        <v>35</v>
      </c>
      <c r="AD96"/>
      <c r="AE96"/>
      <c r="AF96" t="s">
        <v>5882</v>
      </c>
      <c r="AG96" t="n">
        <v>10</v>
      </c>
    </row>
    <row r="97">
      <c r="A97" t="s">
        <v>5883</v>
      </c>
      <c r="B97" t="s">
        <v>26</v>
      </c>
      <c r="C97" t="s">
        <v>65</v>
      </c>
      <c r="D97" t="s">
        <v>5884</v>
      </c>
      <c r="E97" t="s">
        <v>394</v>
      </c>
      <c r="F97" t="s">
        <v>387</v>
      </c>
      <c r="G97" t="s">
        <v>395</v>
      </c>
      <c r="H97" t="n">
        <v>39.665905</v>
      </c>
      <c r="I97" t="n">
        <v>-104.993457</v>
      </c>
      <c r="J97" t="s">
        <v>35</v>
      </c>
      <c r="K97" t="s">
        <v>133</v>
      </c>
      <c r="L97"/>
      <c r="M97" t="n">
        <v>1967</v>
      </c>
      <c r="N97" t="n">
        <v>1990</v>
      </c>
      <c r="O97" t="s">
        <v>388</v>
      </c>
      <c r="P97" t="n">
        <v>5</v>
      </c>
      <c r="Q97" t="n">
        <v>5</v>
      </c>
      <c r="R97" t="n">
        <v>1</v>
      </c>
      <c r="S97" t="n">
        <v>1957</v>
      </c>
      <c r="T97" t="s">
        <v>5885</v>
      </c>
      <c r="U97" t="s">
        <v>5886</v>
      </c>
      <c r="V97" t="s">
        <v>74</v>
      </c>
      <c r="W97" t="s">
        <v>5887</v>
      </c>
      <c r="X97"/>
      <c r="Y97" t="s">
        <v>5888</v>
      </c>
      <c r="Z97"/>
      <c r="AA97"/>
      <c r="AB97" t="s">
        <v>5889</v>
      </c>
      <c r="AC97" t="n">
        <v>90</v>
      </c>
      <c r="AD97"/>
      <c r="AE97"/>
      <c r="AF97" t="s">
        <v>470</v>
      </c>
      <c r="AG97" t="n">
        <v>8</v>
      </c>
    </row>
    <row r="98">
      <c r="A98" t="s">
        <v>5890</v>
      </c>
      <c r="B98" t="s">
        <v>26</v>
      </c>
      <c r="C98" t="s">
        <v>65</v>
      </c>
      <c r="D98" t="s">
        <v>5891</v>
      </c>
      <c r="E98" t="s">
        <v>394</v>
      </c>
      <c r="F98" t="s">
        <v>387</v>
      </c>
      <c r="G98" t="s">
        <v>395</v>
      </c>
      <c r="H98" t="n">
        <v>39.634038375</v>
      </c>
      <c r="I98" t="n">
        <v>-105.008207722222</v>
      </c>
      <c r="J98" t="s">
        <v>35</v>
      </c>
      <c r="K98" t="s">
        <v>120</v>
      </c>
      <c r="L98"/>
      <c r="M98" t="n">
        <v>1967</v>
      </c>
      <c r="N98" t="n">
        <v>1990</v>
      </c>
      <c r="O98" t="s">
        <v>5892</v>
      </c>
      <c r="P98" t="n">
        <v>8</v>
      </c>
      <c r="Q98" t="n">
        <v>5</v>
      </c>
      <c r="R98" t="n">
        <v>5</v>
      </c>
      <c r="S98" t="n">
        <v>1950</v>
      </c>
      <c r="T98" t="s">
        <v>5893</v>
      </c>
      <c r="U98" t="s">
        <v>5894</v>
      </c>
      <c r="V98" t="s">
        <v>74</v>
      </c>
      <c r="W98" t="s">
        <v>5895</v>
      </c>
      <c r="X98"/>
      <c r="Y98" t="s">
        <v>5896</v>
      </c>
      <c r="Z98"/>
      <c r="AA98" t="s">
        <v>5896</v>
      </c>
      <c r="AB98" t="s">
        <v>5897</v>
      </c>
      <c r="AC98" t="n">
        <v>7</v>
      </c>
      <c r="AD98" t="s">
        <v>5898</v>
      </c>
      <c r="AE98" t="n">
        <v>209</v>
      </c>
      <c r="AF98" t="s">
        <v>5899</v>
      </c>
      <c r="AG98" t="n">
        <v>51</v>
      </c>
    </row>
    <row r="99">
      <c r="A99" t="s">
        <v>5900</v>
      </c>
      <c r="B99" t="s">
        <v>26</v>
      </c>
      <c r="C99" t="s">
        <v>65</v>
      </c>
      <c r="D99" t="s">
        <v>5901</v>
      </c>
      <c r="E99" t="s">
        <v>95</v>
      </c>
      <c r="F99" t="s">
        <v>387</v>
      </c>
      <c r="G99" t="s">
        <v>433</v>
      </c>
      <c r="H99" t="n">
        <v>39.7677572687523</v>
      </c>
      <c r="I99" t="n">
        <v>-104.855723421424</v>
      </c>
      <c r="J99" t="s">
        <v>35</v>
      </c>
      <c r="K99" t="s">
        <v>533</v>
      </c>
      <c r="L99"/>
      <c r="M99" t="n">
        <v>1970</v>
      </c>
      <c r="N99" t="n">
        <v>1973</v>
      </c>
      <c r="O99" t="s">
        <v>5902</v>
      </c>
      <c r="P99" t="n">
        <v>2</v>
      </c>
      <c r="Q99" t="n">
        <v>2</v>
      </c>
      <c r="R99" t="n">
        <v>2</v>
      </c>
      <c r="S99" t="n">
        <v>1964</v>
      </c>
      <c r="T99" t="s">
        <v>5903</v>
      </c>
      <c r="U99" t="s">
        <v>5904</v>
      </c>
      <c r="V99" t="s">
        <v>74</v>
      </c>
      <c r="W99" t="s">
        <v>5905</v>
      </c>
      <c r="X99"/>
      <c r="Y99" t="s">
        <v>5906</v>
      </c>
      <c r="Z99"/>
      <c r="AA99" t="s">
        <v>5907</v>
      </c>
      <c r="AB99" t="s">
        <v>543</v>
      </c>
      <c r="AC99" t="n">
        <v>110</v>
      </c>
      <c r="AD99" t="s">
        <v>544</v>
      </c>
      <c r="AE99" t="n">
        <v>110</v>
      </c>
      <c r="AF99" t="s">
        <v>5908</v>
      </c>
      <c r="AG99" t="n">
        <v>12</v>
      </c>
    </row>
    <row r="100">
      <c r="A100" t="s">
        <v>5909</v>
      </c>
      <c r="B100" t="s">
        <v>26</v>
      </c>
      <c r="C100" t="s">
        <v>65</v>
      </c>
      <c r="D100" t="s">
        <v>5910</v>
      </c>
      <c r="E100" t="s">
        <v>394</v>
      </c>
      <c r="F100" t="s">
        <v>387</v>
      </c>
      <c r="G100" t="s">
        <v>395</v>
      </c>
      <c r="H100" t="n">
        <v>39.6564225686832</v>
      </c>
      <c r="I100" t="n">
        <v>-104.988725999721</v>
      </c>
      <c r="J100" t="s">
        <v>35</v>
      </c>
      <c r="K100" t="s">
        <v>120</v>
      </c>
      <c r="L100"/>
      <c r="M100" t="n">
        <v>1970</v>
      </c>
      <c r="N100" t="n">
        <v>1983</v>
      </c>
      <c r="O100" t="s">
        <v>228</v>
      </c>
      <c r="P100" t="n">
        <v>5</v>
      </c>
      <c r="Q100" t="n">
        <v>3</v>
      </c>
      <c r="R100" t="n">
        <v>1</v>
      </c>
      <c r="S100" t="n">
        <v>1951</v>
      </c>
      <c r="T100" t="s">
        <v>5911</v>
      </c>
      <c r="U100" t="s">
        <v>5912</v>
      </c>
      <c r="V100" t="s">
        <v>74</v>
      </c>
      <c r="W100" t="s">
        <v>5913</v>
      </c>
      <c r="X100"/>
      <c r="Y100" t="s">
        <v>5914</v>
      </c>
      <c r="Z100"/>
      <c r="AA100"/>
      <c r="AB100" t="s">
        <v>5915</v>
      </c>
      <c r="AC100" t="n">
        <v>50</v>
      </c>
      <c r="AD100"/>
      <c r="AE100"/>
      <c r="AF100" t="s">
        <v>5916</v>
      </c>
      <c r="AG100" t="n">
        <v>19</v>
      </c>
    </row>
    <row r="101">
      <c r="A101" t="s">
        <v>5917</v>
      </c>
      <c r="B101" t="s">
        <v>26</v>
      </c>
      <c r="C101" t="s">
        <v>65</v>
      </c>
      <c r="D101" t="s">
        <v>5918</v>
      </c>
      <c r="E101" t="s">
        <v>394</v>
      </c>
      <c r="F101" t="s">
        <v>387</v>
      </c>
      <c r="G101" t="s">
        <v>395</v>
      </c>
      <c r="H101" t="n">
        <v>39.6423169090909</v>
      </c>
      <c r="I101" t="n">
        <v>-105.019431272727</v>
      </c>
      <c r="J101" t="s">
        <v>35</v>
      </c>
      <c r="K101" t="s">
        <v>141</v>
      </c>
      <c r="L101" t="s">
        <v>202</v>
      </c>
      <c r="M101" t="n">
        <v>1970</v>
      </c>
      <c r="N101" t="n">
        <v>1990</v>
      </c>
      <c r="O101" t="s">
        <v>5919</v>
      </c>
      <c r="P101" t="n">
        <v>5</v>
      </c>
      <c r="Q101" t="n">
        <v>3</v>
      </c>
      <c r="R101" t="n">
        <v>3</v>
      </c>
      <c r="S101" t="n">
        <v>1940</v>
      </c>
      <c r="T101" t="s">
        <v>5920</v>
      </c>
      <c r="U101" t="s">
        <v>5921</v>
      </c>
      <c r="V101" t="s">
        <v>74</v>
      </c>
      <c r="W101" t="s">
        <v>5922</v>
      </c>
      <c r="X101" t="s">
        <v>5923</v>
      </c>
      <c r="Y101"/>
      <c r="Z101"/>
      <c r="AA101" t="s">
        <v>5924</v>
      </c>
      <c r="AB101" t="s">
        <v>5925</v>
      </c>
      <c r="AC101" t="n">
        <v>30</v>
      </c>
      <c r="AD101" t="s">
        <v>5925</v>
      </c>
      <c r="AE101" t="n">
        <v>160</v>
      </c>
      <c r="AF101" t="s">
        <v>5926</v>
      </c>
      <c r="AG101" t="n">
        <v>164</v>
      </c>
    </row>
    <row r="102">
      <c r="A102" t="s">
        <v>5927</v>
      </c>
      <c r="B102" t="s">
        <v>26</v>
      </c>
      <c r="C102" t="s">
        <v>65</v>
      </c>
      <c r="D102" t="s">
        <v>5928</v>
      </c>
      <c r="E102" t="s">
        <v>394</v>
      </c>
      <c r="F102" t="s">
        <v>387</v>
      </c>
      <c r="G102" t="s">
        <v>395</v>
      </c>
      <c r="H102" t="n">
        <v>39.6742628908473</v>
      </c>
      <c r="I102" t="n">
        <v>-105.008709257267</v>
      </c>
      <c r="J102" t="s">
        <v>35</v>
      </c>
      <c r="K102" t="s">
        <v>796</v>
      </c>
      <c r="L102"/>
      <c r="M102" t="n">
        <v>1970</v>
      </c>
      <c r="N102" t="n">
        <v>1990</v>
      </c>
      <c r="O102" t="s">
        <v>5929</v>
      </c>
      <c r="P102" t="n">
        <v>7</v>
      </c>
      <c r="Q102" t="n">
        <v>5</v>
      </c>
      <c r="R102" t="n">
        <v>5</v>
      </c>
      <c r="S102" t="n">
        <v>1961</v>
      </c>
      <c r="T102" t="s">
        <v>5930</v>
      </c>
      <c r="U102" t="s">
        <v>5931</v>
      </c>
      <c r="V102" t="s">
        <v>74</v>
      </c>
      <c r="W102" t="s">
        <v>5932</v>
      </c>
      <c r="X102" t="s">
        <v>5933</v>
      </c>
      <c r="Y102" t="s">
        <v>5934</v>
      </c>
      <c r="Z102"/>
      <c r="AA102"/>
      <c r="AB102" t="s">
        <v>464</v>
      </c>
      <c r="AC102" t="n">
        <v>140</v>
      </c>
      <c r="AD102" t="s">
        <v>5935</v>
      </c>
      <c r="AE102" t="n">
        <v>66</v>
      </c>
      <c r="AF102" t="s">
        <v>5936</v>
      </c>
      <c r="AG102" t="n">
        <v>27</v>
      </c>
    </row>
    <row r="103">
      <c r="A103" t="s">
        <v>5937</v>
      </c>
      <c r="B103" t="s">
        <v>26</v>
      </c>
      <c r="C103" t="s">
        <v>24</v>
      </c>
      <c r="D103" t="s">
        <v>5938</v>
      </c>
      <c r="E103" t="s">
        <v>95</v>
      </c>
      <c r="F103" t="s">
        <v>387</v>
      </c>
      <c r="G103" t="s">
        <v>433</v>
      </c>
      <c r="H103" t="n">
        <v>39.7425141565158</v>
      </c>
      <c r="I103" t="n">
        <v>-104.805476985062</v>
      </c>
      <c r="J103" t="s">
        <v>4109</v>
      </c>
      <c r="K103" t="s">
        <v>315</v>
      </c>
      <c r="L103"/>
      <c r="M103" t="n">
        <v>1973</v>
      </c>
      <c r="N103" t="n">
        <v>1974</v>
      </c>
      <c r="O103" t="s">
        <v>127</v>
      </c>
      <c r="P103" t="n">
        <v>2</v>
      </c>
      <c r="Q103" t="n">
        <v>1</v>
      </c>
      <c r="R103" t="n">
        <v>1</v>
      </c>
      <c r="S103" t="n">
        <v>1972</v>
      </c>
      <c r="T103" t="s">
        <v>5939</v>
      </c>
      <c r="U103" t="s">
        <v>5940</v>
      </c>
      <c r="V103" t="s">
        <v>74</v>
      </c>
      <c r="W103" t="s">
        <v>5941</v>
      </c>
      <c r="X103"/>
      <c r="Y103" t="s">
        <v>5942</v>
      </c>
      <c r="Z103" t="s">
        <v>5943</v>
      </c>
      <c r="AA103" t="s">
        <v>5944</v>
      </c>
      <c r="AB103" t="s">
        <v>206</v>
      </c>
      <c r="AC103" t="n">
        <v>75</v>
      </c>
      <c r="AD103"/>
      <c r="AE103"/>
      <c r="AF103" t="s">
        <v>207</v>
      </c>
      <c r="AG103" t="n">
        <v>23</v>
      </c>
    </row>
    <row r="104">
      <c r="A104" t="s">
        <v>5945</v>
      </c>
      <c r="B104" t="s">
        <v>26</v>
      </c>
      <c r="C104" t="s">
        <v>65</v>
      </c>
      <c r="D104" t="s">
        <v>5946</v>
      </c>
      <c r="E104" t="s">
        <v>394</v>
      </c>
      <c r="F104" t="s">
        <v>387</v>
      </c>
      <c r="G104" t="s">
        <v>395</v>
      </c>
      <c r="H104" t="n">
        <v>39.631932153086</v>
      </c>
      <c r="I104" t="n">
        <v>-105.006580707319</v>
      </c>
      <c r="J104" t="s">
        <v>35</v>
      </c>
      <c r="K104" t="s">
        <v>126</v>
      </c>
      <c r="L104"/>
      <c r="M104" t="n">
        <v>1973</v>
      </c>
      <c r="N104" t="n">
        <v>1980</v>
      </c>
      <c r="O104" t="s">
        <v>112</v>
      </c>
      <c r="P104" t="n">
        <v>4</v>
      </c>
      <c r="Q104" t="n">
        <v>2</v>
      </c>
      <c r="R104" t="n">
        <v>2</v>
      </c>
      <c r="S104" t="n">
        <v>1961</v>
      </c>
      <c r="T104" t="s">
        <v>5947</v>
      </c>
      <c r="U104" t="s">
        <v>5948</v>
      </c>
      <c r="V104" t="s">
        <v>74</v>
      </c>
      <c r="W104" t="s">
        <v>5949</v>
      </c>
      <c r="X104" t="s">
        <v>5950</v>
      </c>
      <c r="Y104" t="s">
        <v>5951</v>
      </c>
      <c r="Z104"/>
      <c r="AA104" t="s">
        <v>5952</v>
      </c>
      <c r="AB104" t="s">
        <v>5953</v>
      </c>
      <c r="AC104" t="n">
        <v>51</v>
      </c>
      <c r="AD104" t="s">
        <v>5953</v>
      </c>
      <c r="AE104" t="n">
        <v>60</v>
      </c>
      <c r="AF104" t="s">
        <v>5954</v>
      </c>
      <c r="AG104" t="n">
        <v>8</v>
      </c>
    </row>
    <row r="105">
      <c r="A105" t="s">
        <v>5955</v>
      </c>
      <c r="B105" t="s">
        <v>26</v>
      </c>
      <c r="C105" t="s">
        <v>65</v>
      </c>
      <c r="D105" t="s">
        <v>5956</v>
      </c>
      <c r="E105" t="s">
        <v>394</v>
      </c>
      <c r="F105" t="s">
        <v>387</v>
      </c>
      <c r="G105" t="s">
        <v>395</v>
      </c>
      <c r="H105" t="n">
        <v>39.6646034848485</v>
      </c>
      <c r="I105" t="n">
        <v>-105.009878</v>
      </c>
      <c r="J105" t="s">
        <v>35</v>
      </c>
      <c r="K105" t="s">
        <v>133</v>
      </c>
      <c r="L105"/>
      <c r="M105" t="n">
        <v>1973</v>
      </c>
      <c r="N105" t="n">
        <v>1973</v>
      </c>
      <c r="O105" t="s">
        <v>121</v>
      </c>
      <c r="P105" t="n">
        <v>1</v>
      </c>
      <c r="Q105" t="n">
        <v>1</v>
      </c>
      <c r="R105" t="n">
        <v>1</v>
      </c>
      <c r="S105" t="n">
        <v>1960</v>
      </c>
      <c r="T105" t="s">
        <v>5957</v>
      </c>
      <c r="U105" t="s">
        <v>5958</v>
      </c>
      <c r="V105" t="s">
        <v>74</v>
      </c>
      <c r="W105" t="s">
        <v>5959</v>
      </c>
      <c r="X105"/>
      <c r="Y105" t="s">
        <v>5960</v>
      </c>
      <c r="Z105"/>
      <c r="AA105" t="s">
        <v>5961</v>
      </c>
      <c r="AB105" t="s">
        <v>5871</v>
      </c>
      <c r="AC105" t="n">
        <v>5</v>
      </c>
      <c r="AD105" t="s">
        <v>5872</v>
      </c>
      <c r="AE105" t="n">
        <v>108</v>
      </c>
      <c r="AF105" t="s">
        <v>5873</v>
      </c>
      <c r="AG105" t="n">
        <v>8</v>
      </c>
    </row>
    <row r="106">
      <c r="A106" t="s">
        <v>5962</v>
      </c>
      <c r="B106" t="s">
        <v>26</v>
      </c>
      <c r="C106" t="s">
        <v>65</v>
      </c>
      <c r="D106" t="s">
        <v>5963</v>
      </c>
      <c r="E106" t="s">
        <v>394</v>
      </c>
      <c r="F106" t="s">
        <v>387</v>
      </c>
      <c r="G106" t="s">
        <v>395</v>
      </c>
      <c r="H106" t="n">
        <v>39.6669160774411</v>
      </c>
      <c r="I106" t="n">
        <v>-105.009856611111</v>
      </c>
      <c r="J106" t="s">
        <v>35</v>
      </c>
      <c r="K106" t="s">
        <v>81</v>
      </c>
      <c r="L106"/>
      <c r="M106" t="n">
        <v>1973</v>
      </c>
      <c r="N106" t="n">
        <v>1990</v>
      </c>
      <c r="O106" t="s">
        <v>1668</v>
      </c>
      <c r="P106" t="n">
        <v>6</v>
      </c>
      <c r="Q106" t="n">
        <v>7</v>
      </c>
      <c r="R106" t="n">
        <v>3</v>
      </c>
      <c r="S106" t="n">
        <v>1967</v>
      </c>
      <c r="T106" t="s">
        <v>5964</v>
      </c>
      <c r="U106" t="s">
        <v>5965</v>
      </c>
      <c r="V106" t="s">
        <v>74</v>
      </c>
      <c r="W106" t="s">
        <v>5966</v>
      </c>
      <c r="X106"/>
      <c r="Y106" t="s">
        <v>5967</v>
      </c>
      <c r="Z106"/>
      <c r="AA106" t="s">
        <v>5968</v>
      </c>
      <c r="AB106" t="s">
        <v>5969</v>
      </c>
      <c r="AC106" t="n">
        <v>82</v>
      </c>
      <c r="AD106" t="s">
        <v>5970</v>
      </c>
      <c r="AE106" t="n">
        <v>111</v>
      </c>
      <c r="AF106" t="s">
        <v>5971</v>
      </c>
      <c r="AG106" t="n">
        <v>4</v>
      </c>
    </row>
    <row r="107">
      <c r="A107" t="s">
        <v>5972</v>
      </c>
      <c r="B107" t="s">
        <v>26</v>
      </c>
      <c r="C107" t="s">
        <v>65</v>
      </c>
      <c r="D107" t="s">
        <v>5973</v>
      </c>
      <c r="E107" t="s">
        <v>394</v>
      </c>
      <c r="F107" t="s">
        <v>387</v>
      </c>
      <c r="G107" t="s">
        <v>395</v>
      </c>
      <c r="H107" t="n">
        <v>39.6604826218638</v>
      </c>
      <c r="I107" t="n">
        <v>-105.000671423121</v>
      </c>
      <c r="J107" t="s">
        <v>35</v>
      </c>
      <c r="K107" t="s">
        <v>616</v>
      </c>
      <c r="L107" t="s">
        <v>554</v>
      </c>
      <c r="M107" t="n">
        <v>1973</v>
      </c>
      <c r="N107" t="n">
        <v>1977</v>
      </c>
      <c r="O107" t="s">
        <v>1857</v>
      </c>
      <c r="P107" t="n">
        <v>3</v>
      </c>
      <c r="Q107" t="n">
        <v>2</v>
      </c>
      <c r="R107" t="n">
        <v>2</v>
      </c>
      <c r="S107" t="n">
        <v>1970</v>
      </c>
      <c r="T107" t="s">
        <v>5974</v>
      </c>
      <c r="U107" t="s">
        <v>5975</v>
      </c>
      <c r="V107" t="s">
        <v>74</v>
      </c>
      <c r="W107" t="s">
        <v>5976</v>
      </c>
      <c r="X107"/>
      <c r="Y107" t="s">
        <v>5977</v>
      </c>
      <c r="Z107"/>
      <c r="AA107"/>
      <c r="AB107" t="s">
        <v>5978</v>
      </c>
      <c r="AC107" t="n">
        <v>27</v>
      </c>
      <c r="AD107"/>
      <c r="AE107"/>
      <c r="AF107" t="s">
        <v>5979</v>
      </c>
      <c r="AG107" t="n">
        <v>27</v>
      </c>
    </row>
    <row r="108">
      <c r="A108" t="s">
        <v>5980</v>
      </c>
      <c r="B108" t="s">
        <v>26</v>
      </c>
      <c r="C108" t="s">
        <v>65</v>
      </c>
      <c r="D108" t="s">
        <v>5981</v>
      </c>
      <c r="E108" t="s">
        <v>394</v>
      </c>
      <c r="F108" t="s">
        <v>387</v>
      </c>
      <c r="G108" t="s">
        <v>395</v>
      </c>
      <c r="H108" t="n">
        <v>39.6532798439832</v>
      </c>
      <c r="I108" t="n">
        <v>-105.024518802147</v>
      </c>
      <c r="J108" t="s">
        <v>35</v>
      </c>
      <c r="K108" t="s">
        <v>141</v>
      </c>
      <c r="L108"/>
      <c r="M108" t="n">
        <v>1973</v>
      </c>
      <c r="N108" t="n">
        <v>1973</v>
      </c>
      <c r="O108" t="s">
        <v>121</v>
      </c>
      <c r="P108" t="n">
        <v>1</v>
      </c>
      <c r="Q108" t="n">
        <v>1</v>
      </c>
      <c r="R108" t="n">
        <v>1</v>
      </c>
      <c r="S108" t="n">
        <v>1970</v>
      </c>
      <c r="T108" t="s">
        <v>5982</v>
      </c>
      <c r="U108" t="s">
        <v>5983</v>
      </c>
      <c r="V108" t="s">
        <v>74</v>
      </c>
      <c r="W108" t="s">
        <v>5984</v>
      </c>
      <c r="X108"/>
      <c r="Y108"/>
      <c r="Z108"/>
      <c r="AA108"/>
      <c r="AB108" t="s">
        <v>5985</v>
      </c>
      <c r="AC108" t="n">
        <v>63</v>
      </c>
      <c r="AD108"/>
      <c r="AE108"/>
      <c r="AF108" t="s">
        <v>5986</v>
      </c>
      <c r="AG108" t="n">
        <v>67</v>
      </c>
    </row>
    <row r="109">
      <c r="A109" t="s">
        <v>5987</v>
      </c>
      <c r="B109" t="s">
        <v>26</v>
      </c>
      <c r="C109" t="s">
        <v>65</v>
      </c>
      <c r="D109" t="s">
        <v>5988</v>
      </c>
      <c r="E109" t="s">
        <v>394</v>
      </c>
      <c r="F109" t="s">
        <v>387</v>
      </c>
      <c r="G109" t="s">
        <v>395</v>
      </c>
      <c r="H109" t="n">
        <v>39.6470054046412</v>
      </c>
      <c r="I109" t="n">
        <v>-105.002662945646</v>
      </c>
      <c r="J109" t="s">
        <v>35</v>
      </c>
      <c r="K109" t="s">
        <v>796</v>
      </c>
      <c r="L109"/>
      <c r="M109" t="n">
        <v>1973</v>
      </c>
      <c r="N109" t="n">
        <v>1990</v>
      </c>
      <c r="O109" t="s">
        <v>1818</v>
      </c>
      <c r="P109" t="n">
        <v>7</v>
      </c>
      <c r="Q109" t="n">
        <v>5</v>
      </c>
      <c r="R109" t="n">
        <v>5</v>
      </c>
      <c r="S109" t="n">
        <v>1965</v>
      </c>
      <c r="T109" t="s">
        <v>5989</v>
      </c>
      <c r="U109" t="s">
        <v>5990</v>
      </c>
      <c r="V109" t="s">
        <v>74</v>
      </c>
      <c r="W109" t="s">
        <v>5991</v>
      </c>
      <c r="X109"/>
      <c r="Y109"/>
      <c r="Z109"/>
      <c r="AA109"/>
      <c r="AB109" t="s">
        <v>5992</v>
      </c>
      <c r="AC109" t="n">
        <v>68</v>
      </c>
      <c r="AD109" t="s">
        <v>5804</v>
      </c>
      <c r="AE109" t="n">
        <v>129</v>
      </c>
      <c r="AF109" t="s">
        <v>5993</v>
      </c>
      <c r="AG109" t="n">
        <v>106</v>
      </c>
    </row>
    <row r="110">
      <c r="A110" t="s">
        <v>5994</v>
      </c>
      <c r="B110" t="s">
        <v>26</v>
      </c>
      <c r="C110" t="s">
        <v>65</v>
      </c>
      <c r="D110" t="s">
        <v>5995</v>
      </c>
      <c r="E110" t="s">
        <v>394</v>
      </c>
      <c r="F110" t="s">
        <v>387</v>
      </c>
      <c r="G110" t="s">
        <v>395</v>
      </c>
      <c r="H110" t="n">
        <v>39.632165</v>
      </c>
      <c r="I110" t="n">
        <v>-105.013474</v>
      </c>
      <c r="J110" t="s">
        <v>35</v>
      </c>
      <c r="K110" t="s">
        <v>120</v>
      </c>
      <c r="L110" t="s">
        <v>554</v>
      </c>
      <c r="M110" t="n">
        <v>1973</v>
      </c>
      <c r="N110" t="n">
        <v>1988</v>
      </c>
      <c r="O110" t="s">
        <v>461</v>
      </c>
      <c r="P110" t="n">
        <v>3</v>
      </c>
      <c r="Q110" t="n">
        <v>3</v>
      </c>
      <c r="R110" t="n">
        <v>3</v>
      </c>
      <c r="S110" t="n">
        <v>1954</v>
      </c>
      <c r="T110" t="s">
        <v>5996</v>
      </c>
      <c r="U110" t="s">
        <v>5997</v>
      </c>
      <c r="V110" t="s">
        <v>74</v>
      </c>
      <c r="W110" t="s">
        <v>5998</v>
      </c>
      <c r="X110" t="s">
        <v>5999</v>
      </c>
      <c r="Y110" t="s">
        <v>6000</v>
      </c>
      <c r="Z110"/>
      <c r="AA110" t="s">
        <v>6001</v>
      </c>
      <c r="AB110" t="s">
        <v>6002</v>
      </c>
      <c r="AC110" t="n">
        <v>16</v>
      </c>
      <c r="AD110" t="s">
        <v>6003</v>
      </c>
      <c r="AE110" t="n">
        <v>28</v>
      </c>
      <c r="AF110" t="s">
        <v>6004</v>
      </c>
      <c r="AG110" t="n">
        <v>28</v>
      </c>
    </row>
    <row r="111">
      <c r="A111" t="s">
        <v>6005</v>
      </c>
      <c r="B111" t="s">
        <v>26</v>
      </c>
      <c r="C111" t="s">
        <v>65</v>
      </c>
      <c r="D111" t="s">
        <v>6006</v>
      </c>
      <c r="E111" t="s">
        <v>394</v>
      </c>
      <c r="F111" t="s">
        <v>387</v>
      </c>
      <c r="G111" t="s">
        <v>395</v>
      </c>
      <c r="H111" t="n">
        <v>39.6509166117179</v>
      </c>
      <c r="I111" t="n">
        <v>-105.028993148176</v>
      </c>
      <c r="J111" t="s">
        <v>35</v>
      </c>
      <c r="K111" t="s">
        <v>1041</v>
      </c>
      <c r="L111"/>
      <c r="M111" t="n">
        <v>1973</v>
      </c>
      <c r="N111" t="n">
        <v>1990</v>
      </c>
      <c r="O111" t="s">
        <v>886</v>
      </c>
      <c r="P111" t="n">
        <v>6</v>
      </c>
      <c r="Q111" t="n">
        <v>4</v>
      </c>
      <c r="R111" t="n">
        <v>4</v>
      </c>
      <c r="S111" t="n">
        <v>1968</v>
      </c>
      <c r="T111" t="s">
        <v>6007</v>
      </c>
      <c r="U111" t="s">
        <v>6008</v>
      </c>
      <c r="V111" t="s">
        <v>74</v>
      </c>
      <c r="W111" t="s">
        <v>6009</v>
      </c>
      <c r="X111" t="s">
        <v>6010</v>
      </c>
      <c r="Y111"/>
      <c r="Z111"/>
      <c r="AA111"/>
      <c r="AB111" t="s">
        <v>6011</v>
      </c>
      <c r="AC111" t="n">
        <v>13</v>
      </c>
      <c r="AD111" t="s">
        <v>660</v>
      </c>
      <c r="AE111" t="n">
        <v>36</v>
      </c>
      <c r="AF111" t="s">
        <v>6012</v>
      </c>
      <c r="AG111" t="n">
        <v>93</v>
      </c>
    </row>
    <row r="112">
      <c r="A112" t="s">
        <v>6013</v>
      </c>
      <c r="B112" t="s">
        <v>26</v>
      </c>
      <c r="C112" t="s">
        <v>65</v>
      </c>
      <c r="D112" t="s">
        <v>6014</v>
      </c>
      <c r="E112" t="s">
        <v>394</v>
      </c>
      <c r="F112" t="s">
        <v>387</v>
      </c>
      <c r="G112" t="s">
        <v>395</v>
      </c>
      <c r="H112" t="n">
        <v>39.6677019708193</v>
      </c>
      <c r="I112" t="n">
        <v>-105.008692104377</v>
      </c>
      <c r="J112" t="s">
        <v>35</v>
      </c>
      <c r="K112" t="s">
        <v>1495</v>
      </c>
      <c r="L112"/>
      <c r="M112" t="n">
        <v>1973</v>
      </c>
      <c r="N112" t="n">
        <v>1990</v>
      </c>
      <c r="O112" t="s">
        <v>416</v>
      </c>
      <c r="P112" t="n">
        <v>6</v>
      </c>
      <c r="Q112" t="n">
        <v>7</v>
      </c>
      <c r="R112" t="n">
        <v>5</v>
      </c>
      <c r="S112" t="n">
        <v>1937</v>
      </c>
      <c r="T112" t="s">
        <v>6015</v>
      </c>
      <c r="U112" t="s">
        <v>6016</v>
      </c>
      <c r="V112" t="s">
        <v>74</v>
      </c>
      <c r="W112" t="s">
        <v>6017</v>
      </c>
      <c r="X112"/>
      <c r="Y112" t="s">
        <v>6018</v>
      </c>
      <c r="Z112"/>
      <c r="AA112" t="s">
        <v>6019</v>
      </c>
      <c r="AB112" t="s">
        <v>6020</v>
      </c>
      <c r="AC112" t="n">
        <v>11</v>
      </c>
      <c r="AD112" t="s">
        <v>5970</v>
      </c>
      <c r="AE112" t="n">
        <v>124</v>
      </c>
      <c r="AF112" t="s">
        <v>6021</v>
      </c>
      <c r="AG112" t="n">
        <v>19</v>
      </c>
    </row>
    <row r="113">
      <c r="A113" t="s">
        <v>6022</v>
      </c>
      <c r="B113" t="s">
        <v>26</v>
      </c>
      <c r="C113" t="s">
        <v>65</v>
      </c>
      <c r="D113" t="s">
        <v>6023</v>
      </c>
      <c r="E113" t="s">
        <v>394</v>
      </c>
      <c r="F113" t="s">
        <v>387</v>
      </c>
      <c r="G113" t="s">
        <v>395</v>
      </c>
      <c r="H113" t="n">
        <v>39.6322382</v>
      </c>
      <c r="I113" t="n">
        <v>-105.0127446</v>
      </c>
      <c r="J113" t="s">
        <v>35</v>
      </c>
      <c r="K113" t="s">
        <v>120</v>
      </c>
      <c r="L113"/>
      <c r="M113" t="n">
        <v>1973</v>
      </c>
      <c r="N113" t="n">
        <v>1973</v>
      </c>
      <c r="O113" t="s">
        <v>121</v>
      </c>
      <c r="P113" t="n">
        <v>1</v>
      </c>
      <c r="Q113" t="n">
        <v>1</v>
      </c>
      <c r="R113" t="n">
        <v>1</v>
      </c>
      <c r="S113" t="n">
        <v>1956</v>
      </c>
      <c r="T113" t="s">
        <v>6024</v>
      </c>
      <c r="U113" t="s">
        <v>6025</v>
      </c>
      <c r="V113" t="s">
        <v>74</v>
      </c>
      <c r="W113" t="s">
        <v>6026</v>
      </c>
      <c r="X113" t="s">
        <v>6027</v>
      </c>
      <c r="Y113" t="s">
        <v>6028</v>
      </c>
      <c r="Z113"/>
      <c r="AA113"/>
      <c r="AB113" t="s">
        <v>6002</v>
      </c>
      <c r="AC113" t="n">
        <v>50</v>
      </c>
      <c r="AD113" t="s">
        <v>6003</v>
      </c>
      <c r="AE113" t="n">
        <v>35</v>
      </c>
      <c r="AF113" t="s">
        <v>6004</v>
      </c>
      <c r="AG113" t="n">
        <v>35</v>
      </c>
    </row>
    <row r="114">
      <c r="A114" t="s">
        <v>6029</v>
      </c>
      <c r="B114" t="s">
        <v>26</v>
      </c>
      <c r="C114" t="s">
        <v>65</v>
      </c>
      <c r="D114" t="s">
        <v>6030</v>
      </c>
      <c r="E114" t="s">
        <v>394</v>
      </c>
      <c r="F114" t="s">
        <v>387</v>
      </c>
      <c r="G114" t="s">
        <v>395</v>
      </c>
      <c r="H114" t="n">
        <v>39.631542292255</v>
      </c>
      <c r="I114" t="n">
        <v>-105.006579532155</v>
      </c>
      <c r="J114" t="s">
        <v>35</v>
      </c>
      <c r="K114" t="s">
        <v>70</v>
      </c>
      <c r="L114"/>
      <c r="M114" t="n">
        <v>1973</v>
      </c>
      <c r="N114" t="n">
        <v>1992</v>
      </c>
      <c r="O114" t="s">
        <v>6031</v>
      </c>
      <c r="P114" t="n">
        <v>5</v>
      </c>
      <c r="Q114" t="n">
        <v>1</v>
      </c>
      <c r="R114" t="n">
        <v>1</v>
      </c>
      <c r="S114" t="n">
        <v>1956</v>
      </c>
      <c r="T114" t="s">
        <v>6032</v>
      </c>
      <c r="U114" t="s">
        <v>6033</v>
      </c>
      <c r="V114" t="s">
        <v>74</v>
      </c>
      <c r="W114" t="s">
        <v>6034</v>
      </c>
      <c r="X114" t="s">
        <v>6035</v>
      </c>
      <c r="Y114" t="s">
        <v>6036</v>
      </c>
      <c r="Z114"/>
      <c r="AA114" t="s">
        <v>6037</v>
      </c>
      <c r="AB114" t="s">
        <v>5953</v>
      </c>
      <c r="AC114" t="n">
        <v>14</v>
      </c>
      <c r="AD114" t="s">
        <v>5953</v>
      </c>
      <c r="AE114" t="n">
        <v>34</v>
      </c>
      <c r="AF114" t="s">
        <v>6038</v>
      </c>
      <c r="AG114" t="n">
        <v>19</v>
      </c>
    </row>
    <row r="115">
      <c r="A115" t="s">
        <v>6039</v>
      </c>
      <c r="B115" t="s">
        <v>26</v>
      </c>
      <c r="C115" t="s">
        <v>65</v>
      </c>
      <c r="D115" t="s">
        <v>6040</v>
      </c>
      <c r="E115" t="s">
        <v>394</v>
      </c>
      <c r="F115" t="s">
        <v>387</v>
      </c>
      <c r="G115" t="s">
        <v>395</v>
      </c>
      <c r="H115" t="n">
        <v>39.6559883939394</v>
      </c>
      <c r="I115" t="n">
        <v>-105.015838363636</v>
      </c>
      <c r="J115" t="s">
        <v>35</v>
      </c>
      <c r="K115" t="s">
        <v>282</v>
      </c>
      <c r="L115"/>
      <c r="M115" t="n">
        <v>1973</v>
      </c>
      <c r="N115" t="n">
        <v>1983</v>
      </c>
      <c r="O115" t="s">
        <v>3519</v>
      </c>
      <c r="P115" t="n">
        <v>3</v>
      </c>
      <c r="Q115" t="n">
        <v>2</v>
      </c>
      <c r="R115" t="n">
        <v>1</v>
      </c>
      <c r="S115" t="n">
        <v>1956</v>
      </c>
      <c r="T115" t="s">
        <v>6041</v>
      </c>
      <c r="U115" t="s">
        <v>6042</v>
      </c>
      <c r="V115" t="s">
        <v>74</v>
      </c>
      <c r="W115" t="s">
        <v>6043</v>
      </c>
      <c r="X115"/>
      <c r="Y115" t="s">
        <v>6044</v>
      </c>
      <c r="Z115"/>
      <c r="AA115" t="s">
        <v>6045</v>
      </c>
      <c r="AB115" t="s">
        <v>6046</v>
      </c>
      <c r="AC115" t="n">
        <v>7</v>
      </c>
      <c r="AD115"/>
      <c r="AE115"/>
      <c r="AF115" t="s">
        <v>6047</v>
      </c>
      <c r="AG115" t="n">
        <v>2</v>
      </c>
    </row>
    <row r="116">
      <c r="A116" t="s">
        <v>6048</v>
      </c>
      <c r="B116" t="s">
        <v>26</v>
      </c>
      <c r="C116" t="s">
        <v>65</v>
      </c>
      <c r="D116" t="s">
        <v>6049</v>
      </c>
      <c r="E116" t="s">
        <v>394</v>
      </c>
      <c r="F116" t="s">
        <v>387</v>
      </c>
      <c r="G116" t="s">
        <v>395</v>
      </c>
      <c r="H116" t="n">
        <v>39.6678050777001</v>
      </c>
      <c r="I116" t="n">
        <v>-105.011099161272</v>
      </c>
      <c r="J116" t="s">
        <v>35</v>
      </c>
      <c r="K116" t="s">
        <v>6050</v>
      </c>
      <c r="L116"/>
      <c r="M116" t="n">
        <v>1973</v>
      </c>
      <c r="N116" t="n">
        <v>1992</v>
      </c>
      <c r="O116" t="s">
        <v>6051</v>
      </c>
      <c r="P116" t="n">
        <v>8</v>
      </c>
      <c r="Q116" t="n">
        <v>18</v>
      </c>
      <c r="R116" t="n">
        <v>11</v>
      </c>
      <c r="S116" t="n">
        <v>1937</v>
      </c>
      <c r="T116" t="s">
        <v>6052</v>
      </c>
      <c r="U116" t="s">
        <v>6053</v>
      </c>
      <c r="V116" t="s">
        <v>74</v>
      </c>
      <c r="W116" t="s">
        <v>6054</v>
      </c>
      <c r="X116"/>
      <c r="Y116" t="s">
        <v>6055</v>
      </c>
      <c r="Z116"/>
      <c r="AA116" t="s">
        <v>6056</v>
      </c>
      <c r="AB116" t="s">
        <v>5969</v>
      </c>
      <c r="AC116" t="n">
        <v>118</v>
      </c>
      <c r="AD116" t="s">
        <v>5849</v>
      </c>
      <c r="AE116" t="n">
        <v>242</v>
      </c>
      <c r="AF116" t="s">
        <v>6057</v>
      </c>
      <c r="AG116" t="n">
        <v>17</v>
      </c>
    </row>
    <row r="117">
      <c r="A117" t="s">
        <v>6058</v>
      </c>
      <c r="B117" t="s">
        <v>26</v>
      </c>
      <c r="C117" t="s">
        <v>65</v>
      </c>
      <c r="D117" t="s">
        <v>6059</v>
      </c>
      <c r="E117" t="s">
        <v>394</v>
      </c>
      <c r="F117" t="s">
        <v>387</v>
      </c>
      <c r="G117" t="s">
        <v>395</v>
      </c>
      <c r="H117" t="n">
        <v>39.6457032630385</v>
      </c>
      <c r="I117" t="n">
        <v>-105.002918798186</v>
      </c>
      <c r="J117" t="s">
        <v>35</v>
      </c>
      <c r="K117" t="s">
        <v>120</v>
      </c>
      <c r="L117"/>
      <c r="M117" t="n">
        <v>1974</v>
      </c>
      <c r="N117" t="n">
        <v>1990</v>
      </c>
      <c r="O117" t="s">
        <v>3860</v>
      </c>
      <c r="P117" t="n">
        <v>6</v>
      </c>
      <c r="Q117" t="n">
        <v>6</v>
      </c>
      <c r="R117" t="n">
        <v>2</v>
      </c>
      <c r="S117" t="n">
        <v>1970</v>
      </c>
      <c r="T117" t="s">
        <v>6060</v>
      </c>
      <c r="U117" t="s">
        <v>6061</v>
      </c>
      <c r="V117" t="s">
        <v>74</v>
      </c>
      <c r="W117" t="s">
        <v>5799</v>
      </c>
      <c r="X117" t="s">
        <v>6062</v>
      </c>
      <c r="Y117" t="s">
        <v>6063</v>
      </c>
      <c r="Z117"/>
      <c r="AA117" t="s">
        <v>6064</v>
      </c>
      <c r="AB117" t="s">
        <v>5803</v>
      </c>
      <c r="AC117" t="n">
        <v>130</v>
      </c>
      <c r="AD117" t="s">
        <v>5823</v>
      </c>
      <c r="AE117" t="n">
        <v>84</v>
      </c>
      <c r="AF117" t="s">
        <v>6065</v>
      </c>
      <c r="AG117" t="n">
        <v>11</v>
      </c>
    </row>
    <row r="118">
      <c r="A118" t="s">
        <v>6066</v>
      </c>
      <c r="B118" t="s">
        <v>26</v>
      </c>
      <c r="C118" t="s">
        <v>65</v>
      </c>
      <c r="D118" t="s">
        <v>6067</v>
      </c>
      <c r="E118" t="s">
        <v>394</v>
      </c>
      <c r="F118" t="s">
        <v>387</v>
      </c>
      <c r="G118" t="s">
        <v>395</v>
      </c>
      <c r="H118" t="n">
        <v>39.6630498104956</v>
      </c>
      <c r="I118" t="n">
        <v>-105.01225560933</v>
      </c>
      <c r="J118" t="s">
        <v>35</v>
      </c>
      <c r="K118" t="s">
        <v>234</v>
      </c>
      <c r="L118"/>
      <c r="M118" t="n">
        <v>1977</v>
      </c>
      <c r="N118" t="n">
        <v>1990</v>
      </c>
      <c r="O118" t="s">
        <v>1487</v>
      </c>
      <c r="P118" t="n">
        <v>5</v>
      </c>
      <c r="Q118" t="n">
        <v>4</v>
      </c>
      <c r="R118" t="n">
        <v>4</v>
      </c>
      <c r="S118" t="n">
        <v>1962</v>
      </c>
      <c r="T118" t="s">
        <v>6068</v>
      </c>
      <c r="U118" t="s">
        <v>6069</v>
      </c>
      <c r="V118" t="s">
        <v>74</v>
      </c>
      <c r="W118" t="s">
        <v>6070</v>
      </c>
      <c r="X118"/>
      <c r="Y118" t="s">
        <v>6071</v>
      </c>
      <c r="Z118"/>
      <c r="AA118"/>
      <c r="AB118" t="s">
        <v>448</v>
      </c>
      <c r="AC118" t="n">
        <v>2</v>
      </c>
      <c r="AD118"/>
      <c r="AE118"/>
      <c r="AF118" t="s">
        <v>6072</v>
      </c>
      <c r="AG118" t="n">
        <v>2</v>
      </c>
    </row>
    <row r="119">
      <c r="A119" t="s">
        <v>6073</v>
      </c>
      <c r="B119" t="s">
        <v>26</v>
      </c>
      <c r="C119" t="s">
        <v>65</v>
      </c>
      <c r="D119" t="s">
        <v>6074</v>
      </c>
      <c r="E119" t="s">
        <v>394</v>
      </c>
      <c r="F119" t="s">
        <v>387</v>
      </c>
      <c r="G119" t="s">
        <v>395</v>
      </c>
      <c r="H119" t="n">
        <v>39.667737</v>
      </c>
      <c r="I119" t="n">
        <v>-105.006684</v>
      </c>
      <c r="J119" t="s">
        <v>35</v>
      </c>
      <c r="K119" t="s">
        <v>141</v>
      </c>
      <c r="L119"/>
      <c r="M119" t="n">
        <v>1977</v>
      </c>
      <c r="N119" t="n">
        <v>1990</v>
      </c>
      <c r="O119" t="s">
        <v>3248</v>
      </c>
      <c r="P119" t="n">
        <v>3</v>
      </c>
      <c r="Q119" t="n">
        <v>2</v>
      </c>
      <c r="R119" t="n">
        <v>2</v>
      </c>
      <c r="S119" t="n">
        <v>1945</v>
      </c>
      <c r="T119" t="s">
        <v>6075</v>
      </c>
      <c r="U119" t="s">
        <v>6076</v>
      </c>
      <c r="V119" t="s">
        <v>74</v>
      </c>
      <c r="W119" t="s">
        <v>6077</v>
      </c>
      <c r="X119" t="s">
        <v>6078</v>
      </c>
      <c r="Y119"/>
      <c r="Z119"/>
      <c r="AA119"/>
      <c r="AB119" t="s">
        <v>6079</v>
      </c>
      <c r="AC119" t="n">
        <v>19</v>
      </c>
      <c r="AD119" t="s">
        <v>457</v>
      </c>
      <c r="AE119" t="n">
        <v>45</v>
      </c>
      <c r="AF119" t="s">
        <v>6080</v>
      </c>
      <c r="AG119" t="n">
        <v>138</v>
      </c>
    </row>
    <row r="120">
      <c r="A120" t="s">
        <v>6081</v>
      </c>
      <c r="B120" t="s">
        <v>26</v>
      </c>
      <c r="C120" t="s">
        <v>24</v>
      </c>
      <c r="D120" t="s">
        <v>6082</v>
      </c>
      <c r="E120" t="s">
        <v>95</v>
      </c>
      <c r="F120" t="s">
        <v>387</v>
      </c>
      <c r="G120" t="s">
        <v>433</v>
      </c>
      <c r="H120" t="n">
        <v>39.7401548095238</v>
      </c>
      <c r="I120" t="n">
        <v>-104.85877829932</v>
      </c>
      <c r="J120" t="s">
        <v>4109</v>
      </c>
      <c r="K120" t="s">
        <v>120</v>
      </c>
      <c r="L120"/>
      <c r="M120" t="n">
        <v>1980</v>
      </c>
      <c r="N120" t="n">
        <v>1988</v>
      </c>
      <c r="O120" t="s">
        <v>325</v>
      </c>
      <c r="P120" t="n">
        <v>3</v>
      </c>
      <c r="Q120" t="n">
        <v>1</v>
      </c>
      <c r="R120" t="n">
        <v>1</v>
      </c>
      <c r="S120" t="n">
        <v>1975</v>
      </c>
      <c r="T120" t="s">
        <v>6083</v>
      </c>
      <c r="U120" t="s">
        <v>6084</v>
      </c>
      <c r="V120" t="s">
        <v>74</v>
      </c>
      <c r="W120" t="s">
        <v>6085</v>
      </c>
      <c r="X120"/>
      <c r="Y120"/>
      <c r="Z120"/>
      <c r="AA120"/>
      <c r="AB120" t="s">
        <v>6086</v>
      </c>
      <c r="AC120" t="n">
        <v>53</v>
      </c>
      <c r="AD120"/>
      <c r="AE120"/>
      <c r="AF120" t="s">
        <v>6087</v>
      </c>
      <c r="AG120" t="n">
        <v>68</v>
      </c>
    </row>
    <row r="121">
      <c r="A121" t="s">
        <v>6088</v>
      </c>
      <c r="B121" t="s">
        <v>26</v>
      </c>
      <c r="C121" t="s">
        <v>65</v>
      </c>
      <c r="D121" t="s">
        <v>6089</v>
      </c>
      <c r="E121" t="s">
        <v>394</v>
      </c>
      <c r="F121" t="s">
        <v>387</v>
      </c>
      <c r="G121" t="s">
        <v>395</v>
      </c>
      <c r="H121" t="n">
        <v>39.6535945453743</v>
      </c>
      <c r="I121" t="n">
        <v>-105.016600662745</v>
      </c>
      <c r="J121" t="s">
        <v>35</v>
      </c>
      <c r="K121" t="s">
        <v>70</v>
      </c>
      <c r="L121"/>
      <c r="M121" t="n">
        <v>1980</v>
      </c>
      <c r="N121" t="n">
        <v>1988</v>
      </c>
      <c r="O121" t="s">
        <v>1668</v>
      </c>
      <c r="P121" t="n">
        <v>3</v>
      </c>
      <c r="Q121" t="n">
        <v>1</v>
      </c>
      <c r="R121" t="n">
        <v>1</v>
      </c>
      <c r="S121" t="n">
        <v>1978</v>
      </c>
      <c r="T121" t="s">
        <v>6090</v>
      </c>
      <c r="U121" t="s">
        <v>6091</v>
      </c>
      <c r="V121" t="s">
        <v>74</v>
      </c>
      <c r="W121" t="s">
        <v>6092</v>
      </c>
      <c r="X121"/>
      <c r="Y121"/>
      <c r="Z121"/>
      <c r="AA121"/>
      <c r="AB121" t="s">
        <v>6093</v>
      </c>
      <c r="AC121" t="n">
        <v>35</v>
      </c>
      <c r="AD121"/>
      <c r="AE121"/>
      <c r="AF121" t="s">
        <v>6094</v>
      </c>
      <c r="AG121" t="n">
        <v>66</v>
      </c>
    </row>
    <row r="122">
      <c r="A122" t="s">
        <v>6095</v>
      </c>
      <c r="B122" t="s">
        <v>26</v>
      </c>
      <c r="C122" t="s">
        <v>65</v>
      </c>
      <c r="D122" t="s">
        <v>6096</v>
      </c>
      <c r="E122" t="s">
        <v>394</v>
      </c>
      <c r="F122" t="s">
        <v>387</v>
      </c>
      <c r="G122" t="s">
        <v>395</v>
      </c>
      <c r="H122" t="n">
        <v>39.647891516035</v>
      </c>
      <c r="I122" t="n">
        <v>-105.001727104956</v>
      </c>
      <c r="J122" t="s">
        <v>35</v>
      </c>
      <c r="K122" t="s">
        <v>81</v>
      </c>
      <c r="L122"/>
      <c r="M122" t="n">
        <v>1980</v>
      </c>
      <c r="N122" t="n">
        <v>1990</v>
      </c>
      <c r="O122" t="s">
        <v>528</v>
      </c>
      <c r="P122" t="n">
        <v>4</v>
      </c>
      <c r="Q122" t="n">
        <v>4</v>
      </c>
      <c r="R122" t="n">
        <v>3</v>
      </c>
      <c r="S122" t="n">
        <v>1962</v>
      </c>
      <c r="T122" t="s">
        <v>6097</v>
      </c>
      <c r="U122" t="s">
        <v>6098</v>
      </c>
      <c r="V122" t="s">
        <v>74</v>
      </c>
      <c r="W122" t="s">
        <v>6099</v>
      </c>
      <c r="X122"/>
      <c r="Y122" t="s">
        <v>6100</v>
      </c>
      <c r="Z122"/>
      <c r="AA122" t="s">
        <v>6101</v>
      </c>
      <c r="AB122" t="s">
        <v>5791</v>
      </c>
      <c r="AC122" t="n">
        <v>60</v>
      </c>
      <c r="AD122" t="s">
        <v>5792</v>
      </c>
      <c r="AE122" t="n">
        <v>140</v>
      </c>
      <c r="AF122" t="s">
        <v>5993</v>
      </c>
      <c r="AG122" t="n">
        <v>31</v>
      </c>
    </row>
    <row r="123">
      <c r="A123" t="s">
        <v>6102</v>
      </c>
      <c r="B123" t="s">
        <v>26</v>
      </c>
      <c r="C123" t="s">
        <v>24</v>
      </c>
      <c r="D123" t="s">
        <v>6103</v>
      </c>
      <c r="E123" t="s">
        <v>394</v>
      </c>
      <c r="F123" t="s">
        <v>387</v>
      </c>
      <c r="G123" t="s">
        <v>395</v>
      </c>
      <c r="H123" t="n">
        <v>39.678627</v>
      </c>
      <c r="I123" t="n">
        <v>-105.008664</v>
      </c>
      <c r="J123" t="s">
        <v>4109</v>
      </c>
      <c r="K123" t="s">
        <v>70</v>
      </c>
      <c r="L123"/>
      <c r="M123" t="n">
        <v>1980</v>
      </c>
      <c r="N123" t="n">
        <v>1990</v>
      </c>
      <c r="O123" t="s">
        <v>528</v>
      </c>
      <c r="P123" t="n">
        <v>3</v>
      </c>
      <c r="Q123" t="n">
        <v>7</v>
      </c>
      <c r="R123" t="n">
        <v>2</v>
      </c>
      <c r="S123" t="n">
        <v>1969</v>
      </c>
      <c r="T123" t="s">
        <v>6104</v>
      </c>
      <c r="U123" t="s">
        <v>6105</v>
      </c>
      <c r="V123" t="s">
        <v>74</v>
      </c>
      <c r="W123" t="s">
        <v>6106</v>
      </c>
      <c r="X123" t="s">
        <v>6107</v>
      </c>
      <c r="Y123" t="s">
        <v>6108</v>
      </c>
      <c r="Z123"/>
      <c r="AA123" t="s">
        <v>6109</v>
      </c>
      <c r="AB123" t="s">
        <v>6110</v>
      </c>
      <c r="AC123" t="n">
        <v>47</v>
      </c>
      <c r="AD123" t="s">
        <v>6111</v>
      </c>
      <c r="AE123" t="n">
        <v>99</v>
      </c>
      <c r="AF123" t="s">
        <v>6112</v>
      </c>
      <c r="AG123" t="n">
        <v>26</v>
      </c>
    </row>
    <row r="124">
      <c r="A124" t="s">
        <v>6113</v>
      </c>
      <c r="B124" t="s">
        <v>26</v>
      </c>
      <c r="C124" t="s">
        <v>65</v>
      </c>
      <c r="D124" t="s">
        <v>6114</v>
      </c>
      <c r="E124" t="s">
        <v>394</v>
      </c>
      <c r="F124" t="s">
        <v>387</v>
      </c>
      <c r="G124" t="s">
        <v>395</v>
      </c>
      <c r="H124" t="n">
        <v>39.6653323281949</v>
      </c>
      <c r="I124" t="n">
        <v>-105.011058387891</v>
      </c>
      <c r="J124" t="s">
        <v>35</v>
      </c>
      <c r="K124" t="s">
        <v>120</v>
      </c>
      <c r="L124"/>
      <c r="M124" t="n">
        <v>1980</v>
      </c>
      <c r="N124" t="n">
        <v>1990</v>
      </c>
      <c r="O124" t="s">
        <v>528</v>
      </c>
      <c r="P124" t="n">
        <v>3</v>
      </c>
      <c r="Q124" t="n">
        <v>4</v>
      </c>
      <c r="R124" t="n">
        <v>1</v>
      </c>
      <c r="S124" t="n">
        <v>1952</v>
      </c>
      <c r="T124" t="s">
        <v>6115</v>
      </c>
      <c r="U124" t="s">
        <v>6116</v>
      </c>
      <c r="V124" t="s">
        <v>74</v>
      </c>
      <c r="W124" t="s">
        <v>6117</v>
      </c>
      <c r="X124" t="s">
        <v>6118</v>
      </c>
      <c r="Y124" t="s">
        <v>6119</v>
      </c>
      <c r="Z124"/>
      <c r="AA124" t="s">
        <v>6120</v>
      </c>
      <c r="AB124" t="s">
        <v>5848</v>
      </c>
      <c r="AC124" t="n">
        <v>78</v>
      </c>
      <c r="AD124" t="s">
        <v>5849</v>
      </c>
      <c r="AE124" t="n">
        <v>33</v>
      </c>
      <c r="AF124" t="s">
        <v>5850</v>
      </c>
      <c r="AG124" t="n">
        <v>33</v>
      </c>
    </row>
    <row r="125">
      <c r="A125" t="s">
        <v>6121</v>
      </c>
      <c r="B125" t="s">
        <v>26</v>
      </c>
      <c r="C125" t="s">
        <v>65</v>
      </c>
      <c r="D125" t="s">
        <v>6122</v>
      </c>
      <c r="E125" t="s">
        <v>394</v>
      </c>
      <c r="F125" t="s">
        <v>387</v>
      </c>
      <c r="G125" t="s">
        <v>395</v>
      </c>
      <c r="H125" t="n">
        <v>39.6466413061224</v>
      </c>
      <c r="I125" t="n">
        <v>-105.000610632653</v>
      </c>
      <c r="J125" t="s">
        <v>35</v>
      </c>
      <c r="K125" t="s">
        <v>120</v>
      </c>
      <c r="L125"/>
      <c r="M125" t="n">
        <v>1980</v>
      </c>
      <c r="N125" t="n">
        <v>1990</v>
      </c>
      <c r="O125" t="s">
        <v>555</v>
      </c>
      <c r="P125" t="n">
        <v>2</v>
      </c>
      <c r="Q125" t="n">
        <v>2</v>
      </c>
      <c r="R125" t="n">
        <v>2</v>
      </c>
      <c r="S125" t="n">
        <v>1977</v>
      </c>
      <c r="T125" t="s">
        <v>6123</v>
      </c>
      <c r="U125" t="s">
        <v>6124</v>
      </c>
      <c r="V125" t="s">
        <v>74</v>
      </c>
      <c r="W125" t="s">
        <v>5799</v>
      </c>
      <c r="X125" t="s">
        <v>6125</v>
      </c>
      <c r="Y125"/>
      <c r="Z125"/>
      <c r="AA125"/>
      <c r="AB125" t="s">
        <v>5803</v>
      </c>
      <c r="AC125" t="n">
        <v>96</v>
      </c>
      <c r="AD125" t="s">
        <v>5804</v>
      </c>
      <c r="AE125" t="n">
        <v>72</v>
      </c>
      <c r="AF125" t="s">
        <v>6126</v>
      </c>
      <c r="AG125" t="n">
        <v>76</v>
      </c>
    </row>
    <row r="126">
      <c r="A126" t="s">
        <v>6127</v>
      </c>
      <c r="B126" t="s">
        <v>26</v>
      </c>
      <c r="C126" t="s">
        <v>65</v>
      </c>
      <c r="D126" t="s">
        <v>6128</v>
      </c>
      <c r="E126" t="s">
        <v>394</v>
      </c>
      <c r="F126" t="s">
        <v>387</v>
      </c>
      <c r="G126" t="s">
        <v>395</v>
      </c>
      <c r="H126" t="n">
        <v>39.6345432941176</v>
      </c>
      <c r="I126" t="n">
        <v>-105.008071529412</v>
      </c>
      <c r="J126" t="s">
        <v>35</v>
      </c>
      <c r="K126" t="s">
        <v>120</v>
      </c>
      <c r="L126" t="s">
        <v>2204</v>
      </c>
      <c r="M126" t="n">
        <v>1980</v>
      </c>
      <c r="N126" t="n">
        <v>1983</v>
      </c>
      <c r="O126" t="s">
        <v>528</v>
      </c>
      <c r="P126" t="n">
        <v>2</v>
      </c>
      <c r="Q126" t="n">
        <v>2</v>
      </c>
      <c r="R126" t="n">
        <v>2</v>
      </c>
      <c r="S126" t="n">
        <v>1972</v>
      </c>
      <c r="T126" t="s">
        <v>6129</v>
      </c>
      <c r="U126" t="s">
        <v>6130</v>
      </c>
      <c r="V126" t="s">
        <v>74</v>
      </c>
      <c r="W126" t="s">
        <v>6131</v>
      </c>
      <c r="X126"/>
      <c r="Y126"/>
      <c r="Z126"/>
      <c r="AA126" t="s">
        <v>6132</v>
      </c>
      <c r="AB126" t="s">
        <v>5897</v>
      </c>
      <c r="AC126" t="n">
        <v>54</v>
      </c>
      <c r="AD126" t="s">
        <v>5898</v>
      </c>
      <c r="AE126" t="n">
        <v>241</v>
      </c>
      <c r="AF126" t="s">
        <v>6133</v>
      </c>
      <c r="AG126" t="n">
        <v>51</v>
      </c>
    </row>
    <row r="127">
      <c r="A127" t="s">
        <v>6134</v>
      </c>
      <c r="B127" t="s">
        <v>26</v>
      </c>
      <c r="C127" t="s">
        <v>65</v>
      </c>
      <c r="D127" t="s">
        <v>6135</v>
      </c>
      <c r="E127" t="s">
        <v>394</v>
      </c>
      <c r="F127" t="s">
        <v>387</v>
      </c>
      <c r="G127" t="s">
        <v>395</v>
      </c>
      <c r="H127" t="n">
        <v>39.6659441111111</v>
      </c>
      <c r="I127" t="n">
        <v>-105.011576555556</v>
      </c>
      <c r="J127" t="s">
        <v>35</v>
      </c>
      <c r="K127" t="s">
        <v>120</v>
      </c>
      <c r="L127"/>
      <c r="M127" t="n">
        <v>1980</v>
      </c>
      <c r="N127" t="n">
        <v>1990</v>
      </c>
      <c r="O127" t="s">
        <v>582</v>
      </c>
      <c r="P127" t="n">
        <v>3</v>
      </c>
      <c r="Q127" t="n">
        <v>2</v>
      </c>
      <c r="R127" t="n">
        <v>2</v>
      </c>
      <c r="S127" t="n">
        <v>1975</v>
      </c>
      <c r="T127" t="s">
        <v>6136</v>
      </c>
      <c r="U127" t="s">
        <v>6137</v>
      </c>
      <c r="V127" t="s">
        <v>74</v>
      </c>
      <c r="W127" t="s">
        <v>6138</v>
      </c>
      <c r="X127" t="s">
        <v>6139</v>
      </c>
      <c r="Y127" t="s">
        <v>6140</v>
      </c>
      <c r="Z127"/>
      <c r="AA127" t="s">
        <v>6141</v>
      </c>
      <c r="AB127" t="s">
        <v>6142</v>
      </c>
      <c r="AC127" t="n">
        <v>48</v>
      </c>
      <c r="AD127" t="s">
        <v>5849</v>
      </c>
      <c r="AE127" t="n">
        <v>58</v>
      </c>
      <c r="AF127" t="s">
        <v>6143</v>
      </c>
      <c r="AG127" t="n">
        <v>5</v>
      </c>
    </row>
    <row r="128">
      <c r="A128" t="s">
        <v>6144</v>
      </c>
      <c r="B128" t="s">
        <v>26</v>
      </c>
      <c r="C128" t="s">
        <v>24</v>
      </c>
      <c r="D128" t="s">
        <v>6145</v>
      </c>
      <c r="E128" t="s">
        <v>394</v>
      </c>
      <c r="F128" t="s">
        <v>387</v>
      </c>
      <c r="G128" t="s">
        <v>395</v>
      </c>
      <c r="H128" t="n">
        <v>39.72133589796</v>
      </c>
      <c r="I128" t="n">
        <v>-105.034947387563</v>
      </c>
      <c r="J128" t="s">
        <v>4109</v>
      </c>
      <c r="K128" t="s">
        <v>89</v>
      </c>
      <c r="L128"/>
      <c r="M128" t="n">
        <v>1980</v>
      </c>
      <c r="N128" t="n">
        <v>1980</v>
      </c>
      <c r="O128" t="s">
        <v>255</v>
      </c>
      <c r="P128" t="n">
        <v>1</v>
      </c>
      <c r="Q128" t="n">
        <v>1</v>
      </c>
      <c r="R128" t="n">
        <v>1</v>
      </c>
      <c r="S128" t="n">
        <v>1978</v>
      </c>
      <c r="T128" t="s">
        <v>6146</v>
      </c>
      <c r="U128" t="s">
        <v>6147</v>
      </c>
      <c r="V128" t="s">
        <v>74</v>
      </c>
      <c r="W128" t="s">
        <v>6148</v>
      </c>
      <c r="X128"/>
      <c r="Y128" t="s">
        <v>6149</v>
      </c>
      <c r="Z128"/>
      <c r="AA128"/>
      <c r="AB128" t="s">
        <v>4473</v>
      </c>
      <c r="AC128" t="n">
        <v>75</v>
      </c>
      <c r="AD128"/>
      <c r="AE128"/>
      <c r="AF128" t="s">
        <v>307</v>
      </c>
      <c r="AG128" t="n">
        <v>110</v>
      </c>
    </row>
    <row r="129">
      <c r="A129" t="s">
        <v>6150</v>
      </c>
      <c r="B129" t="s">
        <v>26</v>
      </c>
      <c r="C129" t="s">
        <v>65</v>
      </c>
      <c r="D129" t="s">
        <v>6151</v>
      </c>
      <c r="E129" t="s">
        <v>394</v>
      </c>
      <c r="F129" t="s">
        <v>387</v>
      </c>
      <c r="G129" t="s">
        <v>395</v>
      </c>
      <c r="H129" t="n">
        <v>39.660484</v>
      </c>
      <c r="I129" t="n">
        <v>-105.004395</v>
      </c>
      <c r="J129" t="s">
        <v>35</v>
      </c>
      <c r="K129" t="s">
        <v>1041</v>
      </c>
      <c r="L129"/>
      <c r="M129" t="n">
        <v>1980</v>
      </c>
      <c r="N129" t="n">
        <v>1992</v>
      </c>
      <c r="O129" t="s">
        <v>6152</v>
      </c>
      <c r="P129" t="n">
        <v>5</v>
      </c>
      <c r="Q129" t="n">
        <v>1</v>
      </c>
      <c r="R129" t="n">
        <v>1</v>
      </c>
      <c r="S129" t="n">
        <v>1961</v>
      </c>
      <c r="T129" t="s">
        <v>6153</v>
      </c>
      <c r="U129" t="s">
        <v>6154</v>
      </c>
      <c r="V129" t="s">
        <v>74</v>
      </c>
      <c r="W129" t="s">
        <v>6155</v>
      </c>
      <c r="X129" t="s">
        <v>6156</v>
      </c>
      <c r="Y129" t="s">
        <v>6157</v>
      </c>
      <c r="Z129"/>
      <c r="AA129" t="s">
        <v>6158</v>
      </c>
      <c r="AB129" t="s">
        <v>6159</v>
      </c>
      <c r="AC129" t="n">
        <v>32</v>
      </c>
      <c r="AD129" t="s">
        <v>6160</v>
      </c>
      <c r="AE129" t="n">
        <v>53</v>
      </c>
      <c r="AF129" t="s">
        <v>6161</v>
      </c>
      <c r="AG129" t="n">
        <v>38</v>
      </c>
    </row>
    <row r="130">
      <c r="A130" t="s">
        <v>6162</v>
      </c>
      <c r="B130" t="s">
        <v>26</v>
      </c>
      <c r="C130" t="s">
        <v>65</v>
      </c>
      <c r="D130" t="s">
        <v>6163</v>
      </c>
      <c r="E130" t="s">
        <v>394</v>
      </c>
      <c r="F130" t="s">
        <v>387</v>
      </c>
      <c r="G130" t="s">
        <v>395</v>
      </c>
      <c r="H130" t="n">
        <v>39.645795025641</v>
      </c>
      <c r="I130" t="n">
        <v>-105.001882051282</v>
      </c>
      <c r="J130" t="s">
        <v>35</v>
      </c>
      <c r="K130" t="s">
        <v>141</v>
      </c>
      <c r="L130"/>
      <c r="M130" t="n">
        <v>1980</v>
      </c>
      <c r="N130" t="n">
        <v>1980</v>
      </c>
      <c r="O130" t="s">
        <v>255</v>
      </c>
      <c r="P130" t="n">
        <v>1</v>
      </c>
      <c r="Q130" t="n">
        <v>1</v>
      </c>
      <c r="R130" t="n">
        <v>1</v>
      </c>
      <c r="S130" t="n">
        <v>1948</v>
      </c>
      <c r="T130" t="s">
        <v>6164</v>
      </c>
      <c r="U130" t="s">
        <v>6165</v>
      </c>
      <c r="V130" t="s">
        <v>74</v>
      </c>
      <c r="W130" t="s">
        <v>6166</v>
      </c>
      <c r="X130" t="s">
        <v>6167</v>
      </c>
      <c r="Y130"/>
      <c r="Z130"/>
      <c r="AA130" t="s">
        <v>6168</v>
      </c>
      <c r="AB130" t="s">
        <v>5803</v>
      </c>
      <c r="AC130" t="n">
        <v>68</v>
      </c>
      <c r="AD130" t="s">
        <v>5823</v>
      </c>
      <c r="AE130" t="n">
        <v>6</v>
      </c>
      <c r="AF130" t="s">
        <v>6065</v>
      </c>
      <c r="AG130" t="n">
        <v>86</v>
      </c>
    </row>
    <row r="131">
      <c r="A131" t="s">
        <v>6169</v>
      </c>
      <c r="B131" t="s">
        <v>26</v>
      </c>
      <c r="C131" t="s">
        <v>24</v>
      </c>
      <c r="D131" t="s">
        <v>6170</v>
      </c>
      <c r="E131" t="s">
        <v>394</v>
      </c>
      <c r="F131" t="s">
        <v>387</v>
      </c>
      <c r="G131" t="s">
        <v>395</v>
      </c>
      <c r="H131" t="n">
        <v>39.668741</v>
      </c>
      <c r="I131" t="n">
        <v>-105.006981</v>
      </c>
      <c r="J131" t="s">
        <v>4109</v>
      </c>
      <c r="K131" t="s">
        <v>796</v>
      </c>
      <c r="L131"/>
      <c r="M131" t="n">
        <v>1983</v>
      </c>
      <c r="N131" t="n">
        <v>1992</v>
      </c>
      <c r="O131" t="s">
        <v>1016</v>
      </c>
      <c r="P131" t="n">
        <v>2</v>
      </c>
      <c r="Q131" t="n">
        <v>3</v>
      </c>
      <c r="R131" t="n">
        <v>2</v>
      </c>
      <c r="S131" t="n">
        <v>1978</v>
      </c>
      <c r="T131" t="s">
        <v>6171</v>
      </c>
      <c r="U131" t="s">
        <v>6172</v>
      </c>
      <c r="V131" t="s">
        <v>74</v>
      </c>
      <c r="W131" t="s">
        <v>6173</v>
      </c>
      <c r="X131" t="s">
        <v>6174</v>
      </c>
      <c r="Y131" t="s">
        <v>6175</v>
      </c>
      <c r="Z131"/>
      <c r="AA131" t="s">
        <v>6176</v>
      </c>
      <c r="AB131" t="s">
        <v>6079</v>
      </c>
      <c r="AC131" t="n">
        <v>121</v>
      </c>
      <c r="AD131" t="s">
        <v>457</v>
      </c>
      <c r="AE131" t="n">
        <v>115</v>
      </c>
      <c r="AF131" t="s">
        <v>6080</v>
      </c>
      <c r="AG131" t="n">
        <v>39</v>
      </c>
    </row>
    <row r="132">
      <c r="A132" t="s">
        <v>6177</v>
      </c>
      <c r="B132" t="s">
        <v>26</v>
      </c>
      <c r="C132" t="s">
        <v>24</v>
      </c>
      <c r="D132" t="s">
        <v>6178</v>
      </c>
      <c r="E132" t="s">
        <v>394</v>
      </c>
      <c r="F132" t="s">
        <v>387</v>
      </c>
      <c r="G132" t="s">
        <v>395</v>
      </c>
      <c r="H132" t="n">
        <v>39.66774</v>
      </c>
      <c r="I132" t="n">
        <v>-105.013393</v>
      </c>
      <c r="J132" t="s">
        <v>4109</v>
      </c>
      <c r="K132" t="s">
        <v>70</v>
      </c>
      <c r="L132"/>
      <c r="M132" t="n">
        <v>1983</v>
      </c>
      <c r="N132" t="n">
        <v>1983</v>
      </c>
      <c r="O132" t="s">
        <v>264</v>
      </c>
      <c r="P132" t="n">
        <v>1</v>
      </c>
      <c r="Q132" t="n">
        <v>1</v>
      </c>
      <c r="R132" t="n">
        <v>1</v>
      </c>
      <c r="S132" t="n">
        <v>1959</v>
      </c>
      <c r="T132" t="s">
        <v>6179</v>
      </c>
      <c r="U132" t="s">
        <v>6180</v>
      </c>
      <c r="V132" t="s">
        <v>74</v>
      </c>
      <c r="W132" t="s">
        <v>6181</v>
      </c>
      <c r="X132" t="s">
        <v>6182</v>
      </c>
      <c r="Y132" t="s">
        <v>6183</v>
      </c>
      <c r="Z132"/>
      <c r="AA132" t="s">
        <v>6184</v>
      </c>
      <c r="AB132" t="s">
        <v>6142</v>
      </c>
      <c r="AC132" t="n">
        <v>230</v>
      </c>
      <c r="AD132" t="s">
        <v>449</v>
      </c>
      <c r="AE132" t="n">
        <v>202</v>
      </c>
      <c r="AF132" t="s">
        <v>6185</v>
      </c>
      <c r="AG132" t="n">
        <v>21</v>
      </c>
    </row>
    <row r="133">
      <c r="A133" t="s">
        <v>6186</v>
      </c>
      <c r="B133" t="s">
        <v>26</v>
      </c>
      <c r="C133" t="s">
        <v>65</v>
      </c>
      <c r="D133" t="s">
        <v>6187</v>
      </c>
      <c r="E133" t="s">
        <v>394</v>
      </c>
      <c r="F133" t="s">
        <v>387</v>
      </c>
      <c r="G133" t="s">
        <v>395</v>
      </c>
      <c r="H133" t="n">
        <v>39.6349654693878</v>
      </c>
      <c r="I133" t="n">
        <v>-105.003994163265</v>
      </c>
      <c r="J133" t="s">
        <v>35</v>
      </c>
      <c r="K133" t="s">
        <v>120</v>
      </c>
      <c r="L133"/>
      <c r="M133" t="n">
        <v>1983</v>
      </c>
      <c r="N133" t="n">
        <v>1992</v>
      </c>
      <c r="O133" t="s">
        <v>2061</v>
      </c>
      <c r="P133" t="n">
        <v>4</v>
      </c>
      <c r="Q133" t="n">
        <v>1</v>
      </c>
      <c r="R133" t="n">
        <v>1</v>
      </c>
      <c r="S133" t="n">
        <v>1960</v>
      </c>
      <c r="T133" t="s">
        <v>6188</v>
      </c>
      <c r="U133" t="s">
        <v>6189</v>
      </c>
      <c r="V133" t="s">
        <v>74</v>
      </c>
      <c r="W133" t="s">
        <v>6190</v>
      </c>
      <c r="X133" t="s">
        <v>6191</v>
      </c>
      <c r="Y133" t="s">
        <v>6192</v>
      </c>
      <c r="Z133"/>
      <c r="AA133"/>
      <c r="AB133" t="s">
        <v>6193</v>
      </c>
      <c r="AC133" t="n">
        <v>9</v>
      </c>
      <c r="AD133" t="s">
        <v>6194</v>
      </c>
      <c r="AE133" t="n">
        <v>41</v>
      </c>
      <c r="AF133" t="s">
        <v>6195</v>
      </c>
      <c r="AG133" t="n">
        <v>16</v>
      </c>
    </row>
    <row r="134">
      <c r="A134" t="s">
        <v>6196</v>
      </c>
      <c r="B134" t="s">
        <v>26</v>
      </c>
      <c r="C134" t="s">
        <v>65</v>
      </c>
      <c r="D134" t="s">
        <v>6197</v>
      </c>
      <c r="E134" t="s">
        <v>394</v>
      </c>
      <c r="F134" t="s">
        <v>387</v>
      </c>
      <c r="G134" t="s">
        <v>395</v>
      </c>
      <c r="H134" t="n">
        <v>39.6625591428571</v>
      </c>
      <c r="I134" t="n">
        <v>-105.012254571429</v>
      </c>
      <c r="J134" t="s">
        <v>35</v>
      </c>
      <c r="K134" t="s">
        <v>120</v>
      </c>
      <c r="L134"/>
      <c r="M134" t="n">
        <v>1988</v>
      </c>
      <c r="N134" t="n">
        <v>1990</v>
      </c>
      <c r="O134" t="s">
        <v>310</v>
      </c>
      <c r="P134" t="n">
        <v>2</v>
      </c>
      <c r="Q134" t="n">
        <v>2</v>
      </c>
      <c r="R134" t="n">
        <v>2</v>
      </c>
      <c r="S134" t="n">
        <v>1979</v>
      </c>
      <c r="T134" t="s">
        <v>6198</v>
      </c>
      <c r="U134" t="s">
        <v>6199</v>
      </c>
      <c r="V134" t="s">
        <v>74</v>
      </c>
      <c r="W134" t="s">
        <v>6200</v>
      </c>
      <c r="X134"/>
      <c r="Y134" t="s">
        <v>6201</v>
      </c>
      <c r="Z134"/>
      <c r="AA134"/>
      <c r="AB134" t="s">
        <v>448</v>
      </c>
      <c r="AC134" t="n">
        <v>57</v>
      </c>
      <c r="AD134"/>
      <c r="AE134"/>
      <c r="AF134" t="s">
        <v>450</v>
      </c>
      <c r="AG134" t="n">
        <v>26</v>
      </c>
    </row>
    <row r="135">
      <c r="A135" t="s">
        <v>6202</v>
      </c>
      <c r="B135" t="s">
        <v>26</v>
      </c>
      <c r="C135" t="s">
        <v>24</v>
      </c>
      <c r="D135" t="s">
        <v>6203</v>
      </c>
      <c r="E135" t="s">
        <v>394</v>
      </c>
      <c r="F135" t="s">
        <v>387</v>
      </c>
      <c r="G135" t="s">
        <v>395</v>
      </c>
      <c r="H135" t="n">
        <v>39.6356954636616</v>
      </c>
      <c r="I135" t="n">
        <v>-105.006757310478</v>
      </c>
      <c r="J135" t="s">
        <v>4109</v>
      </c>
      <c r="K135" t="s">
        <v>70</v>
      </c>
      <c r="L135"/>
      <c r="M135" t="n">
        <v>1988</v>
      </c>
      <c r="N135" t="n">
        <v>1990</v>
      </c>
      <c r="O135" t="s">
        <v>310</v>
      </c>
      <c r="P135" t="n">
        <v>2</v>
      </c>
      <c r="Q135" t="n">
        <v>1</v>
      </c>
      <c r="R135" t="n">
        <v>1</v>
      </c>
      <c r="S135" t="n">
        <v>1974</v>
      </c>
      <c r="T135" t="s">
        <v>6204</v>
      </c>
      <c r="U135" t="s">
        <v>6205</v>
      </c>
      <c r="V135" t="s">
        <v>74</v>
      </c>
      <c r="W135" t="s">
        <v>6206</v>
      </c>
      <c r="X135" t="s">
        <v>6207</v>
      </c>
      <c r="Y135" t="s">
        <v>6208</v>
      </c>
      <c r="Z135"/>
      <c r="AA135" t="s">
        <v>6209</v>
      </c>
      <c r="AB135" t="s">
        <v>5770</v>
      </c>
      <c r="AC135" t="n">
        <v>217</v>
      </c>
      <c r="AD135" t="s">
        <v>5771</v>
      </c>
      <c r="AE135" t="n">
        <v>217</v>
      </c>
      <c r="AF135" t="s">
        <v>6210</v>
      </c>
      <c r="AG135" t="n">
        <v>87</v>
      </c>
    </row>
    <row r="136">
      <c r="A136" t="s">
        <v>6211</v>
      </c>
      <c r="B136" t="s">
        <v>26</v>
      </c>
      <c r="C136" t="s">
        <v>65</v>
      </c>
      <c r="D136" t="s">
        <v>6212</v>
      </c>
      <c r="E136" t="s">
        <v>394</v>
      </c>
      <c r="F136" t="s">
        <v>387</v>
      </c>
      <c r="G136" t="s">
        <v>395</v>
      </c>
      <c r="H136" t="n">
        <v>39.6422752663044</v>
      </c>
      <c r="I136" t="n">
        <v>-105.023583418478</v>
      </c>
      <c r="J136" t="s">
        <v>35</v>
      </c>
      <c r="K136" t="s">
        <v>111</v>
      </c>
      <c r="L136"/>
      <c r="M136" t="n">
        <v>1988</v>
      </c>
      <c r="N136" t="n">
        <v>1992</v>
      </c>
      <c r="O136" t="s">
        <v>320</v>
      </c>
      <c r="P136" t="n">
        <v>3</v>
      </c>
      <c r="Q136" t="n">
        <v>3</v>
      </c>
      <c r="R136" t="n">
        <v>3</v>
      </c>
      <c r="S136" t="n">
        <v>1976</v>
      </c>
      <c r="T136" t="s">
        <v>6213</v>
      </c>
      <c r="U136" t="s">
        <v>6214</v>
      </c>
      <c r="V136" t="s">
        <v>74</v>
      </c>
      <c r="W136" t="s">
        <v>6215</v>
      </c>
      <c r="X136"/>
      <c r="Y136" t="s">
        <v>6216</v>
      </c>
      <c r="Z136"/>
      <c r="AA136" t="s">
        <v>6217</v>
      </c>
      <c r="AB136" t="s">
        <v>635</v>
      </c>
      <c r="AC136" t="n">
        <v>35</v>
      </c>
      <c r="AD136"/>
      <c r="AE136"/>
      <c r="AF136" t="s">
        <v>6218</v>
      </c>
      <c r="AG136" t="n">
        <v>13</v>
      </c>
    </row>
    <row r="137">
      <c r="A137" t="s">
        <v>6219</v>
      </c>
      <c r="B137" t="s">
        <v>26</v>
      </c>
      <c r="C137" t="s">
        <v>24</v>
      </c>
      <c r="D137" t="s">
        <v>6220</v>
      </c>
      <c r="E137" t="s">
        <v>394</v>
      </c>
      <c r="F137" t="s">
        <v>387</v>
      </c>
      <c r="G137" t="s">
        <v>395</v>
      </c>
      <c r="H137" t="n">
        <v>39.6657207373737</v>
      </c>
      <c r="I137" t="n">
        <v>-105.009867666667</v>
      </c>
      <c r="J137" t="s">
        <v>4109</v>
      </c>
      <c r="K137" t="s">
        <v>1282</v>
      </c>
      <c r="L137"/>
      <c r="M137" t="n">
        <v>1988</v>
      </c>
      <c r="N137" t="n">
        <v>1990</v>
      </c>
      <c r="O137" t="s">
        <v>310</v>
      </c>
      <c r="P137" t="n">
        <v>2</v>
      </c>
      <c r="Q137" t="n">
        <v>2</v>
      </c>
      <c r="R137" t="n">
        <v>2</v>
      </c>
      <c r="S137" t="n">
        <v>1979</v>
      </c>
      <c r="T137" t="s">
        <v>6221</v>
      </c>
      <c r="U137" t="s">
        <v>6222</v>
      </c>
      <c r="V137" t="s">
        <v>74</v>
      </c>
      <c r="W137" t="s">
        <v>6223</v>
      </c>
      <c r="X137" t="s">
        <v>6224</v>
      </c>
      <c r="Y137" t="s">
        <v>6225</v>
      </c>
      <c r="Z137"/>
      <c r="AA137" t="s">
        <v>6226</v>
      </c>
      <c r="AB137" t="s">
        <v>5871</v>
      </c>
      <c r="AC137" t="n">
        <v>121</v>
      </c>
      <c r="AD137" t="s">
        <v>5849</v>
      </c>
      <c r="AE137" t="n">
        <v>101</v>
      </c>
      <c r="AF137" t="s">
        <v>6227</v>
      </c>
      <c r="AG137" t="n">
        <v>3</v>
      </c>
    </row>
    <row r="138">
      <c r="A138" t="s">
        <v>6228</v>
      </c>
      <c r="B138" t="s">
        <v>26</v>
      </c>
      <c r="C138" t="s">
        <v>65</v>
      </c>
      <c r="D138" t="s">
        <v>6229</v>
      </c>
      <c r="E138" t="s">
        <v>394</v>
      </c>
      <c r="F138" t="s">
        <v>387</v>
      </c>
      <c r="G138" t="s">
        <v>395</v>
      </c>
      <c r="H138" t="n">
        <v>39.6659448686869</v>
      </c>
      <c r="I138" t="n">
        <v>-105.01193079798</v>
      </c>
      <c r="J138" t="s">
        <v>35</v>
      </c>
      <c r="K138" t="s">
        <v>120</v>
      </c>
      <c r="L138"/>
      <c r="M138" t="n">
        <v>1988</v>
      </c>
      <c r="N138" t="n">
        <v>1988</v>
      </c>
      <c r="O138" t="s">
        <v>325</v>
      </c>
      <c r="P138" t="n">
        <v>1</v>
      </c>
      <c r="Q138" t="n">
        <v>1</v>
      </c>
      <c r="R138" t="n">
        <v>1</v>
      </c>
      <c r="S138" t="n">
        <v>1972</v>
      </c>
      <c r="T138" t="s">
        <v>6230</v>
      </c>
      <c r="U138" t="s">
        <v>6231</v>
      </c>
      <c r="V138" t="s">
        <v>74</v>
      </c>
      <c r="W138" t="s">
        <v>6232</v>
      </c>
      <c r="X138" t="s">
        <v>6233</v>
      </c>
      <c r="Y138" t="s">
        <v>6234</v>
      </c>
      <c r="Z138"/>
      <c r="AA138" t="s">
        <v>6235</v>
      </c>
      <c r="AB138" t="s">
        <v>6142</v>
      </c>
      <c r="AC138" t="n">
        <v>17</v>
      </c>
      <c r="AD138" t="s">
        <v>5849</v>
      </c>
      <c r="AE138" t="n">
        <v>84</v>
      </c>
      <c r="AF138" t="s">
        <v>6236</v>
      </c>
      <c r="AG138" t="n">
        <v>29</v>
      </c>
    </row>
    <row r="139">
      <c r="A139" t="s">
        <v>6237</v>
      </c>
      <c r="B139" t="s">
        <v>26</v>
      </c>
      <c r="C139" t="s">
        <v>65</v>
      </c>
      <c r="D139" t="s">
        <v>6238</v>
      </c>
      <c r="E139" t="s">
        <v>394</v>
      </c>
      <c r="F139" t="s">
        <v>387</v>
      </c>
      <c r="G139" t="s">
        <v>395</v>
      </c>
      <c r="H139" t="n">
        <v>39.6342945630694</v>
      </c>
      <c r="I139" t="n">
        <v>-105.004560219476</v>
      </c>
      <c r="J139" t="s">
        <v>35</v>
      </c>
      <c r="K139" t="s">
        <v>120</v>
      </c>
      <c r="L139"/>
      <c r="M139" t="n">
        <v>1990</v>
      </c>
      <c r="N139" t="n">
        <v>1992</v>
      </c>
      <c r="O139" t="s">
        <v>1016</v>
      </c>
      <c r="P139" t="n">
        <v>2</v>
      </c>
      <c r="Q139" t="n">
        <v>1</v>
      </c>
      <c r="R139" t="n">
        <v>1</v>
      </c>
      <c r="S139" t="n">
        <v>1980</v>
      </c>
      <c r="T139" t="s">
        <v>6239</v>
      </c>
      <c r="U139" t="s">
        <v>6240</v>
      </c>
      <c r="V139" t="s">
        <v>74</v>
      </c>
      <c r="W139" t="s">
        <v>6241</v>
      </c>
      <c r="X139" t="s">
        <v>6242</v>
      </c>
      <c r="Y139"/>
      <c r="Z139"/>
      <c r="AA139"/>
      <c r="AB139" t="s">
        <v>6243</v>
      </c>
      <c r="AC139" t="n">
        <v>46</v>
      </c>
      <c r="AD139" t="s">
        <v>5771</v>
      </c>
      <c r="AE139" t="n">
        <v>50</v>
      </c>
      <c r="AF139" t="s">
        <v>6244</v>
      </c>
      <c r="AG139" t="n">
        <v>91</v>
      </c>
    </row>
    <row r="140">
      <c r="A140" t="s">
        <v>6245</v>
      </c>
      <c r="B140" t="s">
        <v>26</v>
      </c>
      <c r="C140" t="s">
        <v>65</v>
      </c>
      <c r="D140" t="s">
        <v>6246</v>
      </c>
      <c r="E140" t="s">
        <v>394</v>
      </c>
      <c r="F140" t="s">
        <v>387</v>
      </c>
      <c r="G140" t="s">
        <v>6247</v>
      </c>
      <c r="H140" t="n">
        <v>39.6535321881303</v>
      </c>
      <c r="I140" t="n">
        <v>-105.016952984284</v>
      </c>
      <c r="J140" t="s">
        <v>35</v>
      </c>
      <c r="K140" t="s">
        <v>89</v>
      </c>
      <c r="L140"/>
      <c r="M140" t="n">
        <v>1992</v>
      </c>
      <c r="N140" t="n">
        <v>1992</v>
      </c>
      <c r="O140" t="s">
        <v>1016</v>
      </c>
      <c r="P140" t="n">
        <v>1</v>
      </c>
      <c r="Q140" t="n">
        <v>1</v>
      </c>
      <c r="R140" t="n">
        <v>1</v>
      </c>
      <c r="S140"/>
      <c r="T140" t="s">
        <v>6248</v>
      </c>
      <c r="U140" t="s">
        <v>6249</v>
      </c>
      <c r="V140" t="s">
        <v>74</v>
      </c>
      <c r="W140" t="s">
        <v>6250</v>
      </c>
      <c r="X140"/>
      <c r="Y140"/>
      <c r="Z140"/>
      <c r="AA140"/>
      <c r="AB140" t="s">
        <v>6093</v>
      </c>
      <c r="AC140" t="n">
        <v>7</v>
      </c>
      <c r="AD140"/>
      <c r="AE140"/>
      <c r="AF140" t="s">
        <v>6094</v>
      </c>
      <c r="AG140" t="n">
        <v>97</v>
      </c>
    </row>
    <row r="141">
      <c r="A141" t="s">
        <v>6251</v>
      </c>
      <c r="B141" t="s">
        <v>26</v>
      </c>
      <c r="C141" t="s">
        <v>24</v>
      </c>
      <c r="D141" t="s">
        <v>6252</v>
      </c>
      <c r="E141" t="s">
        <v>394</v>
      </c>
      <c r="F141" t="s">
        <v>387</v>
      </c>
      <c r="G141" t="s">
        <v>395</v>
      </c>
      <c r="H141" t="n">
        <v>39.669106</v>
      </c>
      <c r="I141" t="n">
        <v>-105.008674</v>
      </c>
      <c r="J141" t="s">
        <v>4109</v>
      </c>
      <c r="K141" t="s">
        <v>120</v>
      </c>
      <c r="L141"/>
      <c r="M141" t="n">
        <v>1992</v>
      </c>
      <c r="N141" t="n">
        <v>1992</v>
      </c>
      <c r="O141" t="s">
        <v>1016</v>
      </c>
      <c r="P141" t="n">
        <v>1</v>
      </c>
      <c r="Q141" t="n">
        <v>1</v>
      </c>
      <c r="R141" t="n">
        <v>1</v>
      </c>
      <c r="S141" t="n">
        <v>1973</v>
      </c>
      <c r="T141" t="s">
        <v>6253</v>
      </c>
      <c r="U141" t="s">
        <v>6254</v>
      </c>
      <c r="V141" t="s">
        <v>74</v>
      </c>
      <c r="W141" t="s">
        <v>6255</v>
      </c>
      <c r="X141" t="s">
        <v>6256</v>
      </c>
      <c r="Y141" t="s">
        <v>6257</v>
      </c>
      <c r="Z141"/>
      <c r="AA141" t="s">
        <v>6258</v>
      </c>
      <c r="AB141" t="s">
        <v>6020</v>
      </c>
      <c r="AC141" t="n">
        <v>147</v>
      </c>
      <c r="AD141" t="s">
        <v>457</v>
      </c>
      <c r="AE141" t="n">
        <v>199</v>
      </c>
      <c r="AF141" t="s">
        <v>6259</v>
      </c>
      <c r="AG141" t="n">
        <v>68</v>
      </c>
    </row>
    <row r="142">
      <c r="A142" t="s">
        <v>6260</v>
      </c>
      <c r="B142" t="s">
        <v>26</v>
      </c>
      <c r="C142" t="s">
        <v>24</v>
      </c>
      <c r="D142" t="s">
        <v>6261</v>
      </c>
      <c r="E142" t="s">
        <v>738</v>
      </c>
      <c r="F142" t="s">
        <v>724</v>
      </c>
      <c r="G142"/>
      <c r="H142" t="n">
        <v>40.1739279420553</v>
      </c>
      <c r="I142" t="n">
        <v>-105.09545513061</v>
      </c>
      <c r="J142" t="s">
        <v>4109</v>
      </c>
      <c r="K142" t="s">
        <v>201</v>
      </c>
      <c r="L142" t="s">
        <v>202</v>
      </c>
      <c r="M142" t="n">
        <v>1965</v>
      </c>
      <c r="N142" t="n">
        <v>1992</v>
      </c>
      <c r="O142" t="s">
        <v>6262</v>
      </c>
      <c r="P142" t="n">
        <v>6</v>
      </c>
      <c r="Q142" t="n">
        <v>6</v>
      </c>
      <c r="R142" t="n">
        <v>5</v>
      </c>
      <c r="S142" t="n">
        <v>1970</v>
      </c>
      <c r="T142" t="s">
        <v>6263</v>
      </c>
      <c r="U142" t="s">
        <v>6264</v>
      </c>
      <c r="V142" t="s">
        <v>74</v>
      </c>
      <c r="W142" t="s">
        <v>6265</v>
      </c>
      <c r="X142" t="s">
        <v>6266</v>
      </c>
      <c r="Y142" t="s">
        <v>6267</v>
      </c>
      <c r="Z142"/>
      <c r="AA142" t="s">
        <v>6268</v>
      </c>
      <c r="AB142" t="s">
        <v>6269</v>
      </c>
      <c r="AC142" t="n">
        <v>112</v>
      </c>
      <c r="AD142" t="s">
        <v>6270</v>
      </c>
      <c r="AE142" t="n">
        <v>9</v>
      </c>
      <c r="AF142" t="s">
        <v>6271</v>
      </c>
      <c r="AG142" t="n">
        <v>86</v>
      </c>
    </row>
    <row r="143">
      <c r="A143" t="s">
        <v>6272</v>
      </c>
      <c r="B143" t="s">
        <v>26</v>
      </c>
      <c r="C143" t="s">
        <v>65</v>
      </c>
      <c r="D143" t="s">
        <v>6273</v>
      </c>
      <c r="E143" t="s">
        <v>738</v>
      </c>
      <c r="F143" t="s">
        <v>724</v>
      </c>
      <c r="G143" t="s">
        <v>739</v>
      </c>
      <c r="H143" t="n">
        <v>40.1445580016225</v>
      </c>
      <c r="I143" t="n">
        <v>-105.102494128795</v>
      </c>
      <c r="J143" t="s">
        <v>35</v>
      </c>
      <c r="K143" t="s">
        <v>120</v>
      </c>
      <c r="L143"/>
      <c r="M143" t="n">
        <v>1966</v>
      </c>
      <c r="N143" t="n">
        <v>1967</v>
      </c>
      <c r="O143" t="s">
        <v>716</v>
      </c>
      <c r="P143" t="n">
        <v>2</v>
      </c>
      <c r="Q143" t="n">
        <v>2</v>
      </c>
      <c r="R143" t="n">
        <v>2</v>
      </c>
      <c r="S143" t="n">
        <v>1954</v>
      </c>
      <c r="T143" t="s">
        <v>6274</v>
      </c>
      <c r="U143" t="s">
        <v>6275</v>
      </c>
      <c r="V143" t="s">
        <v>74</v>
      </c>
      <c r="W143" t="s">
        <v>6276</v>
      </c>
      <c r="X143"/>
      <c r="Y143"/>
      <c r="Z143"/>
      <c r="AA143"/>
      <c r="AB143" t="s">
        <v>6277</v>
      </c>
      <c r="AC143" t="n">
        <v>64</v>
      </c>
      <c r="AD143"/>
      <c r="AE143"/>
      <c r="AF143" t="s">
        <v>6278</v>
      </c>
      <c r="AG143" t="n">
        <v>184</v>
      </c>
    </row>
    <row r="144">
      <c r="A144" t="s">
        <v>6279</v>
      </c>
      <c r="B144" t="s">
        <v>26</v>
      </c>
      <c r="C144" t="s">
        <v>65</v>
      </c>
      <c r="D144" t="s">
        <v>6280</v>
      </c>
      <c r="E144" t="s">
        <v>1010</v>
      </c>
      <c r="F144" t="s">
        <v>724</v>
      </c>
      <c r="G144" t="s">
        <v>1011</v>
      </c>
      <c r="H144" t="n">
        <v>39.9810098357168</v>
      </c>
      <c r="I144" t="n">
        <v>-105.128739396964</v>
      </c>
      <c r="J144" t="s">
        <v>35</v>
      </c>
      <c r="K144" t="s">
        <v>3942</v>
      </c>
      <c r="L144"/>
      <c r="M144" t="n">
        <v>1966</v>
      </c>
      <c r="N144" t="n">
        <v>1983</v>
      </c>
      <c r="O144" t="s">
        <v>6281</v>
      </c>
      <c r="P144" t="n">
        <v>8</v>
      </c>
      <c r="Q144" t="n">
        <v>3</v>
      </c>
      <c r="R144" t="n">
        <v>2</v>
      </c>
      <c r="S144" t="n">
        <v>1963</v>
      </c>
      <c r="T144" t="s">
        <v>6282</v>
      </c>
      <c r="U144" t="s">
        <v>6283</v>
      </c>
      <c r="V144" t="s">
        <v>74</v>
      </c>
      <c r="W144" t="s">
        <v>6284</v>
      </c>
      <c r="X144"/>
      <c r="Y144"/>
      <c r="Z144"/>
      <c r="AA144"/>
      <c r="AB144" t="s">
        <v>6285</v>
      </c>
      <c r="AC144" t="n">
        <v>79</v>
      </c>
      <c r="AD144"/>
      <c r="AE144"/>
      <c r="AF144" t="s">
        <v>6286</v>
      </c>
      <c r="AG144" t="n">
        <v>242</v>
      </c>
    </row>
    <row r="145">
      <c r="A145" t="s">
        <v>6287</v>
      </c>
      <c r="B145" t="s">
        <v>26</v>
      </c>
      <c r="C145" t="s">
        <v>24</v>
      </c>
      <c r="D145" t="s">
        <v>6288</v>
      </c>
      <c r="E145" t="s">
        <v>723</v>
      </c>
      <c r="F145" t="s">
        <v>724</v>
      </c>
      <c r="G145" t="s">
        <v>725</v>
      </c>
      <c r="H145" t="n">
        <v>40.024014</v>
      </c>
      <c r="I145" t="n">
        <v>-105.250116</v>
      </c>
      <c r="J145" t="s">
        <v>4109</v>
      </c>
      <c r="K145" t="s">
        <v>315</v>
      </c>
      <c r="L145"/>
      <c r="M145" t="n">
        <v>1967</v>
      </c>
      <c r="N145" t="n">
        <v>1980</v>
      </c>
      <c r="O145" t="s">
        <v>3776</v>
      </c>
      <c r="P145" t="n">
        <v>5</v>
      </c>
      <c r="Q145" t="n">
        <v>2</v>
      </c>
      <c r="R145" t="n">
        <v>1</v>
      </c>
      <c r="S145" t="n">
        <v>1973</v>
      </c>
      <c r="T145" t="s">
        <v>6289</v>
      </c>
      <c r="U145" t="s">
        <v>6290</v>
      </c>
      <c r="V145" t="s">
        <v>74</v>
      </c>
      <c r="W145" t="s">
        <v>6291</v>
      </c>
      <c r="X145"/>
      <c r="Y145" t="s">
        <v>6292</v>
      </c>
      <c r="Z145"/>
      <c r="AA145" t="s">
        <v>6293</v>
      </c>
      <c r="AB145" t="s">
        <v>6294</v>
      </c>
      <c r="AC145" t="n">
        <v>54</v>
      </c>
      <c r="AD145"/>
      <c r="AE145"/>
      <c r="AF145" t="s">
        <v>6295</v>
      </c>
      <c r="AG145" t="n">
        <v>64</v>
      </c>
    </row>
    <row r="146">
      <c r="A146" t="s">
        <v>6296</v>
      </c>
      <c r="B146" t="s">
        <v>26</v>
      </c>
      <c r="C146" t="s">
        <v>65</v>
      </c>
      <c r="D146" t="s">
        <v>6297</v>
      </c>
      <c r="E146" t="s">
        <v>723</v>
      </c>
      <c r="F146" t="s">
        <v>724</v>
      </c>
      <c r="G146" t="s">
        <v>725</v>
      </c>
      <c r="H146" t="n">
        <v>40.020356880261</v>
      </c>
      <c r="I146" t="n">
        <v>-105.249567674629</v>
      </c>
      <c r="J146" t="s">
        <v>35</v>
      </c>
      <c r="K146" t="s">
        <v>120</v>
      </c>
      <c r="L146"/>
      <c r="M146" t="n">
        <v>1968</v>
      </c>
      <c r="N146" t="n">
        <v>1980</v>
      </c>
      <c r="O146" t="s">
        <v>6298</v>
      </c>
      <c r="P146" t="n">
        <v>3</v>
      </c>
      <c r="Q146" t="n">
        <v>3</v>
      </c>
      <c r="R146" t="n">
        <v>2</v>
      </c>
      <c r="S146" t="n">
        <v>1957</v>
      </c>
      <c r="T146" t="s">
        <v>6299</v>
      </c>
      <c r="U146" t="s">
        <v>6300</v>
      </c>
      <c r="V146" t="s">
        <v>74</v>
      </c>
      <c r="W146" t="s">
        <v>6301</v>
      </c>
      <c r="X146" t="s">
        <v>6302</v>
      </c>
      <c r="Y146" t="s">
        <v>6303</v>
      </c>
      <c r="Z146" t="s">
        <v>6304</v>
      </c>
      <c r="AA146" t="s">
        <v>6305</v>
      </c>
      <c r="AB146" t="s">
        <v>6306</v>
      </c>
      <c r="AC146" t="n">
        <v>59</v>
      </c>
      <c r="AD146" t="s">
        <v>6307</v>
      </c>
      <c r="AE146" t="n">
        <v>106</v>
      </c>
      <c r="AF146" t="s">
        <v>6308</v>
      </c>
      <c r="AG146" t="n">
        <v>44</v>
      </c>
    </row>
    <row r="147">
      <c r="A147" t="s">
        <v>6309</v>
      </c>
      <c r="B147" t="s">
        <v>26</v>
      </c>
      <c r="C147" t="s">
        <v>25</v>
      </c>
      <c r="D147" t="s">
        <v>6310</v>
      </c>
      <c r="E147" t="s">
        <v>723</v>
      </c>
      <c r="F147" t="s">
        <v>724</v>
      </c>
      <c r="G147" t="s">
        <v>725</v>
      </c>
      <c r="H147" t="n">
        <v>40.0557674682497</v>
      </c>
      <c r="I147" t="n">
        <v>-105.282117562372</v>
      </c>
      <c r="J147" t="s">
        <v>4109</v>
      </c>
      <c r="K147" t="s">
        <v>133</v>
      </c>
      <c r="L147"/>
      <c r="M147" t="n">
        <v>1973</v>
      </c>
      <c r="N147" t="n">
        <v>1990</v>
      </c>
      <c r="O147" t="s">
        <v>228</v>
      </c>
      <c r="P147" t="n">
        <v>6</v>
      </c>
      <c r="Q147" t="n">
        <v>4</v>
      </c>
      <c r="R147" t="n">
        <v>1</v>
      </c>
      <c r="S147" t="n">
        <v>1959</v>
      </c>
      <c r="T147" t="s">
        <v>6311</v>
      </c>
      <c r="U147" t="s">
        <v>6312</v>
      </c>
      <c r="V147" t="s">
        <v>4175</v>
      </c>
      <c r="W147" t="s">
        <v>6313</v>
      </c>
      <c r="X147"/>
      <c r="Y147" t="s">
        <v>6314</v>
      </c>
      <c r="Z147"/>
      <c r="AA147" t="s">
        <v>6315</v>
      </c>
      <c r="AB147" t="s">
        <v>6316</v>
      </c>
      <c r="AC147" t="n">
        <v>228</v>
      </c>
      <c r="AD147"/>
      <c r="AE147"/>
      <c r="AF147" t="s">
        <v>6317</v>
      </c>
      <c r="AG147" t="n">
        <v>93</v>
      </c>
    </row>
    <row r="148">
      <c r="A148" t="s">
        <v>6318</v>
      </c>
      <c r="B148" t="s">
        <v>26</v>
      </c>
      <c r="C148" t="s">
        <v>24</v>
      </c>
      <c r="D148" t="s">
        <v>6319</v>
      </c>
      <c r="E148" t="s">
        <v>723</v>
      </c>
      <c r="F148" t="s">
        <v>724</v>
      </c>
      <c r="G148" t="s">
        <v>817</v>
      </c>
      <c r="H148" t="n">
        <v>40.061783</v>
      </c>
      <c r="I148" t="n">
        <v>-105.206844</v>
      </c>
      <c r="J148" t="s">
        <v>4109</v>
      </c>
      <c r="K148" t="s">
        <v>133</v>
      </c>
      <c r="L148"/>
      <c r="M148" t="n">
        <v>1973</v>
      </c>
      <c r="N148" t="n">
        <v>1988</v>
      </c>
      <c r="O148" t="s">
        <v>127</v>
      </c>
      <c r="P148" t="n">
        <v>5</v>
      </c>
      <c r="Q148" t="n">
        <v>4</v>
      </c>
      <c r="R148" t="n">
        <v>2</v>
      </c>
      <c r="S148" t="n">
        <v>1971</v>
      </c>
      <c r="T148" t="s">
        <v>6320</v>
      </c>
      <c r="U148" t="s">
        <v>6321</v>
      </c>
      <c r="V148" t="s">
        <v>74</v>
      </c>
      <c r="W148" t="s">
        <v>6322</v>
      </c>
      <c r="X148" t="s">
        <v>6323</v>
      </c>
      <c r="Y148" t="s">
        <v>6324</v>
      </c>
      <c r="Z148"/>
      <c r="AA148" t="s">
        <v>6325</v>
      </c>
      <c r="AB148" t="s">
        <v>6326</v>
      </c>
      <c r="AC148" t="n">
        <v>57</v>
      </c>
      <c r="AD148" t="s">
        <v>6327</v>
      </c>
      <c r="AE148" t="n">
        <v>118</v>
      </c>
      <c r="AF148" t="s">
        <v>6328</v>
      </c>
      <c r="AG148" t="n">
        <v>66</v>
      </c>
    </row>
    <row r="149">
      <c r="A149" t="s">
        <v>6329</v>
      </c>
      <c r="B149" t="s">
        <v>26</v>
      </c>
      <c r="C149" t="s">
        <v>65</v>
      </c>
      <c r="D149" t="s">
        <v>6330</v>
      </c>
      <c r="E149" t="s">
        <v>723</v>
      </c>
      <c r="F149" t="s">
        <v>724</v>
      </c>
      <c r="G149" t="s">
        <v>817</v>
      </c>
      <c r="H149" t="n">
        <v>40.0214675503356</v>
      </c>
      <c r="I149" t="n">
        <v>-105.253737657718</v>
      </c>
      <c r="J149" t="s">
        <v>35</v>
      </c>
      <c r="K149" t="s">
        <v>120</v>
      </c>
      <c r="L149" t="s">
        <v>202</v>
      </c>
      <c r="M149" t="n">
        <v>1973</v>
      </c>
      <c r="N149" t="n">
        <v>1983</v>
      </c>
      <c r="O149" t="s">
        <v>121</v>
      </c>
      <c r="P149" t="n">
        <v>2</v>
      </c>
      <c r="Q149" t="n">
        <v>2</v>
      </c>
      <c r="R149" t="n">
        <v>1</v>
      </c>
      <c r="S149" t="n">
        <v>1971</v>
      </c>
      <c r="T149" t="s">
        <v>6331</v>
      </c>
      <c r="U149" t="s">
        <v>6332</v>
      </c>
      <c r="V149" t="s">
        <v>74</v>
      </c>
      <c r="W149" t="s">
        <v>6333</v>
      </c>
      <c r="X149"/>
      <c r="Y149" t="s">
        <v>6334</v>
      </c>
      <c r="Z149"/>
      <c r="AA149" t="s">
        <v>6335</v>
      </c>
      <c r="AB149" t="s">
        <v>6336</v>
      </c>
      <c r="AC149" t="n">
        <v>77</v>
      </c>
      <c r="AD149"/>
      <c r="AE149"/>
      <c r="AF149" t="s">
        <v>6337</v>
      </c>
      <c r="AG149" t="n">
        <v>39</v>
      </c>
    </row>
    <row r="150">
      <c r="A150" t="s">
        <v>6338</v>
      </c>
      <c r="B150" t="s">
        <v>26</v>
      </c>
      <c r="C150" t="s">
        <v>65</v>
      </c>
      <c r="D150" t="s">
        <v>6339</v>
      </c>
      <c r="E150" t="s">
        <v>738</v>
      </c>
      <c r="F150" t="s">
        <v>724</v>
      </c>
      <c r="G150" t="s">
        <v>739</v>
      </c>
      <c r="H150" t="n">
        <v>40.1579254571863</v>
      </c>
      <c r="I150" t="n">
        <v>-105.113687062843</v>
      </c>
      <c r="J150" t="s">
        <v>35</v>
      </c>
      <c r="K150" t="s">
        <v>133</v>
      </c>
      <c r="L150"/>
      <c r="M150" t="n">
        <v>1973</v>
      </c>
      <c r="N150" t="n">
        <v>1988</v>
      </c>
      <c r="O150" t="s">
        <v>528</v>
      </c>
      <c r="P150" t="n">
        <v>4</v>
      </c>
      <c r="Q150" t="n">
        <v>3</v>
      </c>
      <c r="R150" t="n">
        <v>1</v>
      </c>
      <c r="S150" t="n">
        <v>1971</v>
      </c>
      <c r="T150" t="s">
        <v>6340</v>
      </c>
      <c r="U150" t="s">
        <v>6341</v>
      </c>
      <c r="V150" t="s">
        <v>74</v>
      </c>
      <c r="W150" t="s">
        <v>6342</v>
      </c>
      <c r="X150"/>
      <c r="Y150"/>
      <c r="Z150"/>
      <c r="AA150"/>
      <c r="AB150" t="s">
        <v>6343</v>
      </c>
      <c r="AC150" t="n">
        <v>20</v>
      </c>
      <c r="AD150" t="s">
        <v>1156</v>
      </c>
      <c r="AE150" t="n">
        <v>228</v>
      </c>
      <c r="AF150" t="s">
        <v>6344</v>
      </c>
      <c r="AG150" t="n">
        <v>52</v>
      </c>
    </row>
    <row r="151">
      <c r="A151" t="s">
        <v>6345</v>
      </c>
      <c r="B151" t="s">
        <v>26</v>
      </c>
      <c r="C151" t="s">
        <v>65</v>
      </c>
      <c r="D151" t="s">
        <v>6346</v>
      </c>
      <c r="E151" t="s">
        <v>723</v>
      </c>
      <c r="F151" t="s">
        <v>724</v>
      </c>
      <c r="G151" t="s">
        <v>817</v>
      </c>
      <c r="H151" t="n">
        <v>40.0188918541613</v>
      </c>
      <c r="I151" t="n">
        <v>-105.225405688399</v>
      </c>
      <c r="J151" t="s">
        <v>35</v>
      </c>
      <c r="K151" t="s">
        <v>6347</v>
      </c>
      <c r="L151"/>
      <c r="M151" t="n">
        <v>1974</v>
      </c>
      <c r="N151" t="n">
        <v>1992</v>
      </c>
      <c r="O151" t="s">
        <v>6348</v>
      </c>
      <c r="P151" t="n">
        <v>7</v>
      </c>
      <c r="Q151" t="n">
        <v>14</v>
      </c>
      <c r="R151" t="n">
        <v>9</v>
      </c>
      <c r="S151" t="n">
        <v>1955</v>
      </c>
      <c r="T151" t="s">
        <v>6349</v>
      </c>
      <c r="U151" t="s">
        <v>6350</v>
      </c>
      <c r="V151" t="s">
        <v>74</v>
      </c>
      <c r="W151" t="s">
        <v>6351</v>
      </c>
      <c r="X151"/>
      <c r="Y151" t="s">
        <v>6352</v>
      </c>
      <c r="Z151"/>
      <c r="AA151" t="s">
        <v>6353</v>
      </c>
      <c r="AB151" t="s">
        <v>6354</v>
      </c>
      <c r="AC151" t="n">
        <v>73</v>
      </c>
      <c r="AD151"/>
      <c r="AE151"/>
      <c r="AF151" t="s">
        <v>6355</v>
      </c>
      <c r="AG151" t="n">
        <v>7</v>
      </c>
    </row>
    <row r="152">
      <c r="A152" t="s">
        <v>6356</v>
      </c>
      <c r="B152" t="s">
        <v>26</v>
      </c>
      <c r="C152" t="s">
        <v>24</v>
      </c>
      <c r="D152" t="s">
        <v>6357</v>
      </c>
      <c r="E152" t="s">
        <v>723</v>
      </c>
      <c r="F152" t="s">
        <v>724</v>
      </c>
      <c r="G152" t="s">
        <v>817</v>
      </c>
      <c r="H152" t="n">
        <v>40.0260502229011</v>
      </c>
      <c r="I152" t="n">
        <v>-105.225016447928</v>
      </c>
      <c r="J152" t="s">
        <v>4109</v>
      </c>
      <c r="K152" t="s">
        <v>89</v>
      </c>
      <c r="L152"/>
      <c r="M152" t="n">
        <v>1977</v>
      </c>
      <c r="N152" t="n">
        <v>1990</v>
      </c>
      <c r="O152" t="s">
        <v>1487</v>
      </c>
      <c r="P152" t="n">
        <v>5</v>
      </c>
      <c r="Q152" t="n">
        <v>3</v>
      </c>
      <c r="R152" t="n">
        <v>3</v>
      </c>
      <c r="S152" t="n">
        <v>1946</v>
      </c>
      <c r="T152" t="s">
        <v>6358</v>
      </c>
      <c r="U152" t="s">
        <v>6359</v>
      </c>
      <c r="V152" t="s">
        <v>74</v>
      </c>
      <c r="W152" t="s">
        <v>6360</v>
      </c>
      <c r="X152" t="s">
        <v>6361</v>
      </c>
      <c r="Y152" t="s">
        <v>6362</v>
      </c>
      <c r="Z152"/>
      <c r="AA152" t="s">
        <v>6363</v>
      </c>
      <c r="AB152" t="s">
        <v>6364</v>
      </c>
      <c r="AC152" t="n">
        <v>175</v>
      </c>
      <c r="AD152" t="s">
        <v>6365</v>
      </c>
      <c r="AE152" t="n">
        <v>117</v>
      </c>
      <c r="AF152" t="s">
        <v>6366</v>
      </c>
      <c r="AG152" t="n">
        <v>64</v>
      </c>
    </row>
    <row r="153">
      <c r="A153" t="s">
        <v>6367</v>
      </c>
      <c r="B153" t="s">
        <v>26</v>
      </c>
      <c r="C153" t="s">
        <v>65</v>
      </c>
      <c r="D153" t="s">
        <v>6368</v>
      </c>
      <c r="E153" t="s">
        <v>1010</v>
      </c>
      <c r="F153" t="s">
        <v>724</v>
      </c>
      <c r="G153" t="s">
        <v>1011</v>
      </c>
      <c r="H153" t="n">
        <v>39.9826883489933</v>
      </c>
      <c r="I153" t="n">
        <v>-105.127828040268</v>
      </c>
      <c r="J153" t="s">
        <v>35</v>
      </c>
      <c r="K153" t="s">
        <v>70</v>
      </c>
      <c r="L153"/>
      <c r="M153" t="n">
        <v>1977</v>
      </c>
      <c r="N153" t="n">
        <v>1992</v>
      </c>
      <c r="O153" t="s">
        <v>6369</v>
      </c>
      <c r="P153" t="n">
        <v>5</v>
      </c>
      <c r="Q153" t="n">
        <v>1</v>
      </c>
      <c r="R153" t="n">
        <v>1</v>
      </c>
      <c r="S153" t="n">
        <v>1966</v>
      </c>
      <c r="T153" t="s">
        <v>6370</v>
      </c>
      <c r="U153" t="s">
        <v>6371</v>
      </c>
      <c r="V153" t="s">
        <v>74</v>
      </c>
      <c r="W153" t="s">
        <v>6372</v>
      </c>
      <c r="X153"/>
      <c r="Y153" t="s">
        <v>6373</v>
      </c>
      <c r="Z153"/>
      <c r="AA153"/>
      <c r="AB153" t="s">
        <v>6374</v>
      </c>
      <c r="AC153" t="n">
        <v>5</v>
      </c>
      <c r="AD153"/>
      <c r="AE153"/>
      <c r="AF153" t="s">
        <v>6286</v>
      </c>
      <c r="AG153" t="n">
        <v>45</v>
      </c>
    </row>
    <row r="154">
      <c r="A154" t="s">
        <v>6375</v>
      </c>
      <c r="B154" t="s">
        <v>26</v>
      </c>
      <c r="C154" t="s">
        <v>65</v>
      </c>
      <c r="D154" t="s">
        <v>6376</v>
      </c>
      <c r="E154" t="s">
        <v>723</v>
      </c>
      <c r="F154" t="s">
        <v>724</v>
      </c>
      <c r="G154" t="s">
        <v>863</v>
      </c>
      <c r="H154" t="n">
        <v>40.0147636666667</v>
      </c>
      <c r="I154" t="n">
        <v>-105.2051115</v>
      </c>
      <c r="J154" t="s">
        <v>35</v>
      </c>
      <c r="K154" t="s">
        <v>70</v>
      </c>
      <c r="L154"/>
      <c r="M154" t="n">
        <v>1980</v>
      </c>
      <c r="N154" t="n">
        <v>1990</v>
      </c>
      <c r="O154" t="s">
        <v>3312</v>
      </c>
      <c r="P154" t="n">
        <v>4</v>
      </c>
      <c r="Q154" t="n">
        <v>3</v>
      </c>
      <c r="R154" t="n">
        <v>2</v>
      </c>
      <c r="S154" t="n">
        <v>1977</v>
      </c>
      <c r="T154" t="s">
        <v>6377</v>
      </c>
      <c r="U154" t="s">
        <v>6378</v>
      </c>
      <c r="V154" t="s">
        <v>74</v>
      </c>
      <c r="W154" t="s">
        <v>6379</v>
      </c>
      <c r="X154"/>
      <c r="Y154" t="s">
        <v>6380</v>
      </c>
      <c r="Z154"/>
      <c r="AA154" t="s">
        <v>6381</v>
      </c>
      <c r="AB154" t="s">
        <v>971</v>
      </c>
      <c r="AC154" t="n">
        <v>35</v>
      </c>
      <c r="AD154" t="s">
        <v>972</v>
      </c>
      <c r="AE154" t="n">
        <v>209</v>
      </c>
      <c r="AF154" t="s">
        <v>6382</v>
      </c>
      <c r="AG154" t="n">
        <v>16</v>
      </c>
    </row>
    <row r="155">
      <c r="A155" t="s">
        <v>6383</v>
      </c>
      <c r="B155" t="s">
        <v>26</v>
      </c>
      <c r="C155" t="s">
        <v>65</v>
      </c>
      <c r="D155" t="s">
        <v>6384</v>
      </c>
      <c r="E155" t="s">
        <v>723</v>
      </c>
      <c r="F155" t="s">
        <v>724</v>
      </c>
      <c r="G155" t="s">
        <v>817</v>
      </c>
      <c r="H155" t="n">
        <v>40.0221624680089</v>
      </c>
      <c r="I155" t="n">
        <v>-105.218145620608</v>
      </c>
      <c r="J155" t="s">
        <v>35</v>
      </c>
      <c r="K155" t="s">
        <v>120</v>
      </c>
      <c r="L155" t="s">
        <v>202</v>
      </c>
      <c r="M155" t="n">
        <v>1980</v>
      </c>
      <c r="N155" t="n">
        <v>1990</v>
      </c>
      <c r="O155" t="s">
        <v>555</v>
      </c>
      <c r="P155" t="n">
        <v>3</v>
      </c>
      <c r="Q155" t="n">
        <v>3</v>
      </c>
      <c r="R155" t="n">
        <v>2</v>
      </c>
      <c r="S155" t="n">
        <v>1975</v>
      </c>
      <c r="T155" t="s">
        <v>6385</v>
      </c>
      <c r="U155" t="s">
        <v>6386</v>
      </c>
      <c r="V155" t="s">
        <v>74</v>
      </c>
      <c r="W155" t="s">
        <v>6387</v>
      </c>
      <c r="X155"/>
      <c r="Y155" t="s">
        <v>6388</v>
      </c>
      <c r="Z155"/>
      <c r="AA155" t="s">
        <v>6389</v>
      </c>
      <c r="AB155"/>
      <c r="AC155"/>
      <c r="AD155"/>
      <c r="AE155"/>
      <c r="AF155" t="s">
        <v>6390</v>
      </c>
      <c r="AG155" t="n">
        <v>4</v>
      </c>
    </row>
    <row r="156">
      <c r="A156" t="s">
        <v>6391</v>
      </c>
      <c r="B156" t="s">
        <v>26</v>
      </c>
      <c r="C156" t="s">
        <v>65</v>
      </c>
      <c r="D156" t="s">
        <v>6392</v>
      </c>
      <c r="E156" t="s">
        <v>883</v>
      </c>
      <c r="F156" t="s">
        <v>724</v>
      </c>
      <c r="G156" t="s">
        <v>884</v>
      </c>
      <c r="H156" t="n">
        <v>40.0001825238095</v>
      </c>
      <c r="I156" t="n">
        <v>-105.109660809524</v>
      </c>
      <c r="J156" t="s">
        <v>35</v>
      </c>
      <c r="K156" t="s">
        <v>70</v>
      </c>
      <c r="L156"/>
      <c r="M156" t="n">
        <v>1980</v>
      </c>
      <c r="N156" t="n">
        <v>1992</v>
      </c>
      <c r="O156" t="s">
        <v>3881</v>
      </c>
      <c r="P156" t="n">
        <v>5</v>
      </c>
      <c r="Q156" t="n">
        <v>4</v>
      </c>
      <c r="R156" t="n">
        <v>1</v>
      </c>
      <c r="S156" t="n">
        <v>1959</v>
      </c>
      <c r="T156" t="s">
        <v>6393</v>
      </c>
      <c r="U156" t="s">
        <v>6394</v>
      </c>
      <c r="V156" t="s">
        <v>74</v>
      </c>
      <c r="W156" t="s">
        <v>6395</v>
      </c>
      <c r="X156"/>
      <c r="Y156"/>
      <c r="Z156"/>
      <c r="AA156"/>
      <c r="AB156" t="s">
        <v>6396</v>
      </c>
      <c r="AC156" t="n">
        <v>34</v>
      </c>
      <c r="AD156"/>
      <c r="AE156"/>
      <c r="AF156"/>
      <c r="AG156"/>
    </row>
    <row r="157">
      <c r="A157" t="s">
        <v>6397</v>
      </c>
      <c r="B157" t="s">
        <v>26</v>
      </c>
      <c r="C157" t="s">
        <v>65</v>
      </c>
      <c r="D157" t="s">
        <v>6398</v>
      </c>
      <c r="E157" t="s">
        <v>738</v>
      </c>
      <c r="F157" t="s">
        <v>724</v>
      </c>
      <c r="G157" t="s">
        <v>739</v>
      </c>
      <c r="H157" t="n">
        <v>40.1484280454099</v>
      </c>
      <c r="I157" t="n">
        <v>-105.121453067477</v>
      </c>
      <c r="J157" t="s">
        <v>35</v>
      </c>
      <c r="K157" t="s">
        <v>141</v>
      </c>
      <c r="L157"/>
      <c r="M157" t="n">
        <v>1980</v>
      </c>
      <c r="N157" t="n">
        <v>1983</v>
      </c>
      <c r="O157" t="s">
        <v>528</v>
      </c>
      <c r="P157" t="n">
        <v>2</v>
      </c>
      <c r="Q157" t="n">
        <v>1</v>
      </c>
      <c r="R157" t="n">
        <v>1</v>
      </c>
      <c r="S157" t="n">
        <v>1977</v>
      </c>
      <c r="T157" t="s">
        <v>6399</v>
      </c>
      <c r="U157" t="s">
        <v>6400</v>
      </c>
      <c r="V157" t="s">
        <v>74</v>
      </c>
      <c r="W157" t="s">
        <v>6401</v>
      </c>
      <c r="X157"/>
      <c r="Y157" t="s">
        <v>6402</v>
      </c>
      <c r="Z157"/>
      <c r="AA157"/>
      <c r="AB157" t="s">
        <v>6403</v>
      </c>
      <c r="AC157" t="n">
        <v>11</v>
      </c>
      <c r="AD157" t="s">
        <v>6404</v>
      </c>
      <c r="AE157" t="n">
        <v>138</v>
      </c>
      <c r="AF157" t="s">
        <v>6405</v>
      </c>
      <c r="AG157" t="n">
        <v>8</v>
      </c>
    </row>
    <row r="158">
      <c r="A158" t="s">
        <v>6406</v>
      </c>
      <c r="B158" t="s">
        <v>26</v>
      </c>
      <c r="C158" t="s">
        <v>24</v>
      </c>
      <c r="D158" t="s">
        <v>6407</v>
      </c>
      <c r="E158" t="s">
        <v>723</v>
      </c>
      <c r="F158" t="s">
        <v>724</v>
      </c>
      <c r="G158" t="s">
        <v>817</v>
      </c>
      <c r="H158" t="n">
        <v>40.0149317482443</v>
      </c>
      <c r="I158" t="n">
        <v>-105.20656658359</v>
      </c>
      <c r="J158" t="s">
        <v>4109</v>
      </c>
      <c r="K158" t="s">
        <v>70</v>
      </c>
      <c r="L158"/>
      <c r="M158" t="n">
        <v>1983</v>
      </c>
      <c r="N158" t="n">
        <v>1990</v>
      </c>
      <c r="O158" t="s">
        <v>293</v>
      </c>
      <c r="P158" t="n">
        <v>2</v>
      </c>
      <c r="Q158" t="n">
        <v>3</v>
      </c>
      <c r="R158" t="n">
        <v>2</v>
      </c>
      <c r="S158" t="n">
        <v>1975</v>
      </c>
      <c r="T158" t="s">
        <v>6408</v>
      </c>
      <c r="U158" t="s">
        <v>6409</v>
      </c>
      <c r="V158" t="s">
        <v>74</v>
      </c>
      <c r="W158" t="s">
        <v>6410</v>
      </c>
      <c r="X158" t="s">
        <v>6411</v>
      </c>
      <c r="Y158" t="s">
        <v>6412</v>
      </c>
      <c r="Z158" t="s">
        <v>6413</v>
      </c>
      <c r="AA158" t="s">
        <v>6414</v>
      </c>
      <c r="AB158" t="s">
        <v>971</v>
      </c>
      <c r="AC158" t="n">
        <v>160</v>
      </c>
      <c r="AD158" t="s">
        <v>972</v>
      </c>
      <c r="AE158" t="n">
        <v>88</v>
      </c>
      <c r="AF158" t="s">
        <v>973</v>
      </c>
      <c r="AG158" t="n">
        <v>27</v>
      </c>
    </row>
    <row r="159">
      <c r="A159" t="s">
        <v>6415</v>
      </c>
      <c r="B159" t="s">
        <v>26</v>
      </c>
      <c r="C159" t="s">
        <v>65</v>
      </c>
      <c r="D159" t="s">
        <v>6416</v>
      </c>
      <c r="E159" t="s">
        <v>723</v>
      </c>
      <c r="F159" t="s">
        <v>724</v>
      </c>
      <c r="G159" t="s">
        <v>817</v>
      </c>
      <c r="H159" t="n">
        <v>40.0281111114854</v>
      </c>
      <c r="I159" t="n">
        <v>-105.225257111245</v>
      </c>
      <c r="J159" t="s">
        <v>35</v>
      </c>
      <c r="K159" t="s">
        <v>315</v>
      </c>
      <c r="L159"/>
      <c r="M159" t="n">
        <v>1983</v>
      </c>
      <c r="N159" t="n">
        <v>1983</v>
      </c>
      <c r="O159" t="s">
        <v>264</v>
      </c>
      <c r="P159" t="n">
        <v>1</v>
      </c>
      <c r="Q159" t="n">
        <v>1</v>
      </c>
      <c r="R159" t="n">
        <v>1</v>
      </c>
      <c r="S159" t="n">
        <v>1965</v>
      </c>
      <c r="T159" t="s">
        <v>6417</v>
      </c>
      <c r="U159" t="s">
        <v>6418</v>
      </c>
      <c r="V159" t="s">
        <v>74</v>
      </c>
      <c r="W159" t="s">
        <v>6419</v>
      </c>
      <c r="X159"/>
      <c r="Y159" t="s">
        <v>6420</v>
      </c>
      <c r="Z159"/>
      <c r="AA159" t="s">
        <v>6421</v>
      </c>
      <c r="AB159" t="s">
        <v>6364</v>
      </c>
      <c r="AC159" t="n">
        <v>59</v>
      </c>
      <c r="AD159" t="s">
        <v>6422</v>
      </c>
      <c r="AE159" t="n">
        <v>188</v>
      </c>
      <c r="AF159" t="s">
        <v>6423</v>
      </c>
      <c r="AG159" t="n">
        <v>36</v>
      </c>
    </row>
    <row r="160">
      <c r="A160" t="s">
        <v>6424</v>
      </c>
      <c r="B160" t="s">
        <v>26</v>
      </c>
      <c r="C160" t="s">
        <v>65</v>
      </c>
      <c r="D160" t="s">
        <v>6425</v>
      </c>
      <c r="E160" t="s">
        <v>723</v>
      </c>
      <c r="F160" t="s">
        <v>724</v>
      </c>
      <c r="G160" t="s">
        <v>725</v>
      </c>
      <c r="H160" t="n">
        <v>40.0188017959184</v>
      </c>
      <c r="I160" t="n">
        <v>-105.275601265306</v>
      </c>
      <c r="J160" t="s">
        <v>35</v>
      </c>
      <c r="K160" t="s">
        <v>70</v>
      </c>
      <c r="L160"/>
      <c r="M160" t="n">
        <v>1983</v>
      </c>
      <c r="N160" t="n">
        <v>1983</v>
      </c>
      <c r="O160" t="s">
        <v>264</v>
      </c>
      <c r="P160" t="n">
        <v>1</v>
      </c>
      <c r="Q160" t="n">
        <v>1</v>
      </c>
      <c r="R160" t="n">
        <v>1</v>
      </c>
      <c r="S160" t="n">
        <v>1976</v>
      </c>
      <c r="T160" t="s">
        <v>6426</v>
      </c>
      <c r="U160" t="s">
        <v>6427</v>
      </c>
      <c r="V160" t="s">
        <v>74</v>
      </c>
      <c r="W160" t="s">
        <v>6428</v>
      </c>
      <c r="X160"/>
      <c r="Y160" t="s">
        <v>6429</v>
      </c>
      <c r="Z160"/>
      <c r="AA160" t="s">
        <v>6430</v>
      </c>
      <c r="AB160" t="s">
        <v>792</v>
      </c>
      <c r="AC160" t="n">
        <v>33</v>
      </c>
      <c r="AD160"/>
      <c r="AE160"/>
      <c r="AF160" t="s">
        <v>1044</v>
      </c>
      <c r="AG160" t="n">
        <v>6</v>
      </c>
    </row>
    <row r="161">
      <c r="A161" t="s">
        <v>6431</v>
      </c>
      <c r="B161" t="s">
        <v>26</v>
      </c>
      <c r="C161" t="s">
        <v>24</v>
      </c>
      <c r="D161" t="s">
        <v>6432</v>
      </c>
      <c r="E161" t="s">
        <v>738</v>
      </c>
      <c r="F161" t="s">
        <v>724</v>
      </c>
      <c r="G161" t="s">
        <v>739</v>
      </c>
      <c r="H161" t="n">
        <v>40.1511278562136</v>
      </c>
      <c r="I161" t="n">
        <v>-105.110988973619</v>
      </c>
      <c r="J161" t="s">
        <v>4109</v>
      </c>
      <c r="K161" t="s">
        <v>70</v>
      </c>
      <c r="L161"/>
      <c r="M161" t="n">
        <v>1983</v>
      </c>
      <c r="N161" t="n">
        <v>1983</v>
      </c>
      <c r="O161" t="s">
        <v>264</v>
      </c>
      <c r="P161" t="n">
        <v>1</v>
      </c>
      <c r="Q161" t="n">
        <v>1</v>
      </c>
      <c r="R161" t="n">
        <v>1</v>
      </c>
      <c r="S161" t="n">
        <v>1978</v>
      </c>
      <c r="T161" t="s">
        <v>6433</v>
      </c>
      <c r="U161" t="s">
        <v>6434</v>
      </c>
      <c r="V161" t="s">
        <v>74</v>
      </c>
      <c r="W161" t="s">
        <v>6435</v>
      </c>
      <c r="X161" t="s">
        <v>6436</v>
      </c>
      <c r="Y161" t="s">
        <v>6437</v>
      </c>
      <c r="Z161"/>
      <c r="AA161" t="s">
        <v>6438</v>
      </c>
      <c r="AB161" t="s">
        <v>6439</v>
      </c>
      <c r="AC161" t="n">
        <v>179</v>
      </c>
      <c r="AD161" t="s">
        <v>905</v>
      </c>
      <c r="AE161" t="n">
        <v>194</v>
      </c>
      <c r="AF161" t="s">
        <v>6440</v>
      </c>
      <c r="AG161" t="n">
        <v>126</v>
      </c>
    </row>
    <row r="162">
      <c r="A162" t="s">
        <v>6441</v>
      </c>
      <c r="B162" t="s">
        <v>26</v>
      </c>
      <c r="C162" t="s">
        <v>65</v>
      </c>
      <c r="D162" t="s">
        <v>6442</v>
      </c>
      <c r="E162" t="s">
        <v>738</v>
      </c>
      <c r="F162" t="s">
        <v>724</v>
      </c>
      <c r="G162" t="s">
        <v>739</v>
      </c>
      <c r="H162" t="n">
        <v>40.1584813218863</v>
      </c>
      <c r="I162" t="n">
        <v>-105.121332737857</v>
      </c>
      <c r="J162" t="s">
        <v>35</v>
      </c>
      <c r="K162" t="s">
        <v>70</v>
      </c>
      <c r="L162"/>
      <c r="M162" t="n">
        <v>1990</v>
      </c>
      <c r="N162" t="n">
        <v>1990</v>
      </c>
      <c r="O162" t="s">
        <v>351</v>
      </c>
      <c r="P162" t="n">
        <v>1</v>
      </c>
      <c r="Q162" t="n">
        <v>1</v>
      </c>
      <c r="R162" t="n">
        <v>1</v>
      </c>
      <c r="S162" t="n">
        <v>1978</v>
      </c>
      <c r="T162" t="s">
        <v>6443</v>
      </c>
      <c r="U162" t="s">
        <v>6444</v>
      </c>
      <c r="V162" t="s">
        <v>74</v>
      </c>
      <c r="W162" t="s">
        <v>6445</v>
      </c>
      <c r="X162"/>
      <c r="Y162"/>
      <c r="Z162"/>
      <c r="AA162" t="s">
        <v>6446</v>
      </c>
      <c r="AB162" t="s">
        <v>6447</v>
      </c>
      <c r="AC162" t="n">
        <v>34</v>
      </c>
      <c r="AD162"/>
      <c r="AE162"/>
      <c r="AF162" t="s">
        <v>6448</v>
      </c>
      <c r="AG162" t="n">
        <v>48</v>
      </c>
    </row>
    <row r="163">
      <c r="A163" t="s">
        <v>6449</v>
      </c>
      <c r="B163" t="s">
        <v>26</v>
      </c>
      <c r="C163" t="s">
        <v>65</v>
      </c>
      <c r="D163" t="s">
        <v>6450</v>
      </c>
      <c r="E163" t="s">
        <v>1164</v>
      </c>
      <c r="F163" t="s">
        <v>1165</v>
      </c>
      <c r="G163" t="s">
        <v>1166</v>
      </c>
      <c r="H163" t="n">
        <v>39.9213976901343</v>
      </c>
      <c r="I163" t="n">
        <v>-105.0996280795</v>
      </c>
      <c r="J163" t="s">
        <v>35</v>
      </c>
      <c r="K163" t="s">
        <v>1242</v>
      </c>
      <c r="L163" t="s">
        <v>202</v>
      </c>
      <c r="M163" t="n">
        <v>1968</v>
      </c>
      <c r="N163" t="n">
        <v>1990</v>
      </c>
      <c r="O163" t="s">
        <v>3519</v>
      </c>
      <c r="P163" t="n">
        <v>8</v>
      </c>
      <c r="Q163" t="n">
        <v>10</v>
      </c>
      <c r="R163" t="n">
        <v>4</v>
      </c>
      <c r="S163" t="n">
        <v>1958</v>
      </c>
      <c r="T163" t="s">
        <v>6451</v>
      </c>
      <c r="U163" t="s">
        <v>6452</v>
      </c>
      <c r="V163" t="s">
        <v>74</v>
      </c>
      <c r="W163" t="s">
        <v>6453</v>
      </c>
      <c r="X163" t="s">
        <v>6454</v>
      </c>
      <c r="Y163" t="s">
        <v>6455</v>
      </c>
      <c r="Z163"/>
      <c r="AA163" t="s">
        <v>6456</v>
      </c>
      <c r="AB163" t="s">
        <v>1187</v>
      </c>
      <c r="AC163" t="n">
        <v>64</v>
      </c>
      <c r="AD163" t="s">
        <v>1204</v>
      </c>
      <c r="AE163" t="n">
        <v>54</v>
      </c>
      <c r="AF163" t="s">
        <v>6457</v>
      </c>
      <c r="AG163" t="n">
        <v>46</v>
      </c>
    </row>
    <row r="164">
      <c r="A164" t="s">
        <v>6458</v>
      </c>
      <c r="B164" t="s">
        <v>26</v>
      </c>
      <c r="C164" t="s">
        <v>65</v>
      </c>
      <c r="D164" t="s">
        <v>6459</v>
      </c>
      <c r="E164" t="s">
        <v>1164</v>
      </c>
      <c r="F164" t="s">
        <v>1165</v>
      </c>
      <c r="G164" t="s">
        <v>1166</v>
      </c>
      <c r="H164" t="n">
        <v>39.9231462951321</v>
      </c>
      <c r="I164" t="n">
        <v>-105.097399589045</v>
      </c>
      <c r="J164" t="s">
        <v>35</v>
      </c>
      <c r="K164" t="s">
        <v>767</v>
      </c>
      <c r="L164"/>
      <c r="M164" t="n">
        <v>1973</v>
      </c>
      <c r="N164" t="n">
        <v>1990</v>
      </c>
      <c r="O164" t="s">
        <v>6460</v>
      </c>
      <c r="P164" t="n">
        <v>6</v>
      </c>
      <c r="Q164" t="n">
        <v>7</v>
      </c>
      <c r="R164" t="n">
        <v>7</v>
      </c>
      <c r="S164" t="n">
        <v>1962</v>
      </c>
      <c r="T164" t="s">
        <v>6461</v>
      </c>
      <c r="U164" t="s">
        <v>6462</v>
      </c>
      <c r="V164" t="s">
        <v>74</v>
      </c>
      <c r="W164" t="s">
        <v>6463</v>
      </c>
      <c r="X164"/>
      <c r="Y164"/>
      <c r="Z164"/>
      <c r="AA164" t="s">
        <v>6464</v>
      </c>
      <c r="AB164" t="s">
        <v>1203</v>
      </c>
      <c r="AC164" t="n">
        <v>155</v>
      </c>
      <c r="AD164" t="s">
        <v>1204</v>
      </c>
      <c r="AE164" t="n">
        <v>236</v>
      </c>
      <c r="AF164" t="s">
        <v>6465</v>
      </c>
      <c r="AG164" t="n">
        <v>117</v>
      </c>
    </row>
    <row r="165">
      <c r="A165" t="s">
        <v>6466</v>
      </c>
      <c r="B165" t="s">
        <v>26</v>
      </c>
      <c r="C165" t="s">
        <v>24</v>
      </c>
      <c r="D165" t="s">
        <v>6467</v>
      </c>
      <c r="E165" t="s">
        <v>1164</v>
      </c>
      <c r="F165" t="s">
        <v>1165</v>
      </c>
      <c r="G165"/>
      <c r="H165" t="n">
        <v>39.9200837099428</v>
      </c>
      <c r="I165" t="n">
        <v>-105.093149423244</v>
      </c>
      <c r="J165" t="s">
        <v>4109</v>
      </c>
      <c r="K165" t="s">
        <v>70</v>
      </c>
      <c r="L165"/>
      <c r="M165" t="n">
        <v>1973</v>
      </c>
      <c r="N165" t="n">
        <v>1977</v>
      </c>
      <c r="O165" t="s">
        <v>121</v>
      </c>
      <c r="P165" t="n">
        <v>3</v>
      </c>
      <c r="Q165" t="n">
        <v>2</v>
      </c>
      <c r="R165" t="n">
        <v>1</v>
      </c>
      <c r="S165" t="n">
        <v>1966</v>
      </c>
      <c r="T165" t="s">
        <v>6468</v>
      </c>
      <c r="U165" t="s">
        <v>6469</v>
      </c>
      <c r="V165" t="s">
        <v>74</v>
      </c>
      <c r="W165" t="s">
        <v>6470</v>
      </c>
      <c r="X165"/>
      <c r="Y165" t="s">
        <v>6471</v>
      </c>
      <c r="Z165"/>
      <c r="AA165" t="s">
        <v>6472</v>
      </c>
      <c r="AB165" t="s">
        <v>6473</v>
      </c>
      <c r="AC165" t="n">
        <v>249</v>
      </c>
      <c r="AD165"/>
      <c r="AE165"/>
      <c r="AF165" t="s">
        <v>6474</v>
      </c>
      <c r="AG165" t="n">
        <v>49</v>
      </c>
    </row>
    <row r="166">
      <c r="A166" t="s">
        <v>6475</v>
      </c>
      <c r="B166" t="s">
        <v>26</v>
      </c>
      <c r="C166" t="s">
        <v>65</v>
      </c>
      <c r="D166" t="s">
        <v>6476</v>
      </c>
      <c r="E166" t="s">
        <v>1164</v>
      </c>
      <c r="F166" t="s">
        <v>1165</v>
      </c>
      <c r="G166" t="s">
        <v>1166</v>
      </c>
      <c r="H166" t="n">
        <v>39.9225140165807</v>
      </c>
      <c r="I166" t="n">
        <v>-105.095220722697</v>
      </c>
      <c r="J166" t="s">
        <v>35</v>
      </c>
      <c r="K166" t="s">
        <v>141</v>
      </c>
      <c r="L166" t="s">
        <v>1117</v>
      </c>
      <c r="M166" t="n">
        <v>1974</v>
      </c>
      <c r="N166" t="n">
        <v>1990</v>
      </c>
      <c r="O166" t="s">
        <v>310</v>
      </c>
      <c r="P166" t="n">
        <v>5</v>
      </c>
      <c r="Q166" t="n">
        <v>4</v>
      </c>
      <c r="R166" t="n">
        <v>2</v>
      </c>
      <c r="S166" t="n">
        <v>1965</v>
      </c>
      <c r="T166" t="s">
        <v>6477</v>
      </c>
      <c r="U166" t="s">
        <v>6478</v>
      </c>
      <c r="V166" t="s">
        <v>74</v>
      </c>
      <c r="W166" t="s">
        <v>6479</v>
      </c>
      <c r="X166"/>
      <c r="Y166" t="s">
        <v>6480</v>
      </c>
      <c r="Z166"/>
      <c r="AA166" t="s">
        <v>6481</v>
      </c>
      <c r="AB166" t="s">
        <v>1203</v>
      </c>
      <c r="AC166" t="n">
        <v>43</v>
      </c>
      <c r="AD166"/>
      <c r="AE166"/>
      <c r="AF166" t="s">
        <v>6482</v>
      </c>
      <c r="AG166" t="n">
        <v>29</v>
      </c>
    </row>
    <row r="167">
      <c r="A167" t="s">
        <v>6483</v>
      </c>
      <c r="B167" t="s">
        <v>26</v>
      </c>
      <c r="C167" t="s">
        <v>65</v>
      </c>
      <c r="D167" t="s">
        <v>6484</v>
      </c>
      <c r="E167" t="s">
        <v>1164</v>
      </c>
      <c r="F167" t="s">
        <v>1165</v>
      </c>
      <c r="G167" t="s">
        <v>1166</v>
      </c>
      <c r="H167" t="n">
        <v>39.9140897927839</v>
      </c>
      <c r="I167" t="n">
        <v>-105.054248033602</v>
      </c>
      <c r="J167" t="s">
        <v>35</v>
      </c>
      <c r="K167" t="s">
        <v>120</v>
      </c>
      <c r="L167"/>
      <c r="M167" t="n">
        <v>1980</v>
      </c>
      <c r="N167" t="n">
        <v>1980</v>
      </c>
      <c r="O167" t="s">
        <v>255</v>
      </c>
      <c r="P167" t="n">
        <v>1</v>
      </c>
      <c r="Q167" t="n">
        <v>1</v>
      </c>
      <c r="R167" t="n">
        <v>1</v>
      </c>
      <c r="S167" t="n">
        <v>1957</v>
      </c>
      <c r="T167" t="s">
        <v>6485</v>
      </c>
      <c r="U167" t="s">
        <v>6486</v>
      </c>
      <c r="V167" t="s">
        <v>74</v>
      </c>
      <c r="W167" t="s">
        <v>6487</v>
      </c>
      <c r="X167"/>
      <c r="Y167"/>
      <c r="Z167"/>
      <c r="AA167" t="s">
        <v>6488</v>
      </c>
      <c r="AB167" t="s">
        <v>6489</v>
      </c>
      <c r="AC167" t="n">
        <v>28</v>
      </c>
      <c r="AD167"/>
      <c r="AE167"/>
      <c r="AF167" t="s">
        <v>6490</v>
      </c>
      <c r="AG167" t="n">
        <v>162</v>
      </c>
    </row>
    <row r="168">
      <c r="A168" t="s">
        <v>6491</v>
      </c>
      <c r="B168" t="s">
        <v>26</v>
      </c>
      <c r="C168" t="s">
        <v>24</v>
      </c>
      <c r="D168" t="s">
        <v>6492</v>
      </c>
      <c r="E168" t="s">
        <v>1164</v>
      </c>
      <c r="F168" t="s">
        <v>1165</v>
      </c>
      <c r="G168" t="s">
        <v>1166</v>
      </c>
      <c r="H168" t="n">
        <v>39.912539</v>
      </c>
      <c r="I168" t="n">
        <v>-105.078178</v>
      </c>
      <c r="J168" t="s">
        <v>4109</v>
      </c>
      <c r="K168" t="s">
        <v>141</v>
      </c>
      <c r="L168"/>
      <c r="M168" t="n">
        <v>1983</v>
      </c>
      <c r="N168" t="n">
        <v>1990</v>
      </c>
      <c r="O168" t="s">
        <v>351</v>
      </c>
      <c r="P168" t="n">
        <v>2</v>
      </c>
      <c r="Q168" t="n">
        <v>2</v>
      </c>
      <c r="R168" t="n">
        <v>1</v>
      </c>
      <c r="S168" t="n">
        <v>1978</v>
      </c>
      <c r="T168" t="s">
        <v>6493</v>
      </c>
      <c r="U168" t="s">
        <v>6494</v>
      </c>
      <c r="V168" t="s">
        <v>74</v>
      </c>
      <c r="W168" t="s">
        <v>6495</v>
      </c>
      <c r="X168"/>
      <c r="Y168" t="s">
        <v>6496</v>
      </c>
      <c r="Z168"/>
      <c r="AA168" t="s">
        <v>6497</v>
      </c>
      <c r="AB168" t="s">
        <v>6498</v>
      </c>
      <c r="AC168" t="n">
        <v>214</v>
      </c>
      <c r="AD168"/>
      <c r="AE168"/>
      <c r="AF168" t="s">
        <v>6499</v>
      </c>
      <c r="AG168" t="n">
        <v>20</v>
      </c>
    </row>
    <row r="169">
      <c r="A169" t="s">
        <v>6500</v>
      </c>
      <c r="B169" t="s">
        <v>26</v>
      </c>
      <c r="C169" t="s">
        <v>65</v>
      </c>
      <c r="D169" t="s">
        <v>6501</v>
      </c>
      <c r="E169" t="s">
        <v>1164</v>
      </c>
      <c r="F169" t="s">
        <v>1165</v>
      </c>
      <c r="G169" t="s">
        <v>1166</v>
      </c>
      <c r="H169" t="n">
        <v>39.9221189291921</v>
      </c>
      <c r="I169" t="n">
        <v>-105.09196092593</v>
      </c>
      <c r="J169" t="s">
        <v>35</v>
      </c>
      <c r="K169" t="s">
        <v>315</v>
      </c>
      <c r="L169"/>
      <c r="M169" t="n">
        <v>1988</v>
      </c>
      <c r="N169" t="n">
        <v>1990</v>
      </c>
      <c r="O169" t="s">
        <v>310</v>
      </c>
      <c r="P169" t="n">
        <v>2</v>
      </c>
      <c r="Q169" t="n">
        <v>3</v>
      </c>
      <c r="R169" t="n">
        <v>2</v>
      </c>
      <c r="S169" t="n">
        <v>1972</v>
      </c>
      <c r="T169" t="s">
        <v>6502</v>
      </c>
      <c r="U169" t="s">
        <v>6503</v>
      </c>
      <c r="V169" t="s">
        <v>74</v>
      </c>
      <c r="W169" t="s">
        <v>6504</v>
      </c>
      <c r="X169"/>
      <c r="Y169" t="s">
        <v>6505</v>
      </c>
      <c r="Z169"/>
      <c r="AA169" t="s">
        <v>6506</v>
      </c>
      <c r="AB169" t="s">
        <v>6473</v>
      </c>
      <c r="AC169" t="n">
        <v>22</v>
      </c>
      <c r="AD169"/>
      <c r="AE169"/>
      <c r="AF169" t="s">
        <v>6507</v>
      </c>
      <c r="AG169" t="n">
        <v>4</v>
      </c>
    </row>
    <row r="170">
      <c r="A170" t="s">
        <v>6508</v>
      </c>
      <c r="B170" t="s">
        <v>26</v>
      </c>
      <c r="C170" t="s">
        <v>65</v>
      </c>
      <c r="D170" t="s">
        <v>6509</v>
      </c>
      <c r="E170" t="s">
        <v>6510</v>
      </c>
      <c r="F170" t="s">
        <v>6511</v>
      </c>
      <c r="G170" t="s">
        <v>6512</v>
      </c>
      <c r="H170" t="n">
        <v>39.7419633755102</v>
      </c>
      <c r="I170" t="n">
        <v>-105.515648122449</v>
      </c>
      <c r="J170" t="s">
        <v>35</v>
      </c>
      <c r="K170" t="s">
        <v>141</v>
      </c>
      <c r="L170"/>
      <c r="M170" t="n">
        <v>1966</v>
      </c>
      <c r="N170" t="n">
        <v>1983</v>
      </c>
      <c r="O170" t="s">
        <v>402</v>
      </c>
      <c r="P170" t="n">
        <v>6</v>
      </c>
      <c r="Q170" t="n">
        <v>3</v>
      </c>
      <c r="R170" t="n">
        <v>2</v>
      </c>
      <c r="S170" t="n">
        <v>1946</v>
      </c>
      <c r="T170" t="s">
        <v>6513</v>
      </c>
      <c r="U170" t="s">
        <v>6514</v>
      </c>
      <c r="V170" t="s">
        <v>74</v>
      </c>
      <c r="W170" t="s">
        <v>6515</v>
      </c>
      <c r="X170"/>
      <c r="Y170"/>
      <c r="Z170"/>
      <c r="AA170"/>
      <c r="AB170"/>
      <c r="AC170"/>
      <c r="AD170"/>
      <c r="AE170"/>
      <c r="AF170" t="s">
        <v>6516</v>
      </c>
      <c r="AG170" t="n">
        <v>59</v>
      </c>
    </row>
    <row r="171">
      <c r="A171" t="s">
        <v>6517</v>
      </c>
      <c r="B171" t="s">
        <v>26</v>
      </c>
      <c r="C171" t="s">
        <v>65</v>
      </c>
      <c r="D171" t="s">
        <v>6518</v>
      </c>
      <c r="E171" t="s">
        <v>6510</v>
      </c>
      <c r="F171" t="s">
        <v>6511</v>
      </c>
      <c r="G171" t="s">
        <v>6512</v>
      </c>
      <c r="H171" t="n">
        <v>39.7420101597594</v>
      </c>
      <c r="I171" t="n">
        <v>-105.51988914543</v>
      </c>
      <c r="J171" t="s">
        <v>35</v>
      </c>
      <c r="K171" t="s">
        <v>141</v>
      </c>
      <c r="L171"/>
      <c r="M171" t="n">
        <v>1966</v>
      </c>
      <c r="N171" t="n">
        <v>1970</v>
      </c>
      <c r="O171" t="s">
        <v>6519</v>
      </c>
      <c r="P171" t="n">
        <v>4</v>
      </c>
      <c r="Q171" t="n">
        <v>1</v>
      </c>
      <c r="R171" t="n">
        <v>1</v>
      </c>
      <c r="S171" t="n">
        <v>1957</v>
      </c>
      <c r="T171" t="s">
        <v>6520</v>
      </c>
      <c r="U171" t="s">
        <v>6521</v>
      </c>
      <c r="V171" t="s">
        <v>74</v>
      </c>
      <c r="W171" t="s">
        <v>6515</v>
      </c>
      <c r="X171"/>
      <c r="Y171" t="s">
        <v>6522</v>
      </c>
      <c r="Z171"/>
      <c r="AA171"/>
      <c r="AB171"/>
      <c r="AC171"/>
      <c r="AD171"/>
      <c r="AE171"/>
      <c r="AF171" t="s">
        <v>6523</v>
      </c>
      <c r="AG171" t="n">
        <v>17</v>
      </c>
    </row>
    <row r="172">
      <c r="A172" t="s">
        <v>6524</v>
      </c>
      <c r="B172" t="s">
        <v>26</v>
      </c>
      <c r="C172" t="s">
        <v>65</v>
      </c>
      <c r="D172" t="s">
        <v>6525</v>
      </c>
      <c r="E172" t="s">
        <v>6510</v>
      </c>
      <c r="F172" t="s">
        <v>6511</v>
      </c>
      <c r="G172" t="s">
        <v>6512</v>
      </c>
      <c r="H172" t="n">
        <v>39.7418866790697</v>
      </c>
      <c r="I172" t="n">
        <v>-105.51686663256</v>
      </c>
      <c r="J172" t="s">
        <v>35</v>
      </c>
      <c r="K172" t="s">
        <v>70</v>
      </c>
      <c r="L172"/>
      <c r="M172" t="n">
        <v>1970</v>
      </c>
      <c r="N172" t="n">
        <v>1983</v>
      </c>
      <c r="O172" t="s">
        <v>210</v>
      </c>
      <c r="P172" t="n">
        <v>5</v>
      </c>
      <c r="Q172" t="n">
        <v>4</v>
      </c>
      <c r="R172" t="n">
        <v>1</v>
      </c>
      <c r="S172" t="n">
        <v>1969</v>
      </c>
      <c r="T172" t="s">
        <v>6526</v>
      </c>
      <c r="U172" t="s">
        <v>6527</v>
      </c>
      <c r="V172" t="s">
        <v>74</v>
      </c>
      <c r="W172" t="s">
        <v>6515</v>
      </c>
      <c r="X172"/>
      <c r="Y172"/>
      <c r="Z172"/>
      <c r="AA172"/>
      <c r="AB172"/>
      <c r="AC172"/>
      <c r="AD172"/>
      <c r="AE172"/>
      <c r="AF172" t="s">
        <v>6516</v>
      </c>
      <c r="AG172" t="n">
        <v>45</v>
      </c>
    </row>
    <row r="173">
      <c r="A173" t="s">
        <v>6528</v>
      </c>
      <c r="B173" t="s">
        <v>26</v>
      </c>
      <c r="C173" t="s">
        <v>65</v>
      </c>
      <c r="D173" t="s">
        <v>6529</v>
      </c>
      <c r="E173" t="s">
        <v>1253</v>
      </c>
      <c r="F173" t="s">
        <v>1254</v>
      </c>
      <c r="G173" t="s">
        <v>1255</v>
      </c>
      <c r="H173" t="n">
        <v>38.7355715238095</v>
      </c>
      <c r="I173" t="n">
        <v>-108.076672744898</v>
      </c>
      <c r="J173" t="s">
        <v>35</v>
      </c>
      <c r="K173" t="s">
        <v>1282</v>
      </c>
      <c r="L173"/>
      <c r="M173" t="n">
        <v>1974</v>
      </c>
      <c r="N173" t="n">
        <v>1983</v>
      </c>
      <c r="O173" t="s">
        <v>3860</v>
      </c>
      <c r="P173" t="n">
        <v>3</v>
      </c>
      <c r="Q173" t="n">
        <v>2</v>
      </c>
      <c r="R173" t="n">
        <v>2</v>
      </c>
      <c r="S173" t="n">
        <v>1951</v>
      </c>
      <c r="T173" t="s">
        <v>6530</v>
      </c>
      <c r="U173" t="s">
        <v>6531</v>
      </c>
      <c r="V173" t="s">
        <v>74</v>
      </c>
      <c r="W173" t="s">
        <v>6532</v>
      </c>
      <c r="X173"/>
      <c r="Y173"/>
      <c r="Z173"/>
      <c r="AA173" t="s">
        <v>6533</v>
      </c>
      <c r="AB173" t="s">
        <v>6534</v>
      </c>
      <c r="AC173" t="n">
        <v>7</v>
      </c>
      <c r="AD173"/>
      <c r="AE173"/>
      <c r="AF173" t="s">
        <v>6535</v>
      </c>
      <c r="AG173" t="n">
        <v>153</v>
      </c>
    </row>
    <row r="174">
      <c r="A174" t="s">
        <v>6536</v>
      </c>
      <c r="B174" t="s">
        <v>26</v>
      </c>
      <c r="C174" t="s">
        <v>65</v>
      </c>
      <c r="D174" t="s">
        <v>6537</v>
      </c>
      <c r="E174" t="s">
        <v>79</v>
      </c>
      <c r="F174" t="s">
        <v>1274</v>
      </c>
      <c r="G174"/>
      <c r="H174" t="n">
        <v>39.7156198834313</v>
      </c>
      <c r="I174" t="n">
        <v>-105.00622608826</v>
      </c>
      <c r="J174" t="s">
        <v>35</v>
      </c>
      <c r="K174" t="s">
        <v>70</v>
      </c>
      <c r="L174"/>
      <c r="M174" t="n">
        <v>1965</v>
      </c>
      <c r="N174" t="n">
        <v>1965</v>
      </c>
      <c r="O174" t="s">
        <v>1275</v>
      </c>
      <c r="P174" t="n">
        <v>1</v>
      </c>
      <c r="Q174" t="n">
        <v>1</v>
      </c>
      <c r="R174" t="n">
        <v>1</v>
      </c>
      <c r="S174"/>
      <c r="T174" t="s">
        <v>6538</v>
      </c>
      <c r="U174" t="s">
        <v>6539</v>
      </c>
      <c r="V174" t="s">
        <v>74</v>
      </c>
      <c r="W174" t="s">
        <v>6540</v>
      </c>
      <c r="X174"/>
      <c r="Y174"/>
      <c r="Z174"/>
      <c r="AA174"/>
      <c r="AB174" t="s">
        <v>6541</v>
      </c>
      <c r="AC174" t="n">
        <v>108</v>
      </c>
      <c r="AD174"/>
      <c r="AE174"/>
      <c r="AF174" t="s">
        <v>6542</v>
      </c>
      <c r="AG174" t="n">
        <v>90</v>
      </c>
    </row>
    <row r="175">
      <c r="A175" t="s">
        <v>6543</v>
      </c>
      <c r="B175" t="s">
        <v>26</v>
      </c>
      <c r="C175" t="s">
        <v>65</v>
      </c>
      <c r="D175" t="s">
        <v>6544</v>
      </c>
      <c r="E175" t="s">
        <v>79</v>
      </c>
      <c r="F175" t="s">
        <v>1274</v>
      </c>
      <c r="G175"/>
      <c r="H175" t="n">
        <v>39.7514045179071</v>
      </c>
      <c r="I175" t="n">
        <v>-104.999846973463</v>
      </c>
      <c r="J175" t="s">
        <v>35</v>
      </c>
      <c r="K175" t="s">
        <v>201</v>
      </c>
      <c r="L175"/>
      <c r="M175" t="n">
        <v>1965</v>
      </c>
      <c r="N175" t="n">
        <v>1990</v>
      </c>
      <c r="O175" t="s">
        <v>1375</v>
      </c>
      <c r="P175" t="n">
        <v>10</v>
      </c>
      <c r="Q175" t="n">
        <v>7</v>
      </c>
      <c r="R175" t="n">
        <v>1</v>
      </c>
      <c r="S175" t="n">
        <v>1937</v>
      </c>
      <c r="T175" t="s">
        <v>6545</v>
      </c>
      <c r="U175" t="s">
        <v>6546</v>
      </c>
      <c r="V175" t="s">
        <v>74</v>
      </c>
      <c r="W175" t="s">
        <v>6547</v>
      </c>
      <c r="X175"/>
      <c r="Y175" t="s">
        <v>6548</v>
      </c>
      <c r="Z175"/>
      <c r="AA175" t="s">
        <v>6549</v>
      </c>
      <c r="AB175" t="s">
        <v>6550</v>
      </c>
      <c r="AC175" t="n">
        <v>109</v>
      </c>
      <c r="AD175" t="s">
        <v>5328</v>
      </c>
      <c r="AE175" t="n">
        <v>157</v>
      </c>
      <c r="AF175" t="s">
        <v>6551</v>
      </c>
      <c r="AG175" t="n">
        <v>24</v>
      </c>
    </row>
    <row r="176">
      <c r="A176" t="s">
        <v>6552</v>
      </c>
      <c r="B176" t="s">
        <v>26</v>
      </c>
      <c r="C176" t="s">
        <v>24</v>
      </c>
      <c r="D176" t="s">
        <v>6553</v>
      </c>
      <c r="E176" t="s">
        <v>79</v>
      </c>
      <c r="F176" t="s">
        <v>1274</v>
      </c>
      <c r="G176"/>
      <c r="H176" t="n">
        <v>39.7437548558247</v>
      </c>
      <c r="I176" t="n">
        <v>-104.972128942055</v>
      </c>
      <c r="J176" t="s">
        <v>4109</v>
      </c>
      <c r="K176" t="s">
        <v>70</v>
      </c>
      <c r="L176"/>
      <c r="M176" t="n">
        <v>1965</v>
      </c>
      <c r="N176" t="n">
        <v>1965</v>
      </c>
      <c r="O176" t="s">
        <v>1275</v>
      </c>
      <c r="P176" t="n">
        <v>1</v>
      </c>
      <c r="Q176" t="n">
        <v>1</v>
      </c>
      <c r="R176" t="n">
        <v>1</v>
      </c>
      <c r="S176"/>
      <c r="T176" t="s">
        <v>6554</v>
      </c>
      <c r="U176" t="s">
        <v>6555</v>
      </c>
      <c r="V176" t="s">
        <v>74</v>
      </c>
      <c r="W176" t="s">
        <v>6556</v>
      </c>
      <c r="X176"/>
      <c r="Y176"/>
      <c r="Z176"/>
      <c r="AA176"/>
      <c r="AB176" t="s">
        <v>4338</v>
      </c>
      <c r="AC176" t="n">
        <v>60</v>
      </c>
      <c r="AD176"/>
      <c r="AE176"/>
      <c r="AF176" t="s">
        <v>6557</v>
      </c>
      <c r="AG176" t="n">
        <v>107</v>
      </c>
    </row>
    <row r="177">
      <c r="A177" t="s">
        <v>6558</v>
      </c>
      <c r="B177" t="s">
        <v>26</v>
      </c>
      <c r="C177" t="s">
        <v>65</v>
      </c>
      <c r="D177" t="s">
        <v>6559</v>
      </c>
      <c r="E177" t="s">
        <v>79</v>
      </c>
      <c r="F177" t="s">
        <v>1274</v>
      </c>
      <c r="G177"/>
      <c r="H177" t="n">
        <v>39.7052617409888</v>
      </c>
      <c r="I177" t="n">
        <v>-105.041225355325</v>
      </c>
      <c r="J177" t="s">
        <v>35</v>
      </c>
      <c r="K177" t="s">
        <v>70</v>
      </c>
      <c r="L177"/>
      <c r="M177" t="n">
        <v>1965</v>
      </c>
      <c r="N177" t="n">
        <v>1965</v>
      </c>
      <c r="O177" t="s">
        <v>1275</v>
      </c>
      <c r="P177" t="n">
        <v>1</v>
      </c>
      <c r="Q177" t="n">
        <v>1</v>
      </c>
      <c r="R177" t="n">
        <v>1</v>
      </c>
      <c r="S177"/>
      <c r="T177" t="s">
        <v>6560</v>
      </c>
      <c r="U177" t="s">
        <v>6561</v>
      </c>
      <c r="V177" t="s">
        <v>74</v>
      </c>
      <c r="W177" t="s">
        <v>6562</v>
      </c>
      <c r="X177"/>
      <c r="Y177"/>
      <c r="Z177"/>
      <c r="AA177"/>
      <c r="AB177" t="s">
        <v>6563</v>
      </c>
      <c r="AC177" t="n">
        <v>47</v>
      </c>
      <c r="AD177"/>
      <c r="AE177"/>
      <c r="AF177" t="s">
        <v>6564</v>
      </c>
      <c r="AG177" t="n">
        <v>47</v>
      </c>
    </row>
    <row r="178">
      <c r="A178" t="s">
        <v>6565</v>
      </c>
      <c r="B178" t="s">
        <v>26</v>
      </c>
      <c r="C178" t="s">
        <v>65</v>
      </c>
      <c r="D178" t="s">
        <v>6566</v>
      </c>
      <c r="E178" t="s">
        <v>79</v>
      </c>
      <c r="F178" t="s">
        <v>1274</v>
      </c>
      <c r="G178"/>
      <c r="H178" t="n">
        <v>39.7661543253315</v>
      </c>
      <c r="I178" t="n">
        <v>-104.987444911143</v>
      </c>
      <c r="J178" t="s">
        <v>35</v>
      </c>
      <c r="K178" t="s">
        <v>396</v>
      </c>
      <c r="L178"/>
      <c r="M178" t="n">
        <v>1965</v>
      </c>
      <c r="N178" t="n">
        <v>1980</v>
      </c>
      <c r="O178" t="s">
        <v>221</v>
      </c>
      <c r="P178" t="n">
        <v>7</v>
      </c>
      <c r="Q178" t="n">
        <v>6</v>
      </c>
      <c r="R178" t="n">
        <v>2</v>
      </c>
      <c r="S178" t="n">
        <v>1947</v>
      </c>
      <c r="T178" t="s">
        <v>6567</v>
      </c>
      <c r="U178" t="s">
        <v>6568</v>
      </c>
      <c r="V178" t="s">
        <v>74</v>
      </c>
      <c r="W178" t="s">
        <v>6569</v>
      </c>
      <c r="X178"/>
      <c r="Y178"/>
      <c r="Z178" t="s">
        <v>6570</v>
      </c>
      <c r="AA178" t="s">
        <v>6571</v>
      </c>
      <c r="AB178" t="s">
        <v>6572</v>
      </c>
      <c r="AC178" t="n">
        <v>68</v>
      </c>
      <c r="AD178"/>
      <c r="AE178"/>
      <c r="AF178" t="s">
        <v>6573</v>
      </c>
      <c r="AG178" t="n">
        <v>162</v>
      </c>
    </row>
    <row r="179">
      <c r="A179" t="s">
        <v>6574</v>
      </c>
      <c r="B179" t="s">
        <v>26</v>
      </c>
      <c r="C179" t="s">
        <v>65</v>
      </c>
      <c r="D179" t="s">
        <v>6575</v>
      </c>
      <c r="E179" t="s">
        <v>79</v>
      </c>
      <c r="F179" t="s">
        <v>1274</v>
      </c>
      <c r="G179" t="s">
        <v>1653</v>
      </c>
      <c r="H179" t="n">
        <v>39.790877283606</v>
      </c>
      <c r="I179" t="n">
        <v>-104.977106223916</v>
      </c>
      <c r="J179" t="s">
        <v>35</v>
      </c>
      <c r="K179" t="s">
        <v>133</v>
      </c>
      <c r="L179"/>
      <c r="M179" t="n">
        <v>1965</v>
      </c>
      <c r="N179" t="n">
        <v>1980</v>
      </c>
      <c r="O179" t="s">
        <v>255</v>
      </c>
      <c r="P179" t="n">
        <v>7</v>
      </c>
      <c r="Q179" t="n">
        <v>3</v>
      </c>
      <c r="R179" t="n">
        <v>1</v>
      </c>
      <c r="S179" t="n">
        <v>1953</v>
      </c>
      <c r="T179" t="s">
        <v>6576</v>
      </c>
      <c r="U179" t="s">
        <v>6577</v>
      </c>
      <c r="V179" t="s">
        <v>74</v>
      </c>
      <c r="W179" t="s">
        <v>6578</v>
      </c>
      <c r="X179"/>
      <c r="Y179"/>
      <c r="Z179"/>
      <c r="AA179"/>
      <c r="AB179" t="s">
        <v>6579</v>
      </c>
      <c r="AC179" t="n">
        <v>179</v>
      </c>
      <c r="AD179" t="s">
        <v>6580</v>
      </c>
      <c r="AE179" t="n">
        <v>152</v>
      </c>
      <c r="AF179" t="s">
        <v>6581</v>
      </c>
      <c r="AG179" t="n">
        <v>175</v>
      </c>
    </row>
    <row r="180">
      <c r="A180" t="s">
        <v>6582</v>
      </c>
      <c r="B180" t="s">
        <v>26</v>
      </c>
      <c r="C180" t="s">
        <v>65</v>
      </c>
      <c r="D180" t="s">
        <v>6583</v>
      </c>
      <c r="E180" t="s">
        <v>79</v>
      </c>
      <c r="F180" t="s">
        <v>1274</v>
      </c>
      <c r="G180"/>
      <c r="H180" t="n">
        <v>39.7440542827286</v>
      </c>
      <c r="I180" t="n">
        <v>-104.995372465317</v>
      </c>
      <c r="J180" t="s">
        <v>35</v>
      </c>
      <c r="K180" t="s">
        <v>6584</v>
      </c>
      <c r="L180"/>
      <c r="M180" t="n">
        <v>1965</v>
      </c>
      <c r="N180" t="n">
        <v>1973</v>
      </c>
      <c r="O180" t="s">
        <v>5902</v>
      </c>
      <c r="P180" t="n">
        <v>5</v>
      </c>
      <c r="Q180" t="n">
        <v>1</v>
      </c>
      <c r="R180" t="n">
        <v>1</v>
      </c>
      <c r="S180" t="n">
        <v>1873</v>
      </c>
      <c r="T180" t="s">
        <v>6585</v>
      </c>
      <c r="U180" t="s">
        <v>6586</v>
      </c>
      <c r="V180" t="s">
        <v>74</v>
      </c>
      <c r="W180" t="s">
        <v>6587</v>
      </c>
      <c r="X180"/>
      <c r="Y180" t="s">
        <v>6588</v>
      </c>
      <c r="Z180"/>
      <c r="AA180" t="s">
        <v>6589</v>
      </c>
      <c r="AB180" t="s">
        <v>6590</v>
      </c>
      <c r="AC180" t="n">
        <v>8</v>
      </c>
      <c r="AD180"/>
      <c r="AE180"/>
      <c r="AF180" t="s">
        <v>1394</v>
      </c>
      <c r="AG180" t="n">
        <v>35</v>
      </c>
    </row>
    <row r="181">
      <c r="A181" t="s">
        <v>6591</v>
      </c>
      <c r="B181" t="s">
        <v>26</v>
      </c>
      <c r="C181" t="s">
        <v>65</v>
      </c>
      <c r="D181" t="s">
        <v>6592</v>
      </c>
      <c r="E181" t="s">
        <v>79</v>
      </c>
      <c r="F181" t="s">
        <v>1274</v>
      </c>
      <c r="G181"/>
      <c r="H181" t="n">
        <v>39.7456030340975</v>
      </c>
      <c r="I181" t="n">
        <v>-105.003210151811</v>
      </c>
      <c r="J181" t="s">
        <v>35</v>
      </c>
      <c r="K181" t="s">
        <v>141</v>
      </c>
      <c r="L181"/>
      <c r="M181" t="n">
        <v>1965</v>
      </c>
      <c r="N181" t="n">
        <v>1968</v>
      </c>
      <c r="O181" t="s">
        <v>1375</v>
      </c>
      <c r="P181" t="n">
        <v>3</v>
      </c>
      <c r="Q181" t="n">
        <v>3</v>
      </c>
      <c r="R181" t="n">
        <v>2</v>
      </c>
      <c r="S181" t="n">
        <v>1915</v>
      </c>
      <c r="T181" t="s">
        <v>6593</v>
      </c>
      <c r="U181" t="s">
        <v>6594</v>
      </c>
      <c r="V181" t="s">
        <v>74</v>
      </c>
      <c r="W181" t="s">
        <v>6595</v>
      </c>
      <c r="X181"/>
      <c r="Y181"/>
      <c r="Z181"/>
      <c r="AA181" t="s">
        <v>6596</v>
      </c>
      <c r="AB181" t="s">
        <v>1319</v>
      </c>
      <c r="AC181" t="n">
        <v>60</v>
      </c>
      <c r="AD181"/>
      <c r="AE181"/>
      <c r="AF181" t="s">
        <v>6597</v>
      </c>
      <c r="AG181" t="n">
        <v>104</v>
      </c>
    </row>
    <row r="182">
      <c r="A182" t="s">
        <v>6598</v>
      </c>
      <c r="B182" t="s">
        <v>26</v>
      </c>
      <c r="C182" t="s">
        <v>65</v>
      </c>
      <c r="D182" t="s">
        <v>6599</v>
      </c>
      <c r="E182" t="s">
        <v>79</v>
      </c>
      <c r="F182" t="s">
        <v>1274</v>
      </c>
      <c r="G182"/>
      <c r="H182" t="n">
        <v>39.7536982207267</v>
      </c>
      <c r="I182" t="n">
        <v>-104.989877469696</v>
      </c>
      <c r="J182" t="s">
        <v>35</v>
      </c>
      <c r="K182" t="s">
        <v>141</v>
      </c>
      <c r="L182"/>
      <c r="M182" t="n">
        <v>1965</v>
      </c>
      <c r="N182" t="n">
        <v>1980</v>
      </c>
      <c r="O182" t="s">
        <v>1645</v>
      </c>
      <c r="P182" t="n">
        <v>7</v>
      </c>
      <c r="Q182" t="n">
        <v>9</v>
      </c>
      <c r="R182" t="n">
        <v>2</v>
      </c>
      <c r="S182" t="n">
        <v>1880</v>
      </c>
      <c r="T182" t="s">
        <v>6600</v>
      </c>
      <c r="U182" t="s">
        <v>6601</v>
      </c>
      <c r="V182" t="s">
        <v>74</v>
      </c>
      <c r="W182" t="s">
        <v>6602</v>
      </c>
      <c r="X182"/>
      <c r="Y182"/>
      <c r="Z182"/>
      <c r="AA182" t="s">
        <v>6603</v>
      </c>
      <c r="AB182" t="s">
        <v>1292</v>
      </c>
      <c r="AC182" t="n">
        <v>17</v>
      </c>
      <c r="AD182"/>
      <c r="AE182"/>
      <c r="AF182" t="s">
        <v>6604</v>
      </c>
      <c r="AG182" t="n">
        <v>110</v>
      </c>
    </row>
    <row r="183">
      <c r="A183" t="s">
        <v>6605</v>
      </c>
      <c r="B183" t="s">
        <v>26</v>
      </c>
      <c r="C183" t="s">
        <v>65</v>
      </c>
      <c r="D183" t="s">
        <v>6606</v>
      </c>
      <c r="E183" t="s">
        <v>79</v>
      </c>
      <c r="F183" t="s">
        <v>1274</v>
      </c>
      <c r="G183" t="s">
        <v>1653</v>
      </c>
      <c r="H183" t="n">
        <v>39.776598</v>
      </c>
      <c r="I183" t="n">
        <v>-104.993641</v>
      </c>
      <c r="J183" t="s">
        <v>35</v>
      </c>
      <c r="K183" t="s">
        <v>141</v>
      </c>
      <c r="L183"/>
      <c r="M183" t="n">
        <v>1965</v>
      </c>
      <c r="N183" t="n">
        <v>1988</v>
      </c>
      <c r="O183" t="s">
        <v>6607</v>
      </c>
      <c r="P183" t="n">
        <v>8</v>
      </c>
      <c r="Q183" t="n">
        <v>1</v>
      </c>
      <c r="R183" t="n">
        <v>1</v>
      </c>
      <c r="S183" t="n">
        <v>1977</v>
      </c>
      <c r="T183" t="s">
        <v>6608</v>
      </c>
      <c r="U183" t="s">
        <v>6609</v>
      </c>
      <c r="V183" t="s">
        <v>74</v>
      </c>
      <c r="W183" t="s">
        <v>6610</v>
      </c>
      <c r="X183"/>
      <c r="Y183" t="s">
        <v>6611</v>
      </c>
      <c r="Z183"/>
      <c r="AA183"/>
      <c r="AB183" t="s">
        <v>6612</v>
      </c>
      <c r="AC183" t="n">
        <v>204</v>
      </c>
      <c r="AD183"/>
      <c r="AE183"/>
      <c r="AF183" t="s">
        <v>6613</v>
      </c>
      <c r="AG183" t="n">
        <v>4</v>
      </c>
    </row>
    <row r="184">
      <c r="A184" t="s">
        <v>6614</v>
      </c>
      <c r="B184" t="s">
        <v>26</v>
      </c>
      <c r="C184" t="s">
        <v>24</v>
      </c>
      <c r="D184" t="s">
        <v>6615</v>
      </c>
      <c r="E184" t="s">
        <v>79</v>
      </c>
      <c r="F184" t="s">
        <v>1274</v>
      </c>
      <c r="G184"/>
      <c r="H184" t="n">
        <v>39.7782498160459</v>
      </c>
      <c r="I184" t="n">
        <v>-104.982431203855</v>
      </c>
      <c r="J184" t="s">
        <v>4109</v>
      </c>
      <c r="K184" t="s">
        <v>70</v>
      </c>
      <c r="L184"/>
      <c r="M184" t="n">
        <v>1965</v>
      </c>
      <c r="N184" t="n">
        <v>1965</v>
      </c>
      <c r="O184" t="s">
        <v>1275</v>
      </c>
      <c r="P184" t="n">
        <v>1</v>
      </c>
      <c r="Q184" t="n">
        <v>1</v>
      </c>
      <c r="R184" t="n">
        <v>1</v>
      </c>
      <c r="S184"/>
      <c r="T184" t="s">
        <v>6616</v>
      </c>
      <c r="U184" t="s">
        <v>6617</v>
      </c>
      <c r="V184" t="s">
        <v>74</v>
      </c>
      <c r="W184" t="s">
        <v>6578</v>
      </c>
      <c r="X184"/>
      <c r="Y184"/>
      <c r="Z184"/>
      <c r="AA184"/>
      <c r="AB184" t="s">
        <v>6618</v>
      </c>
      <c r="AC184" t="n">
        <v>249</v>
      </c>
      <c r="AD184"/>
      <c r="AE184"/>
      <c r="AF184" t="s">
        <v>6619</v>
      </c>
      <c r="AG184" t="n">
        <v>171</v>
      </c>
    </row>
    <row r="185">
      <c r="A185" t="s">
        <v>6620</v>
      </c>
      <c r="B185" t="s">
        <v>26</v>
      </c>
      <c r="C185" t="s">
        <v>24</v>
      </c>
      <c r="D185" t="s">
        <v>6621</v>
      </c>
      <c r="E185" t="s">
        <v>79</v>
      </c>
      <c r="F185" t="s">
        <v>1274</v>
      </c>
      <c r="G185"/>
      <c r="H185" t="n">
        <v>39.745861</v>
      </c>
      <c r="I185" t="n">
        <v>-105.002624</v>
      </c>
      <c r="J185" t="s">
        <v>4109</v>
      </c>
      <c r="K185" t="s">
        <v>6622</v>
      </c>
      <c r="L185"/>
      <c r="M185" t="n">
        <v>1965</v>
      </c>
      <c r="N185" t="n">
        <v>1980</v>
      </c>
      <c r="O185" t="s">
        <v>1613</v>
      </c>
      <c r="P185" t="n">
        <v>8</v>
      </c>
      <c r="Q185" t="n">
        <v>6</v>
      </c>
      <c r="R185" t="n">
        <v>2</v>
      </c>
      <c r="S185" t="n">
        <v>1926</v>
      </c>
      <c r="T185" t="s">
        <v>6623</v>
      </c>
      <c r="U185" t="s">
        <v>6624</v>
      </c>
      <c r="V185" t="s">
        <v>74</v>
      </c>
      <c r="W185" t="s">
        <v>6625</v>
      </c>
      <c r="X185"/>
      <c r="Y185" t="s">
        <v>6626</v>
      </c>
      <c r="Z185"/>
      <c r="AA185" t="s">
        <v>6627</v>
      </c>
      <c r="AB185" t="s">
        <v>1319</v>
      </c>
      <c r="AC185" t="n">
        <v>3</v>
      </c>
      <c r="AD185"/>
      <c r="AE185"/>
      <c r="AF185" t="s">
        <v>6597</v>
      </c>
      <c r="AG185" t="n">
        <v>162</v>
      </c>
    </row>
    <row r="186">
      <c r="A186" t="s">
        <v>6628</v>
      </c>
      <c r="B186" t="s">
        <v>26</v>
      </c>
      <c r="C186" t="s">
        <v>25</v>
      </c>
      <c r="D186" t="s">
        <v>6629</v>
      </c>
      <c r="E186" t="s">
        <v>79</v>
      </c>
      <c r="F186" t="s">
        <v>1274</v>
      </c>
      <c r="G186"/>
      <c r="H186" t="n">
        <v>39.745861</v>
      </c>
      <c r="I186" t="n">
        <v>-105.018955</v>
      </c>
      <c r="J186" t="s">
        <v>4109</v>
      </c>
      <c r="K186" t="s">
        <v>70</v>
      </c>
      <c r="L186"/>
      <c r="M186" t="n">
        <v>1965</v>
      </c>
      <c r="N186" t="n">
        <v>1974</v>
      </c>
      <c r="O186" t="s">
        <v>4172</v>
      </c>
      <c r="P186" t="n">
        <v>5</v>
      </c>
      <c r="Q186" t="n">
        <v>3</v>
      </c>
      <c r="R186" t="n">
        <v>1</v>
      </c>
      <c r="S186" t="n">
        <v>1920</v>
      </c>
      <c r="T186" t="s">
        <v>6630</v>
      </c>
      <c r="U186" t="s">
        <v>6631</v>
      </c>
      <c r="V186" t="s">
        <v>4175</v>
      </c>
      <c r="W186" t="s">
        <v>6632</v>
      </c>
      <c r="X186"/>
      <c r="Y186" t="s">
        <v>6633</v>
      </c>
      <c r="Z186"/>
      <c r="AA186" t="s">
        <v>6634</v>
      </c>
      <c r="AB186" t="s">
        <v>6635</v>
      </c>
      <c r="AC186" t="n">
        <v>15</v>
      </c>
      <c r="AD186"/>
      <c r="AE186"/>
      <c r="AF186" t="s">
        <v>6636</v>
      </c>
      <c r="AG186" t="n">
        <v>59</v>
      </c>
    </row>
    <row r="187">
      <c r="A187" t="s">
        <v>6637</v>
      </c>
      <c r="B187" t="s">
        <v>26</v>
      </c>
      <c r="C187" t="s">
        <v>65</v>
      </c>
      <c r="D187" t="s">
        <v>6638</v>
      </c>
      <c r="E187" t="s">
        <v>79</v>
      </c>
      <c r="F187" t="s">
        <v>1274</v>
      </c>
      <c r="G187" t="s">
        <v>1653</v>
      </c>
      <c r="H187" t="n">
        <v>39.7892175766545</v>
      </c>
      <c r="I187" t="n">
        <v>-104.981125992322</v>
      </c>
      <c r="J187" t="s">
        <v>35</v>
      </c>
      <c r="K187" t="s">
        <v>1041</v>
      </c>
      <c r="L187"/>
      <c r="M187" t="n">
        <v>1965</v>
      </c>
      <c r="N187" t="n">
        <v>1990</v>
      </c>
      <c r="O187" t="s">
        <v>6639</v>
      </c>
      <c r="P187" t="n">
        <v>3</v>
      </c>
      <c r="Q187" t="n">
        <v>2</v>
      </c>
      <c r="R187" t="n">
        <v>2</v>
      </c>
      <c r="S187" t="n">
        <v>1899</v>
      </c>
      <c r="T187" t="s">
        <v>6640</v>
      </c>
      <c r="U187" t="s">
        <v>6641</v>
      </c>
      <c r="V187" t="s">
        <v>74</v>
      </c>
      <c r="W187" t="s">
        <v>6642</v>
      </c>
      <c r="X187" t="s">
        <v>6643</v>
      </c>
      <c r="Y187" t="s">
        <v>6644</v>
      </c>
      <c r="Z187"/>
      <c r="AA187" t="s">
        <v>6645</v>
      </c>
      <c r="AB187" t="s">
        <v>6580</v>
      </c>
      <c r="AC187" t="n">
        <v>68</v>
      </c>
      <c r="AD187" t="s">
        <v>6646</v>
      </c>
      <c r="AE187" t="n">
        <v>66</v>
      </c>
      <c r="AF187" t="s">
        <v>6647</v>
      </c>
      <c r="AG187" t="n">
        <v>18</v>
      </c>
    </row>
    <row r="188">
      <c r="A188" t="s">
        <v>6648</v>
      </c>
      <c r="B188" t="s">
        <v>26</v>
      </c>
      <c r="C188" t="s">
        <v>65</v>
      </c>
      <c r="D188" t="s">
        <v>6649</v>
      </c>
      <c r="E188" t="s">
        <v>79</v>
      </c>
      <c r="F188" t="s">
        <v>1274</v>
      </c>
      <c r="G188" t="s">
        <v>1653</v>
      </c>
      <c r="H188" t="n">
        <v>39.7747845767531</v>
      </c>
      <c r="I188" t="n">
        <v>-104.994842644607</v>
      </c>
      <c r="J188" t="s">
        <v>35</v>
      </c>
      <c r="K188" t="s">
        <v>201</v>
      </c>
      <c r="L188"/>
      <c r="M188" t="n">
        <v>1965</v>
      </c>
      <c r="N188" t="n">
        <v>1990</v>
      </c>
      <c r="O188" t="s">
        <v>6650</v>
      </c>
      <c r="P188" t="n">
        <v>12</v>
      </c>
      <c r="Q188" t="n">
        <v>5</v>
      </c>
      <c r="R188" t="n">
        <v>4</v>
      </c>
      <c r="S188" t="n">
        <v>1947</v>
      </c>
      <c r="T188" t="s">
        <v>6651</v>
      </c>
      <c r="U188" t="s">
        <v>6652</v>
      </c>
      <c r="V188" t="s">
        <v>74</v>
      </c>
      <c r="W188" t="s">
        <v>6653</v>
      </c>
      <c r="X188"/>
      <c r="Y188" t="s">
        <v>6654</v>
      </c>
      <c r="Z188"/>
      <c r="AA188"/>
      <c r="AB188" t="s">
        <v>6655</v>
      </c>
      <c r="AC188" t="n">
        <v>7</v>
      </c>
      <c r="AD188"/>
      <c r="AE188"/>
      <c r="AF188" t="s">
        <v>6656</v>
      </c>
      <c r="AG188" t="n">
        <v>9</v>
      </c>
    </row>
    <row r="189">
      <c r="A189" t="s">
        <v>6657</v>
      </c>
      <c r="B189" t="s">
        <v>26</v>
      </c>
      <c r="C189" t="s">
        <v>65</v>
      </c>
      <c r="D189" t="s">
        <v>6658</v>
      </c>
      <c r="E189" t="s">
        <v>79</v>
      </c>
      <c r="F189" t="s">
        <v>1274</v>
      </c>
      <c r="G189"/>
      <c r="H189" t="n">
        <v>39.7352875925019</v>
      </c>
      <c r="I189" t="n">
        <v>-105.007682347961</v>
      </c>
      <c r="J189" t="s">
        <v>35</v>
      </c>
      <c r="K189" t="s">
        <v>133</v>
      </c>
      <c r="L189"/>
      <c r="M189" t="n">
        <v>1965</v>
      </c>
      <c r="N189" t="n">
        <v>1988</v>
      </c>
      <c r="O189" t="s">
        <v>1275</v>
      </c>
      <c r="P189" t="n">
        <v>3</v>
      </c>
      <c r="Q189" t="n">
        <v>2</v>
      </c>
      <c r="R189" t="n">
        <v>1</v>
      </c>
      <c r="S189" t="n">
        <v>1952</v>
      </c>
      <c r="T189" t="s">
        <v>6659</v>
      </c>
      <c r="U189" t="s">
        <v>6660</v>
      </c>
      <c r="V189" t="s">
        <v>74</v>
      </c>
      <c r="W189" t="s">
        <v>6661</v>
      </c>
      <c r="X189" t="s">
        <v>6662</v>
      </c>
      <c r="Y189" t="s">
        <v>6663</v>
      </c>
      <c r="Z189"/>
      <c r="AA189" t="s">
        <v>6664</v>
      </c>
      <c r="AB189" t="s">
        <v>6665</v>
      </c>
      <c r="AC189" t="n">
        <v>24</v>
      </c>
      <c r="AD189" t="s">
        <v>6666</v>
      </c>
      <c r="AE189" t="n">
        <v>76</v>
      </c>
      <c r="AF189" t="s">
        <v>6667</v>
      </c>
      <c r="AG189" t="n">
        <v>8</v>
      </c>
    </row>
    <row r="190">
      <c r="A190" t="s">
        <v>6668</v>
      </c>
      <c r="B190" t="s">
        <v>26</v>
      </c>
      <c r="C190" t="s">
        <v>65</v>
      </c>
      <c r="D190" t="s">
        <v>6669</v>
      </c>
      <c r="E190" t="s">
        <v>79</v>
      </c>
      <c r="F190" t="s">
        <v>1274</v>
      </c>
      <c r="G190"/>
      <c r="H190" t="n">
        <v>39.7763161812805</v>
      </c>
      <c r="I190" t="n">
        <v>-104.957156</v>
      </c>
      <c r="J190" t="s">
        <v>35</v>
      </c>
      <c r="K190" t="s">
        <v>527</v>
      </c>
      <c r="L190"/>
      <c r="M190" t="n">
        <v>1965</v>
      </c>
      <c r="N190" t="n">
        <v>1983</v>
      </c>
      <c r="O190" t="s">
        <v>264</v>
      </c>
      <c r="P190" t="n">
        <v>5</v>
      </c>
      <c r="Q190" t="n">
        <v>4</v>
      </c>
      <c r="R190" t="n">
        <v>2</v>
      </c>
      <c r="S190" t="n">
        <v>1953</v>
      </c>
      <c r="T190" t="s">
        <v>6670</v>
      </c>
      <c r="U190" t="s">
        <v>6671</v>
      </c>
      <c r="V190" t="s">
        <v>74</v>
      </c>
      <c r="W190" t="s">
        <v>6610</v>
      </c>
      <c r="X190"/>
      <c r="Y190"/>
      <c r="Z190"/>
      <c r="AA190"/>
      <c r="AB190"/>
      <c r="AC190"/>
      <c r="AD190"/>
      <c r="AE190"/>
      <c r="AF190" t="s">
        <v>6672</v>
      </c>
      <c r="AG190" t="n">
        <v>71</v>
      </c>
    </row>
    <row r="191">
      <c r="A191" t="s">
        <v>6673</v>
      </c>
      <c r="B191" t="s">
        <v>26</v>
      </c>
      <c r="C191" t="s">
        <v>65</v>
      </c>
      <c r="D191" t="s">
        <v>6674</v>
      </c>
      <c r="E191" t="s">
        <v>79</v>
      </c>
      <c r="F191" t="s">
        <v>1274</v>
      </c>
      <c r="G191"/>
      <c r="H191" t="n">
        <v>39.7093412505657</v>
      </c>
      <c r="I191" t="n">
        <v>-104.991142613657</v>
      </c>
      <c r="J191" t="s">
        <v>35</v>
      </c>
      <c r="K191" t="s">
        <v>1639</v>
      </c>
      <c r="L191"/>
      <c r="M191" t="n">
        <v>1965</v>
      </c>
      <c r="N191" t="n">
        <v>1992</v>
      </c>
      <c r="O191" t="s">
        <v>6675</v>
      </c>
      <c r="P191" t="n">
        <v>5</v>
      </c>
      <c r="Q191" t="n">
        <v>5</v>
      </c>
      <c r="R191" t="n">
        <v>4</v>
      </c>
      <c r="S191" t="n">
        <v>1965</v>
      </c>
      <c r="T191" t="s">
        <v>6676</v>
      </c>
      <c r="U191" t="s">
        <v>6677</v>
      </c>
      <c r="V191" t="s">
        <v>74</v>
      </c>
      <c r="W191" t="s">
        <v>6678</v>
      </c>
      <c r="X191"/>
      <c r="Y191" t="s">
        <v>6679</v>
      </c>
      <c r="Z191"/>
      <c r="AA191" t="s">
        <v>6680</v>
      </c>
      <c r="AB191" t="s">
        <v>6681</v>
      </c>
      <c r="AC191" t="n">
        <v>232</v>
      </c>
      <c r="AD191" t="s">
        <v>2094</v>
      </c>
      <c r="AE191" t="n">
        <v>124</v>
      </c>
      <c r="AF191" t="s">
        <v>2095</v>
      </c>
      <c r="AG191" t="n">
        <v>2</v>
      </c>
    </row>
    <row r="192">
      <c r="A192" t="s">
        <v>6682</v>
      </c>
      <c r="B192" t="s">
        <v>26</v>
      </c>
      <c r="C192" t="s">
        <v>65</v>
      </c>
      <c r="D192" t="s">
        <v>6683</v>
      </c>
      <c r="E192" t="s">
        <v>79</v>
      </c>
      <c r="F192" t="s">
        <v>1274</v>
      </c>
      <c r="G192"/>
      <c r="H192" t="n">
        <v>39.7549772607635</v>
      </c>
      <c r="I192" t="n">
        <v>-104.984751206032</v>
      </c>
      <c r="J192" t="s">
        <v>35</v>
      </c>
      <c r="K192" t="s">
        <v>270</v>
      </c>
      <c r="L192"/>
      <c r="M192" t="n">
        <v>1965</v>
      </c>
      <c r="N192" t="n">
        <v>1990</v>
      </c>
      <c r="O192" t="s">
        <v>325</v>
      </c>
      <c r="P192" t="n">
        <v>11</v>
      </c>
      <c r="Q192" t="n">
        <v>3</v>
      </c>
      <c r="R192" t="n">
        <v>1</v>
      </c>
      <c r="S192" t="n">
        <v>1932</v>
      </c>
      <c r="T192" t="s">
        <v>6684</v>
      </c>
      <c r="U192" t="s">
        <v>6685</v>
      </c>
      <c r="V192" t="s">
        <v>74</v>
      </c>
      <c r="W192" t="s">
        <v>6686</v>
      </c>
      <c r="X192"/>
      <c r="Y192"/>
      <c r="Z192"/>
      <c r="AA192"/>
      <c r="AB192" t="s">
        <v>6687</v>
      </c>
      <c r="AC192" t="n">
        <v>24</v>
      </c>
      <c r="AD192"/>
      <c r="AE192"/>
      <c r="AF192" t="s">
        <v>6688</v>
      </c>
      <c r="AG192" t="n">
        <v>46</v>
      </c>
    </row>
    <row r="193">
      <c r="A193" t="s">
        <v>6689</v>
      </c>
      <c r="B193" t="s">
        <v>26</v>
      </c>
      <c r="C193" t="s">
        <v>65</v>
      </c>
      <c r="D193" t="s">
        <v>6690</v>
      </c>
      <c r="E193" t="s">
        <v>79</v>
      </c>
      <c r="F193" t="s">
        <v>1274</v>
      </c>
      <c r="G193"/>
      <c r="H193" t="n">
        <v>39.761768</v>
      </c>
      <c r="I193" t="n">
        <v>-104.98467</v>
      </c>
      <c r="J193" t="s">
        <v>35</v>
      </c>
      <c r="K193" t="s">
        <v>120</v>
      </c>
      <c r="L193"/>
      <c r="M193" t="n">
        <v>1965</v>
      </c>
      <c r="N193" t="n">
        <v>1990</v>
      </c>
      <c r="O193" t="s">
        <v>6691</v>
      </c>
      <c r="P193" t="n">
        <v>10</v>
      </c>
      <c r="Q193" t="n">
        <v>1</v>
      </c>
      <c r="R193" t="n">
        <v>1</v>
      </c>
      <c r="S193" t="n">
        <v>1921</v>
      </c>
      <c r="T193" t="s">
        <v>6692</v>
      </c>
      <c r="U193" t="s">
        <v>6693</v>
      </c>
      <c r="V193" t="s">
        <v>74</v>
      </c>
      <c r="W193" t="s">
        <v>6694</v>
      </c>
      <c r="X193" t="s">
        <v>6695</v>
      </c>
      <c r="Y193" t="s">
        <v>6696</v>
      </c>
      <c r="Z193"/>
      <c r="AA193" t="s">
        <v>6697</v>
      </c>
      <c r="AB193" t="s">
        <v>6698</v>
      </c>
      <c r="AC193" t="n">
        <v>12</v>
      </c>
      <c r="AD193" t="s">
        <v>6699</v>
      </c>
      <c r="AE193" t="n">
        <v>5</v>
      </c>
      <c r="AF193" t="s">
        <v>6700</v>
      </c>
      <c r="AG193" t="n">
        <v>35</v>
      </c>
    </row>
    <row r="194">
      <c r="A194" t="s">
        <v>6701</v>
      </c>
      <c r="B194" t="s">
        <v>26</v>
      </c>
      <c r="C194" t="s">
        <v>65</v>
      </c>
      <c r="D194" t="s">
        <v>6702</v>
      </c>
      <c r="E194" t="s">
        <v>79</v>
      </c>
      <c r="F194" t="s">
        <v>1274</v>
      </c>
      <c r="G194"/>
      <c r="H194" t="n">
        <v>39.67854</v>
      </c>
      <c r="I194" t="n">
        <v>-105.003341058823</v>
      </c>
      <c r="J194" t="s">
        <v>35</v>
      </c>
      <c r="K194" t="s">
        <v>6703</v>
      </c>
      <c r="L194"/>
      <c r="M194" t="n">
        <v>1965</v>
      </c>
      <c r="N194" t="n">
        <v>1992</v>
      </c>
      <c r="O194" t="s">
        <v>6704</v>
      </c>
      <c r="P194" t="n">
        <v>10</v>
      </c>
      <c r="Q194" t="n">
        <v>9</v>
      </c>
      <c r="R194" t="n">
        <v>8</v>
      </c>
      <c r="S194" t="n">
        <v>1892</v>
      </c>
      <c r="T194" t="s">
        <v>6705</v>
      </c>
      <c r="U194" t="s">
        <v>6706</v>
      </c>
      <c r="V194" t="s">
        <v>74</v>
      </c>
      <c r="W194" t="s">
        <v>6707</v>
      </c>
      <c r="X194"/>
      <c r="Y194"/>
      <c r="Z194"/>
      <c r="AA194" t="s">
        <v>6708</v>
      </c>
      <c r="AB194" t="s">
        <v>6709</v>
      </c>
      <c r="AC194" t="n">
        <v>32</v>
      </c>
      <c r="AD194"/>
      <c r="AE194"/>
      <c r="AF194" t="s">
        <v>6710</v>
      </c>
      <c r="AG194" t="n">
        <v>200</v>
      </c>
    </row>
    <row r="195">
      <c r="A195" t="s">
        <v>6711</v>
      </c>
      <c r="B195" t="s">
        <v>26</v>
      </c>
      <c r="C195" t="s">
        <v>65</v>
      </c>
      <c r="D195" t="s">
        <v>6712</v>
      </c>
      <c r="E195" t="s">
        <v>79</v>
      </c>
      <c r="F195" t="s">
        <v>1274</v>
      </c>
      <c r="G195"/>
      <c r="H195" t="n">
        <v>39.7400176300639</v>
      </c>
      <c r="I195" t="n">
        <v>-105.021001941903</v>
      </c>
      <c r="J195" t="s">
        <v>35</v>
      </c>
      <c r="K195" t="s">
        <v>70</v>
      </c>
      <c r="L195"/>
      <c r="M195" t="n">
        <v>1965</v>
      </c>
      <c r="N195" t="n">
        <v>1980</v>
      </c>
      <c r="O195" t="s">
        <v>1587</v>
      </c>
      <c r="P195" t="n">
        <v>6</v>
      </c>
      <c r="Q195" t="n">
        <v>3</v>
      </c>
      <c r="R195" t="n">
        <v>1</v>
      </c>
      <c r="S195" t="n">
        <v>1907</v>
      </c>
      <c r="T195" t="s">
        <v>6713</v>
      </c>
      <c r="U195" t="s">
        <v>6714</v>
      </c>
      <c r="V195" t="s">
        <v>74</v>
      </c>
      <c r="W195" t="s">
        <v>6715</v>
      </c>
      <c r="X195"/>
      <c r="Y195"/>
      <c r="Z195"/>
      <c r="AA195"/>
      <c r="AB195" t="s">
        <v>6716</v>
      </c>
      <c r="AC195" t="n">
        <v>4</v>
      </c>
      <c r="AD195"/>
      <c r="AE195"/>
      <c r="AF195" t="s">
        <v>6717</v>
      </c>
      <c r="AG195" t="n">
        <v>99</v>
      </c>
    </row>
    <row r="196">
      <c r="A196" t="s">
        <v>6718</v>
      </c>
      <c r="B196" t="s">
        <v>26</v>
      </c>
      <c r="C196" t="s">
        <v>65</v>
      </c>
      <c r="D196" t="s">
        <v>6719</v>
      </c>
      <c r="E196" t="s">
        <v>79</v>
      </c>
      <c r="F196" t="s">
        <v>1274</v>
      </c>
      <c r="G196"/>
      <c r="H196" t="n">
        <v>39.6712385595799</v>
      </c>
      <c r="I196" t="n">
        <v>-104.889857707882</v>
      </c>
      <c r="J196" t="s">
        <v>35</v>
      </c>
      <c r="K196" t="s">
        <v>70</v>
      </c>
      <c r="L196"/>
      <c r="M196" t="n">
        <v>1965</v>
      </c>
      <c r="N196" t="n">
        <v>1965</v>
      </c>
      <c r="O196" t="s">
        <v>1275</v>
      </c>
      <c r="P196" t="n">
        <v>1</v>
      </c>
      <c r="Q196" t="n">
        <v>1</v>
      </c>
      <c r="R196" t="n">
        <v>1</v>
      </c>
      <c r="S196"/>
      <c r="T196" t="s">
        <v>6720</v>
      </c>
      <c r="U196" t="s">
        <v>6721</v>
      </c>
      <c r="V196" t="s">
        <v>74</v>
      </c>
      <c r="W196" t="s">
        <v>6722</v>
      </c>
      <c r="X196"/>
      <c r="Y196"/>
      <c r="Z196"/>
      <c r="AA196" t="s">
        <v>6723</v>
      </c>
      <c r="AB196" t="s">
        <v>6724</v>
      </c>
      <c r="AC196" t="n">
        <v>52</v>
      </c>
      <c r="AD196"/>
      <c r="AE196"/>
      <c r="AF196"/>
      <c r="AG196"/>
    </row>
    <row r="197">
      <c r="A197" t="s">
        <v>6725</v>
      </c>
      <c r="B197" t="s">
        <v>26</v>
      </c>
      <c r="C197" t="s">
        <v>65</v>
      </c>
      <c r="D197" t="s">
        <v>6726</v>
      </c>
      <c r="E197" t="s">
        <v>79</v>
      </c>
      <c r="F197" t="s">
        <v>1274</v>
      </c>
      <c r="G197"/>
      <c r="H197" t="n">
        <v>39.7004607353629</v>
      </c>
      <c r="I197" t="n">
        <v>-104.987475667404</v>
      </c>
      <c r="J197" t="s">
        <v>35</v>
      </c>
      <c r="K197" t="s">
        <v>70</v>
      </c>
      <c r="L197"/>
      <c r="M197" t="n">
        <v>1965</v>
      </c>
      <c r="N197" t="n">
        <v>1977</v>
      </c>
      <c r="O197" t="s">
        <v>6727</v>
      </c>
      <c r="P197" t="n">
        <v>6</v>
      </c>
      <c r="Q197" t="n">
        <v>2</v>
      </c>
      <c r="R197" t="n">
        <v>2</v>
      </c>
      <c r="S197" t="n">
        <v>1889</v>
      </c>
      <c r="T197" t="s">
        <v>6728</v>
      </c>
      <c r="U197" t="s">
        <v>6729</v>
      </c>
      <c r="V197" t="s">
        <v>74</v>
      </c>
      <c r="W197" t="s">
        <v>6730</v>
      </c>
      <c r="X197" t="s">
        <v>6731</v>
      </c>
      <c r="Y197" t="s">
        <v>6732</v>
      </c>
      <c r="Z197"/>
      <c r="AA197"/>
      <c r="AB197" t="s">
        <v>6733</v>
      </c>
      <c r="AC197" t="n">
        <v>24</v>
      </c>
      <c r="AD197" t="s">
        <v>6734</v>
      </c>
      <c r="AE197" t="n">
        <v>89</v>
      </c>
      <c r="AF197" t="s">
        <v>6735</v>
      </c>
      <c r="AG197" t="n">
        <v>5</v>
      </c>
    </row>
    <row r="198">
      <c r="A198" t="s">
        <v>6736</v>
      </c>
      <c r="B198" t="s">
        <v>26</v>
      </c>
      <c r="C198" t="s">
        <v>65</v>
      </c>
      <c r="D198" t="s">
        <v>6737</v>
      </c>
      <c r="E198" t="s">
        <v>79</v>
      </c>
      <c r="F198" t="s">
        <v>1274</v>
      </c>
      <c r="G198"/>
      <c r="H198" t="n">
        <v>39.778318</v>
      </c>
      <c r="I198" t="n">
        <v>-104.981295</v>
      </c>
      <c r="J198" t="s">
        <v>35</v>
      </c>
      <c r="K198" t="s">
        <v>70</v>
      </c>
      <c r="L198"/>
      <c r="M198" t="n">
        <v>1965</v>
      </c>
      <c r="N198" t="n">
        <v>1990</v>
      </c>
      <c r="O198" t="s">
        <v>6738</v>
      </c>
      <c r="P198" t="n">
        <v>12</v>
      </c>
      <c r="Q198" t="n">
        <v>5</v>
      </c>
      <c r="R198" t="n">
        <v>4</v>
      </c>
      <c r="S198" t="n">
        <v>1947</v>
      </c>
      <c r="T198" t="s">
        <v>6739</v>
      </c>
      <c r="U198" t="s">
        <v>6740</v>
      </c>
      <c r="V198" t="s">
        <v>74</v>
      </c>
      <c r="W198" t="s">
        <v>6578</v>
      </c>
      <c r="X198"/>
      <c r="Y198"/>
      <c r="Z198"/>
      <c r="AA198"/>
      <c r="AB198" t="s">
        <v>6618</v>
      </c>
      <c r="AC198" t="n">
        <v>152</v>
      </c>
      <c r="AD198"/>
      <c r="AE198"/>
      <c r="AF198" t="s">
        <v>6619</v>
      </c>
      <c r="AG198" t="n">
        <v>150</v>
      </c>
    </row>
    <row r="199">
      <c r="A199" t="s">
        <v>6741</v>
      </c>
      <c r="B199" t="s">
        <v>26</v>
      </c>
      <c r="C199" t="s">
        <v>65</v>
      </c>
      <c r="D199" t="s">
        <v>6742</v>
      </c>
      <c r="E199" t="s">
        <v>79</v>
      </c>
      <c r="F199" t="s">
        <v>1274</v>
      </c>
      <c r="G199"/>
      <c r="H199" t="n">
        <v>39.7495481603391</v>
      </c>
      <c r="I199" t="n">
        <v>-105.002186724959</v>
      </c>
      <c r="J199" t="s">
        <v>35</v>
      </c>
      <c r="K199" t="s">
        <v>120</v>
      </c>
      <c r="L199"/>
      <c r="M199" t="n">
        <v>1965</v>
      </c>
      <c r="N199" t="n">
        <v>1977</v>
      </c>
      <c r="O199" t="s">
        <v>121</v>
      </c>
      <c r="P199" t="n">
        <v>7</v>
      </c>
      <c r="Q199" t="n">
        <v>9</v>
      </c>
      <c r="R199" t="n">
        <v>1</v>
      </c>
      <c r="S199" t="n">
        <v>1943</v>
      </c>
      <c r="T199" t="s">
        <v>6743</v>
      </c>
      <c r="U199" t="s">
        <v>6744</v>
      </c>
      <c r="V199" t="s">
        <v>74</v>
      </c>
      <c r="W199" t="s">
        <v>6745</v>
      </c>
      <c r="X199"/>
      <c r="Y199"/>
      <c r="Z199"/>
      <c r="AA199" t="s">
        <v>6746</v>
      </c>
      <c r="AB199" t="s">
        <v>6747</v>
      </c>
      <c r="AC199" t="n">
        <v>61</v>
      </c>
      <c r="AD199" t="s">
        <v>5328</v>
      </c>
      <c r="AE199" t="n">
        <v>194</v>
      </c>
      <c r="AF199" t="s">
        <v>1334</v>
      </c>
      <c r="AG199" t="n">
        <v>105</v>
      </c>
    </row>
    <row r="200">
      <c r="A200" t="s">
        <v>6748</v>
      </c>
      <c r="B200" t="s">
        <v>26</v>
      </c>
      <c r="C200" t="s">
        <v>65</v>
      </c>
      <c r="D200" t="s">
        <v>6749</v>
      </c>
      <c r="E200" t="s">
        <v>79</v>
      </c>
      <c r="F200" t="s">
        <v>1274</v>
      </c>
      <c r="G200" t="s">
        <v>1653</v>
      </c>
      <c r="H200" t="n">
        <v>39.7767993289288</v>
      </c>
      <c r="I200" t="n">
        <v>-104.994826403852</v>
      </c>
      <c r="J200" t="s">
        <v>35</v>
      </c>
      <c r="K200" t="s">
        <v>133</v>
      </c>
      <c r="L200"/>
      <c r="M200" t="n">
        <v>1965</v>
      </c>
      <c r="N200" t="n">
        <v>1980</v>
      </c>
      <c r="O200" t="s">
        <v>127</v>
      </c>
      <c r="P200" t="n">
        <v>5</v>
      </c>
      <c r="Q200" t="n">
        <v>2</v>
      </c>
      <c r="R200" t="n">
        <v>1</v>
      </c>
      <c r="S200" t="n">
        <v>1889</v>
      </c>
      <c r="T200" t="s">
        <v>6750</v>
      </c>
      <c r="U200" t="s">
        <v>6751</v>
      </c>
      <c r="V200" t="s">
        <v>74</v>
      </c>
      <c r="W200" t="s">
        <v>6610</v>
      </c>
      <c r="X200"/>
      <c r="Y200"/>
      <c r="Z200"/>
      <c r="AA200"/>
      <c r="AB200" t="s">
        <v>6752</v>
      </c>
      <c r="AC200" t="n">
        <v>221</v>
      </c>
      <c r="AD200"/>
      <c r="AE200"/>
      <c r="AF200" t="s">
        <v>6613</v>
      </c>
      <c r="AG200" t="n">
        <v>108</v>
      </c>
    </row>
    <row r="201">
      <c r="A201" t="s">
        <v>6753</v>
      </c>
      <c r="B201" t="s">
        <v>26</v>
      </c>
      <c r="C201" t="s">
        <v>24</v>
      </c>
      <c r="D201" t="s">
        <v>6754</v>
      </c>
      <c r="E201" t="s">
        <v>79</v>
      </c>
      <c r="F201" t="s">
        <v>1274</v>
      </c>
      <c r="G201"/>
      <c r="H201" t="n">
        <v>39.7855800560533</v>
      </c>
      <c r="I201" t="n">
        <v>-104.978650251897</v>
      </c>
      <c r="J201" t="s">
        <v>4109</v>
      </c>
      <c r="K201" t="s">
        <v>120</v>
      </c>
      <c r="L201"/>
      <c r="M201" t="n">
        <v>1965</v>
      </c>
      <c r="N201" t="n">
        <v>1965</v>
      </c>
      <c r="O201" t="s">
        <v>1275</v>
      </c>
      <c r="P201" t="n">
        <v>1</v>
      </c>
      <c r="Q201" t="n">
        <v>1</v>
      </c>
      <c r="R201" t="n">
        <v>1</v>
      </c>
      <c r="S201"/>
      <c r="T201" t="s">
        <v>6755</v>
      </c>
      <c r="U201" t="s">
        <v>6756</v>
      </c>
      <c r="V201" t="s">
        <v>74</v>
      </c>
      <c r="W201" t="s">
        <v>6578</v>
      </c>
      <c r="X201" t="s">
        <v>6757</v>
      </c>
      <c r="Y201" t="s">
        <v>6758</v>
      </c>
      <c r="Z201" t="s">
        <v>6759</v>
      </c>
      <c r="AA201" t="s">
        <v>6760</v>
      </c>
      <c r="AB201"/>
      <c r="AC201"/>
      <c r="AD201" t="s">
        <v>6761</v>
      </c>
      <c r="AE201" t="n">
        <v>223</v>
      </c>
      <c r="AF201" t="s">
        <v>6762</v>
      </c>
      <c r="AG201" t="n">
        <v>69</v>
      </c>
    </row>
    <row r="202">
      <c r="A202" t="s">
        <v>6763</v>
      </c>
      <c r="B202" t="s">
        <v>26</v>
      </c>
      <c r="C202" t="s">
        <v>65</v>
      </c>
      <c r="D202" t="s">
        <v>6764</v>
      </c>
      <c r="E202" t="s">
        <v>79</v>
      </c>
      <c r="F202" t="s">
        <v>1274</v>
      </c>
      <c r="G202"/>
      <c r="H202" t="n">
        <v>39.7786251243608</v>
      </c>
      <c r="I202" t="n">
        <v>-104.959398376252</v>
      </c>
      <c r="J202" t="s">
        <v>35</v>
      </c>
      <c r="K202" t="s">
        <v>111</v>
      </c>
      <c r="L202"/>
      <c r="M202" t="n">
        <v>1965</v>
      </c>
      <c r="N202" t="n">
        <v>1983</v>
      </c>
      <c r="O202" t="s">
        <v>6765</v>
      </c>
      <c r="P202" t="n">
        <v>6</v>
      </c>
      <c r="Q202" t="n">
        <v>6</v>
      </c>
      <c r="R202" t="n">
        <v>5</v>
      </c>
      <c r="S202" t="n">
        <v>1867</v>
      </c>
      <c r="T202" t="s">
        <v>6766</v>
      </c>
      <c r="U202" t="s">
        <v>6767</v>
      </c>
      <c r="V202" t="s">
        <v>74</v>
      </c>
      <c r="W202" t="s">
        <v>6610</v>
      </c>
      <c r="X202" t="s">
        <v>6768</v>
      </c>
      <c r="Y202"/>
      <c r="Z202"/>
      <c r="AA202"/>
      <c r="AB202" t="s">
        <v>6769</v>
      </c>
      <c r="AC202" t="n">
        <v>179</v>
      </c>
      <c r="AD202" t="s">
        <v>6770</v>
      </c>
      <c r="AE202" t="n">
        <v>54</v>
      </c>
      <c r="AF202" t="s">
        <v>6771</v>
      </c>
      <c r="AG202" t="n">
        <v>75</v>
      </c>
    </row>
    <row r="203">
      <c r="A203" t="s">
        <v>6772</v>
      </c>
      <c r="B203" t="s">
        <v>26</v>
      </c>
      <c r="C203" t="s">
        <v>65</v>
      </c>
      <c r="D203" t="s">
        <v>6773</v>
      </c>
      <c r="E203" t="s">
        <v>79</v>
      </c>
      <c r="F203" t="s">
        <v>1274</v>
      </c>
      <c r="G203"/>
      <c r="H203" t="n">
        <v>39.6780642834517</v>
      </c>
      <c r="I203" t="n">
        <v>-104.997488412183</v>
      </c>
      <c r="J203" t="s">
        <v>35</v>
      </c>
      <c r="K203" t="s">
        <v>270</v>
      </c>
      <c r="L203" t="s">
        <v>554</v>
      </c>
      <c r="M203" t="n">
        <v>1965</v>
      </c>
      <c r="N203" t="n">
        <v>1990</v>
      </c>
      <c r="O203" t="s">
        <v>6774</v>
      </c>
      <c r="P203" t="n">
        <v>9</v>
      </c>
      <c r="Q203" t="n">
        <v>8</v>
      </c>
      <c r="R203" t="n">
        <v>3</v>
      </c>
      <c r="S203" t="n">
        <v>1931</v>
      </c>
      <c r="T203" t="s">
        <v>6775</v>
      </c>
      <c r="U203" t="s">
        <v>6776</v>
      </c>
      <c r="V203" t="s">
        <v>74</v>
      </c>
      <c r="W203" t="s">
        <v>6777</v>
      </c>
      <c r="X203"/>
      <c r="Y203" t="s">
        <v>6778</v>
      </c>
      <c r="Z203"/>
      <c r="AA203" t="s">
        <v>6779</v>
      </c>
      <c r="AB203" t="s">
        <v>6780</v>
      </c>
      <c r="AC203" t="n">
        <v>52</v>
      </c>
      <c r="AD203"/>
      <c r="AE203"/>
      <c r="AF203" t="s">
        <v>6781</v>
      </c>
      <c r="AG203" t="n">
        <v>31</v>
      </c>
    </row>
    <row r="204">
      <c r="A204" t="s">
        <v>6782</v>
      </c>
      <c r="B204" t="s">
        <v>26</v>
      </c>
      <c r="C204" t="s">
        <v>24</v>
      </c>
      <c r="D204" t="s">
        <v>6783</v>
      </c>
      <c r="E204" t="s">
        <v>79</v>
      </c>
      <c r="F204" t="s">
        <v>1274</v>
      </c>
      <c r="G204"/>
      <c r="H204" t="n">
        <v>39.7315300415715</v>
      </c>
      <c r="I204" t="n">
        <v>-105.021734837768</v>
      </c>
      <c r="J204" t="s">
        <v>4109</v>
      </c>
      <c r="K204" t="s">
        <v>120</v>
      </c>
      <c r="L204"/>
      <c r="M204" t="n">
        <v>1965</v>
      </c>
      <c r="N204" t="n">
        <v>1968</v>
      </c>
      <c r="O204" t="s">
        <v>4299</v>
      </c>
      <c r="P204" t="n">
        <v>3</v>
      </c>
      <c r="Q204" t="n">
        <v>2</v>
      </c>
      <c r="R204" t="n">
        <v>2</v>
      </c>
      <c r="S204" t="n">
        <v>1963</v>
      </c>
      <c r="T204" t="s">
        <v>6784</v>
      </c>
      <c r="U204" t="s">
        <v>6785</v>
      </c>
      <c r="V204" t="s">
        <v>74</v>
      </c>
      <c r="W204" t="s">
        <v>6786</v>
      </c>
      <c r="X204"/>
      <c r="Y204" t="s">
        <v>6787</v>
      </c>
      <c r="Z204" t="s">
        <v>6788</v>
      </c>
      <c r="AA204"/>
      <c r="AB204" t="s">
        <v>6789</v>
      </c>
      <c r="AC204" t="n">
        <v>32</v>
      </c>
      <c r="AD204"/>
      <c r="AE204"/>
      <c r="AF204" t="s">
        <v>6790</v>
      </c>
      <c r="AG204" t="n">
        <v>32</v>
      </c>
    </row>
    <row r="205">
      <c r="A205" t="s">
        <v>6791</v>
      </c>
      <c r="B205" t="s">
        <v>26</v>
      </c>
      <c r="C205" t="s">
        <v>65</v>
      </c>
      <c r="D205" t="s">
        <v>6792</v>
      </c>
      <c r="E205" t="s">
        <v>79</v>
      </c>
      <c r="F205" t="s">
        <v>1274</v>
      </c>
      <c r="G205"/>
      <c r="H205" t="n">
        <v>39.7533409476499</v>
      </c>
      <c r="I205" t="n">
        <v>-104.986844349674</v>
      </c>
      <c r="J205" t="s">
        <v>35</v>
      </c>
      <c r="K205" t="s">
        <v>120</v>
      </c>
      <c r="L205"/>
      <c r="M205" t="n">
        <v>1965</v>
      </c>
      <c r="N205" t="n">
        <v>1968</v>
      </c>
      <c r="O205" t="s">
        <v>1349</v>
      </c>
      <c r="P205" t="n">
        <v>2</v>
      </c>
      <c r="Q205" t="n">
        <v>2</v>
      </c>
      <c r="R205" t="n">
        <v>1</v>
      </c>
      <c r="S205" t="n">
        <v>1937</v>
      </c>
      <c r="T205" t="s">
        <v>6793</v>
      </c>
      <c r="U205" t="s">
        <v>6794</v>
      </c>
      <c r="V205" t="s">
        <v>74</v>
      </c>
      <c r="W205" t="s">
        <v>6540</v>
      </c>
      <c r="X205"/>
      <c r="Y205" t="s">
        <v>6795</v>
      </c>
      <c r="Z205"/>
      <c r="AA205" t="s">
        <v>6796</v>
      </c>
      <c r="AB205" t="s">
        <v>1577</v>
      </c>
      <c r="AC205" t="n">
        <v>95</v>
      </c>
      <c r="AD205"/>
      <c r="AE205"/>
      <c r="AF205" t="s">
        <v>6797</v>
      </c>
      <c r="AG205" t="n">
        <v>5</v>
      </c>
    </row>
    <row r="206">
      <c r="A206" t="s">
        <v>6798</v>
      </c>
      <c r="B206" t="s">
        <v>26</v>
      </c>
      <c r="C206" t="s">
        <v>65</v>
      </c>
      <c r="D206" t="s">
        <v>6799</v>
      </c>
      <c r="E206" t="s">
        <v>79</v>
      </c>
      <c r="F206" t="s">
        <v>1274</v>
      </c>
      <c r="G206"/>
      <c r="H206" t="n">
        <v>39.7837733115117</v>
      </c>
      <c r="I206" t="n">
        <v>-104.959254230065</v>
      </c>
      <c r="J206" t="s">
        <v>35</v>
      </c>
      <c r="K206" t="s">
        <v>141</v>
      </c>
      <c r="L206"/>
      <c r="M206" t="n">
        <v>1965</v>
      </c>
      <c r="N206" t="n">
        <v>1990</v>
      </c>
      <c r="O206" t="s">
        <v>6800</v>
      </c>
      <c r="P206" t="n">
        <v>8</v>
      </c>
      <c r="Q206" t="n">
        <v>4</v>
      </c>
      <c r="R206" t="n">
        <v>4</v>
      </c>
      <c r="S206" t="n">
        <v>1919</v>
      </c>
      <c r="T206" t="s">
        <v>6801</v>
      </c>
      <c r="U206" t="s">
        <v>6802</v>
      </c>
      <c r="V206" t="s">
        <v>74</v>
      </c>
      <c r="W206" t="s">
        <v>6803</v>
      </c>
      <c r="X206" t="s">
        <v>6804</v>
      </c>
      <c r="Y206"/>
      <c r="Z206"/>
      <c r="AA206"/>
      <c r="AB206" t="s">
        <v>6805</v>
      </c>
      <c r="AC206" t="n">
        <v>65</v>
      </c>
      <c r="AD206" t="s">
        <v>6806</v>
      </c>
      <c r="AE206" t="n">
        <v>44</v>
      </c>
      <c r="AF206" t="s">
        <v>6807</v>
      </c>
      <c r="AG206" t="n">
        <v>175</v>
      </c>
    </row>
    <row r="207">
      <c r="A207" t="s">
        <v>6808</v>
      </c>
      <c r="B207" t="s">
        <v>26</v>
      </c>
      <c r="C207" t="s">
        <v>24</v>
      </c>
      <c r="D207" t="s">
        <v>6809</v>
      </c>
      <c r="E207" t="s">
        <v>79</v>
      </c>
      <c r="F207" t="s">
        <v>1274</v>
      </c>
      <c r="G207"/>
      <c r="H207" t="n">
        <v>39.785898</v>
      </c>
      <c r="I207" t="n">
        <v>-104.963517</v>
      </c>
      <c r="J207" t="s">
        <v>4109</v>
      </c>
      <c r="K207" t="s">
        <v>120</v>
      </c>
      <c r="L207"/>
      <c r="M207" t="n">
        <v>1965</v>
      </c>
      <c r="N207" t="n">
        <v>1965</v>
      </c>
      <c r="O207" t="s">
        <v>1275</v>
      </c>
      <c r="P207" t="n">
        <v>1</v>
      </c>
      <c r="Q207" t="n">
        <v>1</v>
      </c>
      <c r="R207" t="n">
        <v>1</v>
      </c>
      <c r="S207"/>
      <c r="T207" t="s">
        <v>6810</v>
      </c>
      <c r="U207" t="s">
        <v>6811</v>
      </c>
      <c r="V207" t="s">
        <v>74</v>
      </c>
      <c r="W207" t="s">
        <v>6812</v>
      </c>
      <c r="X207" t="s">
        <v>6813</v>
      </c>
      <c r="Y207" t="s">
        <v>6814</v>
      </c>
      <c r="Z207"/>
      <c r="AA207" t="s">
        <v>6815</v>
      </c>
      <c r="AB207" t="s">
        <v>6816</v>
      </c>
      <c r="AC207" t="n">
        <v>107</v>
      </c>
      <c r="AD207" t="s">
        <v>6817</v>
      </c>
      <c r="AE207" t="n">
        <v>27</v>
      </c>
      <c r="AF207" t="s">
        <v>6818</v>
      </c>
      <c r="AG207" t="n">
        <v>51</v>
      </c>
    </row>
    <row r="208">
      <c r="A208" t="s">
        <v>6819</v>
      </c>
      <c r="B208" t="s">
        <v>26</v>
      </c>
      <c r="C208" t="s">
        <v>65</v>
      </c>
      <c r="D208" t="s">
        <v>6820</v>
      </c>
      <c r="E208" t="s">
        <v>79</v>
      </c>
      <c r="F208" t="s">
        <v>1274</v>
      </c>
      <c r="G208"/>
      <c r="H208" t="n">
        <v>39.7757439403519</v>
      </c>
      <c r="I208" t="n">
        <v>-104.959413941263</v>
      </c>
      <c r="J208" t="s">
        <v>35</v>
      </c>
      <c r="K208" t="s">
        <v>89</v>
      </c>
      <c r="L208"/>
      <c r="M208" t="n">
        <v>1965</v>
      </c>
      <c r="N208" t="n">
        <v>1965</v>
      </c>
      <c r="O208" t="s">
        <v>1275</v>
      </c>
      <c r="P208" t="n">
        <v>1</v>
      </c>
      <c r="Q208" t="n">
        <v>1</v>
      </c>
      <c r="R208" t="n">
        <v>1</v>
      </c>
      <c r="S208"/>
      <c r="T208" t="s">
        <v>6821</v>
      </c>
      <c r="U208" t="s">
        <v>6822</v>
      </c>
      <c r="V208" t="s">
        <v>74</v>
      </c>
      <c r="W208" t="s">
        <v>6610</v>
      </c>
      <c r="X208"/>
      <c r="Y208" t="s">
        <v>6823</v>
      </c>
      <c r="Z208"/>
      <c r="AA208" t="s">
        <v>6824</v>
      </c>
      <c r="AB208" t="s">
        <v>6825</v>
      </c>
      <c r="AC208" t="n">
        <v>103</v>
      </c>
      <c r="AD208"/>
      <c r="AE208"/>
      <c r="AF208" t="s">
        <v>6826</v>
      </c>
      <c r="AG208" t="n">
        <v>13</v>
      </c>
    </row>
    <row r="209">
      <c r="A209" t="s">
        <v>6827</v>
      </c>
      <c r="B209" t="s">
        <v>26</v>
      </c>
      <c r="C209" t="s">
        <v>25</v>
      </c>
      <c r="D209" t="s">
        <v>6828</v>
      </c>
      <c r="E209" t="s">
        <v>79</v>
      </c>
      <c r="F209" t="s">
        <v>1274</v>
      </c>
      <c r="G209"/>
      <c r="H209" t="n">
        <v>39.743335</v>
      </c>
      <c r="I209" t="n">
        <v>-104.994598</v>
      </c>
      <c r="J209" t="s">
        <v>4109</v>
      </c>
      <c r="K209" t="s">
        <v>120</v>
      </c>
      <c r="L209"/>
      <c r="M209" t="n">
        <v>1965</v>
      </c>
      <c r="N209" t="n">
        <v>1980</v>
      </c>
      <c r="O209" t="s">
        <v>388</v>
      </c>
      <c r="P209" t="n">
        <v>9</v>
      </c>
      <c r="Q209" t="n">
        <v>9</v>
      </c>
      <c r="R209" t="n">
        <v>1</v>
      </c>
      <c r="S209" t="n">
        <v>1888</v>
      </c>
      <c r="T209" t="s">
        <v>6829</v>
      </c>
      <c r="U209" t="s">
        <v>6830</v>
      </c>
      <c r="V209" t="s">
        <v>4175</v>
      </c>
      <c r="W209" t="s">
        <v>6831</v>
      </c>
      <c r="X209"/>
      <c r="Y209" t="s">
        <v>6832</v>
      </c>
      <c r="Z209"/>
      <c r="AA209" t="s">
        <v>6833</v>
      </c>
      <c r="AB209" t="s">
        <v>6590</v>
      </c>
      <c r="AC209" t="n">
        <v>110</v>
      </c>
      <c r="AD209"/>
      <c r="AE209"/>
      <c r="AF209" t="s">
        <v>6834</v>
      </c>
      <c r="AG209" t="n">
        <v>4</v>
      </c>
    </row>
    <row r="210">
      <c r="A210" t="s">
        <v>6835</v>
      </c>
      <c r="B210" t="s">
        <v>26</v>
      </c>
      <c r="C210" t="s">
        <v>65</v>
      </c>
      <c r="D210" t="s">
        <v>6836</v>
      </c>
      <c r="E210" t="s">
        <v>79</v>
      </c>
      <c r="F210" t="s">
        <v>1274</v>
      </c>
      <c r="G210"/>
      <c r="H210" t="n">
        <v>39.7696529192833</v>
      </c>
      <c r="I210" t="n">
        <v>-104.977991407075</v>
      </c>
      <c r="J210" t="s">
        <v>35</v>
      </c>
      <c r="K210" t="s">
        <v>988</v>
      </c>
      <c r="L210"/>
      <c r="M210" t="n">
        <v>1965</v>
      </c>
      <c r="N210" t="n">
        <v>1990</v>
      </c>
      <c r="O210" t="s">
        <v>3153</v>
      </c>
      <c r="P210" t="n">
        <v>7</v>
      </c>
      <c r="Q210" t="n">
        <v>5</v>
      </c>
      <c r="R210" t="n">
        <v>2</v>
      </c>
      <c r="S210" t="n">
        <v>1923</v>
      </c>
      <c r="T210" t="s">
        <v>6837</v>
      </c>
      <c r="U210" t="s">
        <v>6838</v>
      </c>
      <c r="V210" t="s">
        <v>74</v>
      </c>
      <c r="W210" t="s">
        <v>6610</v>
      </c>
      <c r="X210"/>
      <c r="Y210" t="s">
        <v>6839</v>
      </c>
      <c r="Z210"/>
      <c r="AA210"/>
      <c r="AB210" t="s">
        <v>6840</v>
      </c>
      <c r="AC210" t="n">
        <v>137</v>
      </c>
      <c r="AD210" t="s">
        <v>1591</v>
      </c>
      <c r="AE210" t="n">
        <v>223</v>
      </c>
      <c r="AF210" t="s">
        <v>6841</v>
      </c>
      <c r="AG210" t="n">
        <v>74</v>
      </c>
    </row>
    <row r="211">
      <c r="A211" t="s">
        <v>6842</v>
      </c>
      <c r="B211" t="s">
        <v>26</v>
      </c>
      <c r="C211" t="s">
        <v>65</v>
      </c>
      <c r="D211" t="s">
        <v>6843</v>
      </c>
      <c r="E211" t="s">
        <v>79</v>
      </c>
      <c r="F211" t="s">
        <v>1274</v>
      </c>
      <c r="G211"/>
      <c r="H211" t="n">
        <v>39.7585268849185</v>
      </c>
      <c r="I211" t="n">
        <v>-104.99713965327</v>
      </c>
      <c r="J211" t="s">
        <v>35</v>
      </c>
      <c r="K211" t="s">
        <v>527</v>
      </c>
      <c r="L211"/>
      <c r="M211" t="n">
        <v>1965</v>
      </c>
      <c r="N211" t="n">
        <v>1990</v>
      </c>
      <c r="O211" t="s">
        <v>6844</v>
      </c>
      <c r="P211" t="n">
        <v>9</v>
      </c>
      <c r="Q211" t="n">
        <v>3</v>
      </c>
      <c r="R211" t="n">
        <v>3</v>
      </c>
      <c r="S211" t="n">
        <v>1945</v>
      </c>
      <c r="T211" t="s">
        <v>6845</v>
      </c>
      <c r="U211" t="s">
        <v>6846</v>
      </c>
      <c r="V211" t="s">
        <v>74</v>
      </c>
      <c r="W211" t="s">
        <v>6847</v>
      </c>
      <c r="X211"/>
      <c r="Y211" t="s">
        <v>6848</v>
      </c>
      <c r="Z211"/>
      <c r="AA211"/>
      <c r="AB211" t="s">
        <v>6849</v>
      </c>
      <c r="AC211" t="n">
        <v>17</v>
      </c>
      <c r="AD211"/>
      <c r="AE211"/>
      <c r="AF211" t="s">
        <v>6850</v>
      </c>
      <c r="AG211" t="n">
        <v>55</v>
      </c>
    </row>
    <row r="212">
      <c r="A212" t="s">
        <v>6851</v>
      </c>
      <c r="B212" t="s">
        <v>26</v>
      </c>
      <c r="C212" t="s">
        <v>65</v>
      </c>
      <c r="D212" t="s">
        <v>6852</v>
      </c>
      <c r="E212" t="s">
        <v>79</v>
      </c>
      <c r="F212" t="s">
        <v>1274</v>
      </c>
      <c r="G212"/>
      <c r="H212" t="n">
        <v>39.7485923367605</v>
      </c>
      <c r="I212" t="n">
        <v>-105.003075978422</v>
      </c>
      <c r="J212" t="s">
        <v>35</v>
      </c>
      <c r="K212" t="s">
        <v>6853</v>
      </c>
      <c r="L212"/>
      <c r="M212" t="n">
        <v>1965</v>
      </c>
      <c r="N212" t="n">
        <v>1974</v>
      </c>
      <c r="O212" t="s">
        <v>6854</v>
      </c>
      <c r="P212" t="n">
        <v>7</v>
      </c>
      <c r="Q212" t="n">
        <v>10</v>
      </c>
      <c r="R212" t="n">
        <v>6</v>
      </c>
      <c r="S212" t="n">
        <v>1896</v>
      </c>
      <c r="T212" t="s">
        <v>6855</v>
      </c>
      <c r="U212" t="s">
        <v>6856</v>
      </c>
      <c r="V212" t="s">
        <v>74</v>
      </c>
      <c r="W212" t="s">
        <v>6857</v>
      </c>
      <c r="X212"/>
      <c r="Y212" t="s">
        <v>6858</v>
      </c>
      <c r="Z212"/>
      <c r="AA212" t="s">
        <v>6859</v>
      </c>
      <c r="AB212" t="s">
        <v>6747</v>
      </c>
      <c r="AC212" t="n">
        <v>79</v>
      </c>
      <c r="AD212"/>
      <c r="AE212"/>
      <c r="AF212" t="s">
        <v>1334</v>
      </c>
      <c r="AG212" t="n">
        <v>162</v>
      </c>
    </row>
    <row r="213">
      <c r="A213" t="s">
        <v>6860</v>
      </c>
      <c r="B213" t="s">
        <v>26</v>
      </c>
      <c r="C213" t="s">
        <v>65</v>
      </c>
      <c r="D213" t="s">
        <v>6861</v>
      </c>
      <c r="E213" t="s">
        <v>79</v>
      </c>
      <c r="F213" t="s">
        <v>1274</v>
      </c>
      <c r="G213"/>
      <c r="H213" t="n">
        <v>39.769286</v>
      </c>
      <c r="I213" t="n">
        <v>-105.011392367937</v>
      </c>
      <c r="J213" t="s">
        <v>35</v>
      </c>
      <c r="K213" t="s">
        <v>70</v>
      </c>
      <c r="L213"/>
      <c r="M213" t="n">
        <v>1965</v>
      </c>
      <c r="N213" t="n">
        <v>1977</v>
      </c>
      <c r="O213" t="s">
        <v>6862</v>
      </c>
      <c r="P213" t="n">
        <v>6</v>
      </c>
      <c r="Q213" t="n">
        <v>2</v>
      </c>
      <c r="R213" t="n">
        <v>2</v>
      </c>
      <c r="S213" t="n">
        <v>1946</v>
      </c>
      <c r="T213" t="s">
        <v>6863</v>
      </c>
      <c r="U213" t="s">
        <v>6864</v>
      </c>
      <c r="V213" t="s">
        <v>74</v>
      </c>
      <c r="W213" t="s">
        <v>6865</v>
      </c>
      <c r="X213"/>
      <c r="Y213"/>
      <c r="Z213"/>
      <c r="AA213"/>
      <c r="AB213" t="s">
        <v>6866</v>
      </c>
      <c r="AC213" t="n">
        <v>37</v>
      </c>
      <c r="AD213"/>
      <c r="AE213"/>
      <c r="AF213" t="s">
        <v>6867</v>
      </c>
      <c r="AG213" t="n">
        <v>193</v>
      </c>
    </row>
    <row r="214">
      <c r="A214" t="s">
        <v>6868</v>
      </c>
      <c r="B214" t="s">
        <v>26</v>
      </c>
      <c r="C214" t="s">
        <v>24</v>
      </c>
      <c r="D214" t="s">
        <v>6869</v>
      </c>
      <c r="E214" t="s">
        <v>79</v>
      </c>
      <c r="F214" t="s">
        <v>1274</v>
      </c>
      <c r="G214"/>
      <c r="H214" t="n">
        <v>39.7189989795918</v>
      </c>
      <c r="I214" t="n">
        <v>-104.953425938775</v>
      </c>
      <c r="J214" t="s">
        <v>4109</v>
      </c>
      <c r="K214" t="s">
        <v>89</v>
      </c>
      <c r="L214"/>
      <c r="M214" t="n">
        <v>1965</v>
      </c>
      <c r="N214" t="n">
        <v>1965</v>
      </c>
      <c r="O214" t="s">
        <v>1275</v>
      </c>
      <c r="P214" t="n">
        <v>1</v>
      </c>
      <c r="Q214" t="n">
        <v>1</v>
      </c>
      <c r="R214" t="n">
        <v>1</v>
      </c>
      <c r="S214"/>
      <c r="T214" t="s">
        <v>6870</v>
      </c>
      <c r="U214" t="s">
        <v>6871</v>
      </c>
      <c r="V214" t="s">
        <v>74</v>
      </c>
      <c r="W214" t="s">
        <v>6872</v>
      </c>
      <c r="X214"/>
      <c r="Y214" t="s">
        <v>6873</v>
      </c>
      <c r="Z214"/>
      <c r="AA214" t="s">
        <v>6874</v>
      </c>
      <c r="AB214" t="s">
        <v>6875</v>
      </c>
      <c r="AC214" t="n">
        <v>224</v>
      </c>
      <c r="AD214"/>
      <c r="AE214"/>
      <c r="AF214" t="s">
        <v>6876</v>
      </c>
      <c r="AG214" t="n">
        <v>123</v>
      </c>
    </row>
    <row r="215">
      <c r="A215" t="s">
        <v>6877</v>
      </c>
      <c r="B215" t="s">
        <v>26</v>
      </c>
      <c r="C215" t="s">
        <v>24</v>
      </c>
      <c r="D215" t="s">
        <v>6878</v>
      </c>
      <c r="E215" t="s">
        <v>79</v>
      </c>
      <c r="F215" t="s">
        <v>1274</v>
      </c>
      <c r="G215"/>
      <c r="H215" t="n">
        <v>39.7796049425287</v>
      </c>
      <c r="I215" t="n">
        <v>-104.912875954023</v>
      </c>
      <c r="J215" t="s">
        <v>4109</v>
      </c>
      <c r="K215" t="s">
        <v>133</v>
      </c>
      <c r="L215"/>
      <c r="M215" t="n">
        <v>1965</v>
      </c>
      <c r="N215" t="n">
        <v>1992</v>
      </c>
      <c r="O215" t="s">
        <v>388</v>
      </c>
      <c r="P215" t="n">
        <v>8</v>
      </c>
      <c r="Q215" t="n">
        <v>6</v>
      </c>
      <c r="R215" t="n">
        <v>1</v>
      </c>
      <c r="S215" t="n">
        <v>1953</v>
      </c>
      <c r="T215" t="s">
        <v>6879</v>
      </c>
      <c r="U215" t="s">
        <v>6880</v>
      </c>
      <c r="V215" t="s">
        <v>74</v>
      </c>
      <c r="W215" t="s">
        <v>5108</v>
      </c>
      <c r="X215" t="s">
        <v>6881</v>
      </c>
      <c r="Y215" t="s">
        <v>6882</v>
      </c>
      <c r="Z215"/>
      <c r="AA215" t="s">
        <v>6883</v>
      </c>
      <c r="AB215"/>
      <c r="AC215"/>
      <c r="AD215" t="s">
        <v>6884</v>
      </c>
      <c r="AE215" t="n">
        <v>78</v>
      </c>
      <c r="AF215" t="s">
        <v>6885</v>
      </c>
      <c r="AG215" t="n">
        <v>48</v>
      </c>
    </row>
    <row r="216">
      <c r="A216" t="s">
        <v>6886</v>
      </c>
      <c r="B216" t="s">
        <v>26</v>
      </c>
      <c r="C216" t="s">
        <v>65</v>
      </c>
      <c r="D216" t="s">
        <v>6887</v>
      </c>
      <c r="E216" t="s">
        <v>79</v>
      </c>
      <c r="F216" t="s">
        <v>1274</v>
      </c>
      <c r="G216"/>
      <c r="H216" t="n">
        <v>39.735291</v>
      </c>
      <c r="I216" t="n">
        <v>-105.008627710536</v>
      </c>
      <c r="J216" t="s">
        <v>35</v>
      </c>
      <c r="K216" t="s">
        <v>120</v>
      </c>
      <c r="L216"/>
      <c r="M216" t="n">
        <v>1965</v>
      </c>
      <c r="N216" t="n">
        <v>1990</v>
      </c>
      <c r="O216" t="s">
        <v>2874</v>
      </c>
      <c r="P216" t="n">
        <v>7</v>
      </c>
      <c r="Q216" t="n">
        <v>4</v>
      </c>
      <c r="R216" t="n">
        <v>1</v>
      </c>
      <c r="S216" t="n">
        <v>1935</v>
      </c>
      <c r="T216" t="s">
        <v>6888</v>
      </c>
      <c r="U216" t="s">
        <v>6889</v>
      </c>
      <c r="V216" t="s">
        <v>74</v>
      </c>
      <c r="W216" t="s">
        <v>6540</v>
      </c>
      <c r="X216"/>
      <c r="Y216"/>
      <c r="Z216"/>
      <c r="AA216"/>
      <c r="AB216" t="s">
        <v>6665</v>
      </c>
      <c r="AC216" t="n">
        <v>105</v>
      </c>
      <c r="AD216" t="s">
        <v>6666</v>
      </c>
      <c r="AE216" t="n">
        <v>105</v>
      </c>
      <c r="AF216" t="s">
        <v>6667</v>
      </c>
      <c r="AG216" t="n">
        <v>72</v>
      </c>
    </row>
    <row r="217">
      <c r="A217" t="s">
        <v>6890</v>
      </c>
      <c r="B217" t="s">
        <v>26</v>
      </c>
      <c r="C217" t="s">
        <v>65</v>
      </c>
      <c r="D217" t="s">
        <v>6891</v>
      </c>
      <c r="E217" t="s">
        <v>79</v>
      </c>
      <c r="F217" t="s">
        <v>1274</v>
      </c>
      <c r="G217"/>
      <c r="H217" t="n">
        <v>39.7609592569319</v>
      </c>
      <c r="I217" t="n">
        <v>-104.982238536821</v>
      </c>
      <c r="J217" t="s">
        <v>35</v>
      </c>
      <c r="K217" t="s">
        <v>141</v>
      </c>
      <c r="L217"/>
      <c r="M217" t="n">
        <v>1965</v>
      </c>
      <c r="N217" t="n">
        <v>1990</v>
      </c>
      <c r="O217" t="s">
        <v>6892</v>
      </c>
      <c r="P217" t="n">
        <v>11</v>
      </c>
      <c r="Q217" t="n">
        <v>8</v>
      </c>
      <c r="R217" t="n">
        <v>2</v>
      </c>
      <c r="S217" t="n">
        <v>1924</v>
      </c>
      <c r="T217" t="s">
        <v>6893</v>
      </c>
      <c r="U217" t="s">
        <v>6894</v>
      </c>
      <c r="V217" t="s">
        <v>74</v>
      </c>
      <c r="W217" t="s">
        <v>6895</v>
      </c>
      <c r="X217"/>
      <c r="Y217" t="s">
        <v>6896</v>
      </c>
      <c r="Z217"/>
      <c r="AA217"/>
      <c r="AB217" t="s">
        <v>6897</v>
      </c>
      <c r="AC217" t="n">
        <v>56</v>
      </c>
      <c r="AD217" t="s">
        <v>6898</v>
      </c>
      <c r="AE217" t="n">
        <v>181</v>
      </c>
      <c r="AF217" t="s">
        <v>6899</v>
      </c>
      <c r="AG217" t="n">
        <v>18</v>
      </c>
    </row>
    <row r="218">
      <c r="A218" t="s">
        <v>6900</v>
      </c>
      <c r="B218" t="s">
        <v>26</v>
      </c>
      <c r="C218" t="s">
        <v>24</v>
      </c>
      <c r="D218" t="s">
        <v>6901</v>
      </c>
      <c r="E218" t="s">
        <v>79</v>
      </c>
      <c r="F218" t="s">
        <v>1274</v>
      </c>
      <c r="G218"/>
      <c r="H218" t="n">
        <v>39.678647</v>
      </c>
      <c r="I218" t="n">
        <v>-105.01102</v>
      </c>
      <c r="J218" t="s">
        <v>4109</v>
      </c>
      <c r="K218" t="s">
        <v>70</v>
      </c>
      <c r="L218"/>
      <c r="M218" t="n">
        <v>1965</v>
      </c>
      <c r="N218" t="n">
        <v>1965</v>
      </c>
      <c r="O218" t="s">
        <v>1275</v>
      </c>
      <c r="P218" t="n">
        <v>1</v>
      </c>
      <c r="Q218" t="n">
        <v>2</v>
      </c>
      <c r="R218" t="n">
        <v>1</v>
      </c>
      <c r="S218"/>
      <c r="T218" t="s">
        <v>6902</v>
      </c>
      <c r="U218" t="s">
        <v>6903</v>
      </c>
      <c r="V218" t="s">
        <v>74</v>
      </c>
      <c r="W218" t="s">
        <v>6904</v>
      </c>
      <c r="X218" t="s">
        <v>6905</v>
      </c>
      <c r="Y218" t="s">
        <v>6906</v>
      </c>
      <c r="Z218"/>
      <c r="AA218" t="s">
        <v>6907</v>
      </c>
      <c r="AB218" t="s">
        <v>6110</v>
      </c>
      <c r="AC218" t="n">
        <v>155</v>
      </c>
      <c r="AD218" t="s">
        <v>6111</v>
      </c>
      <c r="AE218" t="n">
        <v>249</v>
      </c>
      <c r="AF218" t="s">
        <v>6908</v>
      </c>
      <c r="AG218" t="n">
        <v>93</v>
      </c>
    </row>
    <row r="219">
      <c r="A219" t="s">
        <v>6909</v>
      </c>
      <c r="B219" t="s">
        <v>26</v>
      </c>
      <c r="C219" t="s">
        <v>65</v>
      </c>
      <c r="D219" t="s">
        <v>6910</v>
      </c>
      <c r="E219" t="s">
        <v>79</v>
      </c>
      <c r="F219" t="s">
        <v>1274</v>
      </c>
      <c r="G219"/>
      <c r="H219" t="n">
        <v>39.7475229202226</v>
      </c>
      <c r="I219" t="n">
        <v>-104.999664959184</v>
      </c>
      <c r="J219" t="s">
        <v>35</v>
      </c>
      <c r="K219" t="s">
        <v>120</v>
      </c>
      <c r="L219"/>
      <c r="M219" t="n">
        <v>1965</v>
      </c>
      <c r="N219" t="n">
        <v>1990</v>
      </c>
      <c r="O219" t="s">
        <v>6911</v>
      </c>
      <c r="P219" t="n">
        <v>10</v>
      </c>
      <c r="Q219" t="n">
        <v>7</v>
      </c>
      <c r="R219" t="n">
        <v>2</v>
      </c>
      <c r="S219" t="n">
        <v>1947</v>
      </c>
      <c r="T219" t="s">
        <v>6912</v>
      </c>
      <c r="U219" t="s">
        <v>6913</v>
      </c>
      <c r="V219" t="s">
        <v>74</v>
      </c>
      <c r="W219" t="s">
        <v>6914</v>
      </c>
      <c r="X219"/>
      <c r="Y219" t="s">
        <v>6915</v>
      </c>
      <c r="Z219"/>
      <c r="AA219"/>
      <c r="AB219" t="s">
        <v>1332</v>
      </c>
      <c r="AC219" t="n">
        <v>69</v>
      </c>
      <c r="AD219"/>
      <c r="AE219"/>
      <c r="AF219" t="s">
        <v>6916</v>
      </c>
      <c r="AG219" t="n">
        <v>65</v>
      </c>
    </row>
    <row r="220">
      <c r="A220" t="s">
        <v>6917</v>
      </c>
      <c r="B220" t="s">
        <v>26</v>
      </c>
      <c r="C220" t="s">
        <v>24</v>
      </c>
      <c r="D220" t="s">
        <v>6918</v>
      </c>
      <c r="E220" t="s">
        <v>79</v>
      </c>
      <c r="F220" t="s">
        <v>1274</v>
      </c>
      <c r="G220"/>
      <c r="H220" t="n">
        <v>39.7445812727273</v>
      </c>
      <c r="I220" t="n">
        <v>-105.004528767677</v>
      </c>
      <c r="J220" t="s">
        <v>4109</v>
      </c>
      <c r="K220" t="s">
        <v>120</v>
      </c>
      <c r="L220"/>
      <c r="M220" t="n">
        <v>1965</v>
      </c>
      <c r="N220" t="n">
        <v>1970</v>
      </c>
      <c r="O220" t="s">
        <v>6919</v>
      </c>
      <c r="P220" t="n">
        <v>4</v>
      </c>
      <c r="Q220" t="n">
        <v>4</v>
      </c>
      <c r="R220" t="n">
        <v>1</v>
      </c>
      <c r="S220" t="n">
        <v>1859</v>
      </c>
      <c r="T220" t="s">
        <v>6920</v>
      </c>
      <c r="U220" t="s">
        <v>6921</v>
      </c>
      <c r="V220" t="s">
        <v>74</v>
      </c>
      <c r="W220" t="s">
        <v>6922</v>
      </c>
      <c r="X220"/>
      <c r="Y220"/>
      <c r="Z220"/>
      <c r="AA220"/>
      <c r="AB220" t="s">
        <v>4274</v>
      </c>
      <c r="AC220" t="n">
        <v>73</v>
      </c>
      <c r="AD220"/>
      <c r="AE220"/>
      <c r="AF220" t="s">
        <v>6597</v>
      </c>
      <c r="AG220" t="n">
        <v>65</v>
      </c>
    </row>
    <row r="221">
      <c r="A221" t="s">
        <v>6923</v>
      </c>
      <c r="B221" t="s">
        <v>26</v>
      </c>
      <c r="C221" t="s">
        <v>24</v>
      </c>
      <c r="D221" t="s">
        <v>6924</v>
      </c>
      <c r="E221" t="s">
        <v>79</v>
      </c>
      <c r="F221" t="s">
        <v>1274</v>
      </c>
      <c r="G221"/>
      <c r="H221" t="n">
        <v>39.7482833535331</v>
      </c>
      <c r="I221" t="n">
        <v>-105.018968870115</v>
      </c>
      <c r="J221" t="s">
        <v>4109</v>
      </c>
      <c r="K221" t="s">
        <v>89</v>
      </c>
      <c r="L221"/>
      <c r="M221" t="n">
        <v>1965</v>
      </c>
      <c r="N221" t="n">
        <v>1973</v>
      </c>
      <c r="O221" t="s">
        <v>121</v>
      </c>
      <c r="P221" t="n">
        <v>4</v>
      </c>
      <c r="Q221" t="n">
        <v>3</v>
      </c>
      <c r="R221" t="n">
        <v>1</v>
      </c>
      <c r="S221" t="n">
        <v>1921</v>
      </c>
      <c r="T221" t="s">
        <v>6925</v>
      </c>
      <c r="U221" t="s">
        <v>6926</v>
      </c>
      <c r="V221" t="s">
        <v>74</v>
      </c>
      <c r="W221" t="s">
        <v>6927</v>
      </c>
      <c r="X221"/>
      <c r="Y221" t="s">
        <v>6928</v>
      </c>
      <c r="Z221"/>
      <c r="AA221"/>
      <c r="AB221" t="s">
        <v>6929</v>
      </c>
      <c r="AC221" t="n">
        <v>32</v>
      </c>
      <c r="AD221"/>
      <c r="AE221"/>
      <c r="AF221" t="s">
        <v>6930</v>
      </c>
      <c r="AG221" t="n">
        <v>34</v>
      </c>
    </row>
    <row r="222">
      <c r="A222" t="s">
        <v>6931</v>
      </c>
      <c r="B222" t="s">
        <v>26</v>
      </c>
      <c r="C222" t="s">
        <v>24</v>
      </c>
      <c r="D222" t="s">
        <v>6932</v>
      </c>
      <c r="E222" t="s">
        <v>79</v>
      </c>
      <c r="F222" t="s">
        <v>1274</v>
      </c>
      <c r="G222"/>
      <c r="H222" t="n">
        <v>39.7702852806616</v>
      </c>
      <c r="I222" t="n">
        <v>-104.99605486641</v>
      </c>
      <c r="J222" t="s">
        <v>4109</v>
      </c>
      <c r="K222" t="s">
        <v>70</v>
      </c>
      <c r="L222"/>
      <c r="M222" t="n">
        <v>1965</v>
      </c>
      <c r="N222" t="n">
        <v>1965</v>
      </c>
      <c r="O222" t="s">
        <v>1275</v>
      </c>
      <c r="P222" t="n">
        <v>1</v>
      </c>
      <c r="Q222" t="n">
        <v>1</v>
      </c>
      <c r="R222" t="n">
        <v>1</v>
      </c>
      <c r="S222"/>
      <c r="T222" t="s">
        <v>6933</v>
      </c>
      <c r="U222" t="s">
        <v>6934</v>
      </c>
      <c r="V222" t="s">
        <v>74</v>
      </c>
      <c r="W222" t="s">
        <v>6610</v>
      </c>
      <c r="X222"/>
      <c r="Y222" t="s">
        <v>6935</v>
      </c>
      <c r="Z222"/>
      <c r="AA222" t="s">
        <v>6936</v>
      </c>
      <c r="AB222" t="s">
        <v>6937</v>
      </c>
      <c r="AC222" t="n">
        <v>107</v>
      </c>
      <c r="AD222"/>
      <c r="AE222"/>
      <c r="AF222" t="s">
        <v>6938</v>
      </c>
      <c r="AG222" t="n">
        <v>28</v>
      </c>
    </row>
    <row r="223">
      <c r="A223" t="s">
        <v>6939</v>
      </c>
      <c r="B223" t="s">
        <v>26</v>
      </c>
      <c r="C223" t="s">
        <v>65</v>
      </c>
      <c r="D223" t="s">
        <v>6940</v>
      </c>
      <c r="E223" t="s">
        <v>79</v>
      </c>
      <c r="F223" t="s">
        <v>1274</v>
      </c>
      <c r="G223" t="s">
        <v>1653</v>
      </c>
      <c r="H223" t="n">
        <v>39.783079209962</v>
      </c>
      <c r="I223" t="n">
        <v>-104.994315689324</v>
      </c>
      <c r="J223" t="s">
        <v>35</v>
      </c>
      <c r="K223" t="s">
        <v>141</v>
      </c>
      <c r="L223"/>
      <c r="M223" t="n">
        <v>1965</v>
      </c>
      <c r="N223" t="n">
        <v>1992</v>
      </c>
      <c r="O223" t="s">
        <v>6941</v>
      </c>
      <c r="P223" t="n">
        <v>9</v>
      </c>
      <c r="Q223" t="n">
        <v>5</v>
      </c>
      <c r="R223" t="n">
        <v>4</v>
      </c>
      <c r="S223" t="n">
        <v>1945</v>
      </c>
      <c r="T223" t="s">
        <v>6942</v>
      </c>
      <c r="U223" t="s">
        <v>6943</v>
      </c>
      <c r="V223" t="s">
        <v>74</v>
      </c>
      <c r="W223" t="s">
        <v>6610</v>
      </c>
      <c r="X223"/>
      <c r="Y223" t="s">
        <v>6944</v>
      </c>
      <c r="Z223"/>
      <c r="AA223" t="s">
        <v>6945</v>
      </c>
      <c r="AB223"/>
      <c r="AC223"/>
      <c r="AD223"/>
      <c r="AE223"/>
      <c r="AF223" t="s">
        <v>6946</v>
      </c>
      <c r="AG223" t="n">
        <v>2</v>
      </c>
    </row>
    <row r="224">
      <c r="A224" t="s">
        <v>6947</v>
      </c>
      <c r="B224" t="s">
        <v>26</v>
      </c>
      <c r="C224" t="s">
        <v>65</v>
      </c>
      <c r="D224" t="s">
        <v>6948</v>
      </c>
      <c r="E224" t="s">
        <v>79</v>
      </c>
      <c r="F224" t="s">
        <v>1274</v>
      </c>
      <c r="G224"/>
      <c r="H224" t="n">
        <v>39.6785511646686</v>
      </c>
      <c r="I224" t="n">
        <v>-105.00442229126</v>
      </c>
      <c r="J224" t="s">
        <v>35</v>
      </c>
      <c r="K224" t="s">
        <v>796</v>
      </c>
      <c r="L224"/>
      <c r="M224" t="n">
        <v>1965</v>
      </c>
      <c r="N224" t="n">
        <v>1983</v>
      </c>
      <c r="O224" t="s">
        <v>6949</v>
      </c>
      <c r="P224" t="n">
        <v>4</v>
      </c>
      <c r="Q224" t="n">
        <v>2</v>
      </c>
      <c r="R224" t="n">
        <v>2</v>
      </c>
      <c r="S224" t="n">
        <v>1971</v>
      </c>
      <c r="T224" t="s">
        <v>6950</v>
      </c>
      <c r="U224" t="s">
        <v>6951</v>
      </c>
      <c r="V224" t="s">
        <v>74</v>
      </c>
      <c r="W224" t="s">
        <v>6952</v>
      </c>
      <c r="X224"/>
      <c r="Y224"/>
      <c r="Z224"/>
      <c r="AA224" t="s">
        <v>6953</v>
      </c>
      <c r="AB224" t="s">
        <v>6709</v>
      </c>
      <c r="AC224" t="n">
        <v>61</v>
      </c>
      <c r="AD224"/>
      <c r="AE224"/>
      <c r="AF224" t="s">
        <v>6954</v>
      </c>
      <c r="AG224" t="n">
        <v>160</v>
      </c>
    </row>
    <row r="225">
      <c r="A225" t="s">
        <v>6955</v>
      </c>
      <c r="B225" t="s">
        <v>26</v>
      </c>
      <c r="C225" t="s">
        <v>65</v>
      </c>
      <c r="D225" t="s">
        <v>6956</v>
      </c>
      <c r="E225" t="s">
        <v>79</v>
      </c>
      <c r="F225" t="s">
        <v>1274</v>
      </c>
      <c r="G225"/>
      <c r="H225" t="n">
        <v>39.7541540506391</v>
      </c>
      <c r="I225" t="n">
        <v>-105.006275697843</v>
      </c>
      <c r="J225" t="s">
        <v>35</v>
      </c>
      <c r="K225" t="s">
        <v>89</v>
      </c>
      <c r="L225"/>
      <c r="M225" t="n">
        <v>1965</v>
      </c>
      <c r="N225" t="n">
        <v>1967</v>
      </c>
      <c r="O225" t="s">
        <v>1275</v>
      </c>
      <c r="P225" t="n">
        <v>2</v>
      </c>
      <c r="Q225" t="n">
        <v>1</v>
      </c>
      <c r="R225" t="n">
        <v>1</v>
      </c>
      <c r="S225" t="n">
        <v>1946</v>
      </c>
      <c r="T225" t="s">
        <v>6957</v>
      </c>
      <c r="U225" t="s">
        <v>6958</v>
      </c>
      <c r="V225" t="s">
        <v>74</v>
      </c>
      <c r="W225" t="s">
        <v>6959</v>
      </c>
      <c r="X225"/>
      <c r="Y225"/>
      <c r="Z225"/>
      <c r="AA225"/>
      <c r="AB225" t="s">
        <v>6960</v>
      </c>
      <c r="AC225" t="n">
        <v>34</v>
      </c>
      <c r="AD225"/>
      <c r="AE225"/>
      <c r="AF225" t="s">
        <v>6961</v>
      </c>
      <c r="AG225" t="n">
        <v>242</v>
      </c>
    </row>
    <row r="226">
      <c r="A226" t="s">
        <v>6962</v>
      </c>
      <c r="B226" t="s">
        <v>26</v>
      </c>
      <c r="C226" t="s">
        <v>24</v>
      </c>
      <c r="D226" t="s">
        <v>6963</v>
      </c>
      <c r="E226" t="s">
        <v>79</v>
      </c>
      <c r="F226" t="s">
        <v>1274</v>
      </c>
      <c r="G226"/>
      <c r="H226" t="n">
        <v>39.7435701951445</v>
      </c>
      <c r="I226" t="n">
        <v>-105.011360546161</v>
      </c>
      <c r="J226" t="s">
        <v>4109</v>
      </c>
      <c r="K226" t="s">
        <v>89</v>
      </c>
      <c r="L226"/>
      <c r="M226" t="n">
        <v>1965</v>
      </c>
      <c r="N226" t="n">
        <v>1990</v>
      </c>
      <c r="O226" t="s">
        <v>6964</v>
      </c>
      <c r="P226" t="n">
        <v>6</v>
      </c>
      <c r="Q226" t="n">
        <v>7</v>
      </c>
      <c r="R226" t="n">
        <v>5</v>
      </c>
      <c r="S226" t="n">
        <v>1908</v>
      </c>
      <c r="T226" t="s">
        <v>6965</v>
      </c>
      <c r="U226" t="s">
        <v>6966</v>
      </c>
      <c r="V226" t="s">
        <v>74</v>
      </c>
      <c r="W226" t="s">
        <v>6967</v>
      </c>
      <c r="X226"/>
      <c r="Y226" t="s">
        <v>6968</v>
      </c>
      <c r="Z226"/>
      <c r="AA226" t="s">
        <v>6969</v>
      </c>
      <c r="AB226" t="s">
        <v>6970</v>
      </c>
      <c r="AC226" t="n">
        <v>7</v>
      </c>
      <c r="AD226" t="s">
        <v>6971</v>
      </c>
      <c r="AE226" t="n">
        <v>140</v>
      </c>
      <c r="AF226" t="s">
        <v>6972</v>
      </c>
      <c r="AG226" t="n">
        <v>31</v>
      </c>
    </row>
    <row r="227">
      <c r="A227" t="s">
        <v>6973</v>
      </c>
      <c r="B227" t="s">
        <v>26</v>
      </c>
      <c r="C227" t="s">
        <v>65</v>
      </c>
      <c r="D227" t="s">
        <v>6974</v>
      </c>
      <c r="E227" t="s">
        <v>79</v>
      </c>
      <c r="F227" t="s">
        <v>1274</v>
      </c>
      <c r="G227"/>
      <c r="H227" t="n">
        <v>39.7531092098202</v>
      </c>
      <c r="I227" t="n">
        <v>-104.985401552704</v>
      </c>
      <c r="J227" t="s">
        <v>35</v>
      </c>
      <c r="K227" t="s">
        <v>988</v>
      </c>
      <c r="L227"/>
      <c r="M227" t="n">
        <v>1965</v>
      </c>
      <c r="N227" t="n">
        <v>1980</v>
      </c>
      <c r="O227" t="s">
        <v>6975</v>
      </c>
      <c r="P227" t="n">
        <v>4</v>
      </c>
      <c r="Q227" t="n">
        <v>3</v>
      </c>
      <c r="R227" t="n">
        <v>2</v>
      </c>
      <c r="S227" t="n">
        <v>1968</v>
      </c>
      <c r="T227" t="s">
        <v>6976</v>
      </c>
      <c r="U227" t="s">
        <v>6977</v>
      </c>
      <c r="V227" t="s">
        <v>74</v>
      </c>
      <c r="W227" t="s">
        <v>6540</v>
      </c>
      <c r="X227"/>
      <c r="Y227"/>
      <c r="Z227"/>
      <c r="AA227"/>
      <c r="AB227" t="s">
        <v>1577</v>
      </c>
      <c r="AC227" t="n">
        <v>176</v>
      </c>
      <c r="AD227"/>
      <c r="AE227"/>
      <c r="AF227" t="s">
        <v>6978</v>
      </c>
      <c r="AG227" t="n">
        <v>112</v>
      </c>
    </row>
    <row r="228">
      <c r="A228" t="s">
        <v>6979</v>
      </c>
      <c r="B228" t="s">
        <v>26</v>
      </c>
      <c r="C228" t="s">
        <v>24</v>
      </c>
      <c r="D228" t="s">
        <v>6980</v>
      </c>
      <c r="E228" t="s">
        <v>79</v>
      </c>
      <c r="F228" t="s">
        <v>1274</v>
      </c>
      <c r="G228"/>
      <c r="H228" t="n">
        <v>39.732439</v>
      </c>
      <c r="I228" t="n">
        <v>-105.011299</v>
      </c>
      <c r="J228" t="s">
        <v>4109</v>
      </c>
      <c r="K228" t="s">
        <v>201</v>
      </c>
      <c r="L228"/>
      <c r="M228" t="n">
        <v>1965</v>
      </c>
      <c r="N228" t="n">
        <v>1983</v>
      </c>
      <c r="O228" t="s">
        <v>6981</v>
      </c>
      <c r="P228" t="n">
        <v>7</v>
      </c>
      <c r="Q228" t="n">
        <v>6</v>
      </c>
      <c r="R228" t="n">
        <v>5</v>
      </c>
      <c r="S228" t="n">
        <v>1954</v>
      </c>
      <c r="T228" t="s">
        <v>6982</v>
      </c>
      <c r="U228" t="s">
        <v>6983</v>
      </c>
      <c r="V228" t="s">
        <v>74</v>
      </c>
      <c r="W228" t="s">
        <v>6540</v>
      </c>
      <c r="X228"/>
      <c r="Y228"/>
      <c r="Z228"/>
      <c r="AA228"/>
      <c r="AB228" t="s">
        <v>2064</v>
      </c>
      <c r="AC228" t="n">
        <v>106</v>
      </c>
      <c r="AD228" t="s">
        <v>6971</v>
      </c>
      <c r="AE228" t="n">
        <v>221</v>
      </c>
      <c r="AF228" t="s">
        <v>6984</v>
      </c>
      <c r="AG228" t="n">
        <v>139</v>
      </c>
    </row>
    <row r="229">
      <c r="A229" t="s">
        <v>6985</v>
      </c>
      <c r="B229" t="s">
        <v>26</v>
      </c>
      <c r="C229" t="s">
        <v>65</v>
      </c>
      <c r="D229" t="s">
        <v>6986</v>
      </c>
      <c r="E229" t="s">
        <v>79</v>
      </c>
      <c r="F229" t="s">
        <v>1274</v>
      </c>
      <c r="G229"/>
      <c r="H229" t="n">
        <v>39.787386</v>
      </c>
      <c r="I229" t="n">
        <v>-104.978228566145</v>
      </c>
      <c r="J229" t="s">
        <v>35</v>
      </c>
      <c r="K229" t="s">
        <v>89</v>
      </c>
      <c r="L229"/>
      <c r="M229" t="n">
        <v>1965</v>
      </c>
      <c r="N229" t="n">
        <v>1992</v>
      </c>
      <c r="O229" t="s">
        <v>1275</v>
      </c>
      <c r="P229" t="n">
        <v>7</v>
      </c>
      <c r="Q229" t="n">
        <v>2</v>
      </c>
      <c r="R229" t="n">
        <v>1</v>
      </c>
      <c r="S229" t="n">
        <v>1947</v>
      </c>
      <c r="T229" t="s">
        <v>6987</v>
      </c>
      <c r="U229" t="s">
        <v>6988</v>
      </c>
      <c r="V229" t="s">
        <v>74</v>
      </c>
      <c r="W229" t="s">
        <v>6578</v>
      </c>
      <c r="X229" t="s">
        <v>6989</v>
      </c>
      <c r="Y229"/>
      <c r="Z229"/>
      <c r="AA229"/>
      <c r="AB229" t="s">
        <v>6990</v>
      </c>
      <c r="AC229" t="n">
        <v>242</v>
      </c>
      <c r="AD229" t="s">
        <v>6761</v>
      </c>
      <c r="AE229" t="n">
        <v>63</v>
      </c>
      <c r="AF229" t="s">
        <v>6991</v>
      </c>
      <c r="AG229" t="n">
        <v>125</v>
      </c>
    </row>
    <row r="230">
      <c r="A230" t="s">
        <v>6992</v>
      </c>
      <c r="B230" t="s">
        <v>26</v>
      </c>
      <c r="C230" t="s">
        <v>65</v>
      </c>
      <c r="D230" t="s">
        <v>6993</v>
      </c>
      <c r="E230" t="s">
        <v>79</v>
      </c>
      <c r="F230" t="s">
        <v>1274</v>
      </c>
      <c r="G230"/>
      <c r="H230" t="n">
        <v>39.7577764554437</v>
      </c>
      <c r="I230" t="n">
        <v>-105.007594401529</v>
      </c>
      <c r="J230" t="s">
        <v>35</v>
      </c>
      <c r="K230" t="s">
        <v>1282</v>
      </c>
      <c r="L230"/>
      <c r="M230" t="n">
        <v>1965</v>
      </c>
      <c r="N230" t="n">
        <v>1990</v>
      </c>
      <c r="O230" t="s">
        <v>6994</v>
      </c>
      <c r="P230" t="n">
        <v>10</v>
      </c>
      <c r="Q230" t="n">
        <v>8</v>
      </c>
      <c r="R230" t="n">
        <v>6</v>
      </c>
      <c r="S230" t="n">
        <v>1924</v>
      </c>
      <c r="T230" t="s">
        <v>6995</v>
      </c>
      <c r="U230" t="s">
        <v>6996</v>
      </c>
      <c r="V230" t="s">
        <v>74</v>
      </c>
      <c r="W230" t="s">
        <v>6997</v>
      </c>
      <c r="X230"/>
      <c r="Y230" t="s">
        <v>6998</v>
      </c>
      <c r="Z230"/>
      <c r="AA230" t="s">
        <v>6999</v>
      </c>
      <c r="AB230" t="s">
        <v>1300</v>
      </c>
      <c r="AC230" t="n">
        <v>28</v>
      </c>
      <c r="AD230" t="s">
        <v>1278</v>
      </c>
      <c r="AE230" t="n">
        <v>249</v>
      </c>
      <c r="AF230" t="s">
        <v>1301</v>
      </c>
      <c r="AG230" t="n">
        <v>8</v>
      </c>
    </row>
    <row r="231">
      <c r="A231" t="s">
        <v>7000</v>
      </c>
      <c r="B231" t="s">
        <v>26</v>
      </c>
      <c r="C231" t="s">
        <v>65</v>
      </c>
      <c r="D231" t="s">
        <v>7001</v>
      </c>
      <c r="E231" t="s">
        <v>79</v>
      </c>
      <c r="F231" t="s">
        <v>1274</v>
      </c>
      <c r="G231"/>
      <c r="H231" t="n">
        <v>39.777671</v>
      </c>
      <c r="I231" t="n">
        <v>-104.95939</v>
      </c>
      <c r="J231" t="s">
        <v>35</v>
      </c>
      <c r="K231" t="s">
        <v>141</v>
      </c>
      <c r="L231"/>
      <c r="M231" t="n">
        <v>1965</v>
      </c>
      <c r="N231" t="n">
        <v>1990</v>
      </c>
      <c r="O231" t="s">
        <v>7002</v>
      </c>
      <c r="P231" t="n">
        <v>6</v>
      </c>
      <c r="Q231" t="n">
        <v>4</v>
      </c>
      <c r="R231" t="n">
        <v>4</v>
      </c>
      <c r="S231" t="n">
        <v>1967</v>
      </c>
      <c r="T231" t="s">
        <v>7003</v>
      </c>
      <c r="U231" t="s">
        <v>7004</v>
      </c>
      <c r="V231" t="s">
        <v>74</v>
      </c>
      <c r="W231" t="s">
        <v>6610</v>
      </c>
      <c r="X231"/>
      <c r="Y231" t="s">
        <v>7005</v>
      </c>
      <c r="Z231"/>
      <c r="AA231"/>
      <c r="AB231" t="s">
        <v>7006</v>
      </c>
      <c r="AC231" t="n">
        <v>201</v>
      </c>
      <c r="AD231" t="s">
        <v>6770</v>
      </c>
      <c r="AE231" t="n">
        <v>160</v>
      </c>
      <c r="AF231" t="s">
        <v>6771</v>
      </c>
      <c r="AG231" t="n">
        <v>31</v>
      </c>
    </row>
    <row r="232">
      <c r="A232" t="s">
        <v>7007</v>
      </c>
      <c r="B232" t="s">
        <v>26</v>
      </c>
      <c r="C232" t="s">
        <v>65</v>
      </c>
      <c r="D232" t="s">
        <v>7008</v>
      </c>
      <c r="E232" t="s">
        <v>79</v>
      </c>
      <c r="F232" t="s">
        <v>1274</v>
      </c>
      <c r="G232"/>
      <c r="H232" t="n">
        <v>39.7591720448815</v>
      </c>
      <c r="I232" t="n">
        <v>-104.984547608127</v>
      </c>
      <c r="J232" t="s">
        <v>35</v>
      </c>
      <c r="K232" t="s">
        <v>2274</v>
      </c>
      <c r="L232"/>
      <c r="M232" t="n">
        <v>1965</v>
      </c>
      <c r="N232" t="n">
        <v>1974</v>
      </c>
      <c r="O232" t="s">
        <v>2771</v>
      </c>
      <c r="P232" t="n">
        <v>5</v>
      </c>
      <c r="Q232" t="n">
        <v>3</v>
      </c>
      <c r="R232" t="n">
        <v>2</v>
      </c>
      <c r="S232" t="n">
        <v>1958</v>
      </c>
      <c r="T232" t="s">
        <v>7009</v>
      </c>
      <c r="U232" t="s">
        <v>7010</v>
      </c>
      <c r="V232" t="s">
        <v>74</v>
      </c>
      <c r="W232" t="s">
        <v>7011</v>
      </c>
      <c r="X232"/>
      <c r="Y232" t="s">
        <v>7012</v>
      </c>
      <c r="Z232"/>
      <c r="AA232" t="s">
        <v>7013</v>
      </c>
      <c r="AB232" t="s">
        <v>7014</v>
      </c>
      <c r="AC232" t="n">
        <v>87</v>
      </c>
      <c r="AD232"/>
      <c r="AE232"/>
      <c r="AF232" t="s">
        <v>7015</v>
      </c>
      <c r="AG232" t="n">
        <v>6</v>
      </c>
    </row>
    <row r="233">
      <c r="A233" t="s">
        <v>7016</v>
      </c>
      <c r="B233" t="s">
        <v>26</v>
      </c>
      <c r="C233" t="s">
        <v>65</v>
      </c>
      <c r="D233" t="s">
        <v>7017</v>
      </c>
      <c r="E233" t="s">
        <v>79</v>
      </c>
      <c r="F233" t="s">
        <v>1274</v>
      </c>
      <c r="G233"/>
      <c r="H233" t="n">
        <v>39.6760121948052</v>
      </c>
      <c r="I233" t="n">
        <v>-104.992267896104</v>
      </c>
      <c r="J233" t="s">
        <v>35</v>
      </c>
      <c r="K233" t="s">
        <v>7018</v>
      </c>
      <c r="L233"/>
      <c r="M233" t="n">
        <v>1965</v>
      </c>
      <c r="N233" t="n">
        <v>1992</v>
      </c>
      <c r="O233" t="s">
        <v>7019</v>
      </c>
      <c r="P233" t="n">
        <v>13</v>
      </c>
      <c r="Q233" t="n">
        <v>9</v>
      </c>
      <c r="R233" t="n">
        <v>9</v>
      </c>
      <c r="S233" t="n">
        <v>1951</v>
      </c>
      <c r="T233" t="s">
        <v>7020</v>
      </c>
      <c r="U233" t="s">
        <v>7021</v>
      </c>
      <c r="V233" t="s">
        <v>74</v>
      </c>
      <c r="W233" t="s">
        <v>7022</v>
      </c>
      <c r="X233" t="s">
        <v>7023</v>
      </c>
      <c r="Y233" t="s">
        <v>7024</v>
      </c>
      <c r="Z233"/>
      <c r="AA233"/>
      <c r="AB233" t="s">
        <v>1370</v>
      </c>
      <c r="AC233" t="n">
        <v>29</v>
      </c>
      <c r="AD233" t="s">
        <v>1371</v>
      </c>
      <c r="AE233" t="n">
        <v>51</v>
      </c>
      <c r="AF233" t="s">
        <v>1372</v>
      </c>
      <c r="AG233" t="n">
        <v>48</v>
      </c>
    </row>
    <row r="234">
      <c r="A234" t="s">
        <v>7025</v>
      </c>
      <c r="B234" t="s">
        <v>26</v>
      </c>
      <c r="C234" t="s">
        <v>65</v>
      </c>
      <c r="D234" t="s">
        <v>7026</v>
      </c>
      <c r="E234" t="s">
        <v>79</v>
      </c>
      <c r="F234" t="s">
        <v>1274</v>
      </c>
      <c r="G234"/>
      <c r="H234" t="n">
        <v>39.774232693895</v>
      </c>
      <c r="I234" t="n">
        <v>-105.04398602847</v>
      </c>
      <c r="J234" t="s">
        <v>35</v>
      </c>
      <c r="K234" t="s">
        <v>89</v>
      </c>
      <c r="L234"/>
      <c r="M234" t="n">
        <v>1965</v>
      </c>
      <c r="N234" t="n">
        <v>1980</v>
      </c>
      <c r="O234" t="s">
        <v>1275</v>
      </c>
      <c r="P234" t="n">
        <v>6</v>
      </c>
      <c r="Q234" t="n">
        <v>6</v>
      </c>
      <c r="R234" t="n">
        <v>1</v>
      </c>
      <c r="S234" t="n">
        <v>1949</v>
      </c>
      <c r="T234" t="s">
        <v>7027</v>
      </c>
      <c r="U234" t="s">
        <v>7028</v>
      </c>
      <c r="V234" t="s">
        <v>74</v>
      </c>
      <c r="W234" t="s">
        <v>7029</v>
      </c>
      <c r="X234"/>
      <c r="Y234" t="s">
        <v>7030</v>
      </c>
      <c r="Z234"/>
      <c r="AA234" t="s">
        <v>7031</v>
      </c>
      <c r="AB234" t="s">
        <v>7032</v>
      </c>
      <c r="AC234" t="n">
        <v>89</v>
      </c>
      <c r="AD234"/>
      <c r="AE234"/>
      <c r="AF234" t="s">
        <v>7033</v>
      </c>
      <c r="AG234" t="n">
        <v>17</v>
      </c>
    </row>
    <row r="235">
      <c r="A235" t="s">
        <v>7034</v>
      </c>
      <c r="B235" t="s">
        <v>26</v>
      </c>
      <c r="C235" t="s">
        <v>24</v>
      </c>
      <c r="D235" t="s">
        <v>7035</v>
      </c>
      <c r="E235" t="s">
        <v>79</v>
      </c>
      <c r="F235" t="s">
        <v>1274</v>
      </c>
      <c r="G235"/>
      <c r="H235" t="n">
        <v>39.711174</v>
      </c>
      <c r="I235" t="n">
        <v>-105.001564</v>
      </c>
      <c r="J235" t="s">
        <v>4109</v>
      </c>
      <c r="K235" t="s">
        <v>70</v>
      </c>
      <c r="L235"/>
      <c r="M235" t="n">
        <v>1965</v>
      </c>
      <c r="N235" t="n">
        <v>1965</v>
      </c>
      <c r="O235" t="s">
        <v>1275</v>
      </c>
      <c r="P235" t="n">
        <v>1</v>
      </c>
      <c r="Q235" t="n">
        <v>1</v>
      </c>
      <c r="R235" t="n">
        <v>1</v>
      </c>
      <c r="S235"/>
      <c r="T235" t="s">
        <v>7036</v>
      </c>
      <c r="U235" t="s">
        <v>7037</v>
      </c>
      <c r="V235" t="s">
        <v>74</v>
      </c>
      <c r="W235" t="s">
        <v>7038</v>
      </c>
      <c r="X235"/>
      <c r="Y235" t="s">
        <v>7039</v>
      </c>
      <c r="Z235"/>
      <c r="AA235" t="s">
        <v>7040</v>
      </c>
      <c r="AB235" t="s">
        <v>7041</v>
      </c>
      <c r="AC235" t="n">
        <v>77</v>
      </c>
      <c r="AD235"/>
      <c r="AE235"/>
      <c r="AF235" t="s">
        <v>7042</v>
      </c>
      <c r="AG235" t="n">
        <v>6</v>
      </c>
    </row>
    <row r="236">
      <c r="A236" t="s">
        <v>7043</v>
      </c>
      <c r="B236" t="s">
        <v>26</v>
      </c>
      <c r="C236" t="s">
        <v>65</v>
      </c>
      <c r="D236" t="s">
        <v>7044</v>
      </c>
      <c r="E236" t="s">
        <v>79</v>
      </c>
      <c r="F236" t="s">
        <v>1274</v>
      </c>
      <c r="G236"/>
      <c r="H236" t="n">
        <v>39.759086069987</v>
      </c>
      <c r="I236" t="n">
        <v>-104.998436723338</v>
      </c>
      <c r="J236" t="s">
        <v>35</v>
      </c>
      <c r="K236" t="s">
        <v>141</v>
      </c>
      <c r="L236" t="s">
        <v>202</v>
      </c>
      <c r="M236" t="n">
        <v>1965</v>
      </c>
      <c r="N236" t="n">
        <v>1983</v>
      </c>
      <c r="O236" t="s">
        <v>7045</v>
      </c>
      <c r="P236" t="n">
        <v>6</v>
      </c>
      <c r="Q236" t="n">
        <v>2</v>
      </c>
      <c r="R236" t="n">
        <v>2</v>
      </c>
      <c r="S236" t="n">
        <v>1940</v>
      </c>
      <c r="T236" t="s">
        <v>7046</v>
      </c>
      <c r="U236" t="s">
        <v>7047</v>
      </c>
      <c r="V236" t="s">
        <v>74</v>
      </c>
      <c r="W236" t="s">
        <v>7048</v>
      </c>
      <c r="X236"/>
      <c r="Y236"/>
      <c r="Z236"/>
      <c r="AA236" t="s">
        <v>7049</v>
      </c>
      <c r="AB236" t="s">
        <v>7050</v>
      </c>
      <c r="AC236" t="n">
        <v>57</v>
      </c>
      <c r="AD236"/>
      <c r="AE236"/>
      <c r="AF236" t="s">
        <v>7051</v>
      </c>
      <c r="AG236" t="n">
        <v>72</v>
      </c>
    </row>
    <row r="237">
      <c r="A237" t="s">
        <v>7052</v>
      </c>
      <c r="B237" t="s">
        <v>26</v>
      </c>
      <c r="C237" t="s">
        <v>65</v>
      </c>
      <c r="D237" t="s">
        <v>7053</v>
      </c>
      <c r="E237" t="s">
        <v>79</v>
      </c>
      <c r="F237" t="s">
        <v>1274</v>
      </c>
      <c r="G237" t="s">
        <v>1653</v>
      </c>
      <c r="H237" t="n">
        <v>39.7872467528192</v>
      </c>
      <c r="I237" t="n">
        <v>-104.988724027815</v>
      </c>
      <c r="J237" t="s">
        <v>35</v>
      </c>
      <c r="K237" t="s">
        <v>270</v>
      </c>
      <c r="L237"/>
      <c r="M237" t="n">
        <v>1965</v>
      </c>
      <c r="N237" t="n">
        <v>1990</v>
      </c>
      <c r="O237" t="s">
        <v>7054</v>
      </c>
      <c r="P237" t="n">
        <v>9</v>
      </c>
      <c r="Q237" t="n">
        <v>5</v>
      </c>
      <c r="R237" t="n">
        <v>3</v>
      </c>
      <c r="S237" t="n">
        <v>1886</v>
      </c>
      <c r="T237" t="s">
        <v>7055</v>
      </c>
      <c r="U237" t="s">
        <v>7056</v>
      </c>
      <c r="V237" t="s">
        <v>74</v>
      </c>
      <c r="W237" t="s">
        <v>6578</v>
      </c>
      <c r="X237"/>
      <c r="Y237" t="s">
        <v>7057</v>
      </c>
      <c r="Z237"/>
      <c r="AA237"/>
      <c r="AB237" t="s">
        <v>7058</v>
      </c>
      <c r="AC237" t="n">
        <v>243</v>
      </c>
      <c r="AD237" t="s">
        <v>7059</v>
      </c>
      <c r="AE237" t="n">
        <v>186</v>
      </c>
      <c r="AF237" t="s">
        <v>590</v>
      </c>
      <c r="AG237" t="n">
        <v>62</v>
      </c>
    </row>
    <row r="238">
      <c r="A238" t="s">
        <v>7060</v>
      </c>
      <c r="B238" t="s">
        <v>26</v>
      </c>
      <c r="C238" t="s">
        <v>24</v>
      </c>
      <c r="D238" t="s">
        <v>7061</v>
      </c>
      <c r="E238" t="s">
        <v>79</v>
      </c>
      <c r="F238" t="s">
        <v>1274</v>
      </c>
      <c r="G238"/>
      <c r="H238" t="n">
        <v>39.7413688313194</v>
      </c>
      <c r="I238" t="n">
        <v>-105.00640725373</v>
      </c>
      <c r="J238" t="s">
        <v>4109</v>
      </c>
      <c r="K238" t="s">
        <v>89</v>
      </c>
      <c r="L238"/>
      <c r="M238" t="n">
        <v>1965</v>
      </c>
      <c r="N238" t="n">
        <v>1974</v>
      </c>
      <c r="O238" t="s">
        <v>3153</v>
      </c>
      <c r="P238" t="n">
        <v>6</v>
      </c>
      <c r="Q238" t="n">
        <v>4</v>
      </c>
      <c r="R238" t="n">
        <v>1</v>
      </c>
      <c r="S238" t="n">
        <v>1930</v>
      </c>
      <c r="T238" t="s">
        <v>7062</v>
      </c>
      <c r="U238" t="s">
        <v>7063</v>
      </c>
      <c r="V238" t="s">
        <v>74</v>
      </c>
      <c r="W238" t="s">
        <v>7064</v>
      </c>
      <c r="X238"/>
      <c r="Y238"/>
      <c r="Z238"/>
      <c r="AA238"/>
      <c r="AB238" t="s">
        <v>2216</v>
      </c>
      <c r="AC238" t="n">
        <v>20</v>
      </c>
      <c r="AD238"/>
      <c r="AE238"/>
      <c r="AF238" t="s">
        <v>7065</v>
      </c>
      <c r="AG238" t="n">
        <v>87</v>
      </c>
    </row>
    <row r="239">
      <c r="A239" t="s">
        <v>7066</v>
      </c>
      <c r="B239" t="s">
        <v>26</v>
      </c>
      <c r="C239" t="s">
        <v>24</v>
      </c>
      <c r="D239" t="s">
        <v>7067</v>
      </c>
      <c r="E239" t="s">
        <v>79</v>
      </c>
      <c r="F239" t="s">
        <v>1274</v>
      </c>
      <c r="G239"/>
      <c r="H239" t="n">
        <v>39.7297743151813</v>
      </c>
      <c r="I239" t="n">
        <v>-104.987403</v>
      </c>
      <c r="J239" t="s">
        <v>4109</v>
      </c>
      <c r="K239" t="s">
        <v>89</v>
      </c>
      <c r="L239" t="s">
        <v>554</v>
      </c>
      <c r="M239" t="n">
        <v>1965</v>
      </c>
      <c r="N239" t="n">
        <v>1992</v>
      </c>
      <c r="O239" t="s">
        <v>7068</v>
      </c>
      <c r="P239" t="n">
        <v>13</v>
      </c>
      <c r="Q239" t="n">
        <v>8</v>
      </c>
      <c r="R239" t="n">
        <v>2</v>
      </c>
      <c r="S239" t="n">
        <v>1944</v>
      </c>
      <c r="T239" t="s">
        <v>7069</v>
      </c>
      <c r="U239" t="s">
        <v>7070</v>
      </c>
      <c r="V239" t="s">
        <v>74</v>
      </c>
      <c r="W239" t="s">
        <v>7071</v>
      </c>
      <c r="X239"/>
      <c r="Y239" t="s">
        <v>7072</v>
      </c>
      <c r="Z239"/>
      <c r="AA239" t="s">
        <v>7073</v>
      </c>
      <c r="AB239" t="s">
        <v>1766</v>
      </c>
      <c r="AC239" t="n">
        <v>69</v>
      </c>
      <c r="AD239"/>
      <c r="AE239"/>
      <c r="AF239" t="s">
        <v>7074</v>
      </c>
      <c r="AG239" t="n">
        <v>27</v>
      </c>
    </row>
    <row r="240">
      <c r="A240" t="s">
        <v>7075</v>
      </c>
      <c r="B240" t="s">
        <v>26</v>
      </c>
      <c r="C240" t="s">
        <v>65</v>
      </c>
      <c r="D240" t="s">
        <v>7076</v>
      </c>
      <c r="E240" t="s">
        <v>79</v>
      </c>
      <c r="F240" t="s">
        <v>1274</v>
      </c>
      <c r="G240"/>
      <c r="H240" t="n">
        <v>39.7368903741474</v>
      </c>
      <c r="I240" t="n">
        <v>-105.006707671412</v>
      </c>
      <c r="J240" t="s">
        <v>35</v>
      </c>
      <c r="K240" t="s">
        <v>89</v>
      </c>
      <c r="L240"/>
      <c r="M240" t="n">
        <v>1965</v>
      </c>
      <c r="N240" t="n">
        <v>1983</v>
      </c>
      <c r="O240" t="s">
        <v>7077</v>
      </c>
      <c r="P240" t="n">
        <v>3</v>
      </c>
      <c r="Q240" t="n">
        <v>3</v>
      </c>
      <c r="R240" t="n">
        <v>2</v>
      </c>
      <c r="S240" t="n">
        <v>1960</v>
      </c>
      <c r="T240" t="s">
        <v>7078</v>
      </c>
      <c r="U240" t="s">
        <v>7079</v>
      </c>
      <c r="V240" t="s">
        <v>74</v>
      </c>
      <c r="W240" t="s">
        <v>7080</v>
      </c>
      <c r="X240"/>
      <c r="Y240"/>
      <c r="Z240"/>
      <c r="AA240" t="s">
        <v>7081</v>
      </c>
      <c r="AB240" t="s">
        <v>7082</v>
      </c>
      <c r="AC240" t="n">
        <v>29</v>
      </c>
      <c r="AD240" t="s">
        <v>7083</v>
      </c>
      <c r="AE240" t="n">
        <v>242</v>
      </c>
      <c r="AF240" t="s">
        <v>7084</v>
      </c>
      <c r="AG240" t="n">
        <v>62</v>
      </c>
    </row>
    <row r="241">
      <c r="A241" t="s">
        <v>7085</v>
      </c>
      <c r="B241" t="s">
        <v>26</v>
      </c>
      <c r="C241" t="s">
        <v>65</v>
      </c>
      <c r="D241" t="s">
        <v>7086</v>
      </c>
      <c r="E241" t="s">
        <v>79</v>
      </c>
      <c r="F241" t="s">
        <v>1274</v>
      </c>
      <c r="G241"/>
      <c r="H241" t="n">
        <v>39.6975993691808</v>
      </c>
      <c r="I241" t="n">
        <v>-104.987441997248</v>
      </c>
      <c r="J241" t="s">
        <v>35</v>
      </c>
      <c r="K241" t="s">
        <v>796</v>
      </c>
      <c r="L241" t="s">
        <v>7087</v>
      </c>
      <c r="M241" t="n">
        <v>1965</v>
      </c>
      <c r="N241" t="n">
        <v>1988</v>
      </c>
      <c r="O241" t="s">
        <v>7088</v>
      </c>
      <c r="P241" t="n">
        <v>6</v>
      </c>
      <c r="Q241" t="n">
        <v>4</v>
      </c>
      <c r="R241" t="n">
        <v>3</v>
      </c>
      <c r="S241" t="n">
        <v>1910</v>
      </c>
      <c r="T241" t="s">
        <v>7089</v>
      </c>
      <c r="U241" t="s">
        <v>7090</v>
      </c>
      <c r="V241" t="s">
        <v>74</v>
      </c>
      <c r="W241" t="s">
        <v>7091</v>
      </c>
      <c r="X241" t="s">
        <v>7092</v>
      </c>
      <c r="Y241"/>
      <c r="Z241"/>
      <c r="AA241" t="s">
        <v>7093</v>
      </c>
      <c r="AB241" t="s">
        <v>7094</v>
      </c>
      <c r="AC241" t="n">
        <v>17</v>
      </c>
      <c r="AD241" t="s">
        <v>7095</v>
      </c>
      <c r="AE241" t="n">
        <v>17</v>
      </c>
      <c r="AF241" t="s">
        <v>7096</v>
      </c>
      <c r="AG241" t="n">
        <v>107</v>
      </c>
    </row>
    <row r="242">
      <c r="A242" t="s">
        <v>7097</v>
      </c>
      <c r="B242" t="s">
        <v>26</v>
      </c>
      <c r="C242" t="s">
        <v>24</v>
      </c>
      <c r="D242" t="s">
        <v>7098</v>
      </c>
      <c r="E242" t="s">
        <v>79</v>
      </c>
      <c r="F242" t="s">
        <v>1274</v>
      </c>
      <c r="G242"/>
      <c r="H242" t="n">
        <v>39.7441602802123</v>
      </c>
      <c r="I242" t="n">
        <v>-104.995704919107</v>
      </c>
      <c r="J242" t="s">
        <v>4109</v>
      </c>
      <c r="K242" t="s">
        <v>70</v>
      </c>
      <c r="L242"/>
      <c r="M242" t="n">
        <v>1965</v>
      </c>
      <c r="N242" t="n">
        <v>1970</v>
      </c>
      <c r="O242" t="s">
        <v>726</v>
      </c>
      <c r="P242" t="n">
        <v>2</v>
      </c>
      <c r="Q242" t="n">
        <v>2</v>
      </c>
      <c r="R242" t="n">
        <v>1</v>
      </c>
      <c r="S242" t="n">
        <v>1925</v>
      </c>
      <c r="T242" t="s">
        <v>7099</v>
      </c>
      <c r="U242" t="s">
        <v>7100</v>
      </c>
      <c r="V242" t="s">
        <v>74</v>
      </c>
      <c r="W242" t="s">
        <v>7101</v>
      </c>
      <c r="X242"/>
      <c r="Y242" t="s">
        <v>7102</v>
      </c>
      <c r="Z242"/>
      <c r="AA242" t="s">
        <v>7103</v>
      </c>
      <c r="AB242" t="s">
        <v>6590</v>
      </c>
      <c r="AC242" t="n">
        <v>29</v>
      </c>
      <c r="AD242"/>
      <c r="AE242"/>
      <c r="AF242" t="s">
        <v>1394</v>
      </c>
      <c r="AG242" t="n">
        <v>38</v>
      </c>
    </row>
    <row r="243">
      <c r="A243" t="s">
        <v>7104</v>
      </c>
      <c r="B243" t="s">
        <v>26</v>
      </c>
      <c r="C243" t="s">
        <v>24</v>
      </c>
      <c r="D243" t="s">
        <v>7105</v>
      </c>
      <c r="E243" t="s">
        <v>79</v>
      </c>
      <c r="F243" t="s">
        <v>1274</v>
      </c>
      <c r="G243"/>
      <c r="H243" t="n">
        <v>39.7355901398506</v>
      </c>
      <c r="I243" t="n">
        <v>-105.012353957215</v>
      </c>
      <c r="J243" t="s">
        <v>4109</v>
      </c>
      <c r="K243" t="s">
        <v>1282</v>
      </c>
      <c r="L243"/>
      <c r="M243" t="n">
        <v>1965</v>
      </c>
      <c r="N243" t="n">
        <v>1980</v>
      </c>
      <c r="O243" t="s">
        <v>6892</v>
      </c>
      <c r="P243" t="n">
        <v>5</v>
      </c>
      <c r="Q243" t="n">
        <v>4</v>
      </c>
      <c r="R243" t="n">
        <v>3</v>
      </c>
      <c r="S243" t="n">
        <v>1965</v>
      </c>
      <c r="T243" t="s">
        <v>7106</v>
      </c>
      <c r="U243" t="s">
        <v>7107</v>
      </c>
      <c r="V243" t="s">
        <v>74</v>
      </c>
      <c r="W243" t="s">
        <v>6540</v>
      </c>
      <c r="X243"/>
      <c r="Y243"/>
      <c r="Z243"/>
      <c r="AA243"/>
      <c r="AB243" t="s">
        <v>7108</v>
      </c>
      <c r="AC243" t="n">
        <v>170</v>
      </c>
      <c r="AD243" t="s">
        <v>6971</v>
      </c>
      <c r="AE243" t="n">
        <v>149</v>
      </c>
      <c r="AF243" t="s">
        <v>7109</v>
      </c>
      <c r="AG243" t="n">
        <v>60</v>
      </c>
    </row>
    <row r="244">
      <c r="A244" t="s">
        <v>7110</v>
      </c>
      <c r="B244" t="s">
        <v>26</v>
      </c>
      <c r="C244" t="s">
        <v>24</v>
      </c>
      <c r="D244" t="s">
        <v>7111</v>
      </c>
      <c r="E244" t="s">
        <v>79</v>
      </c>
      <c r="F244" t="s">
        <v>1274</v>
      </c>
      <c r="G244"/>
      <c r="H244" t="n">
        <v>39.7082515480846</v>
      </c>
      <c r="I244" t="n">
        <v>-104.999270304726</v>
      </c>
      <c r="J244" t="s">
        <v>4109</v>
      </c>
      <c r="K244" t="s">
        <v>70</v>
      </c>
      <c r="L244"/>
      <c r="M244" t="n">
        <v>1965</v>
      </c>
      <c r="N244" t="n">
        <v>1965</v>
      </c>
      <c r="O244" t="s">
        <v>1275</v>
      </c>
      <c r="P244" t="n">
        <v>1</v>
      </c>
      <c r="Q244" t="n">
        <v>1</v>
      </c>
      <c r="R244" t="n">
        <v>1</v>
      </c>
      <c r="S244"/>
      <c r="T244" t="s">
        <v>7112</v>
      </c>
      <c r="U244" t="s">
        <v>7113</v>
      </c>
      <c r="V244" t="s">
        <v>74</v>
      </c>
      <c r="W244" t="s">
        <v>7114</v>
      </c>
      <c r="X244"/>
      <c r="Y244" t="s">
        <v>7115</v>
      </c>
      <c r="Z244"/>
      <c r="AA244" t="s">
        <v>7116</v>
      </c>
      <c r="AB244" t="s">
        <v>1959</v>
      </c>
      <c r="AC244" t="n">
        <v>249</v>
      </c>
      <c r="AD244"/>
      <c r="AE244"/>
      <c r="AF244" t="s">
        <v>7117</v>
      </c>
      <c r="AG244" t="n">
        <v>82</v>
      </c>
    </row>
    <row r="245">
      <c r="A245" t="s">
        <v>7118</v>
      </c>
      <c r="B245" t="s">
        <v>26</v>
      </c>
      <c r="C245" t="s">
        <v>65</v>
      </c>
      <c r="D245" t="s">
        <v>7119</v>
      </c>
      <c r="E245" t="s">
        <v>79</v>
      </c>
      <c r="F245" t="s">
        <v>1274</v>
      </c>
      <c r="G245" t="s">
        <v>1653</v>
      </c>
      <c r="H245" t="n">
        <v>39.788101134837</v>
      </c>
      <c r="I245" t="n">
        <v>-104.988702837099</v>
      </c>
      <c r="J245" t="s">
        <v>35</v>
      </c>
      <c r="K245" t="s">
        <v>141</v>
      </c>
      <c r="L245"/>
      <c r="M245" t="n">
        <v>1965</v>
      </c>
      <c r="N245" t="n">
        <v>1988</v>
      </c>
      <c r="O245" t="s">
        <v>7120</v>
      </c>
      <c r="P245" t="n">
        <v>6</v>
      </c>
      <c r="Q245" t="n">
        <v>5</v>
      </c>
      <c r="R245" t="n">
        <v>4</v>
      </c>
      <c r="S245" t="n">
        <v>1951</v>
      </c>
      <c r="T245" t="s">
        <v>7121</v>
      </c>
      <c r="U245" t="s">
        <v>7122</v>
      </c>
      <c r="V245" t="s">
        <v>74</v>
      </c>
      <c r="W245" t="s">
        <v>6578</v>
      </c>
      <c r="X245"/>
      <c r="Y245"/>
      <c r="Z245"/>
      <c r="AA245"/>
      <c r="AB245" t="s">
        <v>7058</v>
      </c>
      <c r="AC245" t="n">
        <v>161</v>
      </c>
      <c r="AD245"/>
      <c r="AE245"/>
      <c r="AF245" t="s">
        <v>7123</v>
      </c>
      <c r="AG245" t="n">
        <v>126</v>
      </c>
    </row>
    <row r="246">
      <c r="A246" t="s">
        <v>7124</v>
      </c>
      <c r="B246" t="s">
        <v>26</v>
      </c>
      <c r="C246" t="s">
        <v>65</v>
      </c>
      <c r="D246" t="s">
        <v>7125</v>
      </c>
      <c r="E246" t="s">
        <v>79</v>
      </c>
      <c r="F246" t="s">
        <v>1274</v>
      </c>
      <c r="G246"/>
      <c r="H246" t="n">
        <v>39.7886717125278</v>
      </c>
      <c r="I246" t="n">
        <v>-104.94992285399</v>
      </c>
      <c r="J246" t="s">
        <v>35</v>
      </c>
      <c r="K246" t="s">
        <v>89</v>
      </c>
      <c r="L246"/>
      <c r="M246" t="n">
        <v>1965</v>
      </c>
      <c r="N246" t="n">
        <v>1965</v>
      </c>
      <c r="O246" t="s">
        <v>1275</v>
      </c>
      <c r="P246" t="n">
        <v>1</v>
      </c>
      <c r="Q246" t="n">
        <v>1</v>
      </c>
      <c r="R246" t="n">
        <v>1</v>
      </c>
      <c r="S246"/>
      <c r="T246" t="s">
        <v>7126</v>
      </c>
      <c r="U246" t="s">
        <v>7127</v>
      </c>
      <c r="V246" t="s">
        <v>74</v>
      </c>
      <c r="W246" t="s">
        <v>6610</v>
      </c>
      <c r="X246"/>
      <c r="Y246"/>
      <c r="Z246"/>
      <c r="AA246"/>
      <c r="AB246"/>
      <c r="AC246"/>
      <c r="AD246"/>
      <c r="AE246"/>
      <c r="AF246" t="s">
        <v>7128</v>
      </c>
      <c r="AG246" t="n">
        <v>206</v>
      </c>
    </row>
    <row r="247">
      <c r="A247" t="s">
        <v>7129</v>
      </c>
      <c r="B247" t="s">
        <v>26</v>
      </c>
      <c r="C247" t="s">
        <v>65</v>
      </c>
      <c r="D247" t="s">
        <v>7130</v>
      </c>
      <c r="E247" t="s">
        <v>79</v>
      </c>
      <c r="F247" t="s">
        <v>1274</v>
      </c>
      <c r="G247"/>
      <c r="H247" t="n">
        <v>39.7724683741295</v>
      </c>
      <c r="I247" t="n">
        <v>-104.959558460966</v>
      </c>
      <c r="J247" t="s">
        <v>35</v>
      </c>
      <c r="K247" t="s">
        <v>141</v>
      </c>
      <c r="L247"/>
      <c r="M247" t="n">
        <v>1965</v>
      </c>
      <c r="N247" t="n">
        <v>1992</v>
      </c>
      <c r="O247" t="s">
        <v>7131</v>
      </c>
      <c r="P247" t="n">
        <v>8</v>
      </c>
      <c r="Q247" t="n">
        <v>4</v>
      </c>
      <c r="R247" t="n">
        <v>4</v>
      </c>
      <c r="S247" t="n">
        <v>1932</v>
      </c>
      <c r="T247" t="s">
        <v>7132</v>
      </c>
      <c r="U247" t="s">
        <v>7133</v>
      </c>
      <c r="V247" t="s">
        <v>74</v>
      </c>
      <c r="W247" t="s">
        <v>7134</v>
      </c>
      <c r="X247"/>
      <c r="Y247"/>
      <c r="Z247"/>
      <c r="AA247"/>
      <c r="AB247" t="s">
        <v>7135</v>
      </c>
      <c r="AC247" t="n">
        <v>31</v>
      </c>
      <c r="AD247"/>
      <c r="AE247"/>
      <c r="AF247" t="s">
        <v>7136</v>
      </c>
      <c r="AG247" t="n">
        <v>116</v>
      </c>
    </row>
    <row r="248">
      <c r="A248" t="s">
        <v>7137</v>
      </c>
      <c r="B248" t="s">
        <v>26</v>
      </c>
      <c r="C248" t="s">
        <v>24</v>
      </c>
      <c r="D248" t="s">
        <v>7138</v>
      </c>
      <c r="E248" t="s">
        <v>79</v>
      </c>
      <c r="F248" t="s">
        <v>1274</v>
      </c>
      <c r="G248"/>
      <c r="H248" t="n">
        <v>39.780861</v>
      </c>
      <c r="I248" t="n">
        <v>-104.966713</v>
      </c>
      <c r="J248" t="s">
        <v>4109</v>
      </c>
      <c r="K248" t="s">
        <v>120</v>
      </c>
      <c r="L248"/>
      <c r="M248" t="n">
        <v>1965</v>
      </c>
      <c r="N248" t="n">
        <v>1965</v>
      </c>
      <c r="O248" t="s">
        <v>1275</v>
      </c>
      <c r="P248" t="n">
        <v>1</v>
      </c>
      <c r="Q248" t="n">
        <v>1</v>
      </c>
      <c r="R248" t="n">
        <v>1</v>
      </c>
      <c r="S248"/>
      <c r="T248" t="s">
        <v>7139</v>
      </c>
      <c r="U248" t="s">
        <v>7140</v>
      </c>
      <c r="V248" t="s">
        <v>74</v>
      </c>
      <c r="W248" t="s">
        <v>7141</v>
      </c>
      <c r="X248"/>
      <c r="Y248"/>
      <c r="Z248"/>
      <c r="AA248" t="s">
        <v>7142</v>
      </c>
      <c r="AB248" t="s">
        <v>7143</v>
      </c>
      <c r="AC248" t="n">
        <v>25</v>
      </c>
      <c r="AD248"/>
      <c r="AE248"/>
      <c r="AF248"/>
      <c r="AG248"/>
    </row>
    <row r="249">
      <c r="A249" t="s">
        <v>7144</v>
      </c>
      <c r="B249" t="s">
        <v>26</v>
      </c>
      <c r="C249" t="s">
        <v>65</v>
      </c>
      <c r="D249" t="s">
        <v>7145</v>
      </c>
      <c r="E249" t="s">
        <v>79</v>
      </c>
      <c r="F249" t="s">
        <v>1274</v>
      </c>
      <c r="G249"/>
      <c r="H249" t="n">
        <v>39.772913</v>
      </c>
      <c r="I249" t="n">
        <v>-104.956874</v>
      </c>
      <c r="J249" t="s">
        <v>35</v>
      </c>
      <c r="K249" t="s">
        <v>1041</v>
      </c>
      <c r="L249"/>
      <c r="M249" t="n">
        <v>1965</v>
      </c>
      <c r="N249" t="n">
        <v>1974</v>
      </c>
      <c r="O249" t="s">
        <v>1275</v>
      </c>
      <c r="P249" t="n">
        <v>5</v>
      </c>
      <c r="Q249" t="n">
        <v>3</v>
      </c>
      <c r="R249" t="n">
        <v>1</v>
      </c>
      <c r="S249" t="n">
        <v>1940</v>
      </c>
      <c r="T249" t="s">
        <v>7146</v>
      </c>
      <c r="U249" t="s">
        <v>7147</v>
      </c>
      <c r="V249" t="s">
        <v>74</v>
      </c>
      <c r="W249" t="s">
        <v>7148</v>
      </c>
      <c r="X249"/>
      <c r="Y249" t="s">
        <v>7149</v>
      </c>
      <c r="Z249"/>
      <c r="AA249" t="s">
        <v>7150</v>
      </c>
      <c r="AB249" t="s">
        <v>7151</v>
      </c>
      <c r="AC249" t="n">
        <v>29</v>
      </c>
      <c r="AD249"/>
      <c r="AE249"/>
      <c r="AF249" t="s">
        <v>7152</v>
      </c>
      <c r="AG249" t="n">
        <v>6</v>
      </c>
    </row>
    <row r="250">
      <c r="A250" t="s">
        <v>7153</v>
      </c>
      <c r="B250" t="s">
        <v>26</v>
      </c>
      <c r="C250" t="s">
        <v>24</v>
      </c>
      <c r="D250" t="s">
        <v>7154</v>
      </c>
      <c r="E250" t="s">
        <v>79</v>
      </c>
      <c r="F250" t="s">
        <v>1274</v>
      </c>
      <c r="G250"/>
      <c r="H250" t="n">
        <v>39.774225</v>
      </c>
      <c r="I250" t="n">
        <v>-104.996002</v>
      </c>
      <c r="J250" t="s">
        <v>4109</v>
      </c>
      <c r="K250" t="s">
        <v>120</v>
      </c>
      <c r="L250" t="s">
        <v>2901</v>
      </c>
      <c r="M250" t="n">
        <v>1965</v>
      </c>
      <c r="N250" t="n">
        <v>1967</v>
      </c>
      <c r="O250" t="s">
        <v>716</v>
      </c>
      <c r="P250" t="n">
        <v>3</v>
      </c>
      <c r="Q250" t="n">
        <v>1</v>
      </c>
      <c r="R250" t="n">
        <v>1</v>
      </c>
      <c r="S250"/>
      <c r="T250" t="s">
        <v>7155</v>
      </c>
      <c r="U250" t="s">
        <v>7156</v>
      </c>
      <c r="V250" t="s">
        <v>74</v>
      </c>
      <c r="W250" t="s">
        <v>7157</v>
      </c>
      <c r="X250"/>
      <c r="Y250" t="s">
        <v>7158</v>
      </c>
      <c r="Z250"/>
      <c r="AA250" t="s">
        <v>7159</v>
      </c>
      <c r="AB250" t="s">
        <v>6655</v>
      </c>
      <c r="AC250" t="n">
        <v>114</v>
      </c>
      <c r="AD250"/>
      <c r="AE250"/>
      <c r="AF250" t="s">
        <v>7160</v>
      </c>
      <c r="AG250" t="n">
        <v>35</v>
      </c>
    </row>
    <row r="251">
      <c r="A251" t="s">
        <v>7161</v>
      </c>
      <c r="B251" t="s">
        <v>26</v>
      </c>
      <c r="C251" t="s">
        <v>65</v>
      </c>
      <c r="D251" t="s">
        <v>7162</v>
      </c>
      <c r="E251" t="s">
        <v>79</v>
      </c>
      <c r="F251" t="s">
        <v>1274</v>
      </c>
      <c r="G251"/>
      <c r="H251" t="n">
        <v>39.783715</v>
      </c>
      <c r="I251" t="n">
        <v>-104.980079</v>
      </c>
      <c r="J251" t="s">
        <v>35</v>
      </c>
      <c r="K251" t="s">
        <v>1786</v>
      </c>
      <c r="L251"/>
      <c r="M251" t="n">
        <v>1965</v>
      </c>
      <c r="N251" t="n">
        <v>1988</v>
      </c>
      <c r="O251" t="s">
        <v>6607</v>
      </c>
      <c r="P251" t="n">
        <v>8</v>
      </c>
      <c r="Q251" t="n">
        <v>2</v>
      </c>
      <c r="R251" t="n">
        <v>2</v>
      </c>
      <c r="S251" t="n">
        <v>1948</v>
      </c>
      <c r="T251" t="s">
        <v>7163</v>
      </c>
      <c r="U251" t="s">
        <v>7164</v>
      </c>
      <c r="V251" t="s">
        <v>74</v>
      </c>
      <c r="W251" t="s">
        <v>6578</v>
      </c>
      <c r="X251"/>
      <c r="Y251"/>
      <c r="Z251"/>
      <c r="AA251" t="s">
        <v>7165</v>
      </c>
      <c r="AB251"/>
      <c r="AC251"/>
      <c r="AD251"/>
      <c r="AE251"/>
      <c r="AF251" t="s">
        <v>7166</v>
      </c>
      <c r="AG251" t="n">
        <v>153</v>
      </c>
    </row>
    <row r="252">
      <c r="A252" t="s">
        <v>7167</v>
      </c>
      <c r="B252" t="s">
        <v>26</v>
      </c>
      <c r="C252" t="s">
        <v>65</v>
      </c>
      <c r="D252" t="s">
        <v>7168</v>
      </c>
      <c r="E252" t="s">
        <v>79</v>
      </c>
      <c r="F252" t="s">
        <v>1274</v>
      </c>
      <c r="G252"/>
      <c r="H252" t="n">
        <v>39.6993387082569</v>
      </c>
      <c r="I252" t="n">
        <v>-105.049649095906</v>
      </c>
      <c r="J252" t="s">
        <v>35</v>
      </c>
      <c r="K252" t="s">
        <v>120</v>
      </c>
      <c r="L252"/>
      <c r="M252" t="n">
        <v>1965</v>
      </c>
      <c r="N252" t="n">
        <v>1970</v>
      </c>
      <c r="O252" t="s">
        <v>3819</v>
      </c>
      <c r="P252" t="n">
        <v>3</v>
      </c>
      <c r="Q252" t="n">
        <v>2</v>
      </c>
      <c r="R252" t="n">
        <v>2</v>
      </c>
      <c r="S252" t="n">
        <v>1955</v>
      </c>
      <c r="T252" t="s">
        <v>7169</v>
      </c>
      <c r="U252" t="s">
        <v>7170</v>
      </c>
      <c r="V252" t="s">
        <v>74</v>
      </c>
      <c r="W252" t="s">
        <v>7171</v>
      </c>
      <c r="X252"/>
      <c r="Y252"/>
      <c r="Z252"/>
      <c r="AA252"/>
      <c r="AB252" t="s">
        <v>7172</v>
      </c>
      <c r="AC252" t="n">
        <v>69</v>
      </c>
      <c r="AD252"/>
      <c r="AE252"/>
      <c r="AF252"/>
      <c r="AG252"/>
    </row>
    <row r="253">
      <c r="A253" t="s">
        <v>7173</v>
      </c>
      <c r="B253" t="s">
        <v>26</v>
      </c>
      <c r="C253" t="s">
        <v>65</v>
      </c>
      <c r="D253" t="s">
        <v>7174</v>
      </c>
      <c r="E253" t="s">
        <v>79</v>
      </c>
      <c r="F253" t="s">
        <v>1274</v>
      </c>
      <c r="G253"/>
      <c r="H253" t="n">
        <v>39.7671128795004</v>
      </c>
      <c r="I253" t="n">
        <v>-104.974296137538</v>
      </c>
      <c r="J253" t="s">
        <v>35</v>
      </c>
      <c r="K253" t="s">
        <v>901</v>
      </c>
      <c r="L253" t="s">
        <v>554</v>
      </c>
      <c r="M253" t="n">
        <v>1965</v>
      </c>
      <c r="N253" t="n">
        <v>1992</v>
      </c>
      <c r="O253" t="s">
        <v>7175</v>
      </c>
      <c r="P253" t="n">
        <v>13</v>
      </c>
      <c r="Q253" t="n">
        <v>11</v>
      </c>
      <c r="R253" t="n">
        <v>6</v>
      </c>
      <c r="S253" t="n">
        <v>1896</v>
      </c>
      <c r="T253" t="s">
        <v>7176</v>
      </c>
      <c r="U253" t="s">
        <v>7177</v>
      </c>
      <c r="V253" t="s">
        <v>74</v>
      </c>
      <c r="W253" t="s">
        <v>7178</v>
      </c>
      <c r="X253"/>
      <c r="Y253" t="s">
        <v>7179</v>
      </c>
      <c r="Z253"/>
      <c r="AA253" t="s">
        <v>7180</v>
      </c>
      <c r="AB253" t="s">
        <v>7181</v>
      </c>
      <c r="AC253" t="n">
        <v>85</v>
      </c>
      <c r="AD253" t="s">
        <v>1591</v>
      </c>
      <c r="AE253" t="n">
        <v>213</v>
      </c>
      <c r="AF253" t="s">
        <v>7182</v>
      </c>
      <c r="AG253" t="n">
        <v>42</v>
      </c>
    </row>
    <row r="254">
      <c r="A254" t="s">
        <v>7183</v>
      </c>
      <c r="B254" t="s">
        <v>26</v>
      </c>
      <c r="C254" t="s">
        <v>24</v>
      </c>
      <c r="D254" t="s">
        <v>7184</v>
      </c>
      <c r="E254" t="s">
        <v>79</v>
      </c>
      <c r="F254" t="s">
        <v>1274</v>
      </c>
      <c r="G254"/>
      <c r="H254" t="n">
        <v>39.730944279569</v>
      </c>
      <c r="I254" t="n">
        <v>-104.998635286445</v>
      </c>
      <c r="J254" t="s">
        <v>4109</v>
      </c>
      <c r="K254" t="s">
        <v>1548</v>
      </c>
      <c r="L254"/>
      <c r="M254" t="n">
        <v>1965</v>
      </c>
      <c r="N254" t="n">
        <v>1990</v>
      </c>
      <c r="O254" t="s">
        <v>1297</v>
      </c>
      <c r="P254" t="n">
        <v>12</v>
      </c>
      <c r="Q254" t="n">
        <v>6</v>
      </c>
      <c r="R254" t="n">
        <v>5</v>
      </c>
      <c r="S254" t="n">
        <v>1909</v>
      </c>
      <c r="T254" t="s">
        <v>7185</v>
      </c>
      <c r="U254" t="s">
        <v>7186</v>
      </c>
      <c r="V254" t="s">
        <v>74</v>
      </c>
      <c r="W254" t="s">
        <v>7187</v>
      </c>
      <c r="X254"/>
      <c r="Y254" t="s">
        <v>7188</v>
      </c>
      <c r="Z254"/>
      <c r="AA254" t="s">
        <v>7189</v>
      </c>
      <c r="AB254" t="s">
        <v>1995</v>
      </c>
      <c r="AC254" t="n">
        <v>5</v>
      </c>
      <c r="AD254"/>
      <c r="AE254"/>
      <c r="AF254" t="s">
        <v>1996</v>
      </c>
      <c r="AG254" t="n">
        <v>10</v>
      </c>
    </row>
    <row r="255">
      <c r="A255" t="s">
        <v>7190</v>
      </c>
      <c r="B255" t="s">
        <v>26</v>
      </c>
      <c r="C255" t="s">
        <v>65</v>
      </c>
      <c r="D255" t="s">
        <v>7191</v>
      </c>
      <c r="E255" t="s">
        <v>79</v>
      </c>
      <c r="F255" t="s">
        <v>1274</v>
      </c>
      <c r="G255"/>
      <c r="H255" t="n">
        <v>39.758452147316</v>
      </c>
      <c r="I255" t="n">
        <v>-104.987263151169</v>
      </c>
      <c r="J255" t="s">
        <v>35</v>
      </c>
      <c r="K255" t="s">
        <v>1242</v>
      </c>
      <c r="L255"/>
      <c r="M255" t="n">
        <v>1965</v>
      </c>
      <c r="N255" t="n">
        <v>1992</v>
      </c>
      <c r="O255" t="s">
        <v>7192</v>
      </c>
      <c r="P255" t="n">
        <v>11</v>
      </c>
      <c r="Q255" t="n">
        <v>9</v>
      </c>
      <c r="R255" t="n">
        <v>6</v>
      </c>
      <c r="S255" t="n">
        <v>1883</v>
      </c>
      <c r="T255" t="s">
        <v>7193</v>
      </c>
      <c r="U255" t="s">
        <v>7194</v>
      </c>
      <c r="V255" t="s">
        <v>74</v>
      </c>
      <c r="W255" t="s">
        <v>7195</v>
      </c>
      <c r="X255"/>
      <c r="Y255" t="s">
        <v>7196</v>
      </c>
      <c r="Z255"/>
      <c r="AA255"/>
      <c r="AB255" t="s">
        <v>7197</v>
      </c>
      <c r="AC255" t="n">
        <v>5</v>
      </c>
      <c r="AD255"/>
      <c r="AE255"/>
      <c r="AF255" t="s">
        <v>1379</v>
      </c>
      <c r="AG255" t="n">
        <v>61</v>
      </c>
    </row>
    <row r="256">
      <c r="A256" t="s">
        <v>7198</v>
      </c>
      <c r="B256" t="s">
        <v>26</v>
      </c>
      <c r="C256" t="s">
        <v>65</v>
      </c>
      <c r="D256" t="s">
        <v>7199</v>
      </c>
      <c r="E256" t="s">
        <v>79</v>
      </c>
      <c r="F256" t="s">
        <v>1274</v>
      </c>
      <c r="G256" t="s">
        <v>1653</v>
      </c>
      <c r="H256" t="n">
        <v>39.7749419542885</v>
      </c>
      <c r="I256" t="n">
        <v>-104.987586912656</v>
      </c>
      <c r="J256" t="s">
        <v>35</v>
      </c>
      <c r="K256" t="s">
        <v>201</v>
      </c>
      <c r="L256"/>
      <c r="M256" t="n">
        <v>1965</v>
      </c>
      <c r="N256" t="n">
        <v>1992</v>
      </c>
      <c r="O256" t="s">
        <v>7200</v>
      </c>
      <c r="P256" t="n">
        <v>13</v>
      </c>
      <c r="Q256" t="n">
        <v>11</v>
      </c>
      <c r="R256" t="n">
        <v>3</v>
      </c>
      <c r="S256" t="n">
        <v>1950</v>
      </c>
      <c r="T256" t="s">
        <v>7201</v>
      </c>
      <c r="U256" t="s">
        <v>7202</v>
      </c>
      <c r="V256" t="s">
        <v>74</v>
      </c>
      <c r="W256" t="s">
        <v>6610</v>
      </c>
      <c r="X256"/>
      <c r="Y256" t="s">
        <v>7203</v>
      </c>
      <c r="Z256"/>
      <c r="AA256" t="s">
        <v>7204</v>
      </c>
      <c r="AB256"/>
      <c r="AC256"/>
      <c r="AD256"/>
      <c r="AE256"/>
      <c r="AF256" t="s">
        <v>7205</v>
      </c>
      <c r="AG256" t="n">
        <v>57</v>
      </c>
    </row>
    <row r="257">
      <c r="A257" t="s">
        <v>7206</v>
      </c>
      <c r="B257" t="s">
        <v>26</v>
      </c>
      <c r="C257" t="s">
        <v>65</v>
      </c>
      <c r="D257" t="s">
        <v>7207</v>
      </c>
      <c r="E257" t="s">
        <v>79</v>
      </c>
      <c r="F257" t="s">
        <v>1274</v>
      </c>
      <c r="G257" t="s">
        <v>1574</v>
      </c>
      <c r="H257" t="n">
        <v>39.7586587577929</v>
      </c>
      <c r="I257" t="n">
        <v>-104.98527572338</v>
      </c>
      <c r="J257" t="s">
        <v>35</v>
      </c>
      <c r="K257" t="s">
        <v>527</v>
      </c>
      <c r="L257" t="s">
        <v>1337</v>
      </c>
      <c r="M257" t="n">
        <v>1965</v>
      </c>
      <c r="N257" t="n">
        <v>1988</v>
      </c>
      <c r="O257" t="s">
        <v>7208</v>
      </c>
      <c r="P257" t="n">
        <v>4</v>
      </c>
      <c r="Q257" t="n">
        <v>4</v>
      </c>
      <c r="R257" t="n">
        <v>2</v>
      </c>
      <c r="S257" t="n">
        <v>1942</v>
      </c>
      <c r="T257" t="s">
        <v>7209</v>
      </c>
      <c r="U257" t="s">
        <v>7210</v>
      </c>
      <c r="V257" t="s">
        <v>74</v>
      </c>
      <c r="W257" t="s">
        <v>7211</v>
      </c>
      <c r="X257"/>
      <c r="Y257"/>
      <c r="Z257"/>
      <c r="AA257"/>
      <c r="AB257" t="s">
        <v>7014</v>
      </c>
      <c r="AC257" t="n">
        <v>3</v>
      </c>
      <c r="AD257"/>
      <c r="AE257"/>
      <c r="AF257" t="s">
        <v>7015</v>
      </c>
      <c r="AG257" t="n">
        <v>78</v>
      </c>
    </row>
    <row r="258">
      <c r="A258" t="s">
        <v>7212</v>
      </c>
      <c r="B258" t="s">
        <v>26</v>
      </c>
      <c r="C258" t="s">
        <v>65</v>
      </c>
      <c r="D258" t="s">
        <v>7213</v>
      </c>
      <c r="E258" t="s">
        <v>79</v>
      </c>
      <c r="F258" t="s">
        <v>1274</v>
      </c>
      <c r="G258"/>
      <c r="H258" t="n">
        <v>39.7202550740373</v>
      </c>
      <c r="I258" t="n">
        <v>-105.016805586875</v>
      </c>
      <c r="J258" t="s">
        <v>35</v>
      </c>
      <c r="K258" t="s">
        <v>767</v>
      </c>
      <c r="L258" t="s">
        <v>202</v>
      </c>
      <c r="M258" t="n">
        <v>1965</v>
      </c>
      <c r="N258" t="n">
        <v>1992</v>
      </c>
      <c r="O258" t="s">
        <v>7214</v>
      </c>
      <c r="P258" t="n">
        <v>12</v>
      </c>
      <c r="Q258" t="n">
        <v>29</v>
      </c>
      <c r="R258" t="n">
        <v>10</v>
      </c>
      <c r="S258" t="n">
        <v>1903</v>
      </c>
      <c r="T258" t="s">
        <v>7215</v>
      </c>
      <c r="U258" t="s">
        <v>7216</v>
      </c>
      <c r="V258" t="s">
        <v>74</v>
      </c>
      <c r="W258" t="s">
        <v>7217</v>
      </c>
      <c r="X258"/>
      <c r="Y258" t="s">
        <v>7218</v>
      </c>
      <c r="Z258"/>
      <c r="AA258" t="s">
        <v>7219</v>
      </c>
      <c r="AB258" t="s">
        <v>7220</v>
      </c>
      <c r="AC258" t="n">
        <v>153</v>
      </c>
      <c r="AD258" t="s">
        <v>7221</v>
      </c>
      <c r="AE258" t="n">
        <v>243</v>
      </c>
      <c r="AF258" t="s">
        <v>7222</v>
      </c>
      <c r="AG258" t="n">
        <v>12</v>
      </c>
    </row>
    <row r="259">
      <c r="A259" t="s">
        <v>7223</v>
      </c>
      <c r="B259" t="s">
        <v>26</v>
      </c>
      <c r="C259" t="s">
        <v>24</v>
      </c>
      <c r="D259" t="s">
        <v>7224</v>
      </c>
      <c r="E259" t="s">
        <v>79</v>
      </c>
      <c r="F259" t="s">
        <v>1274</v>
      </c>
      <c r="G259"/>
      <c r="H259" t="n">
        <v>39.7190671439647</v>
      </c>
      <c r="I259" t="n">
        <v>-105.015200669571</v>
      </c>
      <c r="J259" t="s">
        <v>4109</v>
      </c>
      <c r="K259" t="s">
        <v>81</v>
      </c>
      <c r="L259"/>
      <c r="M259" t="n">
        <v>1965</v>
      </c>
      <c r="N259" t="n">
        <v>1990</v>
      </c>
      <c r="O259" t="s">
        <v>7225</v>
      </c>
      <c r="P259" t="n">
        <v>7</v>
      </c>
      <c r="Q259" t="n">
        <v>11</v>
      </c>
      <c r="R259" t="n">
        <v>5</v>
      </c>
      <c r="S259" t="n">
        <v>1908</v>
      </c>
      <c r="T259" t="s">
        <v>7226</v>
      </c>
      <c r="U259" t="s">
        <v>7227</v>
      </c>
      <c r="V259" t="s">
        <v>74</v>
      </c>
      <c r="W259" t="s">
        <v>7228</v>
      </c>
      <c r="X259" t="s">
        <v>7229</v>
      </c>
      <c r="Y259" t="s">
        <v>7230</v>
      </c>
      <c r="Z259"/>
      <c r="AA259"/>
      <c r="AB259" t="s">
        <v>7220</v>
      </c>
      <c r="AC259" t="n">
        <v>81</v>
      </c>
      <c r="AD259" t="s">
        <v>7231</v>
      </c>
      <c r="AE259" t="n">
        <v>120</v>
      </c>
      <c r="AF259" t="s">
        <v>7232</v>
      </c>
      <c r="AG259" t="n">
        <v>59</v>
      </c>
    </row>
    <row r="260">
      <c r="A260" t="s">
        <v>7233</v>
      </c>
      <c r="B260" t="s">
        <v>26</v>
      </c>
      <c r="C260" t="s">
        <v>65</v>
      </c>
      <c r="D260" t="s">
        <v>7234</v>
      </c>
      <c r="E260" t="s">
        <v>79</v>
      </c>
      <c r="F260" t="s">
        <v>1274</v>
      </c>
      <c r="G260"/>
      <c r="H260" t="n">
        <v>39.7680186226302</v>
      </c>
      <c r="I260" t="n">
        <v>-104.974857167047</v>
      </c>
      <c r="J260" t="s">
        <v>35</v>
      </c>
      <c r="K260" t="s">
        <v>1871</v>
      </c>
      <c r="L260"/>
      <c r="M260" t="n">
        <v>1965</v>
      </c>
      <c r="N260" t="n">
        <v>1990</v>
      </c>
      <c r="O260" t="s">
        <v>7235</v>
      </c>
      <c r="P260" t="n">
        <v>6</v>
      </c>
      <c r="Q260" t="n">
        <v>7</v>
      </c>
      <c r="R260" t="n">
        <v>4</v>
      </c>
      <c r="S260" t="n">
        <v>1982</v>
      </c>
      <c r="T260" t="s">
        <v>7236</v>
      </c>
      <c r="U260" t="s">
        <v>7237</v>
      </c>
      <c r="V260" t="s">
        <v>74</v>
      </c>
      <c r="W260" t="s">
        <v>7238</v>
      </c>
      <c r="X260" t="s">
        <v>7239</v>
      </c>
      <c r="Y260"/>
      <c r="Z260"/>
      <c r="AA260" t="s">
        <v>7240</v>
      </c>
      <c r="AB260" t="s">
        <v>7181</v>
      </c>
      <c r="AC260" t="n">
        <v>87</v>
      </c>
      <c r="AD260" t="s">
        <v>1591</v>
      </c>
      <c r="AE260" t="n">
        <v>104</v>
      </c>
      <c r="AF260" t="s">
        <v>7241</v>
      </c>
      <c r="AG260" t="n">
        <v>104</v>
      </c>
    </row>
    <row r="261">
      <c r="A261" t="s">
        <v>7242</v>
      </c>
      <c r="B261" t="s">
        <v>26</v>
      </c>
      <c r="C261" t="s">
        <v>65</v>
      </c>
      <c r="D261" t="s">
        <v>7243</v>
      </c>
      <c r="E261" t="s">
        <v>79</v>
      </c>
      <c r="F261" t="s">
        <v>1274</v>
      </c>
      <c r="G261" t="s">
        <v>1653</v>
      </c>
      <c r="H261" t="n">
        <v>39.7937857004161</v>
      </c>
      <c r="I261" t="n">
        <v>-104.98517895017</v>
      </c>
      <c r="J261" t="s">
        <v>35</v>
      </c>
      <c r="K261" t="s">
        <v>1639</v>
      </c>
      <c r="L261"/>
      <c r="M261" t="n">
        <v>1966</v>
      </c>
      <c r="N261" t="n">
        <v>1988</v>
      </c>
      <c r="O261" t="s">
        <v>7244</v>
      </c>
      <c r="P261" t="n">
        <v>2</v>
      </c>
      <c r="Q261" t="n">
        <v>2</v>
      </c>
      <c r="R261" t="n">
        <v>2</v>
      </c>
      <c r="S261" t="n">
        <v>1953</v>
      </c>
      <c r="T261" t="s">
        <v>7245</v>
      </c>
      <c r="U261" t="s">
        <v>7246</v>
      </c>
      <c r="V261" t="s">
        <v>74</v>
      </c>
      <c r="W261" t="s">
        <v>7247</v>
      </c>
      <c r="X261"/>
      <c r="Y261"/>
      <c r="Z261"/>
      <c r="AA261"/>
      <c r="AB261" t="s">
        <v>7248</v>
      </c>
      <c r="AC261" t="n">
        <v>98</v>
      </c>
      <c r="AD261"/>
      <c r="AE261"/>
      <c r="AF261" t="s">
        <v>7249</v>
      </c>
      <c r="AG261" t="n">
        <v>106</v>
      </c>
    </row>
    <row r="262">
      <c r="A262" t="s">
        <v>7250</v>
      </c>
      <c r="B262" t="s">
        <v>26</v>
      </c>
      <c r="C262" t="s">
        <v>24</v>
      </c>
      <c r="D262" t="s">
        <v>7251</v>
      </c>
      <c r="E262" t="s">
        <v>79</v>
      </c>
      <c r="F262" t="s">
        <v>1274</v>
      </c>
      <c r="G262" t="s">
        <v>1653</v>
      </c>
      <c r="H262" t="n">
        <v>39.7928106274341</v>
      </c>
      <c r="I262" t="n">
        <v>-104.988663949304</v>
      </c>
      <c r="J262" t="s">
        <v>4109</v>
      </c>
      <c r="K262" t="s">
        <v>4870</v>
      </c>
      <c r="L262" t="s">
        <v>98</v>
      </c>
      <c r="M262" t="n">
        <v>1966</v>
      </c>
      <c r="N262" t="n">
        <v>1992</v>
      </c>
      <c r="O262" t="s">
        <v>7252</v>
      </c>
      <c r="P262" t="n">
        <v>8</v>
      </c>
      <c r="Q262" t="n">
        <v>3</v>
      </c>
      <c r="R262" t="n">
        <v>3</v>
      </c>
      <c r="S262" t="n">
        <v>1960</v>
      </c>
      <c r="T262" t="s">
        <v>7253</v>
      </c>
      <c r="U262" t="s">
        <v>7254</v>
      </c>
      <c r="V262" t="s">
        <v>74</v>
      </c>
      <c r="W262" t="s">
        <v>7255</v>
      </c>
      <c r="X262" t="s">
        <v>7256</v>
      </c>
      <c r="Y262" t="s">
        <v>7257</v>
      </c>
      <c r="Z262"/>
      <c r="AA262" t="s">
        <v>7258</v>
      </c>
      <c r="AB262" t="s">
        <v>7259</v>
      </c>
      <c r="AC262" t="n">
        <v>65</v>
      </c>
      <c r="AD262" t="s">
        <v>7260</v>
      </c>
      <c r="AE262" t="n">
        <v>60</v>
      </c>
      <c r="AF262" t="s">
        <v>3038</v>
      </c>
      <c r="AG262" t="n">
        <v>4</v>
      </c>
    </row>
    <row r="263">
      <c r="A263" t="s">
        <v>7261</v>
      </c>
      <c r="B263" t="s">
        <v>26</v>
      </c>
      <c r="C263" t="s">
        <v>65</v>
      </c>
      <c r="D263" t="s">
        <v>7262</v>
      </c>
      <c r="E263" t="s">
        <v>79</v>
      </c>
      <c r="F263" t="s">
        <v>1274</v>
      </c>
      <c r="G263" t="s">
        <v>1653</v>
      </c>
      <c r="H263" t="n">
        <v>39.794539176203</v>
      </c>
      <c r="I263" t="n">
        <v>-104.978252444771</v>
      </c>
      <c r="J263" t="s">
        <v>35</v>
      </c>
      <c r="K263" t="s">
        <v>270</v>
      </c>
      <c r="L263"/>
      <c r="M263" t="n">
        <v>1966</v>
      </c>
      <c r="N263" t="n">
        <v>1990</v>
      </c>
      <c r="O263" t="s">
        <v>7263</v>
      </c>
      <c r="P263" t="n">
        <v>8</v>
      </c>
      <c r="Q263" t="n">
        <v>6</v>
      </c>
      <c r="R263" t="n">
        <v>3</v>
      </c>
      <c r="S263" t="n">
        <v>1946</v>
      </c>
      <c r="T263" t="s">
        <v>7264</v>
      </c>
      <c r="U263" t="s">
        <v>7265</v>
      </c>
      <c r="V263" t="s">
        <v>74</v>
      </c>
      <c r="W263" t="s">
        <v>7266</v>
      </c>
      <c r="X263"/>
      <c r="Y263" t="s">
        <v>7267</v>
      </c>
      <c r="Z263"/>
      <c r="AA263" t="s">
        <v>7268</v>
      </c>
      <c r="AB263" t="s">
        <v>7269</v>
      </c>
      <c r="AC263" t="n">
        <v>209</v>
      </c>
      <c r="AD263"/>
      <c r="AE263"/>
      <c r="AF263" t="s">
        <v>7270</v>
      </c>
      <c r="AG263" t="n">
        <v>79</v>
      </c>
    </row>
    <row r="264">
      <c r="A264" t="s">
        <v>7271</v>
      </c>
      <c r="B264" t="s">
        <v>26</v>
      </c>
      <c r="C264" t="s">
        <v>65</v>
      </c>
      <c r="D264" t="s">
        <v>7272</v>
      </c>
      <c r="E264" t="s">
        <v>79</v>
      </c>
      <c r="F264" t="s">
        <v>1274</v>
      </c>
      <c r="G264" t="s">
        <v>1653</v>
      </c>
      <c r="H264" t="n">
        <v>39.8049787528345</v>
      </c>
      <c r="I264" t="n">
        <v>-104.978093365079</v>
      </c>
      <c r="J264" t="s">
        <v>35</v>
      </c>
      <c r="K264" t="s">
        <v>201</v>
      </c>
      <c r="L264"/>
      <c r="M264" t="n">
        <v>1966</v>
      </c>
      <c r="N264" t="n">
        <v>1983</v>
      </c>
      <c r="O264" t="s">
        <v>7273</v>
      </c>
      <c r="P264" t="n">
        <v>8</v>
      </c>
      <c r="Q264" t="n">
        <v>8</v>
      </c>
      <c r="R264" t="n">
        <v>8</v>
      </c>
      <c r="S264" t="n">
        <v>1883</v>
      </c>
      <c r="T264" t="s">
        <v>7274</v>
      </c>
      <c r="U264" t="s">
        <v>7275</v>
      </c>
      <c r="V264" t="s">
        <v>74</v>
      </c>
      <c r="W264" t="s">
        <v>7276</v>
      </c>
      <c r="X264" t="s">
        <v>7277</v>
      </c>
      <c r="Y264" t="s">
        <v>7278</v>
      </c>
      <c r="Z264"/>
      <c r="AA264" t="s">
        <v>7279</v>
      </c>
      <c r="AB264" t="s">
        <v>7280</v>
      </c>
      <c r="AC264" t="n">
        <v>9</v>
      </c>
      <c r="AD264" t="s">
        <v>7281</v>
      </c>
      <c r="AE264" t="n">
        <v>6</v>
      </c>
      <c r="AF264" t="s">
        <v>7282</v>
      </c>
      <c r="AG264" t="n">
        <v>6</v>
      </c>
    </row>
    <row r="265">
      <c r="A265" t="s">
        <v>7283</v>
      </c>
      <c r="B265" t="s">
        <v>26</v>
      </c>
      <c r="C265" t="s">
        <v>24</v>
      </c>
      <c r="D265" t="s">
        <v>7284</v>
      </c>
      <c r="E265" t="s">
        <v>79</v>
      </c>
      <c r="F265" t="s">
        <v>1274</v>
      </c>
      <c r="G265" t="s">
        <v>1653</v>
      </c>
      <c r="H265" t="n">
        <v>39.7758424948844</v>
      </c>
      <c r="I265" t="n">
        <v>-104.951942562318</v>
      </c>
      <c r="J265" t="s">
        <v>4109</v>
      </c>
      <c r="K265" t="s">
        <v>1296</v>
      </c>
      <c r="L265"/>
      <c r="M265" t="n">
        <v>1966</v>
      </c>
      <c r="N265" t="n">
        <v>1992</v>
      </c>
      <c r="O265" t="s">
        <v>7285</v>
      </c>
      <c r="P265" t="n">
        <v>12</v>
      </c>
      <c r="Q265" t="n">
        <v>5</v>
      </c>
      <c r="R265" t="n">
        <v>3</v>
      </c>
      <c r="S265" t="n">
        <v>1957</v>
      </c>
      <c r="T265" t="s">
        <v>7286</v>
      </c>
      <c r="U265" t="s">
        <v>7287</v>
      </c>
      <c r="V265" t="s">
        <v>74</v>
      </c>
      <c r="W265" t="s">
        <v>6610</v>
      </c>
      <c r="X265"/>
      <c r="Y265"/>
      <c r="Z265"/>
      <c r="AA265" t="s">
        <v>7288</v>
      </c>
      <c r="AB265" t="s">
        <v>7289</v>
      </c>
      <c r="AC265" t="n">
        <v>138</v>
      </c>
      <c r="AD265" t="s">
        <v>7290</v>
      </c>
      <c r="AE265" t="n">
        <v>160</v>
      </c>
      <c r="AF265" t="s">
        <v>7291</v>
      </c>
      <c r="AG265" t="n">
        <v>95</v>
      </c>
    </row>
    <row r="266">
      <c r="A266" t="s">
        <v>7292</v>
      </c>
      <c r="B266" t="s">
        <v>26</v>
      </c>
      <c r="C266" t="s">
        <v>65</v>
      </c>
      <c r="D266" t="s">
        <v>7293</v>
      </c>
      <c r="E266" t="s">
        <v>79</v>
      </c>
      <c r="F266" t="s">
        <v>1274</v>
      </c>
      <c r="G266" t="s">
        <v>1638</v>
      </c>
      <c r="H266" t="n">
        <v>39.7605854534075</v>
      </c>
      <c r="I266" t="n">
        <v>-104.982721976912</v>
      </c>
      <c r="J266" t="s">
        <v>35</v>
      </c>
      <c r="K266" t="s">
        <v>1282</v>
      </c>
      <c r="L266"/>
      <c r="M266" t="n">
        <v>1966</v>
      </c>
      <c r="N266" t="n">
        <v>1990</v>
      </c>
      <c r="O266" t="s">
        <v>7294</v>
      </c>
      <c r="P266" t="n">
        <v>7</v>
      </c>
      <c r="Q266" t="n">
        <v>5</v>
      </c>
      <c r="R266" t="n">
        <v>3</v>
      </c>
      <c r="S266" t="n">
        <v>1909</v>
      </c>
      <c r="T266" t="s">
        <v>7295</v>
      </c>
      <c r="U266" t="s">
        <v>7296</v>
      </c>
      <c r="V266" t="s">
        <v>74</v>
      </c>
      <c r="W266" t="s">
        <v>7297</v>
      </c>
      <c r="X266"/>
      <c r="Y266" t="s">
        <v>7298</v>
      </c>
      <c r="Z266"/>
      <c r="AA266" t="s">
        <v>7299</v>
      </c>
      <c r="AB266" t="s">
        <v>6897</v>
      </c>
      <c r="AC266" t="n">
        <v>6</v>
      </c>
      <c r="AD266" t="s">
        <v>6699</v>
      </c>
      <c r="AE266" t="n">
        <v>211</v>
      </c>
      <c r="AF266" t="s">
        <v>7015</v>
      </c>
      <c r="AG266" t="n">
        <v>16</v>
      </c>
    </row>
    <row r="267">
      <c r="A267" t="s">
        <v>7300</v>
      </c>
      <c r="B267" t="s">
        <v>26</v>
      </c>
      <c r="C267" t="s">
        <v>65</v>
      </c>
      <c r="D267" t="s">
        <v>7301</v>
      </c>
      <c r="E267" t="s">
        <v>79</v>
      </c>
      <c r="F267" t="s">
        <v>1274</v>
      </c>
      <c r="G267" t="s">
        <v>1516</v>
      </c>
      <c r="H267" t="n">
        <v>39.7160909812102</v>
      </c>
      <c r="I267" t="n">
        <v>-105.000179629824</v>
      </c>
      <c r="J267" t="s">
        <v>35</v>
      </c>
      <c r="K267" t="s">
        <v>141</v>
      </c>
      <c r="L267"/>
      <c r="M267" t="n">
        <v>1966</v>
      </c>
      <c r="N267" t="n">
        <v>1968</v>
      </c>
      <c r="O267" t="s">
        <v>2764</v>
      </c>
      <c r="P267" t="n">
        <v>3</v>
      </c>
      <c r="Q267" t="n">
        <v>2</v>
      </c>
      <c r="R267" t="n">
        <v>2</v>
      </c>
      <c r="S267" t="n">
        <v>1961</v>
      </c>
      <c r="T267" t="s">
        <v>7302</v>
      </c>
      <c r="U267" t="s">
        <v>7303</v>
      </c>
      <c r="V267" t="s">
        <v>74</v>
      </c>
      <c r="W267" t="s">
        <v>7304</v>
      </c>
      <c r="X267"/>
      <c r="Y267" t="s">
        <v>7305</v>
      </c>
      <c r="Z267"/>
      <c r="AA267"/>
      <c r="AB267" t="s">
        <v>2132</v>
      </c>
      <c r="AC267" t="n">
        <v>31</v>
      </c>
      <c r="AD267" t="s">
        <v>1536</v>
      </c>
      <c r="AE267" t="n">
        <v>217</v>
      </c>
      <c r="AF267" t="s">
        <v>7306</v>
      </c>
      <c r="AG267" t="n">
        <v>26</v>
      </c>
    </row>
    <row r="268">
      <c r="A268" t="s">
        <v>7307</v>
      </c>
      <c r="B268" t="s">
        <v>26</v>
      </c>
      <c r="C268" t="s">
        <v>65</v>
      </c>
      <c r="D268" t="s">
        <v>7308</v>
      </c>
      <c r="E268" t="s">
        <v>79</v>
      </c>
      <c r="F268" t="s">
        <v>1274</v>
      </c>
      <c r="G268" t="s">
        <v>1516</v>
      </c>
      <c r="H268" t="n">
        <v>39.6932446705575</v>
      </c>
      <c r="I268" t="n">
        <v>-104.999181405491</v>
      </c>
      <c r="J268" t="s">
        <v>35</v>
      </c>
      <c r="K268" t="s">
        <v>2274</v>
      </c>
      <c r="L268"/>
      <c r="M268" t="n">
        <v>1966</v>
      </c>
      <c r="N268" t="n">
        <v>1992</v>
      </c>
      <c r="O268" t="s">
        <v>3312</v>
      </c>
      <c r="P268" t="n">
        <v>10</v>
      </c>
      <c r="Q268" t="n">
        <v>6</v>
      </c>
      <c r="R268" t="n">
        <v>2</v>
      </c>
      <c r="S268" t="n">
        <v>1958</v>
      </c>
      <c r="T268" t="s">
        <v>7309</v>
      </c>
      <c r="U268" t="s">
        <v>7310</v>
      </c>
      <c r="V268" t="s">
        <v>74</v>
      </c>
      <c r="W268" t="s">
        <v>6540</v>
      </c>
      <c r="X268"/>
      <c r="Y268"/>
      <c r="Z268"/>
      <c r="AA268" t="s">
        <v>7311</v>
      </c>
      <c r="AB268"/>
      <c r="AC268"/>
      <c r="AD268" t="s">
        <v>1478</v>
      </c>
      <c r="AE268" t="n">
        <v>121</v>
      </c>
      <c r="AF268" t="s">
        <v>7312</v>
      </c>
      <c r="AG268" t="n">
        <v>62</v>
      </c>
    </row>
    <row r="269">
      <c r="A269" t="s">
        <v>7313</v>
      </c>
      <c r="B269" t="s">
        <v>26</v>
      </c>
      <c r="C269" t="s">
        <v>24</v>
      </c>
      <c r="D269" t="s">
        <v>7314</v>
      </c>
      <c r="E269" t="s">
        <v>79</v>
      </c>
      <c r="F269" t="s">
        <v>1274</v>
      </c>
      <c r="G269" t="s">
        <v>1653</v>
      </c>
      <c r="H269" t="n">
        <v>39.7702284477043</v>
      </c>
      <c r="I269" t="n">
        <v>-104.977241255614</v>
      </c>
      <c r="J269" t="s">
        <v>35</v>
      </c>
      <c r="K269" t="s">
        <v>120</v>
      </c>
      <c r="L269"/>
      <c r="M269" t="n">
        <v>1966</v>
      </c>
      <c r="N269" t="n">
        <v>1977</v>
      </c>
      <c r="O269" t="s">
        <v>228</v>
      </c>
      <c r="P269" t="n">
        <v>4</v>
      </c>
      <c r="Q269" t="n">
        <v>3</v>
      </c>
      <c r="R269" t="n">
        <v>2</v>
      </c>
      <c r="S269" t="n">
        <v>1948</v>
      </c>
      <c r="T269" t="s">
        <v>7315</v>
      </c>
      <c r="U269" t="s">
        <v>7316</v>
      </c>
      <c r="V269" t="s">
        <v>4175</v>
      </c>
      <c r="W269" t="s">
        <v>6610</v>
      </c>
      <c r="X269"/>
      <c r="Y269" t="s">
        <v>7317</v>
      </c>
      <c r="Z269"/>
      <c r="AA269" t="s">
        <v>7318</v>
      </c>
      <c r="AB269" t="s">
        <v>7319</v>
      </c>
      <c r="AC269" t="n">
        <v>101</v>
      </c>
      <c r="AD269" t="s">
        <v>1591</v>
      </c>
      <c r="AE269" t="n">
        <v>216</v>
      </c>
      <c r="AF269" t="s">
        <v>6841</v>
      </c>
      <c r="AG269" t="n">
        <v>17</v>
      </c>
    </row>
    <row r="270">
      <c r="A270" t="s">
        <v>7320</v>
      </c>
      <c r="B270" t="s">
        <v>26</v>
      </c>
      <c r="C270" t="s">
        <v>24</v>
      </c>
      <c r="D270" t="s">
        <v>6674</v>
      </c>
      <c r="E270" t="s">
        <v>79</v>
      </c>
      <c r="F270" t="s">
        <v>1274</v>
      </c>
      <c r="G270" t="s">
        <v>1824</v>
      </c>
      <c r="H270" t="n">
        <v>39.709346</v>
      </c>
      <c r="I270" t="n">
        <v>-104.989998</v>
      </c>
      <c r="J270" t="s">
        <v>4109</v>
      </c>
      <c r="K270" t="s">
        <v>120</v>
      </c>
      <c r="L270"/>
      <c r="M270" t="n">
        <v>1966</v>
      </c>
      <c r="N270" t="n">
        <v>1973</v>
      </c>
      <c r="O270" t="s">
        <v>4342</v>
      </c>
      <c r="P270" t="n">
        <v>4</v>
      </c>
      <c r="Q270" t="n">
        <v>3</v>
      </c>
      <c r="R270" t="n">
        <v>3</v>
      </c>
      <c r="S270" t="n">
        <v>1942</v>
      </c>
      <c r="T270" t="s">
        <v>7321</v>
      </c>
      <c r="U270" t="s">
        <v>7322</v>
      </c>
      <c r="V270" t="s">
        <v>74</v>
      </c>
      <c r="W270" t="s">
        <v>6678</v>
      </c>
      <c r="X270" t="s">
        <v>7323</v>
      </c>
      <c r="Y270" t="s">
        <v>7324</v>
      </c>
      <c r="Z270"/>
      <c r="AA270" t="s">
        <v>7325</v>
      </c>
      <c r="AB270"/>
      <c r="AC270"/>
      <c r="AD270" t="s">
        <v>2094</v>
      </c>
      <c r="AE270" t="n">
        <v>214</v>
      </c>
      <c r="AF270" t="s">
        <v>7326</v>
      </c>
      <c r="AG270" t="n">
        <v>1</v>
      </c>
    </row>
    <row r="271">
      <c r="A271" t="s">
        <v>7327</v>
      </c>
      <c r="B271" t="s">
        <v>26</v>
      </c>
      <c r="C271" t="s">
        <v>24</v>
      </c>
      <c r="D271" t="s">
        <v>7328</v>
      </c>
      <c r="E271" t="s">
        <v>79</v>
      </c>
      <c r="F271" t="s">
        <v>1274</v>
      </c>
      <c r="G271" t="s">
        <v>4335</v>
      </c>
      <c r="H271" t="n">
        <v>39.744047</v>
      </c>
      <c r="I271" t="n">
        <v>-105.00269</v>
      </c>
      <c r="J271" t="s">
        <v>4109</v>
      </c>
      <c r="K271" t="s">
        <v>120</v>
      </c>
      <c r="L271"/>
      <c r="M271" t="n">
        <v>1966</v>
      </c>
      <c r="N271" t="n">
        <v>1973</v>
      </c>
      <c r="O271" t="s">
        <v>4342</v>
      </c>
      <c r="P271" t="n">
        <v>4</v>
      </c>
      <c r="Q271" t="n">
        <v>4</v>
      </c>
      <c r="R271" t="n">
        <v>3</v>
      </c>
      <c r="S271" t="n">
        <v>1947</v>
      </c>
      <c r="T271" t="s">
        <v>7329</v>
      </c>
      <c r="U271" t="s">
        <v>7330</v>
      </c>
      <c r="V271" t="s">
        <v>74</v>
      </c>
      <c r="W271" t="s">
        <v>7331</v>
      </c>
      <c r="X271"/>
      <c r="Y271" t="s">
        <v>7332</v>
      </c>
      <c r="Z271"/>
      <c r="AA271" t="s">
        <v>7333</v>
      </c>
      <c r="AB271" t="s">
        <v>4274</v>
      </c>
      <c r="AC271" t="n">
        <v>120</v>
      </c>
      <c r="AD271"/>
      <c r="AE271"/>
      <c r="AF271" t="s">
        <v>4275</v>
      </c>
      <c r="AG271" t="n">
        <v>177</v>
      </c>
    </row>
    <row r="272">
      <c r="A272" t="s">
        <v>7334</v>
      </c>
      <c r="B272" t="s">
        <v>26</v>
      </c>
      <c r="C272" t="s">
        <v>65</v>
      </c>
      <c r="D272" t="s">
        <v>7335</v>
      </c>
      <c r="E272" t="s">
        <v>79</v>
      </c>
      <c r="F272" t="s">
        <v>1274</v>
      </c>
      <c r="G272" t="s">
        <v>1653</v>
      </c>
      <c r="H272" t="n">
        <v>39.783427</v>
      </c>
      <c r="I272" t="n">
        <v>-104.931622</v>
      </c>
      <c r="J272" t="s">
        <v>35</v>
      </c>
      <c r="K272" t="s">
        <v>70</v>
      </c>
      <c r="L272"/>
      <c r="M272" t="n">
        <v>1966</v>
      </c>
      <c r="N272" t="n">
        <v>1990</v>
      </c>
      <c r="O272" t="s">
        <v>7336</v>
      </c>
      <c r="P272" t="n">
        <v>8</v>
      </c>
      <c r="Q272" t="n">
        <v>3</v>
      </c>
      <c r="R272" t="n">
        <v>3</v>
      </c>
      <c r="S272" t="n">
        <v>1937</v>
      </c>
      <c r="T272" t="s">
        <v>7337</v>
      </c>
      <c r="U272" t="s">
        <v>7338</v>
      </c>
      <c r="V272" t="s">
        <v>74</v>
      </c>
      <c r="W272" t="s">
        <v>7339</v>
      </c>
      <c r="X272" t="s">
        <v>7340</v>
      </c>
      <c r="Y272" t="s">
        <v>7341</v>
      </c>
      <c r="Z272"/>
      <c r="AA272"/>
      <c r="AB272" t="s">
        <v>7342</v>
      </c>
      <c r="AC272" t="n">
        <v>9</v>
      </c>
      <c r="AD272" t="s">
        <v>7343</v>
      </c>
      <c r="AE272" t="n">
        <v>75</v>
      </c>
      <c r="AF272" t="s">
        <v>7344</v>
      </c>
      <c r="AG272" t="n">
        <v>72</v>
      </c>
    </row>
    <row r="273">
      <c r="A273" t="s">
        <v>7345</v>
      </c>
      <c r="B273" t="s">
        <v>26</v>
      </c>
      <c r="C273" t="s">
        <v>24</v>
      </c>
      <c r="D273" t="s">
        <v>7346</v>
      </c>
      <c r="E273" t="s">
        <v>79</v>
      </c>
      <c r="F273" t="s">
        <v>1274</v>
      </c>
      <c r="G273" t="s">
        <v>1653</v>
      </c>
      <c r="H273" t="n">
        <v>39.7712859408892</v>
      </c>
      <c r="I273" t="n">
        <v>-104.977594181645</v>
      </c>
      <c r="J273" t="s">
        <v>4109</v>
      </c>
      <c r="K273" t="s">
        <v>141</v>
      </c>
      <c r="L273"/>
      <c r="M273" t="n">
        <v>1966</v>
      </c>
      <c r="N273" t="n">
        <v>1990</v>
      </c>
      <c r="O273" t="s">
        <v>7347</v>
      </c>
      <c r="P273" t="n">
        <v>9</v>
      </c>
      <c r="Q273" t="n">
        <v>5</v>
      </c>
      <c r="R273" t="n">
        <v>4</v>
      </c>
      <c r="S273" t="n">
        <v>1904</v>
      </c>
      <c r="T273" t="s">
        <v>7348</v>
      </c>
      <c r="U273" t="s">
        <v>7349</v>
      </c>
      <c r="V273" t="s">
        <v>74</v>
      </c>
      <c r="W273" t="s">
        <v>7350</v>
      </c>
      <c r="X273"/>
      <c r="Y273" t="s">
        <v>7351</v>
      </c>
      <c r="Z273"/>
      <c r="AA273" t="s">
        <v>7352</v>
      </c>
      <c r="AB273" t="s">
        <v>7353</v>
      </c>
      <c r="AC273" t="n">
        <v>46</v>
      </c>
      <c r="AD273" t="s">
        <v>7354</v>
      </c>
      <c r="AE273" t="n">
        <v>213</v>
      </c>
      <c r="AF273" t="s">
        <v>7355</v>
      </c>
      <c r="AG273" t="n">
        <v>16</v>
      </c>
    </row>
    <row r="274">
      <c r="A274" t="s">
        <v>7356</v>
      </c>
      <c r="B274" t="s">
        <v>26</v>
      </c>
      <c r="C274" t="s">
        <v>24</v>
      </c>
      <c r="D274" t="s">
        <v>7357</v>
      </c>
      <c r="E274" t="s">
        <v>79</v>
      </c>
      <c r="F274" t="s">
        <v>1274</v>
      </c>
      <c r="G274" t="s">
        <v>1653</v>
      </c>
      <c r="H274" t="n">
        <v>39.7674980119242</v>
      </c>
      <c r="I274" t="n">
        <v>-104.982438441669</v>
      </c>
      <c r="J274" t="s">
        <v>35</v>
      </c>
      <c r="K274" t="s">
        <v>133</v>
      </c>
      <c r="L274"/>
      <c r="M274" t="n">
        <v>1966</v>
      </c>
      <c r="N274" t="n">
        <v>1974</v>
      </c>
      <c r="O274" t="s">
        <v>4172</v>
      </c>
      <c r="P274" t="n">
        <v>4</v>
      </c>
      <c r="Q274" t="n">
        <v>4</v>
      </c>
      <c r="R274" t="n">
        <v>1</v>
      </c>
      <c r="S274" t="n">
        <v>1936</v>
      </c>
      <c r="T274" t="s">
        <v>7358</v>
      </c>
      <c r="U274" t="s">
        <v>7359</v>
      </c>
      <c r="V274" t="s">
        <v>4175</v>
      </c>
      <c r="W274" t="s">
        <v>7360</v>
      </c>
      <c r="X274"/>
      <c r="Y274"/>
      <c r="Z274"/>
      <c r="AA274" t="s">
        <v>7361</v>
      </c>
      <c r="AB274" t="s">
        <v>7362</v>
      </c>
      <c r="AC274" t="n">
        <v>36</v>
      </c>
      <c r="AD274"/>
      <c r="AE274"/>
      <c r="AF274" t="s">
        <v>7363</v>
      </c>
      <c r="AG274" t="n">
        <v>110</v>
      </c>
    </row>
    <row r="275">
      <c r="A275" t="s">
        <v>7364</v>
      </c>
      <c r="B275" t="s">
        <v>26</v>
      </c>
      <c r="C275" t="s">
        <v>24</v>
      </c>
      <c r="D275" t="s">
        <v>7365</v>
      </c>
      <c r="E275" t="s">
        <v>79</v>
      </c>
      <c r="F275" t="s">
        <v>1274</v>
      </c>
      <c r="G275" t="s">
        <v>1911</v>
      </c>
      <c r="H275" t="n">
        <v>39.74039857242</v>
      </c>
      <c r="I275" t="n">
        <v>-104.918773714289</v>
      </c>
      <c r="J275" t="s">
        <v>4109</v>
      </c>
      <c r="K275" t="s">
        <v>120</v>
      </c>
      <c r="L275" t="s">
        <v>1002</v>
      </c>
      <c r="M275" t="n">
        <v>1966</v>
      </c>
      <c r="N275" t="n">
        <v>1970</v>
      </c>
      <c r="O275" t="s">
        <v>7366</v>
      </c>
      <c r="P275" t="n">
        <v>4</v>
      </c>
      <c r="Q275" t="n">
        <v>1</v>
      </c>
      <c r="R275" t="n">
        <v>1</v>
      </c>
      <c r="S275" t="n">
        <v>1954</v>
      </c>
      <c r="T275" t="s">
        <v>7367</v>
      </c>
      <c r="U275" t="s">
        <v>7368</v>
      </c>
      <c r="V275" t="s">
        <v>74</v>
      </c>
      <c r="W275" t="s">
        <v>7369</v>
      </c>
      <c r="X275"/>
      <c r="Y275"/>
      <c r="Z275"/>
      <c r="AA275"/>
      <c r="AB275" t="s">
        <v>7370</v>
      </c>
      <c r="AC275" t="n">
        <v>54</v>
      </c>
      <c r="AD275"/>
      <c r="AE275"/>
      <c r="AF275" t="s">
        <v>7371</v>
      </c>
      <c r="AG275" t="n">
        <v>215</v>
      </c>
    </row>
    <row r="276">
      <c r="A276" t="s">
        <v>7372</v>
      </c>
      <c r="B276" t="s">
        <v>26</v>
      </c>
      <c r="C276" t="s">
        <v>24</v>
      </c>
      <c r="D276" t="s">
        <v>7373</v>
      </c>
      <c r="E276" t="s">
        <v>79</v>
      </c>
      <c r="F276" t="s">
        <v>1274</v>
      </c>
      <c r="G276" t="s">
        <v>1653</v>
      </c>
      <c r="H276" t="n">
        <v>39.783751</v>
      </c>
      <c r="I276" t="n">
        <v>-104.966676</v>
      </c>
      <c r="J276" t="s">
        <v>4109</v>
      </c>
      <c r="K276" t="s">
        <v>282</v>
      </c>
      <c r="L276" t="s">
        <v>98</v>
      </c>
      <c r="M276" t="n">
        <v>1966</v>
      </c>
      <c r="N276" t="n">
        <v>1992</v>
      </c>
      <c r="O276" t="s">
        <v>7374</v>
      </c>
      <c r="P276" t="n">
        <v>11</v>
      </c>
      <c r="Q276" t="n">
        <v>4</v>
      </c>
      <c r="R276" t="n">
        <v>2</v>
      </c>
      <c r="S276" t="n">
        <v>1906</v>
      </c>
      <c r="T276" t="s">
        <v>7375</v>
      </c>
      <c r="U276" t="s">
        <v>7376</v>
      </c>
      <c r="V276" t="s">
        <v>74</v>
      </c>
      <c r="W276" t="s">
        <v>7377</v>
      </c>
      <c r="X276" t="s">
        <v>7378</v>
      </c>
      <c r="Y276" t="s">
        <v>7379</v>
      </c>
      <c r="Z276"/>
      <c r="AA276" t="s">
        <v>7380</v>
      </c>
      <c r="AB276" t="s">
        <v>7381</v>
      </c>
      <c r="AC276" t="n">
        <v>2</v>
      </c>
      <c r="AD276" t="s">
        <v>7382</v>
      </c>
      <c r="AE276" t="n">
        <v>46</v>
      </c>
      <c r="AF276" t="s">
        <v>7383</v>
      </c>
      <c r="AG276" t="n">
        <v>2</v>
      </c>
    </row>
    <row r="277">
      <c r="A277" t="s">
        <v>7384</v>
      </c>
      <c r="B277" t="s">
        <v>26</v>
      </c>
      <c r="C277" t="s">
        <v>24</v>
      </c>
      <c r="D277" t="s">
        <v>7385</v>
      </c>
      <c r="E277" t="s">
        <v>79</v>
      </c>
      <c r="F277" t="s">
        <v>1274</v>
      </c>
      <c r="G277" t="s">
        <v>1653</v>
      </c>
      <c r="H277" t="n">
        <v>39.7717356545007</v>
      </c>
      <c r="I277" t="n">
        <v>-104.977010976853</v>
      </c>
      <c r="J277" t="s">
        <v>4109</v>
      </c>
      <c r="K277" t="s">
        <v>126</v>
      </c>
      <c r="L277"/>
      <c r="M277" t="n">
        <v>1966</v>
      </c>
      <c r="N277" t="n">
        <v>1983</v>
      </c>
      <c r="O277" t="s">
        <v>6519</v>
      </c>
      <c r="P277" t="n">
        <v>7</v>
      </c>
      <c r="Q277" t="n">
        <v>4</v>
      </c>
      <c r="R277" t="n">
        <v>1</v>
      </c>
      <c r="S277" t="n">
        <v>1919</v>
      </c>
      <c r="T277" t="s">
        <v>7386</v>
      </c>
      <c r="U277" t="s">
        <v>7387</v>
      </c>
      <c r="V277" t="s">
        <v>74</v>
      </c>
      <c r="W277" t="s">
        <v>7388</v>
      </c>
      <c r="X277"/>
      <c r="Y277"/>
      <c r="Z277"/>
      <c r="AA277" t="s">
        <v>7389</v>
      </c>
      <c r="AB277" t="s">
        <v>7390</v>
      </c>
      <c r="AC277" t="n">
        <v>11</v>
      </c>
      <c r="AD277" t="s">
        <v>7354</v>
      </c>
      <c r="AE277" t="n">
        <v>156</v>
      </c>
      <c r="AF277" t="s">
        <v>7391</v>
      </c>
      <c r="AG277" t="n">
        <v>52</v>
      </c>
    </row>
    <row r="278">
      <c r="A278" t="s">
        <v>7392</v>
      </c>
      <c r="B278" t="s">
        <v>26</v>
      </c>
      <c r="C278" t="s">
        <v>65</v>
      </c>
      <c r="D278" t="s">
        <v>7393</v>
      </c>
      <c r="E278" t="s">
        <v>79</v>
      </c>
      <c r="F278" t="s">
        <v>1274</v>
      </c>
      <c r="G278" t="s">
        <v>1653</v>
      </c>
      <c r="H278" t="n">
        <v>39.787418519685</v>
      </c>
      <c r="I278" t="n">
        <v>-104.977187123408</v>
      </c>
      <c r="J278" t="s">
        <v>35</v>
      </c>
      <c r="K278" t="s">
        <v>70</v>
      </c>
      <c r="L278"/>
      <c r="M278" t="n">
        <v>1966</v>
      </c>
      <c r="N278" t="n">
        <v>1992</v>
      </c>
      <c r="O278" t="s">
        <v>351</v>
      </c>
      <c r="P278" t="n">
        <v>8</v>
      </c>
      <c r="Q278" t="n">
        <v>6</v>
      </c>
      <c r="R278" t="n">
        <v>1</v>
      </c>
      <c r="S278" t="n">
        <v>1926</v>
      </c>
      <c r="T278" t="s">
        <v>7394</v>
      </c>
      <c r="U278" t="s">
        <v>7395</v>
      </c>
      <c r="V278" t="s">
        <v>74</v>
      </c>
      <c r="W278" t="s">
        <v>6610</v>
      </c>
      <c r="X278" t="s">
        <v>7396</v>
      </c>
      <c r="Y278"/>
      <c r="Z278"/>
      <c r="AA278" t="s">
        <v>7397</v>
      </c>
      <c r="AB278" t="s">
        <v>6990</v>
      </c>
      <c r="AC278" t="n">
        <v>207</v>
      </c>
      <c r="AD278" t="s">
        <v>6761</v>
      </c>
      <c r="AE278" t="n">
        <v>26</v>
      </c>
      <c r="AF278" t="s">
        <v>6991</v>
      </c>
      <c r="AG278" t="n">
        <v>160</v>
      </c>
    </row>
    <row r="279">
      <c r="A279" t="s">
        <v>7398</v>
      </c>
      <c r="B279" t="s">
        <v>26</v>
      </c>
      <c r="C279" t="s">
        <v>24</v>
      </c>
      <c r="D279" t="s">
        <v>7399</v>
      </c>
      <c r="E279" t="s">
        <v>79</v>
      </c>
      <c r="F279" t="s">
        <v>1274</v>
      </c>
      <c r="G279" t="s">
        <v>7400</v>
      </c>
      <c r="H279" t="n">
        <v>39.758309</v>
      </c>
      <c r="I279" t="n">
        <v>-105.009286</v>
      </c>
      <c r="J279" t="s">
        <v>4109</v>
      </c>
      <c r="K279" t="s">
        <v>234</v>
      </c>
      <c r="L279"/>
      <c r="M279" t="n">
        <v>1966</v>
      </c>
      <c r="N279" t="n">
        <v>1980</v>
      </c>
      <c r="O279" t="s">
        <v>7401</v>
      </c>
      <c r="P279" t="n">
        <v>7</v>
      </c>
      <c r="Q279" t="n">
        <v>6</v>
      </c>
      <c r="R279" t="n">
        <v>5</v>
      </c>
      <c r="S279" t="n">
        <v>1892</v>
      </c>
      <c r="T279" t="s">
        <v>7402</v>
      </c>
      <c r="U279" t="s">
        <v>7403</v>
      </c>
      <c r="V279" t="s">
        <v>74</v>
      </c>
      <c r="W279" t="s">
        <v>7404</v>
      </c>
      <c r="X279" t="s">
        <v>7405</v>
      </c>
      <c r="Y279" t="s">
        <v>7406</v>
      </c>
      <c r="Z279"/>
      <c r="AA279" t="s">
        <v>7407</v>
      </c>
      <c r="AB279" t="s">
        <v>1300</v>
      </c>
      <c r="AC279" t="n">
        <v>174</v>
      </c>
      <c r="AD279" t="s">
        <v>1278</v>
      </c>
      <c r="AE279" t="n">
        <v>172</v>
      </c>
      <c r="AF279" t="s">
        <v>7408</v>
      </c>
      <c r="AG279" t="n">
        <v>149</v>
      </c>
    </row>
    <row r="280">
      <c r="A280" t="s">
        <v>7409</v>
      </c>
      <c r="B280" t="s">
        <v>26</v>
      </c>
      <c r="C280" t="s">
        <v>65</v>
      </c>
      <c r="D280" t="s">
        <v>7410</v>
      </c>
      <c r="E280" t="s">
        <v>79</v>
      </c>
      <c r="F280" t="s">
        <v>1274</v>
      </c>
      <c r="G280" t="s">
        <v>1555</v>
      </c>
      <c r="H280" t="n">
        <v>39.740337806634</v>
      </c>
      <c r="I280" t="n">
        <v>-105.038553434359</v>
      </c>
      <c r="J280" t="s">
        <v>35</v>
      </c>
      <c r="K280" t="s">
        <v>89</v>
      </c>
      <c r="L280"/>
      <c r="M280" t="n">
        <v>1966</v>
      </c>
      <c r="N280" t="n">
        <v>1980</v>
      </c>
      <c r="O280" t="s">
        <v>1556</v>
      </c>
      <c r="P280" t="n">
        <v>5</v>
      </c>
      <c r="Q280" t="n">
        <v>4</v>
      </c>
      <c r="R280" t="n">
        <v>1</v>
      </c>
      <c r="S280" t="n">
        <v>1935</v>
      </c>
      <c r="T280" t="s">
        <v>7411</v>
      </c>
      <c r="U280" t="s">
        <v>7412</v>
      </c>
      <c r="V280" t="s">
        <v>74</v>
      </c>
      <c r="W280" t="s">
        <v>7413</v>
      </c>
      <c r="X280"/>
      <c r="Y280"/>
      <c r="Z280"/>
      <c r="AA280" t="s">
        <v>7414</v>
      </c>
      <c r="AB280" t="s">
        <v>7415</v>
      </c>
      <c r="AC280" t="n">
        <v>76</v>
      </c>
      <c r="AD280"/>
      <c r="AE280"/>
      <c r="AF280" t="s">
        <v>7416</v>
      </c>
      <c r="AG280" t="n">
        <v>220</v>
      </c>
    </row>
    <row r="281">
      <c r="A281" t="s">
        <v>7417</v>
      </c>
      <c r="B281" t="s">
        <v>26</v>
      </c>
      <c r="C281" t="s">
        <v>65</v>
      </c>
      <c r="D281" t="s">
        <v>7418</v>
      </c>
      <c r="E281" t="s">
        <v>79</v>
      </c>
      <c r="F281" t="s">
        <v>1274</v>
      </c>
      <c r="G281" t="s">
        <v>1653</v>
      </c>
      <c r="H281" t="n">
        <v>39.7744846393625</v>
      </c>
      <c r="I281" t="n">
        <v>-104.946420569862</v>
      </c>
      <c r="J281" t="s">
        <v>35</v>
      </c>
      <c r="K281" t="s">
        <v>2896</v>
      </c>
      <c r="L281"/>
      <c r="M281" t="n">
        <v>1966</v>
      </c>
      <c r="N281" t="n">
        <v>1988</v>
      </c>
      <c r="O281" t="s">
        <v>7273</v>
      </c>
      <c r="P281" t="n">
        <v>9</v>
      </c>
      <c r="Q281" t="n">
        <v>6</v>
      </c>
      <c r="R281" t="n">
        <v>5</v>
      </c>
      <c r="S281" t="n">
        <v>1946</v>
      </c>
      <c r="T281" t="s">
        <v>7419</v>
      </c>
      <c r="U281" t="s">
        <v>7420</v>
      </c>
      <c r="V281" t="s">
        <v>74</v>
      </c>
      <c r="W281" t="s">
        <v>6610</v>
      </c>
      <c r="X281"/>
      <c r="Y281" t="s">
        <v>7421</v>
      </c>
      <c r="Z281"/>
      <c r="AA281"/>
      <c r="AB281"/>
      <c r="AC281"/>
      <c r="AD281"/>
      <c r="AE281"/>
      <c r="AF281" t="s">
        <v>7422</v>
      </c>
      <c r="AG281" t="n">
        <v>35</v>
      </c>
    </row>
    <row r="282">
      <c r="A282" t="s">
        <v>7423</v>
      </c>
      <c r="B282" t="s">
        <v>26</v>
      </c>
      <c r="C282" t="s">
        <v>65</v>
      </c>
      <c r="D282" t="s">
        <v>7424</v>
      </c>
      <c r="E282" t="s">
        <v>79</v>
      </c>
      <c r="F282" t="s">
        <v>1274</v>
      </c>
      <c r="G282" t="s">
        <v>1574</v>
      </c>
      <c r="H282" t="n">
        <v>39.7647679199015</v>
      </c>
      <c r="I282" t="n">
        <v>-104.980794840769</v>
      </c>
      <c r="J282" t="s">
        <v>35</v>
      </c>
      <c r="K282" t="s">
        <v>220</v>
      </c>
      <c r="L282"/>
      <c r="M282" t="n">
        <v>1966</v>
      </c>
      <c r="N282" t="n">
        <v>1992</v>
      </c>
      <c r="O282" t="s">
        <v>1016</v>
      </c>
      <c r="P282" t="n">
        <v>11</v>
      </c>
      <c r="Q282" t="n">
        <v>3</v>
      </c>
      <c r="R282" t="n">
        <v>1</v>
      </c>
      <c r="S282" t="n">
        <v>1930</v>
      </c>
      <c r="T282" t="s">
        <v>7425</v>
      </c>
      <c r="U282" t="s">
        <v>7426</v>
      </c>
      <c r="V282" t="s">
        <v>74</v>
      </c>
      <c r="W282" t="s">
        <v>7427</v>
      </c>
      <c r="X282"/>
      <c r="Y282"/>
      <c r="Z282"/>
      <c r="AA282"/>
      <c r="AB282" t="s">
        <v>7428</v>
      </c>
      <c r="AC282" t="n">
        <v>17</v>
      </c>
      <c r="AD282" t="s">
        <v>6898</v>
      </c>
      <c r="AE282" t="n">
        <v>134</v>
      </c>
      <c r="AF282" t="s">
        <v>7429</v>
      </c>
      <c r="AG282" t="n">
        <v>104</v>
      </c>
    </row>
    <row r="283">
      <c r="A283" t="s">
        <v>7430</v>
      </c>
      <c r="B283" t="s">
        <v>26</v>
      </c>
      <c r="C283" t="s">
        <v>65</v>
      </c>
      <c r="D283" t="s">
        <v>7431</v>
      </c>
      <c r="E283" t="s">
        <v>79</v>
      </c>
      <c r="F283" t="s">
        <v>1274</v>
      </c>
      <c r="G283" t="s">
        <v>1516</v>
      </c>
      <c r="H283" t="n">
        <v>39.6931254623395</v>
      </c>
      <c r="I283" t="n">
        <v>-105.000347727439</v>
      </c>
      <c r="J283" t="s">
        <v>35</v>
      </c>
      <c r="K283" t="s">
        <v>89</v>
      </c>
      <c r="L283"/>
      <c r="M283" t="n">
        <v>1966</v>
      </c>
      <c r="N283" t="n">
        <v>1990</v>
      </c>
      <c r="O283" t="s">
        <v>325</v>
      </c>
      <c r="P283" t="n">
        <v>11</v>
      </c>
      <c r="Q283" t="n">
        <v>4</v>
      </c>
      <c r="R283" t="n">
        <v>1</v>
      </c>
      <c r="S283" t="n">
        <v>1961</v>
      </c>
      <c r="T283" t="s">
        <v>7432</v>
      </c>
      <c r="U283" t="s">
        <v>7433</v>
      </c>
      <c r="V283" t="s">
        <v>74</v>
      </c>
      <c r="W283" t="s">
        <v>6540</v>
      </c>
      <c r="X283" t="s">
        <v>7434</v>
      </c>
      <c r="Y283" t="s">
        <v>7435</v>
      </c>
      <c r="Z283"/>
      <c r="AA283"/>
      <c r="AB283" t="s">
        <v>7436</v>
      </c>
      <c r="AC283" t="n">
        <v>240</v>
      </c>
      <c r="AD283" t="s">
        <v>1478</v>
      </c>
      <c r="AE283" t="n">
        <v>21</v>
      </c>
      <c r="AF283" t="s">
        <v>7437</v>
      </c>
      <c r="AG283" t="n">
        <v>39</v>
      </c>
    </row>
    <row r="284">
      <c r="A284" t="s">
        <v>7438</v>
      </c>
      <c r="B284" t="s">
        <v>26</v>
      </c>
      <c r="C284" t="s">
        <v>24</v>
      </c>
      <c r="D284" t="s">
        <v>7439</v>
      </c>
      <c r="E284" t="s">
        <v>79</v>
      </c>
      <c r="F284" t="s">
        <v>1274</v>
      </c>
      <c r="G284" t="s">
        <v>1653</v>
      </c>
      <c r="H284" t="n">
        <v>39.7855752847931</v>
      </c>
      <c r="I284" t="n">
        <v>-104.98808175766</v>
      </c>
      <c r="J284" t="s">
        <v>35</v>
      </c>
      <c r="K284" t="s">
        <v>120</v>
      </c>
      <c r="L284"/>
      <c r="M284" t="n">
        <v>1966</v>
      </c>
      <c r="N284" t="n">
        <v>1990</v>
      </c>
      <c r="O284" t="s">
        <v>4172</v>
      </c>
      <c r="P284" t="n">
        <v>7</v>
      </c>
      <c r="Q284" t="n">
        <v>1</v>
      </c>
      <c r="R284" t="n">
        <v>1</v>
      </c>
      <c r="S284" t="n">
        <v>1922</v>
      </c>
      <c r="T284" t="s">
        <v>7440</v>
      </c>
      <c r="U284" t="s">
        <v>7441</v>
      </c>
      <c r="V284" t="s">
        <v>4175</v>
      </c>
      <c r="W284" t="s">
        <v>6578</v>
      </c>
      <c r="X284" t="s">
        <v>7442</v>
      </c>
      <c r="Y284" t="s">
        <v>7443</v>
      </c>
      <c r="Z284"/>
      <c r="AA284"/>
      <c r="AB284" t="s">
        <v>7444</v>
      </c>
      <c r="AC284" t="n">
        <v>164</v>
      </c>
      <c r="AD284" t="s">
        <v>7059</v>
      </c>
      <c r="AE284" t="n">
        <v>42</v>
      </c>
      <c r="AF284" t="s">
        <v>7059</v>
      </c>
      <c r="AG284" t="n">
        <v>5</v>
      </c>
    </row>
    <row r="285">
      <c r="A285" t="s">
        <v>7445</v>
      </c>
      <c r="B285" t="s">
        <v>26</v>
      </c>
      <c r="C285" t="s">
        <v>65</v>
      </c>
      <c r="D285" t="s">
        <v>7446</v>
      </c>
      <c r="E285" t="s">
        <v>79</v>
      </c>
      <c r="F285" t="s">
        <v>1274</v>
      </c>
      <c r="G285" t="s">
        <v>1653</v>
      </c>
      <c r="H285" t="n">
        <v>39.7746909390777</v>
      </c>
      <c r="I285" t="n">
        <v>-104.95940893308</v>
      </c>
      <c r="J285" t="s">
        <v>35</v>
      </c>
      <c r="K285" t="s">
        <v>70</v>
      </c>
      <c r="L285" t="s">
        <v>2901</v>
      </c>
      <c r="M285" t="n">
        <v>1966</v>
      </c>
      <c r="N285" t="n">
        <v>1968</v>
      </c>
      <c r="O285" t="s">
        <v>1556</v>
      </c>
      <c r="P285" t="n">
        <v>2</v>
      </c>
      <c r="Q285" t="n">
        <v>1</v>
      </c>
      <c r="R285" t="n">
        <v>1</v>
      </c>
      <c r="S285" t="n">
        <v>1948</v>
      </c>
      <c r="T285" t="s">
        <v>7447</v>
      </c>
      <c r="U285" t="s">
        <v>7448</v>
      </c>
      <c r="V285" t="s">
        <v>74</v>
      </c>
      <c r="W285" t="s">
        <v>7449</v>
      </c>
      <c r="X285"/>
      <c r="Y285" t="s">
        <v>7450</v>
      </c>
      <c r="Z285"/>
      <c r="AA285"/>
      <c r="AB285" t="s">
        <v>7451</v>
      </c>
      <c r="AC285" t="n">
        <v>14</v>
      </c>
      <c r="AD285"/>
      <c r="AE285"/>
      <c r="AF285" t="s">
        <v>7452</v>
      </c>
      <c r="AG285" t="n">
        <v>15</v>
      </c>
    </row>
    <row r="286">
      <c r="A286" t="s">
        <v>7453</v>
      </c>
      <c r="B286" t="s">
        <v>26</v>
      </c>
      <c r="C286" t="s">
        <v>65</v>
      </c>
      <c r="D286" t="s">
        <v>7454</v>
      </c>
      <c r="E286" t="s">
        <v>79</v>
      </c>
      <c r="F286" t="s">
        <v>1274</v>
      </c>
      <c r="G286" t="s">
        <v>1691</v>
      </c>
      <c r="H286" t="n">
        <v>39.6929432002783</v>
      </c>
      <c r="I286" t="n">
        <v>-104.940133679156</v>
      </c>
      <c r="J286" t="s">
        <v>35</v>
      </c>
      <c r="K286" t="s">
        <v>282</v>
      </c>
      <c r="L286"/>
      <c r="M286" t="n">
        <v>1966</v>
      </c>
      <c r="N286" t="n">
        <v>1968</v>
      </c>
      <c r="O286" t="s">
        <v>2764</v>
      </c>
      <c r="P286" t="n">
        <v>3</v>
      </c>
      <c r="Q286" t="n">
        <v>1</v>
      </c>
      <c r="R286" t="n">
        <v>1</v>
      </c>
      <c r="S286" t="n">
        <v>1940</v>
      </c>
      <c r="T286" t="s">
        <v>7455</v>
      </c>
      <c r="U286" t="s">
        <v>7456</v>
      </c>
      <c r="V286" t="s">
        <v>74</v>
      </c>
      <c r="W286" t="s">
        <v>7457</v>
      </c>
      <c r="X286"/>
      <c r="Y286"/>
      <c r="Z286"/>
      <c r="AA286"/>
      <c r="AB286" t="s">
        <v>7458</v>
      </c>
      <c r="AC286" t="n">
        <v>45</v>
      </c>
      <c r="AD286"/>
      <c r="AE286"/>
      <c r="AF286" t="s">
        <v>7459</v>
      </c>
      <c r="AG286" t="n">
        <v>59</v>
      </c>
    </row>
    <row r="287">
      <c r="A287" t="s">
        <v>7460</v>
      </c>
      <c r="B287" t="s">
        <v>26</v>
      </c>
      <c r="C287" t="s">
        <v>24</v>
      </c>
      <c r="D287" t="s">
        <v>7461</v>
      </c>
      <c r="E287" t="s">
        <v>79</v>
      </c>
      <c r="F287" t="s">
        <v>1274</v>
      </c>
      <c r="G287" t="s">
        <v>1555</v>
      </c>
      <c r="H287" t="n">
        <v>39.7358732149454</v>
      </c>
      <c r="I287" t="n">
        <v>-105.007781456168</v>
      </c>
      <c r="J287" t="s">
        <v>4109</v>
      </c>
      <c r="K287" t="s">
        <v>70</v>
      </c>
      <c r="L287"/>
      <c r="M287" t="n">
        <v>1966</v>
      </c>
      <c r="N287" t="n">
        <v>1992</v>
      </c>
      <c r="O287" t="s">
        <v>7462</v>
      </c>
      <c r="P287" t="n">
        <v>10</v>
      </c>
      <c r="Q287" t="n">
        <v>5</v>
      </c>
      <c r="R287" t="n">
        <v>2</v>
      </c>
      <c r="S287" t="n">
        <v>1899</v>
      </c>
      <c r="T287" t="s">
        <v>7463</v>
      </c>
      <c r="U287" t="s">
        <v>7464</v>
      </c>
      <c r="V287" t="s">
        <v>74</v>
      </c>
      <c r="W287" t="s">
        <v>7465</v>
      </c>
      <c r="X287"/>
      <c r="Y287"/>
      <c r="Z287"/>
      <c r="AA287" t="s">
        <v>7466</v>
      </c>
      <c r="AB287" t="s">
        <v>6665</v>
      </c>
      <c r="AC287" t="n">
        <v>74</v>
      </c>
      <c r="AD287" t="s">
        <v>6666</v>
      </c>
      <c r="AE287" t="n">
        <v>140</v>
      </c>
      <c r="AF287" t="s">
        <v>6667</v>
      </c>
      <c r="AG287" t="n">
        <v>66</v>
      </c>
    </row>
    <row r="288">
      <c r="A288" t="s">
        <v>7467</v>
      </c>
      <c r="B288" t="s">
        <v>26</v>
      </c>
      <c r="C288" t="s">
        <v>65</v>
      </c>
      <c r="D288" t="s">
        <v>7468</v>
      </c>
      <c r="E288" t="s">
        <v>79</v>
      </c>
      <c r="F288" t="s">
        <v>1274</v>
      </c>
      <c r="G288" t="s">
        <v>1653</v>
      </c>
      <c r="H288" t="n">
        <v>39.7731941722174</v>
      </c>
      <c r="I288" t="n">
        <v>-104.973746872018</v>
      </c>
      <c r="J288" t="s">
        <v>35</v>
      </c>
      <c r="K288" t="s">
        <v>141</v>
      </c>
      <c r="L288"/>
      <c r="M288" t="n">
        <v>1966</v>
      </c>
      <c r="N288" t="n">
        <v>1974</v>
      </c>
      <c r="O288" t="s">
        <v>7469</v>
      </c>
      <c r="P288" t="n">
        <v>4</v>
      </c>
      <c r="Q288" t="n">
        <v>2</v>
      </c>
      <c r="R288" t="n">
        <v>2</v>
      </c>
      <c r="S288" t="n">
        <v>1859</v>
      </c>
      <c r="T288" t="s">
        <v>7470</v>
      </c>
      <c r="U288" t="s">
        <v>7471</v>
      </c>
      <c r="V288" t="s">
        <v>74</v>
      </c>
      <c r="W288" t="s">
        <v>7472</v>
      </c>
      <c r="X288" t="s">
        <v>7473</v>
      </c>
      <c r="Y288" t="s">
        <v>7474</v>
      </c>
      <c r="Z288"/>
      <c r="AA288" t="s">
        <v>7475</v>
      </c>
      <c r="AB288" t="s">
        <v>7476</v>
      </c>
      <c r="AC288" t="n">
        <v>75</v>
      </c>
      <c r="AD288" t="s">
        <v>7477</v>
      </c>
      <c r="AE288" t="n">
        <v>87</v>
      </c>
      <c r="AF288" t="s">
        <v>7478</v>
      </c>
      <c r="AG288" t="n">
        <v>69</v>
      </c>
    </row>
    <row r="289">
      <c r="A289" t="s">
        <v>7479</v>
      </c>
      <c r="B289" t="s">
        <v>26</v>
      </c>
      <c r="C289" t="s">
        <v>65</v>
      </c>
      <c r="D289" t="s">
        <v>7480</v>
      </c>
      <c r="E289" t="s">
        <v>79</v>
      </c>
      <c r="F289" t="s">
        <v>1274</v>
      </c>
      <c r="G289" t="s">
        <v>1509</v>
      </c>
      <c r="H289" t="n">
        <v>39.758441</v>
      </c>
      <c r="I289" t="n">
        <v>-104.998447</v>
      </c>
      <c r="J289" t="s">
        <v>35</v>
      </c>
      <c r="K289" t="s">
        <v>141</v>
      </c>
      <c r="L289"/>
      <c r="M289" t="n">
        <v>1966</v>
      </c>
      <c r="N289" t="n">
        <v>1990</v>
      </c>
      <c r="O289" t="s">
        <v>7481</v>
      </c>
      <c r="P289" t="n">
        <v>7</v>
      </c>
      <c r="Q289" t="n">
        <v>4</v>
      </c>
      <c r="R289" t="n">
        <v>2</v>
      </c>
      <c r="S289" t="n">
        <v>1952</v>
      </c>
      <c r="T289" t="s">
        <v>7482</v>
      </c>
      <c r="U289" t="s">
        <v>7483</v>
      </c>
      <c r="V289" t="s">
        <v>74</v>
      </c>
      <c r="W289" t="s">
        <v>7484</v>
      </c>
      <c r="X289"/>
      <c r="Y289" t="s">
        <v>7485</v>
      </c>
      <c r="Z289"/>
      <c r="AA289" t="s">
        <v>7486</v>
      </c>
      <c r="AB289" t="s">
        <v>7050</v>
      </c>
      <c r="AC289" t="n">
        <v>15</v>
      </c>
      <c r="AD289"/>
      <c r="AE289"/>
      <c r="AF289" t="s">
        <v>7051</v>
      </c>
      <c r="AG289" t="n">
        <v>0</v>
      </c>
    </row>
    <row r="290">
      <c r="A290" t="s">
        <v>7487</v>
      </c>
      <c r="B290" t="s">
        <v>26</v>
      </c>
      <c r="C290" t="s">
        <v>65</v>
      </c>
      <c r="D290" t="s">
        <v>7488</v>
      </c>
      <c r="E290" t="s">
        <v>79</v>
      </c>
      <c r="F290" t="s">
        <v>1274</v>
      </c>
      <c r="G290" t="s">
        <v>1824</v>
      </c>
      <c r="H290" t="n">
        <v>39.698625358623</v>
      </c>
      <c r="I290" t="n">
        <v>-104.98745427075</v>
      </c>
      <c r="J290" t="s">
        <v>35</v>
      </c>
      <c r="K290" t="s">
        <v>527</v>
      </c>
      <c r="L290"/>
      <c r="M290" t="n">
        <v>1966</v>
      </c>
      <c r="N290" t="n">
        <v>1990</v>
      </c>
      <c r="O290" t="s">
        <v>7489</v>
      </c>
      <c r="P290" t="n">
        <v>7</v>
      </c>
      <c r="Q290" t="n">
        <v>4</v>
      </c>
      <c r="R290" t="n">
        <v>4</v>
      </c>
      <c r="S290" t="n">
        <v>1911</v>
      </c>
      <c r="T290" t="s">
        <v>7490</v>
      </c>
      <c r="U290" t="s">
        <v>7491</v>
      </c>
      <c r="V290" t="s">
        <v>74</v>
      </c>
      <c r="W290" t="s">
        <v>7492</v>
      </c>
      <c r="X290" t="s">
        <v>7493</v>
      </c>
      <c r="Y290" t="s">
        <v>7494</v>
      </c>
      <c r="Z290"/>
      <c r="AA290" t="s">
        <v>7495</v>
      </c>
      <c r="AB290" t="s">
        <v>7496</v>
      </c>
      <c r="AC290" t="n">
        <v>14</v>
      </c>
      <c r="AD290" t="s">
        <v>7497</v>
      </c>
      <c r="AE290" t="n">
        <v>115</v>
      </c>
      <c r="AF290" t="s">
        <v>7096</v>
      </c>
      <c r="AG290" t="n">
        <v>8</v>
      </c>
    </row>
    <row r="291">
      <c r="A291" t="s">
        <v>7498</v>
      </c>
      <c r="B291" t="s">
        <v>26</v>
      </c>
      <c r="C291" t="s">
        <v>65</v>
      </c>
      <c r="D291" t="s">
        <v>7499</v>
      </c>
      <c r="E291" t="s">
        <v>79</v>
      </c>
      <c r="F291" t="s">
        <v>1274</v>
      </c>
      <c r="G291" t="s">
        <v>1881</v>
      </c>
      <c r="H291" t="n">
        <v>39.7728398588943</v>
      </c>
      <c r="I291" t="n">
        <v>-104.892566652711</v>
      </c>
      <c r="J291" t="s">
        <v>35</v>
      </c>
      <c r="K291" t="s">
        <v>1242</v>
      </c>
      <c r="L291"/>
      <c r="M291" t="n">
        <v>1966</v>
      </c>
      <c r="N291" t="n">
        <v>1992</v>
      </c>
      <c r="O291" t="s">
        <v>7500</v>
      </c>
      <c r="P291" t="n">
        <v>5</v>
      </c>
      <c r="Q291" t="n">
        <v>3</v>
      </c>
      <c r="R291" t="n">
        <v>1</v>
      </c>
      <c r="S291" t="n">
        <v>1963</v>
      </c>
      <c r="T291" t="s">
        <v>7501</v>
      </c>
      <c r="U291" t="s">
        <v>7502</v>
      </c>
      <c r="V291" t="s">
        <v>74</v>
      </c>
      <c r="W291" t="s">
        <v>7503</v>
      </c>
      <c r="X291" t="s">
        <v>7504</v>
      </c>
      <c r="Y291" t="s">
        <v>7505</v>
      </c>
      <c r="Z291"/>
      <c r="AA291" t="s">
        <v>7506</v>
      </c>
      <c r="AB291" t="s">
        <v>1884</v>
      </c>
      <c r="AC291" t="n">
        <v>72</v>
      </c>
      <c r="AD291" t="s">
        <v>1884</v>
      </c>
      <c r="AE291" t="n">
        <v>48</v>
      </c>
      <c r="AF291" t="s">
        <v>7507</v>
      </c>
      <c r="AG291" t="n">
        <v>156</v>
      </c>
    </row>
    <row r="292">
      <c r="A292" t="s">
        <v>7508</v>
      </c>
      <c r="B292" t="s">
        <v>26</v>
      </c>
      <c r="C292" t="s">
        <v>65</v>
      </c>
      <c r="D292" t="s">
        <v>7509</v>
      </c>
      <c r="E292" t="s">
        <v>79</v>
      </c>
      <c r="F292" t="s">
        <v>1274</v>
      </c>
      <c r="G292" t="s">
        <v>1653</v>
      </c>
      <c r="H292" t="n">
        <v>39.776386</v>
      </c>
      <c r="I292" t="n">
        <v>-104.94713985582</v>
      </c>
      <c r="J292" t="s">
        <v>35</v>
      </c>
      <c r="K292" t="s">
        <v>141</v>
      </c>
      <c r="L292"/>
      <c r="M292" t="n">
        <v>1966</v>
      </c>
      <c r="N292" t="n">
        <v>1990</v>
      </c>
      <c r="O292" t="s">
        <v>7510</v>
      </c>
      <c r="P292" t="n">
        <v>5</v>
      </c>
      <c r="Q292" t="n">
        <v>3</v>
      </c>
      <c r="R292" t="n">
        <v>3</v>
      </c>
      <c r="S292" t="n">
        <v>1963</v>
      </c>
      <c r="T292" t="s">
        <v>7511</v>
      </c>
      <c r="U292" t="s">
        <v>7512</v>
      </c>
      <c r="V292" t="s">
        <v>74</v>
      </c>
      <c r="W292" t="s">
        <v>6610</v>
      </c>
      <c r="X292"/>
      <c r="Y292" t="s">
        <v>7513</v>
      </c>
      <c r="Z292"/>
      <c r="AA292"/>
      <c r="AB292"/>
      <c r="AC292"/>
      <c r="AD292" t="s">
        <v>7514</v>
      </c>
      <c r="AE292" t="n">
        <v>245</v>
      </c>
      <c r="AF292" t="s">
        <v>7515</v>
      </c>
      <c r="AG292" t="n">
        <v>17</v>
      </c>
    </row>
    <row r="293">
      <c r="A293" t="s">
        <v>7516</v>
      </c>
      <c r="B293" t="s">
        <v>26</v>
      </c>
      <c r="C293" t="s">
        <v>65</v>
      </c>
      <c r="D293" t="s">
        <v>7517</v>
      </c>
      <c r="E293" t="s">
        <v>79</v>
      </c>
      <c r="F293" t="s">
        <v>1274</v>
      </c>
      <c r="G293" t="s">
        <v>1574</v>
      </c>
      <c r="H293" t="n">
        <v>39.7707525711368</v>
      </c>
      <c r="I293" t="n">
        <v>-104.9713241918</v>
      </c>
      <c r="J293" t="s">
        <v>35</v>
      </c>
      <c r="K293" t="s">
        <v>201</v>
      </c>
      <c r="L293"/>
      <c r="M293" t="n">
        <v>1966</v>
      </c>
      <c r="N293" t="n">
        <v>1990</v>
      </c>
      <c r="O293" t="s">
        <v>7518</v>
      </c>
      <c r="P293" t="n">
        <v>9</v>
      </c>
      <c r="Q293" t="n">
        <v>4</v>
      </c>
      <c r="R293" t="n">
        <v>3</v>
      </c>
      <c r="S293" t="n">
        <v>1945</v>
      </c>
      <c r="T293" t="s">
        <v>7519</v>
      </c>
      <c r="U293" t="s">
        <v>7520</v>
      </c>
      <c r="V293" t="s">
        <v>74</v>
      </c>
      <c r="W293" t="s">
        <v>6610</v>
      </c>
      <c r="X293"/>
      <c r="Y293"/>
      <c r="Z293"/>
      <c r="AA293"/>
      <c r="AB293" t="s">
        <v>7521</v>
      </c>
      <c r="AC293" t="n">
        <v>89</v>
      </c>
      <c r="AD293"/>
      <c r="AE293"/>
      <c r="AF293" t="s">
        <v>7522</v>
      </c>
      <c r="AG293" t="n">
        <v>89</v>
      </c>
    </row>
    <row r="294">
      <c r="A294" t="s">
        <v>7523</v>
      </c>
      <c r="B294" t="s">
        <v>26</v>
      </c>
      <c r="C294" t="s">
        <v>24</v>
      </c>
      <c r="D294" t="s">
        <v>7524</v>
      </c>
      <c r="E294" t="s">
        <v>79</v>
      </c>
      <c r="F294" t="s">
        <v>1274</v>
      </c>
      <c r="G294" t="s">
        <v>1653</v>
      </c>
      <c r="H294" t="n">
        <v>39.7779268143999</v>
      </c>
      <c r="I294" t="n">
        <v>-104.961327731689</v>
      </c>
      <c r="J294" t="s">
        <v>35</v>
      </c>
      <c r="K294" t="s">
        <v>120</v>
      </c>
      <c r="L294"/>
      <c r="M294" t="n">
        <v>1966</v>
      </c>
      <c r="N294" t="n">
        <v>1977</v>
      </c>
      <c r="O294" t="s">
        <v>4315</v>
      </c>
      <c r="P294" t="n">
        <v>5</v>
      </c>
      <c r="Q294" t="n">
        <v>4</v>
      </c>
      <c r="R294" t="n">
        <v>2</v>
      </c>
      <c r="S294" t="n">
        <v>1934</v>
      </c>
      <c r="T294" t="s">
        <v>7525</v>
      </c>
      <c r="U294" t="s">
        <v>7526</v>
      </c>
      <c r="V294" t="s">
        <v>4175</v>
      </c>
      <c r="W294" t="s">
        <v>6610</v>
      </c>
      <c r="X294"/>
      <c r="Y294"/>
      <c r="Z294"/>
      <c r="AA294"/>
      <c r="AB294" t="s">
        <v>7006</v>
      </c>
      <c r="AC294" t="n">
        <v>151</v>
      </c>
      <c r="AD294" t="s">
        <v>7527</v>
      </c>
      <c r="AE294" t="n">
        <v>204</v>
      </c>
      <c r="AF294" t="s">
        <v>7528</v>
      </c>
      <c r="AG294" t="n">
        <v>156</v>
      </c>
    </row>
    <row r="295">
      <c r="A295" t="s">
        <v>7529</v>
      </c>
      <c r="B295" t="s">
        <v>26</v>
      </c>
      <c r="C295" t="s">
        <v>65</v>
      </c>
      <c r="D295" t="s">
        <v>7530</v>
      </c>
      <c r="E295" t="s">
        <v>79</v>
      </c>
      <c r="F295" t="s">
        <v>1274</v>
      </c>
      <c r="G295" t="s">
        <v>1691</v>
      </c>
      <c r="H295" t="n">
        <v>39.680396</v>
      </c>
      <c r="I295" t="n">
        <v>-104.929547</v>
      </c>
      <c r="J295" t="s">
        <v>35</v>
      </c>
      <c r="K295" t="s">
        <v>988</v>
      </c>
      <c r="L295"/>
      <c r="M295" t="n">
        <v>1966</v>
      </c>
      <c r="N295" t="n">
        <v>1968</v>
      </c>
      <c r="O295" t="s">
        <v>1556</v>
      </c>
      <c r="P295" t="n">
        <v>3</v>
      </c>
      <c r="Q295" t="n">
        <v>1</v>
      </c>
      <c r="R295" t="n">
        <v>1</v>
      </c>
      <c r="S295" t="n">
        <v>1961</v>
      </c>
      <c r="T295" t="s">
        <v>7531</v>
      </c>
      <c r="U295" t="s">
        <v>7532</v>
      </c>
      <c r="V295" t="s">
        <v>74</v>
      </c>
      <c r="W295" t="s">
        <v>7533</v>
      </c>
      <c r="X295"/>
      <c r="Y295"/>
      <c r="Z295"/>
      <c r="AA295"/>
      <c r="AB295" t="s">
        <v>7534</v>
      </c>
      <c r="AC295" t="n">
        <v>21</v>
      </c>
      <c r="AD295" t="s">
        <v>7535</v>
      </c>
      <c r="AE295" t="n">
        <v>222</v>
      </c>
      <c r="AF295" t="s">
        <v>7536</v>
      </c>
      <c r="AG295" t="n">
        <v>50</v>
      </c>
    </row>
    <row r="296">
      <c r="A296" t="s">
        <v>7537</v>
      </c>
      <c r="B296" t="s">
        <v>26</v>
      </c>
      <c r="C296" t="s">
        <v>24</v>
      </c>
      <c r="D296" t="s">
        <v>7538</v>
      </c>
      <c r="E296" t="s">
        <v>79</v>
      </c>
      <c r="F296" t="s">
        <v>1274</v>
      </c>
      <c r="G296" t="s">
        <v>1525</v>
      </c>
      <c r="H296" t="n">
        <v>39.740131</v>
      </c>
      <c r="I296" t="n">
        <v>-104.992919</v>
      </c>
      <c r="J296" t="s">
        <v>4109</v>
      </c>
      <c r="K296" t="s">
        <v>315</v>
      </c>
      <c r="L296"/>
      <c r="M296" t="n">
        <v>1966</v>
      </c>
      <c r="N296" t="n">
        <v>1968</v>
      </c>
      <c r="O296" t="s">
        <v>2764</v>
      </c>
      <c r="P296" t="n">
        <v>3</v>
      </c>
      <c r="Q296" t="n">
        <v>2</v>
      </c>
      <c r="R296" t="n">
        <v>2</v>
      </c>
      <c r="S296" t="n">
        <v>1957</v>
      </c>
      <c r="T296" t="s">
        <v>7539</v>
      </c>
      <c r="U296" t="s">
        <v>7540</v>
      </c>
      <c r="V296" t="s">
        <v>74</v>
      </c>
      <c r="W296" t="s">
        <v>7541</v>
      </c>
      <c r="X296" t="s">
        <v>7542</v>
      </c>
      <c r="Y296" t="s">
        <v>7543</v>
      </c>
      <c r="Z296"/>
      <c r="AA296" t="s">
        <v>7544</v>
      </c>
      <c r="AB296" t="s">
        <v>7545</v>
      </c>
      <c r="AC296" t="n">
        <v>108</v>
      </c>
      <c r="AD296" t="s">
        <v>7546</v>
      </c>
      <c r="AE296" t="n">
        <v>54</v>
      </c>
      <c r="AF296" t="s">
        <v>7547</v>
      </c>
      <c r="AG296" t="n">
        <v>54</v>
      </c>
    </row>
    <row r="297">
      <c r="A297" t="s">
        <v>7548</v>
      </c>
      <c r="B297" t="s">
        <v>26</v>
      </c>
      <c r="C297" t="s">
        <v>65</v>
      </c>
      <c r="D297" t="s">
        <v>7549</v>
      </c>
      <c r="E297" t="s">
        <v>79</v>
      </c>
      <c r="F297" t="s">
        <v>1274</v>
      </c>
      <c r="G297" t="s">
        <v>1509</v>
      </c>
      <c r="H297" t="n">
        <v>39.7511517435392</v>
      </c>
      <c r="I297" t="n">
        <v>-104.996642598756</v>
      </c>
      <c r="J297" t="s">
        <v>35</v>
      </c>
      <c r="K297" t="s">
        <v>70</v>
      </c>
      <c r="L297"/>
      <c r="M297" t="n">
        <v>1966</v>
      </c>
      <c r="N297" t="n">
        <v>1980</v>
      </c>
      <c r="O297" t="s">
        <v>1517</v>
      </c>
      <c r="P297" t="n">
        <v>5</v>
      </c>
      <c r="Q297" t="n">
        <v>2</v>
      </c>
      <c r="R297" t="n">
        <v>1</v>
      </c>
      <c r="S297" t="n">
        <v>1928</v>
      </c>
      <c r="T297" t="s">
        <v>7550</v>
      </c>
      <c r="U297" t="s">
        <v>7551</v>
      </c>
      <c r="V297" t="s">
        <v>74</v>
      </c>
      <c r="W297" t="s">
        <v>7552</v>
      </c>
      <c r="X297"/>
      <c r="Y297"/>
      <c r="Z297"/>
      <c r="AA297" t="s">
        <v>7553</v>
      </c>
      <c r="AB297" t="s">
        <v>7554</v>
      </c>
      <c r="AC297" t="n">
        <v>55</v>
      </c>
      <c r="AD297" t="s">
        <v>1853</v>
      </c>
      <c r="AE297" t="n">
        <v>172</v>
      </c>
      <c r="AF297" t="s">
        <v>7555</v>
      </c>
      <c r="AG297" t="n">
        <v>61</v>
      </c>
    </row>
    <row r="298">
      <c r="A298" t="s">
        <v>7556</v>
      </c>
      <c r="B298" t="s">
        <v>26</v>
      </c>
      <c r="C298" t="s">
        <v>65</v>
      </c>
      <c r="D298" t="s">
        <v>7557</v>
      </c>
      <c r="E298" t="s">
        <v>79</v>
      </c>
      <c r="F298" t="s">
        <v>1274</v>
      </c>
      <c r="G298" t="s">
        <v>1440</v>
      </c>
      <c r="H298" t="n">
        <v>39.7525111580932</v>
      </c>
      <c r="I298" t="n">
        <v>-105.013547570444</v>
      </c>
      <c r="J298" t="s">
        <v>35</v>
      </c>
      <c r="K298" t="s">
        <v>270</v>
      </c>
      <c r="L298"/>
      <c r="M298" t="n">
        <v>1966</v>
      </c>
      <c r="N298" t="n">
        <v>1980</v>
      </c>
      <c r="O298" t="s">
        <v>7558</v>
      </c>
      <c r="P298" t="n">
        <v>6</v>
      </c>
      <c r="Q298" t="n">
        <v>6</v>
      </c>
      <c r="R298" t="n">
        <v>6</v>
      </c>
      <c r="S298" t="n">
        <v>1910</v>
      </c>
      <c r="T298" t="s">
        <v>7559</v>
      </c>
      <c r="U298" t="s">
        <v>7560</v>
      </c>
      <c r="V298" t="s">
        <v>74</v>
      </c>
      <c r="W298" t="s">
        <v>7561</v>
      </c>
      <c r="X298"/>
      <c r="Y298"/>
      <c r="Z298"/>
      <c r="AA298"/>
      <c r="AB298" t="s">
        <v>7562</v>
      </c>
      <c r="AC298" t="n">
        <v>97</v>
      </c>
      <c r="AD298"/>
      <c r="AE298"/>
      <c r="AF298" t="s">
        <v>7563</v>
      </c>
      <c r="AG298" t="n">
        <v>91</v>
      </c>
    </row>
    <row r="299">
      <c r="A299" t="s">
        <v>7564</v>
      </c>
      <c r="B299" t="s">
        <v>26</v>
      </c>
      <c r="C299" t="s">
        <v>24</v>
      </c>
      <c r="D299" t="s">
        <v>7565</v>
      </c>
      <c r="E299" t="s">
        <v>79</v>
      </c>
      <c r="F299" t="s">
        <v>1274</v>
      </c>
      <c r="G299" t="s">
        <v>1653</v>
      </c>
      <c r="H299" t="n">
        <v>39.762424</v>
      </c>
      <c r="I299" t="n">
        <v>-104.994989</v>
      </c>
      <c r="J299" t="s">
        <v>4109</v>
      </c>
      <c r="K299" t="s">
        <v>89</v>
      </c>
      <c r="L299"/>
      <c r="M299" t="n">
        <v>1966</v>
      </c>
      <c r="N299" t="n">
        <v>1992</v>
      </c>
      <c r="O299" t="s">
        <v>7566</v>
      </c>
      <c r="P299" t="n">
        <v>10</v>
      </c>
      <c r="Q299" t="n">
        <v>2</v>
      </c>
      <c r="R299" t="n">
        <v>1</v>
      </c>
      <c r="S299" t="n">
        <v>1896</v>
      </c>
      <c r="T299" t="s">
        <v>7567</v>
      </c>
      <c r="U299" t="s">
        <v>7568</v>
      </c>
      <c r="V299" t="s">
        <v>74</v>
      </c>
      <c r="W299" t="s">
        <v>7569</v>
      </c>
      <c r="X299"/>
      <c r="Y299" t="s">
        <v>7570</v>
      </c>
      <c r="Z299"/>
      <c r="AA299" t="s">
        <v>7571</v>
      </c>
      <c r="AB299" t="s">
        <v>7572</v>
      </c>
      <c r="AC299" t="n">
        <v>243</v>
      </c>
      <c r="AD299"/>
      <c r="AE299"/>
      <c r="AF299" t="s">
        <v>7573</v>
      </c>
      <c r="AG299" t="n">
        <v>110</v>
      </c>
    </row>
    <row r="300">
      <c r="A300" t="s">
        <v>7574</v>
      </c>
      <c r="B300" t="s">
        <v>26</v>
      </c>
      <c r="C300" t="s">
        <v>65</v>
      </c>
      <c r="D300" t="s">
        <v>7575</v>
      </c>
      <c r="E300" t="s">
        <v>79</v>
      </c>
      <c r="F300" t="s">
        <v>1274</v>
      </c>
      <c r="G300" t="s">
        <v>1516</v>
      </c>
      <c r="H300" t="n">
        <v>39.6833988510148</v>
      </c>
      <c r="I300" t="n">
        <v>-104.989934329942</v>
      </c>
      <c r="J300" t="s">
        <v>35</v>
      </c>
      <c r="K300" t="s">
        <v>270</v>
      </c>
      <c r="L300" t="s">
        <v>202</v>
      </c>
      <c r="M300" t="n">
        <v>1966</v>
      </c>
      <c r="N300" t="n">
        <v>1983</v>
      </c>
      <c r="O300" t="s">
        <v>807</v>
      </c>
      <c r="P300" t="n">
        <v>7</v>
      </c>
      <c r="Q300" t="n">
        <v>6</v>
      </c>
      <c r="R300" t="n">
        <v>4</v>
      </c>
      <c r="S300" t="n">
        <v>1918</v>
      </c>
      <c r="T300" t="s">
        <v>7576</v>
      </c>
      <c r="U300" t="s">
        <v>7577</v>
      </c>
      <c r="V300" t="s">
        <v>74</v>
      </c>
      <c r="W300" t="s">
        <v>7578</v>
      </c>
      <c r="X300" t="s">
        <v>7579</v>
      </c>
      <c r="Y300"/>
      <c r="Z300"/>
      <c r="AA300" t="s">
        <v>7580</v>
      </c>
      <c r="AB300" t="s">
        <v>7581</v>
      </c>
      <c r="AC300" t="n">
        <v>41</v>
      </c>
      <c r="AD300" t="s">
        <v>7582</v>
      </c>
      <c r="AE300" t="n">
        <v>9</v>
      </c>
      <c r="AF300" t="s">
        <v>7583</v>
      </c>
      <c r="AG300" t="n">
        <v>97</v>
      </c>
    </row>
    <row r="301">
      <c r="A301" t="s">
        <v>7584</v>
      </c>
      <c r="B301" t="s">
        <v>26</v>
      </c>
      <c r="C301" t="s">
        <v>25</v>
      </c>
      <c r="D301" t="s">
        <v>7585</v>
      </c>
      <c r="E301" t="s">
        <v>79</v>
      </c>
      <c r="F301" t="s">
        <v>1274</v>
      </c>
      <c r="G301" t="s">
        <v>1574</v>
      </c>
      <c r="H301" t="n">
        <v>39.772786</v>
      </c>
      <c r="I301" t="n">
        <v>-104.946401</v>
      </c>
      <c r="J301" t="s">
        <v>4109</v>
      </c>
      <c r="K301" t="s">
        <v>120</v>
      </c>
      <c r="L301"/>
      <c r="M301" t="n">
        <v>1966</v>
      </c>
      <c r="N301" t="n">
        <v>1966</v>
      </c>
      <c r="O301" t="s">
        <v>4172</v>
      </c>
      <c r="P301" t="n">
        <v>1</v>
      </c>
      <c r="Q301" t="n">
        <v>1</v>
      </c>
      <c r="R301" t="n">
        <v>1</v>
      </c>
      <c r="S301" t="n">
        <v>1945</v>
      </c>
      <c r="T301" t="s">
        <v>7586</v>
      </c>
      <c r="U301" t="s">
        <v>7587</v>
      </c>
      <c r="V301" t="s">
        <v>4175</v>
      </c>
      <c r="W301" t="s">
        <v>6610</v>
      </c>
      <c r="X301"/>
      <c r="Y301" t="s">
        <v>7588</v>
      </c>
      <c r="Z301"/>
      <c r="AA301" t="s">
        <v>7589</v>
      </c>
      <c r="AB301"/>
      <c r="AC301"/>
      <c r="AD301"/>
      <c r="AE301"/>
      <c r="AF301" t="s">
        <v>7590</v>
      </c>
      <c r="AG301" t="n">
        <v>121</v>
      </c>
    </row>
    <row r="302">
      <c r="A302" t="s">
        <v>7591</v>
      </c>
      <c r="B302" t="s">
        <v>26</v>
      </c>
      <c r="C302" t="s">
        <v>24</v>
      </c>
      <c r="D302" t="s">
        <v>7592</v>
      </c>
      <c r="E302" t="s">
        <v>79</v>
      </c>
      <c r="F302" t="s">
        <v>1274</v>
      </c>
      <c r="G302" t="s">
        <v>1555</v>
      </c>
      <c r="H302" t="n">
        <v>39.746053</v>
      </c>
      <c r="I302" t="n">
        <v>-105.005645</v>
      </c>
      <c r="J302" t="s">
        <v>4109</v>
      </c>
      <c r="K302" t="s">
        <v>70</v>
      </c>
      <c r="L302"/>
      <c r="M302" t="n">
        <v>1966</v>
      </c>
      <c r="N302" t="n">
        <v>1968</v>
      </c>
      <c r="O302" t="s">
        <v>106</v>
      </c>
      <c r="P302" t="n">
        <v>3</v>
      </c>
      <c r="Q302" t="n">
        <v>2</v>
      </c>
      <c r="R302" t="n">
        <v>1</v>
      </c>
      <c r="S302" t="n">
        <v>1895</v>
      </c>
      <c r="T302" t="s">
        <v>7593</v>
      </c>
      <c r="U302" t="s">
        <v>7594</v>
      </c>
      <c r="V302" t="s">
        <v>74</v>
      </c>
      <c r="W302" t="s">
        <v>7595</v>
      </c>
      <c r="X302"/>
      <c r="Y302" t="s">
        <v>7596</v>
      </c>
      <c r="Z302"/>
      <c r="AA302" t="s">
        <v>7597</v>
      </c>
      <c r="AB302" t="s">
        <v>4392</v>
      </c>
      <c r="AC302" t="n">
        <v>170</v>
      </c>
      <c r="AD302"/>
      <c r="AE302"/>
      <c r="AF302" t="s">
        <v>6971</v>
      </c>
      <c r="AG302" t="n">
        <v>47</v>
      </c>
    </row>
    <row r="303">
      <c r="A303" t="s">
        <v>7598</v>
      </c>
      <c r="B303" t="s">
        <v>26</v>
      </c>
      <c r="C303" t="s">
        <v>65</v>
      </c>
      <c r="D303" t="s">
        <v>7599</v>
      </c>
      <c r="E303" t="s">
        <v>79</v>
      </c>
      <c r="F303" t="s">
        <v>1274</v>
      </c>
      <c r="G303" t="s">
        <v>1653</v>
      </c>
      <c r="H303" t="n">
        <v>39.7755694299618</v>
      </c>
      <c r="I303" t="n">
        <v>-104.993625229999</v>
      </c>
      <c r="J303" t="s">
        <v>35</v>
      </c>
      <c r="K303" t="s">
        <v>315</v>
      </c>
      <c r="L303"/>
      <c r="M303" t="n">
        <v>1966</v>
      </c>
      <c r="N303" t="n">
        <v>1973</v>
      </c>
      <c r="O303" t="s">
        <v>2736</v>
      </c>
      <c r="P303" t="n">
        <v>3</v>
      </c>
      <c r="Q303" t="n">
        <v>2</v>
      </c>
      <c r="R303" t="n">
        <v>2</v>
      </c>
      <c r="S303" t="n">
        <v>1949</v>
      </c>
      <c r="T303" t="s">
        <v>7600</v>
      </c>
      <c r="U303" t="s">
        <v>7601</v>
      </c>
      <c r="V303" t="s">
        <v>74</v>
      </c>
      <c r="W303" t="s">
        <v>6610</v>
      </c>
      <c r="X303"/>
      <c r="Y303"/>
      <c r="Z303"/>
      <c r="AA303" t="s">
        <v>7602</v>
      </c>
      <c r="AB303" t="s">
        <v>6752</v>
      </c>
      <c r="AC303" t="n">
        <v>138</v>
      </c>
      <c r="AD303"/>
      <c r="AE303"/>
      <c r="AF303" t="s">
        <v>7603</v>
      </c>
      <c r="AG303" t="n">
        <v>69</v>
      </c>
    </row>
    <row r="304">
      <c r="A304" t="s">
        <v>7604</v>
      </c>
      <c r="B304" t="s">
        <v>26</v>
      </c>
      <c r="C304" t="s">
        <v>65</v>
      </c>
      <c r="D304" t="s">
        <v>7605</v>
      </c>
      <c r="E304" t="s">
        <v>79</v>
      </c>
      <c r="F304" t="s">
        <v>1274</v>
      </c>
      <c r="G304" t="s">
        <v>1509</v>
      </c>
      <c r="H304" t="n">
        <v>39.7522430089711</v>
      </c>
      <c r="I304" t="n">
        <v>-104.995232250554</v>
      </c>
      <c r="J304" t="s">
        <v>35</v>
      </c>
      <c r="K304" t="s">
        <v>70</v>
      </c>
      <c r="L304"/>
      <c r="M304" t="n">
        <v>1966</v>
      </c>
      <c r="N304" t="n">
        <v>1980</v>
      </c>
      <c r="O304" t="s">
        <v>1949</v>
      </c>
      <c r="P304" t="n">
        <v>3</v>
      </c>
      <c r="Q304" t="n">
        <v>2</v>
      </c>
      <c r="R304" t="n">
        <v>1</v>
      </c>
      <c r="S304" t="n">
        <v>1947</v>
      </c>
      <c r="T304" t="s">
        <v>7606</v>
      </c>
      <c r="U304" t="s">
        <v>7607</v>
      </c>
      <c r="V304" t="s">
        <v>74</v>
      </c>
      <c r="W304" t="s">
        <v>7608</v>
      </c>
      <c r="X304"/>
      <c r="Y304"/>
      <c r="Z304"/>
      <c r="AA304" t="s">
        <v>7609</v>
      </c>
      <c r="AB304" t="s">
        <v>1400</v>
      </c>
      <c r="AC304" t="n">
        <v>49</v>
      </c>
      <c r="AD304"/>
      <c r="AE304"/>
      <c r="AF304" t="s">
        <v>1401</v>
      </c>
      <c r="AG304" t="n">
        <v>72</v>
      </c>
    </row>
    <row r="305">
      <c r="A305" t="s">
        <v>7610</v>
      </c>
      <c r="B305" t="s">
        <v>26</v>
      </c>
      <c r="C305" t="s">
        <v>65</v>
      </c>
      <c r="D305" t="s">
        <v>7611</v>
      </c>
      <c r="E305" t="s">
        <v>79</v>
      </c>
      <c r="F305" t="s">
        <v>1274</v>
      </c>
      <c r="G305" t="s">
        <v>1653</v>
      </c>
      <c r="H305" t="n">
        <v>39.7694502365315</v>
      </c>
      <c r="I305" t="n">
        <v>-104.979954734931</v>
      </c>
      <c r="J305" t="s">
        <v>35</v>
      </c>
      <c r="K305" t="s">
        <v>81</v>
      </c>
      <c r="L305"/>
      <c r="M305" t="n">
        <v>1966</v>
      </c>
      <c r="N305" t="n">
        <v>1990</v>
      </c>
      <c r="O305" t="s">
        <v>7612</v>
      </c>
      <c r="P305" t="n">
        <v>8</v>
      </c>
      <c r="Q305" t="n">
        <v>3</v>
      </c>
      <c r="R305" t="n">
        <v>2</v>
      </c>
      <c r="S305" t="n">
        <v>1958</v>
      </c>
      <c r="T305" t="s">
        <v>7613</v>
      </c>
      <c r="U305" t="s">
        <v>7614</v>
      </c>
      <c r="V305" t="s">
        <v>74</v>
      </c>
      <c r="W305" t="s">
        <v>7615</v>
      </c>
      <c r="X305"/>
      <c r="Y305" t="s">
        <v>7616</v>
      </c>
      <c r="Z305"/>
      <c r="AA305"/>
      <c r="AB305" t="s">
        <v>7617</v>
      </c>
      <c r="AC305" t="n">
        <v>14</v>
      </c>
      <c r="AD305"/>
      <c r="AE305"/>
      <c r="AF305" t="s">
        <v>7618</v>
      </c>
      <c r="AG305" t="n">
        <v>10</v>
      </c>
    </row>
    <row r="306">
      <c r="A306" t="s">
        <v>7619</v>
      </c>
      <c r="B306" t="s">
        <v>26</v>
      </c>
      <c r="C306" t="s">
        <v>24</v>
      </c>
      <c r="D306" t="s">
        <v>7620</v>
      </c>
      <c r="E306" t="s">
        <v>79</v>
      </c>
      <c r="F306" t="s">
        <v>1274</v>
      </c>
      <c r="G306" t="s">
        <v>1440</v>
      </c>
      <c r="H306" t="n">
        <v>39.751978</v>
      </c>
      <c r="I306" t="n">
        <v>-105.014742</v>
      </c>
      <c r="J306" t="s">
        <v>4109</v>
      </c>
      <c r="K306" t="s">
        <v>133</v>
      </c>
      <c r="L306"/>
      <c r="M306" t="n">
        <v>1966</v>
      </c>
      <c r="N306" t="n">
        <v>1983</v>
      </c>
      <c r="O306" t="s">
        <v>7469</v>
      </c>
      <c r="P306" t="n">
        <v>7</v>
      </c>
      <c r="Q306" t="n">
        <v>4</v>
      </c>
      <c r="R306" t="n">
        <v>2</v>
      </c>
      <c r="S306" t="n">
        <v>1912</v>
      </c>
      <c r="T306" t="s">
        <v>7621</v>
      </c>
      <c r="U306" t="s">
        <v>7622</v>
      </c>
      <c r="V306" t="s">
        <v>74</v>
      </c>
      <c r="W306" t="s">
        <v>7623</v>
      </c>
      <c r="X306"/>
      <c r="Y306" t="s">
        <v>7624</v>
      </c>
      <c r="Z306"/>
      <c r="AA306" t="s">
        <v>7625</v>
      </c>
      <c r="AB306" t="s">
        <v>7562</v>
      </c>
      <c r="AC306" t="n">
        <v>22</v>
      </c>
      <c r="AD306"/>
      <c r="AE306"/>
      <c r="AF306" t="s">
        <v>7563</v>
      </c>
      <c r="AG306" t="n">
        <v>27</v>
      </c>
    </row>
    <row r="307">
      <c r="A307" t="s">
        <v>7626</v>
      </c>
      <c r="B307" t="s">
        <v>26</v>
      </c>
      <c r="C307" t="s">
        <v>65</v>
      </c>
      <c r="D307" t="s">
        <v>7627</v>
      </c>
      <c r="E307" t="s">
        <v>79</v>
      </c>
      <c r="F307" t="s">
        <v>1274</v>
      </c>
      <c r="G307" t="s">
        <v>1653</v>
      </c>
      <c r="H307" t="n">
        <v>39.7879905</v>
      </c>
      <c r="I307" t="n">
        <v>-104.963497808824</v>
      </c>
      <c r="J307" t="s">
        <v>35</v>
      </c>
      <c r="K307" t="s">
        <v>120</v>
      </c>
      <c r="L307"/>
      <c r="M307" t="n">
        <v>1966</v>
      </c>
      <c r="N307" t="n">
        <v>1967</v>
      </c>
      <c r="O307" t="s">
        <v>716</v>
      </c>
      <c r="P307" t="n">
        <v>2</v>
      </c>
      <c r="Q307" t="n">
        <v>2</v>
      </c>
      <c r="R307" t="n">
        <v>2</v>
      </c>
      <c r="S307" t="n">
        <v>1945</v>
      </c>
      <c r="T307" t="s">
        <v>7628</v>
      </c>
      <c r="U307" t="s">
        <v>7629</v>
      </c>
      <c r="V307" t="s">
        <v>74</v>
      </c>
      <c r="W307" t="s">
        <v>6610</v>
      </c>
      <c r="X307"/>
      <c r="Y307" t="s">
        <v>7630</v>
      </c>
      <c r="Z307"/>
      <c r="AA307"/>
      <c r="AB307" t="s">
        <v>6816</v>
      </c>
      <c r="AC307" t="n">
        <v>247</v>
      </c>
      <c r="AD307" t="s">
        <v>6817</v>
      </c>
      <c r="AE307" t="n">
        <v>127</v>
      </c>
      <c r="AF307" t="s">
        <v>7631</v>
      </c>
      <c r="AG307" t="n">
        <v>38</v>
      </c>
    </row>
    <row r="308">
      <c r="A308" t="s">
        <v>7632</v>
      </c>
      <c r="B308" t="s">
        <v>26</v>
      </c>
      <c r="C308" t="s">
        <v>65</v>
      </c>
      <c r="D308" t="s">
        <v>7633</v>
      </c>
      <c r="E308" t="s">
        <v>79</v>
      </c>
      <c r="F308" t="s">
        <v>1274</v>
      </c>
      <c r="G308" t="s">
        <v>1509</v>
      </c>
      <c r="H308" t="n">
        <v>39.751906</v>
      </c>
      <c r="I308" t="n">
        <v>-105.000919</v>
      </c>
      <c r="J308" t="s">
        <v>35</v>
      </c>
      <c r="K308" t="s">
        <v>1282</v>
      </c>
      <c r="L308"/>
      <c r="M308" t="n">
        <v>1966</v>
      </c>
      <c r="N308" t="n">
        <v>1974</v>
      </c>
      <c r="O308" t="s">
        <v>7634</v>
      </c>
      <c r="P308" t="n">
        <v>5</v>
      </c>
      <c r="Q308" t="n">
        <v>1</v>
      </c>
      <c r="R308" t="n">
        <v>1</v>
      </c>
      <c r="S308" t="n">
        <v>1925</v>
      </c>
      <c r="T308" t="s">
        <v>7635</v>
      </c>
      <c r="U308" t="s">
        <v>7636</v>
      </c>
      <c r="V308" t="s">
        <v>74</v>
      </c>
      <c r="W308" t="s">
        <v>7637</v>
      </c>
      <c r="X308"/>
      <c r="Y308"/>
      <c r="Z308"/>
      <c r="AA308" t="s">
        <v>7638</v>
      </c>
      <c r="AB308" t="s">
        <v>7639</v>
      </c>
      <c r="AC308" t="n">
        <v>11</v>
      </c>
      <c r="AD308" t="s">
        <v>5328</v>
      </c>
      <c r="AE308" t="n">
        <v>226</v>
      </c>
      <c r="AF308" t="s">
        <v>7640</v>
      </c>
      <c r="AG308" t="n">
        <v>84</v>
      </c>
    </row>
    <row r="309">
      <c r="A309" t="s">
        <v>7641</v>
      </c>
      <c r="B309" t="s">
        <v>26</v>
      </c>
      <c r="C309" t="s">
        <v>25</v>
      </c>
      <c r="D309" t="s">
        <v>7642</v>
      </c>
      <c r="E309" t="s">
        <v>79</v>
      </c>
      <c r="F309" t="s">
        <v>1274</v>
      </c>
      <c r="G309" t="s">
        <v>1574</v>
      </c>
      <c r="H309" t="n">
        <v>39.7495054489796</v>
      </c>
      <c r="I309" t="n">
        <v>-104.987393857143</v>
      </c>
      <c r="J309" t="s">
        <v>4109</v>
      </c>
      <c r="K309" t="s">
        <v>89</v>
      </c>
      <c r="L309"/>
      <c r="M309" t="n">
        <v>1966</v>
      </c>
      <c r="N309" t="n">
        <v>1980</v>
      </c>
      <c r="O309" t="s">
        <v>1349</v>
      </c>
      <c r="P309" t="n">
        <v>5</v>
      </c>
      <c r="Q309" t="n">
        <v>2</v>
      </c>
      <c r="R309" t="n">
        <v>1</v>
      </c>
      <c r="S309" t="n">
        <v>1926</v>
      </c>
      <c r="T309" t="s">
        <v>7643</v>
      </c>
      <c r="U309" t="s">
        <v>7644</v>
      </c>
      <c r="V309" t="s">
        <v>4175</v>
      </c>
      <c r="W309" t="s">
        <v>7645</v>
      </c>
      <c r="X309"/>
      <c r="Y309" t="s">
        <v>7646</v>
      </c>
      <c r="Z309"/>
      <c r="AA309"/>
      <c r="AB309" t="s">
        <v>1363</v>
      </c>
      <c r="AC309" t="n">
        <v>20</v>
      </c>
      <c r="AD309"/>
      <c r="AE309"/>
      <c r="AF309" t="s">
        <v>1364</v>
      </c>
      <c r="AG309" t="n">
        <v>12</v>
      </c>
    </row>
    <row r="310">
      <c r="A310" t="s">
        <v>7647</v>
      </c>
      <c r="B310" t="s">
        <v>26</v>
      </c>
      <c r="C310" t="s">
        <v>65</v>
      </c>
      <c r="D310" t="s">
        <v>7648</v>
      </c>
      <c r="E310" t="s">
        <v>79</v>
      </c>
      <c r="F310" t="s">
        <v>1274</v>
      </c>
      <c r="G310" t="s">
        <v>1555</v>
      </c>
      <c r="H310" t="n">
        <v>39.739666</v>
      </c>
      <c r="I310" t="n">
        <v>-105.011802</v>
      </c>
      <c r="J310" t="s">
        <v>35</v>
      </c>
      <c r="K310" t="s">
        <v>141</v>
      </c>
      <c r="L310"/>
      <c r="M310" t="n">
        <v>1966</v>
      </c>
      <c r="N310" t="n">
        <v>1990</v>
      </c>
      <c r="O310" t="s">
        <v>7649</v>
      </c>
      <c r="P310" t="n">
        <v>7</v>
      </c>
      <c r="Q310" t="n">
        <v>3</v>
      </c>
      <c r="R310" t="n">
        <v>3</v>
      </c>
      <c r="S310" t="n">
        <v>1913</v>
      </c>
      <c r="T310" t="s">
        <v>7650</v>
      </c>
      <c r="U310" t="s">
        <v>7651</v>
      </c>
      <c r="V310" t="s">
        <v>74</v>
      </c>
      <c r="W310" t="s">
        <v>7652</v>
      </c>
      <c r="X310"/>
      <c r="Y310"/>
      <c r="Z310" t="s">
        <v>7653</v>
      </c>
      <c r="AA310" t="s">
        <v>7654</v>
      </c>
      <c r="AB310" t="s">
        <v>1512</v>
      </c>
      <c r="AC310" t="n">
        <v>46</v>
      </c>
      <c r="AD310"/>
      <c r="AE310"/>
      <c r="AF310" t="s">
        <v>7655</v>
      </c>
      <c r="AG310" t="n">
        <v>42</v>
      </c>
    </row>
    <row r="311">
      <c r="A311" t="s">
        <v>7656</v>
      </c>
      <c r="B311" t="s">
        <v>26</v>
      </c>
      <c r="C311" t="s">
        <v>24</v>
      </c>
      <c r="D311" t="s">
        <v>7657</v>
      </c>
      <c r="E311" t="s">
        <v>79</v>
      </c>
      <c r="F311" t="s">
        <v>1274</v>
      </c>
      <c r="G311" t="s">
        <v>1555</v>
      </c>
      <c r="H311" t="n">
        <v>39.739616</v>
      </c>
      <c r="I311" t="n">
        <v>-105.01229</v>
      </c>
      <c r="J311" t="s">
        <v>4109</v>
      </c>
      <c r="K311" t="s">
        <v>7658</v>
      </c>
      <c r="L311"/>
      <c r="M311" t="n">
        <v>1966</v>
      </c>
      <c r="N311" t="n">
        <v>1983</v>
      </c>
      <c r="O311" t="s">
        <v>7659</v>
      </c>
      <c r="P311" t="n">
        <v>8</v>
      </c>
      <c r="Q311" t="n">
        <v>6</v>
      </c>
      <c r="R311" t="n">
        <v>4</v>
      </c>
      <c r="S311" t="n">
        <v>1930</v>
      </c>
      <c r="T311" t="s">
        <v>7660</v>
      </c>
      <c r="U311" t="s">
        <v>7661</v>
      </c>
      <c r="V311" t="s">
        <v>74</v>
      </c>
      <c r="W311" t="s">
        <v>7662</v>
      </c>
      <c r="X311"/>
      <c r="Y311" t="s">
        <v>7663</v>
      </c>
      <c r="Z311" t="s">
        <v>7664</v>
      </c>
      <c r="AA311" t="s">
        <v>7665</v>
      </c>
      <c r="AB311" t="s">
        <v>1512</v>
      </c>
      <c r="AC311" t="n">
        <v>88</v>
      </c>
      <c r="AD311"/>
      <c r="AE311"/>
      <c r="AF311" t="s">
        <v>7655</v>
      </c>
      <c r="AG311" t="n">
        <v>84</v>
      </c>
    </row>
    <row r="312">
      <c r="A312" t="s">
        <v>7666</v>
      </c>
      <c r="B312" t="s">
        <v>26</v>
      </c>
      <c r="C312" t="s">
        <v>65</v>
      </c>
      <c r="D312" t="s">
        <v>7667</v>
      </c>
      <c r="E312" t="s">
        <v>79</v>
      </c>
      <c r="F312" t="s">
        <v>1274</v>
      </c>
      <c r="G312" t="s">
        <v>1653</v>
      </c>
      <c r="H312" t="n">
        <v>39.7731023442782</v>
      </c>
      <c r="I312" t="n">
        <v>-104.994850954309</v>
      </c>
      <c r="J312" t="s">
        <v>35</v>
      </c>
      <c r="K312" t="s">
        <v>533</v>
      </c>
      <c r="L312"/>
      <c r="M312" t="n">
        <v>1966</v>
      </c>
      <c r="N312" t="n">
        <v>1988</v>
      </c>
      <c r="O312" t="s">
        <v>7668</v>
      </c>
      <c r="P312" t="n">
        <v>8</v>
      </c>
      <c r="Q312" t="n">
        <v>3</v>
      </c>
      <c r="R312" t="n">
        <v>2</v>
      </c>
      <c r="S312" t="n">
        <v>1945</v>
      </c>
      <c r="T312" t="s">
        <v>7669</v>
      </c>
      <c r="U312" t="s">
        <v>7670</v>
      </c>
      <c r="V312" t="s">
        <v>74</v>
      </c>
      <c r="W312" t="s">
        <v>6610</v>
      </c>
      <c r="X312"/>
      <c r="Y312" t="s">
        <v>7671</v>
      </c>
      <c r="Z312"/>
      <c r="AA312"/>
      <c r="AB312" t="s">
        <v>6752</v>
      </c>
      <c r="AC312" t="n">
        <v>191</v>
      </c>
      <c r="AD312"/>
      <c r="AE312"/>
      <c r="AF312" t="s">
        <v>7672</v>
      </c>
      <c r="AG312" t="n">
        <v>16</v>
      </c>
    </row>
    <row r="313">
      <c r="A313" t="s">
        <v>7673</v>
      </c>
      <c r="B313" t="s">
        <v>26</v>
      </c>
      <c r="C313" t="s">
        <v>65</v>
      </c>
      <c r="D313" t="s">
        <v>7674</v>
      </c>
      <c r="E313" t="s">
        <v>79</v>
      </c>
      <c r="F313" t="s">
        <v>1274</v>
      </c>
      <c r="G313" t="s">
        <v>1574</v>
      </c>
      <c r="H313" t="n">
        <v>39.7728878862827</v>
      </c>
      <c r="I313" t="n">
        <v>-104.944808512032</v>
      </c>
      <c r="J313" t="s">
        <v>35</v>
      </c>
      <c r="K313" t="s">
        <v>120</v>
      </c>
      <c r="L313" t="s">
        <v>202</v>
      </c>
      <c r="M313" t="n">
        <v>1966</v>
      </c>
      <c r="N313" t="n">
        <v>1992</v>
      </c>
      <c r="O313" t="s">
        <v>7675</v>
      </c>
      <c r="P313" t="n">
        <v>7</v>
      </c>
      <c r="Q313" t="n">
        <v>3</v>
      </c>
      <c r="R313" t="n">
        <v>2</v>
      </c>
      <c r="S313" t="n">
        <v>1920</v>
      </c>
      <c r="T313" t="s">
        <v>7676</v>
      </c>
      <c r="U313" t="s">
        <v>7677</v>
      </c>
      <c r="V313" t="s">
        <v>74</v>
      </c>
      <c r="W313" t="s">
        <v>6610</v>
      </c>
      <c r="X313"/>
      <c r="Y313" t="s">
        <v>7678</v>
      </c>
      <c r="Z313"/>
      <c r="AA313"/>
      <c r="AB313"/>
      <c r="AC313"/>
      <c r="AD313"/>
      <c r="AE313"/>
      <c r="AF313" t="s">
        <v>7679</v>
      </c>
      <c r="AG313" t="n">
        <v>37</v>
      </c>
    </row>
    <row r="314">
      <c r="A314" t="s">
        <v>7680</v>
      </c>
      <c r="B314" t="s">
        <v>26</v>
      </c>
      <c r="C314" t="s">
        <v>65</v>
      </c>
      <c r="D314" t="s">
        <v>7681</v>
      </c>
      <c r="E314" t="s">
        <v>79</v>
      </c>
      <c r="F314" t="s">
        <v>1274</v>
      </c>
      <c r="G314" t="s">
        <v>1516</v>
      </c>
      <c r="H314" t="n">
        <v>39.7204439821359</v>
      </c>
      <c r="I314" t="n">
        <v>-105.014274409623</v>
      </c>
      <c r="J314" t="s">
        <v>35</v>
      </c>
      <c r="K314" t="s">
        <v>1495</v>
      </c>
      <c r="L314"/>
      <c r="M314" t="n">
        <v>1966</v>
      </c>
      <c r="N314" t="n">
        <v>1990</v>
      </c>
      <c r="O314" t="s">
        <v>7682</v>
      </c>
      <c r="P314" t="n">
        <v>8</v>
      </c>
      <c r="Q314" t="n">
        <v>9</v>
      </c>
      <c r="R314" t="n">
        <v>4</v>
      </c>
      <c r="S314" t="n">
        <v>1951</v>
      </c>
      <c r="T314" t="s">
        <v>7683</v>
      </c>
      <c r="U314" t="s">
        <v>7684</v>
      </c>
      <c r="V314" t="s">
        <v>74</v>
      </c>
      <c r="W314" t="s">
        <v>7685</v>
      </c>
      <c r="X314"/>
      <c r="Y314" t="s">
        <v>7686</v>
      </c>
      <c r="Z314"/>
      <c r="AA314" t="s">
        <v>7687</v>
      </c>
      <c r="AB314" t="s">
        <v>7220</v>
      </c>
      <c r="AC314" t="n">
        <v>103</v>
      </c>
      <c r="AD314" t="s">
        <v>7221</v>
      </c>
      <c r="AE314" t="n">
        <v>195</v>
      </c>
      <c r="AF314" t="s">
        <v>7688</v>
      </c>
      <c r="AG314" t="n">
        <v>14</v>
      </c>
    </row>
    <row r="315">
      <c r="A315" t="s">
        <v>7689</v>
      </c>
      <c r="B315" t="s">
        <v>26</v>
      </c>
      <c r="C315" t="s">
        <v>65</v>
      </c>
      <c r="D315" t="s">
        <v>7690</v>
      </c>
      <c r="E315" t="s">
        <v>79</v>
      </c>
      <c r="F315" t="s">
        <v>1274</v>
      </c>
      <c r="G315" t="s">
        <v>1509</v>
      </c>
      <c r="H315" t="n">
        <v>39.751507</v>
      </c>
      <c r="I315" t="n">
        <v>-105.004846</v>
      </c>
      <c r="J315" t="s">
        <v>35</v>
      </c>
      <c r="K315" t="s">
        <v>141</v>
      </c>
      <c r="L315"/>
      <c r="M315" t="n">
        <v>1966</v>
      </c>
      <c r="N315" t="n">
        <v>1988</v>
      </c>
      <c r="O315" t="s">
        <v>7691</v>
      </c>
      <c r="P315" t="n">
        <v>8</v>
      </c>
      <c r="Q315" t="n">
        <v>3</v>
      </c>
      <c r="R315" t="n">
        <v>3</v>
      </c>
      <c r="S315" t="n">
        <v>1956</v>
      </c>
      <c r="T315" t="s">
        <v>7692</v>
      </c>
      <c r="U315" t="s">
        <v>7693</v>
      </c>
      <c r="V315" t="s">
        <v>74</v>
      </c>
      <c r="W315" t="s">
        <v>7694</v>
      </c>
      <c r="X315"/>
      <c r="Y315"/>
      <c r="Z315"/>
      <c r="AA315"/>
      <c r="AB315" t="s">
        <v>7695</v>
      </c>
      <c r="AC315" t="n">
        <v>67</v>
      </c>
      <c r="AD315"/>
      <c r="AE315"/>
      <c r="AF315" t="s">
        <v>1635</v>
      </c>
      <c r="AG315" t="n">
        <v>146</v>
      </c>
    </row>
    <row r="316">
      <c r="A316" t="s">
        <v>7696</v>
      </c>
      <c r="B316" t="s">
        <v>26</v>
      </c>
      <c r="C316" t="s">
        <v>24</v>
      </c>
      <c r="D316" t="s">
        <v>7697</v>
      </c>
      <c r="E316" t="s">
        <v>79</v>
      </c>
      <c r="F316" t="s">
        <v>1274</v>
      </c>
      <c r="G316" t="s">
        <v>1653</v>
      </c>
      <c r="H316" t="n">
        <v>39.7784276526068</v>
      </c>
      <c r="I316" t="n">
        <v>-104.946407</v>
      </c>
      <c r="J316" t="s">
        <v>35</v>
      </c>
      <c r="K316" t="s">
        <v>70</v>
      </c>
      <c r="L316"/>
      <c r="M316" t="n">
        <v>1966</v>
      </c>
      <c r="N316" t="n">
        <v>1966</v>
      </c>
      <c r="O316" t="s">
        <v>4172</v>
      </c>
      <c r="P316" t="n">
        <v>1</v>
      </c>
      <c r="Q316" t="n">
        <v>1</v>
      </c>
      <c r="R316" t="n">
        <v>1</v>
      </c>
      <c r="S316" t="n">
        <v>1949</v>
      </c>
      <c r="T316" t="s">
        <v>7698</v>
      </c>
      <c r="U316" t="s">
        <v>7699</v>
      </c>
      <c r="V316" t="s">
        <v>4175</v>
      </c>
      <c r="W316" t="s">
        <v>6610</v>
      </c>
      <c r="X316"/>
      <c r="Y316" t="s">
        <v>7700</v>
      </c>
      <c r="Z316"/>
      <c r="AA316"/>
      <c r="AB316"/>
      <c r="AC316"/>
      <c r="AD316" t="s">
        <v>4359</v>
      </c>
      <c r="AE316" t="n">
        <v>106</v>
      </c>
      <c r="AF316" t="s">
        <v>7422</v>
      </c>
      <c r="AG316" t="n">
        <v>16</v>
      </c>
    </row>
    <row r="317">
      <c r="A317" t="s">
        <v>7701</v>
      </c>
      <c r="B317" t="s">
        <v>26</v>
      </c>
      <c r="C317" t="s">
        <v>65</v>
      </c>
      <c r="D317" t="s">
        <v>7702</v>
      </c>
      <c r="E317" t="s">
        <v>79</v>
      </c>
      <c r="F317" t="s">
        <v>1274</v>
      </c>
      <c r="G317" t="s">
        <v>1638</v>
      </c>
      <c r="H317" t="n">
        <v>39.735286</v>
      </c>
      <c r="I317" t="n">
        <v>-105.00655</v>
      </c>
      <c r="J317" t="s">
        <v>35</v>
      </c>
      <c r="K317" t="s">
        <v>97</v>
      </c>
      <c r="L317"/>
      <c r="M317" t="n">
        <v>1966</v>
      </c>
      <c r="N317" t="n">
        <v>1980</v>
      </c>
      <c r="O317" t="s">
        <v>7703</v>
      </c>
      <c r="P317" t="n">
        <v>5</v>
      </c>
      <c r="Q317" t="n">
        <v>3</v>
      </c>
      <c r="R317" t="n">
        <v>2</v>
      </c>
      <c r="S317" t="n">
        <v>1952</v>
      </c>
      <c r="T317" t="s">
        <v>7704</v>
      </c>
      <c r="U317" t="s">
        <v>7705</v>
      </c>
      <c r="V317" t="s">
        <v>74</v>
      </c>
      <c r="W317" t="s">
        <v>7706</v>
      </c>
      <c r="X317" t="s">
        <v>7707</v>
      </c>
      <c r="Y317" t="s">
        <v>7708</v>
      </c>
      <c r="Z317"/>
      <c r="AA317"/>
      <c r="AB317" t="s">
        <v>6665</v>
      </c>
      <c r="AC317" t="n">
        <v>73</v>
      </c>
      <c r="AD317" t="s">
        <v>7083</v>
      </c>
      <c r="AE317" t="n">
        <v>71</v>
      </c>
      <c r="AF317" t="s">
        <v>7709</v>
      </c>
      <c r="AG317" t="n">
        <v>18</v>
      </c>
    </row>
    <row r="318">
      <c r="A318" t="s">
        <v>7710</v>
      </c>
      <c r="B318" t="s">
        <v>26</v>
      </c>
      <c r="C318" t="s">
        <v>65</v>
      </c>
      <c r="D318" t="s">
        <v>7711</v>
      </c>
      <c r="E318" t="s">
        <v>79</v>
      </c>
      <c r="F318" t="s">
        <v>1274</v>
      </c>
      <c r="G318" t="s">
        <v>1653</v>
      </c>
      <c r="H318" t="n">
        <v>39.7896510884975</v>
      </c>
      <c r="I318" t="n">
        <v>-104.96881453432</v>
      </c>
      <c r="J318" t="s">
        <v>35</v>
      </c>
      <c r="K318" t="s">
        <v>89</v>
      </c>
      <c r="L318"/>
      <c r="M318" t="n">
        <v>1966</v>
      </c>
      <c r="N318" t="n">
        <v>1968</v>
      </c>
      <c r="O318" t="s">
        <v>1556</v>
      </c>
      <c r="P318" t="n">
        <v>2</v>
      </c>
      <c r="Q318" t="n">
        <v>1</v>
      </c>
      <c r="R318" t="n">
        <v>1</v>
      </c>
      <c r="S318" t="n">
        <v>1960</v>
      </c>
      <c r="T318" t="s">
        <v>7712</v>
      </c>
      <c r="U318" t="s">
        <v>7713</v>
      </c>
      <c r="V318" t="s">
        <v>74</v>
      </c>
      <c r="W318" t="s">
        <v>7714</v>
      </c>
      <c r="X318"/>
      <c r="Y318"/>
      <c r="Z318"/>
      <c r="AA318" t="s">
        <v>7715</v>
      </c>
      <c r="AB318" t="s">
        <v>7716</v>
      </c>
      <c r="AC318" t="n">
        <v>49</v>
      </c>
      <c r="AD318" t="s">
        <v>7717</v>
      </c>
      <c r="AE318" t="n">
        <v>147</v>
      </c>
      <c r="AF318" t="s">
        <v>7718</v>
      </c>
      <c r="AG318" t="n">
        <v>216</v>
      </c>
    </row>
    <row r="319">
      <c r="A319" t="s">
        <v>7719</v>
      </c>
      <c r="B319" t="s">
        <v>26</v>
      </c>
      <c r="C319" t="s">
        <v>65</v>
      </c>
      <c r="D319" t="s">
        <v>7720</v>
      </c>
      <c r="E319" t="s">
        <v>79</v>
      </c>
      <c r="F319" t="s">
        <v>1274</v>
      </c>
      <c r="G319" t="s">
        <v>1516</v>
      </c>
      <c r="H319" t="n">
        <v>39.7220631351051</v>
      </c>
      <c r="I319" t="n">
        <v>-105.015882668264</v>
      </c>
      <c r="J319" t="s">
        <v>35</v>
      </c>
      <c r="K319" t="s">
        <v>133</v>
      </c>
      <c r="L319"/>
      <c r="M319" t="n">
        <v>1966</v>
      </c>
      <c r="N319" t="n">
        <v>1983</v>
      </c>
      <c r="O319" t="s">
        <v>3993</v>
      </c>
      <c r="P319" t="n">
        <v>4</v>
      </c>
      <c r="Q319" t="n">
        <v>3</v>
      </c>
      <c r="R319" t="n">
        <v>1</v>
      </c>
      <c r="S319" t="n">
        <v>1948</v>
      </c>
      <c r="T319" t="s">
        <v>7721</v>
      </c>
      <c r="U319" t="s">
        <v>7722</v>
      </c>
      <c r="V319" t="s">
        <v>74</v>
      </c>
      <c r="W319" t="s">
        <v>7723</v>
      </c>
      <c r="X319" t="s">
        <v>7724</v>
      </c>
      <c r="Y319"/>
      <c r="Z319"/>
      <c r="AA319"/>
      <c r="AB319" t="s">
        <v>7725</v>
      </c>
      <c r="AC319" t="n">
        <v>60</v>
      </c>
      <c r="AD319" t="s">
        <v>7221</v>
      </c>
      <c r="AE319" t="n">
        <v>60</v>
      </c>
      <c r="AF319" t="s">
        <v>7726</v>
      </c>
      <c r="AG319" t="n">
        <v>58</v>
      </c>
    </row>
    <row r="320">
      <c r="A320" t="s">
        <v>7727</v>
      </c>
      <c r="B320" t="s">
        <v>26</v>
      </c>
      <c r="C320" t="s">
        <v>24</v>
      </c>
      <c r="D320" t="s">
        <v>7728</v>
      </c>
      <c r="E320" t="s">
        <v>79</v>
      </c>
      <c r="F320" t="s">
        <v>1274</v>
      </c>
      <c r="G320" t="s">
        <v>1516</v>
      </c>
      <c r="H320" t="n">
        <v>39.6786356868687</v>
      </c>
      <c r="I320" t="n">
        <v>-105.009687313131</v>
      </c>
      <c r="J320" t="s">
        <v>35</v>
      </c>
      <c r="K320" t="s">
        <v>133</v>
      </c>
      <c r="L320"/>
      <c r="M320" t="n">
        <v>1966</v>
      </c>
      <c r="N320" t="n">
        <v>1966</v>
      </c>
      <c r="O320" t="s">
        <v>4172</v>
      </c>
      <c r="P320" t="n">
        <v>1</v>
      </c>
      <c r="Q320" t="n">
        <v>1</v>
      </c>
      <c r="R320" t="n">
        <v>1</v>
      </c>
      <c r="S320" t="n">
        <v>1961</v>
      </c>
      <c r="T320" t="s">
        <v>7729</v>
      </c>
      <c r="U320" t="s">
        <v>7730</v>
      </c>
      <c r="V320" t="s">
        <v>4175</v>
      </c>
      <c r="W320" t="s">
        <v>7731</v>
      </c>
      <c r="X320"/>
      <c r="Y320" t="s">
        <v>7732</v>
      </c>
      <c r="Z320"/>
      <c r="AA320" t="s">
        <v>7733</v>
      </c>
      <c r="AB320" t="s">
        <v>6110</v>
      </c>
      <c r="AC320" t="n">
        <v>41</v>
      </c>
      <c r="AD320" t="s">
        <v>6111</v>
      </c>
      <c r="AE320" t="n">
        <v>150</v>
      </c>
      <c r="AF320" t="s">
        <v>6908</v>
      </c>
      <c r="AG320" t="n">
        <v>21</v>
      </c>
    </row>
    <row r="321">
      <c r="A321" t="s">
        <v>7734</v>
      </c>
      <c r="B321" t="s">
        <v>26</v>
      </c>
      <c r="C321" t="s">
        <v>65</v>
      </c>
      <c r="D321" t="s">
        <v>7735</v>
      </c>
      <c r="E321" t="s">
        <v>79</v>
      </c>
      <c r="F321" t="s">
        <v>1274</v>
      </c>
      <c r="G321" t="s">
        <v>1653</v>
      </c>
      <c r="H321" t="n">
        <v>39.7757211765611</v>
      </c>
      <c r="I321" t="n">
        <v>-104.994846923196</v>
      </c>
      <c r="J321" t="s">
        <v>35</v>
      </c>
      <c r="K321" t="s">
        <v>616</v>
      </c>
      <c r="L321"/>
      <c r="M321" t="n">
        <v>1966</v>
      </c>
      <c r="N321" t="n">
        <v>1980</v>
      </c>
      <c r="O321" t="s">
        <v>7736</v>
      </c>
      <c r="P321" t="n">
        <v>4</v>
      </c>
      <c r="Q321" t="n">
        <v>2</v>
      </c>
      <c r="R321" t="n">
        <v>2</v>
      </c>
      <c r="S321" t="n">
        <v>1940</v>
      </c>
      <c r="T321" t="s">
        <v>7737</v>
      </c>
      <c r="U321" t="s">
        <v>7738</v>
      </c>
      <c r="V321" t="s">
        <v>74</v>
      </c>
      <c r="W321" t="s">
        <v>6610</v>
      </c>
      <c r="X321"/>
      <c r="Y321"/>
      <c r="Z321"/>
      <c r="AA321"/>
      <c r="AB321" t="s">
        <v>6752</v>
      </c>
      <c r="AC321" t="n">
        <v>101</v>
      </c>
      <c r="AD321"/>
      <c r="AE321"/>
      <c r="AF321" t="s">
        <v>7739</v>
      </c>
      <c r="AG321" t="n">
        <v>61</v>
      </c>
    </row>
    <row r="322">
      <c r="A322" t="s">
        <v>7740</v>
      </c>
      <c r="B322" t="s">
        <v>26</v>
      </c>
      <c r="C322" t="s">
        <v>65</v>
      </c>
      <c r="D322" t="s">
        <v>7741</v>
      </c>
      <c r="E322" t="s">
        <v>79</v>
      </c>
      <c r="F322" t="s">
        <v>1274</v>
      </c>
      <c r="G322" t="s">
        <v>1653</v>
      </c>
      <c r="H322" t="n">
        <v>39.7875501011482</v>
      </c>
      <c r="I322" t="n">
        <v>-104.947563977342</v>
      </c>
      <c r="J322" t="s">
        <v>35</v>
      </c>
      <c r="K322" t="s">
        <v>141</v>
      </c>
      <c r="L322"/>
      <c r="M322" t="n">
        <v>1966</v>
      </c>
      <c r="N322" t="n">
        <v>1992</v>
      </c>
      <c r="O322" t="s">
        <v>7742</v>
      </c>
      <c r="P322" t="n">
        <v>8</v>
      </c>
      <c r="Q322" t="n">
        <v>11</v>
      </c>
      <c r="R322" t="n">
        <v>7</v>
      </c>
      <c r="S322" t="n">
        <v>1946</v>
      </c>
      <c r="T322" t="s">
        <v>7743</v>
      </c>
      <c r="U322" t="s">
        <v>7744</v>
      </c>
      <c r="V322" t="s">
        <v>74</v>
      </c>
      <c r="W322" t="s">
        <v>6610</v>
      </c>
      <c r="X322"/>
      <c r="Y322" t="s">
        <v>7745</v>
      </c>
      <c r="Z322"/>
      <c r="AA322"/>
      <c r="AB322"/>
      <c r="AC322"/>
      <c r="AD322"/>
      <c r="AE322"/>
      <c r="AF322" t="s">
        <v>7746</v>
      </c>
      <c r="AG322" t="n">
        <v>12</v>
      </c>
    </row>
    <row r="323">
      <c r="A323" t="s">
        <v>7747</v>
      </c>
      <c r="B323" t="s">
        <v>26</v>
      </c>
      <c r="C323" t="s">
        <v>65</v>
      </c>
      <c r="D323" t="s">
        <v>7748</v>
      </c>
      <c r="E323" t="s">
        <v>79</v>
      </c>
      <c r="F323" t="s">
        <v>1274</v>
      </c>
      <c r="G323" t="s">
        <v>1653</v>
      </c>
      <c r="H323" t="n">
        <v>39.7759314279932</v>
      </c>
      <c r="I323" t="n">
        <v>-104.956455472355</v>
      </c>
      <c r="J323" t="s">
        <v>35</v>
      </c>
      <c r="K323" t="s">
        <v>97</v>
      </c>
      <c r="L323"/>
      <c r="M323" t="n">
        <v>1966</v>
      </c>
      <c r="N323" t="n">
        <v>1990</v>
      </c>
      <c r="O323" t="s">
        <v>7749</v>
      </c>
      <c r="P323" t="n">
        <v>7</v>
      </c>
      <c r="Q323" t="n">
        <v>4</v>
      </c>
      <c r="R323" t="n">
        <v>3</v>
      </c>
      <c r="S323" t="n">
        <v>1937</v>
      </c>
      <c r="T323" t="s">
        <v>7750</v>
      </c>
      <c r="U323" t="s">
        <v>7751</v>
      </c>
      <c r="V323" t="s">
        <v>74</v>
      </c>
      <c r="W323" t="s">
        <v>6610</v>
      </c>
      <c r="X323"/>
      <c r="Y323" t="s">
        <v>7752</v>
      </c>
      <c r="Z323"/>
      <c r="AA323"/>
      <c r="AB323" t="s">
        <v>7753</v>
      </c>
      <c r="AC323" t="n">
        <v>237</v>
      </c>
      <c r="AD323"/>
      <c r="AE323"/>
      <c r="AF323" t="s">
        <v>6672</v>
      </c>
      <c r="AG323" t="n">
        <v>2</v>
      </c>
    </row>
    <row r="324">
      <c r="A324" t="s">
        <v>7754</v>
      </c>
      <c r="B324" t="s">
        <v>26</v>
      </c>
      <c r="C324" t="s">
        <v>65</v>
      </c>
      <c r="D324" t="s">
        <v>7755</v>
      </c>
      <c r="E324" t="s">
        <v>79</v>
      </c>
      <c r="F324" t="s">
        <v>1274</v>
      </c>
      <c r="G324" t="s">
        <v>1516</v>
      </c>
      <c r="H324" t="n">
        <v>39.7205631837706</v>
      </c>
      <c r="I324" t="n">
        <v>-105.015204051924</v>
      </c>
      <c r="J324" t="s">
        <v>35</v>
      </c>
      <c r="K324" t="s">
        <v>1495</v>
      </c>
      <c r="L324"/>
      <c r="M324" t="n">
        <v>1966</v>
      </c>
      <c r="N324" t="n">
        <v>1990</v>
      </c>
      <c r="O324" t="s">
        <v>5735</v>
      </c>
      <c r="P324" t="n">
        <v>11</v>
      </c>
      <c r="Q324" t="n">
        <v>9</v>
      </c>
      <c r="R324" t="n">
        <v>5</v>
      </c>
      <c r="S324" t="n">
        <v>1948</v>
      </c>
      <c r="T324" t="s">
        <v>7756</v>
      </c>
      <c r="U324" t="s">
        <v>7757</v>
      </c>
      <c r="V324" t="s">
        <v>74</v>
      </c>
      <c r="W324" t="s">
        <v>7758</v>
      </c>
      <c r="X324"/>
      <c r="Y324" t="s">
        <v>7759</v>
      </c>
      <c r="Z324"/>
      <c r="AA324" t="s">
        <v>7760</v>
      </c>
      <c r="AB324" t="s">
        <v>7220</v>
      </c>
      <c r="AC324" t="n">
        <v>86</v>
      </c>
      <c r="AD324" t="s">
        <v>7221</v>
      </c>
      <c r="AE324" t="n">
        <v>165</v>
      </c>
      <c r="AF324" t="s">
        <v>7761</v>
      </c>
      <c r="AG324" t="n">
        <v>2</v>
      </c>
    </row>
    <row r="325">
      <c r="A325" t="s">
        <v>7762</v>
      </c>
      <c r="B325" t="s">
        <v>26</v>
      </c>
      <c r="C325" t="s">
        <v>65</v>
      </c>
      <c r="D325" t="s">
        <v>7763</v>
      </c>
      <c r="E325" t="s">
        <v>79</v>
      </c>
      <c r="F325" t="s">
        <v>1274</v>
      </c>
      <c r="G325" t="s">
        <v>1653</v>
      </c>
      <c r="H325" t="n">
        <v>39.7706503740362</v>
      </c>
      <c r="I325" t="n">
        <v>-104.976684995784</v>
      </c>
      <c r="J325" t="s">
        <v>35</v>
      </c>
      <c r="K325" t="s">
        <v>70</v>
      </c>
      <c r="L325"/>
      <c r="M325" t="n">
        <v>1966</v>
      </c>
      <c r="N325" t="n">
        <v>1983</v>
      </c>
      <c r="O325" t="s">
        <v>7764</v>
      </c>
      <c r="P325" t="n">
        <v>8</v>
      </c>
      <c r="Q325" t="n">
        <v>1</v>
      </c>
      <c r="R325" t="n">
        <v>1</v>
      </c>
      <c r="S325" t="n">
        <v>1942</v>
      </c>
      <c r="T325" t="s">
        <v>7765</v>
      </c>
      <c r="U325" t="s">
        <v>7766</v>
      </c>
      <c r="V325" t="s">
        <v>74</v>
      </c>
      <c r="W325" t="s">
        <v>6610</v>
      </c>
      <c r="X325"/>
      <c r="Y325" t="s">
        <v>7767</v>
      </c>
      <c r="Z325"/>
      <c r="AA325" t="s">
        <v>7768</v>
      </c>
      <c r="AB325" t="s">
        <v>7353</v>
      </c>
      <c r="AC325" t="n">
        <v>79</v>
      </c>
      <c r="AD325" t="s">
        <v>7354</v>
      </c>
      <c r="AE325" t="n">
        <v>179</v>
      </c>
      <c r="AF325" t="s">
        <v>7769</v>
      </c>
      <c r="AG325" t="n">
        <v>40</v>
      </c>
    </row>
    <row r="326">
      <c r="A326" t="s">
        <v>7770</v>
      </c>
      <c r="B326" t="s">
        <v>26</v>
      </c>
      <c r="C326" t="s">
        <v>24</v>
      </c>
      <c r="D326" t="s">
        <v>7771</v>
      </c>
      <c r="E326" t="s">
        <v>79</v>
      </c>
      <c r="F326" t="s">
        <v>1274</v>
      </c>
      <c r="G326" t="s">
        <v>1653</v>
      </c>
      <c r="H326" t="n">
        <v>39.772897</v>
      </c>
      <c r="I326" t="n">
        <v>-104.96363</v>
      </c>
      <c r="J326" t="s">
        <v>35</v>
      </c>
      <c r="K326" t="s">
        <v>1041</v>
      </c>
      <c r="L326"/>
      <c r="M326" t="n">
        <v>1966</v>
      </c>
      <c r="N326" t="n">
        <v>1990</v>
      </c>
      <c r="O326" t="s">
        <v>4172</v>
      </c>
      <c r="P326" t="n">
        <v>3</v>
      </c>
      <c r="Q326" t="n">
        <v>2</v>
      </c>
      <c r="R326" t="n">
        <v>1</v>
      </c>
      <c r="S326" t="n">
        <v>1873</v>
      </c>
      <c r="T326" t="s">
        <v>7772</v>
      </c>
      <c r="U326" t="s">
        <v>7773</v>
      </c>
      <c r="V326" t="s">
        <v>4175</v>
      </c>
      <c r="W326" t="s">
        <v>6610</v>
      </c>
      <c r="X326"/>
      <c r="Y326" t="s">
        <v>7774</v>
      </c>
      <c r="Z326"/>
      <c r="AA326"/>
      <c r="AB326"/>
      <c r="AC326"/>
      <c r="AD326"/>
      <c r="AE326"/>
      <c r="AF326" t="s">
        <v>7775</v>
      </c>
      <c r="AG326" t="n">
        <v>17</v>
      </c>
    </row>
    <row r="327">
      <c r="A327" t="s">
        <v>7776</v>
      </c>
      <c r="B327" t="s">
        <v>26</v>
      </c>
      <c r="C327" t="s">
        <v>24</v>
      </c>
      <c r="D327" t="s">
        <v>7777</v>
      </c>
      <c r="E327" t="s">
        <v>79</v>
      </c>
      <c r="F327" t="s">
        <v>1274</v>
      </c>
      <c r="G327" t="s">
        <v>1516</v>
      </c>
      <c r="H327" t="n">
        <v>39.7146380408806</v>
      </c>
      <c r="I327" t="n">
        <v>-105.003887026261</v>
      </c>
      <c r="J327" t="s">
        <v>35</v>
      </c>
      <c r="K327" t="s">
        <v>315</v>
      </c>
      <c r="L327"/>
      <c r="M327" t="n">
        <v>1966</v>
      </c>
      <c r="N327" t="n">
        <v>1990</v>
      </c>
      <c r="O327" t="s">
        <v>4172</v>
      </c>
      <c r="P327" t="n">
        <v>3</v>
      </c>
      <c r="Q327" t="n">
        <v>3</v>
      </c>
      <c r="R327" t="n">
        <v>1</v>
      </c>
      <c r="S327" t="n">
        <v>1950</v>
      </c>
      <c r="T327" t="s">
        <v>7778</v>
      </c>
      <c r="U327" t="s">
        <v>7779</v>
      </c>
      <c r="V327" t="s">
        <v>4175</v>
      </c>
      <c r="W327" t="s">
        <v>7780</v>
      </c>
      <c r="X327"/>
      <c r="Y327" t="s">
        <v>7781</v>
      </c>
      <c r="Z327"/>
      <c r="AA327" t="s">
        <v>7782</v>
      </c>
      <c r="AB327" t="s">
        <v>7783</v>
      </c>
      <c r="AC327" t="n">
        <v>20</v>
      </c>
      <c r="AD327"/>
      <c r="AE327"/>
      <c r="AF327" t="s">
        <v>7784</v>
      </c>
      <c r="AG327" t="n">
        <v>20</v>
      </c>
    </row>
    <row r="328">
      <c r="A328" t="s">
        <v>7785</v>
      </c>
      <c r="B328" t="s">
        <v>26</v>
      </c>
      <c r="C328" t="s">
        <v>65</v>
      </c>
      <c r="D328" t="s">
        <v>7786</v>
      </c>
      <c r="E328" t="s">
        <v>79</v>
      </c>
      <c r="F328" t="s">
        <v>1274</v>
      </c>
      <c r="G328" t="s">
        <v>1881</v>
      </c>
      <c r="H328" t="n">
        <v>39.7702006326531</v>
      </c>
      <c r="I328" t="n">
        <v>-104.906639204082</v>
      </c>
      <c r="J328" t="s">
        <v>35</v>
      </c>
      <c r="K328" t="s">
        <v>120</v>
      </c>
      <c r="L328" t="s">
        <v>7087</v>
      </c>
      <c r="M328" t="n">
        <v>1966</v>
      </c>
      <c r="N328" t="n">
        <v>1992</v>
      </c>
      <c r="O328" t="s">
        <v>7787</v>
      </c>
      <c r="P328" t="n">
        <v>8</v>
      </c>
      <c r="Q328" t="n">
        <v>6</v>
      </c>
      <c r="R328" t="n">
        <v>5</v>
      </c>
      <c r="S328" t="n">
        <v>1955</v>
      </c>
      <c r="T328" t="s">
        <v>7788</v>
      </c>
      <c r="U328" t="s">
        <v>7789</v>
      </c>
      <c r="V328" t="s">
        <v>74</v>
      </c>
      <c r="W328" t="s">
        <v>7790</v>
      </c>
      <c r="X328" t="s">
        <v>7791</v>
      </c>
      <c r="Y328" t="s">
        <v>7792</v>
      </c>
      <c r="Z328"/>
      <c r="AA328"/>
      <c r="AB328" t="s">
        <v>5039</v>
      </c>
      <c r="AC328" t="n">
        <v>49</v>
      </c>
      <c r="AD328" t="s">
        <v>5040</v>
      </c>
      <c r="AE328" t="n">
        <v>30</v>
      </c>
      <c r="AF328" t="s">
        <v>7793</v>
      </c>
      <c r="AG328" t="n">
        <v>22</v>
      </c>
    </row>
    <row r="329">
      <c r="A329" t="s">
        <v>7794</v>
      </c>
      <c r="B329" t="s">
        <v>26</v>
      </c>
      <c r="C329" t="s">
        <v>65</v>
      </c>
      <c r="D329" t="s">
        <v>7795</v>
      </c>
      <c r="E329" t="s">
        <v>79</v>
      </c>
      <c r="F329" t="s">
        <v>1274</v>
      </c>
      <c r="G329" t="s">
        <v>1574</v>
      </c>
      <c r="H329" t="n">
        <v>39.771158548991</v>
      </c>
      <c r="I329" t="n">
        <v>-104.959739031792</v>
      </c>
      <c r="J329" t="s">
        <v>35</v>
      </c>
      <c r="K329" t="s">
        <v>133</v>
      </c>
      <c r="L329"/>
      <c r="M329" t="n">
        <v>1966</v>
      </c>
      <c r="N329" t="n">
        <v>1990</v>
      </c>
      <c r="O329" t="s">
        <v>351</v>
      </c>
      <c r="P329" t="n">
        <v>4</v>
      </c>
      <c r="Q329" t="n">
        <v>2</v>
      </c>
      <c r="R329" t="n">
        <v>1</v>
      </c>
      <c r="S329" t="n">
        <v>1949</v>
      </c>
      <c r="T329" t="s">
        <v>7796</v>
      </c>
      <c r="U329" t="s">
        <v>7797</v>
      </c>
      <c r="V329" t="s">
        <v>74</v>
      </c>
      <c r="W329" t="s">
        <v>7798</v>
      </c>
      <c r="X329"/>
      <c r="Y329" t="s">
        <v>7799</v>
      </c>
      <c r="Z329"/>
      <c r="AA329" t="s">
        <v>7800</v>
      </c>
      <c r="AB329" t="s">
        <v>7801</v>
      </c>
      <c r="AC329" t="n">
        <v>25</v>
      </c>
      <c r="AD329" t="s">
        <v>7802</v>
      </c>
      <c r="AE329" t="n">
        <v>130</v>
      </c>
      <c r="AF329" t="s">
        <v>7136</v>
      </c>
      <c r="AG329" t="n">
        <v>30</v>
      </c>
    </row>
    <row r="330">
      <c r="A330" t="s">
        <v>7803</v>
      </c>
      <c r="B330" t="s">
        <v>26</v>
      </c>
      <c r="C330" t="s">
        <v>24</v>
      </c>
      <c r="D330" t="s">
        <v>7804</v>
      </c>
      <c r="E330" t="s">
        <v>79</v>
      </c>
      <c r="F330" t="s">
        <v>1274</v>
      </c>
      <c r="G330" t="s">
        <v>1653</v>
      </c>
      <c r="H330" t="n">
        <v>39.794599</v>
      </c>
      <c r="I330" t="n">
        <v>-104.945106</v>
      </c>
      <c r="J330" t="s">
        <v>4109</v>
      </c>
      <c r="K330" t="s">
        <v>89</v>
      </c>
      <c r="L330"/>
      <c r="M330" t="n">
        <v>1966</v>
      </c>
      <c r="N330" t="n">
        <v>1973</v>
      </c>
      <c r="O330" t="s">
        <v>5842</v>
      </c>
      <c r="P330" t="n">
        <v>3</v>
      </c>
      <c r="Q330" t="n">
        <v>2</v>
      </c>
      <c r="R330" t="n">
        <v>2</v>
      </c>
      <c r="S330" t="n">
        <v>1946</v>
      </c>
      <c r="T330" t="s">
        <v>7805</v>
      </c>
      <c r="U330" t="s">
        <v>7806</v>
      </c>
      <c r="V330" t="s">
        <v>74</v>
      </c>
      <c r="W330" t="s">
        <v>7807</v>
      </c>
      <c r="X330"/>
      <c r="Y330" t="s">
        <v>7808</v>
      </c>
      <c r="Z330"/>
      <c r="AA330" t="s">
        <v>7809</v>
      </c>
      <c r="AB330" t="s">
        <v>7810</v>
      </c>
      <c r="AC330" t="n">
        <v>51</v>
      </c>
      <c r="AD330"/>
      <c r="AE330"/>
      <c r="AF330" t="s">
        <v>7811</v>
      </c>
      <c r="AG330" t="n">
        <v>31</v>
      </c>
    </row>
    <row r="331">
      <c r="A331" t="s">
        <v>7812</v>
      </c>
      <c r="B331" t="s">
        <v>26</v>
      </c>
      <c r="C331" t="s">
        <v>65</v>
      </c>
      <c r="D331" t="s">
        <v>7813</v>
      </c>
      <c r="E331" t="s">
        <v>79</v>
      </c>
      <c r="F331" t="s">
        <v>1274</v>
      </c>
      <c r="G331" t="s">
        <v>1555</v>
      </c>
      <c r="H331" t="n">
        <v>39.7352527220797</v>
      </c>
      <c r="I331" t="n">
        <v>-104.989426356572</v>
      </c>
      <c r="J331" t="s">
        <v>35</v>
      </c>
      <c r="K331" t="s">
        <v>396</v>
      </c>
      <c r="L331"/>
      <c r="M331" t="n">
        <v>1966</v>
      </c>
      <c r="N331" t="n">
        <v>1988</v>
      </c>
      <c r="O331" t="s">
        <v>1556</v>
      </c>
      <c r="P331" t="n">
        <v>5</v>
      </c>
      <c r="Q331" t="n">
        <v>4</v>
      </c>
      <c r="R331" t="n">
        <v>2</v>
      </c>
      <c r="S331" t="n">
        <v>1967</v>
      </c>
      <c r="T331" t="s">
        <v>7814</v>
      </c>
      <c r="U331" t="s">
        <v>7815</v>
      </c>
      <c r="V331" t="s">
        <v>74</v>
      </c>
      <c r="W331" t="s">
        <v>7816</v>
      </c>
      <c r="X331"/>
      <c r="Y331" t="s">
        <v>7817</v>
      </c>
      <c r="Z331"/>
      <c r="AA331" t="s">
        <v>7818</v>
      </c>
      <c r="AB331" t="s">
        <v>1465</v>
      </c>
      <c r="AC331" t="n">
        <v>78</v>
      </c>
      <c r="AD331"/>
      <c r="AE331"/>
      <c r="AF331" t="s">
        <v>1466</v>
      </c>
      <c r="AG331" t="n">
        <v>52</v>
      </c>
    </row>
    <row r="332">
      <c r="A332" t="s">
        <v>7819</v>
      </c>
      <c r="B332" t="s">
        <v>26</v>
      </c>
      <c r="C332" t="s">
        <v>65</v>
      </c>
      <c r="D332" t="s">
        <v>7820</v>
      </c>
      <c r="E332" t="s">
        <v>79</v>
      </c>
      <c r="F332" t="s">
        <v>1274</v>
      </c>
      <c r="G332" t="s">
        <v>1509</v>
      </c>
      <c r="H332" t="n">
        <v>39.7519004459204</v>
      </c>
      <c r="I332" t="n">
        <v>-104.997411959041</v>
      </c>
      <c r="J332" t="s">
        <v>35</v>
      </c>
      <c r="K332" t="s">
        <v>270</v>
      </c>
      <c r="L332"/>
      <c r="M332" t="n">
        <v>1966</v>
      </c>
      <c r="N332" t="n">
        <v>1990</v>
      </c>
      <c r="O332" t="s">
        <v>7821</v>
      </c>
      <c r="P332" t="n">
        <v>9</v>
      </c>
      <c r="Q332" t="n">
        <v>9</v>
      </c>
      <c r="R332" t="n">
        <v>6</v>
      </c>
      <c r="S332" t="n">
        <v>1921</v>
      </c>
      <c r="T332" t="s">
        <v>7822</v>
      </c>
      <c r="U332" t="s">
        <v>7823</v>
      </c>
      <c r="V332" t="s">
        <v>74</v>
      </c>
      <c r="W332" t="s">
        <v>7824</v>
      </c>
      <c r="X332"/>
      <c r="Y332"/>
      <c r="Z332"/>
      <c r="AA332" t="s">
        <v>7825</v>
      </c>
      <c r="AB332" t="s">
        <v>7554</v>
      </c>
      <c r="AC332" t="n">
        <v>59</v>
      </c>
      <c r="AD332"/>
      <c r="AE332"/>
      <c r="AF332" t="s">
        <v>7826</v>
      </c>
      <c r="AG332" t="n">
        <v>85</v>
      </c>
    </row>
    <row r="333">
      <c r="A333" t="s">
        <v>7827</v>
      </c>
      <c r="B333" t="s">
        <v>26</v>
      </c>
      <c r="C333" t="s">
        <v>65</v>
      </c>
      <c r="D333" t="s">
        <v>7828</v>
      </c>
      <c r="E333" t="s">
        <v>79</v>
      </c>
      <c r="F333" t="s">
        <v>1274</v>
      </c>
      <c r="G333" t="s">
        <v>1516</v>
      </c>
      <c r="H333" t="n">
        <v>39.7146654667374</v>
      </c>
      <c r="I333" t="n">
        <v>-104.998561034935</v>
      </c>
      <c r="J333" t="s">
        <v>35</v>
      </c>
      <c r="K333" t="s">
        <v>70</v>
      </c>
      <c r="L333"/>
      <c r="M333" t="n">
        <v>1966</v>
      </c>
      <c r="N333" t="n">
        <v>1990</v>
      </c>
      <c r="O333" t="s">
        <v>310</v>
      </c>
      <c r="P333" t="n">
        <v>3</v>
      </c>
      <c r="Q333" t="n">
        <v>5</v>
      </c>
      <c r="R333" t="n">
        <v>2</v>
      </c>
      <c r="S333" t="n">
        <v>1952</v>
      </c>
      <c r="T333" t="s">
        <v>7829</v>
      </c>
      <c r="U333" t="s">
        <v>7830</v>
      </c>
      <c r="V333" t="s">
        <v>74</v>
      </c>
      <c r="W333" t="s">
        <v>7831</v>
      </c>
      <c r="X333" t="s">
        <v>7832</v>
      </c>
      <c r="Y333" t="s">
        <v>7833</v>
      </c>
      <c r="Z333"/>
      <c r="AA333" t="s">
        <v>7834</v>
      </c>
      <c r="AB333" t="s">
        <v>1535</v>
      </c>
      <c r="AC333" t="n">
        <v>58</v>
      </c>
      <c r="AD333" t="s">
        <v>1536</v>
      </c>
      <c r="AE333" t="n">
        <v>9</v>
      </c>
      <c r="AF333" t="s">
        <v>7835</v>
      </c>
      <c r="AG333" t="n">
        <v>9</v>
      </c>
    </row>
    <row r="334">
      <c r="A334" t="s">
        <v>7836</v>
      </c>
      <c r="B334" t="s">
        <v>26</v>
      </c>
      <c r="C334" t="s">
        <v>65</v>
      </c>
      <c r="D334" t="s">
        <v>7837</v>
      </c>
      <c r="E334" t="s">
        <v>79</v>
      </c>
      <c r="F334" t="s">
        <v>1274</v>
      </c>
      <c r="G334" t="s">
        <v>1638</v>
      </c>
      <c r="H334" t="n">
        <v>39.7729074472298</v>
      </c>
      <c r="I334" t="n">
        <v>-104.958413755155</v>
      </c>
      <c r="J334" t="s">
        <v>35</v>
      </c>
      <c r="K334" t="s">
        <v>81</v>
      </c>
      <c r="L334"/>
      <c r="M334" t="n">
        <v>1967</v>
      </c>
      <c r="N334" t="n">
        <v>1992</v>
      </c>
      <c r="O334" t="s">
        <v>7838</v>
      </c>
      <c r="P334" t="n">
        <v>10</v>
      </c>
      <c r="Q334" t="n">
        <v>11</v>
      </c>
      <c r="R334" t="n">
        <v>6</v>
      </c>
      <c r="S334" t="n">
        <v>1876</v>
      </c>
      <c r="T334" t="s">
        <v>7839</v>
      </c>
      <c r="U334" t="s">
        <v>7840</v>
      </c>
      <c r="V334" t="s">
        <v>74</v>
      </c>
      <c r="W334" t="s">
        <v>7841</v>
      </c>
      <c r="X334"/>
      <c r="Y334" t="s">
        <v>7842</v>
      </c>
      <c r="Z334"/>
      <c r="AA334" t="s">
        <v>7843</v>
      </c>
      <c r="AB334" t="s">
        <v>7844</v>
      </c>
      <c r="AC334" t="n">
        <v>25</v>
      </c>
      <c r="AD334"/>
      <c r="AE334"/>
      <c r="AF334" t="s">
        <v>7845</v>
      </c>
      <c r="AG334" t="n">
        <v>30</v>
      </c>
    </row>
    <row r="335">
      <c r="A335" t="s">
        <v>7846</v>
      </c>
      <c r="B335" t="s">
        <v>26</v>
      </c>
      <c r="C335" t="s">
        <v>65</v>
      </c>
      <c r="D335" t="s">
        <v>7847</v>
      </c>
      <c r="E335" t="s">
        <v>79</v>
      </c>
      <c r="F335" t="s">
        <v>1274</v>
      </c>
      <c r="G335" t="s">
        <v>1516</v>
      </c>
      <c r="H335" t="n">
        <v>39.714823</v>
      </c>
      <c r="I335" t="n">
        <v>-105.005410577465</v>
      </c>
      <c r="J335" t="s">
        <v>35</v>
      </c>
      <c r="K335" t="s">
        <v>89</v>
      </c>
      <c r="L335"/>
      <c r="M335" t="n">
        <v>1967</v>
      </c>
      <c r="N335" t="n">
        <v>1990</v>
      </c>
      <c r="O335" t="s">
        <v>7848</v>
      </c>
      <c r="P335" t="n">
        <v>4</v>
      </c>
      <c r="Q335" t="n">
        <v>3</v>
      </c>
      <c r="R335" t="n">
        <v>2</v>
      </c>
      <c r="S335" t="n">
        <v>1919</v>
      </c>
      <c r="T335" t="s">
        <v>7849</v>
      </c>
      <c r="U335" t="s">
        <v>7850</v>
      </c>
      <c r="V335" t="s">
        <v>74</v>
      </c>
      <c r="W335" t="s">
        <v>7851</v>
      </c>
      <c r="X335"/>
      <c r="Y335" t="s">
        <v>7852</v>
      </c>
      <c r="Z335"/>
      <c r="AA335" t="s">
        <v>7853</v>
      </c>
      <c r="AB335" t="s">
        <v>6541</v>
      </c>
      <c r="AC335" t="n">
        <v>6</v>
      </c>
      <c r="AD335"/>
      <c r="AE335"/>
      <c r="AF335" t="s">
        <v>7854</v>
      </c>
      <c r="AG335" t="n">
        <v>42</v>
      </c>
    </row>
    <row r="336">
      <c r="A336" t="s">
        <v>7855</v>
      </c>
      <c r="B336" t="s">
        <v>26</v>
      </c>
      <c r="C336" t="s">
        <v>65</v>
      </c>
      <c r="D336" t="s">
        <v>7856</v>
      </c>
      <c r="E336" t="s">
        <v>79</v>
      </c>
      <c r="F336" t="s">
        <v>1274</v>
      </c>
      <c r="G336" t="s">
        <v>1653</v>
      </c>
      <c r="H336" t="n">
        <v>39.7724988932336</v>
      </c>
      <c r="I336" t="n">
        <v>-104.974293552358</v>
      </c>
      <c r="J336" t="s">
        <v>35</v>
      </c>
      <c r="K336" t="s">
        <v>70</v>
      </c>
      <c r="L336"/>
      <c r="M336" t="n">
        <v>1967</v>
      </c>
      <c r="N336" t="n">
        <v>1980</v>
      </c>
      <c r="O336" t="s">
        <v>7857</v>
      </c>
      <c r="P336" t="n">
        <v>5</v>
      </c>
      <c r="Q336" t="n">
        <v>2</v>
      </c>
      <c r="R336" t="n">
        <v>1</v>
      </c>
      <c r="S336" t="n">
        <v>1972</v>
      </c>
      <c r="T336" t="s">
        <v>7858</v>
      </c>
      <c r="U336" t="s">
        <v>7859</v>
      </c>
      <c r="V336" t="s">
        <v>74</v>
      </c>
      <c r="W336" t="s">
        <v>6610</v>
      </c>
      <c r="X336" t="s">
        <v>7860</v>
      </c>
      <c r="Y336"/>
      <c r="Z336"/>
      <c r="AA336"/>
      <c r="AB336" t="s">
        <v>7861</v>
      </c>
      <c r="AC336" t="n">
        <v>101</v>
      </c>
      <c r="AD336" t="s">
        <v>7862</v>
      </c>
      <c r="AE336" t="n">
        <v>87</v>
      </c>
      <c r="AF336" t="s">
        <v>7478</v>
      </c>
      <c r="AG336" t="n">
        <v>124</v>
      </c>
    </row>
    <row r="337">
      <c r="A337" t="s">
        <v>7863</v>
      </c>
      <c r="B337" t="s">
        <v>26</v>
      </c>
      <c r="C337" t="s">
        <v>65</v>
      </c>
      <c r="D337" t="s">
        <v>7864</v>
      </c>
      <c r="E337" t="s">
        <v>79</v>
      </c>
      <c r="F337" t="s">
        <v>1274</v>
      </c>
      <c r="G337" t="s">
        <v>1509</v>
      </c>
      <c r="H337" t="n">
        <v>39.7580634542984</v>
      </c>
      <c r="I337" t="n">
        <v>-105.00721615437</v>
      </c>
      <c r="J337" t="s">
        <v>35</v>
      </c>
      <c r="K337" t="s">
        <v>141</v>
      </c>
      <c r="L337"/>
      <c r="M337" t="n">
        <v>1967</v>
      </c>
      <c r="N337" t="n">
        <v>1970</v>
      </c>
      <c r="O337" t="s">
        <v>3494</v>
      </c>
      <c r="P337" t="n">
        <v>3</v>
      </c>
      <c r="Q337" t="n">
        <v>1</v>
      </c>
      <c r="R337" t="n">
        <v>1</v>
      </c>
      <c r="S337" t="n">
        <v>1948</v>
      </c>
      <c r="T337" t="s">
        <v>7865</v>
      </c>
      <c r="U337" t="s">
        <v>7866</v>
      </c>
      <c r="V337" t="s">
        <v>74</v>
      </c>
      <c r="W337" t="s">
        <v>7867</v>
      </c>
      <c r="X337"/>
      <c r="Y337" t="s">
        <v>7868</v>
      </c>
      <c r="Z337"/>
      <c r="AA337" t="s">
        <v>7869</v>
      </c>
      <c r="AB337" t="s">
        <v>1300</v>
      </c>
      <c r="AC337" t="n">
        <v>19</v>
      </c>
      <c r="AD337" t="s">
        <v>1278</v>
      </c>
      <c r="AE337" t="n">
        <v>238</v>
      </c>
      <c r="AF337" t="s">
        <v>7870</v>
      </c>
      <c r="AG337" t="n">
        <v>15</v>
      </c>
    </row>
    <row r="338">
      <c r="A338" t="s">
        <v>7871</v>
      </c>
      <c r="B338" t="s">
        <v>26</v>
      </c>
      <c r="C338" t="s">
        <v>65</v>
      </c>
      <c r="D338" t="s">
        <v>7872</v>
      </c>
      <c r="E338" t="s">
        <v>79</v>
      </c>
      <c r="F338" t="s">
        <v>1274</v>
      </c>
      <c r="G338" t="s">
        <v>1653</v>
      </c>
      <c r="H338" t="n">
        <v>39.7851830350241</v>
      </c>
      <c r="I338" t="n">
        <v>-104.990163973211</v>
      </c>
      <c r="J338" t="s">
        <v>35</v>
      </c>
      <c r="K338" t="s">
        <v>201</v>
      </c>
      <c r="L338" t="s">
        <v>202</v>
      </c>
      <c r="M338" t="n">
        <v>1967</v>
      </c>
      <c r="N338" t="n">
        <v>1992</v>
      </c>
      <c r="O338" t="s">
        <v>7873</v>
      </c>
      <c r="P338" t="n">
        <v>6</v>
      </c>
      <c r="Q338" t="n">
        <v>3</v>
      </c>
      <c r="R338" t="n">
        <v>2</v>
      </c>
      <c r="S338" t="n">
        <v>1958</v>
      </c>
      <c r="T338" t="s">
        <v>7874</v>
      </c>
      <c r="U338" t="s">
        <v>7875</v>
      </c>
      <c r="V338" t="s">
        <v>74</v>
      </c>
      <c r="W338" t="s">
        <v>7876</v>
      </c>
      <c r="X338"/>
      <c r="Y338" t="s">
        <v>7877</v>
      </c>
      <c r="Z338"/>
      <c r="AA338"/>
      <c r="AB338" t="s">
        <v>7878</v>
      </c>
      <c r="AC338" t="n">
        <v>96</v>
      </c>
      <c r="AD338" t="s">
        <v>7059</v>
      </c>
      <c r="AE338" t="n">
        <v>143</v>
      </c>
      <c r="AF338" t="s">
        <v>7879</v>
      </c>
      <c r="AG338" t="n">
        <v>12</v>
      </c>
    </row>
    <row r="339">
      <c r="A339" t="s">
        <v>7880</v>
      </c>
      <c r="B339" t="s">
        <v>26</v>
      </c>
      <c r="C339" t="s">
        <v>65</v>
      </c>
      <c r="D339" t="s">
        <v>7881</v>
      </c>
      <c r="E339" t="s">
        <v>79</v>
      </c>
      <c r="F339" t="s">
        <v>1274</v>
      </c>
      <c r="G339" t="s">
        <v>1574</v>
      </c>
      <c r="H339" t="n">
        <v>39.7705217234569</v>
      </c>
      <c r="I339" t="n">
        <v>-104.973342329874</v>
      </c>
      <c r="J339" t="s">
        <v>35</v>
      </c>
      <c r="K339" t="s">
        <v>141</v>
      </c>
      <c r="L339"/>
      <c r="M339" t="n">
        <v>1967</v>
      </c>
      <c r="N339" t="n">
        <v>1992</v>
      </c>
      <c r="O339" t="s">
        <v>7882</v>
      </c>
      <c r="P339" t="n">
        <v>9</v>
      </c>
      <c r="Q339" t="n">
        <v>5</v>
      </c>
      <c r="R339" t="n">
        <v>4</v>
      </c>
      <c r="S339" t="n">
        <v>1964</v>
      </c>
      <c r="T339" t="s">
        <v>7883</v>
      </c>
      <c r="U339" t="s">
        <v>7884</v>
      </c>
      <c r="V339" t="s">
        <v>74</v>
      </c>
      <c r="W339" t="s">
        <v>7885</v>
      </c>
      <c r="X339"/>
      <c r="Y339"/>
      <c r="Z339"/>
      <c r="AA339" t="s">
        <v>7886</v>
      </c>
      <c r="AB339" t="s">
        <v>7887</v>
      </c>
      <c r="AC339" t="n">
        <v>11</v>
      </c>
      <c r="AD339" t="s">
        <v>7354</v>
      </c>
      <c r="AE339" t="n">
        <v>211</v>
      </c>
      <c r="AF339" t="s">
        <v>7888</v>
      </c>
      <c r="AG339" t="n">
        <v>105</v>
      </c>
    </row>
    <row r="340">
      <c r="A340" t="s">
        <v>7889</v>
      </c>
      <c r="B340" t="s">
        <v>26</v>
      </c>
      <c r="C340" t="s">
        <v>65</v>
      </c>
      <c r="D340" t="s">
        <v>7890</v>
      </c>
      <c r="E340" t="s">
        <v>79</v>
      </c>
      <c r="F340" t="s">
        <v>1274</v>
      </c>
      <c r="G340" t="s">
        <v>1653</v>
      </c>
      <c r="H340" t="n">
        <v>39.7697461835851</v>
      </c>
      <c r="I340" t="n">
        <v>-104.979578766988</v>
      </c>
      <c r="J340" t="s">
        <v>35</v>
      </c>
      <c r="K340" t="s">
        <v>70</v>
      </c>
      <c r="L340"/>
      <c r="M340" t="n">
        <v>1967</v>
      </c>
      <c r="N340" t="n">
        <v>1992</v>
      </c>
      <c r="O340" t="s">
        <v>7891</v>
      </c>
      <c r="P340" t="n">
        <v>10</v>
      </c>
      <c r="Q340" t="n">
        <v>5</v>
      </c>
      <c r="R340" t="n">
        <v>2</v>
      </c>
      <c r="S340" t="n">
        <v>1924</v>
      </c>
      <c r="T340" t="s">
        <v>7892</v>
      </c>
      <c r="U340" t="s">
        <v>7893</v>
      </c>
      <c r="V340" t="s">
        <v>74</v>
      </c>
      <c r="W340" t="s">
        <v>7894</v>
      </c>
      <c r="X340"/>
      <c r="Y340" t="s">
        <v>7895</v>
      </c>
      <c r="Z340"/>
      <c r="AA340" t="s">
        <v>7896</v>
      </c>
      <c r="AB340" t="s">
        <v>7617</v>
      </c>
      <c r="AC340" t="n">
        <v>32</v>
      </c>
      <c r="AD340"/>
      <c r="AE340"/>
      <c r="AF340" t="s">
        <v>7897</v>
      </c>
      <c r="AG340" t="n">
        <v>28</v>
      </c>
    </row>
    <row r="341">
      <c r="A341" t="s">
        <v>7898</v>
      </c>
      <c r="B341" t="s">
        <v>26</v>
      </c>
      <c r="C341" t="s">
        <v>24</v>
      </c>
      <c r="D341" t="s">
        <v>7899</v>
      </c>
      <c r="E341" t="s">
        <v>79</v>
      </c>
      <c r="F341" t="s">
        <v>1274</v>
      </c>
      <c r="G341" t="s">
        <v>4335</v>
      </c>
      <c r="H341" t="n">
        <v>39.7496398699831</v>
      </c>
      <c r="I341" t="n">
        <v>-104.995565315672</v>
      </c>
      <c r="J341" t="s">
        <v>4109</v>
      </c>
      <c r="K341" t="s">
        <v>120</v>
      </c>
      <c r="L341"/>
      <c r="M341" t="n">
        <v>1967</v>
      </c>
      <c r="N341" t="n">
        <v>1968</v>
      </c>
      <c r="O341" t="s">
        <v>1349</v>
      </c>
      <c r="P341" t="n">
        <v>2</v>
      </c>
      <c r="Q341" t="n">
        <v>1</v>
      </c>
      <c r="R341" t="n">
        <v>1</v>
      </c>
      <c r="S341" t="n">
        <v>1942</v>
      </c>
      <c r="T341" t="s">
        <v>7900</v>
      </c>
      <c r="U341" t="s">
        <v>7901</v>
      </c>
      <c r="V341" t="s">
        <v>74</v>
      </c>
      <c r="W341" t="s">
        <v>7902</v>
      </c>
      <c r="X341" t="s">
        <v>7903</v>
      </c>
      <c r="Y341" t="s">
        <v>7904</v>
      </c>
      <c r="Z341"/>
      <c r="AA341" t="s">
        <v>7905</v>
      </c>
      <c r="AB341" t="s">
        <v>7906</v>
      </c>
      <c r="AC341" t="n">
        <v>21</v>
      </c>
      <c r="AD341" t="s">
        <v>1853</v>
      </c>
      <c r="AE341" t="n">
        <v>21</v>
      </c>
      <c r="AF341" t="s">
        <v>7907</v>
      </c>
      <c r="AG341" t="n">
        <v>21</v>
      </c>
    </row>
    <row r="342">
      <c r="A342" t="s">
        <v>7908</v>
      </c>
      <c r="B342" t="s">
        <v>26</v>
      </c>
      <c r="C342" t="s">
        <v>24</v>
      </c>
      <c r="D342" t="s">
        <v>7909</v>
      </c>
      <c r="E342" t="s">
        <v>79</v>
      </c>
      <c r="F342" t="s">
        <v>1274</v>
      </c>
      <c r="G342" t="s">
        <v>1516</v>
      </c>
      <c r="H342" t="n">
        <v>39.721655571854</v>
      </c>
      <c r="I342" t="n">
        <v>-104.992822415436</v>
      </c>
      <c r="J342" t="s">
        <v>4109</v>
      </c>
      <c r="K342" t="s">
        <v>70</v>
      </c>
      <c r="L342"/>
      <c r="M342" t="n">
        <v>1967</v>
      </c>
      <c r="N342" t="n">
        <v>1970</v>
      </c>
      <c r="O342" t="s">
        <v>1587</v>
      </c>
      <c r="P342" t="n">
        <v>3</v>
      </c>
      <c r="Q342" t="n">
        <v>1</v>
      </c>
      <c r="R342" t="n">
        <v>1</v>
      </c>
      <c r="S342" t="n">
        <v>1940</v>
      </c>
      <c r="T342" t="s">
        <v>7910</v>
      </c>
      <c r="U342" t="s">
        <v>7911</v>
      </c>
      <c r="V342" t="s">
        <v>74</v>
      </c>
      <c r="W342" t="s">
        <v>7912</v>
      </c>
      <c r="X342"/>
      <c r="Y342" t="s">
        <v>7913</v>
      </c>
      <c r="Z342"/>
      <c r="AA342" t="s">
        <v>7914</v>
      </c>
      <c r="AB342" t="s">
        <v>4251</v>
      </c>
      <c r="AC342" t="n">
        <v>206</v>
      </c>
      <c r="AD342"/>
      <c r="AE342"/>
      <c r="AF342" t="s">
        <v>4262</v>
      </c>
      <c r="AG342" t="n">
        <v>210</v>
      </c>
    </row>
    <row r="343">
      <c r="A343" t="s">
        <v>7915</v>
      </c>
      <c r="B343" t="s">
        <v>26</v>
      </c>
      <c r="C343" t="s">
        <v>24</v>
      </c>
      <c r="D343" t="s">
        <v>7916</v>
      </c>
      <c r="E343" t="s">
        <v>79</v>
      </c>
      <c r="F343" t="s">
        <v>1274</v>
      </c>
      <c r="G343" t="s">
        <v>1653</v>
      </c>
      <c r="H343" t="n">
        <v>39.778094994117</v>
      </c>
      <c r="I343" t="n">
        <v>-104.979266811765</v>
      </c>
      <c r="J343" t="s">
        <v>4109</v>
      </c>
      <c r="K343" t="s">
        <v>89</v>
      </c>
      <c r="L343"/>
      <c r="M343" t="n">
        <v>1967</v>
      </c>
      <c r="N343" t="n">
        <v>1968</v>
      </c>
      <c r="O343" t="s">
        <v>388</v>
      </c>
      <c r="P343" t="n">
        <v>2</v>
      </c>
      <c r="Q343" t="n">
        <v>2</v>
      </c>
      <c r="R343" t="n">
        <v>1</v>
      </c>
      <c r="S343" t="n">
        <v>1957</v>
      </c>
      <c r="T343" t="s">
        <v>7917</v>
      </c>
      <c r="U343" t="s">
        <v>7918</v>
      </c>
      <c r="V343" t="s">
        <v>74</v>
      </c>
      <c r="W343" t="s">
        <v>7919</v>
      </c>
      <c r="X343" t="s">
        <v>7920</v>
      </c>
      <c r="Y343" t="s">
        <v>7921</v>
      </c>
      <c r="Z343"/>
      <c r="AA343" t="s">
        <v>7922</v>
      </c>
      <c r="AB343" t="s">
        <v>6618</v>
      </c>
      <c r="AC343" t="n">
        <v>35</v>
      </c>
      <c r="AD343" t="s">
        <v>7923</v>
      </c>
      <c r="AE343" t="n">
        <v>212</v>
      </c>
      <c r="AF343" t="s">
        <v>7924</v>
      </c>
      <c r="AG343" t="n">
        <v>35</v>
      </c>
    </row>
    <row r="344">
      <c r="A344" t="s">
        <v>7925</v>
      </c>
      <c r="B344" t="s">
        <v>26</v>
      </c>
      <c r="C344" t="s">
        <v>24</v>
      </c>
      <c r="D344" t="s">
        <v>7926</v>
      </c>
      <c r="E344" t="s">
        <v>79</v>
      </c>
      <c r="F344" t="s">
        <v>1274</v>
      </c>
      <c r="G344" t="s">
        <v>1691</v>
      </c>
      <c r="H344" t="n">
        <v>39.678442</v>
      </c>
      <c r="I344" t="n">
        <v>-104.889327</v>
      </c>
      <c r="J344" t="s">
        <v>4109</v>
      </c>
      <c r="K344" t="s">
        <v>70</v>
      </c>
      <c r="L344"/>
      <c r="M344" t="n">
        <v>1967</v>
      </c>
      <c r="N344" t="n">
        <v>1967</v>
      </c>
      <c r="O344" t="s">
        <v>388</v>
      </c>
      <c r="P344" t="n">
        <v>1</v>
      </c>
      <c r="Q344" t="n">
        <v>1</v>
      </c>
      <c r="R344" t="n">
        <v>1</v>
      </c>
      <c r="S344"/>
      <c r="T344" t="s">
        <v>7927</v>
      </c>
      <c r="U344" t="s">
        <v>7928</v>
      </c>
      <c r="V344" t="s">
        <v>74</v>
      </c>
      <c r="W344" t="s">
        <v>7929</v>
      </c>
      <c r="X344"/>
      <c r="Y344" t="s">
        <v>7930</v>
      </c>
      <c r="Z344" t="s">
        <v>7931</v>
      </c>
      <c r="AA344" t="s">
        <v>7932</v>
      </c>
      <c r="AB344" t="s">
        <v>7933</v>
      </c>
      <c r="AC344" t="n">
        <v>212</v>
      </c>
      <c r="AD344"/>
      <c r="AE344"/>
      <c r="AF344" t="s">
        <v>7934</v>
      </c>
      <c r="AG344" t="n">
        <v>201</v>
      </c>
    </row>
    <row r="345">
      <c r="A345" t="s">
        <v>7935</v>
      </c>
      <c r="B345" t="s">
        <v>26</v>
      </c>
      <c r="C345" t="s">
        <v>65</v>
      </c>
      <c r="D345" t="s">
        <v>7936</v>
      </c>
      <c r="E345" t="s">
        <v>79</v>
      </c>
      <c r="F345" t="s">
        <v>1274</v>
      </c>
      <c r="G345" t="s">
        <v>1516</v>
      </c>
      <c r="H345" t="n">
        <v>39.71466008118</v>
      </c>
      <c r="I345" t="n">
        <v>-105.006258830549</v>
      </c>
      <c r="J345" t="s">
        <v>35</v>
      </c>
      <c r="K345" t="s">
        <v>70</v>
      </c>
      <c r="L345" t="s">
        <v>1337</v>
      </c>
      <c r="M345" t="n">
        <v>1967</v>
      </c>
      <c r="N345" t="n">
        <v>1983</v>
      </c>
      <c r="O345" t="s">
        <v>7937</v>
      </c>
      <c r="P345" t="n">
        <v>5</v>
      </c>
      <c r="Q345" t="n">
        <v>2</v>
      </c>
      <c r="R345" t="n">
        <v>2</v>
      </c>
      <c r="S345"/>
      <c r="T345" t="s">
        <v>7938</v>
      </c>
      <c r="U345" t="s">
        <v>7939</v>
      </c>
      <c r="V345" t="s">
        <v>74</v>
      </c>
      <c r="W345" t="s">
        <v>7940</v>
      </c>
      <c r="X345"/>
      <c r="Y345" t="s">
        <v>7941</v>
      </c>
      <c r="Z345"/>
      <c r="AA345"/>
      <c r="AB345" t="s">
        <v>1989</v>
      </c>
      <c r="AC345" t="n">
        <v>14</v>
      </c>
      <c r="AD345"/>
      <c r="AE345"/>
      <c r="AF345" t="s">
        <v>6542</v>
      </c>
      <c r="AG345" t="n">
        <v>17</v>
      </c>
    </row>
    <row r="346">
      <c r="A346" t="s">
        <v>7942</v>
      </c>
      <c r="B346" t="s">
        <v>26</v>
      </c>
      <c r="C346" t="s">
        <v>24</v>
      </c>
      <c r="D346" t="s">
        <v>7943</v>
      </c>
      <c r="E346" t="s">
        <v>79</v>
      </c>
      <c r="F346" t="s">
        <v>1274</v>
      </c>
      <c r="G346" t="s">
        <v>1574</v>
      </c>
      <c r="H346" t="n">
        <v>39.7699812652865</v>
      </c>
      <c r="I346" t="n">
        <v>-104.963441777153</v>
      </c>
      <c r="J346" t="s">
        <v>4109</v>
      </c>
      <c r="K346" t="s">
        <v>120</v>
      </c>
      <c r="L346"/>
      <c r="M346" t="n">
        <v>1967</v>
      </c>
      <c r="N346" t="n">
        <v>1967</v>
      </c>
      <c r="O346" t="s">
        <v>388</v>
      </c>
      <c r="P346" t="n">
        <v>1</v>
      </c>
      <c r="Q346" t="n">
        <v>1</v>
      </c>
      <c r="R346" t="n">
        <v>1</v>
      </c>
      <c r="S346" t="n">
        <v>1895</v>
      </c>
      <c r="T346" t="s">
        <v>7944</v>
      </c>
      <c r="U346" t="s">
        <v>7945</v>
      </c>
      <c r="V346" t="s">
        <v>74</v>
      </c>
      <c r="W346" t="s">
        <v>6610</v>
      </c>
      <c r="X346"/>
      <c r="Y346" t="s">
        <v>7946</v>
      </c>
      <c r="Z346"/>
      <c r="AA346" t="s">
        <v>7947</v>
      </c>
      <c r="AB346"/>
      <c r="AC346"/>
      <c r="AD346"/>
      <c r="AE346"/>
      <c r="AF346" t="s">
        <v>7948</v>
      </c>
      <c r="AG346" t="n">
        <v>40</v>
      </c>
    </row>
    <row r="347">
      <c r="A347" t="s">
        <v>7949</v>
      </c>
      <c r="B347" t="s">
        <v>26</v>
      </c>
      <c r="C347" t="s">
        <v>65</v>
      </c>
      <c r="D347" t="s">
        <v>7950</v>
      </c>
      <c r="E347" t="s">
        <v>79</v>
      </c>
      <c r="F347" t="s">
        <v>1274</v>
      </c>
      <c r="G347"/>
      <c r="H347" t="n">
        <v>39.7514995274502</v>
      </c>
      <c r="I347" t="n">
        <v>-104.994475346929</v>
      </c>
      <c r="J347" t="s">
        <v>35</v>
      </c>
      <c r="K347" t="s">
        <v>89</v>
      </c>
      <c r="L347"/>
      <c r="M347" t="n">
        <v>1967</v>
      </c>
      <c r="N347" t="n">
        <v>1968</v>
      </c>
      <c r="O347" t="s">
        <v>388</v>
      </c>
      <c r="P347" t="n">
        <v>2</v>
      </c>
      <c r="Q347" t="n">
        <v>1</v>
      </c>
      <c r="R347" t="n">
        <v>1</v>
      </c>
      <c r="S347" t="n">
        <v>1945</v>
      </c>
      <c r="T347" t="s">
        <v>7951</v>
      </c>
      <c r="U347" t="s">
        <v>7952</v>
      </c>
      <c r="V347" t="s">
        <v>74</v>
      </c>
      <c r="W347" t="s">
        <v>7953</v>
      </c>
      <c r="X347"/>
      <c r="Y347"/>
      <c r="Z347"/>
      <c r="AA347" t="s">
        <v>7954</v>
      </c>
      <c r="AB347" t="s">
        <v>1852</v>
      </c>
      <c r="AC347" t="n">
        <v>7</v>
      </c>
      <c r="AD347" t="s">
        <v>1853</v>
      </c>
      <c r="AE347" t="n">
        <v>221</v>
      </c>
      <c r="AF347" t="s">
        <v>1401</v>
      </c>
      <c r="AG347" t="n">
        <v>115</v>
      </c>
    </row>
    <row r="348">
      <c r="A348" t="s">
        <v>7955</v>
      </c>
      <c r="B348" t="s">
        <v>26</v>
      </c>
      <c r="C348" t="s">
        <v>24</v>
      </c>
      <c r="D348" t="s">
        <v>7956</v>
      </c>
      <c r="E348" t="s">
        <v>79</v>
      </c>
      <c r="F348" t="s">
        <v>1274</v>
      </c>
      <c r="G348" t="s">
        <v>1555</v>
      </c>
      <c r="H348" t="n">
        <v>39.740961</v>
      </c>
      <c r="I348" t="n">
        <v>-105.00338</v>
      </c>
      <c r="J348" t="s">
        <v>4109</v>
      </c>
      <c r="K348" t="s">
        <v>120</v>
      </c>
      <c r="L348"/>
      <c r="M348" t="n">
        <v>1967</v>
      </c>
      <c r="N348" t="n">
        <v>1973</v>
      </c>
      <c r="O348" t="s">
        <v>121</v>
      </c>
      <c r="P348" t="n">
        <v>2</v>
      </c>
      <c r="Q348" t="n">
        <v>3</v>
      </c>
      <c r="R348" t="n">
        <v>1</v>
      </c>
      <c r="S348" t="n">
        <v>1929</v>
      </c>
      <c r="T348" t="s">
        <v>7957</v>
      </c>
      <c r="U348" t="s">
        <v>7958</v>
      </c>
      <c r="V348" t="s">
        <v>74</v>
      </c>
      <c r="W348" t="s">
        <v>7959</v>
      </c>
      <c r="X348"/>
      <c r="Y348" t="s">
        <v>7960</v>
      </c>
      <c r="Z348"/>
      <c r="AA348" t="s">
        <v>7961</v>
      </c>
      <c r="AB348" t="s">
        <v>7962</v>
      </c>
      <c r="AC348" t="n">
        <v>169</v>
      </c>
      <c r="AD348"/>
      <c r="AE348"/>
      <c r="AF348" t="s">
        <v>7963</v>
      </c>
      <c r="AG348" t="n">
        <v>103</v>
      </c>
    </row>
    <row r="349">
      <c r="A349" t="s">
        <v>7964</v>
      </c>
      <c r="B349" t="s">
        <v>26</v>
      </c>
      <c r="C349" t="s">
        <v>65</v>
      </c>
      <c r="D349" t="s">
        <v>7965</v>
      </c>
      <c r="E349" t="s">
        <v>79</v>
      </c>
      <c r="F349" t="s">
        <v>1274</v>
      </c>
      <c r="G349" t="s">
        <v>1516</v>
      </c>
      <c r="H349" t="n">
        <v>39.6925014529335</v>
      </c>
      <c r="I349" t="n">
        <v>-104.999187409022</v>
      </c>
      <c r="J349" t="s">
        <v>35</v>
      </c>
      <c r="K349" t="s">
        <v>315</v>
      </c>
      <c r="L349"/>
      <c r="M349" t="n">
        <v>1967</v>
      </c>
      <c r="N349" t="n">
        <v>1992</v>
      </c>
      <c r="O349" t="s">
        <v>388</v>
      </c>
      <c r="P349" t="n">
        <v>7</v>
      </c>
      <c r="Q349" t="n">
        <v>4</v>
      </c>
      <c r="R349" t="n">
        <v>1</v>
      </c>
      <c r="S349" t="n">
        <v>1956</v>
      </c>
      <c r="T349" t="s">
        <v>7966</v>
      </c>
      <c r="U349" t="s">
        <v>7967</v>
      </c>
      <c r="V349" t="s">
        <v>74</v>
      </c>
      <c r="W349" t="s">
        <v>6540</v>
      </c>
      <c r="X349"/>
      <c r="Y349" t="s">
        <v>7968</v>
      </c>
      <c r="Z349"/>
      <c r="AA349" t="s">
        <v>7969</v>
      </c>
      <c r="AB349" t="s">
        <v>7436</v>
      </c>
      <c r="AC349" t="n">
        <v>249</v>
      </c>
      <c r="AD349" t="s">
        <v>1478</v>
      </c>
      <c r="AE349" t="n">
        <v>135</v>
      </c>
      <c r="AF349" t="s">
        <v>7970</v>
      </c>
      <c r="AG349" t="n">
        <v>4</v>
      </c>
    </row>
    <row r="350">
      <c r="A350" t="s">
        <v>7971</v>
      </c>
      <c r="B350" t="s">
        <v>26</v>
      </c>
      <c r="C350" t="s">
        <v>65</v>
      </c>
      <c r="D350" t="s">
        <v>7972</v>
      </c>
      <c r="E350" t="s">
        <v>79</v>
      </c>
      <c r="F350" t="s">
        <v>1274</v>
      </c>
      <c r="G350" t="s">
        <v>1555</v>
      </c>
      <c r="H350" t="n">
        <v>39.7324259512518</v>
      </c>
      <c r="I350" t="n">
        <v>-105.012590593057</v>
      </c>
      <c r="J350" t="s">
        <v>35</v>
      </c>
      <c r="K350" t="s">
        <v>70</v>
      </c>
      <c r="L350"/>
      <c r="M350" t="n">
        <v>1967</v>
      </c>
      <c r="N350" t="n">
        <v>1970</v>
      </c>
      <c r="O350" t="s">
        <v>388</v>
      </c>
      <c r="P350" t="n">
        <v>3</v>
      </c>
      <c r="Q350" t="n">
        <v>2</v>
      </c>
      <c r="R350" t="n">
        <v>1</v>
      </c>
      <c r="S350" t="n">
        <v>1949</v>
      </c>
      <c r="T350" t="s">
        <v>7973</v>
      </c>
      <c r="U350" t="s">
        <v>7974</v>
      </c>
      <c r="V350" t="s">
        <v>74</v>
      </c>
      <c r="W350" t="s">
        <v>7975</v>
      </c>
      <c r="X350"/>
      <c r="Y350" t="s">
        <v>7976</v>
      </c>
      <c r="Z350"/>
      <c r="AA350"/>
      <c r="AB350" t="s">
        <v>2064</v>
      </c>
      <c r="AC350" t="n">
        <v>59</v>
      </c>
      <c r="AD350" t="s">
        <v>6971</v>
      </c>
      <c r="AE350" t="n">
        <v>204</v>
      </c>
      <c r="AF350" t="s">
        <v>6984</v>
      </c>
      <c r="AG350" t="n">
        <v>44</v>
      </c>
    </row>
    <row r="351">
      <c r="A351" t="s">
        <v>7977</v>
      </c>
      <c r="B351" t="s">
        <v>26</v>
      </c>
      <c r="C351" t="s">
        <v>65</v>
      </c>
      <c r="D351" t="s">
        <v>7978</v>
      </c>
      <c r="E351" t="s">
        <v>79</v>
      </c>
      <c r="F351" t="s">
        <v>1274</v>
      </c>
      <c r="G351" t="s">
        <v>1516</v>
      </c>
      <c r="H351" t="n">
        <v>39.678650042117</v>
      </c>
      <c r="I351" t="n">
        <v>-104.997158</v>
      </c>
      <c r="J351" t="s">
        <v>35</v>
      </c>
      <c r="K351" t="s">
        <v>81</v>
      </c>
      <c r="L351"/>
      <c r="M351" t="n">
        <v>1967</v>
      </c>
      <c r="N351" t="n">
        <v>1990</v>
      </c>
      <c r="O351" t="s">
        <v>7979</v>
      </c>
      <c r="P351" t="n">
        <v>6</v>
      </c>
      <c r="Q351" t="n">
        <v>4</v>
      </c>
      <c r="R351" t="n">
        <v>4</v>
      </c>
      <c r="S351" t="n">
        <v>1963</v>
      </c>
      <c r="T351" t="s">
        <v>7980</v>
      </c>
      <c r="U351" t="s">
        <v>7981</v>
      </c>
      <c r="V351" t="s">
        <v>74</v>
      </c>
      <c r="W351" t="s">
        <v>7982</v>
      </c>
      <c r="X351"/>
      <c r="Y351" t="s">
        <v>7983</v>
      </c>
      <c r="Z351"/>
      <c r="AA351" t="s">
        <v>7984</v>
      </c>
      <c r="AB351" t="s">
        <v>6780</v>
      </c>
      <c r="AC351" t="n">
        <v>22</v>
      </c>
      <c r="AD351"/>
      <c r="AE351"/>
      <c r="AF351" t="s">
        <v>7985</v>
      </c>
      <c r="AG351" t="n">
        <v>15</v>
      </c>
    </row>
    <row r="352">
      <c r="A352" t="s">
        <v>7986</v>
      </c>
      <c r="B352" t="s">
        <v>26</v>
      </c>
      <c r="C352" t="s">
        <v>24</v>
      </c>
      <c r="D352" t="s">
        <v>7987</v>
      </c>
      <c r="E352" t="s">
        <v>79</v>
      </c>
      <c r="F352" t="s">
        <v>1274</v>
      </c>
      <c r="G352" t="s">
        <v>1555</v>
      </c>
      <c r="H352" t="n">
        <v>39.74683</v>
      </c>
      <c r="I352" t="n">
        <v>-105.02049</v>
      </c>
      <c r="J352" t="s">
        <v>4109</v>
      </c>
      <c r="K352" t="s">
        <v>133</v>
      </c>
      <c r="L352"/>
      <c r="M352" t="n">
        <v>1967</v>
      </c>
      <c r="N352" t="n">
        <v>1983</v>
      </c>
      <c r="O352" t="s">
        <v>528</v>
      </c>
      <c r="P352" t="n">
        <v>8</v>
      </c>
      <c r="Q352" t="n">
        <v>7</v>
      </c>
      <c r="R352" t="n">
        <v>2</v>
      </c>
      <c r="S352" t="n">
        <v>1946</v>
      </c>
      <c r="T352" t="s">
        <v>7988</v>
      </c>
      <c r="U352" t="s">
        <v>7989</v>
      </c>
      <c r="V352" t="s">
        <v>74</v>
      </c>
      <c r="W352" t="s">
        <v>7990</v>
      </c>
      <c r="X352"/>
      <c r="Y352" t="s">
        <v>7991</v>
      </c>
      <c r="Z352"/>
      <c r="AA352" t="s">
        <v>7992</v>
      </c>
      <c r="AB352" t="s">
        <v>6635</v>
      </c>
      <c r="AC352" t="n">
        <v>175</v>
      </c>
      <c r="AD352"/>
      <c r="AE352"/>
      <c r="AF352" t="s">
        <v>7993</v>
      </c>
      <c r="AG352" t="n">
        <v>104</v>
      </c>
    </row>
    <row r="353">
      <c r="A353" t="s">
        <v>7994</v>
      </c>
      <c r="B353" t="s">
        <v>26</v>
      </c>
      <c r="C353" t="s">
        <v>65</v>
      </c>
      <c r="D353" t="s">
        <v>7995</v>
      </c>
      <c r="E353" t="s">
        <v>79</v>
      </c>
      <c r="F353" t="s">
        <v>1274</v>
      </c>
      <c r="G353" t="s">
        <v>1516</v>
      </c>
      <c r="H353" t="n">
        <v>39.69125</v>
      </c>
      <c r="I353" t="n">
        <v>-105.00157</v>
      </c>
      <c r="J353" t="s">
        <v>35</v>
      </c>
      <c r="K353" t="s">
        <v>3942</v>
      </c>
      <c r="L353"/>
      <c r="M353" t="n">
        <v>1967</v>
      </c>
      <c r="N353" t="n">
        <v>1990</v>
      </c>
      <c r="O353" t="s">
        <v>7996</v>
      </c>
      <c r="P353" t="n">
        <v>5</v>
      </c>
      <c r="Q353" t="n">
        <v>4</v>
      </c>
      <c r="R353" t="n">
        <v>4</v>
      </c>
      <c r="S353" t="n">
        <v>1954</v>
      </c>
      <c r="T353" t="s">
        <v>7997</v>
      </c>
      <c r="U353" t="s">
        <v>7998</v>
      </c>
      <c r="V353" t="s">
        <v>74</v>
      </c>
      <c r="W353" t="s">
        <v>7999</v>
      </c>
      <c r="X353"/>
      <c r="Y353" t="s">
        <v>8000</v>
      </c>
      <c r="Z353"/>
      <c r="AA353" t="s">
        <v>8001</v>
      </c>
      <c r="AB353" t="s">
        <v>7436</v>
      </c>
      <c r="AC353" t="n">
        <v>10</v>
      </c>
      <c r="AD353" t="s">
        <v>1478</v>
      </c>
      <c r="AE353" t="n">
        <v>220</v>
      </c>
      <c r="AF353" t="s">
        <v>8002</v>
      </c>
      <c r="AG353" t="n">
        <v>20</v>
      </c>
    </row>
    <row r="354">
      <c r="A354" t="s">
        <v>8003</v>
      </c>
      <c r="B354" t="s">
        <v>26</v>
      </c>
      <c r="C354" t="s">
        <v>24</v>
      </c>
      <c r="D354" t="s">
        <v>8004</v>
      </c>
      <c r="E354" t="s">
        <v>79</v>
      </c>
      <c r="F354" t="s">
        <v>1274</v>
      </c>
      <c r="G354" t="s">
        <v>1653</v>
      </c>
      <c r="H354" t="n">
        <v>39.7736421665909</v>
      </c>
      <c r="I354" t="n">
        <v>-104.978028710863</v>
      </c>
      <c r="J354" t="s">
        <v>4109</v>
      </c>
      <c r="K354" t="s">
        <v>315</v>
      </c>
      <c r="L354"/>
      <c r="M354" t="n">
        <v>1967</v>
      </c>
      <c r="N354" t="n">
        <v>1967</v>
      </c>
      <c r="O354" t="s">
        <v>388</v>
      </c>
      <c r="P354" t="n">
        <v>1</v>
      </c>
      <c r="Q354" t="n">
        <v>1</v>
      </c>
      <c r="R354" t="n">
        <v>1</v>
      </c>
      <c r="S354" t="n">
        <v>1962</v>
      </c>
      <c r="T354" t="s">
        <v>8005</v>
      </c>
      <c r="U354" t="s">
        <v>8006</v>
      </c>
      <c r="V354" t="s">
        <v>74</v>
      </c>
      <c r="W354" t="s">
        <v>6610</v>
      </c>
      <c r="X354"/>
      <c r="Y354"/>
      <c r="Z354"/>
      <c r="AA354"/>
      <c r="AB354" t="s">
        <v>8007</v>
      </c>
      <c r="AC354" t="n">
        <v>82</v>
      </c>
      <c r="AD354"/>
      <c r="AE354"/>
      <c r="AF354" t="s">
        <v>8008</v>
      </c>
      <c r="AG354" t="n">
        <v>43</v>
      </c>
    </row>
    <row r="355">
      <c r="A355" t="s">
        <v>8009</v>
      </c>
      <c r="B355" t="s">
        <v>26</v>
      </c>
      <c r="C355" t="s">
        <v>24</v>
      </c>
      <c r="D355" t="s">
        <v>8010</v>
      </c>
      <c r="E355" t="s">
        <v>79</v>
      </c>
      <c r="F355" t="s">
        <v>1274</v>
      </c>
      <c r="G355" t="s">
        <v>1653</v>
      </c>
      <c r="H355" t="n">
        <v>39.790994</v>
      </c>
      <c r="I355" t="n">
        <v>-104.939882</v>
      </c>
      <c r="J355" t="s">
        <v>4109</v>
      </c>
      <c r="K355" t="s">
        <v>201</v>
      </c>
      <c r="L355"/>
      <c r="M355" t="n">
        <v>1967</v>
      </c>
      <c r="N355" t="n">
        <v>1990</v>
      </c>
      <c r="O355" t="s">
        <v>540</v>
      </c>
      <c r="P355" t="n">
        <v>6</v>
      </c>
      <c r="Q355" t="n">
        <v>10</v>
      </c>
      <c r="R355" t="n">
        <v>5</v>
      </c>
      <c r="S355" t="n">
        <v>1923</v>
      </c>
      <c r="T355" t="s">
        <v>8011</v>
      </c>
      <c r="U355" t="s">
        <v>8012</v>
      </c>
      <c r="V355" t="s">
        <v>74</v>
      </c>
      <c r="W355" t="s">
        <v>8013</v>
      </c>
      <c r="X355"/>
      <c r="Y355" t="s">
        <v>8014</v>
      </c>
      <c r="Z355"/>
      <c r="AA355" t="s">
        <v>8015</v>
      </c>
      <c r="AB355" t="s">
        <v>5086</v>
      </c>
      <c r="AC355" t="n">
        <v>236</v>
      </c>
      <c r="AD355"/>
      <c r="AE355"/>
      <c r="AF355" t="s">
        <v>8016</v>
      </c>
      <c r="AG355" t="n">
        <v>8</v>
      </c>
    </row>
    <row r="356">
      <c r="A356" t="s">
        <v>8017</v>
      </c>
      <c r="B356" t="s">
        <v>26</v>
      </c>
      <c r="C356" t="s">
        <v>65</v>
      </c>
      <c r="D356" t="s">
        <v>8018</v>
      </c>
      <c r="E356" t="s">
        <v>79</v>
      </c>
      <c r="F356" t="s">
        <v>1274</v>
      </c>
      <c r="G356" t="s">
        <v>1516</v>
      </c>
      <c r="H356" t="n">
        <v>39.711183</v>
      </c>
      <c r="I356" t="n">
        <v>-104.992398</v>
      </c>
      <c r="J356" t="s">
        <v>35</v>
      </c>
      <c r="K356" t="s">
        <v>5187</v>
      </c>
      <c r="L356"/>
      <c r="M356" t="n">
        <v>1967</v>
      </c>
      <c r="N356" t="n">
        <v>1988</v>
      </c>
      <c r="O356" t="s">
        <v>8019</v>
      </c>
      <c r="P356" t="n">
        <v>8</v>
      </c>
      <c r="Q356" t="n">
        <v>4</v>
      </c>
      <c r="R356" t="n">
        <v>3</v>
      </c>
      <c r="S356" t="n">
        <v>1933</v>
      </c>
      <c r="T356" t="s">
        <v>8020</v>
      </c>
      <c r="U356" t="s">
        <v>8021</v>
      </c>
      <c r="V356" t="s">
        <v>74</v>
      </c>
      <c r="W356" t="s">
        <v>8022</v>
      </c>
      <c r="X356"/>
      <c r="Y356"/>
      <c r="Z356"/>
      <c r="AA356" t="s">
        <v>8023</v>
      </c>
      <c r="AB356" t="s">
        <v>6681</v>
      </c>
      <c r="AC356" t="n">
        <v>1</v>
      </c>
      <c r="AD356" t="s">
        <v>2094</v>
      </c>
      <c r="AE356" t="n">
        <v>142</v>
      </c>
      <c r="AF356" t="s">
        <v>8024</v>
      </c>
      <c r="AG356" t="n">
        <v>41</v>
      </c>
    </row>
    <row r="357">
      <c r="A357" t="s">
        <v>8025</v>
      </c>
      <c r="B357" t="s">
        <v>26</v>
      </c>
      <c r="C357" t="s">
        <v>24</v>
      </c>
      <c r="D357" t="s">
        <v>8026</v>
      </c>
      <c r="E357" t="s">
        <v>79</v>
      </c>
      <c r="F357" t="s">
        <v>1274</v>
      </c>
      <c r="G357"/>
      <c r="H357" t="n">
        <v>39.7704124228444</v>
      </c>
      <c r="I357" t="n">
        <v>-104.978729484712</v>
      </c>
      <c r="J357" t="s">
        <v>4109</v>
      </c>
      <c r="K357" t="s">
        <v>220</v>
      </c>
      <c r="L357"/>
      <c r="M357" t="n">
        <v>1968</v>
      </c>
      <c r="N357" t="n">
        <v>1970</v>
      </c>
      <c r="O357" t="s">
        <v>1587</v>
      </c>
      <c r="P357" t="n">
        <v>2</v>
      </c>
      <c r="Q357" t="n">
        <v>1</v>
      </c>
      <c r="R357" t="n">
        <v>1</v>
      </c>
      <c r="S357" t="n">
        <v>1962</v>
      </c>
      <c r="T357" t="s">
        <v>8027</v>
      </c>
      <c r="U357" t="s">
        <v>8028</v>
      </c>
      <c r="V357" t="s">
        <v>74</v>
      </c>
      <c r="W357" t="s">
        <v>6610</v>
      </c>
      <c r="X357"/>
      <c r="Y357" t="s">
        <v>8029</v>
      </c>
      <c r="Z357" t="s">
        <v>8030</v>
      </c>
      <c r="AA357" t="s">
        <v>8031</v>
      </c>
      <c r="AB357" t="s">
        <v>7617</v>
      </c>
      <c r="AC357" t="n">
        <v>136</v>
      </c>
      <c r="AD357" t="s">
        <v>8032</v>
      </c>
      <c r="AE357" t="n">
        <v>212</v>
      </c>
      <c r="AF357" t="s">
        <v>8033</v>
      </c>
      <c r="AG357" t="n">
        <v>15</v>
      </c>
    </row>
    <row r="358">
      <c r="A358" t="s">
        <v>8034</v>
      </c>
      <c r="B358" t="s">
        <v>26</v>
      </c>
      <c r="C358" t="s">
        <v>65</v>
      </c>
      <c r="D358" t="s">
        <v>8035</v>
      </c>
      <c r="E358" t="s">
        <v>79</v>
      </c>
      <c r="F358" t="s">
        <v>1274</v>
      </c>
      <c r="G358" t="s">
        <v>1653</v>
      </c>
      <c r="H358" t="n">
        <v>39.7946170816327</v>
      </c>
      <c r="I358" t="n">
        <v>-104.948340346939</v>
      </c>
      <c r="J358" t="s">
        <v>35</v>
      </c>
      <c r="K358" t="s">
        <v>70</v>
      </c>
      <c r="L358"/>
      <c r="M358" t="n">
        <v>1968</v>
      </c>
      <c r="N358" t="n">
        <v>1983</v>
      </c>
      <c r="O358" t="s">
        <v>1349</v>
      </c>
      <c r="P358" t="n">
        <v>2</v>
      </c>
      <c r="Q358" t="n">
        <v>2</v>
      </c>
      <c r="R358" t="n">
        <v>1</v>
      </c>
      <c r="S358" t="n">
        <v>1968</v>
      </c>
      <c r="T358" t="s">
        <v>8036</v>
      </c>
      <c r="U358" t="s">
        <v>8037</v>
      </c>
      <c r="V358" t="s">
        <v>74</v>
      </c>
      <c r="W358" t="s">
        <v>8038</v>
      </c>
      <c r="X358"/>
      <c r="Y358"/>
      <c r="Z358"/>
      <c r="AA358"/>
      <c r="AB358" t="s">
        <v>8039</v>
      </c>
      <c r="AC358" t="n">
        <v>84</v>
      </c>
      <c r="AD358"/>
      <c r="AE358"/>
      <c r="AF358" t="s">
        <v>8040</v>
      </c>
      <c r="AG358" t="n">
        <v>72</v>
      </c>
    </row>
    <row r="359">
      <c r="A359" t="s">
        <v>8041</v>
      </c>
      <c r="B359" t="s">
        <v>26</v>
      </c>
      <c r="C359" t="s">
        <v>65</v>
      </c>
      <c r="D359" t="s">
        <v>8042</v>
      </c>
      <c r="E359" t="s">
        <v>79</v>
      </c>
      <c r="F359" t="s">
        <v>1274</v>
      </c>
      <c r="G359" t="s">
        <v>1653</v>
      </c>
      <c r="H359" t="n">
        <v>39.7828531644886</v>
      </c>
      <c r="I359" t="n">
        <v>-104.922275967423</v>
      </c>
      <c r="J359" t="s">
        <v>35</v>
      </c>
      <c r="K359" t="s">
        <v>89</v>
      </c>
      <c r="L359"/>
      <c r="M359" t="n">
        <v>1968</v>
      </c>
      <c r="N359" t="n">
        <v>1992</v>
      </c>
      <c r="O359" t="s">
        <v>8043</v>
      </c>
      <c r="P359" t="n">
        <v>9</v>
      </c>
      <c r="Q359" t="n">
        <v>4</v>
      </c>
      <c r="R359" t="n">
        <v>3</v>
      </c>
      <c r="S359" t="n">
        <v>1904</v>
      </c>
      <c r="T359" t="s">
        <v>8044</v>
      </c>
      <c r="U359" t="s">
        <v>8045</v>
      </c>
      <c r="V359" t="s">
        <v>74</v>
      </c>
      <c r="W359" t="s">
        <v>8046</v>
      </c>
      <c r="X359" t="s">
        <v>8047</v>
      </c>
      <c r="Y359" t="s">
        <v>8048</v>
      </c>
      <c r="Z359"/>
      <c r="AA359" t="s">
        <v>8049</v>
      </c>
      <c r="AB359" t="s">
        <v>2082</v>
      </c>
      <c r="AC359" t="n">
        <v>47</v>
      </c>
      <c r="AD359" t="s">
        <v>8050</v>
      </c>
      <c r="AE359" t="n">
        <v>47</v>
      </c>
      <c r="AF359" t="s">
        <v>8051</v>
      </c>
      <c r="AG359" t="n">
        <v>6</v>
      </c>
    </row>
    <row r="360">
      <c r="A360" t="s">
        <v>8052</v>
      </c>
      <c r="B360" t="s">
        <v>26</v>
      </c>
      <c r="C360" t="s">
        <v>65</v>
      </c>
      <c r="D360" t="s">
        <v>8053</v>
      </c>
      <c r="E360" t="s">
        <v>79</v>
      </c>
      <c r="F360" t="s">
        <v>1274</v>
      </c>
      <c r="G360" t="s">
        <v>1824</v>
      </c>
      <c r="H360" t="n">
        <v>39.7444173677801</v>
      </c>
      <c r="I360" t="n">
        <v>-104.994900640371</v>
      </c>
      <c r="J360" t="s">
        <v>35</v>
      </c>
      <c r="K360" t="s">
        <v>120</v>
      </c>
      <c r="L360"/>
      <c r="M360" t="n">
        <v>1968</v>
      </c>
      <c r="N360" t="n">
        <v>1968</v>
      </c>
      <c r="O360" t="s">
        <v>1349</v>
      </c>
      <c r="P360" t="n">
        <v>1</v>
      </c>
      <c r="Q360" t="n">
        <v>1</v>
      </c>
      <c r="R360" t="n">
        <v>1</v>
      </c>
      <c r="S360" t="n">
        <v>1932</v>
      </c>
      <c r="T360" t="s">
        <v>8054</v>
      </c>
      <c r="U360" t="s">
        <v>8055</v>
      </c>
      <c r="V360" t="s">
        <v>74</v>
      </c>
      <c r="W360" t="s">
        <v>8056</v>
      </c>
      <c r="X360"/>
      <c r="Y360"/>
      <c r="Z360"/>
      <c r="AA360" t="s">
        <v>8057</v>
      </c>
      <c r="AB360" t="s">
        <v>6590</v>
      </c>
      <c r="AC360" t="n">
        <v>51</v>
      </c>
      <c r="AD360"/>
      <c r="AE360"/>
      <c r="AF360" t="s">
        <v>1394</v>
      </c>
      <c r="AG360" t="n">
        <v>92</v>
      </c>
    </row>
    <row r="361">
      <c r="A361" t="s">
        <v>8058</v>
      </c>
      <c r="B361" t="s">
        <v>26</v>
      </c>
      <c r="C361" t="s">
        <v>65</v>
      </c>
      <c r="D361" t="s">
        <v>8059</v>
      </c>
      <c r="E361" t="s">
        <v>79</v>
      </c>
      <c r="F361" t="s">
        <v>1274</v>
      </c>
      <c r="G361" t="s">
        <v>1653</v>
      </c>
      <c r="H361" t="n">
        <v>39.7819360460918</v>
      </c>
      <c r="I361" t="n">
        <v>-104.968093481312</v>
      </c>
      <c r="J361" t="s">
        <v>35</v>
      </c>
      <c r="K361" t="s">
        <v>89</v>
      </c>
      <c r="L361"/>
      <c r="M361" t="n">
        <v>1968</v>
      </c>
      <c r="N361" t="n">
        <v>1988</v>
      </c>
      <c r="O361" t="s">
        <v>784</v>
      </c>
      <c r="P361" t="n">
        <v>5</v>
      </c>
      <c r="Q361" t="n">
        <v>2</v>
      </c>
      <c r="R361" t="n">
        <v>2</v>
      </c>
      <c r="S361" t="n">
        <v>1955</v>
      </c>
      <c r="T361" t="s">
        <v>8060</v>
      </c>
      <c r="U361" t="s">
        <v>8061</v>
      </c>
      <c r="V361" t="s">
        <v>74</v>
      </c>
      <c r="W361" t="s">
        <v>6610</v>
      </c>
      <c r="X361"/>
      <c r="Y361"/>
      <c r="Z361"/>
      <c r="AA361" t="s">
        <v>8062</v>
      </c>
      <c r="AB361" t="s">
        <v>8063</v>
      </c>
      <c r="AC361" t="n">
        <v>82</v>
      </c>
      <c r="AD361" t="s">
        <v>7382</v>
      </c>
      <c r="AE361" t="n">
        <v>197</v>
      </c>
      <c r="AF361" t="s">
        <v>8064</v>
      </c>
      <c r="AG361" t="n">
        <v>171</v>
      </c>
    </row>
    <row r="362">
      <c r="A362" t="s">
        <v>8065</v>
      </c>
      <c r="B362" t="s">
        <v>26</v>
      </c>
      <c r="C362" t="s">
        <v>65</v>
      </c>
      <c r="D362" t="s">
        <v>8066</v>
      </c>
      <c r="E362" t="s">
        <v>79</v>
      </c>
      <c r="F362" t="s">
        <v>1274</v>
      </c>
      <c r="G362" t="s">
        <v>1881</v>
      </c>
      <c r="H362" t="n">
        <v>39.7701816465901</v>
      </c>
      <c r="I362" t="n">
        <v>-104.926996784581</v>
      </c>
      <c r="J362" t="s">
        <v>35</v>
      </c>
      <c r="K362" t="s">
        <v>527</v>
      </c>
      <c r="L362"/>
      <c r="M362" t="n">
        <v>1968</v>
      </c>
      <c r="N362" t="n">
        <v>1992</v>
      </c>
      <c r="O362" t="s">
        <v>351</v>
      </c>
      <c r="P362" t="n">
        <v>4</v>
      </c>
      <c r="Q362" t="n">
        <v>3</v>
      </c>
      <c r="R362" t="n">
        <v>1</v>
      </c>
      <c r="S362" t="n">
        <v>1915</v>
      </c>
      <c r="T362" t="s">
        <v>8067</v>
      </c>
      <c r="U362" t="s">
        <v>8068</v>
      </c>
      <c r="V362" t="s">
        <v>74</v>
      </c>
      <c r="W362" t="s">
        <v>8069</v>
      </c>
      <c r="X362"/>
      <c r="Y362" t="s">
        <v>8070</v>
      </c>
      <c r="Z362"/>
      <c r="AA362" t="s">
        <v>8071</v>
      </c>
      <c r="AB362" t="s">
        <v>8072</v>
      </c>
      <c r="AC362" t="n">
        <v>5</v>
      </c>
      <c r="AD362" t="s">
        <v>8073</v>
      </c>
      <c r="AE362" t="n">
        <v>244</v>
      </c>
      <c r="AF362" t="s">
        <v>8074</v>
      </c>
      <c r="AG362" t="n">
        <v>5</v>
      </c>
    </row>
    <row r="363">
      <c r="A363" t="s">
        <v>8075</v>
      </c>
      <c r="B363" t="s">
        <v>26</v>
      </c>
      <c r="C363" t="s">
        <v>65</v>
      </c>
      <c r="D363" t="s">
        <v>8076</v>
      </c>
      <c r="E363" t="s">
        <v>79</v>
      </c>
      <c r="F363" t="s">
        <v>1274</v>
      </c>
      <c r="G363" t="s">
        <v>1516</v>
      </c>
      <c r="H363" t="n">
        <v>39.6836152540038</v>
      </c>
      <c r="I363" t="n">
        <v>-104.9887798675</v>
      </c>
      <c r="J363" t="s">
        <v>35</v>
      </c>
      <c r="K363" t="s">
        <v>126</v>
      </c>
      <c r="L363"/>
      <c r="M363" t="n">
        <v>1968</v>
      </c>
      <c r="N363" t="n">
        <v>1992</v>
      </c>
      <c r="O363" t="s">
        <v>8077</v>
      </c>
      <c r="P363" t="n">
        <v>6</v>
      </c>
      <c r="Q363" t="n">
        <v>5</v>
      </c>
      <c r="R363" t="n">
        <v>2</v>
      </c>
      <c r="S363" t="n">
        <v>1958</v>
      </c>
      <c r="T363" t="s">
        <v>8078</v>
      </c>
      <c r="U363" t="s">
        <v>8079</v>
      </c>
      <c r="V363" t="s">
        <v>74</v>
      </c>
      <c r="W363" t="s">
        <v>6540</v>
      </c>
      <c r="X363" t="s">
        <v>8080</v>
      </c>
      <c r="Y363" t="s">
        <v>8081</v>
      </c>
      <c r="Z363"/>
      <c r="AA363" t="s">
        <v>8082</v>
      </c>
      <c r="AB363" t="s">
        <v>7581</v>
      </c>
      <c r="AC363" t="n">
        <v>117</v>
      </c>
      <c r="AD363" t="s">
        <v>7582</v>
      </c>
      <c r="AE363" t="n">
        <v>109</v>
      </c>
      <c r="AF363" t="s">
        <v>7583</v>
      </c>
      <c r="AG363" t="n">
        <v>32</v>
      </c>
    </row>
    <row r="364">
      <c r="A364" t="s">
        <v>8083</v>
      </c>
      <c r="B364" t="s">
        <v>26</v>
      </c>
      <c r="C364" t="s">
        <v>65</v>
      </c>
      <c r="D364" t="s">
        <v>8084</v>
      </c>
      <c r="E364" t="s">
        <v>79</v>
      </c>
      <c r="F364" t="s">
        <v>1274</v>
      </c>
      <c r="G364" t="s">
        <v>1653</v>
      </c>
      <c r="H364" t="n">
        <v>39.783763</v>
      </c>
      <c r="I364" t="n">
        <v>-104.963482</v>
      </c>
      <c r="J364" t="s">
        <v>35</v>
      </c>
      <c r="K364" t="s">
        <v>315</v>
      </c>
      <c r="L364"/>
      <c r="M364" t="n">
        <v>1968</v>
      </c>
      <c r="N364" t="n">
        <v>1968</v>
      </c>
      <c r="O364" t="s">
        <v>1349</v>
      </c>
      <c r="P364" t="n">
        <v>1</v>
      </c>
      <c r="Q364" t="n">
        <v>1</v>
      </c>
      <c r="R364" t="n">
        <v>1</v>
      </c>
      <c r="S364" t="n">
        <v>1946</v>
      </c>
      <c r="T364" t="s">
        <v>8085</v>
      </c>
      <c r="U364" t="s">
        <v>8086</v>
      </c>
      <c r="V364" t="s">
        <v>74</v>
      </c>
      <c r="W364" t="s">
        <v>6610</v>
      </c>
      <c r="X364"/>
      <c r="Y364" t="s">
        <v>8087</v>
      </c>
      <c r="Z364"/>
      <c r="AA364"/>
      <c r="AB364" t="s">
        <v>8088</v>
      </c>
      <c r="AC364" t="n">
        <v>178</v>
      </c>
      <c r="AD364" t="s">
        <v>8089</v>
      </c>
      <c r="AE364" t="n">
        <v>200</v>
      </c>
      <c r="AF364" t="s">
        <v>8090</v>
      </c>
      <c r="AG364" t="n">
        <v>24</v>
      </c>
    </row>
    <row r="365">
      <c r="A365" t="s">
        <v>8091</v>
      </c>
      <c r="B365" t="s">
        <v>26</v>
      </c>
      <c r="C365" t="s">
        <v>65</v>
      </c>
      <c r="D365" t="s">
        <v>8092</v>
      </c>
      <c r="E365" t="s">
        <v>79</v>
      </c>
      <c r="F365" t="s">
        <v>1274</v>
      </c>
      <c r="G365" t="s">
        <v>1653</v>
      </c>
      <c r="H365" t="n">
        <v>39.772238365792</v>
      </c>
      <c r="I365" t="n">
        <v>-104.979864933284</v>
      </c>
      <c r="J365" t="s">
        <v>35</v>
      </c>
      <c r="K365" t="s">
        <v>126</v>
      </c>
      <c r="L365"/>
      <c r="M365" t="n">
        <v>1968</v>
      </c>
      <c r="N365" t="n">
        <v>1990</v>
      </c>
      <c r="O365" t="s">
        <v>8093</v>
      </c>
      <c r="P365" t="n">
        <v>4</v>
      </c>
      <c r="Q365" t="n">
        <v>3</v>
      </c>
      <c r="R365" t="n">
        <v>2</v>
      </c>
      <c r="S365" t="n">
        <v>1919</v>
      </c>
      <c r="T365" t="s">
        <v>8094</v>
      </c>
      <c r="U365" t="s">
        <v>8095</v>
      </c>
      <c r="V365" t="s">
        <v>74</v>
      </c>
      <c r="W365" t="s">
        <v>8096</v>
      </c>
      <c r="X365" t="s">
        <v>8097</v>
      </c>
      <c r="Y365"/>
      <c r="Z365"/>
      <c r="AA365" t="s">
        <v>8098</v>
      </c>
      <c r="AB365" t="s">
        <v>8099</v>
      </c>
      <c r="AC365" t="n">
        <v>7</v>
      </c>
      <c r="AD365" t="s">
        <v>8032</v>
      </c>
      <c r="AE365" t="n">
        <v>41</v>
      </c>
      <c r="AF365" t="s">
        <v>8100</v>
      </c>
      <c r="AG365" t="n">
        <v>92</v>
      </c>
    </row>
    <row r="366">
      <c r="A366" t="s">
        <v>8101</v>
      </c>
      <c r="B366" t="s">
        <v>26</v>
      </c>
      <c r="C366" t="s">
        <v>24</v>
      </c>
      <c r="D366" t="s">
        <v>8102</v>
      </c>
      <c r="E366" t="s">
        <v>79</v>
      </c>
      <c r="F366" t="s">
        <v>1274</v>
      </c>
      <c r="G366" t="s">
        <v>1555</v>
      </c>
      <c r="H366" t="n">
        <v>39.80426</v>
      </c>
      <c r="I366" t="n">
        <v>-104.99976</v>
      </c>
      <c r="J366" t="s">
        <v>4109</v>
      </c>
      <c r="K366" t="s">
        <v>70</v>
      </c>
      <c r="L366"/>
      <c r="M366" t="n">
        <v>1968</v>
      </c>
      <c r="N366" t="n">
        <v>1968</v>
      </c>
      <c r="O366" t="s">
        <v>1349</v>
      </c>
      <c r="P366" t="n">
        <v>1</v>
      </c>
      <c r="Q366" t="n">
        <v>1</v>
      </c>
      <c r="R366" t="n">
        <v>1</v>
      </c>
      <c r="S366" t="n">
        <v>1953</v>
      </c>
      <c r="T366" t="s">
        <v>8103</v>
      </c>
      <c r="U366" t="s">
        <v>8104</v>
      </c>
      <c r="V366" t="s">
        <v>74</v>
      </c>
      <c r="W366" t="s">
        <v>8105</v>
      </c>
      <c r="X366"/>
      <c r="Y366" t="s">
        <v>8106</v>
      </c>
      <c r="Z366"/>
      <c r="AA366" t="s">
        <v>8107</v>
      </c>
      <c r="AB366" t="s">
        <v>8108</v>
      </c>
      <c r="AC366" t="n">
        <v>121</v>
      </c>
      <c r="AD366"/>
      <c r="AE366"/>
      <c r="AF366" t="s">
        <v>8109</v>
      </c>
      <c r="AG366" t="n">
        <v>216</v>
      </c>
    </row>
    <row r="367">
      <c r="A367" t="s">
        <v>8110</v>
      </c>
      <c r="B367" t="s">
        <v>26</v>
      </c>
      <c r="C367" t="s">
        <v>65</v>
      </c>
      <c r="D367" t="s">
        <v>8111</v>
      </c>
      <c r="E367" t="s">
        <v>79</v>
      </c>
      <c r="F367" t="s">
        <v>1274</v>
      </c>
      <c r="G367" t="s">
        <v>4335</v>
      </c>
      <c r="H367" t="n">
        <v>39.7772217119509</v>
      </c>
      <c r="I367" t="n">
        <v>-104.962424874257</v>
      </c>
      <c r="J367" t="s">
        <v>35</v>
      </c>
      <c r="K367" t="s">
        <v>141</v>
      </c>
      <c r="L367"/>
      <c r="M367" t="n">
        <v>1968</v>
      </c>
      <c r="N367" t="n">
        <v>1990</v>
      </c>
      <c r="O367" t="s">
        <v>310</v>
      </c>
      <c r="P367" t="n">
        <v>7</v>
      </c>
      <c r="Q367" t="n">
        <v>4</v>
      </c>
      <c r="R367" t="n">
        <v>2</v>
      </c>
      <c r="S367" t="n">
        <v>1963</v>
      </c>
      <c r="T367" t="s">
        <v>8112</v>
      </c>
      <c r="U367" t="s">
        <v>8113</v>
      </c>
      <c r="V367" t="s">
        <v>74</v>
      </c>
      <c r="W367" t="s">
        <v>6610</v>
      </c>
      <c r="X367"/>
      <c r="Y367"/>
      <c r="Z367"/>
      <c r="AA367" t="s">
        <v>8114</v>
      </c>
      <c r="AB367" t="s">
        <v>8115</v>
      </c>
      <c r="AC367" t="n">
        <v>119</v>
      </c>
      <c r="AD367"/>
      <c r="AE367"/>
      <c r="AF367" t="s">
        <v>7528</v>
      </c>
      <c r="AG367" t="n">
        <v>122</v>
      </c>
    </row>
    <row r="368">
      <c r="A368" t="s">
        <v>8116</v>
      </c>
      <c r="B368" t="s">
        <v>26</v>
      </c>
      <c r="C368" t="s">
        <v>24</v>
      </c>
      <c r="D368" t="s">
        <v>8117</v>
      </c>
      <c r="E368" t="s">
        <v>79</v>
      </c>
      <c r="F368" t="s">
        <v>1274</v>
      </c>
      <c r="G368" t="s">
        <v>1509</v>
      </c>
      <c r="H368" t="n">
        <v>39.7511361078548</v>
      </c>
      <c r="I368" t="n">
        <v>-105.003613004187</v>
      </c>
      <c r="J368" t="s">
        <v>35</v>
      </c>
      <c r="K368" t="s">
        <v>120</v>
      </c>
      <c r="L368"/>
      <c r="M368" t="n">
        <v>1968</v>
      </c>
      <c r="N368" t="n">
        <v>1980</v>
      </c>
      <c r="O368" t="s">
        <v>121</v>
      </c>
      <c r="P368" t="n">
        <v>5</v>
      </c>
      <c r="Q368" t="n">
        <v>2</v>
      </c>
      <c r="R368" t="n">
        <v>1</v>
      </c>
      <c r="S368" t="n">
        <v>1964</v>
      </c>
      <c r="T368" t="s">
        <v>8118</v>
      </c>
      <c r="U368" t="s">
        <v>8119</v>
      </c>
      <c r="V368" t="s">
        <v>4175</v>
      </c>
      <c r="W368" t="s">
        <v>8120</v>
      </c>
      <c r="X368"/>
      <c r="Y368"/>
      <c r="Z368"/>
      <c r="AA368"/>
      <c r="AB368" t="s">
        <v>4468</v>
      </c>
      <c r="AC368" t="n">
        <v>45</v>
      </c>
      <c r="AD368"/>
      <c r="AE368"/>
      <c r="AF368" t="s">
        <v>8121</v>
      </c>
      <c r="AG368" t="n">
        <v>142</v>
      </c>
    </row>
    <row r="369">
      <c r="A369" t="s">
        <v>8122</v>
      </c>
      <c r="B369" t="s">
        <v>26</v>
      </c>
      <c r="C369" t="s">
        <v>65</v>
      </c>
      <c r="D369" t="s">
        <v>8123</v>
      </c>
      <c r="E369" t="s">
        <v>79</v>
      </c>
      <c r="F369" t="s">
        <v>1274</v>
      </c>
      <c r="G369" t="s">
        <v>1516</v>
      </c>
      <c r="H369" t="n">
        <v>39.6898764693878</v>
      </c>
      <c r="I369" t="n">
        <v>-105.001588122449</v>
      </c>
      <c r="J369" t="s">
        <v>35</v>
      </c>
      <c r="K369" t="s">
        <v>315</v>
      </c>
      <c r="L369"/>
      <c r="M369" t="n">
        <v>1968</v>
      </c>
      <c r="N369" t="n">
        <v>1968</v>
      </c>
      <c r="O369" t="s">
        <v>1349</v>
      </c>
      <c r="P369" t="n">
        <v>1</v>
      </c>
      <c r="Q369" t="n">
        <v>1</v>
      </c>
      <c r="R369" t="n">
        <v>1</v>
      </c>
      <c r="S369" t="n">
        <v>1966</v>
      </c>
      <c r="T369" t="s">
        <v>8124</v>
      </c>
      <c r="U369" t="s">
        <v>8125</v>
      </c>
      <c r="V369" t="s">
        <v>74</v>
      </c>
      <c r="W369" t="s">
        <v>8126</v>
      </c>
      <c r="X369"/>
      <c r="Y369"/>
      <c r="Z369"/>
      <c r="AA369"/>
      <c r="AB369" t="s">
        <v>8127</v>
      </c>
      <c r="AC369" t="n">
        <v>68</v>
      </c>
      <c r="AD369"/>
      <c r="AE369"/>
      <c r="AF369" t="s">
        <v>8128</v>
      </c>
      <c r="AG369" t="n">
        <v>90</v>
      </c>
    </row>
    <row r="370">
      <c r="A370" t="s">
        <v>8129</v>
      </c>
      <c r="B370" t="s">
        <v>26</v>
      </c>
      <c r="C370" t="s">
        <v>24</v>
      </c>
      <c r="D370" t="s">
        <v>8130</v>
      </c>
      <c r="E370" t="s">
        <v>79</v>
      </c>
      <c r="F370" t="s">
        <v>1274</v>
      </c>
      <c r="G370"/>
      <c r="H370" t="n">
        <v>39.7462149663497</v>
      </c>
      <c r="I370" t="n">
        <v>-105.018972737139</v>
      </c>
      <c r="J370" t="s">
        <v>4109</v>
      </c>
      <c r="K370" t="s">
        <v>70</v>
      </c>
      <c r="L370"/>
      <c r="M370" t="n">
        <v>1968</v>
      </c>
      <c r="N370" t="n">
        <v>1973</v>
      </c>
      <c r="O370" t="s">
        <v>2349</v>
      </c>
      <c r="P370" t="n">
        <v>2</v>
      </c>
      <c r="Q370" t="n">
        <v>1</v>
      </c>
      <c r="R370" t="n">
        <v>1</v>
      </c>
      <c r="S370" t="n">
        <v>1946</v>
      </c>
      <c r="T370" t="s">
        <v>8131</v>
      </c>
      <c r="U370" t="s">
        <v>8132</v>
      </c>
      <c r="V370" t="s">
        <v>74</v>
      </c>
      <c r="W370" t="s">
        <v>8133</v>
      </c>
      <c r="X370"/>
      <c r="Y370"/>
      <c r="Z370"/>
      <c r="AA370"/>
      <c r="AB370" t="s">
        <v>6635</v>
      </c>
      <c r="AC370" t="n">
        <v>54</v>
      </c>
      <c r="AD370"/>
      <c r="AE370"/>
      <c r="AF370" t="s">
        <v>6636</v>
      </c>
      <c r="AG370" t="n">
        <v>97</v>
      </c>
    </row>
    <row r="371">
      <c r="A371" t="s">
        <v>8134</v>
      </c>
      <c r="B371" t="s">
        <v>26</v>
      </c>
      <c r="C371" t="s">
        <v>65</v>
      </c>
      <c r="D371" t="s">
        <v>8135</v>
      </c>
      <c r="E371" t="s">
        <v>79</v>
      </c>
      <c r="F371" t="s">
        <v>1274</v>
      </c>
      <c r="G371" t="s">
        <v>1653</v>
      </c>
      <c r="H371" t="n">
        <v>39.769298</v>
      </c>
      <c r="I371" t="n">
        <v>-104.963428</v>
      </c>
      <c r="J371" t="s">
        <v>35</v>
      </c>
      <c r="K371" t="s">
        <v>141</v>
      </c>
      <c r="L371"/>
      <c r="M371" t="n">
        <v>1968</v>
      </c>
      <c r="N371" t="n">
        <v>1992</v>
      </c>
      <c r="O371" t="s">
        <v>8136</v>
      </c>
      <c r="P371" t="n">
        <v>7</v>
      </c>
      <c r="Q371" t="n">
        <v>11</v>
      </c>
      <c r="R371" t="n">
        <v>6</v>
      </c>
      <c r="S371" t="n">
        <v>1895</v>
      </c>
      <c r="T371" t="s">
        <v>8137</v>
      </c>
      <c r="U371" t="s">
        <v>8138</v>
      </c>
      <c r="V371" t="s">
        <v>74</v>
      </c>
      <c r="W371" t="s">
        <v>6610</v>
      </c>
      <c r="X371"/>
      <c r="Y371" t="s">
        <v>8139</v>
      </c>
      <c r="Z371"/>
      <c r="AA371"/>
      <c r="AB371" t="s">
        <v>8140</v>
      </c>
      <c r="AC371" t="n">
        <v>243</v>
      </c>
      <c r="AD371"/>
      <c r="AE371"/>
      <c r="AF371" t="s">
        <v>7948</v>
      </c>
      <c r="AG371" t="n">
        <v>36</v>
      </c>
    </row>
    <row r="372">
      <c r="A372" t="s">
        <v>8141</v>
      </c>
      <c r="B372" t="s">
        <v>26</v>
      </c>
      <c r="C372" t="s">
        <v>65</v>
      </c>
      <c r="D372" t="s">
        <v>8142</v>
      </c>
      <c r="E372" t="s">
        <v>79</v>
      </c>
      <c r="F372" t="s">
        <v>1274</v>
      </c>
      <c r="G372" t="s">
        <v>1653</v>
      </c>
      <c r="H372" t="n">
        <v>39.7763989795918</v>
      </c>
      <c r="I372" t="n">
        <v>-104.951710510204</v>
      </c>
      <c r="J372" t="s">
        <v>35</v>
      </c>
      <c r="K372" t="s">
        <v>141</v>
      </c>
      <c r="L372"/>
      <c r="M372" t="n">
        <v>1968</v>
      </c>
      <c r="N372" t="n">
        <v>1988</v>
      </c>
      <c r="O372" t="s">
        <v>8143</v>
      </c>
      <c r="P372" t="n">
        <v>6</v>
      </c>
      <c r="Q372" t="n">
        <v>3</v>
      </c>
      <c r="R372" t="n">
        <v>3</v>
      </c>
      <c r="S372" t="n">
        <v>1917</v>
      </c>
      <c r="T372" t="s">
        <v>8144</v>
      </c>
      <c r="U372" t="s">
        <v>8145</v>
      </c>
      <c r="V372" t="s">
        <v>74</v>
      </c>
      <c r="W372" t="s">
        <v>6610</v>
      </c>
      <c r="X372"/>
      <c r="Y372" t="s">
        <v>8146</v>
      </c>
      <c r="Z372"/>
      <c r="AA372"/>
      <c r="AB372" t="s">
        <v>7290</v>
      </c>
      <c r="AC372" t="n">
        <v>111</v>
      </c>
      <c r="AD372" t="s">
        <v>7290</v>
      </c>
      <c r="AE372" t="n">
        <v>119</v>
      </c>
      <c r="AF372" t="s">
        <v>7291</v>
      </c>
      <c r="AG372" t="n">
        <v>53</v>
      </c>
    </row>
    <row r="373">
      <c r="A373" t="s">
        <v>8147</v>
      </c>
      <c r="B373" t="s">
        <v>26</v>
      </c>
      <c r="C373" t="s">
        <v>24</v>
      </c>
      <c r="D373" t="s">
        <v>8148</v>
      </c>
      <c r="E373" t="s">
        <v>79</v>
      </c>
      <c r="F373" t="s">
        <v>1274</v>
      </c>
      <c r="G373"/>
      <c r="H373" t="n">
        <v>39.778391</v>
      </c>
      <c r="I373" t="n">
        <v>-105.034637</v>
      </c>
      <c r="J373" t="s">
        <v>4109</v>
      </c>
      <c r="K373" t="s">
        <v>270</v>
      </c>
      <c r="L373"/>
      <c r="M373" t="n">
        <v>1968</v>
      </c>
      <c r="N373" t="n">
        <v>1968</v>
      </c>
      <c r="O373" t="s">
        <v>1349</v>
      </c>
      <c r="P373" t="n">
        <v>1</v>
      </c>
      <c r="Q373" t="n">
        <v>1</v>
      </c>
      <c r="R373" t="n">
        <v>1</v>
      </c>
      <c r="S373" t="n">
        <v>1951</v>
      </c>
      <c r="T373" t="s">
        <v>8149</v>
      </c>
      <c r="U373" t="s">
        <v>8150</v>
      </c>
      <c r="V373" t="s">
        <v>74</v>
      </c>
      <c r="W373" t="s">
        <v>8151</v>
      </c>
      <c r="X373"/>
      <c r="Y373" t="s">
        <v>8152</v>
      </c>
      <c r="Z373"/>
      <c r="AA373" t="s">
        <v>8153</v>
      </c>
      <c r="AB373" t="s">
        <v>8154</v>
      </c>
      <c r="AC373" t="n">
        <v>170</v>
      </c>
      <c r="AD373"/>
      <c r="AE373"/>
      <c r="AF373" t="s">
        <v>8155</v>
      </c>
      <c r="AG373" t="n">
        <v>194</v>
      </c>
    </row>
    <row r="374">
      <c r="A374" t="s">
        <v>8156</v>
      </c>
      <c r="B374" t="s">
        <v>26</v>
      </c>
      <c r="C374" t="s">
        <v>24</v>
      </c>
      <c r="D374" t="s">
        <v>8157</v>
      </c>
      <c r="E374" t="s">
        <v>79</v>
      </c>
      <c r="F374" t="s">
        <v>1274</v>
      </c>
      <c r="G374" t="s">
        <v>1691</v>
      </c>
      <c r="H374" t="n">
        <v>39.682091</v>
      </c>
      <c r="I374" t="n">
        <v>-104.922234</v>
      </c>
      <c r="J374" t="s">
        <v>4109</v>
      </c>
      <c r="K374" t="s">
        <v>70</v>
      </c>
      <c r="L374"/>
      <c r="M374" t="n">
        <v>1968</v>
      </c>
      <c r="N374" t="n">
        <v>1974</v>
      </c>
      <c r="O374" t="s">
        <v>2349</v>
      </c>
      <c r="P374" t="n">
        <v>4</v>
      </c>
      <c r="Q374" t="n">
        <v>4</v>
      </c>
      <c r="R374" t="n">
        <v>2</v>
      </c>
      <c r="S374" t="n">
        <v>1909</v>
      </c>
      <c r="T374" t="s">
        <v>8158</v>
      </c>
      <c r="U374" t="s">
        <v>8159</v>
      </c>
      <c r="V374" t="s">
        <v>74</v>
      </c>
      <c r="W374" t="s">
        <v>8160</v>
      </c>
      <c r="X374" t="s">
        <v>8161</v>
      </c>
      <c r="Y374" t="s">
        <v>8162</v>
      </c>
      <c r="Z374"/>
      <c r="AA374" t="s">
        <v>8163</v>
      </c>
      <c r="AB374" t="s">
        <v>8164</v>
      </c>
      <c r="AC374" t="n">
        <v>104</v>
      </c>
      <c r="AD374" t="s">
        <v>8165</v>
      </c>
      <c r="AE374" t="n">
        <v>243</v>
      </c>
      <c r="AF374" t="s">
        <v>8166</v>
      </c>
      <c r="AG374" t="n">
        <v>114</v>
      </c>
    </row>
    <row r="375">
      <c r="A375" t="s">
        <v>8167</v>
      </c>
      <c r="B375" t="s">
        <v>26</v>
      </c>
      <c r="C375" t="s">
        <v>25</v>
      </c>
      <c r="D375" t="s">
        <v>8168</v>
      </c>
      <c r="E375" t="s">
        <v>79</v>
      </c>
      <c r="F375" t="s">
        <v>1274</v>
      </c>
      <c r="G375"/>
      <c r="H375" t="n">
        <v>39.7176786502564</v>
      </c>
      <c r="I375" t="n">
        <v>-105.010943635912</v>
      </c>
      <c r="J375" t="s">
        <v>4109</v>
      </c>
      <c r="K375" t="s">
        <v>70</v>
      </c>
      <c r="L375"/>
      <c r="M375" t="n">
        <v>1968</v>
      </c>
      <c r="N375" t="n">
        <v>1968</v>
      </c>
      <c r="O375" t="s">
        <v>1349</v>
      </c>
      <c r="P375" t="n">
        <v>1</v>
      </c>
      <c r="Q375" t="n">
        <v>1</v>
      </c>
      <c r="R375" t="n">
        <v>1</v>
      </c>
      <c r="S375" t="n">
        <v>1952</v>
      </c>
      <c r="T375" t="s">
        <v>8169</v>
      </c>
      <c r="U375" t="s">
        <v>8170</v>
      </c>
      <c r="V375" t="s">
        <v>4175</v>
      </c>
      <c r="W375" t="s">
        <v>8171</v>
      </c>
      <c r="X375"/>
      <c r="Y375" t="s">
        <v>8172</v>
      </c>
      <c r="Z375"/>
      <c r="AA375"/>
      <c r="AB375" t="s">
        <v>8173</v>
      </c>
      <c r="AC375" t="n">
        <v>28</v>
      </c>
      <c r="AD375"/>
      <c r="AE375"/>
      <c r="AF375" t="s">
        <v>8174</v>
      </c>
      <c r="AG375" t="n">
        <v>27</v>
      </c>
    </row>
    <row r="376">
      <c r="A376" t="s">
        <v>8175</v>
      </c>
      <c r="B376" t="s">
        <v>26</v>
      </c>
      <c r="C376" t="s">
        <v>65</v>
      </c>
      <c r="D376" t="s">
        <v>8176</v>
      </c>
      <c r="E376" t="s">
        <v>79</v>
      </c>
      <c r="F376" t="s">
        <v>1274</v>
      </c>
      <c r="G376" t="s">
        <v>1653</v>
      </c>
      <c r="H376" t="n">
        <v>39.791057749887</v>
      </c>
      <c r="I376" t="n">
        <v>-104.949874128956</v>
      </c>
      <c r="J376" t="s">
        <v>35</v>
      </c>
      <c r="K376" t="s">
        <v>141</v>
      </c>
      <c r="L376"/>
      <c r="M376" t="n">
        <v>1968</v>
      </c>
      <c r="N376" t="n">
        <v>1968</v>
      </c>
      <c r="O376" t="s">
        <v>1349</v>
      </c>
      <c r="P376" t="n">
        <v>1</v>
      </c>
      <c r="Q376" t="n">
        <v>1</v>
      </c>
      <c r="R376" t="n">
        <v>1</v>
      </c>
      <c r="S376" t="n">
        <v>1965</v>
      </c>
      <c r="T376" t="s">
        <v>8177</v>
      </c>
      <c r="U376" t="s">
        <v>8178</v>
      </c>
      <c r="V376" t="s">
        <v>74</v>
      </c>
      <c r="W376" t="s">
        <v>6610</v>
      </c>
      <c r="X376"/>
      <c r="Y376"/>
      <c r="Z376"/>
      <c r="AA376" t="s">
        <v>8179</v>
      </c>
      <c r="AB376"/>
      <c r="AC376"/>
      <c r="AD376"/>
      <c r="AE376"/>
      <c r="AF376" t="s">
        <v>1847</v>
      </c>
      <c r="AG376" t="n">
        <v>74</v>
      </c>
    </row>
    <row r="377">
      <c r="A377" t="s">
        <v>8180</v>
      </c>
      <c r="B377" t="s">
        <v>26</v>
      </c>
      <c r="C377" t="s">
        <v>65</v>
      </c>
      <c r="D377" t="s">
        <v>8181</v>
      </c>
      <c r="E377" t="s">
        <v>79</v>
      </c>
      <c r="F377" t="s">
        <v>1274</v>
      </c>
      <c r="G377" t="s">
        <v>1555</v>
      </c>
      <c r="H377" t="n">
        <v>39.740334</v>
      </c>
      <c r="I377" t="n">
        <v>-105.0346</v>
      </c>
      <c r="J377" t="s">
        <v>35</v>
      </c>
      <c r="K377" t="s">
        <v>70</v>
      </c>
      <c r="L377"/>
      <c r="M377" t="n">
        <v>1968</v>
      </c>
      <c r="N377" t="n">
        <v>1977</v>
      </c>
      <c r="O377" t="s">
        <v>8182</v>
      </c>
      <c r="P377" t="n">
        <v>5</v>
      </c>
      <c r="Q377" t="n">
        <v>3</v>
      </c>
      <c r="R377" t="n">
        <v>3</v>
      </c>
      <c r="S377" t="n">
        <v>1948</v>
      </c>
      <c r="T377" t="s">
        <v>8183</v>
      </c>
      <c r="U377" t="s">
        <v>8184</v>
      </c>
      <c r="V377" t="s">
        <v>74</v>
      </c>
      <c r="W377" t="s">
        <v>8185</v>
      </c>
      <c r="X377"/>
      <c r="Y377" t="s">
        <v>8186</v>
      </c>
      <c r="Z377"/>
      <c r="AA377"/>
      <c r="AB377" t="s">
        <v>1454</v>
      </c>
      <c r="AC377" t="n">
        <v>28</v>
      </c>
      <c r="AD377"/>
      <c r="AE377"/>
      <c r="AF377" t="s">
        <v>1559</v>
      </c>
      <c r="AG377" t="n">
        <v>20</v>
      </c>
    </row>
    <row r="378">
      <c r="A378" t="s">
        <v>8187</v>
      </c>
      <c r="B378" t="s">
        <v>26</v>
      </c>
      <c r="C378" t="s">
        <v>65</v>
      </c>
      <c r="D378" t="s">
        <v>8188</v>
      </c>
      <c r="E378" t="s">
        <v>79</v>
      </c>
      <c r="F378" t="s">
        <v>1274</v>
      </c>
      <c r="G378" t="s">
        <v>1653</v>
      </c>
      <c r="H378" t="n">
        <v>39.7699778889086</v>
      </c>
      <c r="I378" t="n">
        <v>-104.975800707045</v>
      </c>
      <c r="J378" t="s">
        <v>35</v>
      </c>
      <c r="K378" t="s">
        <v>70</v>
      </c>
      <c r="L378"/>
      <c r="M378" t="n">
        <v>1968</v>
      </c>
      <c r="N378" t="n">
        <v>1968</v>
      </c>
      <c r="O378" t="s">
        <v>1349</v>
      </c>
      <c r="P378" t="n">
        <v>1</v>
      </c>
      <c r="Q378" t="n">
        <v>1</v>
      </c>
      <c r="R378" t="n">
        <v>1</v>
      </c>
      <c r="S378" t="n">
        <v>1954</v>
      </c>
      <c r="T378" t="s">
        <v>8189</v>
      </c>
      <c r="U378" t="s">
        <v>8190</v>
      </c>
      <c r="V378" t="s">
        <v>74</v>
      </c>
      <c r="W378" t="s">
        <v>8191</v>
      </c>
      <c r="X378"/>
      <c r="Y378"/>
      <c r="Z378"/>
      <c r="AA378" t="s">
        <v>8192</v>
      </c>
      <c r="AB378" t="s">
        <v>8193</v>
      </c>
      <c r="AC378" t="n">
        <v>66</v>
      </c>
      <c r="AD378" t="s">
        <v>1591</v>
      </c>
      <c r="AE378" t="n">
        <v>142</v>
      </c>
      <c r="AF378" t="s">
        <v>1592</v>
      </c>
      <c r="AG378" t="n">
        <v>86</v>
      </c>
    </row>
    <row r="379">
      <c r="A379" t="s">
        <v>8194</v>
      </c>
      <c r="B379" t="s">
        <v>26</v>
      </c>
      <c r="C379" t="s">
        <v>65</v>
      </c>
      <c r="D379" t="s">
        <v>8195</v>
      </c>
      <c r="E379" t="s">
        <v>79</v>
      </c>
      <c r="F379" t="s">
        <v>1274</v>
      </c>
      <c r="G379" t="s">
        <v>1574</v>
      </c>
      <c r="H379" t="n">
        <v>39.7647700816326</v>
      </c>
      <c r="I379" t="n">
        <v>-104.977321591837</v>
      </c>
      <c r="J379" t="s">
        <v>35</v>
      </c>
      <c r="K379" t="s">
        <v>70</v>
      </c>
      <c r="L379"/>
      <c r="M379" t="n">
        <v>1968</v>
      </c>
      <c r="N379" t="n">
        <v>1974</v>
      </c>
      <c r="O379" t="s">
        <v>210</v>
      </c>
      <c r="P379" t="n">
        <v>2</v>
      </c>
      <c r="Q379" t="n">
        <v>2</v>
      </c>
      <c r="R379" t="n">
        <v>1</v>
      </c>
      <c r="S379" t="n">
        <v>1922</v>
      </c>
      <c r="T379" t="s">
        <v>8196</v>
      </c>
      <c r="U379" t="s">
        <v>8197</v>
      </c>
      <c r="V379" t="s">
        <v>74</v>
      </c>
      <c r="W379" t="s">
        <v>8198</v>
      </c>
      <c r="X379"/>
      <c r="Y379"/>
      <c r="Z379"/>
      <c r="AA379"/>
      <c r="AB379" t="s">
        <v>1983</v>
      </c>
      <c r="AC379" t="n">
        <v>29</v>
      </c>
      <c r="AD379" t="s">
        <v>1712</v>
      </c>
      <c r="AE379" t="n">
        <v>156</v>
      </c>
      <c r="AF379" t="s">
        <v>1984</v>
      </c>
      <c r="AG379" t="n">
        <v>124</v>
      </c>
    </row>
    <row r="380">
      <c r="A380" t="s">
        <v>8199</v>
      </c>
      <c r="B380" t="s">
        <v>26</v>
      </c>
      <c r="C380" t="s">
        <v>24</v>
      </c>
      <c r="D380" t="s">
        <v>8200</v>
      </c>
      <c r="E380" t="s">
        <v>79</v>
      </c>
      <c r="F380" t="s">
        <v>1274</v>
      </c>
      <c r="G380" t="s">
        <v>1516</v>
      </c>
      <c r="H380" t="n">
        <v>39.7189953333348</v>
      </c>
      <c r="I380" t="n">
        <v>-105.010868232804</v>
      </c>
      <c r="J380" t="s">
        <v>4109</v>
      </c>
      <c r="K380" t="s">
        <v>201</v>
      </c>
      <c r="L380"/>
      <c r="M380" t="n">
        <v>1968</v>
      </c>
      <c r="N380" t="n">
        <v>1990</v>
      </c>
      <c r="O380" t="s">
        <v>8201</v>
      </c>
      <c r="P380" t="n">
        <v>7</v>
      </c>
      <c r="Q380" t="n">
        <v>4</v>
      </c>
      <c r="R380" t="n">
        <v>4</v>
      </c>
      <c r="S380" t="n">
        <v>1952</v>
      </c>
      <c r="T380" t="s">
        <v>8202</v>
      </c>
      <c r="U380" t="s">
        <v>8203</v>
      </c>
      <c r="V380" t="s">
        <v>74</v>
      </c>
      <c r="W380" t="s">
        <v>8204</v>
      </c>
      <c r="X380"/>
      <c r="Y380"/>
      <c r="Z380"/>
      <c r="AA380"/>
      <c r="AB380" t="s">
        <v>8205</v>
      </c>
      <c r="AC380" t="n">
        <v>136</v>
      </c>
      <c r="AD380"/>
      <c r="AE380"/>
      <c r="AF380" t="s">
        <v>8206</v>
      </c>
      <c r="AG380" t="n">
        <v>101</v>
      </c>
    </row>
    <row r="381">
      <c r="A381" t="s">
        <v>8207</v>
      </c>
      <c r="B381" t="s">
        <v>26</v>
      </c>
      <c r="C381" t="s">
        <v>24</v>
      </c>
      <c r="D381" t="s">
        <v>8208</v>
      </c>
      <c r="E381" t="s">
        <v>79</v>
      </c>
      <c r="F381" t="s">
        <v>1274</v>
      </c>
      <c r="G381" t="s">
        <v>1653</v>
      </c>
      <c r="H381" t="n">
        <v>39.7779925280854</v>
      </c>
      <c r="I381" t="n">
        <v>-104.915229133427</v>
      </c>
      <c r="J381" t="s">
        <v>4109</v>
      </c>
      <c r="K381" t="s">
        <v>70</v>
      </c>
      <c r="L381"/>
      <c r="M381" t="n">
        <v>1968</v>
      </c>
      <c r="N381" t="n">
        <v>1983</v>
      </c>
      <c r="O381" t="s">
        <v>264</v>
      </c>
      <c r="P381" t="n">
        <v>3</v>
      </c>
      <c r="Q381" t="n">
        <v>2</v>
      </c>
      <c r="R381" t="n">
        <v>1</v>
      </c>
      <c r="S381" t="n">
        <v>1907</v>
      </c>
      <c r="T381" t="s">
        <v>8209</v>
      </c>
      <c r="U381" t="s">
        <v>8210</v>
      </c>
      <c r="V381" t="s">
        <v>74</v>
      </c>
      <c r="W381" t="s">
        <v>8211</v>
      </c>
      <c r="X381" t="s">
        <v>8212</v>
      </c>
      <c r="Y381" t="s">
        <v>8213</v>
      </c>
      <c r="Z381"/>
      <c r="AA381" t="s">
        <v>8214</v>
      </c>
      <c r="AB381" t="s">
        <v>8215</v>
      </c>
      <c r="AC381" t="n">
        <v>223</v>
      </c>
      <c r="AD381" t="s">
        <v>8216</v>
      </c>
      <c r="AE381" t="n">
        <v>105</v>
      </c>
      <c r="AF381" t="s">
        <v>8217</v>
      </c>
      <c r="AG381" t="n">
        <v>38</v>
      </c>
    </row>
    <row r="382">
      <c r="A382" t="s">
        <v>8218</v>
      </c>
      <c r="B382" t="s">
        <v>26</v>
      </c>
      <c r="C382" t="s">
        <v>65</v>
      </c>
      <c r="D382" t="s">
        <v>8219</v>
      </c>
      <c r="E382" t="s">
        <v>79</v>
      </c>
      <c r="F382" t="s">
        <v>1274</v>
      </c>
      <c r="G382" t="s">
        <v>1653</v>
      </c>
      <c r="H382" t="n">
        <v>39.7829247683285</v>
      </c>
      <c r="I382" t="n">
        <v>-104.9876014372</v>
      </c>
      <c r="J382" t="s">
        <v>35</v>
      </c>
      <c r="K382" t="s">
        <v>120</v>
      </c>
      <c r="L382"/>
      <c r="M382" t="n">
        <v>1968</v>
      </c>
      <c r="N382" t="n">
        <v>1973</v>
      </c>
      <c r="O382" t="s">
        <v>1716</v>
      </c>
      <c r="P382" t="n">
        <v>3</v>
      </c>
      <c r="Q382" t="n">
        <v>3</v>
      </c>
      <c r="R382" t="n">
        <v>3</v>
      </c>
      <c r="S382" t="n">
        <v>1941</v>
      </c>
      <c r="T382" t="s">
        <v>8220</v>
      </c>
      <c r="U382" t="s">
        <v>8221</v>
      </c>
      <c r="V382" t="s">
        <v>74</v>
      </c>
      <c r="W382" t="s">
        <v>6578</v>
      </c>
      <c r="X382"/>
      <c r="Y382" t="s">
        <v>8222</v>
      </c>
      <c r="Z382"/>
      <c r="AA382"/>
      <c r="AB382" t="s">
        <v>7444</v>
      </c>
      <c r="AC382" t="n">
        <v>134</v>
      </c>
      <c r="AD382"/>
      <c r="AE382"/>
      <c r="AF382" t="s">
        <v>8223</v>
      </c>
      <c r="AG382" t="n">
        <v>4</v>
      </c>
    </row>
    <row r="383">
      <c r="A383" t="s">
        <v>8224</v>
      </c>
      <c r="B383" t="s">
        <v>26</v>
      </c>
      <c r="C383" t="s">
        <v>24</v>
      </c>
      <c r="D383" t="s">
        <v>8225</v>
      </c>
      <c r="E383" t="s">
        <v>79</v>
      </c>
      <c r="F383" t="s">
        <v>1274</v>
      </c>
      <c r="G383" t="s">
        <v>1612</v>
      </c>
      <c r="H383" t="n">
        <v>39.74213</v>
      </c>
      <c r="I383" t="n">
        <v>-105.082663</v>
      </c>
      <c r="J383" t="s">
        <v>4109</v>
      </c>
      <c r="K383" t="s">
        <v>89</v>
      </c>
      <c r="L383"/>
      <c r="M383" t="n">
        <v>1968</v>
      </c>
      <c r="N383" t="n">
        <v>1983</v>
      </c>
      <c r="O383" t="s">
        <v>8226</v>
      </c>
      <c r="P383" t="n">
        <v>7</v>
      </c>
      <c r="Q383" t="n">
        <v>4</v>
      </c>
      <c r="R383" t="n">
        <v>2</v>
      </c>
      <c r="S383" t="n">
        <v>1950</v>
      </c>
      <c r="T383" t="s">
        <v>8227</v>
      </c>
      <c r="U383" t="s">
        <v>8228</v>
      </c>
      <c r="V383" t="s">
        <v>74</v>
      </c>
      <c r="W383" t="s">
        <v>8229</v>
      </c>
      <c r="X383"/>
      <c r="Y383" t="s">
        <v>8230</v>
      </c>
      <c r="Z383"/>
      <c r="AA383" t="s">
        <v>8231</v>
      </c>
      <c r="AB383" t="s">
        <v>8232</v>
      </c>
      <c r="AC383" t="n">
        <v>202</v>
      </c>
      <c r="AD383"/>
      <c r="AE383"/>
      <c r="AF383" t="s">
        <v>8233</v>
      </c>
      <c r="AG383" t="n">
        <v>101</v>
      </c>
    </row>
    <row r="384">
      <c r="A384" t="s">
        <v>8234</v>
      </c>
      <c r="B384" t="s">
        <v>26</v>
      </c>
      <c r="C384" t="s">
        <v>24</v>
      </c>
      <c r="D384" t="s">
        <v>8235</v>
      </c>
      <c r="E384" t="s">
        <v>79</v>
      </c>
      <c r="F384" t="s">
        <v>1274</v>
      </c>
      <c r="G384" t="s">
        <v>1653</v>
      </c>
      <c r="H384" t="n">
        <v>39.7991842377738</v>
      </c>
      <c r="I384" t="n">
        <v>-104.978210413901</v>
      </c>
      <c r="J384" t="s">
        <v>4109</v>
      </c>
      <c r="K384" t="s">
        <v>2274</v>
      </c>
      <c r="L384"/>
      <c r="M384" t="n">
        <v>1970</v>
      </c>
      <c r="N384" t="n">
        <v>1990</v>
      </c>
      <c r="O384" t="s">
        <v>453</v>
      </c>
      <c r="P384" t="n">
        <v>5</v>
      </c>
      <c r="Q384" t="n">
        <v>2</v>
      </c>
      <c r="R384" t="n">
        <v>2</v>
      </c>
      <c r="S384" t="n">
        <v>1937</v>
      </c>
      <c r="T384" t="s">
        <v>8236</v>
      </c>
      <c r="U384" t="s">
        <v>8237</v>
      </c>
      <c r="V384" t="s">
        <v>74</v>
      </c>
      <c r="W384" t="s">
        <v>7247</v>
      </c>
      <c r="X384"/>
      <c r="Y384" t="s">
        <v>8238</v>
      </c>
      <c r="Z384"/>
      <c r="AA384" t="s">
        <v>8239</v>
      </c>
      <c r="AB384"/>
      <c r="AC384"/>
      <c r="AD384"/>
      <c r="AE384"/>
      <c r="AF384" t="s">
        <v>8240</v>
      </c>
      <c r="AG384" t="n">
        <v>26</v>
      </c>
    </row>
    <row r="385">
      <c r="A385" t="s">
        <v>8241</v>
      </c>
      <c r="B385" t="s">
        <v>26</v>
      </c>
      <c r="C385" t="s">
        <v>24</v>
      </c>
      <c r="D385" t="s">
        <v>8242</v>
      </c>
      <c r="E385" t="s">
        <v>79</v>
      </c>
      <c r="F385" t="s">
        <v>1274</v>
      </c>
      <c r="G385" t="s">
        <v>1509</v>
      </c>
      <c r="H385" t="n">
        <v>39.7518858147586</v>
      </c>
      <c r="I385" t="n">
        <v>-104.996047724793</v>
      </c>
      <c r="J385" t="s">
        <v>4109</v>
      </c>
      <c r="K385" t="s">
        <v>120</v>
      </c>
      <c r="L385"/>
      <c r="M385" t="n">
        <v>1970</v>
      </c>
      <c r="N385" t="n">
        <v>1970</v>
      </c>
      <c r="O385" t="s">
        <v>726</v>
      </c>
      <c r="P385" t="n">
        <v>1</v>
      </c>
      <c r="Q385" t="n">
        <v>1</v>
      </c>
      <c r="R385" t="n">
        <v>1</v>
      </c>
      <c r="S385" t="n">
        <v>1952</v>
      </c>
      <c r="T385" t="s">
        <v>8243</v>
      </c>
      <c r="U385" t="s">
        <v>8244</v>
      </c>
      <c r="V385" t="s">
        <v>74</v>
      </c>
      <c r="W385" t="s">
        <v>8245</v>
      </c>
      <c r="X385"/>
      <c r="Y385"/>
      <c r="Z385"/>
      <c r="AA385"/>
      <c r="AB385" t="s">
        <v>1400</v>
      </c>
      <c r="AC385" t="n">
        <v>40</v>
      </c>
      <c r="AD385" t="s">
        <v>1853</v>
      </c>
      <c r="AE385" t="n">
        <v>237</v>
      </c>
      <c r="AF385" t="s">
        <v>7555</v>
      </c>
      <c r="AG385" t="n">
        <v>148</v>
      </c>
    </row>
    <row r="386">
      <c r="A386" t="s">
        <v>8246</v>
      </c>
      <c r="B386" t="s">
        <v>26</v>
      </c>
      <c r="C386" t="s">
        <v>65</v>
      </c>
      <c r="D386" t="s">
        <v>8247</v>
      </c>
      <c r="E386" t="s">
        <v>79</v>
      </c>
      <c r="F386" t="s">
        <v>1274</v>
      </c>
      <c r="G386" t="s">
        <v>1653</v>
      </c>
      <c r="H386" t="n">
        <v>39.776395</v>
      </c>
      <c r="I386" t="n">
        <v>-104.950835</v>
      </c>
      <c r="J386" t="s">
        <v>35</v>
      </c>
      <c r="K386" t="s">
        <v>70</v>
      </c>
      <c r="L386"/>
      <c r="M386" t="n">
        <v>1970</v>
      </c>
      <c r="N386" t="n">
        <v>1992</v>
      </c>
      <c r="O386" t="s">
        <v>8248</v>
      </c>
      <c r="P386" t="n">
        <v>9</v>
      </c>
      <c r="Q386" t="n">
        <v>4</v>
      </c>
      <c r="R386" t="n">
        <v>4</v>
      </c>
      <c r="S386" t="n">
        <v>1960</v>
      </c>
      <c r="T386" t="s">
        <v>8249</v>
      </c>
      <c r="U386" t="s">
        <v>8250</v>
      </c>
      <c r="V386" t="s">
        <v>74</v>
      </c>
      <c r="W386" t="s">
        <v>8251</v>
      </c>
      <c r="X386" t="s">
        <v>8252</v>
      </c>
      <c r="Y386" t="s">
        <v>8253</v>
      </c>
      <c r="Z386"/>
      <c r="AA386" t="s">
        <v>8254</v>
      </c>
      <c r="AB386" t="s">
        <v>7290</v>
      </c>
      <c r="AC386" t="n">
        <v>36</v>
      </c>
      <c r="AD386" t="s">
        <v>7290</v>
      </c>
      <c r="AE386" t="n">
        <v>47</v>
      </c>
      <c r="AF386" t="s">
        <v>7291</v>
      </c>
      <c r="AG386" t="n">
        <v>22</v>
      </c>
    </row>
    <row r="387">
      <c r="A387" t="s">
        <v>8255</v>
      </c>
      <c r="B387" t="s">
        <v>26</v>
      </c>
      <c r="C387" t="s">
        <v>65</v>
      </c>
      <c r="D387" t="s">
        <v>8256</v>
      </c>
      <c r="E387" t="s">
        <v>79</v>
      </c>
      <c r="F387" t="s">
        <v>1274</v>
      </c>
      <c r="G387" t="s">
        <v>1574</v>
      </c>
      <c r="H387" t="n">
        <v>39.768284</v>
      </c>
      <c r="I387" t="n">
        <v>-104.976247</v>
      </c>
      <c r="J387" t="s">
        <v>35</v>
      </c>
      <c r="K387" t="s">
        <v>141</v>
      </c>
      <c r="L387"/>
      <c r="M387" t="n">
        <v>1970</v>
      </c>
      <c r="N387" t="n">
        <v>1980</v>
      </c>
      <c r="O387" t="s">
        <v>8257</v>
      </c>
      <c r="P387" t="n">
        <v>5</v>
      </c>
      <c r="Q387" t="n">
        <v>2</v>
      </c>
      <c r="R387" t="n">
        <v>2</v>
      </c>
      <c r="S387" t="n">
        <v>1964</v>
      </c>
      <c r="T387" t="s">
        <v>8258</v>
      </c>
      <c r="U387" t="s">
        <v>8259</v>
      </c>
      <c r="V387" t="s">
        <v>74</v>
      </c>
      <c r="W387" t="s">
        <v>8260</v>
      </c>
      <c r="X387" t="s">
        <v>8261</v>
      </c>
      <c r="Y387"/>
      <c r="Z387"/>
      <c r="AA387" t="s">
        <v>8262</v>
      </c>
      <c r="AB387" t="s">
        <v>1627</v>
      </c>
      <c r="AC387" t="n">
        <v>11</v>
      </c>
      <c r="AD387" t="s">
        <v>1591</v>
      </c>
      <c r="AE387" t="n">
        <v>66</v>
      </c>
      <c r="AF387" t="s">
        <v>8263</v>
      </c>
      <c r="AG387" t="n">
        <v>117</v>
      </c>
    </row>
    <row r="388">
      <c r="A388" t="s">
        <v>8264</v>
      </c>
      <c r="B388" t="s">
        <v>26</v>
      </c>
      <c r="C388" t="s">
        <v>65</v>
      </c>
      <c r="D388" t="s">
        <v>8265</v>
      </c>
      <c r="E388" t="s">
        <v>79</v>
      </c>
      <c r="F388" t="s">
        <v>1274</v>
      </c>
      <c r="G388" t="s">
        <v>1555</v>
      </c>
      <c r="H388" t="n">
        <v>39.7352334370087</v>
      </c>
      <c r="I388" t="n">
        <v>-105.012399389845</v>
      </c>
      <c r="J388" t="s">
        <v>35</v>
      </c>
      <c r="K388" t="s">
        <v>234</v>
      </c>
      <c r="L388"/>
      <c r="M388" t="n">
        <v>1970</v>
      </c>
      <c r="N388" t="n">
        <v>1992</v>
      </c>
      <c r="O388" t="s">
        <v>8266</v>
      </c>
      <c r="P388" t="n">
        <v>7</v>
      </c>
      <c r="Q388" t="n">
        <v>5</v>
      </c>
      <c r="R388" t="n">
        <v>5</v>
      </c>
      <c r="S388" t="n">
        <v>1947</v>
      </c>
      <c r="T388" t="s">
        <v>8267</v>
      </c>
      <c r="U388" t="s">
        <v>8268</v>
      </c>
      <c r="V388" t="s">
        <v>74</v>
      </c>
      <c r="W388" t="s">
        <v>6540</v>
      </c>
      <c r="X388" t="s">
        <v>8269</v>
      </c>
      <c r="Y388" t="s">
        <v>8270</v>
      </c>
      <c r="Z388"/>
      <c r="AA388"/>
      <c r="AB388" t="s">
        <v>8271</v>
      </c>
      <c r="AC388" t="n">
        <v>134</v>
      </c>
      <c r="AD388" t="s">
        <v>6971</v>
      </c>
      <c r="AE388" t="n">
        <v>109</v>
      </c>
      <c r="AF388" t="s">
        <v>8272</v>
      </c>
      <c r="AG388" t="n">
        <v>57</v>
      </c>
    </row>
    <row r="389">
      <c r="A389" t="s">
        <v>8273</v>
      </c>
      <c r="B389" t="s">
        <v>26</v>
      </c>
      <c r="C389" t="s">
        <v>65</v>
      </c>
      <c r="D389" t="s">
        <v>8274</v>
      </c>
      <c r="E389" t="s">
        <v>79</v>
      </c>
      <c r="F389" t="s">
        <v>1274</v>
      </c>
      <c r="G389" t="s">
        <v>1653</v>
      </c>
      <c r="H389" t="n">
        <v>39.775464</v>
      </c>
      <c r="I389" t="n">
        <v>-104.992315</v>
      </c>
      <c r="J389" t="s">
        <v>35</v>
      </c>
      <c r="K389" t="s">
        <v>70</v>
      </c>
      <c r="L389"/>
      <c r="M389" t="n">
        <v>1970</v>
      </c>
      <c r="N389" t="n">
        <v>1992</v>
      </c>
      <c r="O389" t="s">
        <v>8275</v>
      </c>
      <c r="P389" t="n">
        <v>6</v>
      </c>
      <c r="Q389" t="n">
        <v>2</v>
      </c>
      <c r="R389" t="n">
        <v>2</v>
      </c>
      <c r="S389" t="n">
        <v>1939</v>
      </c>
      <c r="T389" t="s">
        <v>8276</v>
      </c>
      <c r="U389" t="s">
        <v>8277</v>
      </c>
      <c r="V389" t="s">
        <v>74</v>
      </c>
      <c r="W389" t="s">
        <v>6610</v>
      </c>
      <c r="X389"/>
      <c r="Y389"/>
      <c r="Z389"/>
      <c r="AA389"/>
      <c r="AB389" t="s">
        <v>6612</v>
      </c>
      <c r="AC389" t="n">
        <v>175</v>
      </c>
      <c r="AD389"/>
      <c r="AE389"/>
      <c r="AF389" t="s">
        <v>7603</v>
      </c>
      <c r="AG389" t="n">
        <v>124</v>
      </c>
    </row>
    <row r="390">
      <c r="A390" t="s">
        <v>8278</v>
      </c>
      <c r="B390" t="s">
        <v>26</v>
      </c>
      <c r="C390" t="s">
        <v>24</v>
      </c>
      <c r="D390" t="s">
        <v>8279</v>
      </c>
      <c r="E390" t="s">
        <v>79</v>
      </c>
      <c r="F390" t="s">
        <v>1274</v>
      </c>
      <c r="G390" t="s">
        <v>1516</v>
      </c>
      <c r="H390" t="n">
        <v>39.685767</v>
      </c>
      <c r="I390" t="n">
        <v>-104.989901</v>
      </c>
      <c r="J390" t="s">
        <v>4109</v>
      </c>
      <c r="K390" t="s">
        <v>120</v>
      </c>
      <c r="L390"/>
      <c r="M390" t="n">
        <v>1970</v>
      </c>
      <c r="N390" t="n">
        <v>1970</v>
      </c>
      <c r="O390" t="s">
        <v>726</v>
      </c>
      <c r="P390" t="n">
        <v>1</v>
      </c>
      <c r="Q390" t="n">
        <v>1</v>
      </c>
      <c r="R390" t="n">
        <v>1</v>
      </c>
      <c r="S390" t="n">
        <v>1963</v>
      </c>
      <c r="T390" t="s">
        <v>8280</v>
      </c>
      <c r="U390" t="s">
        <v>8281</v>
      </c>
      <c r="V390" t="s">
        <v>74</v>
      </c>
      <c r="W390" t="s">
        <v>6540</v>
      </c>
      <c r="X390" t="s">
        <v>8282</v>
      </c>
      <c r="Y390" t="s">
        <v>8283</v>
      </c>
      <c r="Z390" t="s">
        <v>8284</v>
      </c>
      <c r="AA390" t="s">
        <v>8285</v>
      </c>
      <c r="AB390"/>
      <c r="AC390"/>
      <c r="AD390" t="s">
        <v>8286</v>
      </c>
      <c r="AE390" t="n">
        <v>33</v>
      </c>
      <c r="AF390" t="s">
        <v>8287</v>
      </c>
      <c r="AG390" t="n">
        <v>32</v>
      </c>
    </row>
    <row r="391">
      <c r="A391" t="s">
        <v>8288</v>
      </c>
      <c r="B391" t="s">
        <v>26</v>
      </c>
      <c r="C391" t="s">
        <v>65</v>
      </c>
      <c r="D391" t="s">
        <v>8289</v>
      </c>
      <c r="E391" t="s">
        <v>79</v>
      </c>
      <c r="F391" t="s">
        <v>1274</v>
      </c>
      <c r="G391" t="s">
        <v>1881</v>
      </c>
      <c r="H391" t="n">
        <v>39.7728208703439</v>
      </c>
      <c r="I391" t="n">
        <v>-104.895409968202</v>
      </c>
      <c r="J391" t="s">
        <v>35</v>
      </c>
      <c r="K391" t="s">
        <v>901</v>
      </c>
      <c r="L391" t="s">
        <v>554</v>
      </c>
      <c r="M391" t="n">
        <v>1970</v>
      </c>
      <c r="N391" t="n">
        <v>1992</v>
      </c>
      <c r="O391" t="s">
        <v>320</v>
      </c>
      <c r="P391" t="n">
        <v>7</v>
      </c>
      <c r="Q391" t="n">
        <v>6</v>
      </c>
      <c r="R391" t="n">
        <v>1</v>
      </c>
      <c r="S391" t="n">
        <v>1890</v>
      </c>
      <c r="T391" t="s">
        <v>8290</v>
      </c>
      <c r="U391" t="s">
        <v>8291</v>
      </c>
      <c r="V391" t="s">
        <v>74</v>
      </c>
      <c r="W391" t="s">
        <v>8292</v>
      </c>
      <c r="X391"/>
      <c r="Y391" t="s">
        <v>8293</v>
      </c>
      <c r="Z391"/>
      <c r="AA391"/>
      <c r="AB391" t="s">
        <v>8294</v>
      </c>
      <c r="AC391" t="n">
        <v>59</v>
      </c>
      <c r="AD391" t="s">
        <v>8295</v>
      </c>
      <c r="AE391" t="n">
        <v>206</v>
      </c>
      <c r="AF391" t="s">
        <v>8296</v>
      </c>
      <c r="AG391" t="n">
        <v>5</v>
      </c>
    </row>
    <row r="392">
      <c r="A392" t="s">
        <v>8297</v>
      </c>
      <c r="B392" t="s">
        <v>26</v>
      </c>
      <c r="C392" t="s">
        <v>65</v>
      </c>
      <c r="D392" t="s">
        <v>8298</v>
      </c>
      <c r="E392" t="s">
        <v>79</v>
      </c>
      <c r="F392" t="s">
        <v>1274</v>
      </c>
      <c r="G392" t="s">
        <v>1653</v>
      </c>
      <c r="H392" t="n">
        <v>39.788501065089</v>
      </c>
      <c r="I392" t="n">
        <v>-104.988692157562</v>
      </c>
      <c r="J392" t="s">
        <v>35</v>
      </c>
      <c r="K392" t="s">
        <v>111</v>
      </c>
      <c r="L392"/>
      <c r="M392" t="n">
        <v>1970</v>
      </c>
      <c r="N392" t="n">
        <v>1988</v>
      </c>
      <c r="O392" t="s">
        <v>8299</v>
      </c>
      <c r="P392" t="n">
        <v>5</v>
      </c>
      <c r="Q392" t="n">
        <v>4</v>
      </c>
      <c r="R392" t="n">
        <v>4</v>
      </c>
      <c r="S392" t="n">
        <v>1955</v>
      </c>
      <c r="T392" t="s">
        <v>8300</v>
      </c>
      <c r="U392" t="s">
        <v>8301</v>
      </c>
      <c r="V392" t="s">
        <v>74</v>
      </c>
      <c r="W392" t="s">
        <v>6578</v>
      </c>
      <c r="X392"/>
      <c r="Y392"/>
      <c r="Z392"/>
      <c r="AA392"/>
      <c r="AB392" t="s">
        <v>7058</v>
      </c>
      <c r="AC392" t="n">
        <v>128</v>
      </c>
      <c r="AD392"/>
      <c r="AE392"/>
      <c r="AF392" t="s">
        <v>7123</v>
      </c>
      <c r="AG392" t="n">
        <v>109</v>
      </c>
    </row>
    <row r="393">
      <c r="A393" t="s">
        <v>8302</v>
      </c>
      <c r="B393" t="s">
        <v>26</v>
      </c>
      <c r="C393" t="s">
        <v>65</v>
      </c>
      <c r="D393" t="s">
        <v>8303</v>
      </c>
      <c r="E393" t="s">
        <v>79</v>
      </c>
      <c r="F393" t="s">
        <v>1274</v>
      </c>
      <c r="G393" t="s">
        <v>1574</v>
      </c>
      <c r="H393" t="n">
        <v>39.7633542984706</v>
      </c>
      <c r="I393" t="n">
        <v>-104.980871955623</v>
      </c>
      <c r="J393" t="s">
        <v>35</v>
      </c>
      <c r="K393" t="s">
        <v>89</v>
      </c>
      <c r="L393"/>
      <c r="M393" t="n">
        <v>1970</v>
      </c>
      <c r="N393" t="n">
        <v>1988</v>
      </c>
      <c r="O393" t="s">
        <v>8304</v>
      </c>
      <c r="P393" t="n">
        <v>5</v>
      </c>
      <c r="Q393" t="n">
        <v>1</v>
      </c>
      <c r="R393" t="n">
        <v>1</v>
      </c>
      <c r="S393" t="n">
        <v>1965</v>
      </c>
      <c r="T393" t="s">
        <v>8305</v>
      </c>
      <c r="U393" t="s">
        <v>8306</v>
      </c>
      <c r="V393" t="s">
        <v>74</v>
      </c>
      <c r="W393" t="s">
        <v>8307</v>
      </c>
      <c r="X393"/>
      <c r="Y393" t="s">
        <v>8308</v>
      </c>
      <c r="Z393"/>
      <c r="AA393" t="s">
        <v>8309</v>
      </c>
      <c r="AB393" t="s">
        <v>1711</v>
      </c>
      <c r="AC393" t="n">
        <v>15</v>
      </c>
      <c r="AD393" t="s">
        <v>6898</v>
      </c>
      <c r="AE393" t="n">
        <v>107</v>
      </c>
      <c r="AF393" t="s">
        <v>1713</v>
      </c>
      <c r="AG393" t="n">
        <v>42</v>
      </c>
    </row>
    <row r="394">
      <c r="A394" t="s">
        <v>8310</v>
      </c>
      <c r="B394" t="s">
        <v>26</v>
      </c>
      <c r="C394" t="s">
        <v>65</v>
      </c>
      <c r="D394" t="s">
        <v>8311</v>
      </c>
      <c r="E394" t="s">
        <v>79</v>
      </c>
      <c r="F394" t="s">
        <v>1274</v>
      </c>
      <c r="G394" t="s">
        <v>1653</v>
      </c>
      <c r="H394" t="n">
        <v>39.8048487489235</v>
      </c>
      <c r="I394" t="n">
        <v>-104.987474790299</v>
      </c>
      <c r="J394" t="s">
        <v>35</v>
      </c>
      <c r="K394" t="s">
        <v>133</v>
      </c>
      <c r="L394"/>
      <c r="M394" t="n">
        <v>1973</v>
      </c>
      <c r="N394" t="n">
        <v>1983</v>
      </c>
      <c r="O394" t="s">
        <v>264</v>
      </c>
      <c r="P394" t="n">
        <v>4</v>
      </c>
      <c r="Q394" t="n">
        <v>1</v>
      </c>
      <c r="R394" t="n">
        <v>1</v>
      </c>
      <c r="S394" t="n">
        <v>1963</v>
      </c>
      <c r="T394" t="s">
        <v>8312</v>
      </c>
      <c r="U394" t="s">
        <v>8313</v>
      </c>
      <c r="V394" t="s">
        <v>74</v>
      </c>
      <c r="W394" t="s">
        <v>8314</v>
      </c>
      <c r="X394" t="s">
        <v>8315</v>
      </c>
      <c r="Y394" t="s">
        <v>8316</v>
      </c>
      <c r="Z394"/>
      <c r="AA394" t="s">
        <v>8317</v>
      </c>
      <c r="AB394" t="s">
        <v>8318</v>
      </c>
      <c r="AC394" t="n">
        <v>15</v>
      </c>
      <c r="AD394" t="s">
        <v>8319</v>
      </c>
      <c r="AE394" t="n">
        <v>37</v>
      </c>
      <c r="AF394" t="s">
        <v>8320</v>
      </c>
      <c r="AG394" t="n">
        <v>15</v>
      </c>
    </row>
    <row r="395">
      <c r="A395" t="s">
        <v>8321</v>
      </c>
      <c r="B395" t="s">
        <v>26</v>
      </c>
      <c r="C395" t="s">
        <v>24</v>
      </c>
      <c r="D395" t="s">
        <v>8322</v>
      </c>
      <c r="E395" t="s">
        <v>79</v>
      </c>
      <c r="F395" t="s">
        <v>1274</v>
      </c>
      <c r="G395" t="s">
        <v>1653</v>
      </c>
      <c r="H395" t="n">
        <v>39.8055164</v>
      </c>
      <c r="I395" t="n">
        <v>-104.987473</v>
      </c>
      <c r="J395" t="s">
        <v>4109</v>
      </c>
      <c r="K395" t="s">
        <v>120</v>
      </c>
      <c r="L395"/>
      <c r="M395" t="n">
        <v>1973</v>
      </c>
      <c r="N395" t="n">
        <v>1977</v>
      </c>
      <c r="O395" t="s">
        <v>127</v>
      </c>
      <c r="P395" t="n">
        <v>3</v>
      </c>
      <c r="Q395" t="n">
        <v>3</v>
      </c>
      <c r="R395" t="n">
        <v>2</v>
      </c>
      <c r="S395" t="n">
        <v>1956</v>
      </c>
      <c r="T395" t="s">
        <v>8323</v>
      </c>
      <c r="U395" t="s">
        <v>8324</v>
      </c>
      <c r="V395" t="s">
        <v>74</v>
      </c>
      <c r="W395" t="s">
        <v>8325</v>
      </c>
      <c r="X395" t="s">
        <v>8326</v>
      </c>
      <c r="Y395" t="s">
        <v>8327</v>
      </c>
      <c r="Z395"/>
      <c r="AA395" t="s">
        <v>8328</v>
      </c>
      <c r="AB395" t="s">
        <v>8318</v>
      </c>
      <c r="AC395" t="n">
        <v>84</v>
      </c>
      <c r="AD395" t="s">
        <v>8319</v>
      </c>
      <c r="AE395" t="n">
        <v>111</v>
      </c>
      <c r="AF395" t="s">
        <v>8320</v>
      </c>
      <c r="AG395" t="n">
        <v>89</v>
      </c>
    </row>
    <row r="396">
      <c r="A396" t="s">
        <v>8329</v>
      </c>
      <c r="B396" t="s">
        <v>26</v>
      </c>
      <c r="C396" t="s">
        <v>65</v>
      </c>
      <c r="D396" t="s">
        <v>8330</v>
      </c>
      <c r="E396" t="s">
        <v>79</v>
      </c>
      <c r="F396" t="s">
        <v>1274</v>
      </c>
      <c r="G396" t="s">
        <v>1653</v>
      </c>
      <c r="H396" t="n">
        <v>39.791035</v>
      </c>
      <c r="I396" t="n">
        <v>-104.989088</v>
      </c>
      <c r="J396" t="s">
        <v>35</v>
      </c>
      <c r="K396" t="s">
        <v>282</v>
      </c>
      <c r="L396"/>
      <c r="M396" t="n">
        <v>1973</v>
      </c>
      <c r="N396" t="n">
        <v>1990</v>
      </c>
      <c r="O396" t="s">
        <v>8331</v>
      </c>
      <c r="P396" t="n">
        <v>4</v>
      </c>
      <c r="Q396" t="n">
        <v>3</v>
      </c>
      <c r="R396" t="n">
        <v>3</v>
      </c>
      <c r="S396" t="n">
        <v>1965</v>
      </c>
      <c r="T396" t="s">
        <v>8332</v>
      </c>
      <c r="U396" t="s">
        <v>8333</v>
      </c>
      <c r="V396" t="s">
        <v>74</v>
      </c>
      <c r="W396" t="s">
        <v>6610</v>
      </c>
      <c r="X396" t="s">
        <v>8334</v>
      </c>
      <c r="Y396"/>
      <c r="Z396"/>
      <c r="AA396" t="s">
        <v>8335</v>
      </c>
      <c r="AB396" t="s">
        <v>8336</v>
      </c>
      <c r="AC396" t="n">
        <v>139</v>
      </c>
      <c r="AD396" t="s">
        <v>8337</v>
      </c>
      <c r="AE396" t="n">
        <v>42</v>
      </c>
      <c r="AF396" t="s">
        <v>8338</v>
      </c>
      <c r="AG396" t="n">
        <v>132</v>
      </c>
    </row>
    <row r="397">
      <c r="A397" t="s">
        <v>8339</v>
      </c>
      <c r="B397" t="s">
        <v>26</v>
      </c>
      <c r="C397" t="s">
        <v>65</v>
      </c>
      <c r="D397" t="s">
        <v>8340</v>
      </c>
      <c r="E397" t="s">
        <v>79</v>
      </c>
      <c r="F397" t="s">
        <v>1274</v>
      </c>
      <c r="G397" t="s">
        <v>8341</v>
      </c>
      <c r="H397" t="n">
        <v>39.7595727055159</v>
      </c>
      <c r="I397" t="n">
        <v>-104.997148635136</v>
      </c>
      <c r="J397" t="s">
        <v>35</v>
      </c>
      <c r="K397" t="s">
        <v>201</v>
      </c>
      <c r="L397"/>
      <c r="M397" t="n">
        <v>1973</v>
      </c>
      <c r="N397" t="n">
        <v>1990</v>
      </c>
      <c r="O397" t="s">
        <v>1818</v>
      </c>
      <c r="P397" t="n">
        <v>7</v>
      </c>
      <c r="Q397" t="n">
        <v>9</v>
      </c>
      <c r="R397" t="n">
        <v>1</v>
      </c>
      <c r="S397" t="n">
        <v>1935</v>
      </c>
      <c r="T397" t="s">
        <v>8342</v>
      </c>
      <c r="U397" t="s">
        <v>8343</v>
      </c>
      <c r="V397" t="s">
        <v>74</v>
      </c>
      <c r="W397" t="s">
        <v>8344</v>
      </c>
      <c r="X397"/>
      <c r="Y397" t="s">
        <v>8345</v>
      </c>
      <c r="Z397"/>
      <c r="AA397"/>
      <c r="AB397" t="s">
        <v>8346</v>
      </c>
      <c r="AC397" t="n">
        <v>13</v>
      </c>
      <c r="AD397"/>
      <c r="AE397"/>
      <c r="AF397" t="s">
        <v>8347</v>
      </c>
      <c r="AG397" t="n">
        <v>10</v>
      </c>
    </row>
    <row r="398">
      <c r="A398" t="s">
        <v>8348</v>
      </c>
      <c r="B398" t="s">
        <v>26</v>
      </c>
      <c r="C398" t="s">
        <v>65</v>
      </c>
      <c r="D398" t="s">
        <v>8349</v>
      </c>
      <c r="E398" t="s">
        <v>79</v>
      </c>
      <c r="F398" t="s">
        <v>1274</v>
      </c>
      <c r="G398" t="s">
        <v>1574</v>
      </c>
      <c r="H398" t="n">
        <v>39.7720780325429</v>
      </c>
      <c r="I398" t="n">
        <v>-104.965934936833</v>
      </c>
      <c r="J398" t="s">
        <v>35</v>
      </c>
      <c r="K398" t="s">
        <v>1041</v>
      </c>
      <c r="L398"/>
      <c r="M398" t="n">
        <v>1973</v>
      </c>
      <c r="N398" t="n">
        <v>1990</v>
      </c>
      <c r="O398" t="s">
        <v>8350</v>
      </c>
      <c r="P398" t="n">
        <v>6</v>
      </c>
      <c r="Q398" t="n">
        <v>3</v>
      </c>
      <c r="R398" t="n">
        <v>1</v>
      </c>
      <c r="S398" t="n">
        <v>1950</v>
      </c>
      <c r="T398" t="s">
        <v>8351</v>
      </c>
      <c r="U398" t="s">
        <v>8352</v>
      </c>
      <c r="V398" t="s">
        <v>74</v>
      </c>
      <c r="W398" t="s">
        <v>6610</v>
      </c>
      <c r="X398"/>
      <c r="Y398" t="s">
        <v>8353</v>
      </c>
      <c r="Z398"/>
      <c r="AA398" t="s">
        <v>8354</v>
      </c>
      <c r="AB398"/>
      <c r="AC398"/>
      <c r="AD398"/>
      <c r="AE398"/>
      <c r="AF398" t="s">
        <v>8355</v>
      </c>
      <c r="AG398" t="n">
        <v>21</v>
      </c>
    </row>
    <row r="399">
      <c r="A399" t="s">
        <v>8356</v>
      </c>
      <c r="B399" t="s">
        <v>26</v>
      </c>
      <c r="C399" t="s">
        <v>65</v>
      </c>
      <c r="D399" t="s">
        <v>8357</v>
      </c>
      <c r="E399" t="s">
        <v>79</v>
      </c>
      <c r="F399" t="s">
        <v>1274</v>
      </c>
      <c r="G399" t="s">
        <v>1555</v>
      </c>
      <c r="H399" t="n">
        <v>39.7405535584921</v>
      </c>
      <c r="I399" t="n">
        <v>-105.019425913443</v>
      </c>
      <c r="J399" t="s">
        <v>35</v>
      </c>
      <c r="K399" t="s">
        <v>70</v>
      </c>
      <c r="L399"/>
      <c r="M399" t="n">
        <v>1973</v>
      </c>
      <c r="N399" t="n">
        <v>1973</v>
      </c>
      <c r="O399" t="s">
        <v>121</v>
      </c>
      <c r="P399" t="n">
        <v>1</v>
      </c>
      <c r="Q399" t="n">
        <v>1</v>
      </c>
      <c r="R399" t="n">
        <v>1</v>
      </c>
      <c r="S399" t="n">
        <v>1959</v>
      </c>
      <c r="T399" t="s">
        <v>8358</v>
      </c>
      <c r="U399" t="s">
        <v>8359</v>
      </c>
      <c r="V399" t="s">
        <v>74</v>
      </c>
      <c r="W399" t="s">
        <v>8360</v>
      </c>
      <c r="X399"/>
      <c r="Y399"/>
      <c r="Z399"/>
      <c r="AA399"/>
      <c r="AB399" t="s">
        <v>8361</v>
      </c>
      <c r="AC399" t="n">
        <v>75</v>
      </c>
      <c r="AD399"/>
      <c r="AE399"/>
      <c r="AF399" t="s">
        <v>6717</v>
      </c>
      <c r="AG399" t="n">
        <v>97</v>
      </c>
    </row>
    <row r="400">
      <c r="A400" t="s">
        <v>8362</v>
      </c>
      <c r="B400" t="s">
        <v>26</v>
      </c>
      <c r="C400" t="s">
        <v>65</v>
      </c>
      <c r="D400" t="s">
        <v>8363</v>
      </c>
      <c r="E400" t="s">
        <v>79</v>
      </c>
      <c r="F400" t="s">
        <v>1274</v>
      </c>
      <c r="G400" t="s">
        <v>1653</v>
      </c>
      <c r="H400" t="n">
        <v>39.78556</v>
      </c>
      <c r="I400" t="n">
        <v>-104.977141</v>
      </c>
      <c r="J400" t="s">
        <v>35</v>
      </c>
      <c r="K400" t="s">
        <v>70</v>
      </c>
      <c r="L400"/>
      <c r="M400" t="n">
        <v>1973</v>
      </c>
      <c r="N400" t="n">
        <v>1992</v>
      </c>
      <c r="O400" t="s">
        <v>325</v>
      </c>
      <c r="P400" t="n">
        <v>7</v>
      </c>
      <c r="Q400" t="n">
        <v>4</v>
      </c>
      <c r="R400" t="n">
        <v>1</v>
      </c>
      <c r="S400" t="n">
        <v>1968</v>
      </c>
      <c r="T400" t="s">
        <v>8364</v>
      </c>
      <c r="U400" t="s">
        <v>8365</v>
      </c>
      <c r="V400" t="s">
        <v>74</v>
      </c>
      <c r="W400" t="s">
        <v>6610</v>
      </c>
      <c r="X400"/>
      <c r="Y400"/>
      <c r="Z400"/>
      <c r="AA400" t="s">
        <v>8366</v>
      </c>
      <c r="AB400"/>
      <c r="AC400"/>
      <c r="AD400" t="s">
        <v>6761</v>
      </c>
      <c r="AE400" t="n">
        <v>205</v>
      </c>
      <c r="AF400" t="s">
        <v>6762</v>
      </c>
      <c r="AG400" t="n">
        <v>115</v>
      </c>
    </row>
    <row r="401">
      <c r="A401" t="s">
        <v>8367</v>
      </c>
      <c r="B401" t="s">
        <v>26</v>
      </c>
      <c r="C401" t="s">
        <v>65</v>
      </c>
      <c r="D401" t="s">
        <v>8368</v>
      </c>
      <c r="E401" t="s">
        <v>79</v>
      </c>
      <c r="F401" t="s">
        <v>1274</v>
      </c>
      <c r="G401" t="s">
        <v>1653</v>
      </c>
      <c r="H401" t="n">
        <v>39.7759078493683</v>
      </c>
      <c r="I401" t="n">
        <v>-104.955299948578</v>
      </c>
      <c r="J401" t="s">
        <v>35</v>
      </c>
      <c r="K401" t="s">
        <v>89</v>
      </c>
      <c r="L401"/>
      <c r="M401" t="n">
        <v>1973</v>
      </c>
      <c r="N401" t="n">
        <v>1980</v>
      </c>
      <c r="O401" t="s">
        <v>121</v>
      </c>
      <c r="P401" t="n">
        <v>4</v>
      </c>
      <c r="Q401" t="n">
        <v>2</v>
      </c>
      <c r="R401" t="n">
        <v>1</v>
      </c>
      <c r="S401" t="n">
        <v>1963</v>
      </c>
      <c r="T401" t="s">
        <v>8369</v>
      </c>
      <c r="U401" t="s">
        <v>8370</v>
      </c>
      <c r="V401" t="s">
        <v>74</v>
      </c>
      <c r="W401" t="s">
        <v>6610</v>
      </c>
      <c r="X401"/>
      <c r="Y401"/>
      <c r="Z401"/>
      <c r="AA401"/>
      <c r="AB401" t="s">
        <v>8371</v>
      </c>
      <c r="AC401" t="n">
        <v>228</v>
      </c>
      <c r="AD401"/>
      <c r="AE401"/>
      <c r="AF401" t="s">
        <v>8372</v>
      </c>
      <c r="AG401" t="n">
        <v>57</v>
      </c>
    </row>
    <row r="402">
      <c r="A402" t="s">
        <v>8373</v>
      </c>
      <c r="B402" t="s">
        <v>26</v>
      </c>
      <c r="C402" t="s">
        <v>65</v>
      </c>
      <c r="D402" t="s">
        <v>8374</v>
      </c>
      <c r="E402" t="s">
        <v>79</v>
      </c>
      <c r="F402" t="s">
        <v>1274</v>
      </c>
      <c r="G402" t="s">
        <v>1653</v>
      </c>
      <c r="H402" t="n">
        <v>39.7778771084979</v>
      </c>
      <c r="I402" t="n">
        <v>-104.962416946511</v>
      </c>
      <c r="J402" t="s">
        <v>35</v>
      </c>
      <c r="K402" t="s">
        <v>126</v>
      </c>
      <c r="L402"/>
      <c r="M402" t="n">
        <v>1973</v>
      </c>
      <c r="N402" t="n">
        <v>1983</v>
      </c>
      <c r="O402" t="s">
        <v>3860</v>
      </c>
      <c r="P402" t="n">
        <v>4</v>
      </c>
      <c r="Q402" t="n">
        <v>2</v>
      </c>
      <c r="R402" t="n">
        <v>2</v>
      </c>
      <c r="S402" t="n">
        <v>1960</v>
      </c>
      <c r="T402" t="s">
        <v>8375</v>
      </c>
      <c r="U402" t="s">
        <v>8376</v>
      </c>
      <c r="V402" t="s">
        <v>74</v>
      </c>
      <c r="W402" t="s">
        <v>6610</v>
      </c>
      <c r="X402"/>
      <c r="Y402"/>
      <c r="Z402"/>
      <c r="AA402"/>
      <c r="AB402" t="s">
        <v>7006</v>
      </c>
      <c r="AC402" t="n">
        <v>176</v>
      </c>
      <c r="AD402"/>
      <c r="AE402"/>
      <c r="AF402" t="s">
        <v>7528</v>
      </c>
      <c r="AG402" t="n">
        <v>177</v>
      </c>
    </row>
    <row r="403">
      <c r="A403" t="s">
        <v>8377</v>
      </c>
      <c r="B403" t="s">
        <v>26</v>
      </c>
      <c r="C403" t="s">
        <v>65</v>
      </c>
      <c r="D403" t="s">
        <v>8378</v>
      </c>
      <c r="E403" t="s">
        <v>79</v>
      </c>
      <c r="F403" t="s">
        <v>1274</v>
      </c>
      <c r="G403" t="s">
        <v>1555</v>
      </c>
      <c r="H403" t="n">
        <v>39.7241776215275</v>
      </c>
      <c r="I403" t="n">
        <v>-105.001709874014</v>
      </c>
      <c r="J403" t="s">
        <v>35</v>
      </c>
      <c r="K403" t="s">
        <v>1282</v>
      </c>
      <c r="L403"/>
      <c r="M403" t="n">
        <v>1973</v>
      </c>
      <c r="N403" t="n">
        <v>1990</v>
      </c>
      <c r="O403" t="s">
        <v>5279</v>
      </c>
      <c r="P403" t="n">
        <v>5</v>
      </c>
      <c r="Q403" t="n">
        <v>4</v>
      </c>
      <c r="R403" t="n">
        <v>1</v>
      </c>
      <c r="S403" t="n">
        <v>1953</v>
      </c>
      <c r="T403" t="s">
        <v>8379</v>
      </c>
      <c r="U403" t="s">
        <v>8380</v>
      </c>
      <c r="V403" t="s">
        <v>74</v>
      </c>
      <c r="W403" t="s">
        <v>8381</v>
      </c>
      <c r="X403" t="s">
        <v>8382</v>
      </c>
      <c r="Y403" t="s">
        <v>8383</v>
      </c>
      <c r="Z403"/>
      <c r="AA403" t="s">
        <v>8384</v>
      </c>
      <c r="AB403" t="s">
        <v>8385</v>
      </c>
      <c r="AC403" t="n">
        <v>14</v>
      </c>
      <c r="AD403" t="s">
        <v>2076</v>
      </c>
      <c r="AE403" t="n">
        <v>28</v>
      </c>
      <c r="AF403" t="s">
        <v>8386</v>
      </c>
      <c r="AG403" t="n">
        <v>43</v>
      </c>
    </row>
    <row r="404">
      <c r="A404" t="s">
        <v>8387</v>
      </c>
      <c r="B404" t="s">
        <v>26</v>
      </c>
      <c r="C404" t="s">
        <v>65</v>
      </c>
      <c r="D404" t="s">
        <v>8388</v>
      </c>
      <c r="E404" t="s">
        <v>79</v>
      </c>
      <c r="F404" t="s">
        <v>1274</v>
      </c>
      <c r="G404" t="s">
        <v>1516</v>
      </c>
      <c r="H404" t="n">
        <v>39.681878350496</v>
      </c>
      <c r="I404" t="n">
        <v>-104.991106674399</v>
      </c>
      <c r="J404" t="s">
        <v>35</v>
      </c>
      <c r="K404" t="s">
        <v>120</v>
      </c>
      <c r="L404"/>
      <c r="M404" t="n">
        <v>1973</v>
      </c>
      <c r="N404" t="n">
        <v>1992</v>
      </c>
      <c r="O404" t="s">
        <v>8389</v>
      </c>
      <c r="P404" t="n">
        <v>7</v>
      </c>
      <c r="Q404" t="n">
        <v>4</v>
      </c>
      <c r="R404" t="n">
        <v>1</v>
      </c>
      <c r="S404" t="n">
        <v>1966</v>
      </c>
      <c r="T404" t="s">
        <v>8390</v>
      </c>
      <c r="U404" t="s">
        <v>8391</v>
      </c>
      <c r="V404" t="s">
        <v>74</v>
      </c>
      <c r="W404" t="s">
        <v>6540</v>
      </c>
      <c r="X404"/>
      <c r="Y404"/>
      <c r="Z404"/>
      <c r="AA404" t="s">
        <v>8392</v>
      </c>
      <c r="AB404" t="s">
        <v>7581</v>
      </c>
      <c r="AC404" t="n">
        <v>163</v>
      </c>
      <c r="AD404" t="s">
        <v>7582</v>
      </c>
      <c r="AE404" t="n">
        <v>168</v>
      </c>
      <c r="AF404" t="s">
        <v>8393</v>
      </c>
      <c r="AG404" t="n">
        <v>88</v>
      </c>
    </row>
    <row r="405">
      <c r="A405" t="s">
        <v>8394</v>
      </c>
      <c r="B405" t="s">
        <v>26</v>
      </c>
      <c r="C405" t="s">
        <v>65</v>
      </c>
      <c r="D405" t="s">
        <v>8395</v>
      </c>
      <c r="E405" t="s">
        <v>79</v>
      </c>
      <c r="F405" t="s">
        <v>1274</v>
      </c>
      <c r="G405" t="s">
        <v>1516</v>
      </c>
      <c r="H405" t="n">
        <v>39.6708611460291</v>
      </c>
      <c r="I405" t="n">
        <v>-104.992271010204</v>
      </c>
      <c r="J405" t="s">
        <v>35</v>
      </c>
      <c r="K405" t="s">
        <v>3960</v>
      </c>
      <c r="L405" t="s">
        <v>2476</v>
      </c>
      <c r="M405" t="n">
        <v>1973</v>
      </c>
      <c r="N405" t="n">
        <v>1992</v>
      </c>
      <c r="O405" t="s">
        <v>3881</v>
      </c>
      <c r="P405" t="n">
        <v>6</v>
      </c>
      <c r="Q405" t="n">
        <v>5</v>
      </c>
      <c r="R405" t="n">
        <v>2</v>
      </c>
      <c r="S405" t="n">
        <v>1956</v>
      </c>
      <c r="T405" t="s">
        <v>8396</v>
      </c>
      <c r="U405" t="s">
        <v>8397</v>
      </c>
      <c r="V405" t="s">
        <v>74</v>
      </c>
      <c r="W405" t="s">
        <v>8398</v>
      </c>
      <c r="X405" t="s">
        <v>8399</v>
      </c>
      <c r="Y405" t="s">
        <v>8400</v>
      </c>
      <c r="Z405"/>
      <c r="AA405" t="s">
        <v>8401</v>
      </c>
      <c r="AB405" t="s">
        <v>8402</v>
      </c>
      <c r="AC405" t="n">
        <v>103</v>
      </c>
      <c r="AD405" t="s">
        <v>1664</v>
      </c>
      <c r="AE405" t="n">
        <v>116</v>
      </c>
      <c r="AF405" t="s">
        <v>8403</v>
      </c>
      <c r="AG405" t="n">
        <v>12</v>
      </c>
    </row>
    <row r="406">
      <c r="A406" t="s">
        <v>8404</v>
      </c>
      <c r="B406" t="s">
        <v>26</v>
      </c>
      <c r="C406" t="s">
        <v>65</v>
      </c>
      <c r="D406" t="s">
        <v>8405</v>
      </c>
      <c r="E406" t="s">
        <v>79</v>
      </c>
      <c r="F406" t="s">
        <v>1274</v>
      </c>
      <c r="G406" t="s">
        <v>1653</v>
      </c>
      <c r="H406" t="n">
        <v>39.7909937195219</v>
      </c>
      <c r="I406" t="n">
        <v>-104.951204170122</v>
      </c>
      <c r="J406" t="s">
        <v>35</v>
      </c>
      <c r="K406" t="s">
        <v>1041</v>
      </c>
      <c r="L406" t="s">
        <v>202</v>
      </c>
      <c r="M406" t="n">
        <v>1973</v>
      </c>
      <c r="N406" t="n">
        <v>1980</v>
      </c>
      <c r="O406" t="s">
        <v>8406</v>
      </c>
      <c r="P406" t="n">
        <v>3</v>
      </c>
      <c r="Q406" t="n">
        <v>3</v>
      </c>
      <c r="R406" t="n">
        <v>2</v>
      </c>
      <c r="S406" t="n">
        <v>1960</v>
      </c>
      <c r="T406" t="s">
        <v>8407</v>
      </c>
      <c r="U406" t="s">
        <v>8408</v>
      </c>
      <c r="V406" t="s">
        <v>74</v>
      </c>
      <c r="W406" t="s">
        <v>6610</v>
      </c>
      <c r="X406"/>
      <c r="Y406" t="s">
        <v>8409</v>
      </c>
      <c r="Z406"/>
      <c r="AA406"/>
      <c r="AB406"/>
      <c r="AC406"/>
      <c r="AD406"/>
      <c r="AE406"/>
      <c r="AF406" t="s">
        <v>8410</v>
      </c>
      <c r="AG406" t="n">
        <v>12</v>
      </c>
    </row>
    <row r="407">
      <c r="A407" t="s">
        <v>8411</v>
      </c>
      <c r="B407" t="s">
        <v>26</v>
      </c>
      <c r="C407" t="s">
        <v>65</v>
      </c>
      <c r="D407" t="s">
        <v>8412</v>
      </c>
      <c r="E407" t="s">
        <v>79</v>
      </c>
      <c r="F407" t="s">
        <v>1274</v>
      </c>
      <c r="G407" t="s">
        <v>1653</v>
      </c>
      <c r="H407" t="n">
        <v>39.7768877130203</v>
      </c>
      <c r="I407" t="n">
        <v>-104.962427728948</v>
      </c>
      <c r="J407" t="s">
        <v>35</v>
      </c>
      <c r="K407" t="s">
        <v>70</v>
      </c>
      <c r="L407"/>
      <c r="M407" t="n">
        <v>1973</v>
      </c>
      <c r="N407" t="n">
        <v>1974</v>
      </c>
      <c r="O407" t="s">
        <v>127</v>
      </c>
      <c r="P407" t="n">
        <v>2</v>
      </c>
      <c r="Q407" t="n">
        <v>2</v>
      </c>
      <c r="R407" t="n">
        <v>2</v>
      </c>
      <c r="S407" t="n">
        <v>1969</v>
      </c>
      <c r="T407" t="s">
        <v>8413</v>
      </c>
      <c r="U407" t="s">
        <v>8414</v>
      </c>
      <c r="V407" t="s">
        <v>74</v>
      </c>
      <c r="W407" t="s">
        <v>6610</v>
      </c>
      <c r="X407"/>
      <c r="Y407"/>
      <c r="Z407"/>
      <c r="AA407" t="s">
        <v>8415</v>
      </c>
      <c r="AB407" t="s">
        <v>8115</v>
      </c>
      <c r="AC407" t="n">
        <v>99</v>
      </c>
      <c r="AD407"/>
      <c r="AE407"/>
      <c r="AF407" t="s">
        <v>7528</v>
      </c>
      <c r="AG407" t="n">
        <v>102</v>
      </c>
    </row>
    <row r="408">
      <c r="A408" t="s">
        <v>8416</v>
      </c>
      <c r="B408" t="s">
        <v>26</v>
      </c>
      <c r="C408" t="s">
        <v>24</v>
      </c>
      <c r="D408" t="s">
        <v>8417</v>
      </c>
      <c r="E408" t="s">
        <v>79</v>
      </c>
      <c r="F408" t="s">
        <v>1274</v>
      </c>
      <c r="G408" t="s">
        <v>1702</v>
      </c>
      <c r="H408" t="n">
        <v>39.7863729491525</v>
      </c>
      <c r="I408" t="n">
        <v>-104.865772033898</v>
      </c>
      <c r="J408" t="s">
        <v>4109</v>
      </c>
      <c r="K408" t="s">
        <v>89</v>
      </c>
      <c r="L408"/>
      <c r="M408" t="n">
        <v>1973</v>
      </c>
      <c r="N408" t="n">
        <v>1990</v>
      </c>
      <c r="O408" t="s">
        <v>8418</v>
      </c>
      <c r="P408" t="n">
        <v>4</v>
      </c>
      <c r="Q408" t="n">
        <v>1</v>
      </c>
      <c r="R408" t="n">
        <v>1</v>
      </c>
      <c r="S408" t="n">
        <v>1951</v>
      </c>
      <c r="T408" t="s">
        <v>8419</v>
      </c>
      <c r="U408" t="s">
        <v>8420</v>
      </c>
      <c r="V408" t="s">
        <v>74</v>
      </c>
      <c r="W408" t="s">
        <v>8421</v>
      </c>
      <c r="X408" t="s">
        <v>8422</v>
      </c>
      <c r="Y408"/>
      <c r="Z408"/>
      <c r="AA408"/>
      <c r="AB408" t="s">
        <v>8423</v>
      </c>
      <c r="AC408" t="n">
        <v>43</v>
      </c>
      <c r="AD408" t="s">
        <v>1867</v>
      </c>
      <c r="AE408" t="n">
        <v>73</v>
      </c>
      <c r="AF408" t="s">
        <v>8424</v>
      </c>
      <c r="AG408" t="n">
        <v>45</v>
      </c>
    </row>
    <row r="409">
      <c r="A409" t="s">
        <v>8425</v>
      </c>
      <c r="B409" t="s">
        <v>26</v>
      </c>
      <c r="C409" t="s">
        <v>65</v>
      </c>
      <c r="D409" t="s">
        <v>8426</v>
      </c>
      <c r="E409" t="s">
        <v>79</v>
      </c>
      <c r="F409" t="s">
        <v>1274</v>
      </c>
      <c r="G409" t="s">
        <v>1653</v>
      </c>
      <c r="H409" t="n">
        <v>39.7749674430871</v>
      </c>
      <c r="I409" t="n">
        <v>-104.946430352894</v>
      </c>
      <c r="J409" t="s">
        <v>35</v>
      </c>
      <c r="K409" t="s">
        <v>616</v>
      </c>
      <c r="L409"/>
      <c r="M409" t="n">
        <v>1973</v>
      </c>
      <c r="N409" t="n">
        <v>1990</v>
      </c>
      <c r="O409" t="s">
        <v>8427</v>
      </c>
      <c r="P409" t="n">
        <v>3</v>
      </c>
      <c r="Q409" t="n">
        <v>2</v>
      </c>
      <c r="R409" t="n">
        <v>2</v>
      </c>
      <c r="S409" t="n">
        <v>1952</v>
      </c>
      <c r="T409" t="s">
        <v>8428</v>
      </c>
      <c r="U409" t="s">
        <v>8429</v>
      </c>
      <c r="V409" t="s">
        <v>74</v>
      </c>
      <c r="W409" t="s">
        <v>6610</v>
      </c>
      <c r="X409"/>
      <c r="Y409" t="s">
        <v>8430</v>
      </c>
      <c r="Z409"/>
      <c r="AA409" t="s">
        <v>8431</v>
      </c>
      <c r="AB409"/>
      <c r="AC409"/>
      <c r="AD409"/>
      <c r="AE409"/>
      <c r="AF409" t="s">
        <v>7422</v>
      </c>
      <c r="AG409" t="n">
        <v>19</v>
      </c>
    </row>
    <row r="410">
      <c r="A410" t="s">
        <v>8432</v>
      </c>
      <c r="B410" t="s">
        <v>26</v>
      </c>
      <c r="C410" t="s">
        <v>24</v>
      </c>
      <c r="D410" t="s">
        <v>8433</v>
      </c>
      <c r="E410" t="s">
        <v>79</v>
      </c>
      <c r="F410" t="s">
        <v>1274</v>
      </c>
      <c r="G410" t="s">
        <v>1653</v>
      </c>
      <c r="H410" t="n">
        <v>39.791034</v>
      </c>
      <c r="I410" t="n">
        <v>-104.987547</v>
      </c>
      <c r="J410" t="s">
        <v>4109</v>
      </c>
      <c r="K410" t="s">
        <v>120</v>
      </c>
      <c r="L410"/>
      <c r="M410" t="n">
        <v>1973</v>
      </c>
      <c r="N410" t="n">
        <v>1990</v>
      </c>
      <c r="O410" t="s">
        <v>325</v>
      </c>
      <c r="P410" t="n">
        <v>3</v>
      </c>
      <c r="Q410" t="n">
        <v>3</v>
      </c>
      <c r="R410" t="n">
        <v>1</v>
      </c>
      <c r="S410" t="n">
        <v>1964</v>
      </c>
      <c r="T410" t="s">
        <v>8434</v>
      </c>
      <c r="U410" t="s">
        <v>8435</v>
      </c>
      <c r="V410" t="s">
        <v>74</v>
      </c>
      <c r="W410" t="s">
        <v>8436</v>
      </c>
      <c r="X410" t="s">
        <v>8437</v>
      </c>
      <c r="Y410" t="s">
        <v>8438</v>
      </c>
      <c r="Z410"/>
      <c r="AA410" t="s">
        <v>8439</v>
      </c>
      <c r="AB410" t="s">
        <v>7058</v>
      </c>
      <c r="AC410" t="n">
        <v>200</v>
      </c>
      <c r="AD410" t="s">
        <v>8337</v>
      </c>
      <c r="AE410" t="n">
        <v>132</v>
      </c>
      <c r="AF410" t="s">
        <v>8338</v>
      </c>
      <c r="AG410" t="n">
        <v>2</v>
      </c>
    </row>
    <row r="411">
      <c r="A411" t="s">
        <v>8440</v>
      </c>
      <c r="B411" t="s">
        <v>26</v>
      </c>
      <c r="C411" t="s">
        <v>65</v>
      </c>
      <c r="D411" t="s">
        <v>8441</v>
      </c>
      <c r="E411" t="s">
        <v>79</v>
      </c>
      <c r="F411" t="s">
        <v>1274</v>
      </c>
      <c r="G411" t="s">
        <v>1653</v>
      </c>
      <c r="H411" t="n">
        <v>39.7740688184515</v>
      </c>
      <c r="I411" t="n">
        <v>-104.944075</v>
      </c>
      <c r="J411" t="s">
        <v>35</v>
      </c>
      <c r="K411" t="s">
        <v>1282</v>
      </c>
      <c r="L411"/>
      <c r="M411" t="n">
        <v>1973</v>
      </c>
      <c r="N411" t="n">
        <v>1990</v>
      </c>
      <c r="O411" t="s">
        <v>453</v>
      </c>
      <c r="P411" t="n">
        <v>6</v>
      </c>
      <c r="Q411" t="n">
        <v>3</v>
      </c>
      <c r="R411" t="n">
        <v>3</v>
      </c>
      <c r="S411" t="n">
        <v>1958</v>
      </c>
      <c r="T411" t="s">
        <v>8442</v>
      </c>
      <c r="U411" t="s">
        <v>8443</v>
      </c>
      <c r="V411" t="s">
        <v>74</v>
      </c>
      <c r="W411" t="s">
        <v>6610</v>
      </c>
      <c r="X411"/>
      <c r="Y411" t="s">
        <v>8444</v>
      </c>
      <c r="Z411"/>
      <c r="AA411"/>
      <c r="AB411"/>
      <c r="AC411"/>
      <c r="AD411"/>
      <c r="AE411"/>
      <c r="AF411" t="s">
        <v>8445</v>
      </c>
      <c r="AG411" t="n">
        <v>45</v>
      </c>
    </row>
    <row r="412">
      <c r="A412" t="s">
        <v>8446</v>
      </c>
      <c r="B412" t="s">
        <v>26</v>
      </c>
      <c r="C412" t="s">
        <v>65</v>
      </c>
      <c r="D412" t="s">
        <v>8447</v>
      </c>
      <c r="E412" t="s">
        <v>79</v>
      </c>
      <c r="F412" t="s">
        <v>1274</v>
      </c>
      <c r="G412" t="s">
        <v>1653</v>
      </c>
      <c r="H412" t="n">
        <v>39.7718902503942</v>
      </c>
      <c r="I412" t="n">
        <v>-104.993665261949</v>
      </c>
      <c r="J412" t="s">
        <v>35</v>
      </c>
      <c r="K412" t="s">
        <v>1495</v>
      </c>
      <c r="L412"/>
      <c r="M412" t="n">
        <v>1973</v>
      </c>
      <c r="N412" t="n">
        <v>1990</v>
      </c>
      <c r="O412" t="s">
        <v>293</v>
      </c>
      <c r="P412" t="n">
        <v>4</v>
      </c>
      <c r="Q412" t="n">
        <v>3</v>
      </c>
      <c r="R412" t="n">
        <v>1</v>
      </c>
      <c r="S412" t="n">
        <v>1964</v>
      </c>
      <c r="T412" t="s">
        <v>8448</v>
      </c>
      <c r="U412" t="s">
        <v>8449</v>
      </c>
      <c r="V412" t="s">
        <v>74</v>
      </c>
      <c r="W412" t="s">
        <v>6610</v>
      </c>
      <c r="X412"/>
      <c r="Y412" t="s">
        <v>8450</v>
      </c>
      <c r="Z412"/>
      <c r="AA412" t="s">
        <v>8451</v>
      </c>
      <c r="AB412"/>
      <c r="AC412"/>
      <c r="AD412"/>
      <c r="AE412"/>
      <c r="AF412" t="s">
        <v>8452</v>
      </c>
      <c r="AG412" t="n">
        <v>31</v>
      </c>
    </row>
    <row r="413">
      <c r="A413" t="s">
        <v>8453</v>
      </c>
      <c r="B413" t="s">
        <v>26</v>
      </c>
      <c r="C413" t="s">
        <v>65</v>
      </c>
      <c r="D413" t="s">
        <v>8454</v>
      </c>
      <c r="E413" t="s">
        <v>79</v>
      </c>
      <c r="F413" t="s">
        <v>1274</v>
      </c>
      <c r="G413" t="s">
        <v>1653</v>
      </c>
      <c r="H413" t="n">
        <v>39.805499</v>
      </c>
      <c r="I413" t="n">
        <v>-104.978092</v>
      </c>
      <c r="J413" t="s">
        <v>35</v>
      </c>
      <c r="K413" t="s">
        <v>2274</v>
      </c>
      <c r="L413"/>
      <c r="M413" t="n">
        <v>1974</v>
      </c>
      <c r="N413" t="n">
        <v>1990</v>
      </c>
      <c r="O413" t="s">
        <v>453</v>
      </c>
      <c r="P413" t="n">
        <v>5</v>
      </c>
      <c r="Q413" t="n">
        <v>3</v>
      </c>
      <c r="R413" t="n">
        <v>2</v>
      </c>
      <c r="S413" t="n">
        <v>1967</v>
      </c>
      <c r="T413" t="s">
        <v>8455</v>
      </c>
      <c r="U413" t="s">
        <v>8456</v>
      </c>
      <c r="V413" t="s">
        <v>74</v>
      </c>
      <c r="W413" t="s">
        <v>8457</v>
      </c>
      <c r="X413" t="s">
        <v>8458</v>
      </c>
      <c r="Y413"/>
      <c r="Z413"/>
      <c r="AA413" t="s">
        <v>8459</v>
      </c>
      <c r="AB413" t="s">
        <v>7280</v>
      </c>
      <c r="AC413" t="n">
        <v>52</v>
      </c>
      <c r="AD413" t="s">
        <v>7281</v>
      </c>
      <c r="AE413" t="n">
        <v>51</v>
      </c>
      <c r="AF413" t="s">
        <v>7282</v>
      </c>
      <c r="AG413" t="n">
        <v>52</v>
      </c>
    </row>
    <row r="414">
      <c r="A414" t="s">
        <v>8460</v>
      </c>
      <c r="B414" t="s">
        <v>26</v>
      </c>
      <c r="C414" t="s">
        <v>24</v>
      </c>
      <c r="D414" t="s">
        <v>8461</v>
      </c>
      <c r="E414" t="s">
        <v>79</v>
      </c>
      <c r="F414" t="s">
        <v>1274</v>
      </c>
      <c r="G414" t="s">
        <v>1967</v>
      </c>
      <c r="H414" t="n">
        <v>39.7215891423124</v>
      </c>
      <c r="I414" t="n">
        <v>-104.998577</v>
      </c>
      <c r="J414" t="s">
        <v>4109</v>
      </c>
      <c r="K414" t="s">
        <v>527</v>
      </c>
      <c r="L414"/>
      <c r="M414" t="n">
        <v>1974</v>
      </c>
      <c r="N414" t="n">
        <v>1990</v>
      </c>
      <c r="O414" t="s">
        <v>499</v>
      </c>
      <c r="P414" t="n">
        <v>6</v>
      </c>
      <c r="Q414" t="n">
        <v>10</v>
      </c>
      <c r="R414" t="n">
        <v>4</v>
      </c>
      <c r="S414" t="n">
        <v>1919</v>
      </c>
      <c r="T414" t="s">
        <v>8462</v>
      </c>
      <c r="U414" t="s">
        <v>8463</v>
      </c>
      <c r="V414" t="s">
        <v>74</v>
      </c>
      <c r="W414" t="s">
        <v>8464</v>
      </c>
      <c r="X414"/>
      <c r="Y414" t="s">
        <v>8465</v>
      </c>
      <c r="Z414"/>
      <c r="AA414" t="s">
        <v>8466</v>
      </c>
      <c r="AB414" t="s">
        <v>4245</v>
      </c>
      <c r="AC414" t="n">
        <v>11</v>
      </c>
      <c r="AD414"/>
      <c r="AE414"/>
      <c r="AF414" t="s">
        <v>4296</v>
      </c>
      <c r="AG414" t="n">
        <v>23</v>
      </c>
    </row>
    <row r="415">
      <c r="A415" t="s">
        <v>8467</v>
      </c>
      <c r="B415" t="s">
        <v>26</v>
      </c>
      <c r="C415" t="s">
        <v>24</v>
      </c>
      <c r="D415" t="s">
        <v>8468</v>
      </c>
      <c r="E415" t="s">
        <v>79</v>
      </c>
      <c r="F415" t="s">
        <v>1274</v>
      </c>
      <c r="G415" t="s">
        <v>1540</v>
      </c>
      <c r="H415" t="n">
        <v>39.769386</v>
      </c>
      <c r="I415" t="n">
        <v>-105.062614</v>
      </c>
      <c r="J415" t="s">
        <v>4109</v>
      </c>
      <c r="K415" t="s">
        <v>89</v>
      </c>
      <c r="L415"/>
      <c r="M415" t="n">
        <v>1974</v>
      </c>
      <c r="N415" t="n">
        <v>1974</v>
      </c>
      <c r="O415" t="s">
        <v>210</v>
      </c>
      <c r="P415" t="n">
        <v>1</v>
      </c>
      <c r="Q415" t="n">
        <v>1</v>
      </c>
      <c r="R415" t="n">
        <v>1</v>
      </c>
      <c r="S415" t="n">
        <v>1961</v>
      </c>
      <c r="T415" t="s">
        <v>8469</v>
      </c>
      <c r="U415" t="s">
        <v>8470</v>
      </c>
      <c r="V415" t="s">
        <v>74</v>
      </c>
      <c r="W415" t="s">
        <v>8471</v>
      </c>
      <c r="X415"/>
      <c r="Y415" t="s">
        <v>8472</v>
      </c>
      <c r="Z415"/>
      <c r="AA415" t="s">
        <v>8473</v>
      </c>
      <c r="AB415" t="s">
        <v>8474</v>
      </c>
      <c r="AC415" t="n">
        <v>37</v>
      </c>
      <c r="AD415"/>
      <c r="AE415"/>
      <c r="AF415" t="s">
        <v>8475</v>
      </c>
      <c r="AG415" t="n">
        <v>63</v>
      </c>
    </row>
    <row r="416">
      <c r="A416" t="s">
        <v>8476</v>
      </c>
      <c r="B416" t="s">
        <v>26</v>
      </c>
      <c r="C416" t="s">
        <v>65</v>
      </c>
      <c r="D416" t="s">
        <v>8477</v>
      </c>
      <c r="E416" t="s">
        <v>79</v>
      </c>
      <c r="F416" t="s">
        <v>1274</v>
      </c>
      <c r="G416" t="s">
        <v>1574</v>
      </c>
      <c r="H416" t="n">
        <v>39.7720802323972</v>
      </c>
      <c r="I416" t="n">
        <v>-104.971335237427</v>
      </c>
      <c r="J416" t="s">
        <v>35</v>
      </c>
      <c r="K416" t="s">
        <v>201</v>
      </c>
      <c r="L416"/>
      <c r="M416" t="n">
        <v>1974</v>
      </c>
      <c r="N416" t="n">
        <v>1990</v>
      </c>
      <c r="O416" t="s">
        <v>2874</v>
      </c>
      <c r="P416" t="n">
        <v>4</v>
      </c>
      <c r="Q416" t="n">
        <v>4</v>
      </c>
      <c r="R416" t="n">
        <v>3</v>
      </c>
      <c r="S416" t="n">
        <v>1970</v>
      </c>
      <c r="T416" t="s">
        <v>8478</v>
      </c>
      <c r="U416" t="s">
        <v>8479</v>
      </c>
      <c r="V416" t="s">
        <v>74</v>
      </c>
      <c r="W416" t="s">
        <v>8480</v>
      </c>
      <c r="X416"/>
      <c r="Y416" t="s">
        <v>8481</v>
      </c>
      <c r="Z416"/>
      <c r="AA416" t="s">
        <v>8482</v>
      </c>
      <c r="AB416" t="s">
        <v>8483</v>
      </c>
      <c r="AC416" t="n">
        <v>34</v>
      </c>
      <c r="AD416"/>
      <c r="AE416"/>
      <c r="AF416" t="s">
        <v>8484</v>
      </c>
      <c r="AG416" t="n">
        <v>42</v>
      </c>
    </row>
    <row r="417">
      <c r="A417" t="s">
        <v>8485</v>
      </c>
      <c r="B417" t="s">
        <v>26</v>
      </c>
      <c r="C417" t="s">
        <v>65</v>
      </c>
      <c r="D417" t="s">
        <v>8486</v>
      </c>
      <c r="E417" t="s">
        <v>79</v>
      </c>
      <c r="F417" t="s">
        <v>1274</v>
      </c>
      <c r="G417" t="s">
        <v>1702</v>
      </c>
      <c r="H417" t="n">
        <v>39.7889337173821</v>
      </c>
      <c r="I417" t="n">
        <v>-104.859030108046</v>
      </c>
      <c r="J417" t="s">
        <v>35</v>
      </c>
      <c r="K417" t="s">
        <v>126</v>
      </c>
      <c r="L417"/>
      <c r="M417" t="n">
        <v>1974</v>
      </c>
      <c r="N417" t="n">
        <v>1974</v>
      </c>
      <c r="O417" t="s">
        <v>210</v>
      </c>
      <c r="P417" t="n">
        <v>1</v>
      </c>
      <c r="Q417" t="n">
        <v>1</v>
      </c>
      <c r="R417" t="n">
        <v>1</v>
      </c>
      <c r="S417" t="n">
        <v>1972</v>
      </c>
      <c r="T417" t="s">
        <v>8487</v>
      </c>
      <c r="U417" t="s">
        <v>8488</v>
      </c>
      <c r="V417" t="s">
        <v>74</v>
      </c>
      <c r="W417" t="s">
        <v>8489</v>
      </c>
      <c r="X417"/>
      <c r="Y417" t="s">
        <v>8490</v>
      </c>
      <c r="Z417"/>
      <c r="AA417" t="s">
        <v>8491</v>
      </c>
      <c r="AB417" t="s">
        <v>8492</v>
      </c>
      <c r="AC417" t="n">
        <v>2</v>
      </c>
      <c r="AD417" t="s">
        <v>8493</v>
      </c>
      <c r="AE417" t="n">
        <v>160</v>
      </c>
      <c r="AF417" t="s">
        <v>8494</v>
      </c>
      <c r="AG417" t="n">
        <v>84</v>
      </c>
    </row>
    <row r="418">
      <c r="A418" t="s">
        <v>8495</v>
      </c>
      <c r="B418" t="s">
        <v>26</v>
      </c>
      <c r="C418" t="s">
        <v>24</v>
      </c>
      <c r="D418" t="s">
        <v>8496</v>
      </c>
      <c r="E418" t="s">
        <v>79</v>
      </c>
      <c r="F418" t="s">
        <v>1274</v>
      </c>
      <c r="G418" t="s">
        <v>1911</v>
      </c>
      <c r="H418" t="n">
        <v>39.740141</v>
      </c>
      <c r="I418" t="n">
        <v>-104.920331497401</v>
      </c>
      <c r="J418" t="s">
        <v>4109</v>
      </c>
      <c r="K418" t="s">
        <v>120</v>
      </c>
      <c r="L418"/>
      <c r="M418" t="n">
        <v>1974</v>
      </c>
      <c r="N418" t="n">
        <v>1974</v>
      </c>
      <c r="O418" t="s">
        <v>210</v>
      </c>
      <c r="P418" t="n">
        <v>1</v>
      </c>
      <c r="Q418" t="n">
        <v>1</v>
      </c>
      <c r="R418" t="n">
        <v>1</v>
      </c>
      <c r="S418"/>
      <c r="T418" t="s">
        <v>8497</v>
      </c>
      <c r="U418" t="s">
        <v>8498</v>
      </c>
      <c r="V418" t="s">
        <v>74</v>
      </c>
      <c r="W418" t="s">
        <v>8499</v>
      </c>
      <c r="X418"/>
      <c r="Y418" t="s">
        <v>8500</v>
      </c>
      <c r="Z418"/>
      <c r="AA418" t="s">
        <v>8501</v>
      </c>
      <c r="AB418" t="s">
        <v>8502</v>
      </c>
      <c r="AC418" t="n">
        <v>75</v>
      </c>
      <c r="AD418"/>
      <c r="AE418"/>
      <c r="AF418" t="s">
        <v>8503</v>
      </c>
      <c r="AG418" t="n">
        <v>116</v>
      </c>
    </row>
    <row r="419">
      <c r="A419" t="s">
        <v>8504</v>
      </c>
      <c r="B419" t="s">
        <v>26</v>
      </c>
      <c r="C419" t="s">
        <v>65</v>
      </c>
      <c r="D419" t="s">
        <v>8505</v>
      </c>
      <c r="E419" t="s">
        <v>79</v>
      </c>
      <c r="F419" t="s">
        <v>1274</v>
      </c>
      <c r="G419" t="s">
        <v>1653</v>
      </c>
      <c r="H419" t="n">
        <v>39.7910010612617</v>
      </c>
      <c r="I419" t="n">
        <v>-104.948374951174</v>
      </c>
      <c r="J419" t="s">
        <v>35</v>
      </c>
      <c r="K419" t="s">
        <v>8506</v>
      </c>
      <c r="L419"/>
      <c r="M419" t="n">
        <v>1974</v>
      </c>
      <c r="N419" t="n">
        <v>1992</v>
      </c>
      <c r="O419" t="s">
        <v>2482</v>
      </c>
      <c r="P419" t="n">
        <v>6</v>
      </c>
      <c r="Q419" t="n">
        <v>3</v>
      </c>
      <c r="R419" t="n">
        <v>2</v>
      </c>
      <c r="S419" t="n">
        <v>1899</v>
      </c>
      <c r="T419" t="s">
        <v>8507</v>
      </c>
      <c r="U419" t="s">
        <v>8508</v>
      </c>
      <c r="V419" t="s">
        <v>74</v>
      </c>
      <c r="W419" t="s">
        <v>6610</v>
      </c>
      <c r="X419"/>
      <c r="Y419" t="s">
        <v>8509</v>
      </c>
      <c r="Z419"/>
      <c r="AA419" t="s">
        <v>8510</v>
      </c>
      <c r="AB419"/>
      <c r="AC419"/>
      <c r="AD419"/>
      <c r="AE419"/>
      <c r="AF419" t="s">
        <v>1425</v>
      </c>
      <c r="AG419" t="n">
        <v>44</v>
      </c>
    </row>
    <row r="420">
      <c r="A420" t="s">
        <v>8511</v>
      </c>
      <c r="B420" t="s">
        <v>26</v>
      </c>
      <c r="C420" t="s">
        <v>24</v>
      </c>
      <c r="D420" t="s">
        <v>8512</v>
      </c>
      <c r="E420" t="s">
        <v>79</v>
      </c>
      <c r="F420" t="s">
        <v>1274</v>
      </c>
      <c r="G420" t="s">
        <v>1574</v>
      </c>
      <c r="H420" t="n">
        <v>39.7716543741261</v>
      </c>
      <c r="I420" t="n">
        <v>-104.969298286364</v>
      </c>
      <c r="J420" t="s">
        <v>4109</v>
      </c>
      <c r="K420" t="s">
        <v>133</v>
      </c>
      <c r="L420"/>
      <c r="M420" t="n">
        <v>1974</v>
      </c>
      <c r="N420" t="n">
        <v>1990</v>
      </c>
      <c r="O420" t="s">
        <v>8513</v>
      </c>
      <c r="P420" t="n">
        <v>5</v>
      </c>
      <c r="Q420" t="n">
        <v>2</v>
      </c>
      <c r="R420" t="n">
        <v>2</v>
      </c>
      <c r="S420" t="n">
        <v>1963</v>
      </c>
      <c r="T420" t="s">
        <v>8514</v>
      </c>
      <c r="U420" t="s">
        <v>8515</v>
      </c>
      <c r="V420" t="s">
        <v>74</v>
      </c>
      <c r="W420" t="s">
        <v>6610</v>
      </c>
      <c r="X420"/>
      <c r="Y420" t="s">
        <v>8516</v>
      </c>
      <c r="Z420"/>
      <c r="AA420" t="s">
        <v>8517</v>
      </c>
      <c r="AB420" t="s">
        <v>8483</v>
      </c>
      <c r="AC420" t="n">
        <v>152</v>
      </c>
      <c r="AD420"/>
      <c r="AE420"/>
      <c r="AF420" t="s">
        <v>8518</v>
      </c>
      <c r="AG420" t="n">
        <v>31</v>
      </c>
    </row>
    <row r="421">
      <c r="A421" t="s">
        <v>8519</v>
      </c>
      <c r="B421" t="s">
        <v>26</v>
      </c>
      <c r="C421" t="s">
        <v>24</v>
      </c>
      <c r="D421" t="s">
        <v>8520</v>
      </c>
      <c r="E421" t="s">
        <v>79</v>
      </c>
      <c r="F421" t="s">
        <v>1274</v>
      </c>
      <c r="G421" t="s">
        <v>1881</v>
      </c>
      <c r="H421" t="n">
        <v>39.7677682619751</v>
      </c>
      <c r="I421" t="n">
        <v>-104.930523</v>
      </c>
      <c r="J421" t="s">
        <v>4109</v>
      </c>
      <c r="K421" t="s">
        <v>1495</v>
      </c>
      <c r="L421"/>
      <c r="M421" t="n">
        <v>1974</v>
      </c>
      <c r="N421" t="n">
        <v>1974</v>
      </c>
      <c r="O421" t="s">
        <v>210</v>
      </c>
      <c r="P421" t="n">
        <v>1</v>
      </c>
      <c r="Q421" t="n">
        <v>1</v>
      </c>
      <c r="R421" t="n">
        <v>1</v>
      </c>
      <c r="S421" t="n">
        <v>1953</v>
      </c>
      <c r="T421" t="s">
        <v>8521</v>
      </c>
      <c r="U421" t="s">
        <v>8522</v>
      </c>
      <c r="V421" t="s">
        <v>74</v>
      </c>
      <c r="W421" t="s">
        <v>8523</v>
      </c>
      <c r="X421"/>
      <c r="Y421" t="s">
        <v>8524</v>
      </c>
      <c r="Z421"/>
      <c r="AA421" t="s">
        <v>8525</v>
      </c>
      <c r="AB421" t="s">
        <v>8526</v>
      </c>
      <c r="AC421" t="n">
        <v>249</v>
      </c>
      <c r="AD421"/>
      <c r="AE421"/>
      <c r="AF421" t="s">
        <v>2012</v>
      </c>
      <c r="AG421" t="n">
        <v>98</v>
      </c>
    </row>
    <row r="422">
      <c r="A422" t="s">
        <v>8527</v>
      </c>
      <c r="B422" t="s">
        <v>26</v>
      </c>
      <c r="C422" t="s">
        <v>65</v>
      </c>
      <c r="D422" t="s">
        <v>8528</v>
      </c>
      <c r="E422" t="s">
        <v>79</v>
      </c>
      <c r="F422" t="s">
        <v>1274</v>
      </c>
      <c r="G422" t="s">
        <v>1653</v>
      </c>
      <c r="H422" t="n">
        <v>39.7704959292964</v>
      </c>
      <c r="I422" t="n">
        <v>-104.995763517642</v>
      </c>
      <c r="J422" t="s">
        <v>35</v>
      </c>
      <c r="K422" t="s">
        <v>120</v>
      </c>
      <c r="L422"/>
      <c r="M422" t="n">
        <v>1974</v>
      </c>
      <c r="N422" t="n">
        <v>1990</v>
      </c>
      <c r="O422" t="s">
        <v>499</v>
      </c>
      <c r="P422" t="n">
        <v>5</v>
      </c>
      <c r="Q422" t="n">
        <v>3</v>
      </c>
      <c r="R422" t="n">
        <v>3</v>
      </c>
      <c r="S422" t="n">
        <v>1968</v>
      </c>
      <c r="T422" t="s">
        <v>8529</v>
      </c>
      <c r="U422" t="s">
        <v>8530</v>
      </c>
      <c r="V422" t="s">
        <v>74</v>
      </c>
      <c r="W422" t="s">
        <v>6610</v>
      </c>
      <c r="X422"/>
      <c r="Y422" t="s">
        <v>8531</v>
      </c>
      <c r="Z422"/>
      <c r="AA422" t="s">
        <v>8532</v>
      </c>
      <c r="AB422" t="s">
        <v>6937</v>
      </c>
      <c r="AC422" t="n">
        <v>136</v>
      </c>
      <c r="AD422"/>
      <c r="AE422"/>
      <c r="AF422" t="s">
        <v>6938</v>
      </c>
      <c r="AG422" t="n">
        <v>13</v>
      </c>
    </row>
    <row r="423">
      <c r="A423" t="s">
        <v>8533</v>
      </c>
      <c r="B423" t="s">
        <v>26</v>
      </c>
      <c r="C423" t="s">
        <v>65</v>
      </c>
      <c r="D423" t="s">
        <v>8534</v>
      </c>
      <c r="E423" t="s">
        <v>79</v>
      </c>
      <c r="F423" t="s">
        <v>1274</v>
      </c>
      <c r="G423" t="s">
        <v>1653</v>
      </c>
      <c r="H423" t="n">
        <v>39.7862249439034</v>
      </c>
      <c r="I423" t="n">
        <v>-104.980026008103</v>
      </c>
      <c r="J423" t="s">
        <v>35</v>
      </c>
      <c r="K423" t="s">
        <v>527</v>
      </c>
      <c r="L423"/>
      <c r="M423" t="n">
        <v>1974</v>
      </c>
      <c r="N423" t="n">
        <v>1990</v>
      </c>
      <c r="O423" t="s">
        <v>293</v>
      </c>
      <c r="P423" t="n">
        <v>5</v>
      </c>
      <c r="Q423" t="n">
        <v>3</v>
      </c>
      <c r="R423" t="n">
        <v>2</v>
      </c>
      <c r="S423" t="n">
        <v>1960</v>
      </c>
      <c r="T423" t="s">
        <v>8535</v>
      </c>
      <c r="U423" t="s">
        <v>8536</v>
      </c>
      <c r="V423" t="s">
        <v>74</v>
      </c>
      <c r="W423" t="s">
        <v>6578</v>
      </c>
      <c r="X423"/>
      <c r="Y423" t="s">
        <v>8537</v>
      </c>
      <c r="Z423"/>
      <c r="AA423" t="s">
        <v>8538</v>
      </c>
      <c r="AB423"/>
      <c r="AC423"/>
      <c r="AD423"/>
      <c r="AE423"/>
      <c r="AF423" t="s">
        <v>8539</v>
      </c>
      <c r="AG423" t="n">
        <v>29</v>
      </c>
    </row>
    <row r="424">
      <c r="A424" t="s">
        <v>8540</v>
      </c>
      <c r="B424" t="s">
        <v>26</v>
      </c>
      <c r="C424" t="s">
        <v>65</v>
      </c>
      <c r="D424" t="s">
        <v>8541</v>
      </c>
      <c r="E424" t="s">
        <v>79</v>
      </c>
      <c r="F424" t="s">
        <v>1274</v>
      </c>
      <c r="G424" t="s">
        <v>1574</v>
      </c>
      <c r="H424" t="n">
        <v>39.766958</v>
      </c>
      <c r="I424" t="n">
        <v>-104.96842</v>
      </c>
      <c r="J424" t="s">
        <v>35</v>
      </c>
      <c r="K424" t="s">
        <v>120</v>
      </c>
      <c r="L424"/>
      <c r="M424" t="n">
        <v>1974</v>
      </c>
      <c r="N424" t="n">
        <v>1974</v>
      </c>
      <c r="O424" t="s">
        <v>210</v>
      </c>
      <c r="P424" t="n">
        <v>1</v>
      </c>
      <c r="Q424" t="n">
        <v>1</v>
      </c>
      <c r="R424" t="n">
        <v>1</v>
      </c>
      <c r="S424" t="n">
        <v>1971</v>
      </c>
      <c r="T424" t="s">
        <v>8542</v>
      </c>
      <c r="U424" t="s">
        <v>8543</v>
      </c>
      <c r="V424" t="s">
        <v>74</v>
      </c>
      <c r="W424" t="s">
        <v>8544</v>
      </c>
      <c r="X424"/>
      <c r="Y424"/>
      <c r="Z424"/>
      <c r="AA424"/>
      <c r="AB424" t="s">
        <v>8545</v>
      </c>
      <c r="AC424" t="n">
        <v>67</v>
      </c>
      <c r="AD424"/>
      <c r="AE424"/>
      <c r="AF424" t="s">
        <v>8546</v>
      </c>
      <c r="AG424" t="n">
        <v>197</v>
      </c>
    </row>
    <row r="425">
      <c r="A425" t="s">
        <v>8547</v>
      </c>
      <c r="B425" t="s">
        <v>26</v>
      </c>
      <c r="C425" t="s">
        <v>65</v>
      </c>
      <c r="D425" t="s">
        <v>8548</v>
      </c>
      <c r="E425" t="s">
        <v>79</v>
      </c>
      <c r="F425" t="s">
        <v>1274</v>
      </c>
      <c r="G425"/>
      <c r="H425" t="n">
        <v>39.6785687939963</v>
      </c>
      <c r="I425" t="n">
        <v>-105.005567882629</v>
      </c>
      <c r="J425" t="s">
        <v>35</v>
      </c>
      <c r="K425" t="s">
        <v>6853</v>
      </c>
      <c r="L425"/>
      <c r="M425" t="n">
        <v>1974</v>
      </c>
      <c r="N425" t="n">
        <v>1990</v>
      </c>
      <c r="O425" t="s">
        <v>540</v>
      </c>
      <c r="P425" t="n">
        <v>6</v>
      </c>
      <c r="Q425" t="n">
        <v>9</v>
      </c>
      <c r="R425" t="n">
        <v>4</v>
      </c>
      <c r="S425" t="n">
        <v>1970</v>
      </c>
      <c r="T425" t="s">
        <v>8549</v>
      </c>
      <c r="U425" t="s">
        <v>8550</v>
      </c>
      <c r="V425" t="s">
        <v>74</v>
      </c>
      <c r="W425" t="s">
        <v>8551</v>
      </c>
      <c r="X425"/>
      <c r="Y425"/>
      <c r="Z425"/>
      <c r="AA425" t="s">
        <v>8552</v>
      </c>
      <c r="AB425" t="s">
        <v>8553</v>
      </c>
      <c r="AC425" t="n">
        <v>63</v>
      </c>
      <c r="AD425"/>
      <c r="AE425"/>
      <c r="AF425" t="s">
        <v>6954</v>
      </c>
      <c r="AG425" t="n">
        <v>62</v>
      </c>
    </row>
    <row r="426">
      <c r="A426" t="s">
        <v>8554</v>
      </c>
      <c r="B426" t="s">
        <v>26</v>
      </c>
      <c r="C426" t="s">
        <v>65</v>
      </c>
      <c r="D426" t="s">
        <v>8555</v>
      </c>
      <c r="E426" t="s">
        <v>79</v>
      </c>
      <c r="F426" t="s">
        <v>1274</v>
      </c>
      <c r="G426" t="s">
        <v>1440</v>
      </c>
      <c r="H426" t="n">
        <v>39.7713280359485</v>
      </c>
      <c r="I426" t="n">
        <v>-104.966984856526</v>
      </c>
      <c r="J426" t="s">
        <v>35</v>
      </c>
      <c r="K426" t="s">
        <v>533</v>
      </c>
      <c r="L426" t="s">
        <v>2476</v>
      </c>
      <c r="M426" t="n">
        <v>1974</v>
      </c>
      <c r="N426" t="n">
        <v>1992</v>
      </c>
      <c r="O426" t="s">
        <v>6348</v>
      </c>
      <c r="P426" t="n">
        <v>7</v>
      </c>
      <c r="Q426" t="n">
        <v>7</v>
      </c>
      <c r="R426" t="n">
        <v>7</v>
      </c>
      <c r="S426" t="n">
        <v>1859</v>
      </c>
      <c r="T426" t="s">
        <v>8556</v>
      </c>
      <c r="U426" t="s">
        <v>8557</v>
      </c>
      <c r="V426" t="s">
        <v>74</v>
      </c>
      <c r="W426" t="s">
        <v>6610</v>
      </c>
      <c r="X426"/>
      <c r="Y426"/>
      <c r="Z426"/>
      <c r="AA426" t="s">
        <v>8558</v>
      </c>
      <c r="AB426"/>
      <c r="AC426"/>
      <c r="AD426"/>
      <c r="AE426"/>
      <c r="AF426" t="s">
        <v>8355</v>
      </c>
      <c r="AG426" t="n">
        <v>109</v>
      </c>
    </row>
    <row r="427">
      <c r="A427" t="s">
        <v>8559</v>
      </c>
      <c r="B427" t="s">
        <v>26</v>
      </c>
      <c r="C427" t="s">
        <v>65</v>
      </c>
      <c r="D427" t="s">
        <v>8560</v>
      </c>
      <c r="E427" t="s">
        <v>79</v>
      </c>
      <c r="F427" t="s">
        <v>1274</v>
      </c>
      <c r="G427" t="s">
        <v>1574</v>
      </c>
      <c r="H427" t="n">
        <v>39.772639</v>
      </c>
      <c r="I427" t="n">
        <v>-104.970613</v>
      </c>
      <c r="J427" t="s">
        <v>35</v>
      </c>
      <c r="K427" t="s">
        <v>70</v>
      </c>
      <c r="L427"/>
      <c r="M427" t="n">
        <v>1974</v>
      </c>
      <c r="N427" t="n">
        <v>1974</v>
      </c>
      <c r="O427" t="s">
        <v>210</v>
      </c>
      <c r="P427" t="n">
        <v>1</v>
      </c>
      <c r="Q427" t="n">
        <v>1</v>
      </c>
      <c r="R427" t="n">
        <v>1</v>
      </c>
      <c r="S427"/>
      <c r="T427" t="s">
        <v>8561</v>
      </c>
      <c r="U427" t="s">
        <v>8562</v>
      </c>
      <c r="V427" t="s">
        <v>74</v>
      </c>
      <c r="W427" t="s">
        <v>8563</v>
      </c>
      <c r="X427"/>
      <c r="Y427"/>
      <c r="Z427"/>
      <c r="AA427" t="s">
        <v>8564</v>
      </c>
      <c r="AB427" t="s">
        <v>8483</v>
      </c>
      <c r="AC427" t="n">
        <v>61</v>
      </c>
      <c r="AD427" t="s">
        <v>8565</v>
      </c>
      <c r="AE427" t="n">
        <v>241</v>
      </c>
      <c r="AF427" t="s">
        <v>8484</v>
      </c>
      <c r="AG427" t="n">
        <v>46</v>
      </c>
    </row>
    <row r="428">
      <c r="A428" t="s">
        <v>8566</v>
      </c>
      <c r="B428" t="s">
        <v>26</v>
      </c>
      <c r="C428" t="s">
        <v>24</v>
      </c>
      <c r="D428" t="s">
        <v>8567</v>
      </c>
      <c r="E428" t="s">
        <v>79</v>
      </c>
      <c r="F428" t="s">
        <v>1274</v>
      </c>
      <c r="G428" t="s">
        <v>1653</v>
      </c>
      <c r="H428" t="n">
        <v>39.7886991628014</v>
      </c>
      <c r="I428" t="n">
        <v>-104.994977128604</v>
      </c>
      <c r="J428" t="s">
        <v>4109</v>
      </c>
      <c r="K428" t="s">
        <v>70</v>
      </c>
      <c r="L428"/>
      <c r="M428" t="n">
        <v>1974</v>
      </c>
      <c r="N428" t="n">
        <v>1980</v>
      </c>
      <c r="O428" t="s">
        <v>221</v>
      </c>
      <c r="P428" t="n">
        <v>2</v>
      </c>
      <c r="Q428" t="n">
        <v>1</v>
      </c>
      <c r="R428" t="n">
        <v>1</v>
      </c>
      <c r="S428" t="n">
        <v>1972</v>
      </c>
      <c r="T428" t="s">
        <v>8568</v>
      </c>
      <c r="U428" t="s">
        <v>8569</v>
      </c>
      <c r="V428" t="s">
        <v>74</v>
      </c>
      <c r="W428" t="s">
        <v>6610</v>
      </c>
      <c r="X428"/>
      <c r="Y428" t="s">
        <v>8570</v>
      </c>
      <c r="Z428"/>
      <c r="AA428" t="s">
        <v>8571</v>
      </c>
      <c r="AB428"/>
      <c r="AC428"/>
      <c r="AD428"/>
      <c r="AE428"/>
      <c r="AF428" t="s">
        <v>8572</v>
      </c>
      <c r="AG428" t="n">
        <v>6</v>
      </c>
    </row>
    <row r="429">
      <c r="A429" t="s">
        <v>8573</v>
      </c>
      <c r="B429" t="s">
        <v>26</v>
      </c>
      <c r="C429" t="s">
        <v>65</v>
      </c>
      <c r="D429" t="s">
        <v>8574</v>
      </c>
      <c r="E429" t="s">
        <v>79</v>
      </c>
      <c r="F429" t="s">
        <v>1274</v>
      </c>
      <c r="G429" t="s">
        <v>4335</v>
      </c>
      <c r="H429" t="n">
        <v>39.743257</v>
      </c>
      <c r="I429" t="n">
        <v>-104.9774455</v>
      </c>
      <c r="J429" t="s">
        <v>35</v>
      </c>
      <c r="K429" t="s">
        <v>396</v>
      </c>
      <c r="L429"/>
      <c r="M429" t="n">
        <v>1974</v>
      </c>
      <c r="N429" t="n">
        <v>1990</v>
      </c>
      <c r="O429" t="s">
        <v>8575</v>
      </c>
      <c r="P429" t="n">
        <v>2</v>
      </c>
      <c r="Q429" t="n">
        <v>2</v>
      </c>
      <c r="R429" t="n">
        <v>2</v>
      </c>
      <c r="S429" t="n">
        <v>1974</v>
      </c>
      <c r="T429" t="s">
        <v>8576</v>
      </c>
      <c r="U429" t="s">
        <v>8577</v>
      </c>
      <c r="V429" t="s">
        <v>74</v>
      </c>
      <c r="W429" t="s">
        <v>8578</v>
      </c>
      <c r="X429"/>
      <c r="Y429"/>
      <c r="Z429"/>
      <c r="AA429" t="s">
        <v>8579</v>
      </c>
      <c r="AB429" t="s">
        <v>8580</v>
      </c>
      <c r="AC429" t="n">
        <v>22</v>
      </c>
      <c r="AD429"/>
      <c r="AE429"/>
      <c r="AF429" t="s">
        <v>8581</v>
      </c>
      <c r="AG429" t="n">
        <v>184</v>
      </c>
    </row>
    <row r="430">
      <c r="A430" t="s">
        <v>8582</v>
      </c>
      <c r="B430" t="s">
        <v>26</v>
      </c>
      <c r="C430" t="s">
        <v>24</v>
      </c>
      <c r="D430" t="s">
        <v>8583</v>
      </c>
      <c r="E430" t="s">
        <v>79</v>
      </c>
      <c r="F430" t="s">
        <v>1274</v>
      </c>
      <c r="G430" t="s">
        <v>1516</v>
      </c>
      <c r="H430" t="n">
        <v>39.7174451414141</v>
      </c>
      <c r="I430" t="n">
        <v>-105.008653373737</v>
      </c>
      <c r="J430" t="s">
        <v>4109</v>
      </c>
      <c r="K430" t="s">
        <v>89</v>
      </c>
      <c r="L430"/>
      <c r="M430" t="n">
        <v>1974</v>
      </c>
      <c r="N430" t="n">
        <v>1977</v>
      </c>
      <c r="O430" t="s">
        <v>1830</v>
      </c>
      <c r="P430" t="n">
        <v>2</v>
      </c>
      <c r="Q430" t="n">
        <v>1</v>
      </c>
      <c r="R430" t="n">
        <v>1</v>
      </c>
      <c r="S430" t="n">
        <v>1970</v>
      </c>
      <c r="T430" t="s">
        <v>8584</v>
      </c>
      <c r="U430" t="s">
        <v>8585</v>
      </c>
      <c r="V430" t="s">
        <v>74</v>
      </c>
      <c r="W430" t="s">
        <v>8586</v>
      </c>
      <c r="X430"/>
      <c r="Y430" t="s">
        <v>8587</v>
      </c>
      <c r="Z430"/>
      <c r="AA430" t="s">
        <v>8588</v>
      </c>
      <c r="AB430" t="s">
        <v>8205</v>
      </c>
      <c r="AC430" t="n">
        <v>177</v>
      </c>
      <c r="AD430"/>
      <c r="AE430"/>
      <c r="AF430" t="s">
        <v>8589</v>
      </c>
      <c r="AG430" t="n">
        <v>99</v>
      </c>
    </row>
    <row r="431">
      <c r="A431" t="s">
        <v>8590</v>
      </c>
      <c r="B431" t="s">
        <v>26</v>
      </c>
      <c r="C431" t="s">
        <v>65</v>
      </c>
      <c r="D431" t="s">
        <v>8591</v>
      </c>
      <c r="E431" t="s">
        <v>79</v>
      </c>
      <c r="F431" t="s">
        <v>1274</v>
      </c>
      <c r="G431" t="s">
        <v>1574</v>
      </c>
      <c r="H431" t="n">
        <v>39.7661491631926</v>
      </c>
      <c r="I431" t="n">
        <v>-104.968423154649</v>
      </c>
      <c r="J431" t="s">
        <v>35</v>
      </c>
      <c r="K431" t="s">
        <v>120</v>
      </c>
      <c r="L431"/>
      <c r="M431" t="n">
        <v>1974</v>
      </c>
      <c r="N431" t="n">
        <v>1983</v>
      </c>
      <c r="O431" t="s">
        <v>1830</v>
      </c>
      <c r="P431" t="n">
        <v>4</v>
      </c>
      <c r="Q431" t="n">
        <v>2</v>
      </c>
      <c r="R431" t="n">
        <v>2</v>
      </c>
      <c r="S431" t="n">
        <v>1971</v>
      </c>
      <c r="T431" t="s">
        <v>8592</v>
      </c>
      <c r="U431" t="s">
        <v>8593</v>
      </c>
      <c r="V431" t="s">
        <v>74</v>
      </c>
      <c r="W431" t="s">
        <v>8594</v>
      </c>
      <c r="X431"/>
      <c r="Y431"/>
      <c r="Z431"/>
      <c r="AA431"/>
      <c r="AB431" t="s">
        <v>8545</v>
      </c>
      <c r="AC431" t="n">
        <v>24</v>
      </c>
      <c r="AD431"/>
      <c r="AE431"/>
      <c r="AF431" t="s">
        <v>8546</v>
      </c>
      <c r="AG431" t="n">
        <v>132</v>
      </c>
    </row>
    <row r="432">
      <c r="A432" t="s">
        <v>8595</v>
      </c>
      <c r="B432" t="s">
        <v>26</v>
      </c>
      <c r="C432" t="s">
        <v>65</v>
      </c>
      <c r="D432" t="s">
        <v>8596</v>
      </c>
      <c r="E432" t="s">
        <v>79</v>
      </c>
      <c r="F432" t="s">
        <v>1274</v>
      </c>
      <c r="G432" t="s">
        <v>1653</v>
      </c>
      <c r="H432" t="n">
        <v>39.768997</v>
      </c>
      <c r="I432" t="n">
        <v>-104.977131</v>
      </c>
      <c r="J432" t="s">
        <v>35</v>
      </c>
      <c r="K432" t="s">
        <v>141</v>
      </c>
      <c r="L432"/>
      <c r="M432" t="n">
        <v>1974</v>
      </c>
      <c r="N432" t="n">
        <v>1988</v>
      </c>
      <c r="O432" t="s">
        <v>8389</v>
      </c>
      <c r="P432" t="n">
        <v>4</v>
      </c>
      <c r="Q432" t="n">
        <v>3</v>
      </c>
      <c r="R432" t="n">
        <v>3</v>
      </c>
      <c r="S432" t="n">
        <v>1937</v>
      </c>
      <c r="T432" t="s">
        <v>8597</v>
      </c>
      <c r="U432" t="s">
        <v>8598</v>
      </c>
      <c r="V432" t="s">
        <v>74</v>
      </c>
      <c r="W432" t="s">
        <v>8599</v>
      </c>
      <c r="X432"/>
      <c r="Y432"/>
      <c r="Z432"/>
      <c r="AA432" t="s">
        <v>8600</v>
      </c>
      <c r="AB432" t="s">
        <v>7319</v>
      </c>
      <c r="AC432" t="n">
        <v>91</v>
      </c>
      <c r="AD432" t="s">
        <v>1591</v>
      </c>
      <c r="AE432" t="n">
        <v>128</v>
      </c>
      <c r="AF432" t="s">
        <v>6841</v>
      </c>
      <c r="AG432" t="n">
        <v>125</v>
      </c>
    </row>
    <row r="433">
      <c r="A433" t="s">
        <v>8601</v>
      </c>
      <c r="B433" t="s">
        <v>26</v>
      </c>
      <c r="C433" t="s">
        <v>65</v>
      </c>
      <c r="D433" t="s">
        <v>8602</v>
      </c>
      <c r="E433" t="s">
        <v>79</v>
      </c>
      <c r="F433" t="s">
        <v>1274</v>
      </c>
      <c r="G433" t="s">
        <v>1653</v>
      </c>
      <c r="H433" t="n">
        <v>39.7909849902909</v>
      </c>
      <c r="I433" t="n">
        <v>-104.953723382783</v>
      </c>
      <c r="J433" t="s">
        <v>35</v>
      </c>
      <c r="K433" t="s">
        <v>70</v>
      </c>
      <c r="L433"/>
      <c r="M433" t="n">
        <v>1974</v>
      </c>
      <c r="N433" t="n">
        <v>1977</v>
      </c>
      <c r="O433" t="s">
        <v>1830</v>
      </c>
      <c r="P433" t="n">
        <v>2</v>
      </c>
      <c r="Q433" t="n">
        <v>2</v>
      </c>
      <c r="R433" t="n">
        <v>2</v>
      </c>
      <c r="S433" t="n">
        <v>1963</v>
      </c>
      <c r="T433" t="s">
        <v>8603</v>
      </c>
      <c r="U433" t="s">
        <v>8604</v>
      </c>
      <c r="V433" t="s">
        <v>74</v>
      </c>
      <c r="W433" t="s">
        <v>6610</v>
      </c>
      <c r="X433"/>
      <c r="Y433" t="s">
        <v>8605</v>
      </c>
      <c r="Z433"/>
      <c r="AA433" t="s">
        <v>8606</v>
      </c>
      <c r="AB433" t="s">
        <v>8607</v>
      </c>
      <c r="AC433" t="n">
        <v>89</v>
      </c>
      <c r="AD433"/>
      <c r="AE433"/>
      <c r="AF433" t="s">
        <v>8608</v>
      </c>
      <c r="AG433" t="n">
        <v>6</v>
      </c>
    </row>
    <row r="434">
      <c r="A434" t="s">
        <v>8609</v>
      </c>
      <c r="B434" t="s">
        <v>26</v>
      </c>
      <c r="C434" t="s">
        <v>65</v>
      </c>
      <c r="D434" t="s">
        <v>8610</v>
      </c>
      <c r="E434" t="s">
        <v>79</v>
      </c>
      <c r="F434" t="s">
        <v>1274</v>
      </c>
      <c r="G434" t="s">
        <v>1555</v>
      </c>
      <c r="H434" t="n">
        <v>39.7305024114016</v>
      </c>
      <c r="I434" t="n">
        <v>-104.998767222944</v>
      </c>
      <c r="J434" t="s">
        <v>35</v>
      </c>
      <c r="K434" t="s">
        <v>120</v>
      </c>
      <c r="L434"/>
      <c r="M434" t="n">
        <v>1974</v>
      </c>
      <c r="N434" t="n">
        <v>1992</v>
      </c>
      <c r="O434" t="s">
        <v>255</v>
      </c>
      <c r="P434" t="n">
        <v>4</v>
      </c>
      <c r="Q434" t="n">
        <v>3</v>
      </c>
      <c r="R434" t="n">
        <v>1</v>
      </c>
      <c r="S434" t="n">
        <v>1966</v>
      </c>
      <c r="T434" t="s">
        <v>8611</v>
      </c>
      <c r="U434" t="s">
        <v>8612</v>
      </c>
      <c r="V434" t="s">
        <v>74</v>
      </c>
      <c r="W434" t="s">
        <v>8613</v>
      </c>
      <c r="X434"/>
      <c r="Y434" t="s">
        <v>8614</v>
      </c>
      <c r="Z434"/>
      <c r="AA434" t="s">
        <v>8615</v>
      </c>
      <c r="AB434" t="s">
        <v>1995</v>
      </c>
      <c r="AC434" t="n">
        <v>46</v>
      </c>
      <c r="AD434"/>
      <c r="AE434"/>
      <c r="AF434" t="s">
        <v>1996</v>
      </c>
      <c r="AG434" t="n">
        <v>41</v>
      </c>
    </row>
    <row r="435">
      <c r="A435" t="s">
        <v>8616</v>
      </c>
      <c r="B435" t="s">
        <v>26</v>
      </c>
      <c r="C435" t="s">
        <v>24</v>
      </c>
      <c r="D435" t="s">
        <v>8617</v>
      </c>
      <c r="E435" t="s">
        <v>79</v>
      </c>
      <c r="F435" t="s">
        <v>1274</v>
      </c>
      <c r="G435" t="s">
        <v>1574</v>
      </c>
      <c r="H435" t="n">
        <v>39.766953</v>
      </c>
      <c r="I435" t="n">
        <v>-104.963438</v>
      </c>
      <c r="J435" t="s">
        <v>4109</v>
      </c>
      <c r="K435" t="s">
        <v>120</v>
      </c>
      <c r="L435"/>
      <c r="M435" t="n">
        <v>1974</v>
      </c>
      <c r="N435" t="n">
        <v>1974</v>
      </c>
      <c r="O435" t="s">
        <v>210</v>
      </c>
      <c r="P435" t="n">
        <v>1</v>
      </c>
      <c r="Q435" t="n">
        <v>1</v>
      </c>
      <c r="R435" t="n">
        <v>1</v>
      </c>
      <c r="S435" t="n">
        <v>1895</v>
      </c>
      <c r="T435" t="s">
        <v>8618</v>
      </c>
      <c r="U435" t="s">
        <v>8619</v>
      </c>
      <c r="V435" t="s">
        <v>74</v>
      </c>
      <c r="W435" t="s">
        <v>6610</v>
      </c>
      <c r="X435"/>
      <c r="Y435"/>
      <c r="Z435"/>
      <c r="AA435" t="s">
        <v>8620</v>
      </c>
      <c r="AB435"/>
      <c r="AC435"/>
      <c r="AD435"/>
      <c r="AE435"/>
      <c r="AF435"/>
      <c r="AG435"/>
    </row>
    <row r="436">
      <c r="A436" t="s">
        <v>8621</v>
      </c>
      <c r="B436" t="s">
        <v>26</v>
      </c>
      <c r="C436" t="s">
        <v>65</v>
      </c>
      <c r="D436" t="s">
        <v>8622</v>
      </c>
      <c r="E436" t="s">
        <v>79</v>
      </c>
      <c r="F436" t="s">
        <v>1274</v>
      </c>
      <c r="G436" t="s">
        <v>1653</v>
      </c>
      <c r="H436" t="n">
        <v>39.7749185618115</v>
      </c>
      <c r="I436" t="n">
        <v>-104.993622204083</v>
      </c>
      <c r="J436" t="s">
        <v>35</v>
      </c>
      <c r="K436" t="s">
        <v>120</v>
      </c>
      <c r="L436"/>
      <c r="M436" t="n">
        <v>1974</v>
      </c>
      <c r="N436" t="n">
        <v>1990</v>
      </c>
      <c r="O436" t="s">
        <v>1668</v>
      </c>
      <c r="P436" t="n">
        <v>5</v>
      </c>
      <c r="Q436" t="n">
        <v>4</v>
      </c>
      <c r="R436" t="n">
        <v>2</v>
      </c>
      <c r="S436" t="n">
        <v>1916</v>
      </c>
      <c r="T436" t="s">
        <v>8623</v>
      </c>
      <c r="U436" t="s">
        <v>8624</v>
      </c>
      <c r="V436" t="s">
        <v>74</v>
      </c>
      <c r="W436" t="s">
        <v>6610</v>
      </c>
      <c r="X436"/>
      <c r="Y436" t="s">
        <v>8625</v>
      </c>
      <c r="Z436"/>
      <c r="AA436" t="s">
        <v>8626</v>
      </c>
      <c r="AB436" t="s">
        <v>6752</v>
      </c>
      <c r="AC436" t="n">
        <v>111</v>
      </c>
      <c r="AD436"/>
      <c r="AE436"/>
      <c r="AF436" t="s">
        <v>7603</v>
      </c>
      <c r="AG436" t="n">
        <v>4</v>
      </c>
    </row>
    <row r="437">
      <c r="A437" t="s">
        <v>8627</v>
      </c>
      <c r="B437" t="s">
        <v>26</v>
      </c>
      <c r="C437" t="s">
        <v>24</v>
      </c>
      <c r="D437" t="s">
        <v>8628</v>
      </c>
      <c r="E437" t="s">
        <v>79</v>
      </c>
      <c r="F437" t="s">
        <v>1274</v>
      </c>
      <c r="G437" t="s">
        <v>1555</v>
      </c>
      <c r="H437" t="n">
        <v>39.748705</v>
      </c>
      <c r="I437" t="n">
        <v>-105.004684</v>
      </c>
      <c r="J437" t="s">
        <v>4109</v>
      </c>
      <c r="K437" t="s">
        <v>70</v>
      </c>
      <c r="L437"/>
      <c r="M437" t="n">
        <v>1974</v>
      </c>
      <c r="N437" t="n">
        <v>1974</v>
      </c>
      <c r="O437" t="s">
        <v>210</v>
      </c>
      <c r="P437" t="n">
        <v>1</v>
      </c>
      <c r="Q437" t="n">
        <v>1</v>
      </c>
      <c r="R437" t="n">
        <v>1</v>
      </c>
      <c r="S437" t="n">
        <v>1962</v>
      </c>
      <c r="T437" t="s">
        <v>8629</v>
      </c>
      <c r="U437" t="s">
        <v>8630</v>
      </c>
      <c r="V437" t="s">
        <v>74</v>
      </c>
      <c r="W437" t="s">
        <v>8631</v>
      </c>
      <c r="X437"/>
      <c r="Y437" t="s">
        <v>8632</v>
      </c>
      <c r="Z437"/>
      <c r="AA437" t="s">
        <v>8633</v>
      </c>
      <c r="AB437" t="s">
        <v>6747</v>
      </c>
      <c r="AC437" t="n">
        <v>173</v>
      </c>
      <c r="AD437"/>
      <c r="AE437"/>
      <c r="AF437" t="s">
        <v>8121</v>
      </c>
      <c r="AG437" t="n">
        <v>166</v>
      </c>
    </row>
    <row r="438">
      <c r="A438" t="s">
        <v>8634</v>
      </c>
      <c r="B438" t="s">
        <v>26</v>
      </c>
      <c r="C438" t="s">
        <v>65</v>
      </c>
      <c r="D438" t="s">
        <v>8635</v>
      </c>
      <c r="E438" t="s">
        <v>79</v>
      </c>
      <c r="F438" t="s">
        <v>1274</v>
      </c>
      <c r="G438" t="s">
        <v>1653</v>
      </c>
      <c r="H438" t="n">
        <v>39.7887347535644</v>
      </c>
      <c r="I438" t="n">
        <v>-104.947559298426</v>
      </c>
      <c r="J438" t="s">
        <v>35</v>
      </c>
      <c r="K438" t="s">
        <v>220</v>
      </c>
      <c r="L438"/>
      <c r="M438" t="n">
        <v>1974</v>
      </c>
      <c r="N438" t="n">
        <v>1992</v>
      </c>
      <c r="O438" t="s">
        <v>8636</v>
      </c>
      <c r="P438" t="n">
        <v>5</v>
      </c>
      <c r="Q438" t="n">
        <v>1</v>
      </c>
      <c r="R438" t="n">
        <v>1</v>
      </c>
      <c r="S438" t="n">
        <v>1968</v>
      </c>
      <c r="T438" t="s">
        <v>8637</v>
      </c>
      <c r="U438" t="s">
        <v>8638</v>
      </c>
      <c r="V438" t="s">
        <v>74</v>
      </c>
      <c r="W438" t="s">
        <v>6610</v>
      </c>
      <c r="X438"/>
      <c r="Y438"/>
      <c r="Z438"/>
      <c r="AA438"/>
      <c r="AB438"/>
      <c r="AC438"/>
      <c r="AD438"/>
      <c r="AE438"/>
      <c r="AF438" t="s">
        <v>7128</v>
      </c>
      <c r="AG438" t="n">
        <v>47</v>
      </c>
    </row>
    <row r="439">
      <c r="A439" t="s">
        <v>8639</v>
      </c>
      <c r="B439" t="s">
        <v>26</v>
      </c>
      <c r="C439" t="s">
        <v>65</v>
      </c>
      <c r="D439" t="s">
        <v>8640</v>
      </c>
      <c r="E439" t="s">
        <v>79</v>
      </c>
      <c r="F439" t="s">
        <v>1274</v>
      </c>
      <c r="G439" t="s">
        <v>1653</v>
      </c>
      <c r="H439" t="n">
        <v>39.7855383062715</v>
      </c>
      <c r="I439" t="n">
        <v>-104.978297702664</v>
      </c>
      <c r="J439" t="s">
        <v>35</v>
      </c>
      <c r="K439" t="s">
        <v>315</v>
      </c>
      <c r="L439"/>
      <c r="M439" t="n">
        <v>1974</v>
      </c>
      <c r="N439" t="n">
        <v>1992</v>
      </c>
      <c r="O439" t="s">
        <v>210</v>
      </c>
      <c r="P439" t="n">
        <v>7</v>
      </c>
      <c r="Q439" t="n">
        <v>4</v>
      </c>
      <c r="R439" t="n">
        <v>1</v>
      </c>
      <c r="S439" t="n">
        <v>1965</v>
      </c>
      <c r="T439" t="s">
        <v>8641</v>
      </c>
      <c r="U439" t="s">
        <v>8642</v>
      </c>
      <c r="V439" t="s">
        <v>74</v>
      </c>
      <c r="W439" t="s">
        <v>6578</v>
      </c>
      <c r="X439"/>
      <c r="Y439"/>
      <c r="Z439"/>
      <c r="AA439" t="s">
        <v>8643</v>
      </c>
      <c r="AB439"/>
      <c r="AC439"/>
      <c r="AD439" t="s">
        <v>6761</v>
      </c>
      <c r="AE439" t="n">
        <v>216</v>
      </c>
      <c r="AF439" t="s">
        <v>6762</v>
      </c>
      <c r="AG439" t="n">
        <v>58</v>
      </c>
    </row>
    <row r="440">
      <c r="A440" t="s">
        <v>8644</v>
      </c>
      <c r="B440" t="s">
        <v>26</v>
      </c>
      <c r="C440" t="s">
        <v>65</v>
      </c>
      <c r="D440" t="s">
        <v>8645</v>
      </c>
      <c r="E440" t="s">
        <v>79</v>
      </c>
      <c r="F440" t="s">
        <v>1274</v>
      </c>
      <c r="G440" t="s">
        <v>1516</v>
      </c>
      <c r="H440" t="n">
        <v>39.6798200400327</v>
      </c>
      <c r="I440" t="n">
        <v>-105.006419633949</v>
      </c>
      <c r="J440" t="s">
        <v>35</v>
      </c>
      <c r="K440" t="s">
        <v>270</v>
      </c>
      <c r="L440"/>
      <c r="M440" t="n">
        <v>1974</v>
      </c>
      <c r="N440" t="n">
        <v>1983</v>
      </c>
      <c r="O440" t="s">
        <v>2439</v>
      </c>
      <c r="P440" t="n">
        <v>4</v>
      </c>
      <c r="Q440" t="n">
        <v>2</v>
      </c>
      <c r="R440" t="n">
        <v>2</v>
      </c>
      <c r="S440" t="n">
        <v>1971</v>
      </c>
      <c r="T440" t="s">
        <v>8646</v>
      </c>
      <c r="U440" t="s">
        <v>8647</v>
      </c>
      <c r="V440" t="s">
        <v>74</v>
      </c>
      <c r="W440" t="s">
        <v>8648</v>
      </c>
      <c r="X440"/>
      <c r="Y440" t="s">
        <v>8649</v>
      </c>
      <c r="Z440"/>
      <c r="AA440" t="s">
        <v>8650</v>
      </c>
      <c r="AB440" t="s">
        <v>8651</v>
      </c>
      <c r="AC440" t="n">
        <v>24</v>
      </c>
      <c r="AD440"/>
      <c r="AE440"/>
      <c r="AF440" t="s">
        <v>8652</v>
      </c>
      <c r="AG440" t="n">
        <v>80</v>
      </c>
    </row>
    <row r="441">
      <c r="A441" t="s">
        <v>8653</v>
      </c>
      <c r="B441" t="s">
        <v>26</v>
      </c>
      <c r="C441" t="s">
        <v>24</v>
      </c>
      <c r="D441" t="s">
        <v>8654</v>
      </c>
      <c r="E441" t="s">
        <v>79</v>
      </c>
      <c r="F441" t="s">
        <v>1274</v>
      </c>
      <c r="G441" t="s">
        <v>1881</v>
      </c>
      <c r="H441" t="n">
        <v>39.772847</v>
      </c>
      <c r="I441" t="n">
        <v>-104.892076</v>
      </c>
      <c r="J441" t="s">
        <v>4109</v>
      </c>
      <c r="K441" t="s">
        <v>141</v>
      </c>
      <c r="L441"/>
      <c r="M441" t="n">
        <v>1974</v>
      </c>
      <c r="N441" t="n">
        <v>1974</v>
      </c>
      <c r="O441" t="s">
        <v>210</v>
      </c>
      <c r="P441" t="n">
        <v>1</v>
      </c>
      <c r="Q441" t="n">
        <v>1</v>
      </c>
      <c r="R441" t="n">
        <v>1</v>
      </c>
      <c r="S441"/>
      <c r="T441" t="s">
        <v>8655</v>
      </c>
      <c r="U441" t="s">
        <v>8656</v>
      </c>
      <c r="V441" t="s">
        <v>74</v>
      </c>
      <c r="W441" t="s">
        <v>8657</v>
      </c>
      <c r="X441" t="s">
        <v>8658</v>
      </c>
      <c r="Y441" t="s">
        <v>8659</v>
      </c>
      <c r="Z441"/>
      <c r="AA441" t="s">
        <v>8660</v>
      </c>
      <c r="AB441" t="s">
        <v>1884</v>
      </c>
      <c r="AC441" t="n">
        <v>30</v>
      </c>
      <c r="AD441" t="s">
        <v>1884</v>
      </c>
      <c r="AE441" t="n">
        <v>41</v>
      </c>
      <c r="AF441" t="s">
        <v>1885</v>
      </c>
      <c r="AG441" t="n">
        <v>162</v>
      </c>
    </row>
    <row r="442">
      <c r="A442" t="s">
        <v>8661</v>
      </c>
      <c r="B442" t="s">
        <v>26</v>
      </c>
      <c r="C442" t="s">
        <v>65</v>
      </c>
      <c r="D442" t="s">
        <v>8662</v>
      </c>
      <c r="E442" t="s">
        <v>79</v>
      </c>
      <c r="F442" t="s">
        <v>1274</v>
      </c>
      <c r="G442" t="s">
        <v>1555</v>
      </c>
      <c r="H442" t="n">
        <v>39.7405600857361</v>
      </c>
      <c r="I442" t="n">
        <v>-105.020384660173</v>
      </c>
      <c r="J442" t="s">
        <v>35</v>
      </c>
      <c r="K442" t="s">
        <v>89</v>
      </c>
      <c r="L442"/>
      <c r="M442" t="n">
        <v>1974</v>
      </c>
      <c r="N442" t="n">
        <v>1992</v>
      </c>
      <c r="O442" t="s">
        <v>255</v>
      </c>
      <c r="P442" t="n">
        <v>6</v>
      </c>
      <c r="Q442" t="n">
        <v>5</v>
      </c>
      <c r="R442" t="n">
        <v>1</v>
      </c>
      <c r="S442" t="n">
        <v>1971</v>
      </c>
      <c r="T442" t="s">
        <v>8663</v>
      </c>
      <c r="U442" t="s">
        <v>8664</v>
      </c>
      <c r="V442" t="s">
        <v>74</v>
      </c>
      <c r="W442" t="s">
        <v>8665</v>
      </c>
      <c r="X442"/>
      <c r="Y442"/>
      <c r="Z442"/>
      <c r="AA442"/>
      <c r="AB442" t="s">
        <v>6716</v>
      </c>
      <c r="AC442" t="n">
        <v>77</v>
      </c>
      <c r="AD442"/>
      <c r="AE442"/>
      <c r="AF442" t="s">
        <v>6717</v>
      </c>
      <c r="AG442" t="n">
        <v>99</v>
      </c>
    </row>
    <row r="443">
      <c r="A443" t="s">
        <v>8666</v>
      </c>
      <c r="B443" t="s">
        <v>26</v>
      </c>
      <c r="C443" t="s">
        <v>65</v>
      </c>
      <c r="D443" t="s">
        <v>8667</v>
      </c>
      <c r="E443" t="s">
        <v>79</v>
      </c>
      <c r="F443" t="s">
        <v>1274</v>
      </c>
      <c r="G443" t="s">
        <v>1911</v>
      </c>
      <c r="H443" t="n">
        <v>39.7402527346939</v>
      </c>
      <c r="I443" t="n">
        <v>-104.917555</v>
      </c>
      <c r="J443" t="s">
        <v>35</v>
      </c>
      <c r="K443" t="s">
        <v>133</v>
      </c>
      <c r="L443"/>
      <c r="M443" t="n">
        <v>1974</v>
      </c>
      <c r="N443" t="n">
        <v>1990</v>
      </c>
      <c r="O443" t="s">
        <v>351</v>
      </c>
      <c r="P443" t="n">
        <v>2</v>
      </c>
      <c r="Q443" t="n">
        <v>2</v>
      </c>
      <c r="R443" t="n">
        <v>1</v>
      </c>
      <c r="S443" t="n">
        <v>1971</v>
      </c>
      <c r="T443" t="s">
        <v>8668</v>
      </c>
      <c r="U443" t="s">
        <v>8669</v>
      </c>
      <c r="V443" t="s">
        <v>74</v>
      </c>
      <c r="W443" t="s">
        <v>8670</v>
      </c>
      <c r="X443"/>
      <c r="Y443"/>
      <c r="Z443"/>
      <c r="AA443"/>
      <c r="AB443" t="s">
        <v>8671</v>
      </c>
      <c r="AC443" t="n">
        <v>44</v>
      </c>
      <c r="AD443"/>
      <c r="AE443"/>
      <c r="AF443" t="s">
        <v>7371</v>
      </c>
      <c r="AG443" t="n">
        <v>110</v>
      </c>
    </row>
    <row r="444">
      <c r="A444" t="s">
        <v>8672</v>
      </c>
      <c r="B444" t="s">
        <v>26</v>
      </c>
      <c r="C444" t="s">
        <v>24</v>
      </c>
      <c r="D444" t="s">
        <v>8673</v>
      </c>
      <c r="E444" t="s">
        <v>79</v>
      </c>
      <c r="F444" t="s">
        <v>1274</v>
      </c>
      <c r="G444" t="s">
        <v>1824</v>
      </c>
      <c r="H444" t="n">
        <v>39.753303391528</v>
      </c>
      <c r="I444" t="n">
        <v>-104.985153592601</v>
      </c>
      <c r="J444" t="s">
        <v>35</v>
      </c>
      <c r="K444" t="s">
        <v>133</v>
      </c>
      <c r="L444"/>
      <c r="M444" t="n">
        <v>1974</v>
      </c>
      <c r="N444" t="n">
        <v>1977</v>
      </c>
      <c r="O444" t="s">
        <v>228</v>
      </c>
      <c r="P444" t="n">
        <v>2</v>
      </c>
      <c r="Q444" t="n">
        <v>2</v>
      </c>
      <c r="R444" t="n">
        <v>1</v>
      </c>
      <c r="S444" t="n">
        <v>1920</v>
      </c>
      <c r="T444" t="s">
        <v>8674</v>
      </c>
      <c r="U444" t="s">
        <v>8675</v>
      </c>
      <c r="V444" t="s">
        <v>4175</v>
      </c>
      <c r="W444" t="s">
        <v>6540</v>
      </c>
      <c r="X444"/>
      <c r="Y444"/>
      <c r="Z444"/>
      <c r="AA444"/>
      <c r="AB444" t="s">
        <v>6687</v>
      </c>
      <c r="AC444" t="n">
        <v>169</v>
      </c>
      <c r="AD444"/>
      <c r="AE444"/>
      <c r="AF444" t="s">
        <v>6978</v>
      </c>
      <c r="AG444" t="n">
        <v>126</v>
      </c>
    </row>
    <row r="445">
      <c r="A445" t="s">
        <v>8676</v>
      </c>
      <c r="B445" t="s">
        <v>26</v>
      </c>
      <c r="C445" t="s">
        <v>65</v>
      </c>
      <c r="D445" t="s">
        <v>8677</v>
      </c>
      <c r="E445" t="s">
        <v>79</v>
      </c>
      <c r="F445" t="s">
        <v>1274</v>
      </c>
      <c r="G445" t="s">
        <v>1555</v>
      </c>
      <c r="H445" t="n">
        <v>39.7312009890154</v>
      </c>
      <c r="I445" t="n">
        <v>-105.02207875674</v>
      </c>
      <c r="J445" t="s">
        <v>35</v>
      </c>
      <c r="K445" t="s">
        <v>120</v>
      </c>
      <c r="L445"/>
      <c r="M445" t="n">
        <v>1977</v>
      </c>
      <c r="N445" t="n">
        <v>1992</v>
      </c>
      <c r="O445" t="s">
        <v>228</v>
      </c>
      <c r="P445" t="n">
        <v>2</v>
      </c>
      <c r="Q445" t="n">
        <v>2</v>
      </c>
      <c r="R445" t="n">
        <v>1</v>
      </c>
      <c r="S445" t="n">
        <v>1963</v>
      </c>
      <c r="T445" t="s">
        <v>8678</v>
      </c>
      <c r="U445" t="s">
        <v>8679</v>
      </c>
      <c r="V445" t="s">
        <v>74</v>
      </c>
      <c r="W445" t="s">
        <v>8680</v>
      </c>
      <c r="X445"/>
      <c r="Y445" t="s">
        <v>8681</v>
      </c>
      <c r="Z445"/>
      <c r="AA445" t="s">
        <v>8682</v>
      </c>
      <c r="AB445" t="s">
        <v>6789</v>
      </c>
      <c r="AC445" t="n">
        <v>75</v>
      </c>
      <c r="AD445"/>
      <c r="AE445"/>
      <c r="AF445" t="s">
        <v>6790</v>
      </c>
      <c r="AG445" t="n">
        <v>75</v>
      </c>
    </row>
    <row r="446">
      <c r="A446" t="s">
        <v>8683</v>
      </c>
      <c r="B446" t="s">
        <v>26</v>
      </c>
      <c r="C446" t="s">
        <v>65</v>
      </c>
      <c r="D446" t="s">
        <v>8684</v>
      </c>
      <c r="E446" t="s">
        <v>79</v>
      </c>
      <c r="F446" t="s">
        <v>1274</v>
      </c>
      <c r="G446" t="s">
        <v>1653</v>
      </c>
      <c r="H446" t="n">
        <v>39.7967872952383</v>
      </c>
      <c r="I446" t="n">
        <v>-104.978240506362</v>
      </c>
      <c r="J446" t="s">
        <v>35</v>
      </c>
      <c r="K446" t="s">
        <v>282</v>
      </c>
      <c r="L446"/>
      <c r="M446" t="n">
        <v>1977</v>
      </c>
      <c r="N446" t="n">
        <v>1983</v>
      </c>
      <c r="O446" t="s">
        <v>255</v>
      </c>
      <c r="P446" t="n">
        <v>3</v>
      </c>
      <c r="Q446" t="n">
        <v>2</v>
      </c>
      <c r="R446" t="n">
        <v>1</v>
      </c>
      <c r="S446" t="n">
        <v>1953</v>
      </c>
      <c r="T446" t="s">
        <v>8685</v>
      </c>
      <c r="U446" t="s">
        <v>8686</v>
      </c>
      <c r="V446" t="s">
        <v>74</v>
      </c>
      <c r="W446" t="s">
        <v>7266</v>
      </c>
      <c r="X446"/>
      <c r="Y446" t="s">
        <v>8687</v>
      </c>
      <c r="Z446"/>
      <c r="AA446" t="s">
        <v>8688</v>
      </c>
      <c r="AB446" t="s">
        <v>8689</v>
      </c>
      <c r="AC446" t="n">
        <v>129</v>
      </c>
      <c r="AD446"/>
      <c r="AE446"/>
      <c r="AF446" t="s">
        <v>8690</v>
      </c>
      <c r="AG446" t="n">
        <v>31</v>
      </c>
    </row>
    <row r="447">
      <c r="A447" t="s">
        <v>8691</v>
      </c>
      <c r="B447" t="s">
        <v>26</v>
      </c>
      <c r="C447" t="s">
        <v>65</v>
      </c>
      <c r="D447" t="s">
        <v>8692</v>
      </c>
      <c r="E447" t="s">
        <v>79</v>
      </c>
      <c r="F447" t="s">
        <v>1274</v>
      </c>
      <c r="G447" t="s">
        <v>1440</v>
      </c>
      <c r="H447" t="n">
        <v>39.762069</v>
      </c>
      <c r="I447" t="n">
        <v>-105.028819</v>
      </c>
      <c r="J447" t="s">
        <v>35</v>
      </c>
      <c r="K447" t="s">
        <v>70</v>
      </c>
      <c r="L447"/>
      <c r="M447" t="n">
        <v>1977</v>
      </c>
      <c r="N447" t="n">
        <v>1988</v>
      </c>
      <c r="O447" t="s">
        <v>1668</v>
      </c>
      <c r="P447" t="n">
        <v>4</v>
      </c>
      <c r="Q447" t="n">
        <v>2</v>
      </c>
      <c r="R447" t="n">
        <v>2</v>
      </c>
      <c r="S447" t="n">
        <v>1912</v>
      </c>
      <c r="T447" t="s">
        <v>8693</v>
      </c>
      <c r="U447" t="s">
        <v>8694</v>
      </c>
      <c r="V447" t="s">
        <v>74</v>
      </c>
      <c r="W447" t="s">
        <v>8695</v>
      </c>
      <c r="X447"/>
      <c r="Y447"/>
      <c r="Z447"/>
      <c r="AA447"/>
      <c r="AB447" t="s">
        <v>8696</v>
      </c>
      <c r="AC447" t="n">
        <v>29</v>
      </c>
      <c r="AD447"/>
      <c r="AE447"/>
      <c r="AF447"/>
      <c r="AG447"/>
    </row>
    <row r="448">
      <c r="A448" t="s">
        <v>8697</v>
      </c>
      <c r="B448" t="s">
        <v>26</v>
      </c>
      <c r="C448" t="s">
        <v>65</v>
      </c>
      <c r="D448" t="s">
        <v>8698</v>
      </c>
      <c r="E448" t="s">
        <v>79</v>
      </c>
      <c r="F448" t="s">
        <v>1274</v>
      </c>
      <c r="G448" t="s">
        <v>1516</v>
      </c>
      <c r="H448" t="n">
        <v>39.6940183440534</v>
      </c>
      <c r="I448" t="n">
        <v>-105.000338825356</v>
      </c>
      <c r="J448" t="s">
        <v>35</v>
      </c>
      <c r="K448" t="s">
        <v>70</v>
      </c>
      <c r="L448"/>
      <c r="M448" t="n">
        <v>1977</v>
      </c>
      <c r="N448" t="n">
        <v>1990</v>
      </c>
      <c r="O448" t="s">
        <v>3267</v>
      </c>
      <c r="P448" t="n">
        <v>4</v>
      </c>
      <c r="Q448" t="n">
        <v>5</v>
      </c>
      <c r="R448" t="n">
        <v>2</v>
      </c>
      <c r="S448" t="n">
        <v>1965</v>
      </c>
      <c r="T448" t="s">
        <v>8699</v>
      </c>
      <c r="U448" t="s">
        <v>8700</v>
      </c>
      <c r="V448" t="s">
        <v>74</v>
      </c>
      <c r="W448" t="s">
        <v>6540</v>
      </c>
      <c r="X448" t="s">
        <v>8701</v>
      </c>
      <c r="Y448" t="s">
        <v>8702</v>
      </c>
      <c r="Z448"/>
      <c r="AA448" t="s">
        <v>8703</v>
      </c>
      <c r="AB448"/>
      <c r="AC448"/>
      <c r="AD448" t="s">
        <v>1478</v>
      </c>
      <c r="AE448" t="n">
        <v>106</v>
      </c>
      <c r="AF448" t="s">
        <v>8704</v>
      </c>
      <c r="AG448" t="n">
        <v>34</v>
      </c>
    </row>
    <row r="449">
      <c r="A449" t="s">
        <v>8705</v>
      </c>
      <c r="B449" t="s">
        <v>26</v>
      </c>
      <c r="C449" t="s">
        <v>65</v>
      </c>
      <c r="D449" t="s">
        <v>8706</v>
      </c>
      <c r="E449" t="s">
        <v>79</v>
      </c>
      <c r="F449" t="s">
        <v>1274</v>
      </c>
      <c r="G449" t="s">
        <v>1653</v>
      </c>
      <c r="H449" t="n">
        <v>39.777509188979</v>
      </c>
      <c r="I449" t="n">
        <v>-104.991201733743</v>
      </c>
      <c r="J449" t="s">
        <v>35</v>
      </c>
      <c r="K449" t="s">
        <v>89</v>
      </c>
      <c r="L449"/>
      <c r="M449" t="n">
        <v>1977</v>
      </c>
      <c r="N449" t="n">
        <v>1988</v>
      </c>
      <c r="O449" t="s">
        <v>8707</v>
      </c>
      <c r="P449" t="n">
        <v>4</v>
      </c>
      <c r="Q449" t="n">
        <v>2</v>
      </c>
      <c r="R449" t="n">
        <v>2</v>
      </c>
      <c r="S449" t="n">
        <v>1961</v>
      </c>
      <c r="T449" t="s">
        <v>8708</v>
      </c>
      <c r="U449" t="s">
        <v>8709</v>
      </c>
      <c r="V449" t="s">
        <v>74</v>
      </c>
      <c r="W449" t="s">
        <v>6610</v>
      </c>
      <c r="X449"/>
      <c r="Y449"/>
      <c r="Z449"/>
      <c r="AA449"/>
      <c r="AB449" t="s">
        <v>6612</v>
      </c>
      <c r="AC449" t="n">
        <v>77</v>
      </c>
      <c r="AD449"/>
      <c r="AE449"/>
      <c r="AF449" t="s">
        <v>8710</v>
      </c>
      <c r="AG449" t="n">
        <v>99</v>
      </c>
    </row>
    <row r="450">
      <c r="A450" t="s">
        <v>8711</v>
      </c>
      <c r="B450" t="s">
        <v>26</v>
      </c>
      <c r="C450" t="s">
        <v>65</v>
      </c>
      <c r="D450" t="s">
        <v>8712</v>
      </c>
      <c r="E450" t="s">
        <v>79</v>
      </c>
      <c r="F450" t="s">
        <v>1274</v>
      </c>
      <c r="G450" t="s">
        <v>1653</v>
      </c>
      <c r="H450" t="n">
        <v>39.7876440391953</v>
      </c>
      <c r="I450" t="n">
        <v>-104.931612699066</v>
      </c>
      <c r="J450" t="s">
        <v>35</v>
      </c>
      <c r="K450" t="s">
        <v>2274</v>
      </c>
      <c r="L450"/>
      <c r="M450" t="n">
        <v>1977</v>
      </c>
      <c r="N450" t="n">
        <v>1977</v>
      </c>
      <c r="O450" t="s">
        <v>228</v>
      </c>
      <c r="P450" t="n">
        <v>1</v>
      </c>
      <c r="Q450" t="n">
        <v>1</v>
      </c>
      <c r="R450" t="n">
        <v>1</v>
      </c>
      <c r="S450"/>
      <c r="T450" t="s">
        <v>8713</v>
      </c>
      <c r="U450" t="s">
        <v>8714</v>
      </c>
      <c r="V450" t="s">
        <v>74</v>
      </c>
      <c r="W450" t="s">
        <v>5083</v>
      </c>
      <c r="X450"/>
      <c r="Y450"/>
      <c r="Z450"/>
      <c r="AA450"/>
      <c r="AB450"/>
      <c r="AC450"/>
      <c r="AD450" t="s">
        <v>8715</v>
      </c>
      <c r="AE450" t="n">
        <v>220</v>
      </c>
      <c r="AF450" t="s">
        <v>8716</v>
      </c>
      <c r="AG450" t="n">
        <v>46</v>
      </c>
    </row>
    <row r="451">
      <c r="A451" t="s">
        <v>8717</v>
      </c>
      <c r="B451" t="s">
        <v>26</v>
      </c>
      <c r="C451" t="s">
        <v>65</v>
      </c>
      <c r="D451" t="s">
        <v>8718</v>
      </c>
      <c r="E451" t="s">
        <v>79</v>
      </c>
      <c r="F451" t="s">
        <v>1274</v>
      </c>
      <c r="G451" t="s">
        <v>1516</v>
      </c>
      <c r="H451" t="n">
        <v>39.6792988559391</v>
      </c>
      <c r="I451" t="n">
        <v>-105.005251019321</v>
      </c>
      <c r="J451" t="s">
        <v>35</v>
      </c>
      <c r="K451" t="s">
        <v>133</v>
      </c>
      <c r="L451"/>
      <c r="M451" t="n">
        <v>1977</v>
      </c>
      <c r="N451" t="n">
        <v>1990</v>
      </c>
      <c r="O451" t="s">
        <v>242</v>
      </c>
      <c r="P451" t="n">
        <v>4</v>
      </c>
      <c r="Q451" t="n">
        <v>1</v>
      </c>
      <c r="R451" t="n">
        <v>1</v>
      </c>
      <c r="S451" t="n">
        <v>1977</v>
      </c>
      <c r="T451" t="s">
        <v>8719</v>
      </c>
      <c r="U451" t="s">
        <v>8720</v>
      </c>
      <c r="V451" t="s">
        <v>74</v>
      </c>
      <c r="W451" t="s">
        <v>8721</v>
      </c>
      <c r="X451"/>
      <c r="Y451"/>
      <c r="Z451"/>
      <c r="AA451"/>
      <c r="AB451" t="s">
        <v>8553</v>
      </c>
      <c r="AC451" t="n">
        <v>22</v>
      </c>
      <c r="AD451"/>
      <c r="AE451"/>
      <c r="AF451" t="s">
        <v>8722</v>
      </c>
      <c r="AG451" t="n">
        <v>92</v>
      </c>
    </row>
    <row r="452">
      <c r="A452" t="s">
        <v>8723</v>
      </c>
      <c r="B452" t="s">
        <v>26</v>
      </c>
      <c r="C452" t="s">
        <v>24</v>
      </c>
      <c r="D452" t="s">
        <v>8724</v>
      </c>
      <c r="E452" t="s">
        <v>79</v>
      </c>
      <c r="F452" t="s">
        <v>1274</v>
      </c>
      <c r="G452" t="s">
        <v>1881</v>
      </c>
      <c r="H452" t="n">
        <v>39.7712201050505</v>
      </c>
      <c r="I452" t="n">
        <v>-104.910850232323</v>
      </c>
      <c r="J452" t="s">
        <v>4109</v>
      </c>
      <c r="K452" t="s">
        <v>70</v>
      </c>
      <c r="L452"/>
      <c r="M452" t="n">
        <v>1977</v>
      </c>
      <c r="N452" t="n">
        <v>1992</v>
      </c>
      <c r="O452" t="s">
        <v>4855</v>
      </c>
      <c r="P452" t="n">
        <v>5</v>
      </c>
      <c r="Q452" t="n">
        <v>3</v>
      </c>
      <c r="R452" t="n">
        <v>1</v>
      </c>
      <c r="S452" t="n">
        <v>1974</v>
      </c>
      <c r="T452" t="s">
        <v>8725</v>
      </c>
      <c r="U452" t="s">
        <v>8726</v>
      </c>
      <c r="V452" t="s">
        <v>74</v>
      </c>
      <c r="W452" t="s">
        <v>8727</v>
      </c>
      <c r="X452"/>
      <c r="Y452"/>
      <c r="Z452"/>
      <c r="AA452" t="s">
        <v>8728</v>
      </c>
      <c r="AB452" t="s">
        <v>8729</v>
      </c>
      <c r="AC452" t="n">
        <v>82</v>
      </c>
      <c r="AD452"/>
      <c r="AE452"/>
      <c r="AF452" t="s">
        <v>8730</v>
      </c>
      <c r="AG452" t="n">
        <v>61</v>
      </c>
    </row>
    <row r="453">
      <c r="A453" t="s">
        <v>8731</v>
      </c>
      <c r="B453" t="s">
        <v>26</v>
      </c>
      <c r="C453" t="s">
        <v>65</v>
      </c>
      <c r="D453" t="s">
        <v>8732</v>
      </c>
      <c r="E453" t="s">
        <v>79</v>
      </c>
      <c r="F453" t="s">
        <v>1274</v>
      </c>
      <c r="G453" t="s">
        <v>1574</v>
      </c>
      <c r="H453" t="n">
        <v>39.7592160707706</v>
      </c>
      <c r="I453" t="n">
        <v>-104.98623798722</v>
      </c>
      <c r="J453" t="s">
        <v>35</v>
      </c>
      <c r="K453" t="s">
        <v>527</v>
      </c>
      <c r="L453"/>
      <c r="M453" t="n">
        <v>1977</v>
      </c>
      <c r="N453" t="n">
        <v>1990</v>
      </c>
      <c r="O453" t="s">
        <v>264</v>
      </c>
      <c r="P453" t="n">
        <v>4</v>
      </c>
      <c r="Q453" t="n">
        <v>3</v>
      </c>
      <c r="R453" t="n">
        <v>1</v>
      </c>
      <c r="S453" t="n">
        <v>1919</v>
      </c>
      <c r="T453" t="s">
        <v>8733</v>
      </c>
      <c r="U453" t="s">
        <v>8734</v>
      </c>
      <c r="V453" t="s">
        <v>74</v>
      </c>
      <c r="W453" t="s">
        <v>8735</v>
      </c>
      <c r="X453"/>
      <c r="Y453"/>
      <c r="Z453"/>
      <c r="AA453" t="s">
        <v>8736</v>
      </c>
      <c r="AB453" t="s">
        <v>1378</v>
      </c>
      <c r="AC453" t="n">
        <v>72</v>
      </c>
      <c r="AD453"/>
      <c r="AE453"/>
      <c r="AF453" t="s">
        <v>1379</v>
      </c>
      <c r="AG453" t="n">
        <v>61</v>
      </c>
    </row>
    <row r="454">
      <c r="A454" t="s">
        <v>8737</v>
      </c>
      <c r="B454" t="s">
        <v>26</v>
      </c>
      <c r="C454" t="s">
        <v>65</v>
      </c>
      <c r="D454" t="s">
        <v>8738</v>
      </c>
      <c r="E454" t="s">
        <v>79</v>
      </c>
      <c r="F454" t="s">
        <v>1274</v>
      </c>
      <c r="G454" t="s">
        <v>1516</v>
      </c>
      <c r="H454" t="n">
        <v>39.6976873507319</v>
      </c>
      <c r="I454" t="n">
        <v>-104.991740822431</v>
      </c>
      <c r="J454" t="s">
        <v>35</v>
      </c>
      <c r="K454" t="s">
        <v>120</v>
      </c>
      <c r="L454"/>
      <c r="M454" t="n">
        <v>1977</v>
      </c>
      <c r="N454" t="n">
        <v>1983</v>
      </c>
      <c r="O454" t="s">
        <v>264</v>
      </c>
      <c r="P454" t="n">
        <v>2</v>
      </c>
      <c r="Q454" t="n">
        <v>2</v>
      </c>
      <c r="R454" t="n">
        <v>1</v>
      </c>
      <c r="S454" t="n">
        <v>1974</v>
      </c>
      <c r="T454" t="s">
        <v>8739</v>
      </c>
      <c r="U454" t="s">
        <v>8740</v>
      </c>
      <c r="V454" t="s">
        <v>74</v>
      </c>
      <c r="W454" t="s">
        <v>8741</v>
      </c>
      <c r="X454" t="s">
        <v>8742</v>
      </c>
      <c r="Y454"/>
      <c r="Z454"/>
      <c r="AA454"/>
      <c r="AB454" t="s">
        <v>8743</v>
      </c>
      <c r="AC454" t="n">
        <v>44</v>
      </c>
      <c r="AD454" t="s">
        <v>8744</v>
      </c>
      <c r="AE454" t="n">
        <v>78</v>
      </c>
      <c r="AF454" t="s">
        <v>8745</v>
      </c>
      <c r="AG454" t="n">
        <v>88</v>
      </c>
    </row>
    <row r="455">
      <c r="A455" t="s">
        <v>8746</v>
      </c>
      <c r="B455" t="s">
        <v>26</v>
      </c>
      <c r="C455" t="s">
        <v>65</v>
      </c>
      <c r="D455" t="s">
        <v>8747</v>
      </c>
      <c r="E455" t="s">
        <v>79</v>
      </c>
      <c r="F455" t="s">
        <v>1274</v>
      </c>
      <c r="G455" t="s">
        <v>1574</v>
      </c>
      <c r="H455" t="n">
        <v>39.7715058876587</v>
      </c>
      <c r="I455" t="n">
        <v>-104.970343163148</v>
      </c>
      <c r="J455" t="s">
        <v>35</v>
      </c>
      <c r="K455" t="s">
        <v>89</v>
      </c>
      <c r="L455"/>
      <c r="M455" t="n">
        <v>1977</v>
      </c>
      <c r="N455" t="n">
        <v>1977</v>
      </c>
      <c r="O455" t="s">
        <v>228</v>
      </c>
      <c r="P455" t="n">
        <v>1</v>
      </c>
      <c r="Q455" t="n">
        <v>1</v>
      </c>
      <c r="R455" t="n">
        <v>1</v>
      </c>
      <c r="S455" t="n">
        <v>1965</v>
      </c>
      <c r="T455" t="s">
        <v>8748</v>
      </c>
      <c r="U455" t="s">
        <v>8749</v>
      </c>
      <c r="V455" t="s">
        <v>74</v>
      </c>
      <c r="W455" t="s">
        <v>6610</v>
      </c>
      <c r="X455"/>
      <c r="Y455"/>
      <c r="Z455"/>
      <c r="AA455"/>
      <c r="AB455" t="s">
        <v>8483</v>
      </c>
      <c r="AC455" t="n">
        <v>89</v>
      </c>
      <c r="AD455"/>
      <c r="AE455"/>
      <c r="AF455" t="s">
        <v>8484</v>
      </c>
      <c r="AG455" t="n">
        <v>108</v>
      </c>
    </row>
    <row r="456">
      <c r="A456" t="s">
        <v>8750</v>
      </c>
      <c r="B456" t="s">
        <v>26</v>
      </c>
      <c r="C456" t="s">
        <v>24</v>
      </c>
      <c r="D456" t="s">
        <v>8751</v>
      </c>
      <c r="E456" t="s">
        <v>79</v>
      </c>
      <c r="F456" t="s">
        <v>1274</v>
      </c>
      <c r="G456" t="s">
        <v>1653</v>
      </c>
      <c r="H456" t="n">
        <v>39.7843483250487</v>
      </c>
      <c r="I456" t="n">
        <v>-104.995095276216</v>
      </c>
      <c r="J456" t="s">
        <v>4109</v>
      </c>
      <c r="K456" t="s">
        <v>133</v>
      </c>
      <c r="L456"/>
      <c r="M456" t="n">
        <v>1977</v>
      </c>
      <c r="N456" t="n">
        <v>1983</v>
      </c>
      <c r="O456" t="s">
        <v>3217</v>
      </c>
      <c r="P456" t="n">
        <v>2</v>
      </c>
      <c r="Q456" t="n">
        <v>1</v>
      </c>
      <c r="R456" t="n">
        <v>1</v>
      </c>
      <c r="S456" t="n">
        <v>1948</v>
      </c>
      <c r="T456" t="s">
        <v>8752</v>
      </c>
      <c r="U456" t="s">
        <v>8753</v>
      </c>
      <c r="V456" t="s">
        <v>74</v>
      </c>
      <c r="W456" t="s">
        <v>6610</v>
      </c>
      <c r="X456"/>
      <c r="Y456" t="s">
        <v>8754</v>
      </c>
      <c r="Z456"/>
      <c r="AA456"/>
      <c r="AB456"/>
      <c r="AC456"/>
      <c r="AD456"/>
      <c r="AE456"/>
      <c r="AF456" t="s">
        <v>8755</v>
      </c>
      <c r="AG456" t="n">
        <v>34</v>
      </c>
    </row>
    <row r="457">
      <c r="A457" t="s">
        <v>8756</v>
      </c>
      <c r="B457" t="s">
        <v>26</v>
      </c>
      <c r="C457" t="s">
        <v>65</v>
      </c>
      <c r="D457" t="s">
        <v>8757</v>
      </c>
      <c r="E457" t="s">
        <v>79</v>
      </c>
      <c r="F457" t="s">
        <v>1274</v>
      </c>
      <c r="G457" t="s">
        <v>1653</v>
      </c>
      <c r="H457" t="n">
        <v>39.7983472653061</v>
      </c>
      <c r="I457" t="n">
        <v>-104.979394857143</v>
      </c>
      <c r="J457" t="s">
        <v>35</v>
      </c>
      <c r="K457" t="s">
        <v>8506</v>
      </c>
      <c r="L457"/>
      <c r="M457" t="n">
        <v>1980</v>
      </c>
      <c r="N457" t="n">
        <v>1990</v>
      </c>
      <c r="O457" t="s">
        <v>582</v>
      </c>
      <c r="P457" t="n">
        <v>3</v>
      </c>
      <c r="Q457" t="n">
        <v>2</v>
      </c>
      <c r="R457" t="n">
        <v>2</v>
      </c>
      <c r="S457" t="n">
        <v>1945</v>
      </c>
      <c r="T457" t="s">
        <v>8758</v>
      </c>
      <c r="U457" t="s">
        <v>8759</v>
      </c>
      <c r="V457" t="s">
        <v>74</v>
      </c>
      <c r="W457" t="s">
        <v>7247</v>
      </c>
      <c r="X457"/>
      <c r="Y457" t="s">
        <v>8760</v>
      </c>
      <c r="Z457"/>
      <c r="AA457" t="s">
        <v>8761</v>
      </c>
      <c r="AB457" t="s">
        <v>8689</v>
      </c>
      <c r="AC457" t="n">
        <v>156</v>
      </c>
      <c r="AD457"/>
      <c r="AE457"/>
      <c r="AF457" t="s">
        <v>8762</v>
      </c>
      <c r="AG457" t="n">
        <v>2</v>
      </c>
    </row>
    <row r="458">
      <c r="A458" t="s">
        <v>8763</v>
      </c>
      <c r="B458" t="s">
        <v>26</v>
      </c>
      <c r="C458" t="s">
        <v>65</v>
      </c>
      <c r="D458" t="s">
        <v>8764</v>
      </c>
      <c r="E458" t="s">
        <v>79</v>
      </c>
      <c r="F458" t="s">
        <v>1274</v>
      </c>
      <c r="G458" t="s">
        <v>1653</v>
      </c>
      <c r="H458" t="n">
        <v>39.8034940720391</v>
      </c>
      <c r="I458" t="n">
        <v>-104.971728638433</v>
      </c>
      <c r="J458" t="s">
        <v>35</v>
      </c>
      <c r="K458" t="s">
        <v>70</v>
      </c>
      <c r="L458"/>
      <c r="M458" t="n">
        <v>1980</v>
      </c>
      <c r="N458" t="n">
        <v>1980</v>
      </c>
      <c r="O458" t="s">
        <v>255</v>
      </c>
      <c r="P458" t="n">
        <v>1</v>
      </c>
      <c r="Q458" t="n">
        <v>1</v>
      </c>
      <c r="R458" t="n">
        <v>1</v>
      </c>
      <c r="S458" t="n">
        <v>1978</v>
      </c>
      <c r="T458" t="s">
        <v>8765</v>
      </c>
      <c r="U458" t="s">
        <v>8766</v>
      </c>
      <c r="V458" t="s">
        <v>74</v>
      </c>
      <c r="W458" t="s">
        <v>7247</v>
      </c>
      <c r="X458"/>
      <c r="Y458" t="s">
        <v>8767</v>
      </c>
      <c r="Z458"/>
      <c r="AA458" t="s">
        <v>8768</v>
      </c>
      <c r="AB458"/>
      <c r="AC458"/>
      <c r="AD458" t="s">
        <v>8769</v>
      </c>
      <c r="AE458" t="n">
        <v>181</v>
      </c>
      <c r="AF458" t="s">
        <v>8770</v>
      </c>
      <c r="AG458" t="n">
        <v>14</v>
      </c>
    </row>
    <row r="459">
      <c r="A459" t="s">
        <v>8771</v>
      </c>
      <c r="B459" t="s">
        <v>26</v>
      </c>
      <c r="C459" t="s">
        <v>65</v>
      </c>
      <c r="D459" t="s">
        <v>8772</v>
      </c>
      <c r="E459" t="s">
        <v>79</v>
      </c>
      <c r="F459" t="s">
        <v>1274</v>
      </c>
      <c r="G459" t="s">
        <v>2041</v>
      </c>
      <c r="H459" t="n">
        <v>39.6786747242078</v>
      </c>
      <c r="I459" t="n">
        <v>-104.891684198745</v>
      </c>
      <c r="J459" t="s">
        <v>35</v>
      </c>
      <c r="K459" t="s">
        <v>527</v>
      </c>
      <c r="L459"/>
      <c r="M459" t="n">
        <v>1980</v>
      </c>
      <c r="N459" t="n">
        <v>1983</v>
      </c>
      <c r="O459" t="s">
        <v>528</v>
      </c>
      <c r="P459" t="n">
        <v>2</v>
      </c>
      <c r="Q459" t="n">
        <v>4</v>
      </c>
      <c r="R459" t="n">
        <v>2</v>
      </c>
      <c r="S459" t="n">
        <v>1972</v>
      </c>
      <c r="T459" t="s">
        <v>8773</v>
      </c>
      <c r="U459" t="s">
        <v>8774</v>
      </c>
      <c r="V459" t="s">
        <v>74</v>
      </c>
      <c r="W459" t="s">
        <v>8775</v>
      </c>
      <c r="X459"/>
      <c r="Y459" t="s">
        <v>8776</v>
      </c>
      <c r="Z459"/>
      <c r="AA459" t="s">
        <v>8777</v>
      </c>
      <c r="AB459" t="s">
        <v>7933</v>
      </c>
      <c r="AC459" t="n">
        <v>64</v>
      </c>
      <c r="AD459"/>
      <c r="AE459"/>
      <c r="AF459" t="s">
        <v>7934</v>
      </c>
      <c r="AG459" t="n">
        <v>30</v>
      </c>
    </row>
    <row r="460">
      <c r="A460" t="s">
        <v>8778</v>
      </c>
      <c r="B460" t="s">
        <v>26</v>
      </c>
      <c r="C460" t="s">
        <v>65</v>
      </c>
      <c r="D460" t="s">
        <v>8779</v>
      </c>
      <c r="E460" t="s">
        <v>79</v>
      </c>
      <c r="F460" t="s">
        <v>1274</v>
      </c>
      <c r="G460" t="s">
        <v>1612</v>
      </c>
      <c r="H460" t="n">
        <v>39.7043738670057</v>
      </c>
      <c r="I460" t="n">
        <v>-105.042486715842</v>
      </c>
      <c r="J460" t="s">
        <v>35</v>
      </c>
      <c r="K460" t="s">
        <v>220</v>
      </c>
      <c r="L460"/>
      <c r="M460" t="n">
        <v>1980</v>
      </c>
      <c r="N460" t="n">
        <v>1983</v>
      </c>
      <c r="O460" t="s">
        <v>528</v>
      </c>
      <c r="P460" t="n">
        <v>2</v>
      </c>
      <c r="Q460" t="n">
        <v>2</v>
      </c>
      <c r="R460" t="n">
        <v>2</v>
      </c>
      <c r="S460" t="n">
        <v>1970</v>
      </c>
      <c r="T460" t="s">
        <v>8780</v>
      </c>
      <c r="U460" t="s">
        <v>8781</v>
      </c>
      <c r="V460" t="s">
        <v>74</v>
      </c>
      <c r="W460" t="s">
        <v>8782</v>
      </c>
      <c r="X460"/>
      <c r="Y460" t="s">
        <v>8783</v>
      </c>
      <c r="Z460"/>
      <c r="AA460" t="s">
        <v>8784</v>
      </c>
      <c r="AB460" t="s">
        <v>8785</v>
      </c>
      <c r="AC460" t="n">
        <v>53</v>
      </c>
      <c r="AD460"/>
      <c r="AE460"/>
      <c r="AF460" t="s">
        <v>8786</v>
      </c>
      <c r="AG460" t="n">
        <v>15</v>
      </c>
    </row>
    <row r="461">
      <c r="A461" t="s">
        <v>8787</v>
      </c>
      <c r="B461" t="s">
        <v>26</v>
      </c>
      <c r="C461" t="s">
        <v>65</v>
      </c>
      <c r="D461" t="s">
        <v>8788</v>
      </c>
      <c r="E461" t="s">
        <v>79</v>
      </c>
      <c r="F461" t="s">
        <v>1274</v>
      </c>
      <c r="G461" t="s">
        <v>1653</v>
      </c>
      <c r="H461" t="n">
        <v>39.7760026193529</v>
      </c>
      <c r="I461" t="n">
        <v>-104.912884745993</v>
      </c>
      <c r="J461" t="s">
        <v>35</v>
      </c>
      <c r="K461" t="s">
        <v>1639</v>
      </c>
      <c r="L461"/>
      <c r="M461" t="n">
        <v>1980</v>
      </c>
      <c r="N461" t="n">
        <v>1990</v>
      </c>
      <c r="O461" t="s">
        <v>242</v>
      </c>
      <c r="P461" t="n">
        <v>3</v>
      </c>
      <c r="Q461" t="n">
        <v>2</v>
      </c>
      <c r="R461" t="n">
        <v>2</v>
      </c>
      <c r="S461" t="n">
        <v>1972</v>
      </c>
      <c r="T461" t="s">
        <v>8789</v>
      </c>
      <c r="U461" t="s">
        <v>8790</v>
      </c>
      <c r="V461" t="s">
        <v>74</v>
      </c>
      <c r="W461" t="s">
        <v>8791</v>
      </c>
      <c r="X461"/>
      <c r="Y461" t="s">
        <v>8792</v>
      </c>
      <c r="Z461"/>
      <c r="AA461" t="s">
        <v>8793</v>
      </c>
      <c r="AB461" t="s">
        <v>2166</v>
      </c>
      <c r="AC461" t="n">
        <v>56</v>
      </c>
      <c r="AD461"/>
      <c r="AE461"/>
      <c r="AF461" t="s">
        <v>8794</v>
      </c>
      <c r="AG461" t="n">
        <v>98</v>
      </c>
    </row>
    <row r="462">
      <c r="A462" t="s">
        <v>8795</v>
      </c>
      <c r="B462" t="s">
        <v>26</v>
      </c>
      <c r="C462" t="s">
        <v>24</v>
      </c>
      <c r="D462" t="s">
        <v>8796</v>
      </c>
      <c r="E462" t="s">
        <v>79</v>
      </c>
      <c r="F462" t="s">
        <v>1274</v>
      </c>
      <c r="G462" t="s">
        <v>1555</v>
      </c>
      <c r="H462" t="n">
        <v>39.744432</v>
      </c>
      <c r="I462" t="n">
        <v>-105.00599</v>
      </c>
      <c r="J462" t="s">
        <v>4109</v>
      </c>
      <c r="K462" t="s">
        <v>201</v>
      </c>
      <c r="L462"/>
      <c r="M462" t="n">
        <v>1980</v>
      </c>
      <c r="N462" t="n">
        <v>1988</v>
      </c>
      <c r="O462" t="s">
        <v>3312</v>
      </c>
      <c r="P462" t="n">
        <v>2</v>
      </c>
      <c r="Q462" t="n">
        <v>3</v>
      </c>
      <c r="R462" t="n">
        <v>3</v>
      </c>
      <c r="S462" t="n">
        <v>1908</v>
      </c>
      <c r="T462" t="s">
        <v>8797</v>
      </c>
      <c r="U462" t="s">
        <v>8798</v>
      </c>
      <c r="V462" t="s">
        <v>74</v>
      </c>
      <c r="W462" t="s">
        <v>8799</v>
      </c>
      <c r="X462"/>
      <c r="Y462" t="s">
        <v>8800</v>
      </c>
      <c r="Z462"/>
      <c r="AA462" t="s">
        <v>8801</v>
      </c>
      <c r="AB462" t="s">
        <v>4274</v>
      </c>
      <c r="AC462" t="n">
        <v>169</v>
      </c>
      <c r="AD462"/>
      <c r="AE462"/>
      <c r="AF462" t="s">
        <v>6597</v>
      </c>
      <c r="AG462" t="n">
        <v>167</v>
      </c>
    </row>
    <row r="463">
      <c r="A463" t="s">
        <v>8802</v>
      </c>
      <c r="B463" t="s">
        <v>26</v>
      </c>
      <c r="C463" t="s">
        <v>65</v>
      </c>
      <c r="D463" t="s">
        <v>8803</v>
      </c>
      <c r="E463" t="s">
        <v>79</v>
      </c>
      <c r="F463" t="s">
        <v>1274</v>
      </c>
      <c r="G463" t="s">
        <v>1653</v>
      </c>
      <c r="H463" t="n">
        <v>39.7840390698277</v>
      </c>
      <c r="I463" t="n">
        <v>-104.997954792904</v>
      </c>
      <c r="J463" t="s">
        <v>35</v>
      </c>
      <c r="K463" t="s">
        <v>70</v>
      </c>
      <c r="L463"/>
      <c r="M463" t="n">
        <v>1980</v>
      </c>
      <c r="N463" t="n">
        <v>1992</v>
      </c>
      <c r="O463" t="s">
        <v>320</v>
      </c>
      <c r="P463" t="n">
        <v>4</v>
      </c>
      <c r="Q463" t="n">
        <v>3</v>
      </c>
      <c r="R463" t="n">
        <v>2</v>
      </c>
      <c r="S463" t="n">
        <v>1973</v>
      </c>
      <c r="T463" t="s">
        <v>8804</v>
      </c>
      <c r="U463" t="s">
        <v>8805</v>
      </c>
      <c r="V463" t="s">
        <v>74</v>
      </c>
      <c r="W463" t="s">
        <v>6610</v>
      </c>
      <c r="X463"/>
      <c r="Y463" t="s">
        <v>8806</v>
      </c>
      <c r="Z463"/>
      <c r="AA463"/>
      <c r="AB463"/>
      <c r="AC463"/>
      <c r="AD463"/>
      <c r="AE463"/>
      <c r="AF463" t="s">
        <v>8807</v>
      </c>
      <c r="AG463" t="n">
        <v>82</v>
      </c>
    </row>
    <row r="464">
      <c r="A464" t="s">
        <v>8808</v>
      </c>
      <c r="B464" t="s">
        <v>26</v>
      </c>
      <c r="C464" t="s">
        <v>24</v>
      </c>
      <c r="D464" t="s">
        <v>8809</v>
      </c>
      <c r="E464" t="s">
        <v>79</v>
      </c>
      <c r="F464" t="s">
        <v>1274</v>
      </c>
      <c r="G464" t="s">
        <v>1440</v>
      </c>
      <c r="H464" t="n">
        <v>39.760435</v>
      </c>
      <c r="I464" t="n">
        <v>-105.004106</v>
      </c>
      <c r="J464" t="s">
        <v>4109</v>
      </c>
      <c r="K464" t="s">
        <v>1282</v>
      </c>
      <c r="L464" t="s">
        <v>8810</v>
      </c>
      <c r="M464" t="n">
        <v>1980</v>
      </c>
      <c r="N464" t="n">
        <v>1992</v>
      </c>
      <c r="O464" t="s">
        <v>1016</v>
      </c>
      <c r="P464" t="n">
        <v>2</v>
      </c>
      <c r="Q464" t="n">
        <v>3</v>
      </c>
      <c r="R464" t="n">
        <v>1</v>
      </c>
      <c r="S464" t="n">
        <v>1964</v>
      </c>
      <c r="T464" t="s">
        <v>8811</v>
      </c>
      <c r="U464" t="s">
        <v>8812</v>
      </c>
      <c r="V464" t="s">
        <v>74</v>
      </c>
      <c r="W464" t="s">
        <v>8813</v>
      </c>
      <c r="X464"/>
      <c r="Y464" t="s">
        <v>8814</v>
      </c>
      <c r="Z464"/>
      <c r="AA464" t="s">
        <v>8815</v>
      </c>
      <c r="AB464" t="s">
        <v>1552</v>
      </c>
      <c r="AC464" t="n">
        <v>221</v>
      </c>
      <c r="AD464"/>
      <c r="AE464"/>
      <c r="AF464" t="s">
        <v>1419</v>
      </c>
      <c r="AG464" t="n">
        <v>220</v>
      </c>
    </row>
    <row r="465">
      <c r="A465" t="s">
        <v>8816</v>
      </c>
      <c r="B465" t="s">
        <v>26</v>
      </c>
      <c r="C465" t="s">
        <v>24</v>
      </c>
      <c r="D465" t="s">
        <v>8817</v>
      </c>
      <c r="E465" t="s">
        <v>79</v>
      </c>
      <c r="F465" t="s">
        <v>1274</v>
      </c>
      <c r="G465" t="s">
        <v>1638</v>
      </c>
      <c r="H465" t="n">
        <v>39.7577597172657</v>
      </c>
      <c r="I465" t="n">
        <v>-104.996833778127</v>
      </c>
      <c r="J465" t="s">
        <v>4109</v>
      </c>
      <c r="K465" t="s">
        <v>70</v>
      </c>
      <c r="L465"/>
      <c r="M465" t="n">
        <v>1980</v>
      </c>
      <c r="N465" t="n">
        <v>1980</v>
      </c>
      <c r="O465" t="s">
        <v>255</v>
      </c>
      <c r="P465" t="n">
        <v>1</v>
      </c>
      <c r="Q465" t="n">
        <v>1</v>
      </c>
      <c r="R465" t="n">
        <v>1</v>
      </c>
      <c r="S465"/>
      <c r="T465" t="s">
        <v>8818</v>
      </c>
      <c r="U465" t="s">
        <v>8819</v>
      </c>
      <c r="V465" t="s">
        <v>74</v>
      </c>
      <c r="W465" t="s">
        <v>8820</v>
      </c>
      <c r="X465"/>
      <c r="Y465" t="s">
        <v>8821</v>
      </c>
      <c r="Z465"/>
      <c r="AA465" t="s">
        <v>8822</v>
      </c>
      <c r="AB465" t="s">
        <v>8823</v>
      </c>
      <c r="AC465" t="n">
        <v>41</v>
      </c>
      <c r="AD465"/>
      <c r="AE465"/>
      <c r="AF465" t="s">
        <v>6850</v>
      </c>
      <c r="AG465" t="n">
        <v>78</v>
      </c>
    </row>
    <row r="466">
      <c r="A466" t="s">
        <v>8824</v>
      </c>
      <c r="B466" t="s">
        <v>26</v>
      </c>
      <c r="C466" t="s">
        <v>65</v>
      </c>
      <c r="D466" t="s">
        <v>8825</v>
      </c>
      <c r="E466" t="s">
        <v>79</v>
      </c>
      <c r="F466" t="s">
        <v>1274</v>
      </c>
      <c r="G466" t="s">
        <v>1653</v>
      </c>
      <c r="H466" t="n">
        <v>39.7832795935275</v>
      </c>
      <c r="I466" t="n">
        <v>-104.92227495097</v>
      </c>
      <c r="J466" t="s">
        <v>35</v>
      </c>
      <c r="K466" t="s">
        <v>527</v>
      </c>
      <c r="L466"/>
      <c r="M466" t="n">
        <v>1980</v>
      </c>
      <c r="N466" t="n">
        <v>1980</v>
      </c>
      <c r="O466" t="s">
        <v>255</v>
      </c>
      <c r="P466" t="n">
        <v>1</v>
      </c>
      <c r="Q466" t="n">
        <v>2</v>
      </c>
      <c r="R466" t="n">
        <v>2</v>
      </c>
      <c r="S466" t="n">
        <v>1976</v>
      </c>
      <c r="T466" t="s">
        <v>8826</v>
      </c>
      <c r="U466" t="s">
        <v>8827</v>
      </c>
      <c r="V466" t="s">
        <v>74</v>
      </c>
      <c r="W466" t="s">
        <v>8828</v>
      </c>
      <c r="X466" t="s">
        <v>8829</v>
      </c>
      <c r="Y466"/>
      <c r="Z466"/>
      <c r="AA466"/>
      <c r="AB466" t="s">
        <v>8830</v>
      </c>
      <c r="AC466" t="n">
        <v>57</v>
      </c>
      <c r="AD466" t="s">
        <v>8050</v>
      </c>
      <c r="AE466" t="n">
        <v>94</v>
      </c>
      <c r="AF466" t="s">
        <v>8051</v>
      </c>
      <c r="AG466" t="n">
        <v>42</v>
      </c>
    </row>
    <row r="467">
      <c r="A467" t="s">
        <v>8831</v>
      </c>
      <c r="B467" t="s">
        <v>26</v>
      </c>
      <c r="C467" t="s">
        <v>24</v>
      </c>
      <c r="D467" t="s">
        <v>8832</v>
      </c>
      <c r="E467" t="s">
        <v>79</v>
      </c>
      <c r="F467" t="s">
        <v>1274</v>
      </c>
      <c r="G467" t="s">
        <v>1555</v>
      </c>
      <c r="H467" t="n">
        <v>39.742449</v>
      </c>
      <c r="I467" t="n">
        <v>-105.013517</v>
      </c>
      <c r="J467" t="s">
        <v>4109</v>
      </c>
      <c r="K467" t="s">
        <v>89</v>
      </c>
      <c r="L467"/>
      <c r="M467" t="n">
        <v>1980</v>
      </c>
      <c r="N467" t="n">
        <v>1983</v>
      </c>
      <c r="O467" t="s">
        <v>528</v>
      </c>
      <c r="P467" t="n">
        <v>2</v>
      </c>
      <c r="Q467" t="n">
        <v>1</v>
      </c>
      <c r="R467" t="n">
        <v>1</v>
      </c>
      <c r="S467" t="n">
        <v>1973</v>
      </c>
      <c r="T467" t="s">
        <v>8833</v>
      </c>
      <c r="U467" t="s">
        <v>8834</v>
      </c>
      <c r="V467" t="s">
        <v>74</v>
      </c>
      <c r="W467" t="s">
        <v>8835</v>
      </c>
      <c r="X467" t="s">
        <v>8836</v>
      </c>
      <c r="Y467" t="s">
        <v>8837</v>
      </c>
      <c r="Z467"/>
      <c r="AA467" t="s">
        <v>8838</v>
      </c>
      <c r="AB467" t="s">
        <v>8839</v>
      </c>
      <c r="AC467" t="n">
        <v>48</v>
      </c>
      <c r="AD467" t="s">
        <v>6971</v>
      </c>
      <c r="AE467" t="n">
        <v>82</v>
      </c>
      <c r="AF467" t="s">
        <v>8840</v>
      </c>
      <c r="AG467" t="n">
        <v>15</v>
      </c>
    </row>
    <row r="468">
      <c r="A468" t="s">
        <v>8841</v>
      </c>
      <c r="B468" t="s">
        <v>26</v>
      </c>
      <c r="C468" t="s">
        <v>24</v>
      </c>
      <c r="D468" t="s">
        <v>8842</v>
      </c>
      <c r="E468" t="s">
        <v>79</v>
      </c>
      <c r="F468" t="s">
        <v>1274</v>
      </c>
      <c r="G468" t="s">
        <v>1653</v>
      </c>
      <c r="H468" t="n">
        <v>39.78406</v>
      </c>
      <c r="I468" t="n">
        <v>-104.990132</v>
      </c>
      <c r="J468" t="s">
        <v>4109</v>
      </c>
      <c r="K468" t="s">
        <v>126</v>
      </c>
      <c r="L468"/>
      <c r="M468" t="n">
        <v>1980</v>
      </c>
      <c r="N468" t="n">
        <v>1980</v>
      </c>
      <c r="O468" t="s">
        <v>255</v>
      </c>
      <c r="P468" t="n">
        <v>1</v>
      </c>
      <c r="Q468" t="n">
        <v>1</v>
      </c>
      <c r="R468" t="n">
        <v>1</v>
      </c>
      <c r="S468" t="n">
        <v>1979</v>
      </c>
      <c r="T468" t="s">
        <v>8843</v>
      </c>
      <c r="U468" t="s">
        <v>8844</v>
      </c>
      <c r="V468" t="s">
        <v>74</v>
      </c>
      <c r="W468" t="s">
        <v>8845</v>
      </c>
      <c r="X468" t="s">
        <v>8846</v>
      </c>
      <c r="Y468" t="s">
        <v>8847</v>
      </c>
      <c r="Z468"/>
      <c r="AA468" t="s">
        <v>8848</v>
      </c>
      <c r="AB468" t="s">
        <v>7878</v>
      </c>
      <c r="AC468" t="n">
        <v>80</v>
      </c>
      <c r="AD468" t="s">
        <v>7059</v>
      </c>
      <c r="AE468" t="n">
        <v>215</v>
      </c>
      <c r="AF468" t="s">
        <v>7879</v>
      </c>
      <c r="AG468" t="n">
        <v>137</v>
      </c>
    </row>
    <row r="469">
      <c r="A469" t="s">
        <v>8849</v>
      </c>
      <c r="B469" t="s">
        <v>26</v>
      </c>
      <c r="C469" t="s">
        <v>65</v>
      </c>
      <c r="D469" t="s">
        <v>8850</v>
      </c>
      <c r="E469" t="s">
        <v>79</v>
      </c>
      <c r="F469" t="s">
        <v>1274</v>
      </c>
      <c r="G469" t="s">
        <v>1516</v>
      </c>
      <c r="H469" t="n">
        <v>39.68213</v>
      </c>
      <c r="I469" t="n">
        <v>-104.98995</v>
      </c>
      <c r="J469" t="s">
        <v>35</v>
      </c>
      <c r="K469" t="s">
        <v>89</v>
      </c>
      <c r="L469"/>
      <c r="M469" t="n">
        <v>1980</v>
      </c>
      <c r="N469" t="n">
        <v>1983</v>
      </c>
      <c r="O469" t="s">
        <v>255</v>
      </c>
      <c r="P469" t="n">
        <v>2</v>
      </c>
      <c r="Q469" t="n">
        <v>2</v>
      </c>
      <c r="R469" t="n">
        <v>1</v>
      </c>
      <c r="S469" t="n">
        <v>1908</v>
      </c>
      <c r="T469" t="s">
        <v>8851</v>
      </c>
      <c r="U469" t="s">
        <v>8852</v>
      </c>
      <c r="V469" t="s">
        <v>74</v>
      </c>
      <c r="W469" t="s">
        <v>6540</v>
      </c>
      <c r="X469"/>
      <c r="Y469" t="s">
        <v>8853</v>
      </c>
      <c r="Z469"/>
      <c r="AA469"/>
      <c r="AB469" t="s">
        <v>7581</v>
      </c>
      <c r="AC469" t="n">
        <v>100</v>
      </c>
      <c r="AD469" t="s">
        <v>7582</v>
      </c>
      <c r="AE469" t="n">
        <v>106</v>
      </c>
      <c r="AF469" t="s">
        <v>8854</v>
      </c>
      <c r="AG469" t="n">
        <v>22</v>
      </c>
    </row>
    <row r="470">
      <c r="A470" t="s">
        <v>8855</v>
      </c>
      <c r="B470" t="s">
        <v>26</v>
      </c>
      <c r="C470" t="s">
        <v>65</v>
      </c>
      <c r="D470" t="s">
        <v>8856</v>
      </c>
      <c r="E470" t="s">
        <v>79</v>
      </c>
      <c r="F470" t="s">
        <v>1274</v>
      </c>
      <c r="G470" t="s">
        <v>1653</v>
      </c>
      <c r="H470" t="n">
        <v>39.77702804778</v>
      </c>
      <c r="I470" t="n">
        <v>-104.99119351734</v>
      </c>
      <c r="J470" t="s">
        <v>35</v>
      </c>
      <c r="K470" t="s">
        <v>141</v>
      </c>
      <c r="L470"/>
      <c r="M470" t="n">
        <v>1980</v>
      </c>
      <c r="N470" t="n">
        <v>1990</v>
      </c>
      <c r="O470" t="s">
        <v>540</v>
      </c>
      <c r="P470" t="n">
        <v>4</v>
      </c>
      <c r="Q470" t="n">
        <v>2</v>
      </c>
      <c r="R470" t="n">
        <v>2</v>
      </c>
      <c r="S470" t="n">
        <v>1973</v>
      </c>
      <c r="T470" t="s">
        <v>8857</v>
      </c>
      <c r="U470" t="s">
        <v>8858</v>
      </c>
      <c r="V470" t="s">
        <v>74</v>
      </c>
      <c r="W470" t="s">
        <v>8859</v>
      </c>
      <c r="X470"/>
      <c r="Y470"/>
      <c r="Z470"/>
      <c r="AA470"/>
      <c r="AB470" t="s">
        <v>6612</v>
      </c>
      <c r="AC470" t="n">
        <v>24</v>
      </c>
      <c r="AD470"/>
      <c r="AE470"/>
      <c r="AF470" t="s">
        <v>8860</v>
      </c>
      <c r="AG470" t="n">
        <v>110</v>
      </c>
    </row>
    <row r="471">
      <c r="A471" t="s">
        <v>8861</v>
      </c>
      <c r="B471" t="s">
        <v>26</v>
      </c>
      <c r="C471" t="s">
        <v>24</v>
      </c>
      <c r="D471" t="s">
        <v>8862</v>
      </c>
      <c r="E471" t="s">
        <v>79</v>
      </c>
      <c r="F471" t="s">
        <v>1274</v>
      </c>
      <c r="G471" t="s">
        <v>1653</v>
      </c>
      <c r="H471" t="n">
        <v>39.782198</v>
      </c>
      <c r="I471" t="n">
        <v>-104.876251</v>
      </c>
      <c r="J471" t="s">
        <v>4109</v>
      </c>
      <c r="K471" t="s">
        <v>70</v>
      </c>
      <c r="L471"/>
      <c r="M471" t="n">
        <v>1980</v>
      </c>
      <c r="N471" t="n">
        <v>1980</v>
      </c>
      <c r="O471" t="s">
        <v>255</v>
      </c>
      <c r="P471" t="n">
        <v>1</v>
      </c>
      <c r="Q471" t="n">
        <v>1</v>
      </c>
      <c r="R471" t="n">
        <v>1</v>
      </c>
      <c r="S471" t="n">
        <v>1962</v>
      </c>
      <c r="T471" t="s">
        <v>8863</v>
      </c>
      <c r="U471" t="s">
        <v>8864</v>
      </c>
      <c r="V471" t="s">
        <v>74</v>
      </c>
      <c r="W471" t="s">
        <v>8865</v>
      </c>
      <c r="X471"/>
      <c r="Y471" t="s">
        <v>8866</v>
      </c>
      <c r="Z471"/>
      <c r="AA471" t="s">
        <v>8867</v>
      </c>
      <c r="AB471" t="s">
        <v>8868</v>
      </c>
      <c r="AC471" t="n">
        <v>126</v>
      </c>
      <c r="AD471"/>
      <c r="AE471"/>
      <c r="AF471" t="s">
        <v>8869</v>
      </c>
      <c r="AG471" t="n">
        <v>151</v>
      </c>
    </row>
    <row r="472">
      <c r="A472" t="s">
        <v>8870</v>
      </c>
      <c r="B472" t="s">
        <v>26</v>
      </c>
      <c r="C472" t="s">
        <v>24</v>
      </c>
      <c r="D472" t="s">
        <v>8871</v>
      </c>
      <c r="E472" t="s">
        <v>79</v>
      </c>
      <c r="F472" t="s">
        <v>1274</v>
      </c>
      <c r="G472" t="s">
        <v>1555</v>
      </c>
      <c r="H472" t="n">
        <v>39.7374981321918</v>
      </c>
      <c r="I472" t="n">
        <v>-105.005244042441</v>
      </c>
      <c r="J472" t="s">
        <v>4109</v>
      </c>
      <c r="K472" t="s">
        <v>141</v>
      </c>
      <c r="L472"/>
      <c r="M472" t="n">
        <v>1980</v>
      </c>
      <c r="N472" t="n">
        <v>1980</v>
      </c>
      <c r="O472" t="s">
        <v>255</v>
      </c>
      <c r="P472" t="n">
        <v>1</v>
      </c>
      <c r="Q472" t="n">
        <v>1</v>
      </c>
      <c r="R472" t="n">
        <v>1</v>
      </c>
      <c r="S472" t="n">
        <v>1963</v>
      </c>
      <c r="T472" t="s">
        <v>8872</v>
      </c>
      <c r="U472" t="s">
        <v>8873</v>
      </c>
      <c r="V472" t="s">
        <v>74</v>
      </c>
      <c r="W472" t="s">
        <v>8874</v>
      </c>
      <c r="X472"/>
      <c r="Y472" t="s">
        <v>8875</v>
      </c>
      <c r="Z472"/>
      <c r="AA472"/>
      <c r="AB472" t="s">
        <v>8876</v>
      </c>
      <c r="AC472" t="n">
        <v>42</v>
      </c>
      <c r="AD472"/>
      <c r="AE472"/>
      <c r="AF472" t="s">
        <v>8877</v>
      </c>
      <c r="AG472" t="n">
        <v>30</v>
      </c>
    </row>
    <row r="473">
      <c r="A473" t="s">
        <v>8878</v>
      </c>
      <c r="B473" t="s">
        <v>26</v>
      </c>
      <c r="C473" t="s">
        <v>65</v>
      </c>
      <c r="D473" t="s">
        <v>8879</v>
      </c>
      <c r="E473" t="s">
        <v>79</v>
      </c>
      <c r="F473" t="s">
        <v>1274</v>
      </c>
      <c r="G473" t="s">
        <v>1653</v>
      </c>
      <c r="H473" t="n">
        <v>39.7739255333761</v>
      </c>
      <c r="I473" t="n">
        <v>-104.946398648765</v>
      </c>
      <c r="J473" t="s">
        <v>35</v>
      </c>
      <c r="K473" t="s">
        <v>120</v>
      </c>
      <c r="L473"/>
      <c r="M473" t="n">
        <v>1980</v>
      </c>
      <c r="N473" t="n">
        <v>1990</v>
      </c>
      <c r="O473" t="s">
        <v>351</v>
      </c>
      <c r="P473" t="n">
        <v>4</v>
      </c>
      <c r="Q473" t="n">
        <v>2</v>
      </c>
      <c r="R473" t="n">
        <v>1</v>
      </c>
      <c r="S473" t="n">
        <v>1970</v>
      </c>
      <c r="T473" t="s">
        <v>8880</v>
      </c>
      <c r="U473" t="s">
        <v>8881</v>
      </c>
      <c r="V473" t="s">
        <v>74</v>
      </c>
      <c r="W473" t="s">
        <v>6610</v>
      </c>
      <c r="X473"/>
      <c r="Y473" t="s">
        <v>8882</v>
      </c>
      <c r="Z473"/>
      <c r="AA473"/>
      <c r="AB473"/>
      <c r="AC473"/>
      <c r="AD473"/>
      <c r="AE473"/>
      <c r="AF473" t="s">
        <v>7590</v>
      </c>
      <c r="AG473" t="n">
        <v>25</v>
      </c>
    </row>
    <row r="474">
      <c r="A474" t="s">
        <v>8883</v>
      </c>
      <c r="B474" t="s">
        <v>26</v>
      </c>
      <c r="C474" t="s">
        <v>65</v>
      </c>
      <c r="D474" t="s">
        <v>8884</v>
      </c>
      <c r="E474" t="s">
        <v>79</v>
      </c>
      <c r="F474" t="s">
        <v>1274</v>
      </c>
      <c r="G474" t="s">
        <v>1516</v>
      </c>
      <c r="H474" t="n">
        <v>39.6854778153758</v>
      </c>
      <c r="I474" t="n">
        <v>-104.988763446281</v>
      </c>
      <c r="J474" t="s">
        <v>35</v>
      </c>
      <c r="K474" t="s">
        <v>70</v>
      </c>
      <c r="L474"/>
      <c r="M474" t="n">
        <v>1980</v>
      </c>
      <c r="N474" t="n">
        <v>1990</v>
      </c>
      <c r="O474" t="s">
        <v>555</v>
      </c>
      <c r="P474" t="n">
        <v>2</v>
      </c>
      <c r="Q474" t="n">
        <v>1</v>
      </c>
      <c r="R474" t="n">
        <v>1</v>
      </c>
      <c r="S474" t="n">
        <v>1881</v>
      </c>
      <c r="T474" t="s">
        <v>8885</v>
      </c>
      <c r="U474" t="s">
        <v>8886</v>
      </c>
      <c r="V474" t="s">
        <v>74</v>
      </c>
      <c r="W474" t="s">
        <v>6540</v>
      </c>
      <c r="X474"/>
      <c r="Y474" t="s">
        <v>8887</v>
      </c>
      <c r="Z474" t="s">
        <v>8888</v>
      </c>
      <c r="AA474"/>
      <c r="AB474"/>
      <c r="AC474"/>
      <c r="AD474" t="s">
        <v>8889</v>
      </c>
      <c r="AE474" t="n">
        <v>102</v>
      </c>
      <c r="AF474" t="s">
        <v>8287</v>
      </c>
      <c r="AG474" t="n">
        <v>73</v>
      </c>
    </row>
    <row r="475">
      <c r="A475" t="s">
        <v>8890</v>
      </c>
      <c r="B475" t="s">
        <v>26</v>
      </c>
      <c r="C475" t="s">
        <v>24</v>
      </c>
      <c r="D475" t="s">
        <v>8891</v>
      </c>
      <c r="E475" t="s">
        <v>79</v>
      </c>
      <c r="F475" t="s">
        <v>1274</v>
      </c>
      <c r="G475" t="s">
        <v>1653</v>
      </c>
      <c r="H475" t="n">
        <v>39.7692015840301</v>
      </c>
      <c r="I475" t="n">
        <v>-104.977393764634</v>
      </c>
      <c r="J475" t="s">
        <v>4109</v>
      </c>
      <c r="K475" t="s">
        <v>89</v>
      </c>
      <c r="L475"/>
      <c r="M475" t="n">
        <v>1980</v>
      </c>
      <c r="N475" t="n">
        <v>1988</v>
      </c>
      <c r="O475" t="s">
        <v>1668</v>
      </c>
      <c r="P475" t="n">
        <v>3</v>
      </c>
      <c r="Q475" t="n">
        <v>3</v>
      </c>
      <c r="R475" t="n">
        <v>3</v>
      </c>
      <c r="S475" t="n">
        <v>1960</v>
      </c>
      <c r="T475" t="s">
        <v>8892</v>
      </c>
      <c r="U475" t="s">
        <v>8893</v>
      </c>
      <c r="V475" t="s">
        <v>74</v>
      </c>
      <c r="W475" t="s">
        <v>6610</v>
      </c>
      <c r="X475"/>
      <c r="Y475"/>
      <c r="Z475"/>
      <c r="AA475" t="s">
        <v>8894</v>
      </c>
      <c r="AB475" t="s">
        <v>7319</v>
      </c>
      <c r="AC475" t="n">
        <v>96</v>
      </c>
      <c r="AD475" t="s">
        <v>1591</v>
      </c>
      <c r="AE475" t="n">
        <v>156</v>
      </c>
      <c r="AF475" t="s">
        <v>6841</v>
      </c>
      <c r="AG475" t="n">
        <v>101</v>
      </c>
    </row>
    <row r="476">
      <c r="A476" t="s">
        <v>8895</v>
      </c>
      <c r="B476" t="s">
        <v>26</v>
      </c>
      <c r="C476" t="s">
        <v>65</v>
      </c>
      <c r="D476" t="s">
        <v>8896</v>
      </c>
      <c r="E476" t="s">
        <v>79</v>
      </c>
      <c r="F476" t="s">
        <v>1274</v>
      </c>
      <c r="G476" t="s">
        <v>1638</v>
      </c>
      <c r="H476" t="n">
        <v>39.705563</v>
      </c>
      <c r="I476" t="n">
        <v>-104.937542</v>
      </c>
      <c r="J476" t="s">
        <v>35</v>
      </c>
      <c r="K476" t="s">
        <v>120</v>
      </c>
      <c r="L476"/>
      <c r="M476" t="n">
        <v>1980</v>
      </c>
      <c r="N476" t="n">
        <v>1980</v>
      </c>
      <c r="O476" t="s">
        <v>255</v>
      </c>
      <c r="P476" t="n">
        <v>1</v>
      </c>
      <c r="Q476" t="n">
        <v>1</v>
      </c>
      <c r="R476" t="n">
        <v>1</v>
      </c>
      <c r="S476" t="n">
        <v>1885</v>
      </c>
      <c r="T476" t="s">
        <v>8897</v>
      </c>
      <c r="U476" t="s">
        <v>8898</v>
      </c>
      <c r="V476" t="s">
        <v>74</v>
      </c>
      <c r="W476" t="s">
        <v>8899</v>
      </c>
      <c r="X476"/>
      <c r="Y476"/>
      <c r="Z476"/>
      <c r="AA476"/>
      <c r="AB476" t="s">
        <v>1860</v>
      </c>
      <c r="AC476" t="n">
        <v>59</v>
      </c>
      <c r="AD476"/>
      <c r="AE476"/>
      <c r="AF476" t="s">
        <v>1861</v>
      </c>
      <c r="AG476" t="n">
        <v>84</v>
      </c>
    </row>
    <row r="477">
      <c r="A477" t="s">
        <v>8900</v>
      </c>
      <c r="B477" t="s">
        <v>26</v>
      </c>
      <c r="C477" t="s">
        <v>65</v>
      </c>
      <c r="D477" t="s">
        <v>8901</v>
      </c>
      <c r="E477" t="s">
        <v>79</v>
      </c>
      <c r="F477" t="s">
        <v>1274</v>
      </c>
      <c r="G477" t="s">
        <v>1574</v>
      </c>
      <c r="H477" t="n">
        <v>39.7722732046265</v>
      </c>
      <c r="I477" t="n">
        <v>-104.964703670419</v>
      </c>
      <c r="J477" t="s">
        <v>35</v>
      </c>
      <c r="K477" t="s">
        <v>111</v>
      </c>
      <c r="L477"/>
      <c r="M477" t="n">
        <v>1980</v>
      </c>
      <c r="N477" t="n">
        <v>1990</v>
      </c>
      <c r="O477" t="s">
        <v>540</v>
      </c>
      <c r="P477" t="n">
        <v>4</v>
      </c>
      <c r="Q477" t="n">
        <v>3</v>
      </c>
      <c r="R477" t="n">
        <v>2</v>
      </c>
      <c r="S477" t="n">
        <v>1974</v>
      </c>
      <c r="T477" t="s">
        <v>8902</v>
      </c>
      <c r="U477" t="s">
        <v>8903</v>
      </c>
      <c r="V477" t="s">
        <v>74</v>
      </c>
      <c r="W477" t="s">
        <v>6610</v>
      </c>
      <c r="X477"/>
      <c r="Y477" t="s">
        <v>8904</v>
      </c>
      <c r="Z477"/>
      <c r="AA477"/>
      <c r="AB477"/>
      <c r="AC477"/>
      <c r="AD477"/>
      <c r="AE477"/>
      <c r="AF477" t="s">
        <v>8905</v>
      </c>
      <c r="AG477" t="n">
        <v>24</v>
      </c>
    </row>
    <row r="478">
      <c r="A478" t="s">
        <v>8906</v>
      </c>
      <c r="B478" t="s">
        <v>26</v>
      </c>
      <c r="C478" t="s">
        <v>24</v>
      </c>
      <c r="D478" t="s">
        <v>8907</v>
      </c>
      <c r="E478" t="s">
        <v>79</v>
      </c>
      <c r="F478" t="s">
        <v>1274</v>
      </c>
      <c r="G478" t="s">
        <v>1653</v>
      </c>
      <c r="H478" t="n">
        <v>39.7830714472124</v>
      </c>
      <c r="I478" t="n">
        <v>-104.992634609579</v>
      </c>
      <c r="J478" t="s">
        <v>4109</v>
      </c>
      <c r="K478" t="s">
        <v>120</v>
      </c>
      <c r="L478"/>
      <c r="M478" t="n">
        <v>1980</v>
      </c>
      <c r="N478" t="n">
        <v>1980</v>
      </c>
      <c r="O478" t="s">
        <v>255</v>
      </c>
      <c r="P478" t="n">
        <v>1</v>
      </c>
      <c r="Q478" t="n">
        <v>1</v>
      </c>
      <c r="R478" t="n">
        <v>1</v>
      </c>
      <c r="S478" t="n">
        <v>1978</v>
      </c>
      <c r="T478" t="s">
        <v>8908</v>
      </c>
      <c r="U478" t="s">
        <v>8909</v>
      </c>
      <c r="V478" t="s">
        <v>74</v>
      </c>
      <c r="W478" t="s">
        <v>8910</v>
      </c>
      <c r="X478"/>
      <c r="Y478" t="s">
        <v>8911</v>
      </c>
      <c r="Z478"/>
      <c r="AA478" t="s">
        <v>8912</v>
      </c>
      <c r="AB478" t="s">
        <v>8913</v>
      </c>
      <c r="AC478" t="n">
        <v>174</v>
      </c>
      <c r="AD478"/>
      <c r="AE478"/>
      <c r="AF478" t="s">
        <v>8914</v>
      </c>
      <c r="AG478" t="n">
        <v>2</v>
      </c>
    </row>
    <row r="479">
      <c r="A479" t="s">
        <v>8915</v>
      </c>
      <c r="B479" t="s">
        <v>26</v>
      </c>
      <c r="C479" t="s">
        <v>24</v>
      </c>
      <c r="D479" t="s">
        <v>8916</v>
      </c>
      <c r="E479" t="s">
        <v>79</v>
      </c>
      <c r="F479" t="s">
        <v>1274</v>
      </c>
      <c r="G479" t="s">
        <v>1653</v>
      </c>
      <c r="H479" t="n">
        <v>39.8045897959184</v>
      </c>
      <c r="I479" t="n">
        <v>-104.978094714286</v>
      </c>
      <c r="J479" t="s">
        <v>4109</v>
      </c>
      <c r="K479" t="s">
        <v>2274</v>
      </c>
      <c r="L479"/>
      <c r="M479" t="n">
        <v>1980</v>
      </c>
      <c r="N479" t="n">
        <v>1988</v>
      </c>
      <c r="O479" t="s">
        <v>1668</v>
      </c>
      <c r="P479" t="n">
        <v>3</v>
      </c>
      <c r="Q479" t="n">
        <v>1</v>
      </c>
      <c r="R479" t="n">
        <v>1</v>
      </c>
      <c r="S479" t="n">
        <v>1878</v>
      </c>
      <c r="T479" t="s">
        <v>8917</v>
      </c>
      <c r="U479" t="s">
        <v>8918</v>
      </c>
      <c r="V479" t="s">
        <v>74</v>
      </c>
      <c r="W479" t="s">
        <v>8919</v>
      </c>
      <c r="X479" t="s">
        <v>8920</v>
      </c>
      <c r="Y479" t="s">
        <v>8921</v>
      </c>
      <c r="Z479"/>
      <c r="AA479" t="s">
        <v>8922</v>
      </c>
      <c r="AB479" t="s">
        <v>8923</v>
      </c>
      <c r="AC479" t="n">
        <v>13</v>
      </c>
      <c r="AD479" t="s">
        <v>7281</v>
      </c>
      <c r="AE479" t="n">
        <v>49</v>
      </c>
      <c r="AF479" t="s">
        <v>8924</v>
      </c>
      <c r="AG479" t="n">
        <v>7</v>
      </c>
    </row>
    <row r="480">
      <c r="A480" t="s">
        <v>8925</v>
      </c>
      <c r="B480" t="s">
        <v>26</v>
      </c>
      <c r="C480" t="s">
        <v>65</v>
      </c>
      <c r="D480" t="s">
        <v>8926</v>
      </c>
      <c r="E480" t="s">
        <v>79</v>
      </c>
      <c r="F480" t="s">
        <v>1274</v>
      </c>
      <c r="G480" t="s">
        <v>1653</v>
      </c>
      <c r="H480" t="n">
        <v>39.7751480937065</v>
      </c>
      <c r="I480" t="n">
        <v>-104.949687638983</v>
      </c>
      <c r="J480" t="s">
        <v>35</v>
      </c>
      <c r="K480" t="s">
        <v>120</v>
      </c>
      <c r="L480"/>
      <c r="M480" t="n">
        <v>1980</v>
      </c>
      <c r="N480" t="n">
        <v>1992</v>
      </c>
      <c r="O480" t="s">
        <v>255</v>
      </c>
      <c r="P480" t="n">
        <v>3</v>
      </c>
      <c r="Q480" t="n">
        <v>2</v>
      </c>
      <c r="R480" t="n">
        <v>1</v>
      </c>
      <c r="S480" t="n">
        <v>1951</v>
      </c>
      <c r="T480" t="s">
        <v>8927</v>
      </c>
      <c r="U480" t="s">
        <v>8928</v>
      </c>
      <c r="V480" t="s">
        <v>74</v>
      </c>
      <c r="W480" t="s">
        <v>6610</v>
      </c>
      <c r="X480"/>
      <c r="Y480"/>
      <c r="Z480"/>
      <c r="AA480" t="s">
        <v>8929</v>
      </c>
      <c r="AB480" t="s">
        <v>7289</v>
      </c>
      <c r="AC480" t="n">
        <v>123</v>
      </c>
      <c r="AD480" t="s">
        <v>7290</v>
      </c>
      <c r="AE480" t="n">
        <v>168</v>
      </c>
      <c r="AF480" t="s">
        <v>8930</v>
      </c>
      <c r="AG480" t="n">
        <v>151</v>
      </c>
    </row>
    <row r="481">
      <c r="A481" t="s">
        <v>8931</v>
      </c>
      <c r="B481" t="s">
        <v>26</v>
      </c>
      <c r="C481" t="s">
        <v>25</v>
      </c>
      <c r="D481" t="s">
        <v>8932</v>
      </c>
      <c r="E481" t="s">
        <v>79</v>
      </c>
      <c r="F481" t="s">
        <v>1274</v>
      </c>
      <c r="G481" t="s">
        <v>1702</v>
      </c>
      <c r="H481" t="n">
        <v>39.732852</v>
      </c>
      <c r="I481" t="n">
        <v>-104.874563836735</v>
      </c>
      <c r="J481" t="s">
        <v>4109</v>
      </c>
      <c r="K481" t="s">
        <v>133</v>
      </c>
      <c r="L481"/>
      <c r="M481" t="n">
        <v>1983</v>
      </c>
      <c r="N481" t="n">
        <v>1983</v>
      </c>
      <c r="O481" t="s">
        <v>264</v>
      </c>
      <c r="P481" t="n">
        <v>1</v>
      </c>
      <c r="Q481" t="n">
        <v>1</v>
      </c>
      <c r="R481" t="n">
        <v>1</v>
      </c>
      <c r="S481" t="n">
        <v>1975</v>
      </c>
      <c r="T481" t="s">
        <v>8933</v>
      </c>
      <c r="U481" t="s">
        <v>8934</v>
      </c>
      <c r="V481" t="s">
        <v>4175</v>
      </c>
      <c r="W481" t="s">
        <v>8935</v>
      </c>
      <c r="X481"/>
      <c r="Y481" t="s">
        <v>8936</v>
      </c>
      <c r="Z481"/>
      <c r="AA481" t="s">
        <v>8937</v>
      </c>
      <c r="AB481" t="s">
        <v>8938</v>
      </c>
      <c r="AC481" t="n">
        <v>218</v>
      </c>
      <c r="AD481"/>
      <c r="AE481"/>
      <c r="AF481" t="s">
        <v>8939</v>
      </c>
      <c r="AG481" t="n">
        <v>199</v>
      </c>
    </row>
    <row r="482">
      <c r="A482" t="s">
        <v>8940</v>
      </c>
      <c r="B482" t="s">
        <v>26</v>
      </c>
      <c r="C482" t="s">
        <v>65</v>
      </c>
      <c r="D482" t="s">
        <v>8941</v>
      </c>
      <c r="E482" t="s">
        <v>79</v>
      </c>
      <c r="F482" t="s">
        <v>1274</v>
      </c>
      <c r="G482" t="s">
        <v>1653</v>
      </c>
      <c r="H482" t="n">
        <v>39.801907</v>
      </c>
      <c r="I482" t="n">
        <v>-104.971745</v>
      </c>
      <c r="J482" t="s">
        <v>35</v>
      </c>
      <c r="K482" t="s">
        <v>201</v>
      </c>
      <c r="L482"/>
      <c r="M482" t="n">
        <v>1983</v>
      </c>
      <c r="N482" t="n">
        <v>1990</v>
      </c>
      <c r="O482" t="s">
        <v>293</v>
      </c>
      <c r="P482" t="n">
        <v>2</v>
      </c>
      <c r="Q482" t="n">
        <v>2</v>
      </c>
      <c r="R482" t="n">
        <v>2</v>
      </c>
      <c r="S482" t="n">
        <v>1978</v>
      </c>
      <c r="T482" t="s">
        <v>8942</v>
      </c>
      <c r="U482" t="s">
        <v>8943</v>
      </c>
      <c r="V482" t="s">
        <v>74</v>
      </c>
      <c r="W482" t="s">
        <v>7247</v>
      </c>
      <c r="X482" t="s">
        <v>8944</v>
      </c>
      <c r="Y482"/>
      <c r="Z482"/>
      <c r="AA482" t="s">
        <v>8945</v>
      </c>
      <c r="AB482"/>
      <c r="AC482"/>
      <c r="AD482" t="s">
        <v>8769</v>
      </c>
      <c r="AE482" t="n">
        <v>35</v>
      </c>
      <c r="AF482" t="s">
        <v>8770</v>
      </c>
      <c r="AG482" t="n">
        <v>162</v>
      </c>
    </row>
    <row r="483">
      <c r="A483" t="s">
        <v>8946</v>
      </c>
      <c r="B483" t="s">
        <v>26</v>
      </c>
      <c r="C483" t="s">
        <v>65</v>
      </c>
      <c r="D483" t="s">
        <v>8947</v>
      </c>
      <c r="E483" t="s">
        <v>79</v>
      </c>
      <c r="F483" t="s">
        <v>1274</v>
      </c>
      <c r="G483" t="s">
        <v>2041</v>
      </c>
      <c r="H483" t="n">
        <v>39.6782183833003</v>
      </c>
      <c r="I483" t="n">
        <v>-104.891686315757</v>
      </c>
      <c r="J483" t="s">
        <v>35</v>
      </c>
      <c r="K483" t="s">
        <v>120</v>
      </c>
      <c r="L483" t="s">
        <v>554</v>
      </c>
      <c r="M483" t="n">
        <v>1983</v>
      </c>
      <c r="N483" t="n">
        <v>1990</v>
      </c>
      <c r="O483" t="s">
        <v>293</v>
      </c>
      <c r="P483" t="n">
        <v>2</v>
      </c>
      <c r="Q483" t="n">
        <v>2</v>
      </c>
      <c r="R483" t="n">
        <v>2</v>
      </c>
      <c r="S483" t="n">
        <v>1972</v>
      </c>
      <c r="T483" t="s">
        <v>8948</v>
      </c>
      <c r="U483" t="s">
        <v>8949</v>
      </c>
      <c r="V483" t="s">
        <v>74</v>
      </c>
      <c r="W483" t="s">
        <v>8950</v>
      </c>
      <c r="X483"/>
      <c r="Y483" t="s">
        <v>8951</v>
      </c>
      <c r="Z483"/>
      <c r="AA483"/>
      <c r="AB483" t="s">
        <v>7933</v>
      </c>
      <c r="AC483" t="n">
        <v>15</v>
      </c>
      <c r="AD483"/>
      <c r="AE483"/>
      <c r="AF483" t="s">
        <v>7934</v>
      </c>
      <c r="AG483" t="n">
        <v>21</v>
      </c>
    </row>
    <row r="484">
      <c r="A484" t="s">
        <v>8952</v>
      </c>
      <c r="B484" t="s">
        <v>26</v>
      </c>
      <c r="C484" t="s">
        <v>24</v>
      </c>
      <c r="D484" t="s">
        <v>8953</v>
      </c>
      <c r="E484" t="s">
        <v>79</v>
      </c>
      <c r="F484" t="s">
        <v>1274</v>
      </c>
      <c r="G484" t="s">
        <v>1691</v>
      </c>
      <c r="H484" t="n">
        <v>39.7605095548454</v>
      </c>
      <c r="I484" t="n">
        <v>-104.91641</v>
      </c>
      <c r="J484" t="s">
        <v>4109</v>
      </c>
      <c r="K484" t="s">
        <v>315</v>
      </c>
      <c r="L484" t="s">
        <v>1002</v>
      </c>
      <c r="M484" t="n">
        <v>1983</v>
      </c>
      <c r="N484" t="n">
        <v>1983</v>
      </c>
      <c r="O484" t="s">
        <v>264</v>
      </c>
      <c r="P484" t="n">
        <v>1</v>
      </c>
      <c r="Q484" t="n">
        <v>1</v>
      </c>
      <c r="R484" t="n">
        <v>1</v>
      </c>
      <c r="S484" t="n">
        <v>1980</v>
      </c>
      <c r="T484" t="s">
        <v>8954</v>
      </c>
      <c r="U484" t="s">
        <v>8955</v>
      </c>
      <c r="V484" t="s">
        <v>74</v>
      </c>
      <c r="W484" t="s">
        <v>8956</v>
      </c>
      <c r="X484"/>
      <c r="Y484" t="s">
        <v>8957</v>
      </c>
      <c r="Z484"/>
      <c r="AA484" t="s">
        <v>8958</v>
      </c>
      <c r="AB484" t="s">
        <v>8959</v>
      </c>
      <c r="AC484" t="n">
        <v>224</v>
      </c>
      <c r="AD484"/>
      <c r="AE484"/>
      <c r="AF484" t="s">
        <v>8960</v>
      </c>
      <c r="AG484" t="n">
        <v>115</v>
      </c>
    </row>
    <row r="485">
      <c r="A485" t="s">
        <v>8961</v>
      </c>
      <c r="B485" t="s">
        <v>26</v>
      </c>
      <c r="C485" t="s">
        <v>65</v>
      </c>
      <c r="D485" t="s">
        <v>8962</v>
      </c>
      <c r="E485" t="s">
        <v>79</v>
      </c>
      <c r="F485" t="s">
        <v>1274</v>
      </c>
      <c r="G485" t="s">
        <v>1653</v>
      </c>
      <c r="H485" t="n">
        <v>39.79464</v>
      </c>
      <c r="I485" t="n">
        <v>-104.987329</v>
      </c>
      <c r="J485" t="s">
        <v>35</v>
      </c>
      <c r="K485" t="s">
        <v>89</v>
      </c>
      <c r="L485"/>
      <c r="M485" t="n">
        <v>1983</v>
      </c>
      <c r="N485" t="n">
        <v>1988</v>
      </c>
      <c r="O485" t="s">
        <v>283</v>
      </c>
      <c r="P485" t="n">
        <v>2</v>
      </c>
      <c r="Q485" t="n">
        <v>1</v>
      </c>
      <c r="R485" t="n">
        <v>1</v>
      </c>
      <c r="S485" t="n">
        <v>1978</v>
      </c>
      <c r="T485" t="s">
        <v>8963</v>
      </c>
      <c r="U485" t="s">
        <v>8964</v>
      </c>
      <c r="V485" t="s">
        <v>74</v>
      </c>
      <c r="W485" t="s">
        <v>8965</v>
      </c>
      <c r="X485"/>
      <c r="Y485"/>
      <c r="Z485"/>
      <c r="AA485"/>
      <c r="AB485" t="s">
        <v>8966</v>
      </c>
      <c r="AC485" t="n">
        <v>8</v>
      </c>
      <c r="AD485"/>
      <c r="AE485"/>
      <c r="AF485" t="s">
        <v>8967</v>
      </c>
      <c r="AG485" t="n">
        <v>79</v>
      </c>
    </row>
    <row r="486">
      <c r="A486" t="s">
        <v>8968</v>
      </c>
      <c r="B486" t="s">
        <v>26</v>
      </c>
      <c r="C486" t="s">
        <v>65</v>
      </c>
      <c r="D486" t="s">
        <v>8969</v>
      </c>
      <c r="E486" t="s">
        <v>79</v>
      </c>
      <c r="F486" t="s">
        <v>1274</v>
      </c>
      <c r="G486" t="s">
        <v>1440</v>
      </c>
      <c r="H486" t="n">
        <v>39.7706227148879</v>
      </c>
      <c r="I486" t="n">
        <v>-104.998199022072</v>
      </c>
      <c r="J486" t="s">
        <v>35</v>
      </c>
      <c r="K486" t="s">
        <v>70</v>
      </c>
      <c r="L486"/>
      <c r="M486" t="n">
        <v>1983</v>
      </c>
      <c r="N486" t="n">
        <v>1983</v>
      </c>
      <c r="O486" t="s">
        <v>264</v>
      </c>
      <c r="P486" t="n">
        <v>1</v>
      </c>
      <c r="Q486" t="n">
        <v>1</v>
      </c>
      <c r="R486" t="n">
        <v>1</v>
      </c>
      <c r="S486" t="n">
        <v>1977</v>
      </c>
      <c r="T486" t="s">
        <v>8970</v>
      </c>
      <c r="U486" t="s">
        <v>8971</v>
      </c>
      <c r="V486" t="s">
        <v>74</v>
      </c>
      <c r="W486" t="s">
        <v>6610</v>
      </c>
      <c r="X486"/>
      <c r="Y486"/>
      <c r="Z486"/>
      <c r="AA486"/>
      <c r="AB486" t="s">
        <v>8972</v>
      </c>
      <c r="AC486" t="n">
        <v>208</v>
      </c>
      <c r="AD486"/>
      <c r="AE486"/>
      <c r="AF486" t="s">
        <v>8973</v>
      </c>
      <c r="AG486" t="n">
        <v>143</v>
      </c>
    </row>
    <row r="487">
      <c r="A487" t="s">
        <v>8974</v>
      </c>
      <c r="B487" t="s">
        <v>26</v>
      </c>
      <c r="C487" t="s">
        <v>65</v>
      </c>
      <c r="D487" t="s">
        <v>8975</v>
      </c>
      <c r="E487" t="s">
        <v>79</v>
      </c>
      <c r="F487" t="s">
        <v>1274</v>
      </c>
      <c r="G487" t="s">
        <v>1653</v>
      </c>
      <c r="H487" t="n">
        <v>39.7832819476045</v>
      </c>
      <c r="I487" t="n">
        <v>-104.926999165415</v>
      </c>
      <c r="J487" t="s">
        <v>35</v>
      </c>
      <c r="K487" t="s">
        <v>133</v>
      </c>
      <c r="L487"/>
      <c r="M487" t="n">
        <v>1983</v>
      </c>
      <c r="N487" t="n">
        <v>1983</v>
      </c>
      <c r="O487" t="s">
        <v>264</v>
      </c>
      <c r="P487" t="n">
        <v>1</v>
      </c>
      <c r="Q487" t="n">
        <v>1</v>
      </c>
      <c r="R487" t="n">
        <v>1</v>
      </c>
      <c r="S487" t="n">
        <v>1976</v>
      </c>
      <c r="T487" t="s">
        <v>8976</v>
      </c>
      <c r="U487" t="s">
        <v>8977</v>
      </c>
      <c r="V487" t="s">
        <v>74</v>
      </c>
      <c r="W487" t="s">
        <v>8978</v>
      </c>
      <c r="X487"/>
      <c r="Y487" t="s">
        <v>8979</v>
      </c>
      <c r="Z487"/>
      <c r="AA487"/>
      <c r="AB487" t="s">
        <v>5657</v>
      </c>
      <c r="AC487" t="n">
        <v>66</v>
      </c>
      <c r="AD487" t="s">
        <v>5658</v>
      </c>
      <c r="AE487" t="n">
        <v>183</v>
      </c>
      <c r="AF487" t="s">
        <v>8980</v>
      </c>
      <c r="AG487" t="n">
        <v>19</v>
      </c>
    </row>
    <row r="488">
      <c r="A488" t="s">
        <v>8981</v>
      </c>
      <c r="B488" t="s">
        <v>26</v>
      </c>
      <c r="C488" t="s">
        <v>24</v>
      </c>
      <c r="D488" t="s">
        <v>8982</v>
      </c>
      <c r="E488" t="s">
        <v>79</v>
      </c>
      <c r="F488" t="s">
        <v>1274</v>
      </c>
      <c r="G488" t="s">
        <v>1516</v>
      </c>
      <c r="H488" t="n">
        <v>39.6776603667307</v>
      </c>
      <c r="I488" t="n">
        <v>-104.998328677321</v>
      </c>
      <c r="J488" t="s">
        <v>4109</v>
      </c>
      <c r="K488" t="s">
        <v>70</v>
      </c>
      <c r="L488"/>
      <c r="M488" t="n">
        <v>1983</v>
      </c>
      <c r="N488" t="n">
        <v>1983</v>
      </c>
      <c r="O488" t="s">
        <v>264</v>
      </c>
      <c r="P488" t="n">
        <v>1</v>
      </c>
      <c r="Q488" t="n">
        <v>1</v>
      </c>
      <c r="R488" t="n">
        <v>1</v>
      </c>
      <c r="S488" t="n">
        <v>1975</v>
      </c>
      <c r="T488" t="s">
        <v>8983</v>
      </c>
      <c r="U488" t="s">
        <v>8984</v>
      </c>
      <c r="V488" t="s">
        <v>74</v>
      </c>
      <c r="W488" t="s">
        <v>8985</v>
      </c>
      <c r="X488" t="s">
        <v>8986</v>
      </c>
      <c r="Y488" t="s">
        <v>8987</v>
      </c>
      <c r="Z488"/>
      <c r="AA488" t="s">
        <v>8988</v>
      </c>
      <c r="AB488" t="s">
        <v>6780</v>
      </c>
      <c r="AC488" t="n">
        <v>134</v>
      </c>
      <c r="AD488" t="s">
        <v>8989</v>
      </c>
      <c r="AE488" t="n">
        <v>173</v>
      </c>
      <c r="AF488" t="s">
        <v>8990</v>
      </c>
      <c r="AG488" t="n">
        <v>11</v>
      </c>
    </row>
    <row r="489">
      <c r="A489" t="s">
        <v>8991</v>
      </c>
      <c r="B489" t="s">
        <v>26</v>
      </c>
      <c r="C489" t="s">
        <v>65</v>
      </c>
      <c r="D489" t="s">
        <v>8992</v>
      </c>
      <c r="E489" t="s">
        <v>79</v>
      </c>
      <c r="F489" t="s">
        <v>1274</v>
      </c>
      <c r="G489" t="s">
        <v>1911</v>
      </c>
      <c r="H489" t="n">
        <v>39.740135</v>
      </c>
      <c r="I489" t="n">
        <v>-104.929221</v>
      </c>
      <c r="J489" t="s">
        <v>35</v>
      </c>
      <c r="K489" t="s">
        <v>220</v>
      </c>
      <c r="L489"/>
      <c r="M489" t="n">
        <v>1983</v>
      </c>
      <c r="N489" t="n">
        <v>1983</v>
      </c>
      <c r="O489" t="s">
        <v>264</v>
      </c>
      <c r="P489" t="n">
        <v>1</v>
      </c>
      <c r="Q489" t="n">
        <v>1</v>
      </c>
      <c r="R489" t="n">
        <v>1</v>
      </c>
      <c r="S489" t="n">
        <v>1980</v>
      </c>
      <c r="T489" t="s">
        <v>8993</v>
      </c>
      <c r="U489" t="s">
        <v>8994</v>
      </c>
      <c r="V489" t="s">
        <v>74</v>
      </c>
      <c r="W489" t="s">
        <v>8995</v>
      </c>
      <c r="X489"/>
      <c r="Y489" t="s">
        <v>8996</v>
      </c>
      <c r="Z489"/>
      <c r="AA489"/>
      <c r="AB489" t="s">
        <v>8997</v>
      </c>
      <c r="AC489" t="n">
        <v>17</v>
      </c>
      <c r="AD489"/>
      <c r="AE489"/>
      <c r="AF489" t="s">
        <v>8998</v>
      </c>
      <c r="AG489" t="n">
        <v>26</v>
      </c>
    </row>
    <row r="490">
      <c r="A490" t="s">
        <v>8999</v>
      </c>
      <c r="B490" t="s">
        <v>26</v>
      </c>
      <c r="C490" t="s">
        <v>65</v>
      </c>
      <c r="D490" t="s">
        <v>9000</v>
      </c>
      <c r="E490" t="s">
        <v>79</v>
      </c>
      <c r="F490" t="s">
        <v>1274</v>
      </c>
      <c r="G490" t="s">
        <v>1574</v>
      </c>
      <c r="H490" t="n">
        <v>39.7613076463718</v>
      </c>
      <c r="I490" t="n">
        <v>-104.985265514448</v>
      </c>
      <c r="J490" t="s">
        <v>35</v>
      </c>
      <c r="K490" t="s">
        <v>120</v>
      </c>
      <c r="L490"/>
      <c r="M490" t="n">
        <v>1983</v>
      </c>
      <c r="N490" t="n">
        <v>1988</v>
      </c>
      <c r="O490" t="s">
        <v>283</v>
      </c>
      <c r="P490" t="n">
        <v>2</v>
      </c>
      <c r="Q490" t="n">
        <v>2</v>
      </c>
      <c r="R490" t="n">
        <v>2</v>
      </c>
      <c r="S490" t="n">
        <v>1979</v>
      </c>
      <c r="T490" t="s">
        <v>9001</v>
      </c>
      <c r="U490" t="s">
        <v>9002</v>
      </c>
      <c r="V490" t="s">
        <v>74</v>
      </c>
      <c r="W490" t="s">
        <v>9003</v>
      </c>
      <c r="X490" t="s">
        <v>9004</v>
      </c>
      <c r="Y490" t="s">
        <v>9005</v>
      </c>
      <c r="Z490"/>
      <c r="AA490"/>
      <c r="AB490" t="s">
        <v>9006</v>
      </c>
      <c r="AC490" t="n">
        <v>22</v>
      </c>
      <c r="AD490" t="s">
        <v>6699</v>
      </c>
      <c r="AE490" t="n">
        <v>68</v>
      </c>
      <c r="AF490" t="s">
        <v>6700</v>
      </c>
      <c r="AG490" t="n">
        <v>37</v>
      </c>
    </row>
    <row r="491">
      <c r="A491" t="s">
        <v>9007</v>
      </c>
      <c r="B491" t="s">
        <v>26</v>
      </c>
      <c r="C491" t="s">
        <v>65</v>
      </c>
      <c r="D491" t="s">
        <v>9008</v>
      </c>
      <c r="E491" t="s">
        <v>79</v>
      </c>
      <c r="F491" t="s">
        <v>1274</v>
      </c>
      <c r="G491" t="s">
        <v>1653</v>
      </c>
      <c r="H491" t="n">
        <v>39.7806172051598</v>
      </c>
      <c r="I491" t="n">
        <v>-104.975539535104</v>
      </c>
      <c r="J491" t="s">
        <v>35</v>
      </c>
      <c r="K491" t="s">
        <v>1282</v>
      </c>
      <c r="L491"/>
      <c r="M491" t="n">
        <v>1983</v>
      </c>
      <c r="N491" t="n">
        <v>1990</v>
      </c>
      <c r="O491" t="s">
        <v>310</v>
      </c>
      <c r="P491" t="n">
        <v>3</v>
      </c>
      <c r="Q491" t="n">
        <v>3</v>
      </c>
      <c r="R491" t="n">
        <v>2</v>
      </c>
      <c r="S491" t="n">
        <v>1973</v>
      </c>
      <c r="T491" t="s">
        <v>9009</v>
      </c>
      <c r="U491" t="s">
        <v>9010</v>
      </c>
      <c r="V491" t="s">
        <v>74</v>
      </c>
      <c r="W491" t="s">
        <v>6610</v>
      </c>
      <c r="X491" t="s">
        <v>9011</v>
      </c>
      <c r="Y491" t="s">
        <v>9012</v>
      </c>
      <c r="Z491"/>
      <c r="AA491" t="s">
        <v>9013</v>
      </c>
      <c r="AB491"/>
      <c r="AC491"/>
      <c r="AD491" t="s">
        <v>9014</v>
      </c>
      <c r="AE491" t="n">
        <v>28</v>
      </c>
      <c r="AF491" t="s">
        <v>9015</v>
      </c>
      <c r="AG491" t="n">
        <v>79</v>
      </c>
    </row>
    <row r="492">
      <c r="A492" t="s">
        <v>9016</v>
      </c>
      <c r="B492" t="s">
        <v>26</v>
      </c>
      <c r="C492" t="s">
        <v>65</v>
      </c>
      <c r="D492" t="s">
        <v>9017</v>
      </c>
      <c r="E492" t="s">
        <v>79</v>
      </c>
      <c r="F492" t="s">
        <v>1274</v>
      </c>
      <c r="G492" t="s">
        <v>1555</v>
      </c>
      <c r="H492" t="n">
        <v>39.736894688832</v>
      </c>
      <c r="I492" t="n">
        <v>-105.011066638524</v>
      </c>
      <c r="J492" t="s">
        <v>35</v>
      </c>
      <c r="K492" t="s">
        <v>70</v>
      </c>
      <c r="L492"/>
      <c r="M492" t="n">
        <v>1983</v>
      </c>
      <c r="N492" t="n">
        <v>1990</v>
      </c>
      <c r="O492" t="s">
        <v>293</v>
      </c>
      <c r="P492" t="n">
        <v>2</v>
      </c>
      <c r="Q492" t="n">
        <v>1</v>
      </c>
      <c r="R492" t="n">
        <v>1</v>
      </c>
      <c r="S492" t="n">
        <v>1964</v>
      </c>
      <c r="T492" t="s">
        <v>9018</v>
      </c>
      <c r="U492" t="s">
        <v>9019</v>
      </c>
      <c r="V492" t="s">
        <v>74</v>
      </c>
      <c r="W492" t="s">
        <v>9020</v>
      </c>
      <c r="X492"/>
      <c r="Y492"/>
      <c r="Z492"/>
      <c r="AA492"/>
      <c r="AB492" t="s">
        <v>9021</v>
      </c>
      <c r="AC492" t="n">
        <v>16</v>
      </c>
      <c r="AD492"/>
      <c r="AE492"/>
      <c r="AF492" t="s">
        <v>9022</v>
      </c>
      <c r="AG492" t="n">
        <v>57</v>
      </c>
    </row>
    <row r="493">
      <c r="A493" t="s">
        <v>9023</v>
      </c>
      <c r="B493" t="s">
        <v>26</v>
      </c>
      <c r="C493" t="s">
        <v>65</v>
      </c>
      <c r="D493" t="s">
        <v>9024</v>
      </c>
      <c r="E493" t="s">
        <v>79</v>
      </c>
      <c r="F493" t="s">
        <v>1274</v>
      </c>
      <c r="G493" t="s">
        <v>1574</v>
      </c>
      <c r="H493" t="n">
        <v>39.7715522858934</v>
      </c>
      <c r="I493" t="n">
        <v>-104.964703</v>
      </c>
      <c r="J493" t="s">
        <v>35</v>
      </c>
      <c r="K493" t="s">
        <v>70</v>
      </c>
      <c r="L493" t="s">
        <v>2204</v>
      </c>
      <c r="M493" t="n">
        <v>1983</v>
      </c>
      <c r="N493" t="n">
        <v>1992</v>
      </c>
      <c r="O493" t="s">
        <v>3904</v>
      </c>
      <c r="P493" t="n">
        <v>3</v>
      </c>
      <c r="Q493" t="n">
        <v>1</v>
      </c>
      <c r="R493" t="n">
        <v>1</v>
      </c>
      <c r="S493" t="n">
        <v>1950</v>
      </c>
      <c r="T493" t="s">
        <v>9025</v>
      </c>
      <c r="U493" t="s">
        <v>9026</v>
      </c>
      <c r="V493" t="s">
        <v>74</v>
      </c>
      <c r="W493" t="s">
        <v>6610</v>
      </c>
      <c r="X493"/>
      <c r="Y493"/>
      <c r="Z493"/>
      <c r="AA493" t="s">
        <v>9027</v>
      </c>
      <c r="AB493"/>
      <c r="AC493"/>
      <c r="AD493"/>
      <c r="AE493"/>
      <c r="AF493" t="s">
        <v>8905</v>
      </c>
      <c r="AG493" t="n">
        <v>104</v>
      </c>
    </row>
    <row r="494">
      <c r="A494" t="s">
        <v>9028</v>
      </c>
      <c r="B494" t="s">
        <v>26</v>
      </c>
      <c r="C494" t="s">
        <v>65</v>
      </c>
      <c r="D494" t="s">
        <v>9029</v>
      </c>
      <c r="E494" t="s">
        <v>79</v>
      </c>
      <c r="F494" t="s">
        <v>1274</v>
      </c>
      <c r="G494" t="s">
        <v>1516</v>
      </c>
      <c r="H494" t="n">
        <v>39.6911654748287</v>
      </c>
      <c r="I494" t="n">
        <v>-104.992321123938</v>
      </c>
      <c r="J494" t="s">
        <v>35</v>
      </c>
      <c r="K494" t="s">
        <v>70</v>
      </c>
      <c r="L494"/>
      <c r="M494" t="n">
        <v>1983</v>
      </c>
      <c r="N494" t="n">
        <v>1990</v>
      </c>
      <c r="O494" t="s">
        <v>264</v>
      </c>
      <c r="P494" t="n">
        <v>2</v>
      </c>
      <c r="Q494" t="n">
        <v>1</v>
      </c>
      <c r="R494" t="n">
        <v>1</v>
      </c>
      <c r="S494" t="n">
        <v>1958</v>
      </c>
      <c r="T494" t="s">
        <v>9030</v>
      </c>
      <c r="U494" t="s">
        <v>9031</v>
      </c>
      <c r="V494" t="s">
        <v>74</v>
      </c>
      <c r="W494" t="s">
        <v>9032</v>
      </c>
      <c r="X494"/>
      <c r="Y494" t="s">
        <v>9033</v>
      </c>
      <c r="Z494"/>
      <c r="AA494"/>
      <c r="AB494" t="s">
        <v>1520</v>
      </c>
      <c r="AC494" t="n">
        <v>28</v>
      </c>
      <c r="AD494" t="s">
        <v>1521</v>
      </c>
      <c r="AE494" t="n">
        <v>147</v>
      </c>
      <c r="AF494" t="s">
        <v>9034</v>
      </c>
      <c r="AG494" t="n">
        <v>36</v>
      </c>
    </row>
    <row r="495">
      <c r="A495" t="s">
        <v>9035</v>
      </c>
      <c r="B495" t="s">
        <v>26</v>
      </c>
      <c r="C495" t="s">
        <v>65</v>
      </c>
      <c r="D495" t="s">
        <v>9036</v>
      </c>
      <c r="E495" t="s">
        <v>79</v>
      </c>
      <c r="F495" t="s">
        <v>1274</v>
      </c>
      <c r="G495" t="s">
        <v>1653</v>
      </c>
      <c r="H495" t="n">
        <v>39.7654210785967</v>
      </c>
      <c r="I495" t="n">
        <v>-104.985078239983</v>
      </c>
      <c r="J495" t="s">
        <v>35</v>
      </c>
      <c r="K495" t="s">
        <v>120</v>
      </c>
      <c r="L495"/>
      <c r="M495" t="n">
        <v>1983</v>
      </c>
      <c r="N495" t="n">
        <v>1983</v>
      </c>
      <c r="O495" t="s">
        <v>264</v>
      </c>
      <c r="P495" t="n">
        <v>1</v>
      </c>
      <c r="Q495" t="n">
        <v>1</v>
      </c>
      <c r="R495" t="n">
        <v>1</v>
      </c>
      <c r="S495" t="n">
        <v>1950</v>
      </c>
      <c r="T495" t="s">
        <v>9037</v>
      </c>
      <c r="U495" t="s">
        <v>9038</v>
      </c>
      <c r="V495" t="s">
        <v>74</v>
      </c>
      <c r="W495" t="s">
        <v>9039</v>
      </c>
      <c r="X495"/>
      <c r="Y495"/>
      <c r="Z495"/>
      <c r="AA495" t="s">
        <v>9040</v>
      </c>
      <c r="AB495" t="s">
        <v>9041</v>
      </c>
      <c r="AC495" t="n">
        <v>21</v>
      </c>
      <c r="AD495"/>
      <c r="AE495"/>
      <c r="AF495" t="s">
        <v>9042</v>
      </c>
      <c r="AG495" t="n">
        <v>54</v>
      </c>
    </row>
    <row r="496">
      <c r="A496" t="s">
        <v>9043</v>
      </c>
      <c r="B496" t="s">
        <v>26</v>
      </c>
      <c r="C496" t="s">
        <v>65</v>
      </c>
      <c r="D496" t="s">
        <v>9044</v>
      </c>
      <c r="E496" t="s">
        <v>79</v>
      </c>
      <c r="F496" t="s">
        <v>1274</v>
      </c>
      <c r="G496" t="s">
        <v>1653</v>
      </c>
      <c r="H496" t="n">
        <v>39.7884312133058</v>
      </c>
      <c r="I496" t="n">
        <v>-104.965194332696</v>
      </c>
      <c r="J496" t="s">
        <v>35</v>
      </c>
      <c r="K496" t="s">
        <v>796</v>
      </c>
      <c r="L496"/>
      <c r="M496" t="n">
        <v>1983</v>
      </c>
      <c r="N496" t="n">
        <v>1992</v>
      </c>
      <c r="O496" t="s">
        <v>271</v>
      </c>
      <c r="P496" t="n">
        <v>4</v>
      </c>
      <c r="Q496" t="n">
        <v>4</v>
      </c>
      <c r="R496" t="n">
        <v>4</v>
      </c>
      <c r="S496" t="n">
        <v>1906</v>
      </c>
      <c r="T496" t="s">
        <v>9045</v>
      </c>
      <c r="U496" t="s">
        <v>9046</v>
      </c>
      <c r="V496" t="s">
        <v>74</v>
      </c>
      <c r="W496" t="s">
        <v>6610</v>
      </c>
      <c r="X496" t="s">
        <v>9047</v>
      </c>
      <c r="Y496"/>
      <c r="Z496"/>
      <c r="AA496" t="s">
        <v>9048</v>
      </c>
      <c r="AB496"/>
      <c r="AC496"/>
      <c r="AD496" t="s">
        <v>9049</v>
      </c>
      <c r="AE496" t="n">
        <v>16</v>
      </c>
      <c r="AF496" t="s">
        <v>9050</v>
      </c>
      <c r="AG496" t="n">
        <v>86</v>
      </c>
    </row>
    <row r="497">
      <c r="A497" t="s">
        <v>9051</v>
      </c>
      <c r="B497" t="s">
        <v>26</v>
      </c>
      <c r="C497" t="s">
        <v>65</v>
      </c>
      <c r="D497" t="s">
        <v>9052</v>
      </c>
      <c r="E497" t="s">
        <v>79</v>
      </c>
      <c r="F497" t="s">
        <v>1274</v>
      </c>
      <c r="G497" t="s">
        <v>1440</v>
      </c>
      <c r="H497" t="n">
        <v>39.7754362450874</v>
      </c>
      <c r="I497" t="n">
        <v>-104.998191796241</v>
      </c>
      <c r="J497" t="s">
        <v>35</v>
      </c>
      <c r="K497" t="s">
        <v>70</v>
      </c>
      <c r="L497"/>
      <c r="M497" t="n">
        <v>1983</v>
      </c>
      <c r="N497" t="n">
        <v>1988</v>
      </c>
      <c r="O497" t="s">
        <v>283</v>
      </c>
      <c r="P497" t="n">
        <v>2</v>
      </c>
      <c r="Q497" t="n">
        <v>1</v>
      </c>
      <c r="R497" t="n">
        <v>1</v>
      </c>
      <c r="S497" t="n">
        <v>1979</v>
      </c>
      <c r="T497" t="s">
        <v>9053</v>
      </c>
      <c r="U497" t="s">
        <v>9054</v>
      </c>
      <c r="V497" t="s">
        <v>74</v>
      </c>
      <c r="W497" t="s">
        <v>6610</v>
      </c>
      <c r="X497"/>
      <c r="Y497"/>
      <c r="Z497"/>
      <c r="AA497"/>
      <c r="AB497" t="s">
        <v>9055</v>
      </c>
      <c r="AC497" t="n">
        <v>204</v>
      </c>
      <c r="AD497"/>
      <c r="AE497"/>
      <c r="AF497" t="s">
        <v>9056</v>
      </c>
      <c r="AG497" t="n">
        <v>104</v>
      </c>
    </row>
    <row r="498">
      <c r="A498" t="s">
        <v>9057</v>
      </c>
      <c r="B498" t="s">
        <v>26</v>
      </c>
      <c r="C498" t="s">
        <v>65</v>
      </c>
      <c r="D498" t="s">
        <v>9058</v>
      </c>
      <c r="E498" t="s">
        <v>79</v>
      </c>
      <c r="F498" t="s">
        <v>1274</v>
      </c>
      <c r="G498" t="s">
        <v>1653</v>
      </c>
      <c r="H498" t="n">
        <v>39.776395</v>
      </c>
      <c r="I498" t="n">
        <v>-104.948631</v>
      </c>
      <c r="J498" t="s">
        <v>35</v>
      </c>
      <c r="K498" t="s">
        <v>315</v>
      </c>
      <c r="L498"/>
      <c r="M498" t="n">
        <v>1983</v>
      </c>
      <c r="N498" t="n">
        <v>1990</v>
      </c>
      <c r="O498" t="s">
        <v>293</v>
      </c>
      <c r="P498" t="n">
        <v>2</v>
      </c>
      <c r="Q498" t="n">
        <v>1</v>
      </c>
      <c r="R498" t="n">
        <v>1</v>
      </c>
      <c r="S498" t="n">
        <v>1974</v>
      </c>
      <c r="T498" t="s">
        <v>9059</v>
      </c>
      <c r="U498" t="s">
        <v>9060</v>
      </c>
      <c r="V498" t="s">
        <v>74</v>
      </c>
      <c r="W498" t="s">
        <v>6610</v>
      </c>
      <c r="X498"/>
      <c r="Y498" t="s">
        <v>9061</v>
      </c>
      <c r="Z498"/>
      <c r="AA498" t="s">
        <v>9062</v>
      </c>
      <c r="AB498" t="s">
        <v>7289</v>
      </c>
      <c r="AC498" t="n">
        <v>151</v>
      </c>
      <c r="AD498" t="s">
        <v>7290</v>
      </c>
      <c r="AE498" t="n">
        <v>147</v>
      </c>
      <c r="AF498" t="s">
        <v>8930</v>
      </c>
      <c r="AG498" t="n">
        <v>30</v>
      </c>
    </row>
    <row r="499">
      <c r="A499" t="s">
        <v>9063</v>
      </c>
      <c r="B499" t="s">
        <v>26</v>
      </c>
      <c r="C499" t="s">
        <v>65</v>
      </c>
      <c r="D499" t="s">
        <v>9064</v>
      </c>
      <c r="E499" t="s">
        <v>79</v>
      </c>
      <c r="F499" t="s">
        <v>1274</v>
      </c>
      <c r="G499" t="s">
        <v>9065</v>
      </c>
      <c r="H499" t="n">
        <v>39.772901</v>
      </c>
      <c r="I499" t="n">
        <v>-104.950698284921</v>
      </c>
      <c r="J499" t="s">
        <v>35</v>
      </c>
      <c r="K499" t="s">
        <v>120</v>
      </c>
      <c r="L499"/>
      <c r="M499" t="n">
        <v>1983</v>
      </c>
      <c r="N499" t="n">
        <v>1990</v>
      </c>
      <c r="O499" t="s">
        <v>325</v>
      </c>
      <c r="P499" t="n">
        <v>3</v>
      </c>
      <c r="Q499" t="n">
        <v>4</v>
      </c>
      <c r="R499" t="n">
        <v>1</v>
      </c>
      <c r="S499" t="n">
        <v>1977</v>
      </c>
      <c r="T499" t="s">
        <v>9066</v>
      </c>
      <c r="U499" t="s">
        <v>9067</v>
      </c>
      <c r="V499" t="s">
        <v>74</v>
      </c>
      <c r="W499" t="s">
        <v>6610</v>
      </c>
      <c r="X499"/>
      <c r="Y499" t="s">
        <v>9068</v>
      </c>
      <c r="Z499"/>
      <c r="AA499" t="s">
        <v>9069</v>
      </c>
      <c r="AB499"/>
      <c r="AC499"/>
      <c r="AD499"/>
      <c r="AE499"/>
      <c r="AF499" t="s">
        <v>9070</v>
      </c>
      <c r="AG499" t="n">
        <v>11</v>
      </c>
    </row>
    <row r="500">
      <c r="A500" t="s">
        <v>9071</v>
      </c>
      <c r="B500" t="s">
        <v>26</v>
      </c>
      <c r="C500" t="s">
        <v>65</v>
      </c>
      <c r="D500" t="s">
        <v>9072</v>
      </c>
      <c r="E500" t="s">
        <v>79</v>
      </c>
      <c r="F500" t="s">
        <v>1274</v>
      </c>
      <c r="G500" t="s">
        <v>1653</v>
      </c>
      <c r="H500" t="n">
        <v>39.7835232829045</v>
      </c>
      <c r="I500" t="n">
        <v>-104.992630711405</v>
      </c>
      <c r="J500" t="s">
        <v>35</v>
      </c>
      <c r="K500" t="s">
        <v>70</v>
      </c>
      <c r="L500"/>
      <c r="M500" t="n">
        <v>1983</v>
      </c>
      <c r="N500" t="n">
        <v>1983</v>
      </c>
      <c r="O500" t="s">
        <v>264</v>
      </c>
      <c r="P500" t="n">
        <v>1</v>
      </c>
      <c r="Q500" t="n">
        <v>1</v>
      </c>
      <c r="R500" t="n">
        <v>1</v>
      </c>
      <c r="S500" t="n">
        <v>1978</v>
      </c>
      <c r="T500" t="s">
        <v>9073</v>
      </c>
      <c r="U500" t="s">
        <v>9074</v>
      </c>
      <c r="V500" t="s">
        <v>74</v>
      </c>
      <c r="W500" t="s">
        <v>6610</v>
      </c>
      <c r="X500"/>
      <c r="Y500"/>
      <c r="Z500"/>
      <c r="AA500"/>
      <c r="AB500" t="s">
        <v>8913</v>
      </c>
      <c r="AC500" t="n">
        <v>146</v>
      </c>
      <c r="AD500"/>
      <c r="AE500"/>
      <c r="AF500" t="s">
        <v>9075</v>
      </c>
      <c r="AG500" t="n">
        <v>46</v>
      </c>
    </row>
    <row r="501">
      <c r="A501" t="s">
        <v>9076</v>
      </c>
      <c r="B501" t="s">
        <v>26</v>
      </c>
      <c r="C501" t="s">
        <v>65</v>
      </c>
      <c r="D501" t="s">
        <v>9077</v>
      </c>
      <c r="E501" t="s">
        <v>79</v>
      </c>
      <c r="F501" t="s">
        <v>1274</v>
      </c>
      <c r="G501" t="s">
        <v>1653</v>
      </c>
      <c r="H501" t="n">
        <v>39.7786801546008</v>
      </c>
      <c r="I501" t="n">
        <v>-104.910460207624</v>
      </c>
      <c r="J501" t="s">
        <v>35</v>
      </c>
      <c r="K501" t="s">
        <v>70</v>
      </c>
      <c r="L501"/>
      <c r="M501" t="n">
        <v>1983</v>
      </c>
      <c r="N501" t="n">
        <v>1992</v>
      </c>
      <c r="O501" t="s">
        <v>293</v>
      </c>
      <c r="P501" t="n">
        <v>3</v>
      </c>
      <c r="Q501" t="n">
        <v>1</v>
      </c>
      <c r="R501" t="n">
        <v>1</v>
      </c>
      <c r="S501" t="n">
        <v>1954</v>
      </c>
      <c r="T501" t="s">
        <v>9078</v>
      </c>
      <c r="U501" t="s">
        <v>9079</v>
      </c>
      <c r="V501" t="s">
        <v>74</v>
      </c>
      <c r="W501" t="s">
        <v>5108</v>
      </c>
      <c r="X501"/>
      <c r="Y501"/>
      <c r="Z501"/>
      <c r="AA501" t="s">
        <v>9080</v>
      </c>
      <c r="AB501"/>
      <c r="AC501"/>
      <c r="AD501" t="s">
        <v>8089</v>
      </c>
      <c r="AE501" t="n">
        <v>207</v>
      </c>
      <c r="AF501" t="s">
        <v>9081</v>
      </c>
      <c r="AG501" t="n">
        <v>80</v>
      </c>
    </row>
    <row r="502">
      <c r="A502" t="s">
        <v>9082</v>
      </c>
      <c r="B502" t="s">
        <v>26</v>
      </c>
      <c r="C502" t="s">
        <v>65</v>
      </c>
      <c r="D502" t="s">
        <v>9083</v>
      </c>
      <c r="E502" t="s">
        <v>79</v>
      </c>
      <c r="F502" t="s">
        <v>1274</v>
      </c>
      <c r="G502" t="s">
        <v>1612</v>
      </c>
      <c r="H502" t="n">
        <v>39.7048402429514</v>
      </c>
      <c r="I502" t="n">
        <v>-105.041823660339</v>
      </c>
      <c r="J502" t="s">
        <v>35</v>
      </c>
      <c r="K502" t="s">
        <v>220</v>
      </c>
      <c r="L502"/>
      <c r="M502" t="n">
        <v>1988</v>
      </c>
      <c r="N502" t="n">
        <v>1988</v>
      </c>
      <c r="O502" t="s">
        <v>325</v>
      </c>
      <c r="P502" t="n">
        <v>1</v>
      </c>
      <c r="Q502" t="n">
        <v>1</v>
      </c>
      <c r="R502" t="n">
        <v>1</v>
      </c>
      <c r="S502" t="n">
        <v>1970</v>
      </c>
      <c r="T502" t="s">
        <v>9084</v>
      </c>
      <c r="U502" t="s">
        <v>9085</v>
      </c>
      <c r="V502" t="s">
        <v>74</v>
      </c>
      <c r="W502" t="s">
        <v>9086</v>
      </c>
      <c r="X502"/>
      <c r="Y502" t="s">
        <v>9087</v>
      </c>
      <c r="Z502"/>
      <c r="AA502"/>
      <c r="AB502" t="s">
        <v>8785</v>
      </c>
      <c r="AC502" t="n">
        <v>26</v>
      </c>
      <c r="AD502"/>
      <c r="AE502"/>
      <c r="AF502" t="s">
        <v>9088</v>
      </c>
      <c r="AG502" t="n">
        <v>14</v>
      </c>
    </row>
    <row r="503">
      <c r="A503" t="s">
        <v>9089</v>
      </c>
      <c r="B503" t="s">
        <v>26</v>
      </c>
      <c r="C503" t="s">
        <v>65</v>
      </c>
      <c r="D503" t="s">
        <v>9090</v>
      </c>
      <c r="E503" t="s">
        <v>79</v>
      </c>
      <c r="F503" t="s">
        <v>1274</v>
      </c>
      <c r="G503" t="s">
        <v>1653</v>
      </c>
      <c r="H503" t="n">
        <v>39.7982894135793</v>
      </c>
      <c r="I503" t="n">
        <v>-104.97295319651</v>
      </c>
      <c r="J503" t="s">
        <v>35</v>
      </c>
      <c r="K503" t="s">
        <v>527</v>
      </c>
      <c r="L503"/>
      <c r="M503" t="n">
        <v>1988</v>
      </c>
      <c r="N503" t="n">
        <v>1992</v>
      </c>
      <c r="O503" t="s">
        <v>4855</v>
      </c>
      <c r="P503" t="n">
        <v>3</v>
      </c>
      <c r="Q503" t="n">
        <v>1</v>
      </c>
      <c r="R503" t="n">
        <v>1</v>
      </c>
      <c r="S503" t="n">
        <v>1982</v>
      </c>
      <c r="T503" t="s">
        <v>9091</v>
      </c>
      <c r="U503" t="s">
        <v>9092</v>
      </c>
      <c r="V503" t="s">
        <v>74</v>
      </c>
      <c r="W503" t="s">
        <v>7247</v>
      </c>
      <c r="X503"/>
      <c r="Y503" t="s">
        <v>9093</v>
      </c>
      <c r="Z503"/>
      <c r="AA503" t="s">
        <v>9094</v>
      </c>
      <c r="AB503"/>
      <c r="AC503"/>
      <c r="AD503"/>
      <c r="AE503"/>
      <c r="AF503" t="s">
        <v>9095</v>
      </c>
      <c r="AG503" t="n">
        <v>186</v>
      </c>
    </row>
    <row r="504">
      <c r="A504" t="s">
        <v>9096</v>
      </c>
      <c r="B504" t="s">
        <v>26</v>
      </c>
      <c r="C504" t="s">
        <v>24</v>
      </c>
      <c r="D504" t="s">
        <v>9097</v>
      </c>
      <c r="E504" t="s">
        <v>79</v>
      </c>
      <c r="F504" t="s">
        <v>1274</v>
      </c>
      <c r="G504" t="s">
        <v>1653</v>
      </c>
      <c r="H504" t="n">
        <v>39.7913598912894</v>
      </c>
      <c r="I504" t="n">
        <v>-104.985189610368</v>
      </c>
      <c r="J504" t="s">
        <v>4109</v>
      </c>
      <c r="K504" t="s">
        <v>133</v>
      </c>
      <c r="L504"/>
      <c r="M504" t="n">
        <v>1988</v>
      </c>
      <c r="N504" t="n">
        <v>1990</v>
      </c>
      <c r="O504" t="s">
        <v>310</v>
      </c>
      <c r="P504" t="n">
        <v>2</v>
      </c>
      <c r="Q504" t="n">
        <v>2</v>
      </c>
      <c r="R504" t="n">
        <v>2</v>
      </c>
      <c r="S504" t="n">
        <v>1971</v>
      </c>
      <c r="T504" t="s">
        <v>9098</v>
      </c>
      <c r="U504" t="s">
        <v>9099</v>
      </c>
      <c r="V504" t="s">
        <v>74</v>
      </c>
      <c r="W504" t="s">
        <v>6578</v>
      </c>
      <c r="X504"/>
      <c r="Y504" t="s">
        <v>9100</v>
      </c>
      <c r="Z504"/>
      <c r="AA504" t="s">
        <v>9101</v>
      </c>
      <c r="AB504"/>
      <c r="AC504"/>
      <c r="AD504"/>
      <c r="AE504"/>
      <c r="AF504" t="s">
        <v>9102</v>
      </c>
      <c r="AG504" t="n">
        <v>108</v>
      </c>
    </row>
    <row r="505">
      <c r="A505" t="s">
        <v>9103</v>
      </c>
      <c r="B505" t="s">
        <v>26</v>
      </c>
      <c r="C505" t="s">
        <v>65</v>
      </c>
      <c r="D505" t="s">
        <v>9104</v>
      </c>
      <c r="E505" t="s">
        <v>79</v>
      </c>
      <c r="F505" t="s">
        <v>1274</v>
      </c>
      <c r="G505" t="s">
        <v>2041</v>
      </c>
      <c r="H505" t="n">
        <v>39.679344</v>
      </c>
      <c r="I505" t="n">
        <v>-104.891679</v>
      </c>
      <c r="J505" t="s">
        <v>35</v>
      </c>
      <c r="K505" t="s">
        <v>2274</v>
      </c>
      <c r="L505"/>
      <c r="M505" t="n">
        <v>1988</v>
      </c>
      <c r="N505" t="n">
        <v>1990</v>
      </c>
      <c r="O505" t="s">
        <v>310</v>
      </c>
      <c r="P505" t="n">
        <v>2</v>
      </c>
      <c r="Q505" t="n">
        <v>2</v>
      </c>
      <c r="R505" t="n">
        <v>1</v>
      </c>
      <c r="S505" t="n">
        <v>1974</v>
      </c>
      <c r="T505" t="s">
        <v>9105</v>
      </c>
      <c r="U505" t="s">
        <v>9106</v>
      </c>
      <c r="V505" t="s">
        <v>74</v>
      </c>
      <c r="W505" t="s">
        <v>9107</v>
      </c>
      <c r="X505"/>
      <c r="Y505"/>
      <c r="Z505" t="s">
        <v>9108</v>
      </c>
      <c r="AA505"/>
      <c r="AB505" t="s">
        <v>9109</v>
      </c>
      <c r="AC505" t="n">
        <v>54</v>
      </c>
      <c r="AD505"/>
      <c r="AE505"/>
      <c r="AF505" t="s">
        <v>7934</v>
      </c>
      <c r="AG505" t="n">
        <v>54</v>
      </c>
    </row>
    <row r="506">
      <c r="A506" t="s">
        <v>9110</v>
      </c>
      <c r="B506" t="s">
        <v>26</v>
      </c>
      <c r="C506" t="s">
        <v>65</v>
      </c>
      <c r="D506" t="s">
        <v>9111</v>
      </c>
      <c r="E506" t="s">
        <v>79</v>
      </c>
      <c r="F506" t="s">
        <v>1274</v>
      </c>
      <c r="G506" t="s">
        <v>1516</v>
      </c>
      <c r="H506" t="n">
        <v>39.7039500207938</v>
      </c>
      <c r="I506" t="n">
        <v>-105.00117683175</v>
      </c>
      <c r="J506" t="s">
        <v>35</v>
      </c>
      <c r="K506" t="s">
        <v>527</v>
      </c>
      <c r="L506"/>
      <c r="M506" t="n">
        <v>1988</v>
      </c>
      <c r="N506" t="n">
        <v>1990</v>
      </c>
      <c r="O506" t="s">
        <v>310</v>
      </c>
      <c r="P506" t="n">
        <v>2</v>
      </c>
      <c r="Q506" t="n">
        <v>1</v>
      </c>
      <c r="R506" t="n">
        <v>1</v>
      </c>
      <c r="S506" t="n">
        <v>1980</v>
      </c>
      <c r="T506" t="s">
        <v>9112</v>
      </c>
      <c r="U506" t="s">
        <v>9113</v>
      </c>
      <c r="V506" t="s">
        <v>74</v>
      </c>
      <c r="W506" t="s">
        <v>9114</v>
      </c>
      <c r="X506"/>
      <c r="Y506"/>
      <c r="Z506"/>
      <c r="AA506"/>
      <c r="AB506" t="s">
        <v>1804</v>
      </c>
      <c r="AC506" t="n">
        <v>56</v>
      </c>
      <c r="AD506"/>
      <c r="AE506"/>
      <c r="AF506" t="s">
        <v>1805</v>
      </c>
      <c r="AG506" t="n">
        <v>165</v>
      </c>
    </row>
    <row r="507">
      <c r="A507" t="s">
        <v>9115</v>
      </c>
      <c r="B507" t="s">
        <v>26</v>
      </c>
      <c r="C507" t="s">
        <v>24</v>
      </c>
      <c r="D507" t="s">
        <v>9116</v>
      </c>
      <c r="E507" t="s">
        <v>79</v>
      </c>
      <c r="F507" t="s">
        <v>1274</v>
      </c>
      <c r="G507" t="s">
        <v>9117</v>
      </c>
      <c r="H507" t="n">
        <v>39.7426582037234</v>
      </c>
      <c r="I507" t="n">
        <v>-104.986115</v>
      </c>
      <c r="J507" t="s">
        <v>4109</v>
      </c>
      <c r="K507" t="s">
        <v>70</v>
      </c>
      <c r="L507"/>
      <c r="M507" t="n">
        <v>1988</v>
      </c>
      <c r="N507" t="n">
        <v>1990</v>
      </c>
      <c r="O507" t="s">
        <v>325</v>
      </c>
      <c r="P507" t="n">
        <v>2</v>
      </c>
      <c r="Q507" t="n">
        <v>4</v>
      </c>
      <c r="R507" t="n">
        <v>1</v>
      </c>
      <c r="S507" t="n">
        <v>1973</v>
      </c>
      <c r="T507" t="s">
        <v>9118</v>
      </c>
      <c r="U507" t="s">
        <v>9119</v>
      </c>
      <c r="V507" t="s">
        <v>74</v>
      </c>
      <c r="W507" t="s">
        <v>9120</v>
      </c>
      <c r="X507"/>
      <c r="Y507"/>
      <c r="Z507"/>
      <c r="AA507" t="s">
        <v>9121</v>
      </c>
      <c r="AB507" t="s">
        <v>9122</v>
      </c>
      <c r="AC507" t="n">
        <v>8</v>
      </c>
      <c r="AD507"/>
      <c r="AE507"/>
      <c r="AF507" t="s">
        <v>9123</v>
      </c>
      <c r="AG507" t="n">
        <v>110</v>
      </c>
    </row>
    <row r="508">
      <c r="A508" t="s">
        <v>9124</v>
      </c>
      <c r="B508" t="s">
        <v>26</v>
      </c>
      <c r="C508" t="s">
        <v>65</v>
      </c>
      <c r="D508" t="s">
        <v>9125</v>
      </c>
      <c r="E508" t="s">
        <v>79</v>
      </c>
      <c r="F508" t="s">
        <v>1274</v>
      </c>
      <c r="G508" t="s">
        <v>1653</v>
      </c>
      <c r="H508" t="n">
        <v>39.8001701140429</v>
      </c>
      <c r="I508" t="n">
        <v>-104.976049015433</v>
      </c>
      <c r="J508" t="s">
        <v>35</v>
      </c>
      <c r="K508" t="s">
        <v>270</v>
      </c>
      <c r="L508"/>
      <c r="M508" t="n">
        <v>1988</v>
      </c>
      <c r="N508" t="n">
        <v>1990</v>
      </c>
      <c r="O508" t="s">
        <v>310</v>
      </c>
      <c r="P508" t="n">
        <v>2</v>
      </c>
      <c r="Q508" t="n">
        <v>1</v>
      </c>
      <c r="R508" t="n">
        <v>1</v>
      </c>
      <c r="S508" t="n">
        <v>1985</v>
      </c>
      <c r="T508" t="s">
        <v>9126</v>
      </c>
      <c r="U508" t="s">
        <v>9127</v>
      </c>
      <c r="V508" t="s">
        <v>74</v>
      </c>
      <c r="W508" t="s">
        <v>7247</v>
      </c>
      <c r="X508"/>
      <c r="Y508" t="s">
        <v>9128</v>
      </c>
      <c r="Z508"/>
      <c r="AA508" t="s">
        <v>9129</v>
      </c>
      <c r="AB508"/>
      <c r="AC508"/>
      <c r="AD508" t="s">
        <v>224</v>
      </c>
      <c r="AE508" t="n">
        <v>189</v>
      </c>
      <c r="AF508" t="s">
        <v>9130</v>
      </c>
      <c r="AG508" t="n">
        <v>18</v>
      </c>
    </row>
    <row r="509">
      <c r="A509" t="s">
        <v>9131</v>
      </c>
      <c r="B509" t="s">
        <v>26</v>
      </c>
      <c r="C509" t="s">
        <v>65</v>
      </c>
      <c r="D509" t="s">
        <v>9132</v>
      </c>
      <c r="E509" t="s">
        <v>79</v>
      </c>
      <c r="F509" t="s">
        <v>1274</v>
      </c>
      <c r="G509" t="s">
        <v>1653</v>
      </c>
      <c r="H509" t="n">
        <v>39.781391</v>
      </c>
      <c r="I509" t="n">
        <v>-104.931632</v>
      </c>
      <c r="J509" t="s">
        <v>35</v>
      </c>
      <c r="K509" t="s">
        <v>89</v>
      </c>
      <c r="L509"/>
      <c r="M509" t="n">
        <v>1988</v>
      </c>
      <c r="N509" t="n">
        <v>1992</v>
      </c>
      <c r="O509" t="s">
        <v>320</v>
      </c>
      <c r="P509" t="n">
        <v>3</v>
      </c>
      <c r="Q509" t="n">
        <v>1</v>
      </c>
      <c r="R509" t="n">
        <v>1</v>
      </c>
      <c r="S509" t="n">
        <v>1974</v>
      </c>
      <c r="T509" t="s">
        <v>9133</v>
      </c>
      <c r="U509" t="s">
        <v>9134</v>
      </c>
      <c r="V509" t="s">
        <v>74</v>
      </c>
      <c r="W509" t="s">
        <v>9135</v>
      </c>
      <c r="X509" t="s">
        <v>9136</v>
      </c>
      <c r="Y509" t="s">
        <v>9137</v>
      </c>
      <c r="Z509"/>
      <c r="AA509" t="s">
        <v>9138</v>
      </c>
      <c r="AB509" t="s">
        <v>1657</v>
      </c>
      <c r="AC509" t="n">
        <v>21</v>
      </c>
      <c r="AD509" t="s">
        <v>9139</v>
      </c>
      <c r="AE509" t="n">
        <v>46</v>
      </c>
      <c r="AF509" t="s">
        <v>9140</v>
      </c>
      <c r="AG509" t="n">
        <v>4</v>
      </c>
    </row>
    <row r="510">
      <c r="A510" t="s">
        <v>9141</v>
      </c>
      <c r="B510" t="s">
        <v>26</v>
      </c>
      <c r="C510" t="s">
        <v>65</v>
      </c>
      <c r="D510" t="s">
        <v>9142</v>
      </c>
      <c r="E510" t="s">
        <v>79</v>
      </c>
      <c r="F510" t="s">
        <v>1274</v>
      </c>
      <c r="G510" t="s">
        <v>1440</v>
      </c>
      <c r="H510" t="n">
        <v>39.7771676747713</v>
      </c>
      <c r="I510" t="n">
        <v>-104.998196227536</v>
      </c>
      <c r="J510" t="s">
        <v>35</v>
      </c>
      <c r="K510" t="s">
        <v>220</v>
      </c>
      <c r="L510"/>
      <c r="M510" t="n">
        <v>1988</v>
      </c>
      <c r="N510" t="n">
        <v>1990</v>
      </c>
      <c r="O510" t="s">
        <v>310</v>
      </c>
      <c r="P510" t="n">
        <v>2</v>
      </c>
      <c r="Q510" t="n">
        <v>2</v>
      </c>
      <c r="R510" t="n">
        <v>2</v>
      </c>
      <c r="S510" t="n">
        <v>1978</v>
      </c>
      <c r="T510" t="s">
        <v>9143</v>
      </c>
      <c r="U510" t="s">
        <v>9144</v>
      </c>
      <c r="V510" t="s">
        <v>74</v>
      </c>
      <c r="W510" t="s">
        <v>6610</v>
      </c>
      <c r="X510"/>
      <c r="Y510" t="s">
        <v>9145</v>
      </c>
      <c r="Z510"/>
      <c r="AA510"/>
      <c r="AB510" t="s">
        <v>9055</v>
      </c>
      <c r="AC510" t="n">
        <v>101</v>
      </c>
      <c r="AD510"/>
      <c r="AE510"/>
      <c r="AF510" t="s">
        <v>9146</v>
      </c>
      <c r="AG510" t="n">
        <v>9</v>
      </c>
    </row>
    <row r="511">
      <c r="A511" t="s">
        <v>9147</v>
      </c>
      <c r="B511" t="s">
        <v>26</v>
      </c>
      <c r="C511" t="s">
        <v>65</v>
      </c>
      <c r="D511" t="s">
        <v>9148</v>
      </c>
      <c r="E511" t="s">
        <v>79</v>
      </c>
      <c r="F511" t="s">
        <v>1274</v>
      </c>
      <c r="G511" t="s">
        <v>1612</v>
      </c>
      <c r="H511" t="n">
        <v>39.7077180324524</v>
      </c>
      <c r="I511" t="n">
        <v>-105.037735222653</v>
      </c>
      <c r="J511" t="s">
        <v>35</v>
      </c>
      <c r="K511" t="s">
        <v>315</v>
      </c>
      <c r="L511"/>
      <c r="M511" t="n">
        <v>1988</v>
      </c>
      <c r="N511" t="n">
        <v>1988</v>
      </c>
      <c r="O511" t="s">
        <v>325</v>
      </c>
      <c r="P511" t="n">
        <v>1</v>
      </c>
      <c r="Q511" t="n">
        <v>1</v>
      </c>
      <c r="R511" t="n">
        <v>1</v>
      </c>
      <c r="S511" t="n">
        <v>1986</v>
      </c>
      <c r="T511" t="s">
        <v>9149</v>
      </c>
      <c r="U511" t="s">
        <v>9150</v>
      </c>
      <c r="V511" t="s">
        <v>74</v>
      </c>
      <c r="W511" t="s">
        <v>9151</v>
      </c>
      <c r="X511"/>
      <c r="Y511"/>
      <c r="Z511"/>
      <c r="AA511" t="s">
        <v>9152</v>
      </c>
      <c r="AB511" t="s">
        <v>9153</v>
      </c>
      <c r="AC511" t="n">
        <v>33</v>
      </c>
      <c r="AD511"/>
      <c r="AE511"/>
      <c r="AF511" t="s">
        <v>9154</v>
      </c>
      <c r="AG511" t="n">
        <v>135</v>
      </c>
    </row>
    <row r="512">
      <c r="A512" t="s">
        <v>9155</v>
      </c>
      <c r="B512" t="s">
        <v>26</v>
      </c>
      <c r="C512" t="s">
        <v>65</v>
      </c>
      <c r="D512" t="s">
        <v>9156</v>
      </c>
      <c r="E512" t="s">
        <v>79</v>
      </c>
      <c r="F512" t="s">
        <v>1274</v>
      </c>
      <c r="G512" t="s">
        <v>1653</v>
      </c>
      <c r="H512" t="n">
        <v>39.8022696530612</v>
      </c>
      <c r="I512" t="n">
        <v>-104.973432795918</v>
      </c>
      <c r="J512" t="s">
        <v>35</v>
      </c>
      <c r="K512" t="s">
        <v>141</v>
      </c>
      <c r="L512" t="s">
        <v>9157</v>
      </c>
      <c r="M512" t="n">
        <v>1988</v>
      </c>
      <c r="N512" t="n">
        <v>1990</v>
      </c>
      <c r="O512" t="s">
        <v>310</v>
      </c>
      <c r="P512" t="n">
        <v>2</v>
      </c>
      <c r="Q512" t="n">
        <v>3</v>
      </c>
      <c r="R512" t="n">
        <v>3</v>
      </c>
      <c r="S512" t="n">
        <v>1981</v>
      </c>
      <c r="T512" t="s">
        <v>9158</v>
      </c>
      <c r="U512" t="s">
        <v>9159</v>
      </c>
      <c r="V512" t="s">
        <v>74</v>
      </c>
      <c r="W512" t="s">
        <v>7247</v>
      </c>
      <c r="X512"/>
      <c r="Y512"/>
      <c r="Z512"/>
      <c r="AA512" t="s">
        <v>9160</v>
      </c>
      <c r="AB512"/>
      <c r="AC512"/>
      <c r="AD512" t="s">
        <v>8769</v>
      </c>
      <c r="AE512" t="n">
        <v>117</v>
      </c>
      <c r="AF512" t="s">
        <v>9161</v>
      </c>
      <c r="AG512" t="n">
        <v>178</v>
      </c>
    </row>
    <row r="513">
      <c r="A513" t="s">
        <v>9162</v>
      </c>
      <c r="B513" t="s">
        <v>26</v>
      </c>
      <c r="C513" t="s">
        <v>65</v>
      </c>
      <c r="D513" t="s">
        <v>9163</v>
      </c>
      <c r="E513" t="s">
        <v>79</v>
      </c>
      <c r="F513" t="s">
        <v>1274</v>
      </c>
      <c r="G513" t="s">
        <v>1653</v>
      </c>
      <c r="H513" t="n">
        <v>39.7783350357911</v>
      </c>
      <c r="I513" t="n">
        <v>-104.991418251984</v>
      </c>
      <c r="J513" t="s">
        <v>35</v>
      </c>
      <c r="K513" t="s">
        <v>141</v>
      </c>
      <c r="L513"/>
      <c r="M513" t="n">
        <v>1988</v>
      </c>
      <c r="N513" t="n">
        <v>1990</v>
      </c>
      <c r="O513" t="s">
        <v>310</v>
      </c>
      <c r="P513" t="n">
        <v>2</v>
      </c>
      <c r="Q513" t="n">
        <v>2</v>
      </c>
      <c r="R513" t="n">
        <v>2</v>
      </c>
      <c r="S513" t="n">
        <v>1984</v>
      </c>
      <c r="T513" t="s">
        <v>9164</v>
      </c>
      <c r="U513" t="s">
        <v>9165</v>
      </c>
      <c r="V513" t="s">
        <v>74</v>
      </c>
      <c r="W513" t="s">
        <v>6610</v>
      </c>
      <c r="X513"/>
      <c r="Y513" t="s">
        <v>9166</v>
      </c>
      <c r="Z513"/>
      <c r="AA513"/>
      <c r="AB513" t="s">
        <v>6612</v>
      </c>
      <c r="AC513" t="n">
        <v>169</v>
      </c>
      <c r="AD513"/>
      <c r="AE513"/>
      <c r="AF513" t="s">
        <v>8710</v>
      </c>
      <c r="AG513" t="n">
        <v>17</v>
      </c>
    </row>
    <row r="514">
      <c r="A514" t="s">
        <v>9167</v>
      </c>
      <c r="B514" t="s">
        <v>26</v>
      </c>
      <c r="C514" t="s">
        <v>65</v>
      </c>
      <c r="D514" t="s">
        <v>9168</v>
      </c>
      <c r="E514" t="s">
        <v>79</v>
      </c>
      <c r="F514" t="s">
        <v>1274</v>
      </c>
      <c r="G514" t="s">
        <v>1653</v>
      </c>
      <c r="H514" t="n">
        <v>39.7736117305291</v>
      </c>
      <c r="I514" t="n">
        <v>-104.994843823357</v>
      </c>
      <c r="J514" t="s">
        <v>35</v>
      </c>
      <c r="K514" t="s">
        <v>120</v>
      </c>
      <c r="L514"/>
      <c r="M514" t="n">
        <v>1988</v>
      </c>
      <c r="N514" t="n">
        <v>1990</v>
      </c>
      <c r="O514" t="s">
        <v>310</v>
      </c>
      <c r="P514" t="n">
        <v>2</v>
      </c>
      <c r="Q514" t="n">
        <v>1</v>
      </c>
      <c r="R514" t="n">
        <v>1</v>
      </c>
      <c r="S514" t="n">
        <v>1980</v>
      </c>
      <c r="T514" t="s">
        <v>9169</v>
      </c>
      <c r="U514" t="s">
        <v>9170</v>
      </c>
      <c r="V514" t="s">
        <v>74</v>
      </c>
      <c r="W514" t="s">
        <v>6610</v>
      </c>
      <c r="X514"/>
      <c r="Y514" t="s">
        <v>9171</v>
      </c>
      <c r="Z514"/>
      <c r="AA514"/>
      <c r="AB514" t="s">
        <v>6655</v>
      </c>
      <c r="AC514" t="n">
        <v>134</v>
      </c>
      <c r="AD514"/>
      <c r="AE514"/>
      <c r="AF514" t="s">
        <v>9172</v>
      </c>
      <c r="AG514" t="n">
        <v>33</v>
      </c>
    </row>
    <row r="515">
      <c r="A515" t="s">
        <v>9173</v>
      </c>
      <c r="B515" t="s">
        <v>26</v>
      </c>
      <c r="C515" t="s">
        <v>65</v>
      </c>
      <c r="D515" t="s">
        <v>9174</v>
      </c>
      <c r="E515" t="s">
        <v>79</v>
      </c>
      <c r="F515" t="s">
        <v>1274</v>
      </c>
      <c r="G515" t="s">
        <v>1653</v>
      </c>
      <c r="H515" t="n">
        <v>39.8041984395303</v>
      </c>
      <c r="I515" t="n">
        <v>-104.971708186823</v>
      </c>
      <c r="J515" t="s">
        <v>35</v>
      </c>
      <c r="K515" t="s">
        <v>89</v>
      </c>
      <c r="L515"/>
      <c r="M515" t="n">
        <v>1988</v>
      </c>
      <c r="N515" t="n">
        <v>1990</v>
      </c>
      <c r="O515" t="s">
        <v>325</v>
      </c>
      <c r="P515" t="n">
        <v>2</v>
      </c>
      <c r="Q515" t="n">
        <v>1</v>
      </c>
      <c r="R515" t="n">
        <v>1</v>
      </c>
      <c r="S515" t="n">
        <v>1982</v>
      </c>
      <c r="T515" t="s">
        <v>9175</v>
      </c>
      <c r="U515" t="s">
        <v>9176</v>
      </c>
      <c r="V515" t="s">
        <v>74</v>
      </c>
      <c r="W515" t="s">
        <v>7247</v>
      </c>
      <c r="X515"/>
      <c r="Y515" t="s">
        <v>9177</v>
      </c>
      <c r="Z515"/>
      <c r="AA515" t="s">
        <v>9178</v>
      </c>
      <c r="AB515"/>
      <c r="AC515"/>
      <c r="AD515"/>
      <c r="AE515"/>
      <c r="AF515" t="s">
        <v>9179</v>
      </c>
      <c r="AG515" t="n">
        <v>4</v>
      </c>
    </row>
    <row r="516">
      <c r="A516" t="s">
        <v>9180</v>
      </c>
      <c r="B516" t="s">
        <v>26</v>
      </c>
      <c r="C516" t="s">
        <v>24</v>
      </c>
      <c r="D516" t="s">
        <v>9181</v>
      </c>
      <c r="E516" t="s">
        <v>79</v>
      </c>
      <c r="F516" t="s">
        <v>1274</v>
      </c>
      <c r="G516"/>
      <c r="H516" t="n">
        <v>39.725668</v>
      </c>
      <c r="I516" t="n">
        <v>-104.992157</v>
      </c>
      <c r="J516" t="s">
        <v>4109</v>
      </c>
      <c r="K516" t="s">
        <v>70</v>
      </c>
      <c r="L516"/>
      <c r="M516" t="n">
        <v>1988</v>
      </c>
      <c r="N516" t="n">
        <v>1988</v>
      </c>
      <c r="O516" t="s">
        <v>325</v>
      </c>
      <c r="P516" t="n">
        <v>1</v>
      </c>
      <c r="Q516" t="n">
        <v>1</v>
      </c>
      <c r="R516" t="n">
        <v>1</v>
      </c>
      <c r="S516" t="n">
        <v>1963</v>
      </c>
      <c r="T516" t="s">
        <v>9182</v>
      </c>
      <c r="U516" t="s">
        <v>9183</v>
      </c>
      <c r="V516" t="s">
        <v>74</v>
      </c>
      <c r="W516" t="s">
        <v>9184</v>
      </c>
      <c r="X516"/>
      <c r="Y516" t="s">
        <v>9185</v>
      </c>
      <c r="Z516"/>
      <c r="AA516" t="s">
        <v>9186</v>
      </c>
      <c r="AB516" t="s">
        <v>4251</v>
      </c>
      <c r="AC516" t="n">
        <v>247</v>
      </c>
      <c r="AD516"/>
      <c r="AE516"/>
      <c r="AF516" t="s">
        <v>9187</v>
      </c>
      <c r="AG516" t="n">
        <v>65</v>
      </c>
    </row>
    <row r="517">
      <c r="A517" t="s">
        <v>9188</v>
      </c>
      <c r="B517" t="s">
        <v>26</v>
      </c>
      <c r="C517" t="s">
        <v>24</v>
      </c>
      <c r="D517" t="s">
        <v>9189</v>
      </c>
      <c r="E517" t="s">
        <v>79</v>
      </c>
      <c r="F517" t="s">
        <v>1274</v>
      </c>
      <c r="G517" t="s">
        <v>1516</v>
      </c>
      <c r="H517" t="n">
        <v>39.740324</v>
      </c>
      <c r="I517" t="n">
        <v>-105.008948</v>
      </c>
      <c r="J517" t="s">
        <v>4109</v>
      </c>
      <c r="K517" t="s">
        <v>9190</v>
      </c>
      <c r="L517"/>
      <c r="M517" t="n">
        <v>1988</v>
      </c>
      <c r="N517" t="n">
        <v>1988</v>
      </c>
      <c r="O517" t="s">
        <v>325</v>
      </c>
      <c r="P517" t="n">
        <v>1</v>
      </c>
      <c r="Q517" t="n">
        <v>2</v>
      </c>
      <c r="R517" t="n">
        <v>2</v>
      </c>
      <c r="S517" t="n">
        <v>1942</v>
      </c>
      <c r="T517" t="s">
        <v>9191</v>
      </c>
      <c r="U517" t="s">
        <v>9192</v>
      </c>
      <c r="V517" t="s">
        <v>74</v>
      </c>
      <c r="W517" t="s">
        <v>9193</v>
      </c>
      <c r="X517"/>
      <c r="Y517" t="s">
        <v>9194</v>
      </c>
      <c r="Z517"/>
      <c r="AA517" t="s">
        <v>9195</v>
      </c>
      <c r="AB517" t="s">
        <v>9196</v>
      </c>
      <c r="AC517" t="n">
        <v>162</v>
      </c>
      <c r="AD517"/>
      <c r="AE517"/>
      <c r="AF517" t="s">
        <v>9197</v>
      </c>
      <c r="AG517" t="n">
        <v>132</v>
      </c>
    </row>
    <row r="518">
      <c r="A518" t="s">
        <v>9198</v>
      </c>
      <c r="B518" t="s">
        <v>26</v>
      </c>
      <c r="C518" t="s">
        <v>24</v>
      </c>
      <c r="D518" t="s">
        <v>9199</v>
      </c>
      <c r="E518" t="s">
        <v>79</v>
      </c>
      <c r="F518" t="s">
        <v>1274</v>
      </c>
      <c r="G518" t="s">
        <v>1574</v>
      </c>
      <c r="H518" t="n">
        <v>39.767919</v>
      </c>
      <c r="I518" t="n">
        <v>-104.973338</v>
      </c>
      <c r="J518" t="s">
        <v>4109</v>
      </c>
      <c r="K518" t="s">
        <v>70</v>
      </c>
      <c r="L518"/>
      <c r="M518" t="n">
        <v>1988</v>
      </c>
      <c r="N518" t="n">
        <v>1988</v>
      </c>
      <c r="O518" t="s">
        <v>325</v>
      </c>
      <c r="P518" t="n">
        <v>1</v>
      </c>
      <c r="Q518" t="n">
        <v>1</v>
      </c>
      <c r="R518" t="n">
        <v>1</v>
      </c>
      <c r="S518" t="n">
        <v>1900</v>
      </c>
      <c r="T518" t="s">
        <v>9200</v>
      </c>
      <c r="U518" t="s">
        <v>9201</v>
      </c>
      <c r="V518" t="s">
        <v>74</v>
      </c>
      <c r="W518" t="s">
        <v>9202</v>
      </c>
      <c r="X518" t="s">
        <v>9203</v>
      </c>
      <c r="Y518" t="s">
        <v>9204</v>
      </c>
      <c r="Z518"/>
      <c r="AA518" t="s">
        <v>9205</v>
      </c>
      <c r="AB518" t="s">
        <v>9206</v>
      </c>
      <c r="AC518" t="n">
        <v>43</v>
      </c>
      <c r="AD518" t="s">
        <v>1591</v>
      </c>
      <c r="AE518" t="n">
        <v>219</v>
      </c>
      <c r="AF518" t="s">
        <v>7182</v>
      </c>
      <c r="AG518" t="n">
        <v>79</v>
      </c>
    </row>
    <row r="519">
      <c r="A519" t="s">
        <v>9207</v>
      </c>
      <c r="B519" t="s">
        <v>26</v>
      </c>
      <c r="C519" t="s">
        <v>24</v>
      </c>
      <c r="D519" t="s">
        <v>9208</v>
      </c>
      <c r="E519" t="s">
        <v>79</v>
      </c>
      <c r="F519" t="s">
        <v>1274</v>
      </c>
      <c r="G519" t="s">
        <v>1653</v>
      </c>
      <c r="H519" t="n">
        <v>39.8035230623462</v>
      </c>
      <c r="I519" t="n">
        <v>-104.987443876776</v>
      </c>
      <c r="J519" t="s">
        <v>4109</v>
      </c>
      <c r="K519" t="s">
        <v>220</v>
      </c>
      <c r="L519"/>
      <c r="M519" t="n">
        <v>1988</v>
      </c>
      <c r="N519" t="n">
        <v>1990</v>
      </c>
      <c r="O519" t="s">
        <v>351</v>
      </c>
      <c r="P519" t="n">
        <v>2</v>
      </c>
      <c r="Q519" t="n">
        <v>1</v>
      </c>
      <c r="R519" t="n">
        <v>1</v>
      </c>
      <c r="S519" t="n">
        <v>1954</v>
      </c>
      <c r="T519" t="s">
        <v>9209</v>
      </c>
      <c r="U519" t="s">
        <v>9210</v>
      </c>
      <c r="V519" t="s">
        <v>74</v>
      </c>
      <c r="W519" t="s">
        <v>9211</v>
      </c>
      <c r="X519" t="s">
        <v>9212</v>
      </c>
      <c r="Y519" t="s">
        <v>9213</v>
      </c>
      <c r="Z519"/>
      <c r="AA519" t="s">
        <v>9214</v>
      </c>
      <c r="AB519" t="s">
        <v>9215</v>
      </c>
      <c r="AC519" t="n">
        <v>25</v>
      </c>
      <c r="AD519" t="s">
        <v>8319</v>
      </c>
      <c r="AE519" t="n">
        <v>83</v>
      </c>
      <c r="AF519" t="s">
        <v>9216</v>
      </c>
      <c r="AG519" t="n">
        <v>16</v>
      </c>
    </row>
    <row r="520">
      <c r="A520" t="s">
        <v>9217</v>
      </c>
      <c r="B520" t="s">
        <v>26</v>
      </c>
      <c r="C520" t="s">
        <v>65</v>
      </c>
      <c r="D520" t="s">
        <v>9218</v>
      </c>
      <c r="E520" t="s">
        <v>79</v>
      </c>
      <c r="F520" t="s">
        <v>1274</v>
      </c>
      <c r="G520" t="s">
        <v>1653</v>
      </c>
      <c r="H520" t="n">
        <v>39.787226</v>
      </c>
      <c r="I520" t="n">
        <v>-104.931615</v>
      </c>
      <c r="J520" t="s">
        <v>35</v>
      </c>
      <c r="K520" t="s">
        <v>315</v>
      </c>
      <c r="L520"/>
      <c r="M520" t="n">
        <v>1988</v>
      </c>
      <c r="N520" t="n">
        <v>1990</v>
      </c>
      <c r="O520" t="s">
        <v>310</v>
      </c>
      <c r="P520" t="n">
        <v>2</v>
      </c>
      <c r="Q520" t="n">
        <v>1</v>
      </c>
      <c r="R520" t="n">
        <v>1</v>
      </c>
      <c r="S520" t="n">
        <v>1970</v>
      </c>
      <c r="T520" t="s">
        <v>9219</v>
      </c>
      <c r="U520" t="s">
        <v>9220</v>
      </c>
      <c r="V520" t="s">
        <v>74</v>
      </c>
      <c r="W520" t="s">
        <v>5083</v>
      </c>
      <c r="X520"/>
      <c r="Y520"/>
      <c r="Z520"/>
      <c r="AA520"/>
      <c r="AB520"/>
      <c r="AC520"/>
      <c r="AD520" t="s">
        <v>8715</v>
      </c>
      <c r="AE520" t="n">
        <v>215</v>
      </c>
      <c r="AF520" t="s">
        <v>8716</v>
      </c>
      <c r="AG520" t="n">
        <v>93</v>
      </c>
    </row>
    <row r="521">
      <c r="A521" t="s">
        <v>9221</v>
      </c>
      <c r="B521" t="s">
        <v>26</v>
      </c>
      <c r="C521" t="s">
        <v>65</v>
      </c>
      <c r="D521" t="s">
        <v>9222</v>
      </c>
      <c r="E521" t="s">
        <v>79</v>
      </c>
      <c r="F521" t="s">
        <v>1274</v>
      </c>
      <c r="G521" t="s">
        <v>1653</v>
      </c>
      <c r="H521" t="n">
        <v>39.776596</v>
      </c>
      <c r="I521" t="n">
        <v>-104.992324</v>
      </c>
      <c r="J521" t="s">
        <v>35</v>
      </c>
      <c r="K521" t="s">
        <v>315</v>
      </c>
      <c r="L521"/>
      <c r="M521" t="n">
        <v>1990</v>
      </c>
      <c r="N521" t="n">
        <v>1990</v>
      </c>
      <c r="O521" t="s">
        <v>351</v>
      </c>
      <c r="P521" t="n">
        <v>1</v>
      </c>
      <c r="Q521" t="n">
        <v>1</v>
      </c>
      <c r="R521" t="n">
        <v>1</v>
      </c>
      <c r="S521" t="n">
        <v>1961</v>
      </c>
      <c r="T521" t="s">
        <v>9223</v>
      </c>
      <c r="U521" t="s">
        <v>9224</v>
      </c>
      <c r="V521" t="s">
        <v>74</v>
      </c>
      <c r="W521" t="s">
        <v>6610</v>
      </c>
      <c r="X521"/>
      <c r="Y521"/>
      <c r="Z521"/>
      <c r="AA521"/>
      <c r="AB521" t="s">
        <v>6612</v>
      </c>
      <c r="AC521" t="n">
        <v>93</v>
      </c>
      <c r="AD521"/>
      <c r="AE521"/>
      <c r="AF521" t="s">
        <v>6613</v>
      </c>
      <c r="AG521" t="n">
        <v>108</v>
      </c>
    </row>
    <row r="522">
      <c r="A522" t="s">
        <v>9225</v>
      </c>
      <c r="B522" t="s">
        <v>26</v>
      </c>
      <c r="C522" t="s">
        <v>24</v>
      </c>
      <c r="D522" t="s">
        <v>9226</v>
      </c>
      <c r="E522" t="s">
        <v>79</v>
      </c>
      <c r="F522" t="s">
        <v>1274</v>
      </c>
      <c r="G522" t="s">
        <v>1653</v>
      </c>
      <c r="H522" t="n">
        <v>39.7811658535132</v>
      </c>
      <c r="I522" t="n">
        <v>-104.922618282936</v>
      </c>
      <c r="J522" t="s">
        <v>4109</v>
      </c>
      <c r="K522" t="s">
        <v>133</v>
      </c>
      <c r="L522"/>
      <c r="M522" t="n">
        <v>1990</v>
      </c>
      <c r="N522" t="n">
        <v>1992</v>
      </c>
      <c r="O522" t="s">
        <v>357</v>
      </c>
      <c r="P522" t="n">
        <v>2</v>
      </c>
      <c r="Q522" t="n">
        <v>1</v>
      </c>
      <c r="R522" t="n">
        <v>1</v>
      </c>
      <c r="S522" t="n">
        <v>1948</v>
      </c>
      <c r="T522" t="s">
        <v>9227</v>
      </c>
      <c r="U522" t="s">
        <v>9228</v>
      </c>
      <c r="V522" t="s">
        <v>74</v>
      </c>
      <c r="W522" t="s">
        <v>9229</v>
      </c>
      <c r="X522" t="s">
        <v>9230</v>
      </c>
      <c r="Y522" t="s">
        <v>9231</v>
      </c>
      <c r="Z522"/>
      <c r="AA522" t="s">
        <v>9232</v>
      </c>
      <c r="AB522" t="s">
        <v>2082</v>
      </c>
      <c r="AC522" t="n">
        <v>144</v>
      </c>
      <c r="AD522" t="s">
        <v>2083</v>
      </c>
      <c r="AE522" t="n">
        <v>5</v>
      </c>
      <c r="AF522" t="s">
        <v>9233</v>
      </c>
      <c r="AG522" t="n">
        <v>55</v>
      </c>
    </row>
    <row r="523">
      <c r="A523" t="s">
        <v>9234</v>
      </c>
      <c r="B523" t="s">
        <v>26</v>
      </c>
      <c r="C523" t="s">
        <v>65</v>
      </c>
      <c r="D523" t="s">
        <v>9235</v>
      </c>
      <c r="E523" t="s">
        <v>79</v>
      </c>
      <c r="F523" t="s">
        <v>1274</v>
      </c>
      <c r="G523" t="s">
        <v>1516</v>
      </c>
      <c r="H523" t="n">
        <v>39.6829950377827</v>
      </c>
      <c r="I523" t="n">
        <v>-104.988784955023</v>
      </c>
      <c r="J523" t="s">
        <v>35</v>
      </c>
      <c r="K523" t="s">
        <v>70</v>
      </c>
      <c r="L523"/>
      <c r="M523" t="n">
        <v>1990</v>
      </c>
      <c r="N523" t="n">
        <v>1992</v>
      </c>
      <c r="O523" t="s">
        <v>357</v>
      </c>
      <c r="P523" t="n">
        <v>2</v>
      </c>
      <c r="Q523" t="n">
        <v>2</v>
      </c>
      <c r="R523" t="n">
        <v>2</v>
      </c>
      <c r="S523" t="n">
        <v>1967</v>
      </c>
      <c r="T523" t="s">
        <v>9236</v>
      </c>
      <c r="U523" t="s">
        <v>9237</v>
      </c>
      <c r="V523" t="s">
        <v>74</v>
      </c>
      <c r="W523" t="s">
        <v>6540</v>
      </c>
      <c r="X523" t="s">
        <v>9238</v>
      </c>
      <c r="Y523" t="s">
        <v>9239</v>
      </c>
      <c r="Z523"/>
      <c r="AA523" t="s">
        <v>9240</v>
      </c>
      <c r="AB523" t="s">
        <v>7581</v>
      </c>
      <c r="AC523" t="n">
        <v>97</v>
      </c>
      <c r="AD523" t="s">
        <v>7582</v>
      </c>
      <c r="AE523" t="n">
        <v>98</v>
      </c>
      <c r="AF523" t="s">
        <v>9241</v>
      </c>
      <c r="AG523" t="n">
        <v>1</v>
      </c>
    </row>
    <row r="524">
      <c r="A524" t="s">
        <v>9242</v>
      </c>
      <c r="B524" t="s">
        <v>26</v>
      </c>
      <c r="C524" t="s">
        <v>65</v>
      </c>
      <c r="D524" t="s">
        <v>9243</v>
      </c>
      <c r="E524" t="s">
        <v>79</v>
      </c>
      <c r="F524" t="s">
        <v>1274</v>
      </c>
      <c r="G524" t="s">
        <v>1653</v>
      </c>
      <c r="H524" t="n">
        <v>39.778660932952</v>
      </c>
      <c r="I524" t="n">
        <v>-104.920867046704</v>
      </c>
      <c r="J524" t="s">
        <v>35</v>
      </c>
      <c r="K524" t="s">
        <v>70</v>
      </c>
      <c r="L524"/>
      <c r="M524" t="n">
        <v>1990</v>
      </c>
      <c r="N524" t="n">
        <v>1990</v>
      </c>
      <c r="O524" t="s">
        <v>351</v>
      </c>
      <c r="P524" t="n">
        <v>1</v>
      </c>
      <c r="Q524" t="n">
        <v>1</v>
      </c>
      <c r="R524" t="n">
        <v>1</v>
      </c>
      <c r="S524" t="n">
        <v>1979</v>
      </c>
      <c r="T524" t="s">
        <v>9244</v>
      </c>
      <c r="U524" t="s">
        <v>9245</v>
      </c>
      <c r="V524" t="s">
        <v>74</v>
      </c>
      <c r="W524" t="s">
        <v>9246</v>
      </c>
      <c r="X524"/>
      <c r="Y524" t="s">
        <v>9247</v>
      </c>
      <c r="Z524"/>
      <c r="AA524"/>
      <c r="AB524" t="s">
        <v>1729</v>
      </c>
      <c r="AC524" t="n">
        <v>65</v>
      </c>
      <c r="AD524" t="s">
        <v>1730</v>
      </c>
      <c r="AE524" t="n">
        <v>201</v>
      </c>
      <c r="AF524" t="s">
        <v>9248</v>
      </c>
      <c r="AG524" t="n">
        <v>30</v>
      </c>
    </row>
    <row r="525">
      <c r="A525" t="s">
        <v>9249</v>
      </c>
      <c r="B525" t="s">
        <v>26</v>
      </c>
      <c r="C525" t="s">
        <v>65</v>
      </c>
      <c r="D525" t="s">
        <v>9250</v>
      </c>
      <c r="E525" t="s">
        <v>79</v>
      </c>
      <c r="F525" t="s">
        <v>1274</v>
      </c>
      <c r="G525" t="s">
        <v>1653</v>
      </c>
      <c r="H525" t="n">
        <v>39.7723958795805</v>
      </c>
      <c r="I525" t="n">
        <v>-104.989557930039</v>
      </c>
      <c r="J525" t="s">
        <v>35</v>
      </c>
      <c r="K525" t="s">
        <v>89</v>
      </c>
      <c r="L525"/>
      <c r="M525" t="n">
        <v>1990</v>
      </c>
      <c r="N525" t="n">
        <v>1990</v>
      </c>
      <c r="O525" t="s">
        <v>351</v>
      </c>
      <c r="P525" t="n">
        <v>1</v>
      </c>
      <c r="Q525" t="n">
        <v>1</v>
      </c>
      <c r="R525" t="n">
        <v>1</v>
      </c>
      <c r="S525" t="n">
        <v>1965</v>
      </c>
      <c r="T525" t="s">
        <v>9251</v>
      </c>
      <c r="U525" t="s">
        <v>9252</v>
      </c>
      <c r="V525" t="s">
        <v>74</v>
      </c>
      <c r="W525" t="s">
        <v>6610</v>
      </c>
      <c r="X525" t="s">
        <v>9253</v>
      </c>
      <c r="Y525"/>
      <c r="Z525"/>
      <c r="AA525"/>
      <c r="AB525"/>
      <c r="AC525"/>
      <c r="AD525" t="s">
        <v>9254</v>
      </c>
      <c r="AE525" t="n">
        <v>31</v>
      </c>
      <c r="AF525" t="s">
        <v>9255</v>
      </c>
      <c r="AG525" t="n">
        <v>87</v>
      </c>
    </row>
    <row r="526">
      <c r="A526" t="s">
        <v>9256</v>
      </c>
      <c r="B526" t="s">
        <v>26</v>
      </c>
      <c r="C526" t="s">
        <v>65</v>
      </c>
      <c r="D526" t="s">
        <v>9257</v>
      </c>
      <c r="E526" t="s">
        <v>79</v>
      </c>
      <c r="F526" t="s">
        <v>1274</v>
      </c>
      <c r="G526" t="s">
        <v>2041</v>
      </c>
      <c r="H526" t="n">
        <v>39.6932735743234</v>
      </c>
      <c r="I526" t="n">
        <v>-104.891769805269</v>
      </c>
      <c r="J526" t="s">
        <v>35</v>
      </c>
      <c r="K526" t="s">
        <v>89</v>
      </c>
      <c r="L526"/>
      <c r="M526" t="n">
        <v>1990</v>
      </c>
      <c r="N526" t="n">
        <v>1990</v>
      </c>
      <c r="O526" t="s">
        <v>351</v>
      </c>
      <c r="P526" t="n">
        <v>1</v>
      </c>
      <c r="Q526" t="n">
        <v>1</v>
      </c>
      <c r="R526" t="n">
        <v>1</v>
      </c>
      <c r="S526" t="n">
        <v>1987</v>
      </c>
      <c r="T526" t="s">
        <v>9258</v>
      </c>
      <c r="U526" t="s">
        <v>9259</v>
      </c>
      <c r="V526" t="s">
        <v>74</v>
      </c>
      <c r="W526" t="s">
        <v>9260</v>
      </c>
      <c r="X526"/>
      <c r="Y526"/>
      <c r="Z526"/>
      <c r="AA526"/>
      <c r="AB526" t="s">
        <v>9261</v>
      </c>
      <c r="AC526" t="n">
        <v>131</v>
      </c>
      <c r="AD526"/>
      <c r="AE526"/>
      <c r="AF526" t="s">
        <v>9262</v>
      </c>
      <c r="AG526" t="n">
        <v>75</v>
      </c>
    </row>
    <row r="527">
      <c r="A527" t="s">
        <v>9263</v>
      </c>
      <c r="B527" t="s">
        <v>26</v>
      </c>
      <c r="C527" t="s">
        <v>65</v>
      </c>
      <c r="D527" t="s">
        <v>9264</v>
      </c>
      <c r="E527" t="s">
        <v>79</v>
      </c>
      <c r="F527" t="s">
        <v>1274</v>
      </c>
      <c r="G527" t="s">
        <v>1653</v>
      </c>
      <c r="H527" t="n">
        <v>39.7832297477684</v>
      </c>
      <c r="I527" t="n">
        <v>-104.917620939076</v>
      </c>
      <c r="J527" t="s">
        <v>35</v>
      </c>
      <c r="K527" t="s">
        <v>70</v>
      </c>
      <c r="L527"/>
      <c r="M527" t="n">
        <v>1990</v>
      </c>
      <c r="N527" t="n">
        <v>1990</v>
      </c>
      <c r="O527" t="s">
        <v>351</v>
      </c>
      <c r="P527" t="n">
        <v>1</v>
      </c>
      <c r="Q527" t="n">
        <v>1</v>
      </c>
      <c r="R527" t="n">
        <v>1</v>
      </c>
      <c r="S527" t="n">
        <v>1984</v>
      </c>
      <c r="T527" t="s">
        <v>9265</v>
      </c>
      <c r="U527" t="s">
        <v>9266</v>
      </c>
      <c r="V527" t="s">
        <v>74</v>
      </c>
      <c r="W527" t="s">
        <v>9267</v>
      </c>
      <c r="X527"/>
      <c r="Y527" t="s">
        <v>9268</v>
      </c>
      <c r="Z527" t="s">
        <v>9269</v>
      </c>
      <c r="AA527" t="s">
        <v>9270</v>
      </c>
      <c r="AB527" t="s">
        <v>5513</v>
      </c>
      <c r="AC527" t="n">
        <v>163</v>
      </c>
      <c r="AD527"/>
      <c r="AE527"/>
      <c r="AF527" t="s">
        <v>9271</v>
      </c>
      <c r="AG527" t="n">
        <v>32</v>
      </c>
    </row>
    <row r="528">
      <c r="A528" t="s">
        <v>9272</v>
      </c>
      <c r="B528" t="s">
        <v>26</v>
      </c>
      <c r="C528" t="s">
        <v>65</v>
      </c>
      <c r="D528" t="s">
        <v>9273</v>
      </c>
      <c r="E528" t="s">
        <v>79</v>
      </c>
      <c r="F528" t="s">
        <v>1274</v>
      </c>
      <c r="G528" t="s">
        <v>1653</v>
      </c>
      <c r="H528" t="n">
        <v>39.7843642659294</v>
      </c>
      <c r="I528" t="n">
        <v>-104.949819553176</v>
      </c>
      <c r="J528" t="s">
        <v>35</v>
      </c>
      <c r="K528" t="s">
        <v>120</v>
      </c>
      <c r="L528"/>
      <c r="M528" t="n">
        <v>1990</v>
      </c>
      <c r="N528" t="n">
        <v>1990</v>
      </c>
      <c r="O528" t="s">
        <v>351</v>
      </c>
      <c r="P528" t="n">
        <v>1</v>
      </c>
      <c r="Q528" t="n">
        <v>1</v>
      </c>
      <c r="R528" t="n">
        <v>1</v>
      </c>
      <c r="S528" t="n">
        <v>1923</v>
      </c>
      <c r="T528" t="s">
        <v>9274</v>
      </c>
      <c r="U528" t="s">
        <v>9275</v>
      </c>
      <c r="V528" t="s">
        <v>74</v>
      </c>
      <c r="W528" t="s">
        <v>9276</v>
      </c>
      <c r="X528"/>
      <c r="Y528"/>
      <c r="Z528"/>
      <c r="AA528"/>
      <c r="AB528" t="s">
        <v>9277</v>
      </c>
      <c r="AC528" t="n">
        <v>52</v>
      </c>
      <c r="AD528"/>
      <c r="AE528"/>
      <c r="AF528" t="s">
        <v>9278</v>
      </c>
      <c r="AG528" t="n">
        <v>209</v>
      </c>
    </row>
    <row r="529">
      <c r="A529" t="s">
        <v>9279</v>
      </c>
      <c r="B529" t="s">
        <v>26</v>
      </c>
      <c r="C529" t="s">
        <v>24</v>
      </c>
      <c r="D529" t="s">
        <v>9280</v>
      </c>
      <c r="E529" t="s">
        <v>79</v>
      </c>
      <c r="F529" t="s">
        <v>1274</v>
      </c>
      <c r="G529" t="s">
        <v>1653</v>
      </c>
      <c r="H529" t="n">
        <v>39.8060535570481</v>
      </c>
      <c r="I529" t="n">
        <v>-104.978084306483</v>
      </c>
      <c r="J529" t="s">
        <v>4109</v>
      </c>
      <c r="K529" t="s">
        <v>2274</v>
      </c>
      <c r="L529"/>
      <c r="M529" t="n">
        <v>1990</v>
      </c>
      <c r="N529" t="n">
        <v>1990</v>
      </c>
      <c r="O529" t="s">
        <v>351</v>
      </c>
      <c r="P529" t="n">
        <v>1</v>
      </c>
      <c r="Q529" t="n">
        <v>1</v>
      </c>
      <c r="R529" t="n">
        <v>1</v>
      </c>
      <c r="S529"/>
      <c r="T529" t="s">
        <v>9281</v>
      </c>
      <c r="U529" t="s">
        <v>9282</v>
      </c>
      <c r="V529" t="s">
        <v>74</v>
      </c>
      <c r="W529" t="s">
        <v>9283</v>
      </c>
      <c r="X529" t="s">
        <v>9284</v>
      </c>
      <c r="Y529" t="s">
        <v>9285</v>
      </c>
      <c r="Z529"/>
      <c r="AA529" t="s">
        <v>9286</v>
      </c>
      <c r="AB529" t="s">
        <v>9287</v>
      </c>
      <c r="AC529" t="n">
        <v>6</v>
      </c>
      <c r="AD529" t="s">
        <v>7281</v>
      </c>
      <c r="AE529" t="n">
        <v>97</v>
      </c>
      <c r="AF529" t="s">
        <v>9288</v>
      </c>
      <c r="AG529" t="n">
        <v>85</v>
      </c>
    </row>
    <row r="530">
      <c r="A530" t="s">
        <v>9289</v>
      </c>
      <c r="B530" t="s">
        <v>26</v>
      </c>
      <c r="C530" t="s">
        <v>65</v>
      </c>
      <c r="D530" t="s">
        <v>9290</v>
      </c>
      <c r="E530" t="s">
        <v>79</v>
      </c>
      <c r="F530" t="s">
        <v>1274</v>
      </c>
      <c r="G530" t="s">
        <v>1653</v>
      </c>
      <c r="H530" t="n">
        <v>39.7738544836674</v>
      </c>
      <c r="I530" t="n">
        <v>-104.94466275683</v>
      </c>
      <c r="J530" t="s">
        <v>35</v>
      </c>
      <c r="K530" t="s">
        <v>133</v>
      </c>
      <c r="L530"/>
      <c r="M530" t="n">
        <v>1990</v>
      </c>
      <c r="N530" t="n">
        <v>1992</v>
      </c>
      <c r="O530" t="s">
        <v>351</v>
      </c>
      <c r="P530" t="n">
        <v>2</v>
      </c>
      <c r="Q530" t="n">
        <v>3</v>
      </c>
      <c r="R530" t="n">
        <v>2</v>
      </c>
      <c r="S530" t="n">
        <v>1983</v>
      </c>
      <c r="T530" t="s">
        <v>9291</v>
      </c>
      <c r="U530" t="s">
        <v>9292</v>
      </c>
      <c r="V530" t="s">
        <v>74</v>
      </c>
      <c r="W530" t="s">
        <v>6610</v>
      </c>
      <c r="X530"/>
      <c r="Y530"/>
      <c r="Z530"/>
      <c r="AA530"/>
      <c r="AB530"/>
      <c r="AC530"/>
      <c r="AD530"/>
      <c r="AE530"/>
      <c r="AF530" t="s">
        <v>8445</v>
      </c>
      <c r="AG530" t="n">
        <v>84</v>
      </c>
    </row>
    <row r="531">
      <c r="A531" t="s">
        <v>9293</v>
      </c>
      <c r="B531" t="s">
        <v>26</v>
      </c>
      <c r="C531" t="s">
        <v>65</v>
      </c>
      <c r="D531" t="s">
        <v>9294</v>
      </c>
      <c r="E531" t="s">
        <v>79</v>
      </c>
      <c r="F531" t="s">
        <v>1274</v>
      </c>
      <c r="G531" t="s">
        <v>1509</v>
      </c>
      <c r="H531" t="n">
        <v>39.7724928989047</v>
      </c>
      <c r="I531" t="n">
        <v>-104.969035762514</v>
      </c>
      <c r="J531" t="s">
        <v>35</v>
      </c>
      <c r="K531" t="s">
        <v>70</v>
      </c>
      <c r="L531"/>
      <c r="M531" t="n">
        <v>1992</v>
      </c>
      <c r="N531" t="n">
        <v>1992</v>
      </c>
      <c r="O531" t="s">
        <v>1016</v>
      </c>
      <c r="P531" t="n">
        <v>1</v>
      </c>
      <c r="Q531" t="n">
        <v>1</v>
      </c>
      <c r="R531" t="n">
        <v>1</v>
      </c>
      <c r="S531"/>
      <c r="T531" t="s">
        <v>9295</v>
      </c>
      <c r="U531" t="s">
        <v>9296</v>
      </c>
      <c r="V531" t="s">
        <v>74</v>
      </c>
      <c r="W531" t="s">
        <v>6610</v>
      </c>
      <c r="X531"/>
      <c r="Y531"/>
      <c r="Z531"/>
      <c r="AA531"/>
      <c r="AB531" t="s">
        <v>8483</v>
      </c>
      <c r="AC531" t="n">
        <v>168</v>
      </c>
      <c r="AD531"/>
      <c r="AE531"/>
      <c r="AF531" t="s">
        <v>8518</v>
      </c>
      <c r="AG531" t="n">
        <v>114</v>
      </c>
    </row>
    <row r="532">
      <c r="A532" t="s">
        <v>9297</v>
      </c>
      <c r="B532" t="s">
        <v>26</v>
      </c>
      <c r="C532" t="s">
        <v>65</v>
      </c>
      <c r="D532" t="s">
        <v>9298</v>
      </c>
      <c r="E532" t="s">
        <v>79</v>
      </c>
      <c r="F532" t="s">
        <v>1274</v>
      </c>
      <c r="G532" t="s">
        <v>1653</v>
      </c>
      <c r="H532" t="n">
        <v>39.7836366663167</v>
      </c>
      <c r="I532" t="n">
        <v>-104.917716316065</v>
      </c>
      <c r="J532" t="s">
        <v>35</v>
      </c>
      <c r="K532" t="s">
        <v>70</v>
      </c>
      <c r="L532"/>
      <c r="M532" t="n">
        <v>1992</v>
      </c>
      <c r="N532" t="n">
        <v>1992</v>
      </c>
      <c r="O532" t="s">
        <v>1016</v>
      </c>
      <c r="P532" t="n">
        <v>1</v>
      </c>
      <c r="Q532" t="n">
        <v>1</v>
      </c>
      <c r="R532" t="n">
        <v>1</v>
      </c>
      <c r="S532" t="n">
        <v>1964</v>
      </c>
      <c r="T532" t="s">
        <v>9299</v>
      </c>
      <c r="U532" t="s">
        <v>9300</v>
      </c>
      <c r="V532" t="s">
        <v>74</v>
      </c>
      <c r="W532" t="s">
        <v>9301</v>
      </c>
      <c r="X532"/>
      <c r="Y532"/>
      <c r="Z532"/>
      <c r="AA532" t="s">
        <v>9302</v>
      </c>
      <c r="AB532" t="s">
        <v>5101</v>
      </c>
      <c r="AC532" t="n">
        <v>181</v>
      </c>
      <c r="AD532"/>
      <c r="AE532"/>
      <c r="AF532" t="s">
        <v>9271</v>
      </c>
      <c r="AG532" t="n">
        <v>71</v>
      </c>
    </row>
    <row r="533">
      <c r="A533" t="s">
        <v>9303</v>
      </c>
      <c r="B533" t="s">
        <v>26</v>
      </c>
      <c r="C533" t="s">
        <v>24</v>
      </c>
      <c r="D533" t="s">
        <v>9304</v>
      </c>
      <c r="E533" t="s">
        <v>79</v>
      </c>
      <c r="F533" t="s">
        <v>1274</v>
      </c>
      <c r="G533" t="s">
        <v>1516</v>
      </c>
      <c r="H533" t="n">
        <v>39.7383150213247</v>
      </c>
      <c r="I533" t="n">
        <v>-104.991654183679</v>
      </c>
      <c r="J533" t="s">
        <v>4109</v>
      </c>
      <c r="K533" t="s">
        <v>70</v>
      </c>
      <c r="L533"/>
      <c r="M533" t="n">
        <v>1992</v>
      </c>
      <c r="N533" t="n">
        <v>1992</v>
      </c>
      <c r="O533" t="s">
        <v>1016</v>
      </c>
      <c r="P533" t="n">
        <v>1</v>
      </c>
      <c r="Q533" t="n">
        <v>1</v>
      </c>
      <c r="R533" t="n">
        <v>1</v>
      </c>
      <c r="S533"/>
      <c r="T533" t="s">
        <v>9305</v>
      </c>
      <c r="U533" t="s">
        <v>9306</v>
      </c>
      <c r="V533" t="s">
        <v>74</v>
      </c>
      <c r="W533" t="s">
        <v>9307</v>
      </c>
      <c r="X533"/>
      <c r="Y533" t="s">
        <v>9308</v>
      </c>
      <c r="Z533"/>
      <c r="AA533" t="s">
        <v>9309</v>
      </c>
      <c r="AB533" t="s">
        <v>4553</v>
      </c>
      <c r="AC533" t="n">
        <v>3</v>
      </c>
      <c r="AD533" t="s">
        <v>7546</v>
      </c>
      <c r="AE533" t="n">
        <v>197</v>
      </c>
      <c r="AF533" t="s">
        <v>9310</v>
      </c>
      <c r="AG533" t="n">
        <v>2</v>
      </c>
    </row>
    <row r="534">
      <c r="A534" t="s">
        <v>9311</v>
      </c>
      <c r="B534" t="s">
        <v>26</v>
      </c>
      <c r="C534" t="s">
        <v>25</v>
      </c>
      <c r="D534" t="s">
        <v>9312</v>
      </c>
      <c r="E534" t="s">
        <v>79</v>
      </c>
      <c r="F534" t="s">
        <v>1274</v>
      </c>
      <c r="G534" t="s">
        <v>1653</v>
      </c>
      <c r="H534" t="n">
        <v>39.774483</v>
      </c>
      <c r="I534" t="n">
        <v>-104.942847</v>
      </c>
      <c r="J534" t="s">
        <v>4109</v>
      </c>
      <c r="K534" t="s">
        <v>133</v>
      </c>
      <c r="L534"/>
      <c r="M534" t="n">
        <v>1992</v>
      </c>
      <c r="N534" t="n">
        <v>1992</v>
      </c>
      <c r="O534" t="s">
        <v>1016</v>
      </c>
      <c r="P534" t="n">
        <v>1</v>
      </c>
      <c r="Q534" t="n">
        <v>1</v>
      </c>
      <c r="R534" t="n">
        <v>1</v>
      </c>
      <c r="S534"/>
      <c r="T534" t="s">
        <v>9313</v>
      </c>
      <c r="U534" t="s">
        <v>9314</v>
      </c>
      <c r="V534" t="s">
        <v>4175</v>
      </c>
      <c r="W534" t="s">
        <v>9315</v>
      </c>
      <c r="X534"/>
      <c r="Y534" t="s">
        <v>9316</v>
      </c>
      <c r="Z534"/>
      <c r="AA534" t="s">
        <v>9317</v>
      </c>
      <c r="AB534" t="s">
        <v>9318</v>
      </c>
      <c r="AC534" t="n">
        <v>234</v>
      </c>
      <c r="AD534"/>
      <c r="AE534"/>
      <c r="AF534" t="s">
        <v>9319</v>
      </c>
      <c r="AG534" t="n">
        <v>45</v>
      </c>
    </row>
    <row r="535">
      <c r="A535" t="s">
        <v>9320</v>
      </c>
      <c r="B535" t="s">
        <v>26</v>
      </c>
      <c r="C535" t="s">
        <v>24</v>
      </c>
      <c r="D535" t="s">
        <v>9321</v>
      </c>
      <c r="E535" t="s">
        <v>386</v>
      </c>
      <c r="F535" t="s">
        <v>2221</v>
      </c>
      <c r="G535" t="s">
        <v>4575</v>
      </c>
      <c r="H535" t="n">
        <v>39.5072254506793</v>
      </c>
      <c r="I535" t="n">
        <v>-105.017374680788</v>
      </c>
      <c r="J535" t="s">
        <v>4109</v>
      </c>
      <c r="K535" t="s">
        <v>2274</v>
      </c>
      <c r="L535" t="s">
        <v>2476</v>
      </c>
      <c r="M535" t="n">
        <v>1977</v>
      </c>
      <c r="N535" t="n">
        <v>1992</v>
      </c>
      <c r="O535" t="s">
        <v>9322</v>
      </c>
      <c r="P535" t="n">
        <v>4</v>
      </c>
      <c r="Q535" t="n">
        <v>1</v>
      </c>
      <c r="R535" t="n">
        <v>1</v>
      </c>
      <c r="S535" t="n">
        <v>1975</v>
      </c>
      <c r="T535" t="s">
        <v>9323</v>
      </c>
      <c r="U535" t="s">
        <v>9324</v>
      </c>
      <c r="V535" t="s">
        <v>74</v>
      </c>
      <c r="W535" t="s">
        <v>9325</v>
      </c>
      <c r="X535" t="s">
        <v>9326</v>
      </c>
      <c r="Y535" t="s">
        <v>9327</v>
      </c>
      <c r="Z535"/>
      <c r="AA535" t="s">
        <v>9328</v>
      </c>
      <c r="AB535" t="s">
        <v>9329</v>
      </c>
      <c r="AC535" t="n">
        <v>98</v>
      </c>
      <c r="AD535" t="s">
        <v>4579</v>
      </c>
      <c r="AE535" t="n">
        <v>31</v>
      </c>
      <c r="AF535" t="s">
        <v>9330</v>
      </c>
      <c r="AG535" t="n">
        <v>15</v>
      </c>
    </row>
    <row r="536">
      <c r="A536" t="s">
        <v>9331</v>
      </c>
      <c r="B536" t="s">
        <v>26</v>
      </c>
      <c r="C536" t="s">
        <v>65</v>
      </c>
      <c r="D536" t="s">
        <v>9332</v>
      </c>
      <c r="E536" t="s">
        <v>9333</v>
      </c>
      <c r="F536" t="s">
        <v>2253</v>
      </c>
      <c r="G536" t="s">
        <v>9334</v>
      </c>
      <c r="H536" t="n">
        <v>39.6605879335663</v>
      </c>
      <c r="I536" t="n">
        <v>-106.823717278248</v>
      </c>
      <c r="J536" t="s">
        <v>35</v>
      </c>
      <c r="K536" t="s">
        <v>1041</v>
      </c>
      <c r="L536"/>
      <c r="M536" t="n">
        <v>1990</v>
      </c>
      <c r="N536" t="n">
        <v>1990</v>
      </c>
      <c r="O536" t="s">
        <v>351</v>
      </c>
      <c r="P536" t="n">
        <v>1</v>
      </c>
      <c r="Q536" t="n">
        <v>1</v>
      </c>
      <c r="R536" t="n">
        <v>1</v>
      </c>
      <c r="S536" t="n">
        <v>1982</v>
      </c>
      <c r="T536" t="s">
        <v>9335</v>
      </c>
      <c r="U536" t="s">
        <v>9336</v>
      </c>
      <c r="V536" t="s">
        <v>74</v>
      </c>
      <c r="W536" t="s">
        <v>9337</v>
      </c>
      <c r="X536"/>
      <c r="Y536" t="s">
        <v>9338</v>
      </c>
      <c r="Z536"/>
      <c r="AA536"/>
      <c r="AB536" t="s">
        <v>9339</v>
      </c>
      <c r="AC536" t="n">
        <v>133</v>
      </c>
      <c r="AD536"/>
      <c r="AE536"/>
      <c r="AF536" t="s">
        <v>9340</v>
      </c>
      <c r="AG536" t="n">
        <v>123</v>
      </c>
    </row>
    <row r="537">
      <c r="A537" t="s">
        <v>9341</v>
      </c>
      <c r="B537" t="s">
        <v>26</v>
      </c>
      <c r="C537" t="s">
        <v>24</v>
      </c>
      <c r="D537" t="s">
        <v>9342</v>
      </c>
      <c r="E537" t="s">
        <v>2272</v>
      </c>
      <c r="F537" t="s">
        <v>2267</v>
      </c>
      <c r="G537" t="s">
        <v>2296</v>
      </c>
      <c r="H537" t="n">
        <v>38.8742063110069</v>
      </c>
      <c r="I537" t="n">
        <v>-104.814119191904</v>
      </c>
      <c r="J537" t="s">
        <v>35</v>
      </c>
      <c r="K537" t="s">
        <v>70</v>
      </c>
      <c r="L537"/>
      <c r="M537" t="n">
        <v>1966</v>
      </c>
      <c r="N537" t="n">
        <v>1990</v>
      </c>
      <c r="O537" t="s">
        <v>4172</v>
      </c>
      <c r="P537" t="n">
        <v>6</v>
      </c>
      <c r="Q537" t="n">
        <v>2</v>
      </c>
      <c r="R537" t="n">
        <v>1</v>
      </c>
      <c r="S537" t="n">
        <v>1957</v>
      </c>
      <c r="T537" t="s">
        <v>9343</v>
      </c>
      <c r="U537" t="s">
        <v>9344</v>
      </c>
      <c r="V537" t="s">
        <v>4175</v>
      </c>
      <c r="W537" t="s">
        <v>9345</v>
      </c>
      <c r="X537" t="s">
        <v>9346</v>
      </c>
      <c r="Y537" t="s">
        <v>9347</v>
      </c>
      <c r="Z537"/>
      <c r="AA537" t="s">
        <v>9348</v>
      </c>
      <c r="AB537" t="s">
        <v>9349</v>
      </c>
      <c r="AC537" t="n">
        <v>4</v>
      </c>
      <c r="AD537" t="s">
        <v>9350</v>
      </c>
      <c r="AE537" t="n">
        <v>66</v>
      </c>
      <c r="AF537" t="s">
        <v>9351</v>
      </c>
      <c r="AG537" t="n">
        <v>44</v>
      </c>
    </row>
    <row r="538">
      <c r="A538" t="s">
        <v>9352</v>
      </c>
      <c r="B538" t="s">
        <v>26</v>
      </c>
      <c r="C538" t="s">
        <v>24</v>
      </c>
      <c r="D538" t="s">
        <v>9353</v>
      </c>
      <c r="E538" t="s">
        <v>2272</v>
      </c>
      <c r="F538" t="s">
        <v>2267</v>
      </c>
      <c r="G538" t="s">
        <v>9354</v>
      </c>
      <c r="H538" t="n">
        <v>38.83123</v>
      </c>
      <c r="I538" t="n">
        <v>-104.827314</v>
      </c>
      <c r="J538" t="s">
        <v>4109</v>
      </c>
      <c r="K538" t="s">
        <v>141</v>
      </c>
      <c r="L538"/>
      <c r="M538" t="n">
        <v>1966</v>
      </c>
      <c r="N538" t="n">
        <v>1973</v>
      </c>
      <c r="O538" t="s">
        <v>1349</v>
      </c>
      <c r="P538" t="n">
        <v>4</v>
      </c>
      <c r="Q538" t="n">
        <v>3</v>
      </c>
      <c r="R538" t="n">
        <v>1</v>
      </c>
      <c r="S538" t="n">
        <v>1945</v>
      </c>
      <c r="T538" t="s">
        <v>9355</v>
      </c>
      <c r="U538" t="s">
        <v>9356</v>
      </c>
      <c r="V538" t="s">
        <v>74</v>
      </c>
      <c r="W538" t="s">
        <v>9357</v>
      </c>
      <c r="X538"/>
      <c r="Y538" t="s">
        <v>9358</v>
      </c>
      <c r="Z538"/>
      <c r="AA538" t="s">
        <v>9359</v>
      </c>
      <c r="AB538" t="s">
        <v>9360</v>
      </c>
      <c r="AC538" t="n">
        <v>166</v>
      </c>
      <c r="AD538"/>
      <c r="AE538"/>
      <c r="AF538" t="s">
        <v>9361</v>
      </c>
      <c r="AG538" t="n">
        <v>181</v>
      </c>
    </row>
    <row r="539">
      <c r="A539" t="s">
        <v>9362</v>
      </c>
      <c r="B539" t="s">
        <v>26</v>
      </c>
      <c r="C539" t="s">
        <v>24</v>
      </c>
      <c r="D539" t="s">
        <v>9363</v>
      </c>
      <c r="E539" t="s">
        <v>2272</v>
      </c>
      <c r="F539" t="s">
        <v>2267</v>
      </c>
      <c r="G539" t="s">
        <v>2296</v>
      </c>
      <c r="H539" t="n">
        <v>38.8742259591837</v>
      </c>
      <c r="I539" t="n">
        <v>-104.814667959184</v>
      </c>
      <c r="J539" t="s">
        <v>35</v>
      </c>
      <c r="K539" t="s">
        <v>1041</v>
      </c>
      <c r="L539"/>
      <c r="M539" t="n">
        <v>1966</v>
      </c>
      <c r="N539" t="n">
        <v>1980</v>
      </c>
      <c r="O539" t="s">
        <v>4172</v>
      </c>
      <c r="P539" t="n">
        <v>3</v>
      </c>
      <c r="Q539" t="n">
        <v>3</v>
      </c>
      <c r="R539" t="n">
        <v>1</v>
      </c>
      <c r="S539" t="n">
        <v>1935</v>
      </c>
      <c r="T539" t="s">
        <v>9364</v>
      </c>
      <c r="U539" t="s">
        <v>9365</v>
      </c>
      <c r="V539" t="s">
        <v>4175</v>
      </c>
      <c r="W539" t="s">
        <v>9366</v>
      </c>
      <c r="X539" t="s">
        <v>9367</v>
      </c>
      <c r="Y539" t="s">
        <v>9368</v>
      </c>
      <c r="Z539"/>
      <c r="AA539" t="s">
        <v>9369</v>
      </c>
      <c r="AB539" t="s">
        <v>9370</v>
      </c>
      <c r="AC539" t="n">
        <v>11</v>
      </c>
      <c r="AD539" t="s">
        <v>9371</v>
      </c>
      <c r="AE539" t="n">
        <v>47</v>
      </c>
      <c r="AF539" t="s">
        <v>9372</v>
      </c>
      <c r="AG539" t="n">
        <v>3</v>
      </c>
    </row>
    <row r="540">
      <c r="A540" t="s">
        <v>9373</v>
      </c>
      <c r="B540" t="s">
        <v>26</v>
      </c>
      <c r="C540" t="s">
        <v>65</v>
      </c>
      <c r="D540" t="s">
        <v>9374</v>
      </c>
      <c r="E540" t="s">
        <v>2272</v>
      </c>
      <c r="F540" t="s">
        <v>2267</v>
      </c>
      <c r="G540" t="s">
        <v>2326</v>
      </c>
      <c r="H540" t="n">
        <v>38.8485039790179</v>
      </c>
      <c r="I540" t="n">
        <v>-104.872812262535</v>
      </c>
      <c r="J540" t="s">
        <v>35</v>
      </c>
      <c r="K540" t="s">
        <v>120</v>
      </c>
      <c r="L540"/>
      <c r="M540" t="n">
        <v>1967</v>
      </c>
      <c r="N540" t="n">
        <v>1973</v>
      </c>
      <c r="O540" t="s">
        <v>9375</v>
      </c>
      <c r="P540" t="n">
        <v>3</v>
      </c>
      <c r="Q540" t="n">
        <v>2</v>
      </c>
      <c r="R540" t="n">
        <v>2</v>
      </c>
      <c r="S540" t="n">
        <v>1961</v>
      </c>
      <c r="T540" t="s">
        <v>9376</v>
      </c>
      <c r="U540" t="s">
        <v>9377</v>
      </c>
      <c r="V540" t="s">
        <v>74</v>
      </c>
      <c r="W540" t="s">
        <v>9378</v>
      </c>
      <c r="X540"/>
      <c r="Y540"/>
      <c r="Z540"/>
      <c r="AA540"/>
      <c r="AB540" t="s">
        <v>9379</v>
      </c>
      <c r="AC540" t="n">
        <v>60</v>
      </c>
      <c r="AD540"/>
      <c r="AE540"/>
      <c r="AF540" t="s">
        <v>9380</v>
      </c>
      <c r="AG540" t="n">
        <v>219</v>
      </c>
    </row>
    <row r="541">
      <c r="A541" t="s">
        <v>9381</v>
      </c>
      <c r="B541" t="s">
        <v>26</v>
      </c>
      <c r="C541" t="s">
        <v>65</v>
      </c>
      <c r="D541" t="s">
        <v>9382</v>
      </c>
      <c r="E541" t="s">
        <v>2272</v>
      </c>
      <c r="F541" t="s">
        <v>2267</v>
      </c>
      <c r="G541" t="s">
        <v>2296</v>
      </c>
      <c r="H541" t="n">
        <v>38.8777395021972</v>
      </c>
      <c r="I541" t="n">
        <v>-104.816003741259</v>
      </c>
      <c r="J541" t="s">
        <v>35</v>
      </c>
      <c r="K541" t="s">
        <v>988</v>
      </c>
      <c r="L541"/>
      <c r="M541" t="n">
        <v>1967</v>
      </c>
      <c r="N541" t="n">
        <v>1992</v>
      </c>
      <c r="O541" t="s">
        <v>9383</v>
      </c>
      <c r="P541" t="n">
        <v>5</v>
      </c>
      <c r="Q541" t="n">
        <v>4</v>
      </c>
      <c r="R541" t="n">
        <v>2</v>
      </c>
      <c r="S541" t="n">
        <v>1941</v>
      </c>
      <c r="T541" t="s">
        <v>9384</v>
      </c>
      <c r="U541" t="s">
        <v>9385</v>
      </c>
      <c r="V541" t="s">
        <v>74</v>
      </c>
      <c r="W541" t="s">
        <v>9386</v>
      </c>
      <c r="X541"/>
      <c r="Y541" t="s">
        <v>9387</v>
      </c>
      <c r="Z541"/>
      <c r="AA541"/>
      <c r="AB541" t="s">
        <v>2434</v>
      </c>
      <c r="AC541" t="n">
        <v>52</v>
      </c>
      <c r="AD541" t="s">
        <v>9388</v>
      </c>
      <c r="AE541" t="n">
        <v>241</v>
      </c>
      <c r="AF541" t="s">
        <v>2436</v>
      </c>
      <c r="AG541" t="n">
        <v>32</v>
      </c>
    </row>
    <row r="542">
      <c r="A542" t="s">
        <v>9389</v>
      </c>
      <c r="B542" t="s">
        <v>26</v>
      </c>
      <c r="C542" t="s">
        <v>24</v>
      </c>
      <c r="D542" t="s">
        <v>9390</v>
      </c>
      <c r="E542" t="s">
        <v>2272</v>
      </c>
      <c r="F542" t="s">
        <v>2267</v>
      </c>
      <c r="G542" t="s">
        <v>2282</v>
      </c>
      <c r="H542" t="n">
        <v>38.82815</v>
      </c>
      <c r="I542" t="n">
        <v>-104.84208</v>
      </c>
      <c r="J542" t="s">
        <v>4109</v>
      </c>
      <c r="K542" t="s">
        <v>141</v>
      </c>
      <c r="L542"/>
      <c r="M542" t="n">
        <v>1967</v>
      </c>
      <c r="N542" t="n">
        <v>1968</v>
      </c>
      <c r="O542" t="s">
        <v>1349</v>
      </c>
      <c r="P542" t="n">
        <v>2</v>
      </c>
      <c r="Q542" t="n">
        <v>1</v>
      </c>
      <c r="R542" t="n">
        <v>1</v>
      </c>
      <c r="S542" t="n">
        <v>1954</v>
      </c>
      <c r="T542" t="s">
        <v>9391</v>
      </c>
      <c r="U542" t="s">
        <v>9392</v>
      </c>
      <c r="V542" t="s">
        <v>74</v>
      </c>
      <c r="W542" t="s">
        <v>9393</v>
      </c>
      <c r="X542"/>
      <c r="Y542" t="s">
        <v>9394</v>
      </c>
      <c r="Z542"/>
      <c r="AA542" t="s">
        <v>9395</v>
      </c>
      <c r="AB542" t="s">
        <v>9396</v>
      </c>
      <c r="AC542" t="n">
        <v>236</v>
      </c>
      <c r="AD542"/>
      <c r="AE542"/>
      <c r="AF542" t="s">
        <v>9397</v>
      </c>
      <c r="AG542" t="n">
        <v>119</v>
      </c>
    </row>
    <row r="543">
      <c r="A543" t="s">
        <v>9398</v>
      </c>
      <c r="B543" t="s">
        <v>26</v>
      </c>
      <c r="C543" t="s">
        <v>65</v>
      </c>
      <c r="D543" t="s">
        <v>9399</v>
      </c>
      <c r="E543" t="s">
        <v>2272</v>
      </c>
      <c r="F543" t="s">
        <v>2267</v>
      </c>
      <c r="G543" t="s">
        <v>9400</v>
      </c>
      <c r="H543" t="n">
        <v>38.877446</v>
      </c>
      <c r="I543" t="n">
        <v>-104.818767</v>
      </c>
      <c r="J543" t="s">
        <v>35</v>
      </c>
      <c r="K543" t="s">
        <v>315</v>
      </c>
      <c r="L543" t="s">
        <v>202</v>
      </c>
      <c r="M543" t="n">
        <v>1968</v>
      </c>
      <c r="N543" t="n">
        <v>1990</v>
      </c>
      <c r="O543" t="s">
        <v>9401</v>
      </c>
      <c r="P543" t="n">
        <v>7</v>
      </c>
      <c r="Q543" t="n">
        <v>3</v>
      </c>
      <c r="R543" t="n">
        <v>3</v>
      </c>
      <c r="S543" t="n">
        <v>1932</v>
      </c>
      <c r="T543" t="s">
        <v>9402</v>
      </c>
      <c r="U543" t="s">
        <v>9403</v>
      </c>
      <c r="V543" t="s">
        <v>74</v>
      </c>
      <c r="W543" t="s">
        <v>9404</v>
      </c>
      <c r="X543" t="s">
        <v>9405</v>
      </c>
      <c r="Y543" t="s">
        <v>9406</v>
      </c>
      <c r="Z543"/>
      <c r="AA543"/>
      <c r="AB543" t="s">
        <v>9407</v>
      </c>
      <c r="AC543" t="n">
        <v>8</v>
      </c>
      <c r="AD543" t="s">
        <v>9388</v>
      </c>
      <c r="AE543" t="n">
        <v>11</v>
      </c>
      <c r="AF543" t="s">
        <v>9408</v>
      </c>
      <c r="AG543" t="n">
        <v>11</v>
      </c>
    </row>
    <row r="544">
      <c r="A544" t="s">
        <v>9409</v>
      </c>
      <c r="B544" t="s">
        <v>26</v>
      </c>
      <c r="C544" t="s">
        <v>65</v>
      </c>
      <c r="D544" t="s">
        <v>9410</v>
      </c>
      <c r="E544" t="s">
        <v>2272</v>
      </c>
      <c r="F544" t="s">
        <v>2267</v>
      </c>
      <c r="G544" t="s">
        <v>2326</v>
      </c>
      <c r="H544" t="n">
        <v>38.8473281969702</v>
      </c>
      <c r="I544" t="n">
        <v>-104.87098708852</v>
      </c>
      <c r="J544" t="s">
        <v>35</v>
      </c>
      <c r="K544" t="s">
        <v>120</v>
      </c>
      <c r="L544"/>
      <c r="M544" t="n">
        <v>1968</v>
      </c>
      <c r="N544" t="n">
        <v>1990</v>
      </c>
      <c r="O544" t="s">
        <v>1349</v>
      </c>
      <c r="P544" t="n">
        <v>4</v>
      </c>
      <c r="Q544" t="n">
        <v>2</v>
      </c>
      <c r="R544" t="n">
        <v>1</v>
      </c>
      <c r="S544" t="n">
        <v>1959</v>
      </c>
      <c r="T544" t="s">
        <v>9411</v>
      </c>
      <c r="U544" t="s">
        <v>9412</v>
      </c>
      <c r="V544" t="s">
        <v>74</v>
      </c>
      <c r="W544" t="s">
        <v>9413</v>
      </c>
      <c r="X544"/>
      <c r="Y544" t="s">
        <v>9414</v>
      </c>
      <c r="Z544"/>
      <c r="AA544" t="s">
        <v>9415</v>
      </c>
      <c r="AB544" t="s">
        <v>2364</v>
      </c>
      <c r="AC544" t="n">
        <v>18</v>
      </c>
      <c r="AD544"/>
      <c r="AE544"/>
      <c r="AF544" t="s">
        <v>9380</v>
      </c>
      <c r="AG544" t="n">
        <v>14</v>
      </c>
    </row>
    <row r="545">
      <c r="A545" t="s">
        <v>9416</v>
      </c>
      <c r="B545" t="s">
        <v>26</v>
      </c>
      <c r="C545" t="s">
        <v>65</v>
      </c>
      <c r="D545" t="s">
        <v>9417</v>
      </c>
      <c r="E545" t="s">
        <v>2272</v>
      </c>
      <c r="F545" t="s">
        <v>2267</v>
      </c>
      <c r="G545" t="s">
        <v>2326</v>
      </c>
      <c r="H545" t="n">
        <v>38.8466332281941</v>
      </c>
      <c r="I545" t="n">
        <v>-104.871382130704</v>
      </c>
      <c r="J545" t="s">
        <v>35</v>
      </c>
      <c r="K545" t="s">
        <v>70</v>
      </c>
      <c r="L545"/>
      <c r="M545" t="n">
        <v>1968</v>
      </c>
      <c r="N545" t="n">
        <v>1988</v>
      </c>
      <c r="O545" t="s">
        <v>528</v>
      </c>
      <c r="P545" t="n">
        <v>6</v>
      </c>
      <c r="Q545" t="n">
        <v>6</v>
      </c>
      <c r="R545" t="n">
        <v>2</v>
      </c>
      <c r="S545" t="n">
        <v>1958</v>
      </c>
      <c r="T545" t="s">
        <v>9418</v>
      </c>
      <c r="U545" t="s">
        <v>9419</v>
      </c>
      <c r="V545" t="s">
        <v>74</v>
      </c>
      <c r="W545" t="s">
        <v>9420</v>
      </c>
      <c r="X545"/>
      <c r="Y545" t="s">
        <v>9421</v>
      </c>
      <c r="Z545"/>
      <c r="AA545" t="s">
        <v>9422</v>
      </c>
      <c r="AB545" t="s">
        <v>2364</v>
      </c>
      <c r="AC545" t="n">
        <v>79</v>
      </c>
      <c r="AD545"/>
      <c r="AE545"/>
      <c r="AF545" t="s">
        <v>9423</v>
      </c>
      <c r="AG545" t="n">
        <v>9</v>
      </c>
    </row>
    <row r="546">
      <c r="A546" t="s">
        <v>9424</v>
      </c>
      <c r="B546" t="s">
        <v>26</v>
      </c>
      <c r="C546" t="s">
        <v>65</v>
      </c>
      <c r="D546" t="s">
        <v>9425</v>
      </c>
      <c r="E546" t="s">
        <v>2272</v>
      </c>
      <c r="F546" t="s">
        <v>2267</v>
      </c>
      <c r="G546" t="s">
        <v>2296</v>
      </c>
      <c r="H546" t="n">
        <v>38.8770120437889</v>
      </c>
      <c r="I546" t="n">
        <v>-104.816060041971</v>
      </c>
      <c r="J546" t="s">
        <v>35</v>
      </c>
      <c r="K546" t="s">
        <v>133</v>
      </c>
      <c r="L546"/>
      <c r="M546" t="n">
        <v>1968</v>
      </c>
      <c r="N546" t="n">
        <v>1990</v>
      </c>
      <c r="O546" t="s">
        <v>310</v>
      </c>
      <c r="P546" t="n">
        <v>8</v>
      </c>
      <c r="Q546" t="n">
        <v>3</v>
      </c>
      <c r="R546" t="n">
        <v>2</v>
      </c>
      <c r="S546" t="n">
        <v>1949</v>
      </c>
      <c r="T546" t="s">
        <v>9426</v>
      </c>
      <c r="U546" t="s">
        <v>9427</v>
      </c>
      <c r="V546" t="s">
        <v>74</v>
      </c>
      <c r="W546" t="s">
        <v>9428</v>
      </c>
      <c r="X546"/>
      <c r="Y546"/>
      <c r="Z546"/>
      <c r="AA546"/>
      <c r="AB546" t="s">
        <v>2434</v>
      </c>
      <c r="AC546" t="n">
        <v>29</v>
      </c>
      <c r="AD546" t="s">
        <v>9429</v>
      </c>
      <c r="AE546" t="n">
        <v>196</v>
      </c>
      <c r="AF546" t="s">
        <v>9430</v>
      </c>
      <c r="AG546" t="n">
        <v>48</v>
      </c>
    </row>
    <row r="547">
      <c r="A547" t="s">
        <v>9431</v>
      </c>
      <c r="B547" t="s">
        <v>26</v>
      </c>
      <c r="C547" t="s">
        <v>65</v>
      </c>
      <c r="D547" t="s">
        <v>9432</v>
      </c>
      <c r="E547" t="s">
        <v>2272</v>
      </c>
      <c r="F547" t="s">
        <v>2267</v>
      </c>
      <c r="G547" t="s">
        <v>2273</v>
      </c>
      <c r="H547" t="n">
        <v>38.8935459883258</v>
      </c>
      <c r="I547" t="n">
        <v>-104.818828378462</v>
      </c>
      <c r="J547" t="s">
        <v>35</v>
      </c>
      <c r="K547" t="s">
        <v>141</v>
      </c>
      <c r="L547"/>
      <c r="M547" t="n">
        <v>1970</v>
      </c>
      <c r="N547" t="n">
        <v>1990</v>
      </c>
      <c r="O547" t="s">
        <v>9433</v>
      </c>
      <c r="P547" t="n">
        <v>6</v>
      </c>
      <c r="Q547" t="n">
        <v>4</v>
      </c>
      <c r="R547" t="n">
        <v>3</v>
      </c>
      <c r="S547" t="n">
        <v>1908</v>
      </c>
      <c r="T547" t="s">
        <v>9434</v>
      </c>
      <c r="U547" t="s">
        <v>9435</v>
      </c>
      <c r="V547" t="s">
        <v>74</v>
      </c>
      <c r="W547" t="s">
        <v>9436</v>
      </c>
      <c r="X547"/>
      <c r="Y547" t="s">
        <v>9437</v>
      </c>
      <c r="Z547"/>
      <c r="AA547" t="s">
        <v>9438</v>
      </c>
      <c r="AB547" t="s">
        <v>9439</v>
      </c>
      <c r="AC547" t="n">
        <v>20</v>
      </c>
      <c r="AD547"/>
      <c r="AE547"/>
      <c r="AF547" t="s">
        <v>9440</v>
      </c>
      <c r="AG547" t="n">
        <v>16</v>
      </c>
    </row>
    <row r="548">
      <c r="A548" t="s">
        <v>9441</v>
      </c>
      <c r="B548" t="s">
        <v>26</v>
      </c>
      <c r="C548" t="s">
        <v>24</v>
      </c>
      <c r="D548" t="s">
        <v>9442</v>
      </c>
      <c r="E548" t="s">
        <v>2272</v>
      </c>
      <c r="F548" t="s">
        <v>2267</v>
      </c>
      <c r="G548" t="s">
        <v>2374</v>
      </c>
      <c r="H548" t="n">
        <v>38.8966199120128</v>
      </c>
      <c r="I548" t="n">
        <v>-104.854731711037</v>
      </c>
      <c r="J548" t="s">
        <v>4109</v>
      </c>
      <c r="K548" t="s">
        <v>70</v>
      </c>
      <c r="L548"/>
      <c r="M548" t="n">
        <v>1973</v>
      </c>
      <c r="N548" t="n">
        <v>1990</v>
      </c>
      <c r="O548" t="s">
        <v>351</v>
      </c>
      <c r="P548" t="n">
        <v>2</v>
      </c>
      <c r="Q548" t="n">
        <v>2</v>
      </c>
      <c r="R548" t="n">
        <v>1</v>
      </c>
      <c r="S548" t="n">
        <v>1960</v>
      </c>
      <c r="T548" t="s">
        <v>9443</v>
      </c>
      <c r="U548" t="s">
        <v>9444</v>
      </c>
      <c r="V548" t="s">
        <v>74</v>
      </c>
      <c r="W548" t="s">
        <v>9445</v>
      </c>
      <c r="X548" t="s">
        <v>9446</v>
      </c>
      <c r="Y548" t="s">
        <v>9447</v>
      </c>
      <c r="Z548"/>
      <c r="AA548" t="s">
        <v>9448</v>
      </c>
      <c r="AB548" t="s">
        <v>9449</v>
      </c>
      <c r="AC548" t="n">
        <v>45</v>
      </c>
      <c r="AD548" t="s">
        <v>9450</v>
      </c>
      <c r="AE548" t="n">
        <v>174</v>
      </c>
      <c r="AF548" t="s">
        <v>9451</v>
      </c>
      <c r="AG548" t="n">
        <v>21</v>
      </c>
    </row>
    <row r="549">
      <c r="A549" t="s">
        <v>9452</v>
      </c>
      <c r="B549" t="s">
        <v>26</v>
      </c>
      <c r="C549" t="s">
        <v>24</v>
      </c>
      <c r="D549" t="s">
        <v>9453</v>
      </c>
      <c r="E549" t="s">
        <v>2272</v>
      </c>
      <c r="F549" t="s">
        <v>2267</v>
      </c>
      <c r="G549" t="s">
        <v>2296</v>
      </c>
      <c r="H549" t="n">
        <v>38.8977150465116</v>
      </c>
      <c r="I549" t="n">
        <v>-104.841003255814</v>
      </c>
      <c r="J549" t="s">
        <v>4109</v>
      </c>
      <c r="K549" t="s">
        <v>70</v>
      </c>
      <c r="L549"/>
      <c r="M549" t="n">
        <v>1973</v>
      </c>
      <c r="N549" t="n">
        <v>1977</v>
      </c>
      <c r="O549" t="s">
        <v>4114</v>
      </c>
      <c r="P549" t="n">
        <v>2</v>
      </c>
      <c r="Q549" t="n">
        <v>1</v>
      </c>
      <c r="R549" t="n">
        <v>1</v>
      </c>
      <c r="S549" t="n">
        <v>1965</v>
      </c>
      <c r="T549" t="s">
        <v>9454</v>
      </c>
      <c r="U549" t="s">
        <v>9455</v>
      </c>
      <c r="V549" t="s">
        <v>74</v>
      </c>
      <c r="W549" t="s">
        <v>9456</v>
      </c>
      <c r="X549" t="s">
        <v>9457</v>
      </c>
      <c r="Y549" t="s">
        <v>9458</v>
      </c>
      <c r="Z549"/>
      <c r="AA549" t="s">
        <v>9459</v>
      </c>
      <c r="AB549" t="s">
        <v>9460</v>
      </c>
      <c r="AC549" t="n">
        <v>113</v>
      </c>
      <c r="AD549" t="s">
        <v>9461</v>
      </c>
      <c r="AE549" t="n">
        <v>182</v>
      </c>
      <c r="AF549" t="s">
        <v>9462</v>
      </c>
      <c r="AG549" t="n">
        <v>36</v>
      </c>
    </row>
    <row r="550">
      <c r="A550" t="s">
        <v>9463</v>
      </c>
      <c r="B550" t="s">
        <v>26</v>
      </c>
      <c r="C550" t="s">
        <v>24</v>
      </c>
      <c r="D550" t="s">
        <v>9464</v>
      </c>
      <c r="E550" t="s">
        <v>2272</v>
      </c>
      <c r="F550" t="s">
        <v>2267</v>
      </c>
      <c r="G550" t="s">
        <v>2289</v>
      </c>
      <c r="H550" t="n">
        <v>38.825559</v>
      </c>
      <c r="I550" t="n">
        <v>-104.816293</v>
      </c>
      <c r="J550" t="s">
        <v>4109</v>
      </c>
      <c r="K550" t="s">
        <v>315</v>
      </c>
      <c r="L550"/>
      <c r="M550" t="n">
        <v>1977</v>
      </c>
      <c r="N550" t="n">
        <v>1977</v>
      </c>
      <c r="O550" t="s">
        <v>228</v>
      </c>
      <c r="P550" t="n">
        <v>1</v>
      </c>
      <c r="Q550" t="n">
        <v>1</v>
      </c>
      <c r="R550" t="n">
        <v>1</v>
      </c>
      <c r="S550" t="n">
        <v>1973</v>
      </c>
      <c r="T550" t="s">
        <v>9465</v>
      </c>
      <c r="U550" t="s">
        <v>9466</v>
      </c>
      <c r="V550" t="s">
        <v>74</v>
      </c>
      <c r="W550" t="s">
        <v>9467</v>
      </c>
      <c r="X550"/>
      <c r="Y550" t="s">
        <v>9468</v>
      </c>
      <c r="Z550" t="s">
        <v>9469</v>
      </c>
      <c r="AA550" t="s">
        <v>9470</v>
      </c>
      <c r="AB550" t="s">
        <v>2335</v>
      </c>
      <c r="AC550" t="n">
        <v>205</v>
      </c>
      <c r="AD550"/>
      <c r="AE550"/>
      <c r="AF550" t="s">
        <v>2336</v>
      </c>
      <c r="AG550" t="n">
        <v>192</v>
      </c>
    </row>
    <row r="551">
      <c r="A551" t="s">
        <v>9471</v>
      </c>
      <c r="B551" t="s">
        <v>26</v>
      </c>
      <c r="C551" t="s">
        <v>65</v>
      </c>
      <c r="D551" t="s">
        <v>9472</v>
      </c>
      <c r="E551" t="s">
        <v>2272</v>
      </c>
      <c r="F551" t="s">
        <v>2267</v>
      </c>
      <c r="G551" t="s">
        <v>9473</v>
      </c>
      <c r="H551" t="n">
        <v>38.7747179596935</v>
      </c>
      <c r="I551" t="n">
        <v>-104.741280519309</v>
      </c>
      <c r="J551" t="s">
        <v>35</v>
      </c>
      <c r="K551" t="s">
        <v>120</v>
      </c>
      <c r="L551"/>
      <c r="M551" t="n">
        <v>1977</v>
      </c>
      <c r="N551" t="n">
        <v>1990</v>
      </c>
      <c r="O551" t="s">
        <v>829</v>
      </c>
      <c r="P551" t="n">
        <v>5</v>
      </c>
      <c r="Q551" t="n">
        <v>4</v>
      </c>
      <c r="R551" t="n">
        <v>2</v>
      </c>
      <c r="S551" t="n">
        <v>1976</v>
      </c>
      <c r="T551" t="s">
        <v>9474</v>
      </c>
      <c r="U551" t="s">
        <v>9475</v>
      </c>
      <c r="V551" t="s">
        <v>74</v>
      </c>
      <c r="W551" t="s">
        <v>9476</v>
      </c>
      <c r="X551" t="s">
        <v>9477</v>
      </c>
      <c r="Y551" t="s">
        <v>9478</v>
      </c>
      <c r="Z551"/>
      <c r="AA551" t="s">
        <v>9479</v>
      </c>
      <c r="AB551" t="s">
        <v>9480</v>
      </c>
      <c r="AC551" t="n">
        <v>105</v>
      </c>
      <c r="AD551" t="s">
        <v>9481</v>
      </c>
      <c r="AE551" t="n">
        <v>87</v>
      </c>
      <c r="AF551" t="s">
        <v>9482</v>
      </c>
      <c r="AG551" t="n">
        <v>14</v>
      </c>
    </row>
    <row r="552">
      <c r="A552" t="s">
        <v>9483</v>
      </c>
      <c r="B552" t="s">
        <v>26</v>
      </c>
      <c r="C552" t="s">
        <v>65</v>
      </c>
      <c r="D552" t="s">
        <v>9484</v>
      </c>
      <c r="E552" t="s">
        <v>2272</v>
      </c>
      <c r="F552" t="s">
        <v>2267</v>
      </c>
      <c r="G552" t="s">
        <v>4597</v>
      </c>
      <c r="H552" t="n">
        <v>38.8324188744839</v>
      </c>
      <c r="I552" t="n">
        <v>-104.831337935269</v>
      </c>
      <c r="J552" t="s">
        <v>35</v>
      </c>
      <c r="K552" t="s">
        <v>133</v>
      </c>
      <c r="L552"/>
      <c r="M552" t="n">
        <v>1977</v>
      </c>
      <c r="N552" t="n">
        <v>1992</v>
      </c>
      <c r="O552" t="s">
        <v>325</v>
      </c>
      <c r="P552" t="n">
        <v>5</v>
      </c>
      <c r="Q552" t="n">
        <v>1</v>
      </c>
      <c r="R552" t="n">
        <v>1</v>
      </c>
      <c r="S552" t="n">
        <v>1973</v>
      </c>
      <c r="T552" t="s">
        <v>9485</v>
      </c>
      <c r="U552" t="s">
        <v>9486</v>
      </c>
      <c r="V552" t="s">
        <v>74</v>
      </c>
      <c r="W552" t="s">
        <v>9487</v>
      </c>
      <c r="X552"/>
      <c r="Y552" t="s">
        <v>9488</v>
      </c>
      <c r="Z552"/>
      <c r="AA552"/>
      <c r="AB552" t="s">
        <v>9489</v>
      </c>
      <c r="AC552" t="n">
        <v>70</v>
      </c>
      <c r="AD552"/>
      <c r="AE552"/>
      <c r="AF552" t="s">
        <v>9490</v>
      </c>
      <c r="AG552" t="n">
        <v>37</v>
      </c>
    </row>
    <row r="553">
      <c r="A553" t="s">
        <v>9491</v>
      </c>
      <c r="B553" t="s">
        <v>26</v>
      </c>
      <c r="C553" t="s">
        <v>65</v>
      </c>
      <c r="D553" t="s">
        <v>9492</v>
      </c>
      <c r="E553" t="s">
        <v>2272</v>
      </c>
      <c r="F553" t="s">
        <v>2267</v>
      </c>
      <c r="G553" t="s">
        <v>2296</v>
      </c>
      <c r="H553" t="n">
        <v>38.89982875</v>
      </c>
      <c r="I553" t="n">
        <v>-104.84102325</v>
      </c>
      <c r="J553" t="s">
        <v>35</v>
      </c>
      <c r="K553" t="s">
        <v>70</v>
      </c>
      <c r="L553"/>
      <c r="M553" t="n">
        <v>1977</v>
      </c>
      <c r="N553" t="n">
        <v>1990</v>
      </c>
      <c r="O553" t="s">
        <v>235</v>
      </c>
      <c r="P553" t="n">
        <v>4</v>
      </c>
      <c r="Q553" t="n">
        <v>1</v>
      </c>
      <c r="R553" t="n">
        <v>1</v>
      </c>
      <c r="S553" t="n">
        <v>1965</v>
      </c>
      <c r="T553" t="s">
        <v>9493</v>
      </c>
      <c r="U553" t="s">
        <v>9494</v>
      </c>
      <c r="V553" t="s">
        <v>74</v>
      </c>
      <c r="W553" t="s">
        <v>9495</v>
      </c>
      <c r="X553" t="s">
        <v>9496</v>
      </c>
      <c r="Y553" t="s">
        <v>9497</v>
      </c>
      <c r="Z553"/>
      <c r="AA553" t="s">
        <v>9498</v>
      </c>
      <c r="AB553" t="s">
        <v>9460</v>
      </c>
      <c r="AC553" t="n">
        <v>122</v>
      </c>
      <c r="AD553" t="s">
        <v>9499</v>
      </c>
      <c r="AE553" t="n">
        <v>31</v>
      </c>
      <c r="AF553" t="s">
        <v>9500</v>
      </c>
      <c r="AG553" t="n">
        <v>4</v>
      </c>
    </row>
    <row r="554">
      <c r="A554" t="s">
        <v>9501</v>
      </c>
      <c r="B554" t="s">
        <v>26</v>
      </c>
      <c r="C554" t="s">
        <v>65</v>
      </c>
      <c r="D554" t="s">
        <v>9502</v>
      </c>
      <c r="E554" t="s">
        <v>2272</v>
      </c>
      <c r="F554" t="s">
        <v>2267</v>
      </c>
      <c r="G554" t="s">
        <v>2296</v>
      </c>
      <c r="H554" t="n">
        <v>38.8871778051062</v>
      </c>
      <c r="I554" t="n">
        <v>-104.833648666927</v>
      </c>
      <c r="J554" t="s">
        <v>35</v>
      </c>
      <c r="K554" t="s">
        <v>141</v>
      </c>
      <c r="L554" t="s">
        <v>554</v>
      </c>
      <c r="M554" t="n">
        <v>1983</v>
      </c>
      <c r="N554" t="n">
        <v>1990</v>
      </c>
      <c r="O554" t="s">
        <v>271</v>
      </c>
      <c r="P554" t="n">
        <v>3</v>
      </c>
      <c r="Q554" t="n">
        <v>2</v>
      </c>
      <c r="R554" t="n">
        <v>1</v>
      </c>
      <c r="S554" t="n">
        <v>1964</v>
      </c>
      <c r="T554" t="s">
        <v>9503</v>
      </c>
      <c r="U554" t="s">
        <v>9504</v>
      </c>
      <c r="V554" t="s">
        <v>74</v>
      </c>
      <c r="W554" t="s">
        <v>9505</v>
      </c>
      <c r="X554"/>
      <c r="Y554" t="s">
        <v>9506</v>
      </c>
      <c r="Z554"/>
      <c r="AA554"/>
      <c r="AB554" t="s">
        <v>9507</v>
      </c>
      <c r="AC554" t="n">
        <v>69</v>
      </c>
      <c r="AD554" t="s">
        <v>9508</v>
      </c>
      <c r="AE554" t="n">
        <v>122</v>
      </c>
      <c r="AF554" t="s">
        <v>9509</v>
      </c>
      <c r="AG554" t="n">
        <v>34</v>
      </c>
    </row>
    <row r="555">
      <c r="A555" t="s">
        <v>9510</v>
      </c>
      <c r="B555" t="s">
        <v>26</v>
      </c>
      <c r="C555" t="s">
        <v>65</v>
      </c>
      <c r="D555" t="s">
        <v>9511</v>
      </c>
      <c r="E555" t="s">
        <v>2272</v>
      </c>
      <c r="F555" t="s">
        <v>2267</v>
      </c>
      <c r="G555" t="s">
        <v>2296</v>
      </c>
      <c r="H555" t="n">
        <v>38.8943724195584</v>
      </c>
      <c r="I555" t="n">
        <v>-104.828519310725</v>
      </c>
      <c r="J555" t="s">
        <v>35</v>
      </c>
      <c r="K555" t="s">
        <v>70</v>
      </c>
      <c r="L555" t="s">
        <v>202</v>
      </c>
      <c r="M555" t="n">
        <v>1983</v>
      </c>
      <c r="N555" t="n">
        <v>1990</v>
      </c>
      <c r="O555" t="s">
        <v>351</v>
      </c>
      <c r="P555" t="n">
        <v>3</v>
      </c>
      <c r="Q555" t="n">
        <v>4</v>
      </c>
      <c r="R555" t="n">
        <v>1</v>
      </c>
      <c r="S555" t="n">
        <v>1974</v>
      </c>
      <c r="T555" t="s">
        <v>9512</v>
      </c>
      <c r="U555" t="s">
        <v>9513</v>
      </c>
      <c r="V555" t="s">
        <v>74</v>
      </c>
      <c r="W555" t="s">
        <v>9514</v>
      </c>
      <c r="X555"/>
      <c r="Y555" t="s">
        <v>9515</v>
      </c>
      <c r="Z555"/>
      <c r="AA555" t="s">
        <v>9516</v>
      </c>
      <c r="AB555" t="s">
        <v>9517</v>
      </c>
      <c r="AC555" t="n">
        <v>32</v>
      </c>
      <c r="AD555"/>
      <c r="AE555"/>
      <c r="AF555" t="s">
        <v>9518</v>
      </c>
      <c r="AG555" t="n">
        <v>8</v>
      </c>
    </row>
    <row r="556">
      <c r="A556" t="s">
        <v>9519</v>
      </c>
      <c r="B556" t="s">
        <v>26</v>
      </c>
      <c r="C556" t="s">
        <v>65</v>
      </c>
      <c r="D556" t="s">
        <v>9520</v>
      </c>
      <c r="E556" t="s">
        <v>2539</v>
      </c>
      <c r="F556" t="s">
        <v>2267</v>
      </c>
      <c r="G556" t="s">
        <v>2540</v>
      </c>
      <c r="H556" t="n">
        <v>38.7201314553875</v>
      </c>
      <c r="I556" t="n">
        <v>-104.718653689908</v>
      </c>
      <c r="J556" t="s">
        <v>35</v>
      </c>
      <c r="K556" t="s">
        <v>89</v>
      </c>
      <c r="L556"/>
      <c r="M556" t="n">
        <v>1983</v>
      </c>
      <c r="N556" t="n">
        <v>1990</v>
      </c>
      <c r="O556" t="s">
        <v>271</v>
      </c>
      <c r="P556" t="n">
        <v>3</v>
      </c>
      <c r="Q556" t="n">
        <v>2</v>
      </c>
      <c r="R556" t="n">
        <v>2</v>
      </c>
      <c r="S556" t="n">
        <v>1980</v>
      </c>
      <c r="T556" t="s">
        <v>9521</v>
      </c>
      <c r="U556" t="s">
        <v>9522</v>
      </c>
      <c r="V556" t="s">
        <v>74</v>
      </c>
      <c r="W556" t="s">
        <v>9523</v>
      </c>
      <c r="X556"/>
      <c r="Y556"/>
      <c r="Z556"/>
      <c r="AA556" t="s">
        <v>9524</v>
      </c>
      <c r="AB556" t="s">
        <v>9525</v>
      </c>
      <c r="AC556" t="n">
        <v>9</v>
      </c>
      <c r="AD556"/>
      <c r="AE556"/>
      <c r="AF556" t="s">
        <v>9526</v>
      </c>
      <c r="AG556" t="n">
        <v>169</v>
      </c>
    </row>
    <row r="557">
      <c r="A557" t="s">
        <v>9527</v>
      </c>
      <c r="B557" t="s">
        <v>26</v>
      </c>
      <c r="C557" t="s">
        <v>65</v>
      </c>
      <c r="D557" t="s">
        <v>9528</v>
      </c>
      <c r="E557" t="s">
        <v>2272</v>
      </c>
      <c r="F557" t="s">
        <v>2267</v>
      </c>
      <c r="G557" t="s">
        <v>2326</v>
      </c>
      <c r="H557" t="n">
        <v>38.839213</v>
      </c>
      <c r="I557" t="n">
        <v>-104.859433676497</v>
      </c>
      <c r="J557" t="s">
        <v>35</v>
      </c>
      <c r="K557" t="s">
        <v>70</v>
      </c>
      <c r="L557"/>
      <c r="M557" t="n">
        <v>1988</v>
      </c>
      <c r="N557" t="n">
        <v>1988</v>
      </c>
      <c r="O557" t="s">
        <v>325</v>
      </c>
      <c r="P557" t="n">
        <v>1</v>
      </c>
      <c r="Q557" t="n">
        <v>1</v>
      </c>
      <c r="R557" t="n">
        <v>1</v>
      </c>
      <c r="S557" t="n">
        <v>1982</v>
      </c>
      <c r="T557" t="s">
        <v>9529</v>
      </c>
      <c r="U557" t="s">
        <v>9530</v>
      </c>
      <c r="V557" t="s">
        <v>74</v>
      </c>
      <c r="W557" t="s">
        <v>9531</v>
      </c>
      <c r="X557"/>
      <c r="Y557" t="s">
        <v>9532</v>
      </c>
      <c r="Z557"/>
      <c r="AA557" t="s">
        <v>9533</v>
      </c>
      <c r="AB557" t="s">
        <v>9534</v>
      </c>
      <c r="AC557" t="n">
        <v>31</v>
      </c>
      <c r="AD557"/>
      <c r="AE557"/>
      <c r="AF557" t="s">
        <v>9535</v>
      </c>
      <c r="AG557" t="n">
        <v>35</v>
      </c>
    </row>
    <row r="558">
      <c r="A558" t="s">
        <v>9536</v>
      </c>
      <c r="B558" t="s">
        <v>26</v>
      </c>
      <c r="C558" t="s">
        <v>65</v>
      </c>
      <c r="D558" t="s">
        <v>9537</v>
      </c>
      <c r="E558" t="s">
        <v>2272</v>
      </c>
      <c r="F558" t="s">
        <v>2267</v>
      </c>
      <c r="G558" t="s">
        <v>9473</v>
      </c>
      <c r="H558" t="n">
        <v>38.7879445757137</v>
      </c>
      <c r="I558" t="n">
        <v>-104.776669988117</v>
      </c>
      <c r="J558" t="s">
        <v>35</v>
      </c>
      <c r="K558" t="s">
        <v>2274</v>
      </c>
      <c r="L558"/>
      <c r="M558" t="n">
        <v>1988</v>
      </c>
      <c r="N558" t="n">
        <v>1988</v>
      </c>
      <c r="O558" t="s">
        <v>325</v>
      </c>
      <c r="P558" t="n">
        <v>1</v>
      </c>
      <c r="Q558" t="n">
        <v>1</v>
      </c>
      <c r="R558" t="n">
        <v>1</v>
      </c>
      <c r="S558" t="n">
        <v>1949</v>
      </c>
      <c r="T558" t="s">
        <v>9538</v>
      </c>
      <c r="U558" t="s">
        <v>9539</v>
      </c>
      <c r="V558" t="s">
        <v>74</v>
      </c>
      <c r="W558" t="s">
        <v>9540</v>
      </c>
      <c r="X558"/>
      <c r="Y558"/>
      <c r="Z558" t="s">
        <v>9541</v>
      </c>
      <c r="AA558" t="s">
        <v>9542</v>
      </c>
      <c r="AB558" t="s">
        <v>9543</v>
      </c>
      <c r="AC558" t="n">
        <v>45</v>
      </c>
      <c r="AD558"/>
      <c r="AE558"/>
      <c r="AF558" t="s">
        <v>9544</v>
      </c>
      <c r="AG558" t="n">
        <v>72</v>
      </c>
    </row>
    <row r="559">
      <c r="A559" t="s">
        <v>9545</v>
      </c>
      <c r="B559" t="s">
        <v>26</v>
      </c>
      <c r="C559" t="s">
        <v>24</v>
      </c>
      <c r="D559" t="s">
        <v>9546</v>
      </c>
      <c r="E559" t="s">
        <v>2272</v>
      </c>
      <c r="F559" t="s">
        <v>2267</v>
      </c>
      <c r="G559" t="s">
        <v>2296</v>
      </c>
      <c r="H559" t="n">
        <v>38.8976430016949</v>
      </c>
      <c r="I559" t="n">
        <v>-104.823816480884</v>
      </c>
      <c r="J559" t="s">
        <v>4109</v>
      </c>
      <c r="K559" t="s">
        <v>126</v>
      </c>
      <c r="L559"/>
      <c r="M559" t="n">
        <v>1988</v>
      </c>
      <c r="N559" t="n">
        <v>1990</v>
      </c>
      <c r="O559" t="s">
        <v>310</v>
      </c>
      <c r="P559" t="n">
        <v>2</v>
      </c>
      <c r="Q559" t="n">
        <v>1</v>
      </c>
      <c r="R559" t="n">
        <v>1</v>
      </c>
      <c r="S559" t="n">
        <v>1983</v>
      </c>
      <c r="T559" t="s">
        <v>9547</v>
      </c>
      <c r="U559" t="s">
        <v>9548</v>
      </c>
      <c r="V559" t="s">
        <v>74</v>
      </c>
      <c r="W559" t="s">
        <v>9549</v>
      </c>
      <c r="X559"/>
      <c r="Y559" t="s">
        <v>9550</v>
      </c>
      <c r="Z559"/>
      <c r="AA559" t="s">
        <v>9551</v>
      </c>
      <c r="AB559" t="s">
        <v>9552</v>
      </c>
      <c r="AC559" t="n">
        <v>170</v>
      </c>
      <c r="AD559"/>
      <c r="AE559"/>
      <c r="AF559" t="s">
        <v>9553</v>
      </c>
      <c r="AG559" t="n">
        <v>82</v>
      </c>
    </row>
    <row r="560">
      <c r="A560" t="s">
        <v>9554</v>
      </c>
      <c r="B560" t="s">
        <v>26</v>
      </c>
      <c r="C560" t="s">
        <v>65</v>
      </c>
      <c r="D560" t="s">
        <v>9555</v>
      </c>
      <c r="E560" t="s">
        <v>2272</v>
      </c>
      <c r="F560" t="s">
        <v>2267</v>
      </c>
      <c r="G560" t="s">
        <v>2374</v>
      </c>
      <c r="H560" t="n">
        <v>38.8761924874694</v>
      </c>
      <c r="I560" t="n">
        <v>-104.84495208081</v>
      </c>
      <c r="J560" t="s">
        <v>35</v>
      </c>
      <c r="K560" t="s">
        <v>282</v>
      </c>
      <c r="L560"/>
      <c r="M560" t="n">
        <v>1988</v>
      </c>
      <c r="N560" t="n">
        <v>1990</v>
      </c>
      <c r="O560" t="s">
        <v>310</v>
      </c>
      <c r="P560" t="n">
        <v>2</v>
      </c>
      <c r="Q560" t="n">
        <v>1</v>
      </c>
      <c r="R560" t="n">
        <v>1</v>
      </c>
      <c r="S560" t="n">
        <v>1955</v>
      </c>
      <c r="T560" t="s">
        <v>9556</v>
      </c>
      <c r="U560" t="s">
        <v>9557</v>
      </c>
      <c r="V560" t="s">
        <v>74</v>
      </c>
      <c r="W560" t="s">
        <v>9558</v>
      </c>
      <c r="X560" t="s">
        <v>9559</v>
      </c>
      <c r="Y560"/>
      <c r="Z560"/>
      <c r="AA560" t="s">
        <v>9560</v>
      </c>
      <c r="AB560" t="s">
        <v>9561</v>
      </c>
      <c r="AC560" t="n">
        <v>162</v>
      </c>
      <c r="AD560" t="s">
        <v>9562</v>
      </c>
      <c r="AE560" t="n">
        <v>101</v>
      </c>
      <c r="AF560" t="s">
        <v>9563</v>
      </c>
      <c r="AG560" t="n">
        <v>221</v>
      </c>
    </row>
    <row r="561">
      <c r="A561" t="s">
        <v>9564</v>
      </c>
      <c r="B561" t="s">
        <v>26</v>
      </c>
      <c r="C561" t="s">
        <v>65</v>
      </c>
      <c r="D561" t="s">
        <v>9565</v>
      </c>
      <c r="E561" t="s">
        <v>2272</v>
      </c>
      <c r="F561" t="s">
        <v>2267</v>
      </c>
      <c r="G561" t="s">
        <v>2326</v>
      </c>
      <c r="H561" t="n">
        <v>38.8288124863548</v>
      </c>
      <c r="I561" t="n">
        <v>-104.859194923804</v>
      </c>
      <c r="J561" t="s">
        <v>35</v>
      </c>
      <c r="K561" t="s">
        <v>70</v>
      </c>
      <c r="L561"/>
      <c r="M561" t="n">
        <v>1988</v>
      </c>
      <c r="N561" t="n">
        <v>1990</v>
      </c>
      <c r="O561" t="s">
        <v>351</v>
      </c>
      <c r="P561" t="n">
        <v>2</v>
      </c>
      <c r="Q561" t="n">
        <v>2</v>
      </c>
      <c r="R561" t="n">
        <v>1</v>
      </c>
      <c r="S561" t="n">
        <v>1972</v>
      </c>
      <c r="T561" t="s">
        <v>9566</v>
      </c>
      <c r="U561" t="s">
        <v>9567</v>
      </c>
      <c r="V561" t="s">
        <v>74</v>
      </c>
      <c r="W561" t="s">
        <v>9568</v>
      </c>
      <c r="X561"/>
      <c r="Y561"/>
      <c r="Z561"/>
      <c r="AA561"/>
      <c r="AB561" t="s">
        <v>9569</v>
      </c>
      <c r="AC561" t="n">
        <v>54</v>
      </c>
      <c r="AD561"/>
      <c r="AE561"/>
      <c r="AF561"/>
      <c r="AG561"/>
    </row>
    <row r="562">
      <c r="A562" t="s">
        <v>9570</v>
      </c>
      <c r="B562" t="s">
        <v>26</v>
      </c>
      <c r="C562" t="s">
        <v>65</v>
      </c>
      <c r="D562" t="s">
        <v>9571</v>
      </c>
      <c r="E562" t="s">
        <v>2272</v>
      </c>
      <c r="F562" t="s">
        <v>2267</v>
      </c>
      <c r="G562" t="s">
        <v>2296</v>
      </c>
      <c r="H562" t="n">
        <v>38.8743616596948</v>
      </c>
      <c r="I562" t="n">
        <v>-104.818560917006</v>
      </c>
      <c r="J562" t="s">
        <v>35</v>
      </c>
      <c r="K562" t="s">
        <v>120</v>
      </c>
      <c r="L562"/>
      <c r="M562" t="n">
        <v>1990</v>
      </c>
      <c r="N562" t="n">
        <v>1990</v>
      </c>
      <c r="O562" t="s">
        <v>351</v>
      </c>
      <c r="P562" t="n">
        <v>1</v>
      </c>
      <c r="Q562" t="n">
        <v>1</v>
      </c>
      <c r="R562" t="n">
        <v>1</v>
      </c>
      <c r="S562" t="n">
        <v>1947</v>
      </c>
      <c r="T562" t="s">
        <v>9572</v>
      </c>
      <c r="U562" t="s">
        <v>9573</v>
      </c>
      <c r="V562" t="s">
        <v>74</v>
      </c>
      <c r="W562" t="s">
        <v>9574</v>
      </c>
      <c r="X562"/>
      <c r="Y562"/>
      <c r="Z562"/>
      <c r="AA562"/>
      <c r="AB562" t="s">
        <v>9575</v>
      </c>
      <c r="AC562" t="n">
        <v>212</v>
      </c>
      <c r="AD562" t="s">
        <v>9429</v>
      </c>
      <c r="AE562" t="n">
        <v>231</v>
      </c>
      <c r="AF562" t="s">
        <v>9576</v>
      </c>
      <c r="AG562" t="n">
        <v>96</v>
      </c>
    </row>
    <row r="563">
      <c r="A563" t="s">
        <v>9577</v>
      </c>
      <c r="B563" t="s">
        <v>26</v>
      </c>
      <c r="C563" t="s">
        <v>65</v>
      </c>
      <c r="D563" t="s">
        <v>9578</v>
      </c>
      <c r="E563" t="s">
        <v>2272</v>
      </c>
      <c r="F563" t="s">
        <v>2267</v>
      </c>
      <c r="G563" t="s">
        <v>2326</v>
      </c>
      <c r="H563" t="n">
        <v>38.8342917809237</v>
      </c>
      <c r="I563" t="n">
        <v>-104.866162001418</v>
      </c>
      <c r="J563" t="s">
        <v>35</v>
      </c>
      <c r="K563" t="s">
        <v>396</v>
      </c>
      <c r="L563"/>
      <c r="M563" t="n">
        <v>1990</v>
      </c>
      <c r="N563" t="n">
        <v>1990</v>
      </c>
      <c r="O563" t="s">
        <v>351</v>
      </c>
      <c r="P563" t="n">
        <v>1</v>
      </c>
      <c r="Q563" t="n">
        <v>2</v>
      </c>
      <c r="R563" t="n">
        <v>2</v>
      </c>
      <c r="S563" t="n">
        <v>1984</v>
      </c>
      <c r="T563" t="s">
        <v>9579</v>
      </c>
      <c r="U563" t="s">
        <v>9580</v>
      </c>
      <c r="V563" t="s">
        <v>74</v>
      </c>
      <c r="W563" t="s">
        <v>9581</v>
      </c>
      <c r="X563"/>
      <c r="Y563"/>
      <c r="Z563"/>
      <c r="AA563" t="s">
        <v>9582</v>
      </c>
      <c r="AB563" t="s">
        <v>9583</v>
      </c>
      <c r="AC563" t="n">
        <v>191</v>
      </c>
      <c r="AD563"/>
      <c r="AE563"/>
      <c r="AF563" t="s">
        <v>9584</v>
      </c>
      <c r="AG563" t="n">
        <v>47</v>
      </c>
    </row>
    <row r="564">
      <c r="A564" t="s">
        <v>9585</v>
      </c>
      <c r="B564" t="s">
        <v>26</v>
      </c>
      <c r="C564" t="s">
        <v>65</v>
      </c>
      <c r="D564" t="s">
        <v>9586</v>
      </c>
      <c r="E564" t="s">
        <v>2272</v>
      </c>
      <c r="F564" t="s">
        <v>2267</v>
      </c>
      <c r="G564" t="s">
        <v>2273</v>
      </c>
      <c r="H564" t="n">
        <v>38.8372219060929</v>
      </c>
      <c r="I564" t="n">
        <v>-104.789108967209</v>
      </c>
      <c r="J564" t="s">
        <v>35</v>
      </c>
      <c r="K564" t="s">
        <v>120</v>
      </c>
      <c r="L564"/>
      <c r="M564" t="n">
        <v>1990</v>
      </c>
      <c r="N564" t="n">
        <v>1990</v>
      </c>
      <c r="O564" t="s">
        <v>351</v>
      </c>
      <c r="P564" t="n">
        <v>1</v>
      </c>
      <c r="Q564" t="n">
        <v>1</v>
      </c>
      <c r="R564" t="n">
        <v>1</v>
      </c>
      <c r="S564" t="n">
        <v>1987</v>
      </c>
      <c r="T564" t="s">
        <v>9587</v>
      </c>
      <c r="U564" t="s">
        <v>9588</v>
      </c>
      <c r="V564" t="s">
        <v>74</v>
      </c>
      <c r="W564" t="s">
        <v>9589</v>
      </c>
      <c r="X564"/>
      <c r="Y564"/>
      <c r="Z564"/>
      <c r="AA564" t="s">
        <v>9590</v>
      </c>
      <c r="AB564" t="s">
        <v>2505</v>
      </c>
      <c r="AC564" t="n">
        <v>41</v>
      </c>
      <c r="AD564"/>
      <c r="AE564"/>
      <c r="AF564" t="s">
        <v>9591</v>
      </c>
      <c r="AG564" t="n">
        <v>120</v>
      </c>
    </row>
    <row r="565">
      <c r="A565" t="s">
        <v>9592</v>
      </c>
      <c r="B565" t="s">
        <v>26</v>
      </c>
      <c r="C565" t="s">
        <v>65</v>
      </c>
      <c r="D565" t="s">
        <v>9593</v>
      </c>
      <c r="E565" t="s">
        <v>2639</v>
      </c>
      <c r="F565" t="s">
        <v>2640</v>
      </c>
      <c r="G565" t="s">
        <v>2641</v>
      </c>
      <c r="H565" t="n">
        <v>38.4393529889859</v>
      </c>
      <c r="I565" t="n">
        <v>-105.243263908432</v>
      </c>
      <c r="J565" t="s">
        <v>35</v>
      </c>
      <c r="K565" t="s">
        <v>70</v>
      </c>
      <c r="L565"/>
      <c r="M565" t="n">
        <v>1966</v>
      </c>
      <c r="N565" t="n">
        <v>1992</v>
      </c>
      <c r="O565" t="s">
        <v>121</v>
      </c>
      <c r="P565" t="n">
        <v>5</v>
      </c>
      <c r="Q565" t="n">
        <v>5</v>
      </c>
      <c r="R565" t="n">
        <v>1</v>
      </c>
      <c r="S565" t="n">
        <v>1950</v>
      </c>
      <c r="T565" t="s">
        <v>9594</v>
      </c>
      <c r="U565" t="s">
        <v>9595</v>
      </c>
      <c r="V565" t="s">
        <v>74</v>
      </c>
      <c r="W565" t="s">
        <v>9596</v>
      </c>
      <c r="X565"/>
      <c r="Y565" t="s">
        <v>9597</v>
      </c>
      <c r="Z565"/>
      <c r="AA565"/>
      <c r="AB565" t="s">
        <v>9598</v>
      </c>
      <c r="AC565" t="n">
        <v>34</v>
      </c>
      <c r="AD565"/>
      <c r="AE565"/>
      <c r="AF565" t="s">
        <v>9599</v>
      </c>
      <c r="AG565" t="n">
        <v>23</v>
      </c>
    </row>
    <row r="566">
      <c r="A566" t="s">
        <v>9600</v>
      </c>
      <c r="B566" t="s">
        <v>26</v>
      </c>
      <c r="C566" t="s">
        <v>65</v>
      </c>
      <c r="D566" t="s">
        <v>9601</v>
      </c>
      <c r="E566" t="s">
        <v>2646</v>
      </c>
      <c r="F566" t="s">
        <v>2640</v>
      </c>
      <c r="G566" t="s">
        <v>2647</v>
      </c>
      <c r="H566" t="n">
        <v>38.3889448120301</v>
      </c>
      <c r="I566" t="n">
        <v>-105.118138549946</v>
      </c>
      <c r="J566" t="s">
        <v>35</v>
      </c>
      <c r="K566" t="s">
        <v>141</v>
      </c>
      <c r="L566"/>
      <c r="M566" t="n">
        <v>1970</v>
      </c>
      <c r="N566" t="n">
        <v>1992</v>
      </c>
      <c r="O566" t="s">
        <v>9602</v>
      </c>
      <c r="P566" t="n">
        <v>9</v>
      </c>
      <c r="Q566" t="n">
        <v>6</v>
      </c>
      <c r="R566" t="n">
        <v>1</v>
      </c>
      <c r="S566" t="n">
        <v>1869</v>
      </c>
      <c r="T566" t="s">
        <v>9603</v>
      </c>
      <c r="U566" t="s">
        <v>9604</v>
      </c>
      <c r="V566" t="s">
        <v>74</v>
      </c>
      <c r="W566" t="s">
        <v>9605</v>
      </c>
      <c r="X566"/>
      <c r="Y566"/>
      <c r="Z566"/>
      <c r="AA566" t="s">
        <v>9606</v>
      </c>
      <c r="AB566" t="s">
        <v>9607</v>
      </c>
      <c r="AC566" t="n">
        <v>35</v>
      </c>
      <c r="AD566"/>
      <c r="AE566"/>
      <c r="AF566" t="s">
        <v>2651</v>
      </c>
      <c r="AG566" t="n">
        <v>145</v>
      </c>
    </row>
    <row r="567">
      <c r="A567" t="s">
        <v>9608</v>
      </c>
      <c r="B567" t="s">
        <v>26</v>
      </c>
      <c r="C567" t="s">
        <v>24</v>
      </c>
      <c r="D567" t="s">
        <v>9609</v>
      </c>
      <c r="E567" t="s">
        <v>2639</v>
      </c>
      <c r="F567" t="s">
        <v>2640</v>
      </c>
      <c r="G567" t="s">
        <v>2641</v>
      </c>
      <c r="H567" t="n">
        <v>38.4400042770751</v>
      </c>
      <c r="I567" t="n">
        <v>-105.24182244216</v>
      </c>
      <c r="J567" t="s">
        <v>4109</v>
      </c>
      <c r="K567" t="s">
        <v>133</v>
      </c>
      <c r="L567"/>
      <c r="M567" t="n">
        <v>1973</v>
      </c>
      <c r="N567" t="n">
        <v>1990</v>
      </c>
      <c r="O567" t="s">
        <v>121</v>
      </c>
      <c r="P567" t="n">
        <v>3</v>
      </c>
      <c r="Q567" t="n">
        <v>3</v>
      </c>
      <c r="R567" t="n">
        <v>1</v>
      </c>
      <c r="S567" t="n">
        <v>1969</v>
      </c>
      <c r="T567" t="s">
        <v>9610</v>
      </c>
      <c r="U567" t="s">
        <v>9611</v>
      </c>
      <c r="V567" t="s">
        <v>74</v>
      </c>
      <c r="W567" t="s">
        <v>9612</v>
      </c>
      <c r="X567"/>
      <c r="Y567"/>
      <c r="Z567"/>
      <c r="AA567"/>
      <c r="AB567" t="s">
        <v>9613</v>
      </c>
      <c r="AC567" t="n">
        <v>78</v>
      </c>
      <c r="AD567"/>
      <c r="AE567"/>
      <c r="AF567" t="s">
        <v>9599</v>
      </c>
      <c r="AG567" t="n">
        <v>167</v>
      </c>
    </row>
    <row r="568">
      <c r="A568" t="s">
        <v>9614</v>
      </c>
      <c r="B568" t="s">
        <v>26</v>
      </c>
      <c r="C568" t="s">
        <v>65</v>
      </c>
      <c r="D568" t="s">
        <v>9615</v>
      </c>
      <c r="E568" t="s">
        <v>2639</v>
      </c>
      <c r="F568" t="s">
        <v>2640</v>
      </c>
      <c r="G568" t="s">
        <v>2641</v>
      </c>
      <c r="H568" t="n">
        <v>38.4402324489796</v>
      </c>
      <c r="I568" t="n">
        <v>-105.243662653061</v>
      </c>
      <c r="J568" t="s">
        <v>35</v>
      </c>
      <c r="K568" t="s">
        <v>70</v>
      </c>
      <c r="L568"/>
      <c r="M568" t="n">
        <v>1974</v>
      </c>
      <c r="N568" t="n">
        <v>1988</v>
      </c>
      <c r="O568" t="s">
        <v>8389</v>
      </c>
      <c r="P568" t="n">
        <v>4</v>
      </c>
      <c r="Q568" t="n">
        <v>2</v>
      </c>
      <c r="R568" t="n">
        <v>2</v>
      </c>
      <c r="S568" t="n">
        <v>1973</v>
      </c>
      <c r="T568" t="s">
        <v>9616</v>
      </c>
      <c r="U568" t="s">
        <v>9617</v>
      </c>
      <c r="V568" t="s">
        <v>74</v>
      </c>
      <c r="W568" t="s">
        <v>9618</v>
      </c>
      <c r="X568"/>
      <c r="Y568"/>
      <c r="Z568"/>
      <c r="AA568"/>
      <c r="AB568" t="s">
        <v>9619</v>
      </c>
      <c r="AC568" t="n">
        <v>29</v>
      </c>
      <c r="AD568"/>
      <c r="AE568"/>
      <c r="AF568" t="s">
        <v>9599</v>
      </c>
      <c r="AG568" t="n">
        <v>113</v>
      </c>
    </row>
    <row r="569">
      <c r="A569" t="s">
        <v>9620</v>
      </c>
      <c r="B569" t="s">
        <v>26</v>
      </c>
      <c r="C569" t="s">
        <v>65</v>
      </c>
      <c r="D569" t="s">
        <v>9621</v>
      </c>
      <c r="E569" t="s">
        <v>2639</v>
      </c>
      <c r="F569" t="s">
        <v>2640</v>
      </c>
      <c r="G569" t="s">
        <v>2641</v>
      </c>
      <c r="H569" t="n">
        <v>38.4167585698096</v>
      </c>
      <c r="I569" t="n">
        <v>-105.204060014252</v>
      </c>
      <c r="J569" t="s">
        <v>35</v>
      </c>
      <c r="K569" t="s">
        <v>120</v>
      </c>
      <c r="L569"/>
      <c r="M569" t="n">
        <v>1980</v>
      </c>
      <c r="N569" t="n">
        <v>1980</v>
      </c>
      <c r="O569" t="s">
        <v>255</v>
      </c>
      <c r="P569" t="n">
        <v>1</v>
      </c>
      <c r="Q569" t="n">
        <v>1</v>
      </c>
      <c r="R569" t="n">
        <v>1</v>
      </c>
      <c r="S569"/>
      <c r="T569" t="s">
        <v>9622</v>
      </c>
      <c r="U569" t="s">
        <v>9623</v>
      </c>
      <c r="V569" t="s">
        <v>74</v>
      </c>
      <c r="W569" t="s">
        <v>9624</v>
      </c>
      <c r="X569"/>
      <c r="Y569"/>
      <c r="Z569"/>
      <c r="AA569" t="s">
        <v>9625</v>
      </c>
      <c r="AB569"/>
      <c r="AC569"/>
      <c r="AD569"/>
      <c r="AE569"/>
      <c r="AF569"/>
      <c r="AG569"/>
    </row>
    <row r="570">
      <c r="A570" t="s">
        <v>9626</v>
      </c>
      <c r="B570" t="s">
        <v>26</v>
      </c>
      <c r="C570" t="s">
        <v>65</v>
      </c>
      <c r="D570" t="s">
        <v>9627</v>
      </c>
      <c r="E570" t="s">
        <v>2639</v>
      </c>
      <c r="F570" t="s">
        <v>2640</v>
      </c>
      <c r="G570" t="s">
        <v>2641</v>
      </c>
      <c r="H570" t="n">
        <v>38.4172011680294</v>
      </c>
      <c r="I570" t="n">
        <v>-105.20406</v>
      </c>
      <c r="J570" t="s">
        <v>35</v>
      </c>
      <c r="K570" t="s">
        <v>120</v>
      </c>
      <c r="L570"/>
      <c r="M570" t="n">
        <v>1983</v>
      </c>
      <c r="N570" t="n">
        <v>1990</v>
      </c>
      <c r="O570" t="s">
        <v>293</v>
      </c>
      <c r="P570" t="n">
        <v>2</v>
      </c>
      <c r="Q570" t="n">
        <v>2</v>
      </c>
      <c r="R570" t="n">
        <v>2</v>
      </c>
      <c r="S570" t="n">
        <v>1974</v>
      </c>
      <c r="T570" t="s">
        <v>9628</v>
      </c>
      <c r="U570" t="s">
        <v>9629</v>
      </c>
      <c r="V570" t="s">
        <v>74</v>
      </c>
      <c r="W570" t="s">
        <v>9624</v>
      </c>
      <c r="X570"/>
      <c r="Y570"/>
      <c r="Z570"/>
      <c r="AA570" t="s">
        <v>9630</v>
      </c>
      <c r="AB570"/>
      <c r="AC570"/>
      <c r="AD570"/>
      <c r="AE570"/>
      <c r="AF570"/>
      <c r="AG570"/>
    </row>
    <row r="571">
      <c r="A571" t="s">
        <v>9631</v>
      </c>
      <c r="B571" t="s">
        <v>26</v>
      </c>
      <c r="C571" t="s">
        <v>24</v>
      </c>
      <c r="D571" t="s">
        <v>9632</v>
      </c>
      <c r="E571" t="s">
        <v>2639</v>
      </c>
      <c r="F571" t="s">
        <v>2640</v>
      </c>
      <c r="G571" t="s">
        <v>2641</v>
      </c>
      <c r="H571" t="n">
        <v>38.39353</v>
      </c>
      <c r="I571" t="n">
        <v>-105.123814</v>
      </c>
      <c r="J571" t="s">
        <v>4109</v>
      </c>
      <c r="K571" t="s">
        <v>89</v>
      </c>
      <c r="L571"/>
      <c r="M571" t="n">
        <v>1988</v>
      </c>
      <c r="N571" t="n">
        <v>1992</v>
      </c>
      <c r="O571" t="s">
        <v>4855</v>
      </c>
      <c r="P571" t="n">
        <v>2</v>
      </c>
      <c r="Q571" t="n">
        <v>2</v>
      </c>
      <c r="R571" t="n">
        <v>2</v>
      </c>
      <c r="S571" t="n">
        <v>1956</v>
      </c>
      <c r="T571" t="s">
        <v>9633</v>
      </c>
      <c r="U571" t="s">
        <v>9634</v>
      </c>
      <c r="V571" t="s">
        <v>74</v>
      </c>
      <c r="W571" t="s">
        <v>9635</v>
      </c>
      <c r="X571"/>
      <c r="Y571"/>
      <c r="Z571"/>
      <c r="AA571" t="s">
        <v>9636</v>
      </c>
      <c r="AB571" t="s">
        <v>9637</v>
      </c>
      <c r="AC571" t="n">
        <v>64</v>
      </c>
      <c r="AD571"/>
      <c r="AE571"/>
      <c r="AF571"/>
      <c r="AG571"/>
    </row>
    <row r="572">
      <c r="A572" t="s">
        <v>9638</v>
      </c>
      <c r="B572" t="s">
        <v>26</v>
      </c>
      <c r="C572" t="s">
        <v>65</v>
      </c>
      <c r="D572" t="s">
        <v>9639</v>
      </c>
      <c r="E572" t="s">
        <v>2682</v>
      </c>
      <c r="F572" t="s">
        <v>2683</v>
      </c>
      <c r="G572" t="s">
        <v>2684</v>
      </c>
      <c r="H572" t="n">
        <v>38.5444496293405</v>
      </c>
      <c r="I572" t="n">
        <v>-106.926934637353</v>
      </c>
      <c r="J572" t="s">
        <v>35</v>
      </c>
      <c r="K572" t="s">
        <v>527</v>
      </c>
      <c r="L572"/>
      <c r="M572" t="n">
        <v>1966</v>
      </c>
      <c r="N572" t="n">
        <v>1973</v>
      </c>
      <c r="O572" t="s">
        <v>726</v>
      </c>
      <c r="P572" t="n">
        <v>4</v>
      </c>
      <c r="Q572" t="n">
        <v>3</v>
      </c>
      <c r="R572" t="n">
        <v>1</v>
      </c>
      <c r="S572" t="n">
        <v>1880</v>
      </c>
      <c r="T572" t="s">
        <v>9640</v>
      </c>
      <c r="U572" t="s">
        <v>9641</v>
      </c>
      <c r="V572" t="s">
        <v>74</v>
      </c>
      <c r="W572" t="s">
        <v>9642</v>
      </c>
      <c r="X572"/>
      <c r="Y572"/>
      <c r="Z572"/>
      <c r="AA572"/>
      <c r="AB572" t="s">
        <v>9643</v>
      </c>
      <c r="AC572" t="n">
        <v>23</v>
      </c>
      <c r="AD572"/>
      <c r="AE572"/>
      <c r="AF572" t="s">
        <v>9644</v>
      </c>
      <c r="AG572" t="n">
        <v>143</v>
      </c>
    </row>
    <row r="573">
      <c r="A573" t="s">
        <v>9645</v>
      </c>
      <c r="B573" t="s">
        <v>26</v>
      </c>
      <c r="C573" t="s">
        <v>24</v>
      </c>
      <c r="D573" t="s">
        <v>9646</v>
      </c>
      <c r="E573" t="s">
        <v>9647</v>
      </c>
      <c r="F573" t="s">
        <v>2711</v>
      </c>
      <c r="G573"/>
      <c r="H573" t="n">
        <v>37.5056268989087</v>
      </c>
      <c r="I573" t="n">
        <v>-105.009046</v>
      </c>
      <c r="J573" t="s">
        <v>4109</v>
      </c>
      <c r="K573" t="s">
        <v>120</v>
      </c>
      <c r="L573"/>
      <c r="M573" t="n">
        <v>1965</v>
      </c>
      <c r="N573" t="n">
        <v>1965</v>
      </c>
      <c r="O573" t="s">
        <v>1275</v>
      </c>
      <c r="P573" t="n">
        <v>1</v>
      </c>
      <c r="Q573" t="n">
        <v>2</v>
      </c>
      <c r="R573" t="n">
        <v>1</v>
      </c>
      <c r="S573"/>
      <c r="T573" t="s">
        <v>9648</v>
      </c>
      <c r="U573" t="s">
        <v>9649</v>
      </c>
      <c r="V573" t="s">
        <v>74</v>
      </c>
      <c r="W573" t="s">
        <v>9650</v>
      </c>
      <c r="X573"/>
      <c r="Y573"/>
      <c r="Z573"/>
      <c r="AA573"/>
      <c r="AB573" t="s">
        <v>9651</v>
      </c>
      <c r="AC573" t="n">
        <v>115</v>
      </c>
      <c r="AD573"/>
      <c r="AE573"/>
      <c r="AF573"/>
      <c r="AG573"/>
    </row>
    <row r="574">
      <c r="A574" t="s">
        <v>9652</v>
      </c>
      <c r="B574" t="s">
        <v>26</v>
      </c>
      <c r="C574" t="s">
        <v>24</v>
      </c>
      <c r="D574" t="s">
        <v>9653</v>
      </c>
      <c r="E574" t="s">
        <v>2710</v>
      </c>
      <c r="F574" t="s">
        <v>2711</v>
      </c>
      <c r="G574" t="s">
        <v>2712</v>
      </c>
      <c r="H574" t="n">
        <v>37.6287747329209</v>
      </c>
      <c r="I574" t="n">
        <v>-104.782542775179</v>
      </c>
      <c r="J574" t="s">
        <v>4109</v>
      </c>
      <c r="K574" t="s">
        <v>70</v>
      </c>
      <c r="L574"/>
      <c r="M574" t="n">
        <v>1970</v>
      </c>
      <c r="N574" t="n">
        <v>1970</v>
      </c>
      <c r="O574" t="s">
        <v>726</v>
      </c>
      <c r="P574" t="n">
        <v>1</v>
      </c>
      <c r="Q574" t="n">
        <v>1</v>
      </c>
      <c r="R574" t="n">
        <v>1</v>
      </c>
      <c r="S574" t="n">
        <v>1964</v>
      </c>
      <c r="T574" t="s">
        <v>9654</v>
      </c>
      <c r="U574" t="s">
        <v>9655</v>
      </c>
      <c r="V574" t="s">
        <v>74</v>
      </c>
      <c r="W574" t="s">
        <v>9656</v>
      </c>
      <c r="X574"/>
      <c r="Y574"/>
      <c r="Z574"/>
      <c r="AA574" t="s">
        <v>9657</v>
      </c>
      <c r="AB574" t="s">
        <v>2715</v>
      </c>
      <c r="AC574" t="n">
        <v>125</v>
      </c>
      <c r="AD574"/>
      <c r="AE574"/>
      <c r="AF574"/>
      <c r="AG574"/>
    </row>
    <row r="575">
      <c r="A575" t="s">
        <v>9658</v>
      </c>
      <c r="B575" t="s">
        <v>26</v>
      </c>
      <c r="C575" t="s">
        <v>65</v>
      </c>
      <c r="D575" t="s">
        <v>9659</v>
      </c>
      <c r="E575" t="s">
        <v>2723</v>
      </c>
      <c r="F575" t="s">
        <v>2724</v>
      </c>
      <c r="G575" t="s">
        <v>2778</v>
      </c>
      <c r="H575" t="n">
        <v>39.7804493263784</v>
      </c>
      <c r="I575" t="n">
        <v>-105.165359308593</v>
      </c>
      <c r="J575" t="s">
        <v>35</v>
      </c>
      <c r="K575" t="s">
        <v>133</v>
      </c>
      <c r="L575"/>
      <c r="M575" t="n">
        <v>1965</v>
      </c>
      <c r="N575" t="n">
        <v>1990</v>
      </c>
      <c r="O575" t="s">
        <v>351</v>
      </c>
      <c r="P575" t="n">
        <v>6</v>
      </c>
      <c r="Q575" t="n">
        <v>3</v>
      </c>
      <c r="R575" t="n">
        <v>2</v>
      </c>
      <c r="S575" t="n">
        <v>1960</v>
      </c>
      <c r="T575" t="s">
        <v>9660</v>
      </c>
      <c r="U575" t="s">
        <v>9661</v>
      </c>
      <c r="V575" t="s">
        <v>74</v>
      </c>
      <c r="W575" t="s">
        <v>9662</v>
      </c>
      <c r="X575"/>
      <c r="Y575" t="s">
        <v>9663</v>
      </c>
      <c r="Z575"/>
      <c r="AA575" t="s">
        <v>9664</v>
      </c>
      <c r="AB575" t="s">
        <v>9665</v>
      </c>
      <c r="AC575" t="n">
        <v>13</v>
      </c>
      <c r="AD575"/>
      <c r="AE575"/>
      <c r="AF575" t="s">
        <v>9666</v>
      </c>
      <c r="AG575" t="n">
        <v>13</v>
      </c>
    </row>
    <row r="576">
      <c r="A576" t="s">
        <v>9667</v>
      </c>
      <c r="B576" t="s">
        <v>26</v>
      </c>
      <c r="C576" t="s">
        <v>24</v>
      </c>
      <c r="D576" t="s">
        <v>9668</v>
      </c>
      <c r="E576" t="s">
        <v>2729</v>
      </c>
      <c r="F576" t="s">
        <v>2724</v>
      </c>
      <c r="G576" t="s">
        <v>2730</v>
      </c>
      <c r="H576" t="n">
        <v>39.802222</v>
      </c>
      <c r="I576" t="n">
        <v>-105.069552</v>
      </c>
      <c r="J576" t="s">
        <v>4109</v>
      </c>
      <c r="K576" t="s">
        <v>270</v>
      </c>
      <c r="L576"/>
      <c r="M576" t="n">
        <v>1966</v>
      </c>
      <c r="N576" t="n">
        <v>1990</v>
      </c>
      <c r="O576" t="s">
        <v>9669</v>
      </c>
      <c r="P576" t="n">
        <v>6</v>
      </c>
      <c r="Q576" t="n">
        <v>2</v>
      </c>
      <c r="R576" t="n">
        <v>2</v>
      </c>
      <c r="S576" t="n">
        <v>1902</v>
      </c>
      <c r="T576" t="s">
        <v>9670</v>
      </c>
      <c r="U576" t="s">
        <v>9671</v>
      </c>
      <c r="V576" t="s">
        <v>74</v>
      </c>
      <c r="W576" t="s">
        <v>9672</v>
      </c>
      <c r="X576"/>
      <c r="Y576" t="s">
        <v>9673</v>
      </c>
      <c r="Z576"/>
      <c r="AA576" t="s">
        <v>9674</v>
      </c>
      <c r="AB576" t="s">
        <v>9675</v>
      </c>
      <c r="AC576" t="n">
        <v>156</v>
      </c>
      <c r="AD576"/>
      <c r="AE576"/>
      <c r="AF576" t="s">
        <v>9676</v>
      </c>
      <c r="AG576" t="n">
        <v>44</v>
      </c>
    </row>
    <row r="577">
      <c r="A577" t="s">
        <v>9677</v>
      </c>
      <c r="B577" t="s">
        <v>26</v>
      </c>
      <c r="C577" t="s">
        <v>24</v>
      </c>
      <c r="D577" t="s">
        <v>9678</v>
      </c>
      <c r="E577" t="s">
        <v>2748</v>
      </c>
      <c r="F577" t="s">
        <v>2724</v>
      </c>
      <c r="G577" t="s">
        <v>2856</v>
      </c>
      <c r="H577" t="n">
        <v>39.735435755102</v>
      </c>
      <c r="I577" t="n">
        <v>-105.062611387755</v>
      </c>
      <c r="J577" t="s">
        <v>4109</v>
      </c>
      <c r="K577" t="s">
        <v>1282</v>
      </c>
      <c r="L577"/>
      <c r="M577" t="n">
        <v>1966</v>
      </c>
      <c r="N577" t="n">
        <v>1974</v>
      </c>
      <c r="O577" t="s">
        <v>1503</v>
      </c>
      <c r="P577" t="n">
        <v>5</v>
      </c>
      <c r="Q577" t="n">
        <v>2</v>
      </c>
      <c r="R577" t="n">
        <v>2</v>
      </c>
      <c r="S577" t="n">
        <v>1958</v>
      </c>
      <c r="T577" t="s">
        <v>9679</v>
      </c>
      <c r="U577" t="s">
        <v>9680</v>
      </c>
      <c r="V577" t="s">
        <v>74</v>
      </c>
      <c r="W577" t="s">
        <v>9681</v>
      </c>
      <c r="X577"/>
      <c r="Y577" t="s">
        <v>9682</v>
      </c>
      <c r="Z577"/>
      <c r="AA577" t="s">
        <v>9683</v>
      </c>
      <c r="AB577" t="s">
        <v>2869</v>
      </c>
      <c r="AC577" t="n">
        <v>58</v>
      </c>
      <c r="AD577" t="s">
        <v>2870</v>
      </c>
      <c r="AE577" t="n">
        <v>111</v>
      </c>
      <c r="AF577" t="s">
        <v>2871</v>
      </c>
      <c r="AG577" t="n">
        <v>37</v>
      </c>
    </row>
    <row r="578">
      <c r="A578" t="s">
        <v>9684</v>
      </c>
      <c r="B578" t="s">
        <v>26</v>
      </c>
      <c r="C578" t="s">
        <v>24</v>
      </c>
      <c r="D578" t="s">
        <v>9685</v>
      </c>
      <c r="E578" t="s">
        <v>2723</v>
      </c>
      <c r="F578" t="s">
        <v>2724</v>
      </c>
      <c r="G578" t="s">
        <v>2778</v>
      </c>
      <c r="H578" t="n">
        <v>39.758942</v>
      </c>
      <c r="I578" t="n">
        <v>-105.223</v>
      </c>
      <c r="J578" t="s">
        <v>35</v>
      </c>
      <c r="K578" t="s">
        <v>120</v>
      </c>
      <c r="L578"/>
      <c r="M578" t="n">
        <v>1966</v>
      </c>
      <c r="N578" t="n">
        <v>1990</v>
      </c>
      <c r="O578" t="s">
        <v>4172</v>
      </c>
      <c r="P578" t="n">
        <v>7</v>
      </c>
      <c r="Q578" t="n">
        <v>1</v>
      </c>
      <c r="R578" t="n">
        <v>1</v>
      </c>
      <c r="S578" t="n">
        <v>1911</v>
      </c>
      <c r="T578" t="s">
        <v>9686</v>
      </c>
      <c r="U578" t="s">
        <v>9687</v>
      </c>
      <c r="V578" t="s">
        <v>4175</v>
      </c>
      <c r="W578" t="s">
        <v>9688</v>
      </c>
      <c r="X578" t="s">
        <v>9689</v>
      </c>
      <c r="Y578"/>
      <c r="Z578"/>
      <c r="AA578" t="s">
        <v>9690</v>
      </c>
      <c r="AB578" t="s">
        <v>9691</v>
      </c>
      <c r="AC578" t="n">
        <v>59</v>
      </c>
      <c r="AD578" t="s">
        <v>2978</v>
      </c>
      <c r="AE578" t="n">
        <v>114</v>
      </c>
      <c r="AF578" t="s">
        <v>9692</v>
      </c>
      <c r="AG578" t="n">
        <v>84</v>
      </c>
    </row>
    <row r="579">
      <c r="A579" t="s">
        <v>9693</v>
      </c>
      <c r="B579" t="s">
        <v>26</v>
      </c>
      <c r="C579" t="s">
        <v>65</v>
      </c>
      <c r="D579" t="s">
        <v>9694</v>
      </c>
      <c r="E579" t="s">
        <v>2748</v>
      </c>
      <c r="F579" t="s">
        <v>2724</v>
      </c>
      <c r="G579" t="s">
        <v>2856</v>
      </c>
      <c r="H579" t="n">
        <v>39.736605</v>
      </c>
      <c r="I579" t="n">
        <v>-105.062631</v>
      </c>
      <c r="J579" t="s">
        <v>35</v>
      </c>
      <c r="K579" t="s">
        <v>1282</v>
      </c>
      <c r="L579"/>
      <c r="M579" t="n">
        <v>1966</v>
      </c>
      <c r="N579" t="n">
        <v>1992</v>
      </c>
      <c r="O579" t="s">
        <v>9695</v>
      </c>
      <c r="P579" t="n">
        <v>9</v>
      </c>
      <c r="Q579" t="n">
        <v>4</v>
      </c>
      <c r="R579" t="n">
        <v>3</v>
      </c>
      <c r="S579" t="n">
        <v>1945</v>
      </c>
      <c r="T579" t="s">
        <v>9696</v>
      </c>
      <c r="U579" t="s">
        <v>9697</v>
      </c>
      <c r="V579" t="s">
        <v>74</v>
      </c>
      <c r="W579" t="s">
        <v>9698</v>
      </c>
      <c r="X579" t="s">
        <v>9699</v>
      </c>
      <c r="Y579" t="s">
        <v>9700</v>
      </c>
      <c r="Z579"/>
      <c r="AA579" t="s">
        <v>9701</v>
      </c>
      <c r="AB579" t="s">
        <v>9702</v>
      </c>
      <c r="AC579" t="n">
        <v>41</v>
      </c>
      <c r="AD579" t="s">
        <v>2870</v>
      </c>
      <c r="AE579" t="n">
        <v>42</v>
      </c>
      <c r="AF579" t="s">
        <v>9703</v>
      </c>
      <c r="AG579" t="n">
        <v>4</v>
      </c>
    </row>
    <row r="580">
      <c r="A580" t="s">
        <v>9704</v>
      </c>
      <c r="B580" t="s">
        <v>26</v>
      </c>
      <c r="C580" t="s">
        <v>24</v>
      </c>
      <c r="D580" t="s">
        <v>9705</v>
      </c>
      <c r="E580" t="s">
        <v>2723</v>
      </c>
      <c r="F580" t="s">
        <v>2724</v>
      </c>
      <c r="G580" t="s">
        <v>2778</v>
      </c>
      <c r="H580" t="n">
        <v>39.760441</v>
      </c>
      <c r="I580" t="n">
        <v>-105.220255</v>
      </c>
      <c r="J580" t="s">
        <v>4109</v>
      </c>
      <c r="K580" t="s">
        <v>133</v>
      </c>
      <c r="L580"/>
      <c r="M580" t="n">
        <v>1967</v>
      </c>
      <c r="N580" t="n">
        <v>1967</v>
      </c>
      <c r="O580" t="s">
        <v>388</v>
      </c>
      <c r="P580" t="n">
        <v>1</v>
      </c>
      <c r="Q580" t="n">
        <v>1</v>
      </c>
      <c r="R580" t="n">
        <v>1</v>
      </c>
      <c r="S580" t="n">
        <v>1911</v>
      </c>
      <c r="T580" t="s">
        <v>9706</v>
      </c>
      <c r="U580" t="s">
        <v>9707</v>
      </c>
      <c r="V580" t="s">
        <v>74</v>
      </c>
      <c r="W580" t="s">
        <v>9708</v>
      </c>
      <c r="X580"/>
      <c r="Y580" t="s">
        <v>9709</v>
      </c>
      <c r="Z580"/>
      <c r="AA580" t="s">
        <v>9710</v>
      </c>
      <c r="AB580" t="s">
        <v>9711</v>
      </c>
      <c r="AC580" t="n">
        <v>227</v>
      </c>
      <c r="AD580"/>
      <c r="AE580"/>
      <c r="AF580" t="s">
        <v>9712</v>
      </c>
      <c r="AG580" t="n">
        <v>111</v>
      </c>
    </row>
    <row r="581">
      <c r="A581" t="s">
        <v>9713</v>
      </c>
      <c r="B581" t="s">
        <v>26</v>
      </c>
      <c r="C581" t="s">
        <v>65</v>
      </c>
      <c r="D581" t="s">
        <v>9714</v>
      </c>
      <c r="E581" t="s">
        <v>2723</v>
      </c>
      <c r="F581" t="s">
        <v>2724</v>
      </c>
      <c r="G581" t="s">
        <v>2778</v>
      </c>
      <c r="H581" t="n">
        <v>39.7797065346311</v>
      </c>
      <c r="I581" t="n">
        <v>-105.165360302295</v>
      </c>
      <c r="J581" t="s">
        <v>35</v>
      </c>
      <c r="K581" t="s">
        <v>1282</v>
      </c>
      <c r="L581"/>
      <c r="M581" t="n">
        <v>1967</v>
      </c>
      <c r="N581" t="n">
        <v>1992</v>
      </c>
      <c r="O581" t="s">
        <v>9715</v>
      </c>
      <c r="P581" t="n">
        <v>5</v>
      </c>
      <c r="Q581" t="n">
        <v>4</v>
      </c>
      <c r="R581" t="n">
        <v>3</v>
      </c>
      <c r="S581" t="n">
        <v>1962</v>
      </c>
      <c r="T581" t="s">
        <v>9716</v>
      </c>
      <c r="U581" t="s">
        <v>9717</v>
      </c>
      <c r="V581" t="s">
        <v>74</v>
      </c>
      <c r="W581" t="s">
        <v>9718</v>
      </c>
      <c r="X581" t="s">
        <v>9719</v>
      </c>
      <c r="Y581" t="s">
        <v>9720</v>
      </c>
      <c r="Z581"/>
      <c r="AA581"/>
      <c r="AB581" t="s">
        <v>9721</v>
      </c>
      <c r="AC581" t="n">
        <v>21</v>
      </c>
      <c r="AD581"/>
      <c r="AE581"/>
      <c r="AF581" t="s">
        <v>9665</v>
      </c>
      <c r="AG581" t="n">
        <v>56</v>
      </c>
    </row>
    <row r="582">
      <c r="A582" t="s">
        <v>9722</v>
      </c>
      <c r="B582" t="s">
        <v>26</v>
      </c>
      <c r="C582" t="s">
        <v>24</v>
      </c>
      <c r="D582" t="s">
        <v>9723</v>
      </c>
      <c r="E582" t="s">
        <v>2723</v>
      </c>
      <c r="F582" t="s">
        <v>2724</v>
      </c>
      <c r="G582"/>
      <c r="H582" t="n">
        <v>39.735679000838</v>
      </c>
      <c r="I582" t="n">
        <v>-105.128383050957</v>
      </c>
      <c r="J582" t="s">
        <v>4109</v>
      </c>
      <c r="K582" t="s">
        <v>70</v>
      </c>
      <c r="L582"/>
      <c r="M582" t="n">
        <v>1967</v>
      </c>
      <c r="N582" t="n">
        <v>1973</v>
      </c>
      <c r="O582" t="s">
        <v>99</v>
      </c>
      <c r="P582" t="n">
        <v>2</v>
      </c>
      <c r="Q582" t="n">
        <v>2</v>
      </c>
      <c r="R582" t="n">
        <v>2</v>
      </c>
      <c r="S582" t="n">
        <v>1962</v>
      </c>
      <c r="T582" t="s">
        <v>9724</v>
      </c>
      <c r="U582" t="s">
        <v>9725</v>
      </c>
      <c r="V582" t="s">
        <v>74</v>
      </c>
      <c r="W582" t="s">
        <v>9726</v>
      </c>
      <c r="X582" t="s">
        <v>9727</v>
      </c>
      <c r="Y582" t="s">
        <v>9728</v>
      </c>
      <c r="Z582"/>
      <c r="AA582"/>
      <c r="AB582" t="s">
        <v>9729</v>
      </c>
      <c r="AC582" t="n">
        <v>28</v>
      </c>
      <c r="AD582" t="s">
        <v>9730</v>
      </c>
      <c r="AE582" t="n">
        <v>148</v>
      </c>
      <c r="AF582" t="s">
        <v>9731</v>
      </c>
      <c r="AG582" t="n">
        <v>25</v>
      </c>
    </row>
    <row r="583">
      <c r="A583" t="s">
        <v>9732</v>
      </c>
      <c r="B583" t="s">
        <v>26</v>
      </c>
      <c r="C583" t="s">
        <v>65</v>
      </c>
      <c r="D583" t="s">
        <v>9733</v>
      </c>
      <c r="E583" t="s">
        <v>2748</v>
      </c>
      <c r="F583" t="s">
        <v>2724</v>
      </c>
      <c r="G583" t="s">
        <v>2749</v>
      </c>
      <c r="H583" t="n">
        <v>39.7366004910923</v>
      </c>
      <c r="I583" t="n">
        <v>-105.063673008569</v>
      </c>
      <c r="J583" t="s">
        <v>35</v>
      </c>
      <c r="K583" t="s">
        <v>796</v>
      </c>
      <c r="L583"/>
      <c r="M583" t="n">
        <v>1967</v>
      </c>
      <c r="N583" t="n">
        <v>1983</v>
      </c>
      <c r="O583" t="s">
        <v>9734</v>
      </c>
      <c r="P583" t="n">
        <v>6</v>
      </c>
      <c r="Q583" t="n">
        <v>2</v>
      </c>
      <c r="R583" t="n">
        <v>2</v>
      </c>
      <c r="S583" t="n">
        <v>1958</v>
      </c>
      <c r="T583" t="s">
        <v>9735</v>
      </c>
      <c r="U583" t="s">
        <v>9736</v>
      </c>
      <c r="V583" t="s">
        <v>74</v>
      </c>
      <c r="W583" t="s">
        <v>9737</v>
      </c>
      <c r="X583" t="s">
        <v>9738</v>
      </c>
      <c r="Y583" t="s">
        <v>9739</v>
      </c>
      <c r="Z583"/>
      <c r="AA583"/>
      <c r="AB583" t="s">
        <v>9740</v>
      </c>
      <c r="AC583" t="n">
        <v>59</v>
      </c>
      <c r="AD583" t="s">
        <v>2870</v>
      </c>
      <c r="AE583" t="n">
        <v>38</v>
      </c>
      <c r="AF583" t="s">
        <v>9741</v>
      </c>
      <c r="AG583" t="n">
        <v>2</v>
      </c>
    </row>
    <row r="584">
      <c r="A584" t="s">
        <v>9742</v>
      </c>
      <c r="B584" t="s">
        <v>26</v>
      </c>
      <c r="C584" t="s">
        <v>65</v>
      </c>
      <c r="D584" t="s">
        <v>9743</v>
      </c>
      <c r="E584" t="s">
        <v>2769</v>
      </c>
      <c r="F584" t="s">
        <v>2724</v>
      </c>
      <c r="G584" t="s">
        <v>2770</v>
      </c>
      <c r="H584" t="n">
        <v>39.7854341129463</v>
      </c>
      <c r="I584" t="n">
        <v>-105.068528790745</v>
      </c>
      <c r="J584" t="s">
        <v>35</v>
      </c>
      <c r="K584" t="s">
        <v>141</v>
      </c>
      <c r="L584"/>
      <c r="M584" t="n">
        <v>1967</v>
      </c>
      <c r="N584" t="n">
        <v>1990</v>
      </c>
      <c r="O584" t="s">
        <v>9744</v>
      </c>
      <c r="P584" t="n">
        <v>10</v>
      </c>
      <c r="Q584" t="n">
        <v>4</v>
      </c>
      <c r="R584" t="n">
        <v>2</v>
      </c>
      <c r="S584" t="n">
        <v>1962</v>
      </c>
      <c r="T584" t="s">
        <v>9745</v>
      </c>
      <c r="U584" t="s">
        <v>9746</v>
      </c>
      <c r="V584" t="s">
        <v>74</v>
      </c>
      <c r="W584" t="s">
        <v>9747</v>
      </c>
      <c r="X584"/>
      <c r="Y584"/>
      <c r="Z584"/>
      <c r="AA584" t="s">
        <v>9748</v>
      </c>
      <c r="AB584" t="s">
        <v>9749</v>
      </c>
      <c r="AC584" t="n">
        <v>65</v>
      </c>
      <c r="AD584"/>
      <c r="AE584"/>
      <c r="AF584" t="s">
        <v>9750</v>
      </c>
      <c r="AG584" t="n">
        <v>65</v>
      </c>
    </row>
    <row r="585">
      <c r="A585" t="s">
        <v>9751</v>
      </c>
      <c r="B585" t="s">
        <v>26</v>
      </c>
      <c r="C585" t="s">
        <v>24</v>
      </c>
      <c r="D585" t="s">
        <v>9752</v>
      </c>
      <c r="E585" t="s">
        <v>2729</v>
      </c>
      <c r="F585" t="s">
        <v>2724</v>
      </c>
      <c r="G585" t="s">
        <v>2730</v>
      </c>
      <c r="H585" t="n">
        <v>39.7679724899329</v>
      </c>
      <c r="I585" t="n">
        <v>-105.067916798658</v>
      </c>
      <c r="J585" t="s">
        <v>4109</v>
      </c>
      <c r="K585" t="s">
        <v>89</v>
      </c>
      <c r="L585"/>
      <c r="M585" t="n">
        <v>1968</v>
      </c>
      <c r="N585" t="n">
        <v>1968</v>
      </c>
      <c r="O585" t="s">
        <v>1349</v>
      </c>
      <c r="P585" t="n">
        <v>1</v>
      </c>
      <c r="Q585" t="n">
        <v>1</v>
      </c>
      <c r="R585" t="n">
        <v>1</v>
      </c>
      <c r="S585" t="n">
        <v>1958</v>
      </c>
      <c r="T585" t="s">
        <v>9753</v>
      </c>
      <c r="U585" t="s">
        <v>9754</v>
      </c>
      <c r="V585" t="s">
        <v>74</v>
      </c>
      <c r="W585" t="s">
        <v>9755</v>
      </c>
      <c r="X585"/>
      <c r="Y585" t="s">
        <v>9756</v>
      </c>
      <c r="Z585"/>
      <c r="AA585" t="s">
        <v>9757</v>
      </c>
      <c r="AB585" t="s">
        <v>9758</v>
      </c>
      <c r="AC585" t="n">
        <v>157</v>
      </c>
      <c r="AD585"/>
      <c r="AE585"/>
      <c r="AF585" t="s">
        <v>9759</v>
      </c>
      <c r="AG585" t="n">
        <v>234</v>
      </c>
    </row>
    <row r="586">
      <c r="A586" t="s">
        <v>9760</v>
      </c>
      <c r="B586" t="s">
        <v>26</v>
      </c>
      <c r="C586" t="s">
        <v>24</v>
      </c>
      <c r="D586" t="s">
        <v>9761</v>
      </c>
      <c r="E586" t="s">
        <v>2769</v>
      </c>
      <c r="F586" t="s">
        <v>2724</v>
      </c>
      <c r="G586"/>
      <c r="H586" t="n">
        <v>39.7885894970441</v>
      </c>
      <c r="I586" t="n">
        <v>-105.136798410459</v>
      </c>
      <c r="J586" t="s">
        <v>4109</v>
      </c>
      <c r="K586" t="s">
        <v>70</v>
      </c>
      <c r="L586"/>
      <c r="M586" t="n">
        <v>1968</v>
      </c>
      <c r="N586" t="n">
        <v>1990</v>
      </c>
      <c r="O586" t="s">
        <v>7749</v>
      </c>
      <c r="P586" t="n">
        <v>4</v>
      </c>
      <c r="Q586" t="n">
        <v>1</v>
      </c>
      <c r="R586" t="n">
        <v>1</v>
      </c>
      <c r="S586" t="n">
        <v>1965</v>
      </c>
      <c r="T586" t="s">
        <v>9762</v>
      </c>
      <c r="U586" t="s">
        <v>9763</v>
      </c>
      <c r="V586" t="s">
        <v>74</v>
      </c>
      <c r="W586" t="s">
        <v>9764</v>
      </c>
      <c r="X586"/>
      <c r="Y586" t="s">
        <v>9765</v>
      </c>
      <c r="Z586"/>
      <c r="AA586" t="s">
        <v>9766</v>
      </c>
      <c r="AB586" t="s">
        <v>9767</v>
      </c>
      <c r="AC586" t="n">
        <v>152</v>
      </c>
      <c r="AD586"/>
      <c r="AE586"/>
      <c r="AF586" t="s">
        <v>9768</v>
      </c>
      <c r="AG586" t="n">
        <v>110</v>
      </c>
    </row>
    <row r="587">
      <c r="A587" t="s">
        <v>9769</v>
      </c>
      <c r="B587" t="s">
        <v>26</v>
      </c>
      <c r="C587" t="s">
        <v>24</v>
      </c>
      <c r="D587" t="s">
        <v>9770</v>
      </c>
      <c r="E587" t="s">
        <v>2769</v>
      </c>
      <c r="F587" t="s">
        <v>2724</v>
      </c>
      <c r="G587" t="s">
        <v>2770</v>
      </c>
      <c r="H587" t="n">
        <v>39.7717082390644</v>
      </c>
      <c r="I587" t="n">
        <v>-105.084293644918</v>
      </c>
      <c r="J587" t="s">
        <v>4109</v>
      </c>
      <c r="K587" t="s">
        <v>120</v>
      </c>
      <c r="L587"/>
      <c r="M587" t="n">
        <v>1968</v>
      </c>
      <c r="N587" t="n">
        <v>1968</v>
      </c>
      <c r="O587" t="s">
        <v>1349</v>
      </c>
      <c r="P587" t="n">
        <v>1</v>
      </c>
      <c r="Q587" t="n">
        <v>1</v>
      </c>
      <c r="R587" t="n">
        <v>1</v>
      </c>
      <c r="S587" t="n">
        <v>1958</v>
      </c>
      <c r="T587" t="s">
        <v>9771</v>
      </c>
      <c r="U587" t="s">
        <v>9772</v>
      </c>
      <c r="V587" t="s">
        <v>74</v>
      </c>
      <c r="W587" t="s">
        <v>9773</v>
      </c>
      <c r="X587"/>
      <c r="Y587" t="s">
        <v>9774</v>
      </c>
      <c r="Z587"/>
      <c r="AA587" t="s">
        <v>9775</v>
      </c>
      <c r="AB587" t="s">
        <v>9776</v>
      </c>
      <c r="AC587" t="n">
        <v>183</v>
      </c>
      <c r="AD587"/>
      <c r="AE587"/>
      <c r="AF587" t="s">
        <v>9777</v>
      </c>
      <c r="AG587" t="n">
        <v>150</v>
      </c>
    </row>
    <row r="588">
      <c r="A588" t="s">
        <v>9778</v>
      </c>
      <c r="B588" t="s">
        <v>26</v>
      </c>
      <c r="C588" t="s">
        <v>65</v>
      </c>
      <c r="D588" t="s">
        <v>9779</v>
      </c>
      <c r="E588" t="s">
        <v>2748</v>
      </c>
      <c r="F588" t="s">
        <v>2724</v>
      </c>
      <c r="G588" t="s">
        <v>2856</v>
      </c>
      <c r="H588" t="n">
        <v>39.7530412527473</v>
      </c>
      <c r="I588" t="n">
        <v>-105.053506792779</v>
      </c>
      <c r="J588" t="s">
        <v>35</v>
      </c>
      <c r="K588" t="s">
        <v>141</v>
      </c>
      <c r="L588"/>
      <c r="M588" t="n">
        <v>1970</v>
      </c>
      <c r="N588" t="n">
        <v>1990</v>
      </c>
      <c r="O588" t="s">
        <v>3984</v>
      </c>
      <c r="P588" t="n">
        <v>7</v>
      </c>
      <c r="Q588" t="n">
        <v>11</v>
      </c>
      <c r="R588" t="n">
        <v>4</v>
      </c>
      <c r="S588" t="n">
        <v>1950</v>
      </c>
      <c r="T588" t="s">
        <v>9780</v>
      </c>
      <c r="U588" t="s">
        <v>9781</v>
      </c>
      <c r="V588" t="s">
        <v>74</v>
      </c>
      <c r="W588" t="s">
        <v>9782</v>
      </c>
      <c r="X588"/>
      <c r="Y588"/>
      <c r="Z588"/>
      <c r="AA588"/>
      <c r="AB588" t="s">
        <v>9783</v>
      </c>
      <c r="AC588" t="n">
        <v>44</v>
      </c>
      <c r="AD588"/>
      <c r="AE588"/>
      <c r="AF588" t="s">
        <v>9784</v>
      </c>
      <c r="AG588" t="n">
        <v>198</v>
      </c>
    </row>
    <row r="589">
      <c r="A589" t="s">
        <v>9785</v>
      </c>
      <c r="B589" t="s">
        <v>26</v>
      </c>
      <c r="C589" t="s">
        <v>24</v>
      </c>
      <c r="D589" t="s">
        <v>9786</v>
      </c>
      <c r="E589" t="s">
        <v>2748</v>
      </c>
      <c r="F589" t="s">
        <v>2724</v>
      </c>
      <c r="G589" t="s">
        <v>2856</v>
      </c>
      <c r="H589" t="n">
        <v>39.7361204489796</v>
      </c>
      <c r="I589" t="n">
        <v>-105.062623122449</v>
      </c>
      <c r="J589" t="s">
        <v>4109</v>
      </c>
      <c r="K589" t="s">
        <v>126</v>
      </c>
      <c r="L589"/>
      <c r="M589" t="n">
        <v>1973</v>
      </c>
      <c r="N589" t="n">
        <v>1980</v>
      </c>
      <c r="O589" t="s">
        <v>2779</v>
      </c>
      <c r="P589" t="n">
        <v>2</v>
      </c>
      <c r="Q589" t="n">
        <v>2</v>
      </c>
      <c r="R589" t="n">
        <v>2</v>
      </c>
      <c r="S589" t="n">
        <v>1898</v>
      </c>
      <c r="T589" t="s">
        <v>9787</v>
      </c>
      <c r="U589" t="s">
        <v>9788</v>
      </c>
      <c r="V589" t="s">
        <v>74</v>
      </c>
      <c r="W589" t="s">
        <v>9789</v>
      </c>
      <c r="X589" t="s">
        <v>9790</v>
      </c>
      <c r="Y589" t="s">
        <v>9791</v>
      </c>
      <c r="Z589"/>
      <c r="AA589" t="s">
        <v>9792</v>
      </c>
      <c r="AB589" t="s">
        <v>9702</v>
      </c>
      <c r="AC589" t="n">
        <v>13</v>
      </c>
      <c r="AD589" t="s">
        <v>2870</v>
      </c>
      <c r="AE589" t="n">
        <v>45</v>
      </c>
      <c r="AF589" t="s">
        <v>9793</v>
      </c>
      <c r="AG589" t="n">
        <v>13</v>
      </c>
    </row>
    <row r="590">
      <c r="A590" t="s">
        <v>9794</v>
      </c>
      <c r="B590" t="s">
        <v>26</v>
      </c>
      <c r="C590" t="s">
        <v>65</v>
      </c>
      <c r="D590" t="s">
        <v>9795</v>
      </c>
      <c r="E590" t="s">
        <v>2729</v>
      </c>
      <c r="F590" t="s">
        <v>2724</v>
      </c>
      <c r="G590" t="s">
        <v>2919</v>
      </c>
      <c r="H590" t="n">
        <v>39.8029995919222</v>
      </c>
      <c r="I590" t="n">
        <v>-105.071746256093</v>
      </c>
      <c r="J590" t="s">
        <v>35</v>
      </c>
      <c r="K590" t="s">
        <v>81</v>
      </c>
      <c r="L590"/>
      <c r="M590" t="n">
        <v>1973</v>
      </c>
      <c r="N590" t="n">
        <v>1992</v>
      </c>
      <c r="O590" t="s">
        <v>9796</v>
      </c>
      <c r="P590" t="n">
        <v>4</v>
      </c>
      <c r="Q590" t="n">
        <v>6</v>
      </c>
      <c r="R590" t="n">
        <v>5</v>
      </c>
      <c r="S590" t="n">
        <v>1948</v>
      </c>
      <c r="T590" t="s">
        <v>9797</v>
      </c>
      <c r="U590" t="s">
        <v>9798</v>
      </c>
      <c r="V590" t="s">
        <v>74</v>
      </c>
      <c r="W590" t="s">
        <v>9799</v>
      </c>
      <c r="X590"/>
      <c r="Y590" t="s">
        <v>9800</v>
      </c>
      <c r="Z590"/>
      <c r="AA590" t="s">
        <v>9801</v>
      </c>
      <c r="AB590" t="s">
        <v>9802</v>
      </c>
      <c r="AC590" t="n">
        <v>14</v>
      </c>
      <c r="AD590"/>
      <c r="AE590"/>
      <c r="AF590" t="s">
        <v>9803</v>
      </c>
      <c r="AG590" t="n">
        <v>4</v>
      </c>
    </row>
    <row r="591">
      <c r="A591" t="s">
        <v>9804</v>
      </c>
      <c r="B591" t="s">
        <v>26</v>
      </c>
      <c r="C591" t="s">
        <v>65</v>
      </c>
      <c r="D591" t="s">
        <v>9805</v>
      </c>
      <c r="E591" t="s">
        <v>2723</v>
      </c>
      <c r="F591" t="s">
        <v>2724</v>
      </c>
      <c r="G591" t="s">
        <v>2778</v>
      </c>
      <c r="H591" t="n">
        <v>39.7573816734694</v>
      </c>
      <c r="I591" t="n">
        <v>-105.223202857143</v>
      </c>
      <c r="J591" t="s">
        <v>35</v>
      </c>
      <c r="K591" t="s">
        <v>120</v>
      </c>
      <c r="L591"/>
      <c r="M591" t="n">
        <v>1973</v>
      </c>
      <c r="N591" t="n">
        <v>1973</v>
      </c>
      <c r="O591" t="s">
        <v>121</v>
      </c>
      <c r="P591" t="n">
        <v>1</v>
      </c>
      <c r="Q591" t="n">
        <v>1</v>
      </c>
      <c r="R591" t="n">
        <v>1</v>
      </c>
      <c r="S591" t="n">
        <v>1950</v>
      </c>
      <c r="T591" t="s">
        <v>9806</v>
      </c>
      <c r="U591" t="s">
        <v>9807</v>
      </c>
      <c r="V591" t="s">
        <v>74</v>
      </c>
      <c r="W591" t="s">
        <v>9808</v>
      </c>
      <c r="X591"/>
      <c r="Y591"/>
      <c r="Z591"/>
      <c r="AA591"/>
      <c r="AB591" t="s">
        <v>9809</v>
      </c>
      <c r="AC591" t="n">
        <v>21</v>
      </c>
      <c r="AD591" t="s">
        <v>2978</v>
      </c>
      <c r="AE591" t="n">
        <v>244</v>
      </c>
      <c r="AF591" t="s">
        <v>9692</v>
      </c>
      <c r="AG591" t="n">
        <v>125</v>
      </c>
    </row>
    <row r="592">
      <c r="A592" t="s">
        <v>9810</v>
      </c>
      <c r="B592" t="s">
        <v>26</v>
      </c>
      <c r="C592" t="s">
        <v>65</v>
      </c>
      <c r="D592" t="s">
        <v>9811</v>
      </c>
      <c r="E592" t="s">
        <v>2769</v>
      </c>
      <c r="F592" t="s">
        <v>2724</v>
      </c>
      <c r="G592" t="s">
        <v>2770</v>
      </c>
      <c r="H592" t="n">
        <v>39.769374</v>
      </c>
      <c r="I592" t="n">
        <v>-105.077301</v>
      </c>
      <c r="J592" t="s">
        <v>35</v>
      </c>
      <c r="K592" t="s">
        <v>70</v>
      </c>
      <c r="L592"/>
      <c r="M592" t="n">
        <v>1973</v>
      </c>
      <c r="N592" t="n">
        <v>1980</v>
      </c>
      <c r="O592" t="s">
        <v>221</v>
      </c>
      <c r="P592" t="n">
        <v>3</v>
      </c>
      <c r="Q592" t="n">
        <v>3</v>
      </c>
      <c r="R592" t="n">
        <v>2</v>
      </c>
      <c r="S592" t="n">
        <v>1968</v>
      </c>
      <c r="T592" t="s">
        <v>9812</v>
      </c>
      <c r="U592" t="s">
        <v>9813</v>
      </c>
      <c r="V592" t="s">
        <v>74</v>
      </c>
      <c r="W592" t="s">
        <v>9814</v>
      </c>
      <c r="X592"/>
      <c r="Y592" t="s">
        <v>9815</v>
      </c>
      <c r="Z592"/>
      <c r="AA592"/>
      <c r="AB592" t="s">
        <v>9816</v>
      </c>
      <c r="AC592" t="n">
        <v>63</v>
      </c>
      <c r="AD592"/>
      <c r="AE592"/>
      <c r="AF592" t="s">
        <v>9817</v>
      </c>
      <c r="AG592" t="n">
        <v>19</v>
      </c>
    </row>
    <row r="593">
      <c r="A593" t="s">
        <v>9818</v>
      </c>
      <c r="B593" t="s">
        <v>26</v>
      </c>
      <c r="C593" t="s">
        <v>65</v>
      </c>
      <c r="D593" t="s">
        <v>9819</v>
      </c>
      <c r="E593" t="s">
        <v>2729</v>
      </c>
      <c r="F593" t="s">
        <v>2724</v>
      </c>
      <c r="G593" t="s">
        <v>2730</v>
      </c>
      <c r="H593" t="n">
        <v>39.8019279007408</v>
      </c>
      <c r="I593" t="n">
        <v>-105.047486979362</v>
      </c>
      <c r="J593" t="s">
        <v>35</v>
      </c>
      <c r="K593" t="s">
        <v>89</v>
      </c>
      <c r="L593"/>
      <c r="M593" t="n">
        <v>1974</v>
      </c>
      <c r="N593" t="n">
        <v>1983</v>
      </c>
      <c r="O593" t="s">
        <v>4026</v>
      </c>
      <c r="P593" t="n">
        <v>2</v>
      </c>
      <c r="Q593" t="n">
        <v>1</v>
      </c>
      <c r="R593" t="n">
        <v>1</v>
      </c>
      <c r="S593" t="n">
        <v>1954</v>
      </c>
      <c r="T593" t="s">
        <v>9820</v>
      </c>
      <c r="U593" t="s">
        <v>9821</v>
      </c>
      <c r="V593" t="s">
        <v>74</v>
      </c>
      <c r="W593" t="s">
        <v>9822</v>
      </c>
      <c r="X593" t="s">
        <v>9823</v>
      </c>
      <c r="Y593" t="s">
        <v>9824</v>
      </c>
      <c r="Z593"/>
      <c r="AA593" t="s">
        <v>9825</v>
      </c>
      <c r="AB593" t="s">
        <v>9826</v>
      </c>
      <c r="AC593" t="n">
        <v>150</v>
      </c>
      <c r="AD593" t="s">
        <v>9827</v>
      </c>
      <c r="AE593" t="n">
        <v>60</v>
      </c>
      <c r="AF593" t="s">
        <v>9828</v>
      </c>
      <c r="AG593" t="n">
        <v>10</v>
      </c>
    </row>
    <row r="594">
      <c r="A594" t="s">
        <v>9829</v>
      </c>
      <c r="B594" t="s">
        <v>26</v>
      </c>
      <c r="C594" t="s">
        <v>24</v>
      </c>
      <c r="D594" t="s">
        <v>9830</v>
      </c>
      <c r="E594" t="s">
        <v>2748</v>
      </c>
      <c r="F594" t="s">
        <v>2724</v>
      </c>
      <c r="G594" t="s">
        <v>2856</v>
      </c>
      <c r="H594" t="n">
        <v>39.7257063061224</v>
      </c>
      <c r="I594" t="n">
        <v>-104.99905444898</v>
      </c>
      <c r="J594" t="s">
        <v>4109</v>
      </c>
      <c r="K594" t="s">
        <v>315</v>
      </c>
      <c r="L594"/>
      <c r="M594" t="n">
        <v>1974</v>
      </c>
      <c r="N594" t="n">
        <v>1974</v>
      </c>
      <c r="O594" t="s">
        <v>210</v>
      </c>
      <c r="P594" t="n">
        <v>1</v>
      </c>
      <c r="Q594" t="n">
        <v>1</v>
      </c>
      <c r="R594" t="n">
        <v>1</v>
      </c>
      <c r="S594" t="n">
        <v>1957</v>
      </c>
      <c r="T594" t="s">
        <v>9831</v>
      </c>
      <c r="U594" t="s">
        <v>9832</v>
      </c>
      <c r="V594" t="s">
        <v>74</v>
      </c>
      <c r="W594" t="s">
        <v>9833</v>
      </c>
      <c r="X594"/>
      <c r="Y594" t="s">
        <v>9834</v>
      </c>
      <c r="Z594" t="s">
        <v>9835</v>
      </c>
      <c r="AA594" t="s">
        <v>9836</v>
      </c>
      <c r="AB594" t="s">
        <v>2023</v>
      </c>
      <c r="AC594" t="n">
        <v>112</v>
      </c>
      <c r="AD594"/>
      <c r="AE594"/>
      <c r="AF594" t="s">
        <v>9837</v>
      </c>
      <c r="AG594" t="n">
        <v>103</v>
      </c>
    </row>
    <row r="595">
      <c r="A595" t="s">
        <v>9838</v>
      </c>
      <c r="B595" t="s">
        <v>26</v>
      </c>
      <c r="C595" t="s">
        <v>24</v>
      </c>
      <c r="D595" t="s">
        <v>9839</v>
      </c>
      <c r="E595" t="s">
        <v>2748</v>
      </c>
      <c r="F595" t="s">
        <v>2724</v>
      </c>
      <c r="G595" t="s">
        <v>2763</v>
      </c>
      <c r="H595" t="n">
        <v>39.7231562857143</v>
      </c>
      <c r="I595" t="n">
        <v>-105.081507</v>
      </c>
      <c r="J595" t="s">
        <v>4109</v>
      </c>
      <c r="K595" t="s">
        <v>70</v>
      </c>
      <c r="L595"/>
      <c r="M595" t="n">
        <v>1974</v>
      </c>
      <c r="N595" t="n">
        <v>1977</v>
      </c>
      <c r="O595" t="s">
        <v>1830</v>
      </c>
      <c r="P595" t="n">
        <v>2</v>
      </c>
      <c r="Q595" t="n">
        <v>1</v>
      </c>
      <c r="R595" t="n">
        <v>1</v>
      </c>
      <c r="S595" t="n">
        <v>1969</v>
      </c>
      <c r="T595" t="s">
        <v>9840</v>
      </c>
      <c r="U595" t="s">
        <v>9841</v>
      </c>
      <c r="V595" t="s">
        <v>74</v>
      </c>
      <c r="W595" t="s">
        <v>9842</v>
      </c>
      <c r="X595"/>
      <c r="Y595" t="s">
        <v>9843</v>
      </c>
      <c r="Z595"/>
      <c r="AA595"/>
      <c r="AB595" t="s">
        <v>9844</v>
      </c>
      <c r="AC595" t="n">
        <v>60</v>
      </c>
      <c r="AD595"/>
      <c r="AE595"/>
      <c r="AF595" t="s">
        <v>9845</v>
      </c>
      <c r="AG595" t="n">
        <v>32</v>
      </c>
    </row>
    <row r="596">
      <c r="A596" t="s">
        <v>9846</v>
      </c>
      <c r="B596" t="s">
        <v>26</v>
      </c>
      <c r="C596" t="s">
        <v>65</v>
      </c>
      <c r="D596" t="s">
        <v>9847</v>
      </c>
      <c r="E596" t="s">
        <v>2748</v>
      </c>
      <c r="F596" t="s">
        <v>2724</v>
      </c>
      <c r="G596" t="s">
        <v>2856</v>
      </c>
      <c r="H596" t="n">
        <v>39.7365977397652</v>
      </c>
      <c r="I596" t="n">
        <v>-105.065641248972</v>
      </c>
      <c r="J596" t="s">
        <v>35</v>
      </c>
      <c r="K596" t="s">
        <v>141</v>
      </c>
      <c r="L596"/>
      <c r="M596" t="n">
        <v>1974</v>
      </c>
      <c r="N596" t="n">
        <v>1974</v>
      </c>
      <c r="O596" t="s">
        <v>210</v>
      </c>
      <c r="P596" t="n">
        <v>1</v>
      </c>
      <c r="Q596" t="n">
        <v>1</v>
      </c>
      <c r="R596" t="n">
        <v>1</v>
      </c>
      <c r="S596"/>
      <c r="T596" t="s">
        <v>9848</v>
      </c>
      <c r="U596" t="s">
        <v>9849</v>
      </c>
      <c r="V596" t="s">
        <v>74</v>
      </c>
      <c r="W596" t="s">
        <v>9850</v>
      </c>
      <c r="X596"/>
      <c r="Y596"/>
      <c r="Z596"/>
      <c r="AA596"/>
      <c r="AB596" t="s">
        <v>9851</v>
      </c>
      <c r="AC596" t="n">
        <v>44</v>
      </c>
      <c r="AD596" t="s">
        <v>9852</v>
      </c>
      <c r="AE596" t="n">
        <v>143</v>
      </c>
      <c r="AF596" t="s">
        <v>2940</v>
      </c>
      <c r="AG596" t="n">
        <v>145</v>
      </c>
    </row>
    <row r="597">
      <c r="A597" t="s">
        <v>9853</v>
      </c>
      <c r="B597" t="s">
        <v>26</v>
      </c>
      <c r="C597" t="s">
        <v>24</v>
      </c>
      <c r="D597" t="s">
        <v>9854</v>
      </c>
      <c r="E597" t="s">
        <v>2729</v>
      </c>
      <c r="F597" t="s">
        <v>2724</v>
      </c>
      <c r="G597" t="s">
        <v>2952</v>
      </c>
      <c r="H597" t="n">
        <v>39.727349</v>
      </c>
      <c r="I597" t="n">
        <v>-105.053254</v>
      </c>
      <c r="J597" t="s">
        <v>4109</v>
      </c>
      <c r="K597" t="s">
        <v>81</v>
      </c>
      <c r="L597"/>
      <c r="M597" t="n">
        <v>1977</v>
      </c>
      <c r="N597" t="n">
        <v>1977</v>
      </c>
      <c r="O597" t="s">
        <v>228</v>
      </c>
      <c r="P597" t="n">
        <v>1</v>
      </c>
      <c r="Q597" t="n">
        <v>1</v>
      </c>
      <c r="R597" t="n">
        <v>1</v>
      </c>
      <c r="S597" t="n">
        <v>1974</v>
      </c>
      <c r="T597" t="s">
        <v>9855</v>
      </c>
      <c r="U597" t="s">
        <v>9856</v>
      </c>
      <c r="V597" t="s">
        <v>74</v>
      </c>
      <c r="W597" t="s">
        <v>9857</v>
      </c>
      <c r="X597"/>
      <c r="Y597" t="s">
        <v>9858</v>
      </c>
      <c r="Z597"/>
      <c r="AA597" t="s">
        <v>9859</v>
      </c>
      <c r="AB597" t="s">
        <v>9860</v>
      </c>
      <c r="AC597" t="n">
        <v>20</v>
      </c>
      <c r="AD597"/>
      <c r="AE597"/>
      <c r="AF597" t="s">
        <v>9861</v>
      </c>
      <c r="AG597" t="n">
        <v>109</v>
      </c>
    </row>
    <row r="598">
      <c r="A598" t="s">
        <v>9862</v>
      </c>
      <c r="B598" t="s">
        <v>26</v>
      </c>
      <c r="C598" t="s">
        <v>65</v>
      </c>
      <c r="D598" t="s">
        <v>9863</v>
      </c>
      <c r="E598" t="s">
        <v>2723</v>
      </c>
      <c r="F598" t="s">
        <v>2724</v>
      </c>
      <c r="G598" t="s">
        <v>2778</v>
      </c>
      <c r="H598" t="n">
        <v>39.7218976901961</v>
      </c>
      <c r="I598" t="n">
        <v>-105.181802282353</v>
      </c>
      <c r="J598" t="s">
        <v>35</v>
      </c>
      <c r="K598" t="s">
        <v>396</v>
      </c>
      <c r="L598"/>
      <c r="M598" t="n">
        <v>1977</v>
      </c>
      <c r="N598" t="n">
        <v>1990</v>
      </c>
      <c r="O598" t="s">
        <v>255</v>
      </c>
      <c r="P598" t="n">
        <v>4</v>
      </c>
      <c r="Q598" t="n">
        <v>5</v>
      </c>
      <c r="R598" t="n">
        <v>2</v>
      </c>
      <c r="S598" t="n">
        <v>1974</v>
      </c>
      <c r="T598" t="s">
        <v>9864</v>
      </c>
      <c r="U598" t="s">
        <v>9865</v>
      </c>
      <c r="V598" t="s">
        <v>74</v>
      </c>
      <c r="W598" t="s">
        <v>9866</v>
      </c>
      <c r="X598"/>
      <c r="Y598"/>
      <c r="Z598"/>
      <c r="AA598"/>
      <c r="AB598" t="s">
        <v>9867</v>
      </c>
      <c r="AC598" t="n">
        <v>86</v>
      </c>
      <c r="AD598"/>
      <c r="AE598"/>
      <c r="AF598" t="s">
        <v>9868</v>
      </c>
      <c r="AG598" t="n">
        <v>108</v>
      </c>
    </row>
    <row r="599">
      <c r="A599" t="s">
        <v>9869</v>
      </c>
      <c r="B599" t="s">
        <v>26</v>
      </c>
      <c r="C599" t="s">
        <v>65</v>
      </c>
      <c r="D599" t="s">
        <v>9870</v>
      </c>
      <c r="E599" t="s">
        <v>2748</v>
      </c>
      <c r="F599" t="s">
        <v>2724</v>
      </c>
      <c r="G599" t="s">
        <v>2924</v>
      </c>
      <c r="H599" t="n">
        <v>39.7122261792201</v>
      </c>
      <c r="I599" t="n">
        <v>-105.143293501964</v>
      </c>
      <c r="J599" t="s">
        <v>35</v>
      </c>
      <c r="K599" t="s">
        <v>141</v>
      </c>
      <c r="L599"/>
      <c r="M599" t="n">
        <v>1980</v>
      </c>
      <c r="N599" t="n">
        <v>1990</v>
      </c>
      <c r="O599" t="s">
        <v>1668</v>
      </c>
      <c r="P599" t="n">
        <v>4</v>
      </c>
      <c r="Q599" t="n">
        <v>5</v>
      </c>
      <c r="R599" t="n">
        <v>3</v>
      </c>
      <c r="S599" t="n">
        <v>1974</v>
      </c>
      <c r="T599" t="s">
        <v>9871</v>
      </c>
      <c r="U599" t="s">
        <v>9872</v>
      </c>
      <c r="V599" t="s">
        <v>74</v>
      </c>
      <c r="W599" t="s">
        <v>9873</v>
      </c>
      <c r="X599"/>
      <c r="Y599" t="s">
        <v>9874</v>
      </c>
      <c r="Z599"/>
      <c r="AA599" t="s">
        <v>9875</v>
      </c>
      <c r="AB599" t="s">
        <v>2927</v>
      </c>
      <c r="AC599" t="n">
        <v>71</v>
      </c>
      <c r="AD599"/>
      <c r="AE599"/>
      <c r="AF599" t="s">
        <v>2928</v>
      </c>
      <c r="AG599" t="n">
        <v>30</v>
      </c>
    </row>
    <row r="600">
      <c r="A600" t="s">
        <v>9876</v>
      </c>
      <c r="B600" t="s">
        <v>26</v>
      </c>
      <c r="C600" t="s">
        <v>65</v>
      </c>
      <c r="D600" t="s">
        <v>9877</v>
      </c>
      <c r="E600" t="s">
        <v>2723</v>
      </c>
      <c r="F600" t="s">
        <v>2724</v>
      </c>
      <c r="G600" t="s">
        <v>2778</v>
      </c>
      <c r="H600" t="n">
        <v>39.7638296104982</v>
      </c>
      <c r="I600" t="n">
        <v>-105.20087570561</v>
      </c>
      <c r="J600" t="s">
        <v>35</v>
      </c>
      <c r="K600" t="s">
        <v>70</v>
      </c>
      <c r="L600"/>
      <c r="M600" t="n">
        <v>1980</v>
      </c>
      <c r="N600" t="n">
        <v>1990</v>
      </c>
      <c r="O600" t="s">
        <v>528</v>
      </c>
      <c r="P600" t="n">
        <v>3</v>
      </c>
      <c r="Q600" t="n">
        <v>2</v>
      </c>
      <c r="R600" t="n">
        <v>2</v>
      </c>
      <c r="S600" t="n">
        <v>1969</v>
      </c>
      <c r="T600" t="s">
        <v>9878</v>
      </c>
      <c r="U600" t="s">
        <v>9879</v>
      </c>
      <c r="V600" t="s">
        <v>74</v>
      </c>
      <c r="W600" t="s">
        <v>9880</v>
      </c>
      <c r="X600" t="s">
        <v>9881</v>
      </c>
      <c r="Y600" t="s">
        <v>9882</v>
      </c>
      <c r="Z600"/>
      <c r="AA600" t="s">
        <v>9883</v>
      </c>
      <c r="AB600" t="s">
        <v>9884</v>
      </c>
      <c r="AC600" t="n">
        <v>140</v>
      </c>
      <c r="AD600" t="s">
        <v>9885</v>
      </c>
      <c r="AE600" t="n">
        <v>140</v>
      </c>
      <c r="AF600"/>
      <c r="AG600"/>
    </row>
    <row r="601">
      <c r="A601" t="s">
        <v>9886</v>
      </c>
      <c r="B601" t="s">
        <v>26</v>
      </c>
      <c r="C601" t="s">
        <v>24</v>
      </c>
      <c r="D601" t="s">
        <v>9887</v>
      </c>
      <c r="E601" t="s">
        <v>2723</v>
      </c>
      <c r="F601" t="s">
        <v>2724</v>
      </c>
      <c r="G601" t="s">
        <v>2778</v>
      </c>
      <c r="H601" t="n">
        <v>39.725426</v>
      </c>
      <c r="I601" t="n">
        <v>-105.178919</v>
      </c>
      <c r="J601" t="s">
        <v>4109</v>
      </c>
      <c r="K601" t="s">
        <v>270</v>
      </c>
      <c r="L601"/>
      <c r="M601" t="n">
        <v>1980</v>
      </c>
      <c r="N601" t="n">
        <v>1992</v>
      </c>
      <c r="O601" t="s">
        <v>310</v>
      </c>
      <c r="P601" t="n">
        <v>5</v>
      </c>
      <c r="Q601" t="n">
        <v>8</v>
      </c>
      <c r="R601" t="n">
        <v>2</v>
      </c>
      <c r="S601" t="n">
        <v>1974</v>
      </c>
      <c r="T601" t="s">
        <v>9888</v>
      </c>
      <c r="U601" t="s">
        <v>9889</v>
      </c>
      <c r="V601" t="s">
        <v>74</v>
      </c>
      <c r="W601" t="s">
        <v>9890</v>
      </c>
      <c r="X601"/>
      <c r="Y601" t="s">
        <v>9891</v>
      </c>
      <c r="Z601"/>
      <c r="AA601" t="s">
        <v>9892</v>
      </c>
      <c r="AB601" t="s">
        <v>9893</v>
      </c>
      <c r="AC601" t="n">
        <v>201</v>
      </c>
      <c r="AD601"/>
      <c r="AE601"/>
      <c r="AF601" t="s">
        <v>9894</v>
      </c>
      <c r="AG601" t="n">
        <v>93</v>
      </c>
    </row>
    <row r="602">
      <c r="A602" t="s">
        <v>9895</v>
      </c>
      <c r="B602" t="s">
        <v>26</v>
      </c>
      <c r="C602" t="s">
        <v>65</v>
      </c>
      <c r="D602" t="s">
        <v>9896</v>
      </c>
      <c r="E602" t="s">
        <v>2748</v>
      </c>
      <c r="F602" t="s">
        <v>2724</v>
      </c>
      <c r="G602" t="s">
        <v>2749</v>
      </c>
      <c r="H602" t="n">
        <v>39.736551</v>
      </c>
      <c r="I602" t="n">
        <v>-105.126741</v>
      </c>
      <c r="J602" t="s">
        <v>35</v>
      </c>
      <c r="K602" t="s">
        <v>70</v>
      </c>
      <c r="L602"/>
      <c r="M602" t="n">
        <v>1980</v>
      </c>
      <c r="N602" t="n">
        <v>1992</v>
      </c>
      <c r="O602" t="s">
        <v>540</v>
      </c>
      <c r="P602" t="n">
        <v>5</v>
      </c>
      <c r="Q602" t="n">
        <v>1</v>
      </c>
      <c r="R602" t="n">
        <v>1</v>
      </c>
      <c r="S602" t="n">
        <v>1962</v>
      </c>
      <c r="T602" t="s">
        <v>9897</v>
      </c>
      <c r="U602" t="s">
        <v>9898</v>
      </c>
      <c r="V602" t="s">
        <v>74</v>
      </c>
      <c r="W602" t="s">
        <v>9899</v>
      </c>
      <c r="X602" t="s">
        <v>9900</v>
      </c>
      <c r="Y602" t="s">
        <v>9901</v>
      </c>
      <c r="Z602"/>
      <c r="AA602"/>
      <c r="AB602" t="s">
        <v>9902</v>
      </c>
      <c r="AC602" t="n">
        <v>119</v>
      </c>
      <c r="AD602" t="s">
        <v>9730</v>
      </c>
      <c r="AE602" t="n">
        <v>43</v>
      </c>
      <c r="AF602" t="s">
        <v>9903</v>
      </c>
      <c r="AG602" t="n">
        <v>31</v>
      </c>
    </row>
    <row r="603">
      <c r="A603" t="s">
        <v>9904</v>
      </c>
      <c r="B603" t="s">
        <v>26</v>
      </c>
      <c r="C603" t="s">
        <v>24</v>
      </c>
      <c r="D603" t="s">
        <v>9905</v>
      </c>
      <c r="E603" t="s">
        <v>2748</v>
      </c>
      <c r="F603" t="s">
        <v>2724</v>
      </c>
      <c r="G603" t="s">
        <v>2763</v>
      </c>
      <c r="H603" t="n">
        <v>39.7178094490032</v>
      </c>
      <c r="I603" t="n">
        <v>-105.053276596495</v>
      </c>
      <c r="J603" t="s">
        <v>4109</v>
      </c>
      <c r="K603" t="s">
        <v>89</v>
      </c>
      <c r="L603"/>
      <c r="M603" t="n">
        <v>1980</v>
      </c>
      <c r="N603" t="n">
        <v>1980</v>
      </c>
      <c r="O603" t="s">
        <v>255</v>
      </c>
      <c r="P603" t="n">
        <v>1</v>
      </c>
      <c r="Q603" t="n">
        <v>1</v>
      </c>
      <c r="R603" t="n">
        <v>1</v>
      </c>
      <c r="S603" t="n">
        <v>1970</v>
      </c>
      <c r="T603" t="s">
        <v>9906</v>
      </c>
      <c r="U603" t="s">
        <v>9907</v>
      </c>
      <c r="V603" t="s">
        <v>74</v>
      </c>
      <c r="W603" t="s">
        <v>9908</v>
      </c>
      <c r="X603"/>
      <c r="Y603" t="s">
        <v>9909</v>
      </c>
      <c r="Z603"/>
      <c r="AA603" t="s">
        <v>9910</v>
      </c>
      <c r="AB603" t="s">
        <v>9911</v>
      </c>
      <c r="AC603" t="n">
        <v>156</v>
      </c>
      <c r="AD603"/>
      <c r="AE603"/>
      <c r="AF603" t="s">
        <v>9912</v>
      </c>
      <c r="AG603" t="n">
        <v>171</v>
      </c>
    </row>
    <row r="604">
      <c r="A604" t="s">
        <v>9913</v>
      </c>
      <c r="B604" t="s">
        <v>26</v>
      </c>
      <c r="C604" t="s">
        <v>65</v>
      </c>
      <c r="D604" t="s">
        <v>9914</v>
      </c>
      <c r="E604" t="s">
        <v>2729</v>
      </c>
      <c r="F604" t="s">
        <v>2724</v>
      </c>
      <c r="G604" t="s">
        <v>2730</v>
      </c>
      <c r="H604" t="n">
        <v>39.799788</v>
      </c>
      <c r="I604" t="n">
        <v>-105.053102</v>
      </c>
      <c r="J604" t="s">
        <v>35</v>
      </c>
      <c r="K604" t="s">
        <v>133</v>
      </c>
      <c r="L604"/>
      <c r="M604" t="n">
        <v>1983</v>
      </c>
      <c r="N604" t="n">
        <v>1983</v>
      </c>
      <c r="O604" t="s">
        <v>264</v>
      </c>
      <c r="P604" t="n">
        <v>1</v>
      </c>
      <c r="Q604" t="n">
        <v>1</v>
      </c>
      <c r="R604" t="n">
        <v>1</v>
      </c>
      <c r="S604" t="n">
        <v>1971</v>
      </c>
      <c r="T604" t="s">
        <v>9915</v>
      </c>
      <c r="U604" t="s">
        <v>9916</v>
      </c>
      <c r="V604" t="s">
        <v>74</v>
      </c>
      <c r="W604" t="s">
        <v>9917</v>
      </c>
      <c r="X604" t="s">
        <v>9918</v>
      </c>
      <c r="Y604" t="s">
        <v>9919</v>
      </c>
      <c r="Z604"/>
      <c r="AA604"/>
      <c r="AB604" t="s">
        <v>9920</v>
      </c>
      <c r="AC604" t="n">
        <v>39</v>
      </c>
      <c r="AD604" t="s">
        <v>9921</v>
      </c>
      <c r="AE604" t="n">
        <v>94</v>
      </c>
      <c r="AF604" t="s">
        <v>9922</v>
      </c>
      <c r="AG604" t="n">
        <v>32</v>
      </c>
    </row>
    <row r="605">
      <c r="A605" t="s">
        <v>9923</v>
      </c>
      <c r="B605" t="s">
        <v>26</v>
      </c>
      <c r="C605" t="s">
        <v>24</v>
      </c>
      <c r="D605" t="s">
        <v>9924</v>
      </c>
      <c r="E605" t="s">
        <v>2748</v>
      </c>
      <c r="F605" t="s">
        <v>2724</v>
      </c>
      <c r="G605" t="s">
        <v>2924</v>
      </c>
      <c r="H605" t="n">
        <v>39.7122170931599</v>
      </c>
      <c r="I605" t="n">
        <v>-105.140192415287</v>
      </c>
      <c r="J605" t="s">
        <v>4109</v>
      </c>
      <c r="K605" t="s">
        <v>120</v>
      </c>
      <c r="L605"/>
      <c r="M605" t="n">
        <v>1983</v>
      </c>
      <c r="N605" t="n">
        <v>1983</v>
      </c>
      <c r="O605" t="s">
        <v>264</v>
      </c>
      <c r="P605" t="n">
        <v>1</v>
      </c>
      <c r="Q605" t="n">
        <v>1</v>
      </c>
      <c r="R605" t="n">
        <v>1</v>
      </c>
      <c r="S605" t="n">
        <v>1981</v>
      </c>
      <c r="T605" t="s">
        <v>9925</v>
      </c>
      <c r="U605" t="s">
        <v>9926</v>
      </c>
      <c r="V605" t="s">
        <v>74</v>
      </c>
      <c r="W605" t="s">
        <v>9927</v>
      </c>
      <c r="X605"/>
      <c r="Y605" t="s">
        <v>9928</v>
      </c>
      <c r="Z605"/>
      <c r="AA605" t="s">
        <v>9929</v>
      </c>
      <c r="AB605" t="s">
        <v>2927</v>
      </c>
      <c r="AC605" t="n">
        <v>194</v>
      </c>
      <c r="AD605"/>
      <c r="AE605"/>
      <c r="AF605" t="s">
        <v>9930</v>
      </c>
      <c r="AG605" t="n">
        <v>34</v>
      </c>
    </row>
    <row r="606">
      <c r="A606" t="s">
        <v>9931</v>
      </c>
      <c r="B606" t="s">
        <v>26</v>
      </c>
      <c r="C606" t="s">
        <v>65</v>
      </c>
      <c r="D606" t="s">
        <v>9932</v>
      </c>
      <c r="E606" t="s">
        <v>2769</v>
      </c>
      <c r="F606" t="s">
        <v>2724</v>
      </c>
      <c r="G606" t="s">
        <v>2770</v>
      </c>
      <c r="H606" t="n">
        <v>39.7766177755102</v>
      </c>
      <c r="I606" t="n">
        <v>-105.067599673469</v>
      </c>
      <c r="J606" t="s">
        <v>35</v>
      </c>
      <c r="K606" t="s">
        <v>133</v>
      </c>
      <c r="L606"/>
      <c r="M606" t="n">
        <v>1983</v>
      </c>
      <c r="N606" t="n">
        <v>1983</v>
      </c>
      <c r="O606" t="s">
        <v>264</v>
      </c>
      <c r="P606" t="n">
        <v>1</v>
      </c>
      <c r="Q606" t="n">
        <v>1</v>
      </c>
      <c r="R606" t="n">
        <v>1</v>
      </c>
      <c r="S606" t="n">
        <v>1968</v>
      </c>
      <c r="T606" t="s">
        <v>9933</v>
      </c>
      <c r="U606" t="s">
        <v>9934</v>
      </c>
      <c r="V606" t="s">
        <v>74</v>
      </c>
      <c r="W606" t="s">
        <v>9935</v>
      </c>
      <c r="X606"/>
      <c r="Y606"/>
      <c r="Z606"/>
      <c r="AA606" t="s">
        <v>9936</v>
      </c>
      <c r="AB606" t="s">
        <v>9937</v>
      </c>
      <c r="AC606" t="n">
        <v>33</v>
      </c>
      <c r="AD606"/>
      <c r="AE606"/>
      <c r="AF606" t="s">
        <v>9938</v>
      </c>
      <c r="AG606" t="n">
        <v>210</v>
      </c>
    </row>
    <row r="607">
      <c r="A607" t="s">
        <v>9939</v>
      </c>
      <c r="B607" t="s">
        <v>26</v>
      </c>
      <c r="C607" t="s">
        <v>65</v>
      </c>
      <c r="D607" t="s">
        <v>9940</v>
      </c>
      <c r="E607" t="s">
        <v>2769</v>
      </c>
      <c r="F607" t="s">
        <v>2724</v>
      </c>
      <c r="G607" t="s">
        <v>2770</v>
      </c>
      <c r="H607" t="n">
        <v>39.7868432077152</v>
      </c>
      <c r="I607" t="n">
        <v>-105.106215490843</v>
      </c>
      <c r="J607" t="s">
        <v>35</v>
      </c>
      <c r="K607" t="s">
        <v>120</v>
      </c>
      <c r="L607"/>
      <c r="M607" t="n">
        <v>1983</v>
      </c>
      <c r="N607" t="n">
        <v>1990</v>
      </c>
      <c r="O607" t="s">
        <v>264</v>
      </c>
      <c r="P607" t="n">
        <v>3</v>
      </c>
      <c r="Q607" t="n">
        <v>2</v>
      </c>
      <c r="R607" t="n">
        <v>1</v>
      </c>
      <c r="S607" t="n">
        <v>1973</v>
      </c>
      <c r="T607" t="s">
        <v>9941</v>
      </c>
      <c r="U607" t="s">
        <v>9942</v>
      </c>
      <c r="V607" t="s">
        <v>74</v>
      </c>
      <c r="W607" t="s">
        <v>9943</v>
      </c>
      <c r="X607"/>
      <c r="Y607" t="s">
        <v>9944</v>
      </c>
      <c r="Z607"/>
      <c r="AA607"/>
      <c r="AB607" t="s">
        <v>3077</v>
      </c>
      <c r="AC607" t="n">
        <v>55</v>
      </c>
      <c r="AD607"/>
      <c r="AE607"/>
      <c r="AF607" t="s">
        <v>9945</v>
      </c>
      <c r="AG607" t="n">
        <v>5</v>
      </c>
    </row>
    <row r="608">
      <c r="A608" t="s">
        <v>9946</v>
      </c>
      <c r="B608" t="s">
        <v>26</v>
      </c>
      <c r="C608" t="s">
        <v>24</v>
      </c>
      <c r="D608" t="s">
        <v>9947</v>
      </c>
      <c r="E608" t="s">
        <v>2748</v>
      </c>
      <c r="F608" t="s">
        <v>2724</v>
      </c>
      <c r="G608" t="s">
        <v>2763</v>
      </c>
      <c r="H608" t="n">
        <v>39.755284</v>
      </c>
      <c r="I608" t="n">
        <v>-104.97385</v>
      </c>
      <c r="J608" t="s">
        <v>4109</v>
      </c>
      <c r="K608" t="s">
        <v>70</v>
      </c>
      <c r="L608"/>
      <c r="M608" t="n">
        <v>1983</v>
      </c>
      <c r="N608" t="n">
        <v>1983</v>
      </c>
      <c r="O608" t="s">
        <v>264</v>
      </c>
      <c r="P608" t="n">
        <v>1</v>
      </c>
      <c r="Q608" t="n">
        <v>1</v>
      </c>
      <c r="R608" t="n">
        <v>1</v>
      </c>
      <c r="S608" t="n">
        <v>1977</v>
      </c>
      <c r="T608" t="s">
        <v>9948</v>
      </c>
      <c r="U608" t="s">
        <v>9949</v>
      </c>
      <c r="V608" t="s">
        <v>74</v>
      </c>
      <c r="W608" t="s">
        <v>9950</v>
      </c>
      <c r="X608"/>
      <c r="Y608" t="s">
        <v>9951</v>
      </c>
      <c r="Z608"/>
      <c r="AA608" t="s">
        <v>9952</v>
      </c>
      <c r="AB608" t="s">
        <v>9953</v>
      </c>
      <c r="AC608" t="n">
        <v>241</v>
      </c>
      <c r="AD608"/>
      <c r="AE608"/>
      <c r="AF608" t="s">
        <v>9954</v>
      </c>
      <c r="AG608" t="n">
        <v>62</v>
      </c>
    </row>
    <row r="609">
      <c r="A609" t="s">
        <v>9955</v>
      </c>
      <c r="B609" t="s">
        <v>26</v>
      </c>
      <c r="C609" t="s">
        <v>24</v>
      </c>
      <c r="D609" t="s">
        <v>9956</v>
      </c>
      <c r="E609" t="s">
        <v>2729</v>
      </c>
      <c r="F609" t="s">
        <v>2724</v>
      </c>
      <c r="G609" t="s">
        <v>2952</v>
      </c>
      <c r="H609" t="n">
        <v>39.791063</v>
      </c>
      <c r="I609" t="n">
        <v>-105.053246</v>
      </c>
      <c r="J609" t="s">
        <v>4109</v>
      </c>
      <c r="K609" t="s">
        <v>527</v>
      </c>
      <c r="L609"/>
      <c r="M609" t="n">
        <v>1988</v>
      </c>
      <c r="N609" t="n">
        <v>1988</v>
      </c>
      <c r="O609" t="s">
        <v>325</v>
      </c>
      <c r="P609" t="n">
        <v>1</v>
      </c>
      <c r="Q609" t="n">
        <v>1</v>
      </c>
      <c r="R609" t="n">
        <v>1</v>
      </c>
      <c r="S609"/>
      <c r="T609" t="s">
        <v>9957</v>
      </c>
      <c r="U609" t="s">
        <v>9958</v>
      </c>
      <c r="V609" t="s">
        <v>74</v>
      </c>
      <c r="W609" t="s">
        <v>9959</v>
      </c>
      <c r="X609"/>
      <c r="Y609" t="s">
        <v>9960</v>
      </c>
      <c r="Z609"/>
      <c r="AA609" t="s">
        <v>9961</v>
      </c>
      <c r="AB609" t="s">
        <v>9962</v>
      </c>
      <c r="AC609" t="n">
        <v>2</v>
      </c>
      <c r="AD609"/>
      <c r="AE609"/>
      <c r="AF609" t="s">
        <v>9963</v>
      </c>
      <c r="AG609" t="n">
        <v>2</v>
      </c>
    </row>
    <row r="610">
      <c r="A610" t="s">
        <v>9964</v>
      </c>
      <c r="B610" t="s">
        <v>26</v>
      </c>
      <c r="C610" t="s">
        <v>24</v>
      </c>
      <c r="D610" t="s">
        <v>9965</v>
      </c>
      <c r="E610" t="s">
        <v>2729</v>
      </c>
      <c r="F610" t="s">
        <v>2724</v>
      </c>
      <c r="G610" t="s">
        <v>2730</v>
      </c>
      <c r="H610" t="n">
        <v>39.7388205510204</v>
      </c>
      <c r="I610" t="n">
        <v>-105.069605857143</v>
      </c>
      <c r="J610" t="s">
        <v>4109</v>
      </c>
      <c r="K610" t="s">
        <v>70</v>
      </c>
      <c r="L610" t="s">
        <v>1337</v>
      </c>
      <c r="M610" t="n">
        <v>1988</v>
      </c>
      <c r="N610" t="n">
        <v>1988</v>
      </c>
      <c r="O610" t="s">
        <v>325</v>
      </c>
      <c r="P610" t="n">
        <v>1</v>
      </c>
      <c r="Q610" t="n">
        <v>1</v>
      </c>
      <c r="R610" t="n">
        <v>1</v>
      </c>
      <c r="S610"/>
      <c r="T610" t="s">
        <v>9966</v>
      </c>
      <c r="U610" t="s">
        <v>9967</v>
      </c>
      <c r="V610" t="s">
        <v>74</v>
      </c>
      <c r="W610" t="s">
        <v>9968</v>
      </c>
      <c r="X610"/>
      <c r="Y610" t="s">
        <v>9969</v>
      </c>
      <c r="Z610"/>
      <c r="AA610" t="s">
        <v>9970</v>
      </c>
      <c r="AB610" t="s">
        <v>2939</v>
      </c>
      <c r="AC610" t="n">
        <v>179</v>
      </c>
      <c r="AD610"/>
      <c r="AE610"/>
      <c r="AF610" t="s">
        <v>9971</v>
      </c>
      <c r="AG610" t="n">
        <v>181</v>
      </c>
    </row>
    <row r="611">
      <c r="A611" t="s">
        <v>9972</v>
      </c>
      <c r="B611" t="s">
        <v>26</v>
      </c>
      <c r="C611" t="s">
        <v>65</v>
      </c>
      <c r="D611" t="s">
        <v>9973</v>
      </c>
      <c r="E611" t="s">
        <v>2723</v>
      </c>
      <c r="F611" t="s">
        <v>2724</v>
      </c>
      <c r="G611" t="s">
        <v>2778</v>
      </c>
      <c r="H611" t="n">
        <v>39.7544669387755</v>
      </c>
      <c r="I611" t="n">
        <v>-105.22045744898</v>
      </c>
      <c r="J611" t="s">
        <v>35</v>
      </c>
      <c r="K611" t="s">
        <v>89</v>
      </c>
      <c r="L611"/>
      <c r="M611" t="n">
        <v>1988</v>
      </c>
      <c r="N611" t="n">
        <v>1990</v>
      </c>
      <c r="O611" t="s">
        <v>310</v>
      </c>
      <c r="P611" t="n">
        <v>2</v>
      </c>
      <c r="Q611" t="n">
        <v>1</v>
      </c>
      <c r="R611" t="n">
        <v>1</v>
      </c>
      <c r="S611" t="n">
        <v>1878</v>
      </c>
      <c r="T611" t="s">
        <v>9974</v>
      </c>
      <c r="U611" t="s">
        <v>9975</v>
      </c>
      <c r="V611" t="s">
        <v>74</v>
      </c>
      <c r="W611" t="s">
        <v>9976</v>
      </c>
      <c r="X611"/>
      <c r="Y611"/>
      <c r="Z611"/>
      <c r="AA611" t="s">
        <v>9977</v>
      </c>
      <c r="AB611" t="s">
        <v>9978</v>
      </c>
      <c r="AC611" t="n">
        <v>70</v>
      </c>
      <c r="AD611"/>
      <c r="AE611"/>
      <c r="AF611" t="s">
        <v>9979</v>
      </c>
      <c r="AG611" t="n">
        <v>70</v>
      </c>
    </row>
    <row r="612">
      <c r="A612" t="s">
        <v>9980</v>
      </c>
      <c r="B612" t="s">
        <v>26</v>
      </c>
      <c r="C612" t="s">
        <v>24</v>
      </c>
      <c r="D612" t="s">
        <v>9981</v>
      </c>
      <c r="E612" t="s">
        <v>2748</v>
      </c>
      <c r="F612" t="s">
        <v>2724</v>
      </c>
      <c r="G612" t="s">
        <v>2749</v>
      </c>
      <c r="H612" t="n">
        <v>39.736559</v>
      </c>
      <c r="I612" t="n">
        <v>-105.128358</v>
      </c>
      <c r="J612" t="s">
        <v>4109</v>
      </c>
      <c r="K612" t="s">
        <v>120</v>
      </c>
      <c r="L612"/>
      <c r="M612" t="n">
        <v>1988</v>
      </c>
      <c r="N612" t="n">
        <v>1988</v>
      </c>
      <c r="O612" t="s">
        <v>325</v>
      </c>
      <c r="P612" t="n">
        <v>1</v>
      </c>
      <c r="Q612" t="n">
        <v>1</v>
      </c>
      <c r="R612" t="n">
        <v>1</v>
      </c>
      <c r="S612" t="n">
        <v>1986</v>
      </c>
      <c r="T612" t="s">
        <v>9982</v>
      </c>
      <c r="U612" t="s">
        <v>9983</v>
      </c>
      <c r="V612" t="s">
        <v>74</v>
      </c>
      <c r="W612" t="s">
        <v>9984</v>
      </c>
      <c r="X612" t="s">
        <v>9985</v>
      </c>
      <c r="Y612" t="s">
        <v>9986</v>
      </c>
      <c r="Z612"/>
      <c r="AA612" t="s">
        <v>9987</v>
      </c>
      <c r="AB612" t="s">
        <v>9729</v>
      </c>
      <c r="AC612" t="n">
        <v>126</v>
      </c>
      <c r="AD612" t="s">
        <v>9730</v>
      </c>
      <c r="AE612" t="n">
        <v>98</v>
      </c>
      <c r="AF612" t="s">
        <v>9988</v>
      </c>
      <c r="AG612" t="n">
        <v>71</v>
      </c>
    </row>
    <row r="613">
      <c r="A613" t="s">
        <v>9989</v>
      </c>
      <c r="B613" t="s">
        <v>26</v>
      </c>
      <c r="C613" t="s">
        <v>65</v>
      </c>
      <c r="D613" t="s">
        <v>9990</v>
      </c>
      <c r="E613" t="s">
        <v>4743</v>
      </c>
      <c r="F613" t="s">
        <v>2724</v>
      </c>
      <c r="G613" t="s">
        <v>4744</v>
      </c>
      <c r="H613" t="n">
        <v>39.7162212069533</v>
      </c>
      <c r="I613" t="n">
        <v>-105.377672742441</v>
      </c>
      <c r="J613" t="s">
        <v>35</v>
      </c>
      <c r="K613" t="s">
        <v>120</v>
      </c>
      <c r="L613"/>
      <c r="M613" t="n">
        <v>1992</v>
      </c>
      <c r="N613" t="n">
        <v>1992</v>
      </c>
      <c r="O613" t="s">
        <v>1016</v>
      </c>
      <c r="P613" t="n">
        <v>1</v>
      </c>
      <c r="Q613" t="n">
        <v>1</v>
      </c>
      <c r="R613" t="n">
        <v>1</v>
      </c>
      <c r="S613"/>
      <c r="T613" t="s">
        <v>9991</v>
      </c>
      <c r="U613" t="s">
        <v>9992</v>
      </c>
      <c r="V613" t="s">
        <v>74</v>
      </c>
      <c r="W613" t="s">
        <v>6515</v>
      </c>
      <c r="X613"/>
      <c r="Y613"/>
      <c r="Z613"/>
      <c r="AA613"/>
      <c r="AB613"/>
      <c r="AC613"/>
      <c r="AD613"/>
      <c r="AE613"/>
      <c r="AF613"/>
      <c r="AG613"/>
    </row>
    <row r="614">
      <c r="A614" t="s">
        <v>9993</v>
      </c>
      <c r="B614" t="s">
        <v>26</v>
      </c>
      <c r="C614" t="s">
        <v>65</v>
      </c>
      <c r="D614" t="s">
        <v>9994</v>
      </c>
      <c r="E614" t="s">
        <v>2748</v>
      </c>
      <c r="F614" t="s">
        <v>2724</v>
      </c>
      <c r="G614" t="s">
        <v>2749</v>
      </c>
      <c r="H614" t="n">
        <v>39.740217</v>
      </c>
      <c r="I614" t="n">
        <v>-105.083731637584</v>
      </c>
      <c r="J614" t="s">
        <v>35</v>
      </c>
      <c r="K614" t="s">
        <v>120</v>
      </c>
      <c r="L614"/>
      <c r="M614" t="n">
        <v>1992</v>
      </c>
      <c r="N614" t="n">
        <v>1992</v>
      </c>
      <c r="O614" t="s">
        <v>1016</v>
      </c>
      <c r="P614" t="n">
        <v>1</v>
      </c>
      <c r="Q614" t="n">
        <v>1</v>
      </c>
      <c r="R614" t="n">
        <v>1</v>
      </c>
      <c r="S614" t="n">
        <v>1967</v>
      </c>
      <c r="T614" t="s">
        <v>9995</v>
      </c>
      <c r="U614" t="s">
        <v>9996</v>
      </c>
      <c r="V614" t="s">
        <v>74</v>
      </c>
      <c r="W614" t="s">
        <v>9997</v>
      </c>
      <c r="X614"/>
      <c r="Y614" t="s">
        <v>9998</v>
      </c>
      <c r="Z614"/>
      <c r="AA614"/>
      <c r="AB614" t="s">
        <v>9999</v>
      </c>
      <c r="AC614" t="n">
        <v>55</v>
      </c>
      <c r="AD614"/>
      <c r="AE614"/>
      <c r="AF614" t="s">
        <v>10000</v>
      </c>
      <c r="AG614" t="n">
        <v>16</v>
      </c>
    </row>
    <row r="615">
      <c r="A615" t="s">
        <v>10001</v>
      </c>
      <c r="B615" t="s">
        <v>26</v>
      </c>
      <c r="C615" t="s">
        <v>24</v>
      </c>
      <c r="D615" t="s">
        <v>10002</v>
      </c>
      <c r="E615" t="s">
        <v>3135</v>
      </c>
      <c r="F615" t="s">
        <v>3114</v>
      </c>
      <c r="G615"/>
      <c r="H615" t="n">
        <v>37.226072</v>
      </c>
      <c r="I615" t="n">
        <v>-107.604226</v>
      </c>
      <c r="J615" t="s">
        <v>4109</v>
      </c>
      <c r="K615" t="s">
        <v>70</v>
      </c>
      <c r="L615"/>
      <c r="M615" t="n">
        <v>1980</v>
      </c>
      <c r="N615" t="n">
        <v>1983</v>
      </c>
      <c r="O615" t="s">
        <v>264</v>
      </c>
      <c r="P615" t="n">
        <v>2</v>
      </c>
      <c r="Q615" t="n">
        <v>4</v>
      </c>
      <c r="R615" t="n">
        <v>1</v>
      </c>
      <c r="S615" t="n">
        <v>1932</v>
      </c>
      <c r="T615" t="s">
        <v>10003</v>
      </c>
      <c r="U615" t="s">
        <v>10004</v>
      </c>
      <c r="V615" t="s">
        <v>74</v>
      </c>
      <c r="W615" t="s">
        <v>10005</v>
      </c>
      <c r="X615"/>
      <c r="Y615"/>
      <c r="Z615"/>
      <c r="AA615" t="s">
        <v>10006</v>
      </c>
      <c r="AB615" t="s">
        <v>10007</v>
      </c>
      <c r="AC615" t="n">
        <v>105</v>
      </c>
      <c r="AD615"/>
      <c r="AE615"/>
      <c r="AF615"/>
      <c r="AG615"/>
    </row>
    <row r="616">
      <c r="A616" t="s">
        <v>10008</v>
      </c>
      <c r="B616" t="s">
        <v>26</v>
      </c>
      <c r="C616" t="s">
        <v>65</v>
      </c>
      <c r="D616" t="s">
        <v>10009</v>
      </c>
      <c r="E616" t="s">
        <v>3151</v>
      </c>
      <c r="F616" t="s">
        <v>3152</v>
      </c>
      <c r="G616"/>
      <c r="H616" t="n">
        <v>40.402449916191</v>
      </c>
      <c r="I616" t="n">
        <v>-105.109235695687</v>
      </c>
      <c r="J616" t="s">
        <v>35</v>
      </c>
      <c r="K616" t="s">
        <v>89</v>
      </c>
      <c r="L616" t="s">
        <v>202</v>
      </c>
      <c r="M616" t="n">
        <v>1965</v>
      </c>
      <c r="N616" t="n">
        <v>1992</v>
      </c>
      <c r="O616" t="s">
        <v>10010</v>
      </c>
      <c r="P616" t="n">
        <v>10</v>
      </c>
      <c r="Q616" t="n">
        <v>7</v>
      </c>
      <c r="R616" t="n">
        <v>4</v>
      </c>
      <c r="S616" t="n">
        <v>1958</v>
      </c>
      <c r="T616" t="s">
        <v>10011</v>
      </c>
      <c r="U616" t="s">
        <v>10012</v>
      </c>
      <c r="V616" t="s">
        <v>74</v>
      </c>
      <c r="W616" t="s">
        <v>10013</v>
      </c>
      <c r="X616"/>
      <c r="Y616" t="s">
        <v>10014</v>
      </c>
      <c r="Z616"/>
      <c r="AA616"/>
      <c r="AB616" t="s">
        <v>10015</v>
      </c>
      <c r="AC616" t="n">
        <v>51</v>
      </c>
      <c r="AD616"/>
      <c r="AE616"/>
      <c r="AF616" t="s">
        <v>10016</v>
      </c>
      <c r="AG616" t="n">
        <v>84</v>
      </c>
    </row>
    <row r="617">
      <c r="A617" t="s">
        <v>10017</v>
      </c>
      <c r="B617" t="s">
        <v>26</v>
      </c>
      <c r="C617" t="s">
        <v>65</v>
      </c>
      <c r="D617" t="s">
        <v>10018</v>
      </c>
      <c r="E617" t="s">
        <v>3170</v>
      </c>
      <c r="F617" t="s">
        <v>3152</v>
      </c>
      <c r="G617" t="s">
        <v>3171</v>
      </c>
      <c r="H617" t="n">
        <v>40.587013755102</v>
      </c>
      <c r="I617" t="n">
        <v>-105.073305585034</v>
      </c>
      <c r="J617" t="s">
        <v>35</v>
      </c>
      <c r="K617" t="s">
        <v>120</v>
      </c>
      <c r="L617"/>
      <c r="M617" t="n">
        <v>1966</v>
      </c>
      <c r="N617" t="n">
        <v>1990</v>
      </c>
      <c r="O617" t="s">
        <v>416</v>
      </c>
      <c r="P617" t="n">
        <v>6</v>
      </c>
      <c r="Q617" t="n">
        <v>4</v>
      </c>
      <c r="R617" t="n">
        <v>3</v>
      </c>
      <c r="S617" t="n">
        <v>1949</v>
      </c>
      <c r="T617" t="s">
        <v>10019</v>
      </c>
      <c r="U617" t="s">
        <v>10020</v>
      </c>
      <c r="V617" t="s">
        <v>74</v>
      </c>
      <c r="W617" t="s">
        <v>10021</v>
      </c>
      <c r="X617"/>
      <c r="Y617" t="s">
        <v>10022</v>
      </c>
      <c r="Z617"/>
      <c r="AA617" t="s">
        <v>10023</v>
      </c>
      <c r="AB617" t="s">
        <v>10024</v>
      </c>
      <c r="AC617" t="n">
        <v>30</v>
      </c>
      <c r="AD617"/>
      <c r="AE617"/>
      <c r="AF617" t="s">
        <v>10025</v>
      </c>
      <c r="AG617" t="n">
        <v>15</v>
      </c>
    </row>
    <row r="618">
      <c r="A618" t="s">
        <v>10026</v>
      </c>
      <c r="B618" t="s">
        <v>26</v>
      </c>
      <c r="C618" t="s">
        <v>65</v>
      </c>
      <c r="D618" t="s">
        <v>10027</v>
      </c>
      <c r="E618" t="s">
        <v>3170</v>
      </c>
      <c r="F618" t="s">
        <v>3152</v>
      </c>
      <c r="G618" t="s">
        <v>3171</v>
      </c>
      <c r="H618" t="n">
        <v>40.590984</v>
      </c>
      <c r="I618" t="n">
        <v>-105.074283</v>
      </c>
      <c r="J618" t="s">
        <v>35</v>
      </c>
      <c r="K618" t="s">
        <v>120</v>
      </c>
      <c r="L618"/>
      <c r="M618" t="n">
        <v>1967</v>
      </c>
      <c r="N618" t="n">
        <v>1990</v>
      </c>
      <c r="O618" t="s">
        <v>10028</v>
      </c>
      <c r="P618" t="n">
        <v>4</v>
      </c>
      <c r="Q618" t="n">
        <v>3</v>
      </c>
      <c r="R618" t="n">
        <v>2</v>
      </c>
      <c r="S618" t="n">
        <v>1932</v>
      </c>
      <c r="T618" t="s">
        <v>10029</v>
      </c>
      <c r="U618" t="s">
        <v>10030</v>
      </c>
      <c r="V618" t="s">
        <v>74</v>
      </c>
      <c r="W618" t="s">
        <v>10031</v>
      </c>
      <c r="X618"/>
      <c r="Y618"/>
      <c r="Z618"/>
      <c r="AA618" t="s">
        <v>10032</v>
      </c>
      <c r="AB618" t="s">
        <v>10033</v>
      </c>
      <c r="AC618" t="n">
        <v>39</v>
      </c>
      <c r="AD618" t="s">
        <v>10034</v>
      </c>
      <c r="AE618" t="n">
        <v>171</v>
      </c>
      <c r="AF618" t="s">
        <v>10035</v>
      </c>
      <c r="AG618" t="n">
        <v>218</v>
      </c>
    </row>
    <row r="619">
      <c r="A619" t="s">
        <v>10036</v>
      </c>
      <c r="B619" t="s">
        <v>26</v>
      </c>
      <c r="C619" t="s">
        <v>25</v>
      </c>
      <c r="D619" t="s">
        <v>10037</v>
      </c>
      <c r="E619" t="s">
        <v>3170</v>
      </c>
      <c r="F619" t="s">
        <v>3152</v>
      </c>
      <c r="G619" t="s">
        <v>3171</v>
      </c>
      <c r="H619" t="n">
        <v>40.580109</v>
      </c>
      <c r="I619" t="n">
        <v>-105.078986</v>
      </c>
      <c r="J619" t="s">
        <v>4109</v>
      </c>
      <c r="K619" t="s">
        <v>133</v>
      </c>
      <c r="L619"/>
      <c r="M619" t="n">
        <v>1967</v>
      </c>
      <c r="N619" t="n">
        <v>1974</v>
      </c>
      <c r="O619" t="s">
        <v>210</v>
      </c>
      <c r="P619" t="n">
        <v>2</v>
      </c>
      <c r="Q619" t="n">
        <v>2</v>
      </c>
      <c r="R619" t="n">
        <v>1</v>
      </c>
      <c r="S619" t="n">
        <v>1965</v>
      </c>
      <c r="T619" t="s">
        <v>10038</v>
      </c>
      <c r="U619" t="s">
        <v>10039</v>
      </c>
      <c r="V619" t="s">
        <v>4175</v>
      </c>
      <c r="W619" t="s">
        <v>10040</v>
      </c>
      <c r="X619"/>
      <c r="Y619" t="s">
        <v>10041</v>
      </c>
      <c r="Z619"/>
      <c r="AA619" t="s">
        <v>10042</v>
      </c>
      <c r="AB619" t="s">
        <v>10043</v>
      </c>
      <c r="AC619" t="n">
        <v>171</v>
      </c>
      <c r="AD619"/>
      <c r="AE619"/>
      <c r="AF619" t="s">
        <v>10044</v>
      </c>
      <c r="AG619" t="n">
        <v>151</v>
      </c>
    </row>
    <row r="620">
      <c r="A620" t="s">
        <v>10045</v>
      </c>
      <c r="B620" t="s">
        <v>26</v>
      </c>
      <c r="C620" t="s">
        <v>24</v>
      </c>
      <c r="D620" t="s">
        <v>10046</v>
      </c>
      <c r="E620" t="s">
        <v>3170</v>
      </c>
      <c r="F620" t="s">
        <v>3152</v>
      </c>
      <c r="G620" t="s">
        <v>3171</v>
      </c>
      <c r="H620" t="n">
        <v>40.574584731874</v>
      </c>
      <c r="I620" t="n">
        <v>-105.052803673318</v>
      </c>
      <c r="J620" t="s">
        <v>4109</v>
      </c>
      <c r="K620" t="s">
        <v>133</v>
      </c>
      <c r="L620"/>
      <c r="M620" t="n">
        <v>1968</v>
      </c>
      <c r="N620" t="n">
        <v>1968</v>
      </c>
      <c r="O620" t="s">
        <v>1349</v>
      </c>
      <c r="P620" t="n">
        <v>1</v>
      </c>
      <c r="Q620" t="n">
        <v>1</v>
      </c>
      <c r="R620" t="n">
        <v>1</v>
      </c>
      <c r="S620" t="n">
        <v>1966</v>
      </c>
      <c r="T620" t="s">
        <v>10047</v>
      </c>
      <c r="U620" t="s">
        <v>10048</v>
      </c>
      <c r="V620" t="s">
        <v>74</v>
      </c>
      <c r="W620" t="s">
        <v>10049</v>
      </c>
      <c r="X620"/>
      <c r="Y620" t="s">
        <v>10050</v>
      </c>
      <c r="Z620" t="s">
        <v>10051</v>
      </c>
      <c r="AA620" t="s">
        <v>10052</v>
      </c>
      <c r="AB620" t="s">
        <v>10053</v>
      </c>
      <c r="AC620" t="n">
        <v>228</v>
      </c>
      <c r="AD620"/>
      <c r="AE620"/>
      <c r="AF620" t="s">
        <v>10054</v>
      </c>
      <c r="AG620" t="n">
        <v>173</v>
      </c>
    </row>
    <row r="621">
      <c r="A621" t="s">
        <v>10055</v>
      </c>
      <c r="B621" t="s">
        <v>26</v>
      </c>
      <c r="C621" t="s">
        <v>65</v>
      </c>
      <c r="D621" t="s">
        <v>10056</v>
      </c>
      <c r="E621" t="s">
        <v>3151</v>
      </c>
      <c r="F621" t="s">
        <v>3152</v>
      </c>
      <c r="G621" t="s">
        <v>3163</v>
      </c>
      <c r="H621" t="n">
        <v>40.4018844107447</v>
      </c>
      <c r="I621" t="n">
        <v>-105.107764954771</v>
      </c>
      <c r="J621" t="s">
        <v>35</v>
      </c>
      <c r="K621" t="s">
        <v>2274</v>
      </c>
      <c r="L621"/>
      <c r="M621" t="n">
        <v>1970</v>
      </c>
      <c r="N621" t="n">
        <v>1990</v>
      </c>
      <c r="O621" t="s">
        <v>10057</v>
      </c>
      <c r="P621" t="n">
        <v>4</v>
      </c>
      <c r="Q621" t="n">
        <v>2</v>
      </c>
      <c r="R621" t="n">
        <v>2</v>
      </c>
      <c r="S621" t="n">
        <v>1969</v>
      </c>
      <c r="T621" t="s">
        <v>10058</v>
      </c>
      <c r="U621" t="s">
        <v>10059</v>
      </c>
      <c r="V621" t="s">
        <v>74</v>
      </c>
      <c r="W621" t="s">
        <v>10060</v>
      </c>
      <c r="X621"/>
      <c r="Y621" t="s">
        <v>10061</v>
      </c>
      <c r="Z621"/>
      <c r="AA621" t="s">
        <v>10062</v>
      </c>
      <c r="AB621" t="s">
        <v>10063</v>
      </c>
      <c r="AC621" t="n">
        <v>73</v>
      </c>
      <c r="AD621"/>
      <c r="AE621"/>
      <c r="AF621" t="s">
        <v>10064</v>
      </c>
      <c r="AG621" t="n">
        <v>23</v>
      </c>
    </row>
    <row r="622">
      <c r="A622" t="s">
        <v>10065</v>
      </c>
      <c r="B622" t="s">
        <v>26</v>
      </c>
      <c r="C622" t="s">
        <v>65</v>
      </c>
      <c r="D622" t="s">
        <v>10066</v>
      </c>
      <c r="E622" t="s">
        <v>3170</v>
      </c>
      <c r="F622" t="s">
        <v>3152</v>
      </c>
      <c r="G622" t="s">
        <v>3232</v>
      </c>
      <c r="H622" t="n">
        <v>40.5887660675676</v>
      </c>
      <c r="I622" t="n">
        <v>-105.060839195946</v>
      </c>
      <c r="J622" t="s">
        <v>35</v>
      </c>
      <c r="K622" t="s">
        <v>133</v>
      </c>
      <c r="L622"/>
      <c r="M622" t="n">
        <v>1973</v>
      </c>
      <c r="N622" t="n">
        <v>1983</v>
      </c>
      <c r="O622" t="s">
        <v>528</v>
      </c>
      <c r="P622" t="n">
        <v>3</v>
      </c>
      <c r="Q622" t="n">
        <v>2</v>
      </c>
      <c r="R622" t="n">
        <v>1</v>
      </c>
      <c r="S622" t="n">
        <v>1954</v>
      </c>
      <c r="T622" t="s">
        <v>10067</v>
      </c>
      <c r="U622" t="s">
        <v>10068</v>
      </c>
      <c r="V622" t="s">
        <v>74</v>
      </c>
      <c r="W622" t="s">
        <v>10069</v>
      </c>
      <c r="X622"/>
      <c r="Y622"/>
      <c r="Z622"/>
      <c r="AA622" t="s">
        <v>10070</v>
      </c>
      <c r="AB622" t="s">
        <v>10071</v>
      </c>
      <c r="AC622" t="n">
        <v>68</v>
      </c>
      <c r="AD622"/>
      <c r="AE622"/>
      <c r="AF622" t="s">
        <v>10072</v>
      </c>
      <c r="AG622" t="n">
        <v>49</v>
      </c>
    </row>
    <row r="623">
      <c r="A623" t="s">
        <v>10073</v>
      </c>
      <c r="B623" t="s">
        <v>26</v>
      </c>
      <c r="C623" t="s">
        <v>65</v>
      </c>
      <c r="D623" t="s">
        <v>10074</v>
      </c>
      <c r="E623" t="s">
        <v>3151</v>
      </c>
      <c r="F623" t="s">
        <v>3152</v>
      </c>
      <c r="G623" t="s">
        <v>3163</v>
      </c>
      <c r="H623" t="n">
        <v>40.3955764460641</v>
      </c>
      <c r="I623" t="n">
        <v>-105.073151037901</v>
      </c>
      <c r="J623" t="s">
        <v>35</v>
      </c>
      <c r="K623" t="s">
        <v>133</v>
      </c>
      <c r="L623"/>
      <c r="M623" t="n">
        <v>1974</v>
      </c>
      <c r="N623" t="n">
        <v>1990</v>
      </c>
      <c r="O623" t="s">
        <v>1949</v>
      </c>
      <c r="P623" t="n">
        <v>5</v>
      </c>
      <c r="Q623" t="n">
        <v>4</v>
      </c>
      <c r="R623" t="n">
        <v>1</v>
      </c>
      <c r="S623" t="n">
        <v>1965</v>
      </c>
      <c r="T623" t="s">
        <v>10075</v>
      </c>
      <c r="U623" t="s">
        <v>10076</v>
      </c>
      <c r="V623" t="s">
        <v>74</v>
      </c>
      <c r="W623" t="s">
        <v>10077</v>
      </c>
      <c r="X623"/>
      <c r="Y623" t="s">
        <v>10078</v>
      </c>
      <c r="Z623"/>
      <c r="AA623" t="s">
        <v>10079</v>
      </c>
      <c r="AB623" t="s">
        <v>10080</v>
      </c>
      <c r="AC623" t="n">
        <v>109</v>
      </c>
      <c r="AD623"/>
      <c r="AE623"/>
      <c r="AF623" t="s">
        <v>10081</v>
      </c>
      <c r="AG623" t="n">
        <v>60</v>
      </c>
    </row>
    <row r="624">
      <c r="A624" t="s">
        <v>10082</v>
      </c>
      <c r="B624" t="s">
        <v>26</v>
      </c>
      <c r="C624" t="s">
        <v>65</v>
      </c>
      <c r="D624" t="s">
        <v>10083</v>
      </c>
      <c r="E624" t="s">
        <v>3151</v>
      </c>
      <c r="F624" t="s">
        <v>3152</v>
      </c>
      <c r="G624" t="s">
        <v>3163</v>
      </c>
      <c r="H624" t="n">
        <v>40.3948444285714</v>
      </c>
      <c r="I624" t="n">
        <v>-105.073213428571</v>
      </c>
      <c r="J624" t="s">
        <v>35</v>
      </c>
      <c r="K624" t="s">
        <v>120</v>
      </c>
      <c r="L624"/>
      <c r="M624" t="n">
        <v>1977</v>
      </c>
      <c r="N624" t="n">
        <v>1977</v>
      </c>
      <c r="O624" t="s">
        <v>228</v>
      </c>
      <c r="P624" t="n">
        <v>1</v>
      </c>
      <c r="Q624" t="n">
        <v>1</v>
      </c>
      <c r="R624" t="n">
        <v>1</v>
      </c>
      <c r="S624" t="n">
        <v>1972</v>
      </c>
      <c r="T624" t="s">
        <v>10084</v>
      </c>
      <c r="U624" t="s">
        <v>10085</v>
      </c>
      <c r="V624" t="s">
        <v>74</v>
      </c>
      <c r="W624" t="s">
        <v>10086</v>
      </c>
      <c r="X624"/>
      <c r="Y624"/>
      <c r="Z624"/>
      <c r="AA624"/>
      <c r="AB624" t="s">
        <v>10080</v>
      </c>
      <c r="AC624" t="n">
        <v>27</v>
      </c>
      <c r="AD624"/>
      <c r="AE624"/>
      <c r="AF624" t="s">
        <v>10081</v>
      </c>
      <c r="AG624" t="n">
        <v>93</v>
      </c>
    </row>
    <row r="625">
      <c r="A625" t="s">
        <v>10087</v>
      </c>
      <c r="B625" t="s">
        <v>26</v>
      </c>
      <c r="C625" t="s">
        <v>24</v>
      </c>
      <c r="D625" t="s">
        <v>10088</v>
      </c>
      <c r="E625" t="s">
        <v>10089</v>
      </c>
      <c r="F625" t="s">
        <v>3152</v>
      </c>
      <c r="G625" t="s">
        <v>10090</v>
      </c>
      <c r="H625" t="n">
        <v>40.613445</v>
      </c>
      <c r="I625" t="n">
        <v>-105.076423</v>
      </c>
      <c r="J625" t="s">
        <v>4109</v>
      </c>
      <c r="K625" t="s">
        <v>1282</v>
      </c>
      <c r="L625"/>
      <c r="M625" t="n">
        <v>1980</v>
      </c>
      <c r="N625" t="n">
        <v>1992</v>
      </c>
      <c r="O625" t="s">
        <v>1668</v>
      </c>
      <c r="P625" t="n">
        <v>4</v>
      </c>
      <c r="Q625" t="n">
        <v>3</v>
      </c>
      <c r="R625" t="n">
        <v>2</v>
      </c>
      <c r="S625" t="n">
        <v>1949</v>
      </c>
      <c r="T625" t="s">
        <v>10091</v>
      </c>
      <c r="U625" t="s">
        <v>10092</v>
      </c>
      <c r="V625" t="s">
        <v>74</v>
      </c>
      <c r="W625" t="s">
        <v>10093</v>
      </c>
      <c r="X625"/>
      <c r="Y625" t="s">
        <v>10094</v>
      </c>
      <c r="Z625"/>
      <c r="AA625" t="s">
        <v>10095</v>
      </c>
      <c r="AB625" t="s">
        <v>10096</v>
      </c>
      <c r="AC625" t="n">
        <v>153</v>
      </c>
      <c r="AD625"/>
      <c r="AE625"/>
      <c r="AF625" t="s">
        <v>10097</v>
      </c>
      <c r="AG625" t="n">
        <v>33</v>
      </c>
    </row>
    <row r="626">
      <c r="A626" t="s">
        <v>10098</v>
      </c>
      <c r="B626" t="s">
        <v>26</v>
      </c>
      <c r="C626" t="s">
        <v>65</v>
      </c>
      <c r="D626" t="s">
        <v>10099</v>
      </c>
      <c r="E626" t="s">
        <v>3170</v>
      </c>
      <c r="F626" t="s">
        <v>3152</v>
      </c>
      <c r="G626" t="s">
        <v>3171</v>
      </c>
      <c r="H626" t="n">
        <v>40.607799</v>
      </c>
      <c r="I626" t="n">
        <v>-105.076531</v>
      </c>
      <c r="J626" t="s">
        <v>35</v>
      </c>
      <c r="K626" t="s">
        <v>2274</v>
      </c>
      <c r="L626"/>
      <c r="M626" t="n">
        <v>1983</v>
      </c>
      <c r="N626" t="n">
        <v>1992</v>
      </c>
      <c r="O626" t="s">
        <v>3904</v>
      </c>
      <c r="P626" t="n">
        <v>4</v>
      </c>
      <c r="Q626" t="n">
        <v>2</v>
      </c>
      <c r="R626" t="n">
        <v>2</v>
      </c>
      <c r="S626" t="n">
        <v>1977</v>
      </c>
      <c r="T626" t="s">
        <v>10100</v>
      </c>
      <c r="U626" t="s">
        <v>10101</v>
      </c>
      <c r="V626" t="s">
        <v>74</v>
      </c>
      <c r="W626" t="s">
        <v>10102</v>
      </c>
      <c r="X626"/>
      <c r="Y626"/>
      <c r="Z626" t="s">
        <v>10103</v>
      </c>
      <c r="AA626" t="s">
        <v>10104</v>
      </c>
      <c r="AB626" t="s">
        <v>10105</v>
      </c>
      <c r="AC626" t="n">
        <v>11</v>
      </c>
      <c r="AD626"/>
      <c r="AE626"/>
      <c r="AF626" t="s">
        <v>10106</v>
      </c>
      <c r="AG626" t="n">
        <v>133</v>
      </c>
    </row>
    <row r="627">
      <c r="A627" t="s">
        <v>10107</v>
      </c>
      <c r="B627" t="s">
        <v>26</v>
      </c>
      <c r="C627" t="s">
        <v>24</v>
      </c>
      <c r="D627" t="s">
        <v>10108</v>
      </c>
      <c r="E627" t="s">
        <v>3170</v>
      </c>
      <c r="F627" t="s">
        <v>3152</v>
      </c>
      <c r="G627" t="s">
        <v>3292</v>
      </c>
      <c r="H627" t="n">
        <v>40.5888807346939</v>
      </c>
      <c r="I627" t="n">
        <v>-105.077262510204</v>
      </c>
      <c r="J627" t="s">
        <v>4109</v>
      </c>
      <c r="K627" t="s">
        <v>527</v>
      </c>
      <c r="L627"/>
      <c r="M627" t="n">
        <v>1988</v>
      </c>
      <c r="N627" t="n">
        <v>1988</v>
      </c>
      <c r="O627" t="s">
        <v>325</v>
      </c>
      <c r="P627" t="n">
        <v>1</v>
      </c>
      <c r="Q627" t="n">
        <v>1</v>
      </c>
      <c r="R627" t="n">
        <v>1</v>
      </c>
      <c r="S627" t="n">
        <v>1979</v>
      </c>
      <c r="T627" t="s">
        <v>10109</v>
      </c>
      <c r="U627" t="s">
        <v>10110</v>
      </c>
      <c r="V627" t="s">
        <v>74</v>
      </c>
      <c r="W627" t="s">
        <v>10111</v>
      </c>
      <c r="X627"/>
      <c r="Y627" t="s">
        <v>10112</v>
      </c>
      <c r="Z627"/>
      <c r="AA627" t="s">
        <v>10113</v>
      </c>
      <c r="AB627" t="s">
        <v>10114</v>
      </c>
      <c r="AC627" t="n">
        <v>248</v>
      </c>
      <c r="AD627"/>
      <c r="AE627"/>
      <c r="AF627" t="s">
        <v>10115</v>
      </c>
      <c r="AG627" t="n">
        <v>68</v>
      </c>
    </row>
    <row r="628">
      <c r="A628" t="s">
        <v>10116</v>
      </c>
      <c r="B628" t="s">
        <v>26</v>
      </c>
      <c r="C628" t="s">
        <v>65</v>
      </c>
      <c r="D628" t="s">
        <v>10117</v>
      </c>
      <c r="E628" t="s">
        <v>3151</v>
      </c>
      <c r="F628" t="s">
        <v>3152</v>
      </c>
      <c r="G628" t="s">
        <v>3163</v>
      </c>
      <c r="H628" t="n">
        <v>40.3933752857143</v>
      </c>
      <c r="I628" t="n">
        <v>-105.072677571429</v>
      </c>
      <c r="J628" t="s">
        <v>35</v>
      </c>
      <c r="K628" t="s">
        <v>120</v>
      </c>
      <c r="L628"/>
      <c r="M628" t="n">
        <v>1992</v>
      </c>
      <c r="N628" t="n">
        <v>1992</v>
      </c>
      <c r="O628" t="s">
        <v>1016</v>
      </c>
      <c r="P628" t="n">
        <v>1</v>
      </c>
      <c r="Q628" t="n">
        <v>1</v>
      </c>
      <c r="R628" t="n">
        <v>1</v>
      </c>
      <c r="S628"/>
      <c r="T628" t="s">
        <v>10118</v>
      </c>
      <c r="U628" t="s">
        <v>10119</v>
      </c>
      <c r="V628" t="s">
        <v>74</v>
      </c>
      <c r="W628" t="s">
        <v>10120</v>
      </c>
      <c r="X628"/>
      <c r="Y628"/>
      <c r="Z628"/>
      <c r="AA628"/>
      <c r="AB628" t="s">
        <v>3200</v>
      </c>
      <c r="AC628" t="n">
        <v>69</v>
      </c>
      <c r="AD628"/>
      <c r="AE628"/>
      <c r="AF628" t="s">
        <v>10121</v>
      </c>
      <c r="AG628" t="n">
        <v>81</v>
      </c>
    </row>
    <row r="629">
      <c r="A629" t="s">
        <v>10122</v>
      </c>
      <c r="B629" t="s">
        <v>26</v>
      </c>
      <c r="C629" t="s">
        <v>24</v>
      </c>
      <c r="D629" t="s">
        <v>10123</v>
      </c>
      <c r="E629" t="s">
        <v>4839</v>
      </c>
      <c r="F629" t="s">
        <v>4840</v>
      </c>
      <c r="G629"/>
      <c r="H629" t="n">
        <v>37.1698468115108</v>
      </c>
      <c r="I629" t="n">
        <v>-104.506281809135</v>
      </c>
      <c r="J629" t="s">
        <v>4109</v>
      </c>
      <c r="K629" t="s">
        <v>89</v>
      </c>
      <c r="L629"/>
      <c r="M629" t="n">
        <v>1965</v>
      </c>
      <c r="N629" t="n">
        <v>1965</v>
      </c>
      <c r="O629" t="s">
        <v>1275</v>
      </c>
      <c r="P629" t="n">
        <v>1</v>
      </c>
      <c r="Q629" t="n">
        <v>1</v>
      </c>
      <c r="R629" t="n">
        <v>1</v>
      </c>
      <c r="S629"/>
      <c r="T629" t="s">
        <v>10124</v>
      </c>
      <c r="U629" t="s">
        <v>10125</v>
      </c>
      <c r="V629" t="s">
        <v>74</v>
      </c>
      <c r="W629" t="s">
        <v>10126</v>
      </c>
      <c r="X629"/>
      <c r="Y629" t="s">
        <v>10127</v>
      </c>
      <c r="Z629"/>
      <c r="AA629" t="s">
        <v>10128</v>
      </c>
      <c r="AB629" t="s">
        <v>10129</v>
      </c>
      <c r="AC629" t="n">
        <v>70</v>
      </c>
      <c r="AD629"/>
      <c r="AE629"/>
      <c r="AF629" t="s">
        <v>10130</v>
      </c>
      <c r="AG629" t="n">
        <v>74</v>
      </c>
    </row>
    <row r="630">
      <c r="A630" t="s">
        <v>10131</v>
      </c>
      <c r="B630" t="s">
        <v>26</v>
      </c>
      <c r="C630" t="s">
        <v>24</v>
      </c>
      <c r="D630" t="s">
        <v>10132</v>
      </c>
      <c r="E630" t="s">
        <v>4839</v>
      </c>
      <c r="F630" t="s">
        <v>4840</v>
      </c>
      <c r="G630" t="s">
        <v>4841</v>
      </c>
      <c r="H630" t="n">
        <v>37.1842927566719</v>
      </c>
      <c r="I630" t="n">
        <v>-104.507002530605</v>
      </c>
      <c r="J630" t="s">
        <v>4109</v>
      </c>
      <c r="K630" t="s">
        <v>70</v>
      </c>
      <c r="L630"/>
      <c r="M630" t="n">
        <v>1966</v>
      </c>
      <c r="N630" t="n">
        <v>1973</v>
      </c>
      <c r="O630" t="s">
        <v>121</v>
      </c>
      <c r="P630" t="n">
        <v>2</v>
      </c>
      <c r="Q630" t="n">
        <v>1</v>
      </c>
      <c r="R630" t="n">
        <v>1</v>
      </c>
      <c r="S630" t="n">
        <v>1965</v>
      </c>
      <c r="T630" t="s">
        <v>10133</v>
      </c>
      <c r="U630" t="s">
        <v>10134</v>
      </c>
      <c r="V630" t="s">
        <v>74</v>
      </c>
      <c r="W630" t="s">
        <v>10135</v>
      </c>
      <c r="X630"/>
      <c r="Y630"/>
      <c r="Z630"/>
      <c r="AA630" t="s">
        <v>10136</v>
      </c>
      <c r="AB630" t="s">
        <v>10137</v>
      </c>
      <c r="AC630" t="n">
        <v>143</v>
      </c>
      <c r="AD630"/>
      <c r="AE630"/>
      <c r="AF630"/>
      <c r="AG630"/>
    </row>
    <row r="631">
      <c r="A631" t="s">
        <v>10138</v>
      </c>
      <c r="B631" t="s">
        <v>26</v>
      </c>
      <c r="C631" t="s">
        <v>24</v>
      </c>
      <c r="D631" t="s">
        <v>10139</v>
      </c>
      <c r="E631" t="s">
        <v>4839</v>
      </c>
      <c r="F631" t="s">
        <v>4840</v>
      </c>
      <c r="G631"/>
      <c r="H631" t="n">
        <v>37.1700071218177</v>
      </c>
      <c r="I631" t="n">
        <v>-104.498483770443</v>
      </c>
      <c r="J631" t="s">
        <v>4109</v>
      </c>
      <c r="K631" t="s">
        <v>141</v>
      </c>
      <c r="L631"/>
      <c r="M631" t="n">
        <v>1973</v>
      </c>
      <c r="N631" t="n">
        <v>1990</v>
      </c>
      <c r="O631" t="s">
        <v>3211</v>
      </c>
      <c r="P631" t="n">
        <v>5</v>
      </c>
      <c r="Q631" t="n">
        <v>2</v>
      </c>
      <c r="R631" t="n">
        <v>2</v>
      </c>
      <c r="S631" t="n">
        <v>1930</v>
      </c>
      <c r="T631" t="s">
        <v>10140</v>
      </c>
      <c r="U631" t="s">
        <v>10141</v>
      </c>
      <c r="V631" t="s">
        <v>74</v>
      </c>
      <c r="W631" t="s">
        <v>10142</v>
      </c>
      <c r="X631"/>
      <c r="Y631" t="s">
        <v>10143</v>
      </c>
      <c r="Z631"/>
      <c r="AA631" t="s">
        <v>10144</v>
      </c>
      <c r="AB631" t="s">
        <v>10145</v>
      </c>
      <c r="AC631" t="n">
        <v>207</v>
      </c>
      <c r="AD631"/>
      <c r="AE631"/>
      <c r="AF631" t="s">
        <v>10146</v>
      </c>
      <c r="AG631" t="n">
        <v>227</v>
      </c>
    </row>
    <row r="632">
      <c r="A632" t="s">
        <v>10147</v>
      </c>
      <c r="B632" t="s">
        <v>26</v>
      </c>
      <c r="C632" t="s">
        <v>24</v>
      </c>
      <c r="D632" t="s">
        <v>10148</v>
      </c>
      <c r="E632" t="s">
        <v>3454</v>
      </c>
      <c r="F632" t="s">
        <v>3455</v>
      </c>
      <c r="G632" t="s">
        <v>10149</v>
      </c>
      <c r="H632" t="n">
        <v>40.6257439609583</v>
      </c>
      <c r="I632" t="n">
        <v>-103.20428208314</v>
      </c>
      <c r="J632" t="s">
        <v>4109</v>
      </c>
      <c r="K632" t="s">
        <v>126</v>
      </c>
      <c r="L632"/>
      <c r="M632" t="n">
        <v>1980</v>
      </c>
      <c r="N632" t="n">
        <v>1980</v>
      </c>
      <c r="O632" t="s">
        <v>255</v>
      </c>
      <c r="P632" t="n">
        <v>1</v>
      </c>
      <c r="Q632" t="n">
        <v>1</v>
      </c>
      <c r="R632" t="n">
        <v>1</v>
      </c>
      <c r="S632" t="n">
        <v>1966</v>
      </c>
      <c r="T632" t="s">
        <v>10150</v>
      </c>
      <c r="U632" t="s">
        <v>10151</v>
      </c>
      <c r="V632" t="s">
        <v>74</v>
      </c>
      <c r="W632" t="s">
        <v>10152</v>
      </c>
      <c r="X632"/>
      <c r="Y632" t="s">
        <v>10153</v>
      </c>
      <c r="Z632"/>
      <c r="AA632" t="s">
        <v>10154</v>
      </c>
      <c r="AB632" t="s">
        <v>10155</v>
      </c>
      <c r="AC632" t="n">
        <v>203</v>
      </c>
      <c r="AD632"/>
      <c r="AE632"/>
      <c r="AF632" t="s">
        <v>10156</v>
      </c>
      <c r="AG632" t="n">
        <v>50</v>
      </c>
    </row>
    <row r="633">
      <c r="A633" t="s">
        <v>10157</v>
      </c>
      <c r="B633" t="s">
        <v>26</v>
      </c>
      <c r="C633" t="s">
        <v>65</v>
      </c>
      <c r="D633" t="s">
        <v>10158</v>
      </c>
      <c r="E633" t="s">
        <v>3461</v>
      </c>
      <c r="F633" t="s">
        <v>3462</v>
      </c>
      <c r="G633" t="s">
        <v>3487</v>
      </c>
      <c r="H633" t="n">
        <v>39.0673196520923</v>
      </c>
      <c r="I633" t="n">
        <v>-108.562397314714</v>
      </c>
      <c r="J633" t="s">
        <v>35</v>
      </c>
      <c r="K633" t="s">
        <v>70</v>
      </c>
      <c r="L633"/>
      <c r="M633" t="n">
        <v>1965</v>
      </c>
      <c r="N633" t="n">
        <v>1980</v>
      </c>
      <c r="O633" t="s">
        <v>255</v>
      </c>
      <c r="P633" t="n">
        <v>5</v>
      </c>
      <c r="Q633" t="n">
        <v>5</v>
      </c>
      <c r="R633" t="n">
        <v>1</v>
      </c>
      <c r="S633" t="n">
        <v>1893</v>
      </c>
      <c r="T633" t="s">
        <v>10159</v>
      </c>
      <c r="U633" t="s">
        <v>10160</v>
      </c>
      <c r="V633" t="s">
        <v>74</v>
      </c>
      <c r="W633" t="s">
        <v>10161</v>
      </c>
      <c r="X633"/>
      <c r="Y633"/>
      <c r="Z633"/>
      <c r="AA633" t="s">
        <v>10162</v>
      </c>
      <c r="AB633" t="s">
        <v>10163</v>
      </c>
      <c r="AC633" t="n">
        <v>40</v>
      </c>
      <c r="AD633"/>
      <c r="AE633"/>
      <c r="AF633" t="s">
        <v>10164</v>
      </c>
      <c r="AG633" t="n">
        <v>126</v>
      </c>
    </row>
    <row r="634">
      <c r="A634" t="s">
        <v>10165</v>
      </c>
      <c r="B634" t="s">
        <v>26</v>
      </c>
      <c r="C634" t="s">
        <v>24</v>
      </c>
      <c r="D634" t="s">
        <v>10166</v>
      </c>
      <c r="E634" t="s">
        <v>3461</v>
      </c>
      <c r="F634" t="s">
        <v>3462</v>
      </c>
      <c r="G634" t="s">
        <v>3487</v>
      </c>
      <c r="H634" t="n">
        <v>39.0592748598569</v>
      </c>
      <c r="I634" t="n">
        <v>-108.560571225504</v>
      </c>
      <c r="J634" t="s">
        <v>4109</v>
      </c>
      <c r="K634" t="s">
        <v>10167</v>
      </c>
      <c r="L634"/>
      <c r="M634" t="n">
        <v>1966</v>
      </c>
      <c r="N634" t="n">
        <v>1968</v>
      </c>
      <c r="O634" t="s">
        <v>2764</v>
      </c>
      <c r="P634" t="n">
        <v>3</v>
      </c>
      <c r="Q634" t="n">
        <v>5</v>
      </c>
      <c r="R634" t="n">
        <v>5</v>
      </c>
      <c r="S634" t="n">
        <v>1938</v>
      </c>
      <c r="T634" t="s">
        <v>10168</v>
      </c>
      <c r="U634" t="s">
        <v>10169</v>
      </c>
      <c r="V634" t="s">
        <v>74</v>
      </c>
      <c r="W634" t="s">
        <v>10170</v>
      </c>
      <c r="X634" t="s">
        <v>10171</v>
      </c>
      <c r="Y634" t="s">
        <v>10172</v>
      </c>
      <c r="Z634" t="s">
        <v>10173</v>
      </c>
      <c r="AA634"/>
      <c r="AB634" t="s">
        <v>3565</v>
      </c>
      <c r="AC634" t="n">
        <v>84</v>
      </c>
      <c r="AD634" t="s">
        <v>3469</v>
      </c>
      <c r="AE634" t="n">
        <v>60</v>
      </c>
      <c r="AF634" t="s">
        <v>10174</v>
      </c>
      <c r="AG634" t="n">
        <v>1</v>
      </c>
    </row>
    <row r="635">
      <c r="A635" t="s">
        <v>10175</v>
      </c>
      <c r="B635" t="s">
        <v>26</v>
      </c>
      <c r="C635" t="s">
        <v>65</v>
      </c>
      <c r="D635" t="s">
        <v>10176</v>
      </c>
      <c r="E635" t="s">
        <v>3461</v>
      </c>
      <c r="F635" t="s">
        <v>3462</v>
      </c>
      <c r="G635" t="s">
        <v>3487</v>
      </c>
      <c r="H635" t="n">
        <v>39.0589737070707</v>
      </c>
      <c r="I635" t="n">
        <v>-108.56438240404</v>
      </c>
      <c r="J635" t="s">
        <v>35</v>
      </c>
      <c r="K635" t="s">
        <v>70</v>
      </c>
      <c r="L635"/>
      <c r="M635" t="n">
        <v>1966</v>
      </c>
      <c r="N635" t="n">
        <v>1968</v>
      </c>
      <c r="O635" t="s">
        <v>1349</v>
      </c>
      <c r="P635" t="n">
        <v>2</v>
      </c>
      <c r="Q635" t="n">
        <v>2</v>
      </c>
      <c r="R635" t="n">
        <v>1</v>
      </c>
      <c r="S635" t="n">
        <v>1965</v>
      </c>
      <c r="T635" t="s">
        <v>10177</v>
      </c>
      <c r="U635" t="s">
        <v>10178</v>
      </c>
      <c r="V635" t="s">
        <v>74</v>
      </c>
      <c r="W635" t="s">
        <v>10179</v>
      </c>
      <c r="X635" t="s">
        <v>10180</v>
      </c>
      <c r="Y635"/>
      <c r="Z635"/>
      <c r="AA635" t="s">
        <v>10181</v>
      </c>
      <c r="AB635" t="s">
        <v>10182</v>
      </c>
      <c r="AC635" t="n">
        <v>247</v>
      </c>
      <c r="AD635" t="s">
        <v>10183</v>
      </c>
      <c r="AE635" t="n">
        <v>161</v>
      </c>
      <c r="AF635"/>
      <c r="AG635"/>
    </row>
    <row r="636">
      <c r="A636" t="s">
        <v>10184</v>
      </c>
      <c r="B636" t="s">
        <v>26</v>
      </c>
      <c r="C636" t="s">
        <v>65</v>
      </c>
      <c r="D636" t="s">
        <v>10185</v>
      </c>
      <c r="E636" t="s">
        <v>3461</v>
      </c>
      <c r="F636" t="s">
        <v>3462</v>
      </c>
      <c r="G636" t="s">
        <v>3487</v>
      </c>
      <c r="H636" t="n">
        <v>39.0671307150258</v>
      </c>
      <c r="I636" t="n">
        <v>-108.561042084419</v>
      </c>
      <c r="J636" t="s">
        <v>35</v>
      </c>
      <c r="K636" t="s">
        <v>120</v>
      </c>
      <c r="L636"/>
      <c r="M636" t="n">
        <v>1966</v>
      </c>
      <c r="N636" t="n">
        <v>1970</v>
      </c>
      <c r="O636" t="s">
        <v>7366</v>
      </c>
      <c r="P636" t="n">
        <v>2</v>
      </c>
      <c r="Q636" t="n">
        <v>1</v>
      </c>
      <c r="R636" t="n">
        <v>1</v>
      </c>
      <c r="S636" t="n">
        <v>1953</v>
      </c>
      <c r="T636" t="s">
        <v>10186</v>
      </c>
      <c r="U636" t="s">
        <v>10187</v>
      </c>
      <c r="V636" t="s">
        <v>74</v>
      </c>
      <c r="W636" t="s">
        <v>10188</v>
      </c>
      <c r="X636"/>
      <c r="Y636" t="s">
        <v>10189</v>
      </c>
      <c r="Z636"/>
      <c r="AA636"/>
      <c r="AB636" t="s">
        <v>10190</v>
      </c>
      <c r="AC636" t="n">
        <v>22</v>
      </c>
      <c r="AD636"/>
      <c r="AE636"/>
      <c r="AF636" t="s">
        <v>10164</v>
      </c>
      <c r="AG636" t="n">
        <v>20</v>
      </c>
    </row>
    <row r="637">
      <c r="A637" t="s">
        <v>10191</v>
      </c>
      <c r="B637" t="s">
        <v>26</v>
      </c>
      <c r="C637" t="s">
        <v>24</v>
      </c>
      <c r="D637" t="s">
        <v>10192</v>
      </c>
      <c r="E637" t="s">
        <v>3461</v>
      </c>
      <c r="F637" t="s">
        <v>3462</v>
      </c>
      <c r="G637" t="s">
        <v>3487</v>
      </c>
      <c r="H637" t="n">
        <v>39.0592798219181</v>
      </c>
      <c r="I637" t="n">
        <v>-108.561975862561</v>
      </c>
      <c r="J637" t="s">
        <v>4109</v>
      </c>
      <c r="K637" t="s">
        <v>89</v>
      </c>
      <c r="L637"/>
      <c r="M637" t="n">
        <v>1968</v>
      </c>
      <c r="N637" t="n">
        <v>1970</v>
      </c>
      <c r="O637" t="s">
        <v>1587</v>
      </c>
      <c r="P637" t="n">
        <v>2</v>
      </c>
      <c r="Q637" t="n">
        <v>1</v>
      </c>
      <c r="R637" t="n">
        <v>1</v>
      </c>
      <c r="S637" t="n">
        <v>1937</v>
      </c>
      <c r="T637" t="s">
        <v>10193</v>
      </c>
      <c r="U637" t="s">
        <v>10194</v>
      </c>
      <c r="V637" t="s">
        <v>74</v>
      </c>
      <c r="W637" t="s">
        <v>10195</v>
      </c>
      <c r="X637" t="s">
        <v>10196</v>
      </c>
      <c r="Y637"/>
      <c r="Z637" t="s">
        <v>10197</v>
      </c>
      <c r="AA637"/>
      <c r="AB637" t="s">
        <v>3565</v>
      </c>
      <c r="AC637" t="n">
        <v>39</v>
      </c>
      <c r="AD637" t="s">
        <v>10183</v>
      </c>
      <c r="AE637" t="n">
        <v>50</v>
      </c>
      <c r="AF637" t="s">
        <v>10198</v>
      </c>
      <c r="AG637" t="n">
        <v>115</v>
      </c>
    </row>
    <row r="638">
      <c r="A638" t="s">
        <v>10199</v>
      </c>
      <c r="B638" t="s">
        <v>26</v>
      </c>
      <c r="C638" t="s">
        <v>65</v>
      </c>
      <c r="D638" t="s">
        <v>10200</v>
      </c>
      <c r="E638" t="s">
        <v>3461</v>
      </c>
      <c r="F638" t="s">
        <v>3462</v>
      </c>
      <c r="G638" t="s">
        <v>3487</v>
      </c>
      <c r="H638" t="n">
        <v>39.0786184870052</v>
      </c>
      <c r="I638" t="n">
        <v>-108.567868789738</v>
      </c>
      <c r="J638" t="s">
        <v>35</v>
      </c>
      <c r="K638" t="s">
        <v>120</v>
      </c>
      <c r="L638"/>
      <c r="M638" t="n">
        <v>1974</v>
      </c>
      <c r="N638" t="n">
        <v>1990</v>
      </c>
      <c r="O638" t="s">
        <v>210</v>
      </c>
      <c r="P638" t="n">
        <v>2</v>
      </c>
      <c r="Q638" t="n">
        <v>2</v>
      </c>
      <c r="R638" t="n">
        <v>1</v>
      </c>
      <c r="S638" t="n">
        <v>1987</v>
      </c>
      <c r="T638" t="s">
        <v>10201</v>
      </c>
      <c r="U638" t="s">
        <v>10202</v>
      </c>
      <c r="V638" t="s">
        <v>74</v>
      </c>
      <c r="W638" t="s">
        <v>10203</v>
      </c>
      <c r="X638"/>
      <c r="Y638" t="s">
        <v>10204</v>
      </c>
      <c r="Z638"/>
      <c r="AA638" t="s">
        <v>10205</v>
      </c>
      <c r="AB638" t="s">
        <v>10206</v>
      </c>
      <c r="AC638" t="n">
        <v>35</v>
      </c>
      <c r="AD638"/>
      <c r="AE638"/>
      <c r="AF638" t="s">
        <v>10207</v>
      </c>
      <c r="AG638" t="n">
        <v>19</v>
      </c>
    </row>
    <row r="639">
      <c r="A639" t="s">
        <v>10208</v>
      </c>
      <c r="B639" t="s">
        <v>26</v>
      </c>
      <c r="C639" t="s">
        <v>24</v>
      </c>
      <c r="D639" t="s">
        <v>10209</v>
      </c>
      <c r="E639" t="s">
        <v>3492</v>
      </c>
      <c r="F639" t="s">
        <v>3462</v>
      </c>
      <c r="G639" t="s">
        <v>3493</v>
      </c>
      <c r="H639" t="n">
        <v>39.1534676034993</v>
      </c>
      <c r="I639" t="n">
        <v>-108.728339698977</v>
      </c>
      <c r="J639" t="s">
        <v>4109</v>
      </c>
      <c r="K639" t="s">
        <v>70</v>
      </c>
      <c r="L639"/>
      <c r="M639" t="n">
        <v>1977</v>
      </c>
      <c r="N639" t="n">
        <v>1983</v>
      </c>
      <c r="O639" t="s">
        <v>3217</v>
      </c>
      <c r="P639" t="n">
        <v>2</v>
      </c>
      <c r="Q639" t="n">
        <v>1</v>
      </c>
      <c r="R639" t="n">
        <v>1</v>
      </c>
      <c r="S639" t="n">
        <v>1968</v>
      </c>
      <c r="T639" t="s">
        <v>10210</v>
      </c>
      <c r="U639" t="s">
        <v>10211</v>
      </c>
      <c r="V639" t="s">
        <v>74</v>
      </c>
      <c r="W639" t="s">
        <v>10212</v>
      </c>
      <c r="X639"/>
      <c r="Y639" t="s">
        <v>10213</v>
      </c>
      <c r="Z639"/>
      <c r="AA639" t="s">
        <v>10214</v>
      </c>
      <c r="AB639" t="s">
        <v>3597</v>
      </c>
      <c r="AC639" t="n">
        <v>108</v>
      </c>
      <c r="AD639"/>
      <c r="AE639"/>
      <c r="AF639" t="s">
        <v>3598</v>
      </c>
      <c r="AG639" t="n">
        <v>126</v>
      </c>
    </row>
    <row r="640">
      <c r="A640" t="s">
        <v>10215</v>
      </c>
      <c r="B640" t="s">
        <v>26</v>
      </c>
      <c r="C640" t="s">
        <v>65</v>
      </c>
      <c r="D640" t="s">
        <v>10216</v>
      </c>
      <c r="E640" t="s">
        <v>3461</v>
      </c>
      <c r="F640" t="s">
        <v>3462</v>
      </c>
      <c r="G640" t="s">
        <v>3487</v>
      </c>
      <c r="H640" t="n">
        <v>39.0588629466612</v>
      </c>
      <c r="I640" t="n">
        <v>-108.56102116346</v>
      </c>
      <c r="J640" t="s">
        <v>35</v>
      </c>
      <c r="K640" t="s">
        <v>133</v>
      </c>
      <c r="L640"/>
      <c r="M640" t="n">
        <v>1983</v>
      </c>
      <c r="N640" t="n">
        <v>1983</v>
      </c>
      <c r="O640" t="s">
        <v>264</v>
      </c>
      <c r="P640" t="n">
        <v>1</v>
      </c>
      <c r="Q640" t="n">
        <v>1</v>
      </c>
      <c r="R640" t="n">
        <v>1</v>
      </c>
      <c r="S640" t="n">
        <v>1970</v>
      </c>
      <c r="T640" t="s">
        <v>10217</v>
      </c>
      <c r="U640" t="s">
        <v>10218</v>
      </c>
      <c r="V640" t="s">
        <v>74</v>
      </c>
      <c r="W640" t="s">
        <v>10219</v>
      </c>
      <c r="X640"/>
      <c r="Y640"/>
      <c r="Z640" t="s">
        <v>10220</v>
      </c>
      <c r="AA640"/>
      <c r="AB640" t="s">
        <v>3565</v>
      </c>
      <c r="AC640" t="n">
        <v>58</v>
      </c>
      <c r="AD640" t="s">
        <v>3469</v>
      </c>
      <c r="AE640" t="n">
        <v>109</v>
      </c>
      <c r="AF640" t="s">
        <v>10174</v>
      </c>
      <c r="AG640" t="n">
        <v>59</v>
      </c>
    </row>
    <row r="641">
      <c r="A641" t="s">
        <v>10221</v>
      </c>
      <c r="B641" t="s">
        <v>26</v>
      </c>
      <c r="C641" t="s">
        <v>24</v>
      </c>
      <c r="D641" t="s">
        <v>10222</v>
      </c>
      <c r="E641" t="s">
        <v>3461</v>
      </c>
      <c r="F641" t="s">
        <v>3462</v>
      </c>
      <c r="G641" t="s">
        <v>3487</v>
      </c>
      <c r="H641" t="n">
        <v>39.072346</v>
      </c>
      <c r="I641" t="n">
        <v>-108.559364</v>
      </c>
      <c r="J641" t="s">
        <v>4109</v>
      </c>
      <c r="K641" t="s">
        <v>70</v>
      </c>
      <c r="L641"/>
      <c r="M641" t="n">
        <v>1983</v>
      </c>
      <c r="N641" t="n">
        <v>1983</v>
      </c>
      <c r="O641" t="s">
        <v>264</v>
      </c>
      <c r="P641" t="n">
        <v>1</v>
      </c>
      <c r="Q641" t="n">
        <v>1</v>
      </c>
      <c r="R641" t="n">
        <v>1</v>
      </c>
      <c r="S641" t="n">
        <v>1975</v>
      </c>
      <c r="T641" t="s">
        <v>10223</v>
      </c>
      <c r="U641" t="s">
        <v>10224</v>
      </c>
      <c r="V641" t="s">
        <v>74</v>
      </c>
      <c r="W641" t="s">
        <v>10225</v>
      </c>
      <c r="X641"/>
      <c r="Y641" t="s">
        <v>10226</v>
      </c>
      <c r="Z641"/>
      <c r="AA641" t="s">
        <v>10227</v>
      </c>
      <c r="AB641" t="s">
        <v>10228</v>
      </c>
      <c r="AC641" t="n">
        <v>221</v>
      </c>
      <c r="AD641"/>
      <c r="AE641"/>
      <c r="AF641" t="s">
        <v>10229</v>
      </c>
      <c r="AG641" t="n">
        <v>227</v>
      </c>
    </row>
    <row r="642">
      <c r="A642" t="s">
        <v>10230</v>
      </c>
      <c r="B642" t="s">
        <v>26</v>
      </c>
      <c r="C642" t="s">
        <v>24</v>
      </c>
      <c r="D642" t="s">
        <v>10231</v>
      </c>
      <c r="E642" t="s">
        <v>3461</v>
      </c>
      <c r="F642" t="s">
        <v>3462</v>
      </c>
      <c r="G642" t="s">
        <v>3487</v>
      </c>
      <c r="H642" t="n">
        <v>39.058396</v>
      </c>
      <c r="I642" t="n">
        <v>-108.56101</v>
      </c>
      <c r="J642" t="s">
        <v>4109</v>
      </c>
      <c r="K642" t="s">
        <v>120</v>
      </c>
      <c r="L642"/>
      <c r="M642" t="n">
        <v>1983</v>
      </c>
      <c r="N642" t="n">
        <v>1983</v>
      </c>
      <c r="O642" t="s">
        <v>264</v>
      </c>
      <c r="P642" t="n">
        <v>1</v>
      </c>
      <c r="Q642" t="n">
        <v>1</v>
      </c>
      <c r="R642" t="n">
        <v>1</v>
      </c>
      <c r="S642" t="n">
        <v>1955</v>
      </c>
      <c r="T642" t="s">
        <v>10232</v>
      </c>
      <c r="U642" t="s">
        <v>10233</v>
      </c>
      <c r="V642" t="s">
        <v>74</v>
      </c>
      <c r="W642" t="s">
        <v>10234</v>
      </c>
      <c r="X642" t="s">
        <v>10235</v>
      </c>
      <c r="Y642" t="s">
        <v>10236</v>
      </c>
      <c r="Z642" t="s">
        <v>10237</v>
      </c>
      <c r="AA642" t="s">
        <v>10238</v>
      </c>
      <c r="AB642" t="s">
        <v>10239</v>
      </c>
      <c r="AC642" t="n">
        <v>99</v>
      </c>
      <c r="AD642" t="s">
        <v>3469</v>
      </c>
      <c r="AE642" t="n">
        <v>138</v>
      </c>
      <c r="AF642" t="s">
        <v>3566</v>
      </c>
      <c r="AG642" t="n">
        <v>64</v>
      </c>
    </row>
    <row r="643">
      <c r="A643" t="s">
        <v>10240</v>
      </c>
      <c r="B643" t="s">
        <v>26</v>
      </c>
      <c r="C643" t="s">
        <v>24</v>
      </c>
      <c r="D643" t="s">
        <v>10241</v>
      </c>
      <c r="E643" t="s">
        <v>3461</v>
      </c>
      <c r="F643" t="s">
        <v>3462</v>
      </c>
      <c r="G643" t="s">
        <v>3487</v>
      </c>
      <c r="H643" t="n">
        <v>39.0663297564344</v>
      </c>
      <c r="I643" t="n">
        <v>-108.5636771877</v>
      </c>
      <c r="J643" t="s">
        <v>4109</v>
      </c>
      <c r="K643" t="s">
        <v>120</v>
      </c>
      <c r="L643"/>
      <c r="M643" t="n">
        <v>1988</v>
      </c>
      <c r="N643" t="n">
        <v>1988</v>
      </c>
      <c r="O643" t="s">
        <v>325</v>
      </c>
      <c r="P643" t="n">
        <v>1</v>
      </c>
      <c r="Q643" t="n">
        <v>1</v>
      </c>
      <c r="R643" t="n">
        <v>1</v>
      </c>
      <c r="S643" t="n">
        <v>1987</v>
      </c>
      <c r="T643" t="s">
        <v>10242</v>
      </c>
      <c r="U643" t="s">
        <v>10243</v>
      </c>
      <c r="V643" t="s">
        <v>74</v>
      </c>
      <c r="W643" t="s">
        <v>10244</v>
      </c>
      <c r="X643"/>
      <c r="Y643" t="s">
        <v>10245</v>
      </c>
      <c r="Z643"/>
      <c r="AA643"/>
      <c r="AB643" t="s">
        <v>3476</v>
      </c>
      <c r="AC643" t="n">
        <v>40</v>
      </c>
      <c r="AD643"/>
      <c r="AE643"/>
      <c r="AF643" t="s">
        <v>3477</v>
      </c>
      <c r="AG643" t="n">
        <v>18</v>
      </c>
    </row>
    <row r="644">
      <c r="A644" t="s">
        <v>10246</v>
      </c>
      <c r="B644" t="s">
        <v>26</v>
      </c>
      <c r="C644" t="s">
        <v>65</v>
      </c>
      <c r="D644" t="s">
        <v>10247</v>
      </c>
      <c r="E644" t="s">
        <v>3461</v>
      </c>
      <c r="F644" t="s">
        <v>3462</v>
      </c>
      <c r="G644" t="s">
        <v>3487</v>
      </c>
      <c r="H644" t="n">
        <v>39.0584078966566</v>
      </c>
      <c r="I644" t="n">
        <v>-108.550437535753</v>
      </c>
      <c r="J644" t="s">
        <v>35</v>
      </c>
      <c r="K644" t="s">
        <v>141</v>
      </c>
      <c r="L644"/>
      <c r="M644" t="n">
        <v>1988</v>
      </c>
      <c r="N644" t="n">
        <v>1990</v>
      </c>
      <c r="O644" t="s">
        <v>325</v>
      </c>
      <c r="P644" t="n">
        <v>2</v>
      </c>
      <c r="Q644" t="n">
        <v>2</v>
      </c>
      <c r="R644" t="n">
        <v>1</v>
      </c>
      <c r="S644" t="n">
        <v>1968</v>
      </c>
      <c r="T644" t="s">
        <v>10248</v>
      </c>
      <c r="U644" t="s">
        <v>10249</v>
      </c>
      <c r="V644" t="s">
        <v>74</v>
      </c>
      <c r="W644" t="s">
        <v>10250</v>
      </c>
      <c r="X644" t="s">
        <v>10251</v>
      </c>
      <c r="Y644"/>
      <c r="Z644"/>
      <c r="AA644"/>
      <c r="AB644" t="s">
        <v>10252</v>
      </c>
      <c r="AC644" t="n">
        <v>86</v>
      </c>
      <c r="AD644" t="s">
        <v>10253</v>
      </c>
      <c r="AE644" t="n">
        <v>13</v>
      </c>
      <c r="AF644" t="s">
        <v>3184</v>
      </c>
      <c r="AG644" t="n">
        <v>116</v>
      </c>
    </row>
    <row r="645">
      <c r="A645" t="s">
        <v>10254</v>
      </c>
      <c r="B645" t="s">
        <v>26</v>
      </c>
      <c r="C645" t="s">
        <v>24</v>
      </c>
      <c r="D645" t="s">
        <v>10255</v>
      </c>
      <c r="E645" t="s">
        <v>3461</v>
      </c>
      <c r="F645" t="s">
        <v>3462</v>
      </c>
      <c r="G645" t="s">
        <v>3487</v>
      </c>
      <c r="H645" t="n">
        <v>39.058416</v>
      </c>
      <c r="I645" t="n">
        <v>-108.557687</v>
      </c>
      <c r="J645" t="s">
        <v>4109</v>
      </c>
      <c r="K645" t="s">
        <v>120</v>
      </c>
      <c r="L645"/>
      <c r="M645" t="n">
        <v>1988</v>
      </c>
      <c r="N645" t="n">
        <v>1988</v>
      </c>
      <c r="O645" t="s">
        <v>325</v>
      </c>
      <c r="P645" t="n">
        <v>1</v>
      </c>
      <c r="Q645" t="n">
        <v>1</v>
      </c>
      <c r="R645" t="n">
        <v>1</v>
      </c>
      <c r="S645" t="n">
        <v>1955</v>
      </c>
      <c r="T645" t="s">
        <v>10256</v>
      </c>
      <c r="U645" t="s">
        <v>10257</v>
      </c>
      <c r="V645" t="s">
        <v>74</v>
      </c>
      <c r="W645" t="s">
        <v>10258</v>
      </c>
      <c r="X645" t="s">
        <v>10259</v>
      </c>
      <c r="Y645" t="s">
        <v>10260</v>
      </c>
      <c r="Z645"/>
      <c r="AA645" t="s">
        <v>10261</v>
      </c>
      <c r="AB645" t="s">
        <v>10262</v>
      </c>
      <c r="AC645" t="n">
        <v>213</v>
      </c>
      <c r="AD645" t="s">
        <v>3469</v>
      </c>
      <c r="AE645" t="n">
        <v>212</v>
      </c>
      <c r="AF645" t="s">
        <v>3592</v>
      </c>
      <c r="AG645" t="n">
        <v>32</v>
      </c>
    </row>
    <row r="646">
      <c r="A646" t="s">
        <v>10263</v>
      </c>
      <c r="B646" t="s">
        <v>26</v>
      </c>
      <c r="C646" t="s">
        <v>65</v>
      </c>
      <c r="D646" t="s">
        <v>10264</v>
      </c>
      <c r="E646" t="s">
        <v>3461</v>
      </c>
      <c r="F646" t="s">
        <v>3462</v>
      </c>
      <c r="G646" t="s">
        <v>3487</v>
      </c>
      <c r="H646" t="n">
        <v>39.056594166531</v>
      </c>
      <c r="I646" t="n">
        <v>-108.559074393543</v>
      </c>
      <c r="J646" t="s">
        <v>35</v>
      </c>
      <c r="K646" t="s">
        <v>70</v>
      </c>
      <c r="L646"/>
      <c r="M646" t="n">
        <v>1988</v>
      </c>
      <c r="N646" t="n">
        <v>1990</v>
      </c>
      <c r="O646" t="s">
        <v>310</v>
      </c>
      <c r="P646" t="n">
        <v>2</v>
      </c>
      <c r="Q646" t="n">
        <v>2</v>
      </c>
      <c r="R646" t="n">
        <v>2</v>
      </c>
      <c r="S646" t="n">
        <v>1983</v>
      </c>
      <c r="T646" t="s">
        <v>10265</v>
      </c>
      <c r="U646" t="s">
        <v>10266</v>
      </c>
      <c r="V646" t="s">
        <v>74</v>
      </c>
      <c r="W646" t="s">
        <v>10267</v>
      </c>
      <c r="X646"/>
      <c r="Y646" t="s">
        <v>10268</v>
      </c>
      <c r="Z646"/>
      <c r="AA646"/>
      <c r="AB646" t="s">
        <v>10262</v>
      </c>
      <c r="AC646" t="n">
        <v>57</v>
      </c>
      <c r="AD646"/>
      <c r="AE646"/>
      <c r="AF646" t="s">
        <v>10269</v>
      </c>
      <c r="AG646" t="n">
        <v>42</v>
      </c>
    </row>
    <row r="647">
      <c r="A647" t="s">
        <v>10270</v>
      </c>
      <c r="B647" t="s">
        <v>26</v>
      </c>
      <c r="C647" t="s">
        <v>65</v>
      </c>
      <c r="D647" t="s">
        <v>10271</v>
      </c>
      <c r="E647" t="s">
        <v>3461</v>
      </c>
      <c r="F647" t="s">
        <v>3462</v>
      </c>
      <c r="G647" t="s">
        <v>3487</v>
      </c>
      <c r="H647" t="n">
        <v>39.0663266436969</v>
      </c>
      <c r="I647" t="n">
        <v>-108.562619500635</v>
      </c>
      <c r="J647" t="s">
        <v>35</v>
      </c>
      <c r="K647" t="s">
        <v>315</v>
      </c>
      <c r="L647"/>
      <c r="M647" t="n">
        <v>1990</v>
      </c>
      <c r="N647" t="n">
        <v>1992</v>
      </c>
      <c r="O647" t="s">
        <v>1016</v>
      </c>
      <c r="P647" t="n">
        <v>2</v>
      </c>
      <c r="Q647" t="n">
        <v>2</v>
      </c>
      <c r="R647" t="n">
        <v>1</v>
      </c>
      <c r="S647" t="n">
        <v>1975</v>
      </c>
      <c r="T647" t="s">
        <v>10272</v>
      </c>
      <c r="U647" t="s">
        <v>10273</v>
      </c>
      <c r="V647" t="s">
        <v>74</v>
      </c>
      <c r="W647" t="s">
        <v>10274</v>
      </c>
      <c r="X647"/>
      <c r="Y647" t="s">
        <v>10275</v>
      </c>
      <c r="Z647"/>
      <c r="AA647"/>
      <c r="AB647" t="s">
        <v>3476</v>
      </c>
      <c r="AC647" t="n">
        <v>53</v>
      </c>
      <c r="AD647"/>
      <c r="AE647"/>
      <c r="AF647" t="s">
        <v>9518</v>
      </c>
      <c r="AG647" t="n">
        <v>35</v>
      </c>
    </row>
    <row r="648">
      <c r="A648" t="s">
        <v>10276</v>
      </c>
      <c r="B648" t="s">
        <v>26</v>
      </c>
      <c r="C648" t="s">
        <v>65</v>
      </c>
      <c r="D648" t="s">
        <v>10277</v>
      </c>
      <c r="E648" t="s">
        <v>3625</v>
      </c>
      <c r="F648" t="s">
        <v>3626</v>
      </c>
      <c r="G648"/>
      <c r="H648" t="n">
        <v>37.348631303592</v>
      </c>
      <c r="I648" t="n">
        <v>-108.584697732238</v>
      </c>
      <c r="J648" t="s">
        <v>35</v>
      </c>
      <c r="K648" t="s">
        <v>282</v>
      </c>
      <c r="L648"/>
      <c r="M648" t="n">
        <v>1965</v>
      </c>
      <c r="N648" t="n">
        <v>1990</v>
      </c>
      <c r="O648" t="s">
        <v>228</v>
      </c>
      <c r="P648" t="n">
        <v>8</v>
      </c>
      <c r="Q648" t="n">
        <v>5</v>
      </c>
      <c r="R648" t="n">
        <v>1</v>
      </c>
      <c r="S648" t="n">
        <v>1888</v>
      </c>
      <c r="T648" t="s">
        <v>10278</v>
      </c>
      <c r="U648" t="s">
        <v>10279</v>
      </c>
      <c r="V648" t="s">
        <v>74</v>
      </c>
      <c r="W648" t="s">
        <v>10280</v>
      </c>
      <c r="X648"/>
      <c r="Y648"/>
      <c r="Z648"/>
      <c r="AA648"/>
      <c r="AB648" t="s">
        <v>10281</v>
      </c>
      <c r="AC648" t="n">
        <v>27</v>
      </c>
      <c r="AD648"/>
      <c r="AE648"/>
      <c r="AF648" t="s">
        <v>10282</v>
      </c>
      <c r="AG648" t="n">
        <v>79</v>
      </c>
    </row>
    <row r="649">
      <c r="A649" t="s">
        <v>10283</v>
      </c>
      <c r="B649" t="s">
        <v>26</v>
      </c>
      <c r="C649" t="s">
        <v>24</v>
      </c>
      <c r="D649" t="s">
        <v>10284</v>
      </c>
      <c r="E649" t="s">
        <v>3625</v>
      </c>
      <c r="F649" t="s">
        <v>3626</v>
      </c>
      <c r="G649" t="s">
        <v>3627</v>
      </c>
      <c r="H649" t="n">
        <v>37.361731</v>
      </c>
      <c r="I649" t="n">
        <v>-108.591037</v>
      </c>
      <c r="J649" t="s">
        <v>4109</v>
      </c>
      <c r="K649" t="s">
        <v>70</v>
      </c>
      <c r="L649"/>
      <c r="M649" t="n">
        <v>1980</v>
      </c>
      <c r="N649" t="n">
        <v>1990</v>
      </c>
      <c r="O649" t="s">
        <v>255</v>
      </c>
      <c r="P649" t="n">
        <v>4</v>
      </c>
      <c r="Q649" t="n">
        <v>2</v>
      </c>
      <c r="R649" t="n">
        <v>1</v>
      </c>
      <c r="S649" t="n">
        <v>1972</v>
      </c>
      <c r="T649" t="s">
        <v>10285</v>
      </c>
      <c r="U649" t="s">
        <v>10286</v>
      </c>
      <c r="V649" t="s">
        <v>74</v>
      </c>
      <c r="W649" t="s">
        <v>10287</v>
      </c>
      <c r="X649"/>
      <c r="Y649" t="s">
        <v>10288</v>
      </c>
      <c r="Z649"/>
      <c r="AA649" t="s">
        <v>10289</v>
      </c>
      <c r="AB649" t="s">
        <v>10290</v>
      </c>
      <c r="AC649" t="n">
        <v>177</v>
      </c>
      <c r="AD649"/>
      <c r="AE649"/>
      <c r="AF649" t="s">
        <v>10291</v>
      </c>
      <c r="AG649" t="n">
        <v>220</v>
      </c>
    </row>
    <row r="650">
      <c r="A650" t="s">
        <v>10292</v>
      </c>
      <c r="B650" t="s">
        <v>26</v>
      </c>
      <c r="C650" t="s">
        <v>65</v>
      </c>
      <c r="D650" t="s">
        <v>10293</v>
      </c>
      <c r="E650" t="s">
        <v>3625</v>
      </c>
      <c r="F650" t="s">
        <v>3626</v>
      </c>
      <c r="G650" t="s">
        <v>3627</v>
      </c>
      <c r="H650" t="n">
        <v>37.3483846671056</v>
      </c>
      <c r="I650" t="n">
        <v>-108.585187759878</v>
      </c>
      <c r="J650" t="s">
        <v>35</v>
      </c>
      <c r="K650" t="s">
        <v>70</v>
      </c>
      <c r="L650"/>
      <c r="M650" t="n">
        <v>1990</v>
      </c>
      <c r="N650" t="n">
        <v>1990</v>
      </c>
      <c r="O650" t="s">
        <v>351</v>
      </c>
      <c r="P650" t="n">
        <v>1</v>
      </c>
      <c r="Q650" t="n">
        <v>1</v>
      </c>
      <c r="R650" t="n">
        <v>1</v>
      </c>
      <c r="S650" t="n">
        <v>1976</v>
      </c>
      <c r="T650" t="s">
        <v>10294</v>
      </c>
      <c r="U650" t="s">
        <v>10295</v>
      </c>
      <c r="V650" t="s">
        <v>74</v>
      </c>
      <c r="W650" t="s">
        <v>10296</v>
      </c>
      <c r="X650"/>
      <c r="Y650"/>
      <c r="Z650"/>
      <c r="AA650" t="s">
        <v>10297</v>
      </c>
      <c r="AB650" t="s">
        <v>10281</v>
      </c>
      <c r="AC650" t="n">
        <v>52</v>
      </c>
      <c r="AD650"/>
      <c r="AE650"/>
      <c r="AF650" t="s">
        <v>10298</v>
      </c>
      <c r="AG650" t="n">
        <v>56</v>
      </c>
    </row>
    <row r="651">
      <c r="A651" t="s">
        <v>10299</v>
      </c>
      <c r="B651" t="s">
        <v>26</v>
      </c>
      <c r="C651" t="s">
        <v>24</v>
      </c>
      <c r="D651" t="s">
        <v>10300</v>
      </c>
      <c r="E651" t="s">
        <v>3658</v>
      </c>
      <c r="F651" t="s">
        <v>3659</v>
      </c>
      <c r="G651" t="s">
        <v>3660</v>
      </c>
      <c r="H651" t="n">
        <v>38.4802518681268</v>
      </c>
      <c r="I651" t="n">
        <v>-107.87552823542</v>
      </c>
      <c r="J651" t="s">
        <v>4109</v>
      </c>
      <c r="K651" t="s">
        <v>120</v>
      </c>
      <c r="L651"/>
      <c r="M651" t="n">
        <v>1966</v>
      </c>
      <c r="N651" t="n">
        <v>1990</v>
      </c>
      <c r="O651" t="s">
        <v>1556</v>
      </c>
      <c r="P651" t="n">
        <v>6</v>
      </c>
      <c r="Q651" t="n">
        <v>4</v>
      </c>
      <c r="R651" t="n">
        <v>1</v>
      </c>
      <c r="S651" t="n">
        <v>1958</v>
      </c>
      <c r="T651" t="s">
        <v>10301</v>
      </c>
      <c r="U651" t="s">
        <v>10302</v>
      </c>
      <c r="V651" t="s">
        <v>74</v>
      </c>
      <c r="W651" t="s">
        <v>10303</v>
      </c>
      <c r="X651"/>
      <c r="Y651" t="s">
        <v>10304</v>
      </c>
      <c r="Z651"/>
      <c r="AA651" t="s">
        <v>10305</v>
      </c>
      <c r="AB651" t="s">
        <v>10306</v>
      </c>
      <c r="AC651" t="n">
        <v>114</v>
      </c>
      <c r="AD651"/>
      <c r="AE651"/>
      <c r="AF651" t="s">
        <v>10307</v>
      </c>
      <c r="AG651" t="n">
        <v>64</v>
      </c>
    </row>
    <row r="652">
      <c r="A652" t="s">
        <v>10308</v>
      </c>
      <c r="B652" t="s">
        <v>26</v>
      </c>
      <c r="C652" t="s">
        <v>65</v>
      </c>
      <c r="D652" t="s">
        <v>10309</v>
      </c>
      <c r="E652" t="s">
        <v>3658</v>
      </c>
      <c r="F652" t="s">
        <v>3659</v>
      </c>
      <c r="G652" t="s">
        <v>3660</v>
      </c>
      <c r="H652" t="n">
        <v>38.4768560225226</v>
      </c>
      <c r="I652" t="n">
        <v>-107.881259519543</v>
      </c>
      <c r="J652" t="s">
        <v>35</v>
      </c>
      <c r="K652" t="s">
        <v>141</v>
      </c>
      <c r="L652"/>
      <c r="M652" t="n">
        <v>1980</v>
      </c>
      <c r="N652" t="n">
        <v>1990</v>
      </c>
      <c r="O652" t="s">
        <v>540</v>
      </c>
      <c r="P652" t="n">
        <v>4</v>
      </c>
      <c r="Q652" t="n">
        <v>2</v>
      </c>
      <c r="R652" t="n">
        <v>2</v>
      </c>
      <c r="S652" t="n">
        <v>1978</v>
      </c>
      <c r="T652" t="s">
        <v>10310</v>
      </c>
      <c r="U652" t="s">
        <v>10311</v>
      </c>
      <c r="V652" t="s">
        <v>74</v>
      </c>
      <c r="W652" t="s">
        <v>10312</v>
      </c>
      <c r="X652"/>
      <c r="Y652"/>
      <c r="Z652"/>
      <c r="AA652"/>
      <c r="AB652" t="s">
        <v>10313</v>
      </c>
      <c r="AC652" t="n">
        <v>44</v>
      </c>
      <c r="AD652"/>
      <c r="AE652"/>
      <c r="AF652" t="s">
        <v>10314</v>
      </c>
      <c r="AG652" t="n">
        <v>185</v>
      </c>
    </row>
    <row r="653">
      <c r="A653" t="s">
        <v>10315</v>
      </c>
      <c r="B653" t="s">
        <v>26</v>
      </c>
      <c r="C653" t="s">
        <v>65</v>
      </c>
      <c r="D653" t="s">
        <v>10316</v>
      </c>
      <c r="E653" t="s">
        <v>4912</v>
      </c>
      <c r="F653" t="s">
        <v>3730</v>
      </c>
      <c r="G653" t="s">
        <v>4913</v>
      </c>
      <c r="H653" t="n">
        <v>38.0531541020408</v>
      </c>
      <c r="I653" t="n">
        <v>-103.717801979592</v>
      </c>
      <c r="J653" t="s">
        <v>35</v>
      </c>
      <c r="K653" t="s">
        <v>70</v>
      </c>
      <c r="L653"/>
      <c r="M653" t="n">
        <v>1966</v>
      </c>
      <c r="N653" t="n">
        <v>1967</v>
      </c>
      <c r="O653" t="s">
        <v>716</v>
      </c>
      <c r="P653" t="n">
        <v>2</v>
      </c>
      <c r="Q653" t="n">
        <v>1</v>
      </c>
      <c r="R653" t="n">
        <v>1</v>
      </c>
      <c r="S653" t="n">
        <v>1965</v>
      </c>
      <c r="T653" t="s">
        <v>10317</v>
      </c>
      <c r="U653" t="s">
        <v>10318</v>
      </c>
      <c r="V653" t="s">
        <v>74</v>
      </c>
      <c r="W653" t="s">
        <v>10319</v>
      </c>
      <c r="X653"/>
      <c r="Y653" t="s">
        <v>10320</v>
      </c>
      <c r="Z653"/>
      <c r="AA653" t="s">
        <v>10321</v>
      </c>
      <c r="AB653" t="s">
        <v>10322</v>
      </c>
      <c r="AC653" t="n">
        <v>47</v>
      </c>
      <c r="AD653"/>
      <c r="AE653"/>
      <c r="AF653" t="s">
        <v>10323</v>
      </c>
      <c r="AG653" t="n">
        <v>27</v>
      </c>
    </row>
    <row r="654">
      <c r="A654" t="s">
        <v>10324</v>
      </c>
      <c r="B654" t="s">
        <v>26</v>
      </c>
      <c r="C654" t="s">
        <v>65</v>
      </c>
      <c r="D654" t="s">
        <v>10325</v>
      </c>
      <c r="E654" t="s">
        <v>2729</v>
      </c>
      <c r="F654" t="s">
        <v>3781</v>
      </c>
      <c r="G654"/>
      <c r="H654" t="n">
        <v>39.7984800976393</v>
      </c>
      <c r="I654" t="n">
        <v>-105.06754423275</v>
      </c>
      <c r="J654" t="s">
        <v>35</v>
      </c>
      <c r="K654" t="s">
        <v>1296</v>
      </c>
      <c r="L654"/>
      <c r="M654" t="n">
        <v>1965</v>
      </c>
      <c r="N654" t="n">
        <v>1990</v>
      </c>
      <c r="O654" t="s">
        <v>10326</v>
      </c>
      <c r="P654" t="n">
        <v>9</v>
      </c>
      <c r="Q654" t="n">
        <v>7</v>
      </c>
      <c r="R654" t="n">
        <v>5</v>
      </c>
      <c r="S654" t="n">
        <v>1920</v>
      </c>
      <c r="T654" t="s">
        <v>10327</v>
      </c>
      <c r="U654" t="s">
        <v>10328</v>
      </c>
      <c r="V654" t="s">
        <v>74</v>
      </c>
      <c r="W654" t="s">
        <v>10329</v>
      </c>
      <c r="X654"/>
      <c r="Y654" t="s">
        <v>10330</v>
      </c>
      <c r="Z654"/>
      <c r="AA654" t="s">
        <v>10331</v>
      </c>
      <c r="AB654" t="s">
        <v>10332</v>
      </c>
      <c r="AC654" t="n">
        <v>110</v>
      </c>
      <c r="AD654"/>
      <c r="AE654"/>
      <c r="AF654" t="s">
        <v>10333</v>
      </c>
      <c r="AG654" t="n">
        <v>36</v>
      </c>
    </row>
    <row r="655">
      <c r="A655" t="s">
        <v>10334</v>
      </c>
      <c r="B655" t="s">
        <v>26</v>
      </c>
      <c r="C655" t="s">
        <v>65</v>
      </c>
      <c r="D655" t="s">
        <v>10335</v>
      </c>
      <c r="E655" t="s">
        <v>2729</v>
      </c>
      <c r="F655" t="s">
        <v>3781</v>
      </c>
      <c r="G655"/>
      <c r="H655" t="n">
        <v>39.79747781382</v>
      </c>
      <c r="I655" t="n">
        <v>-105.062926010331</v>
      </c>
      <c r="J655" t="s">
        <v>35</v>
      </c>
      <c r="K655" t="s">
        <v>901</v>
      </c>
      <c r="L655"/>
      <c r="M655" t="n">
        <v>1965</v>
      </c>
      <c r="N655" t="n">
        <v>1990</v>
      </c>
      <c r="O655" t="s">
        <v>10336</v>
      </c>
      <c r="P655" t="n">
        <v>9</v>
      </c>
      <c r="Q655" t="n">
        <v>19</v>
      </c>
      <c r="R655" t="n">
        <v>8</v>
      </c>
      <c r="S655" t="n">
        <v>1921</v>
      </c>
      <c r="T655" t="s">
        <v>10337</v>
      </c>
      <c r="U655" t="s">
        <v>10338</v>
      </c>
      <c r="V655" t="s">
        <v>74</v>
      </c>
      <c r="W655" t="s">
        <v>10339</v>
      </c>
      <c r="X655"/>
      <c r="Y655" t="s">
        <v>10340</v>
      </c>
      <c r="Z655" t="s">
        <v>10341</v>
      </c>
      <c r="AA655" t="s">
        <v>10342</v>
      </c>
      <c r="AB655" t="s">
        <v>10343</v>
      </c>
      <c r="AC655" t="n">
        <v>103</v>
      </c>
      <c r="AD655"/>
      <c r="AE655"/>
      <c r="AF655" t="s">
        <v>10344</v>
      </c>
      <c r="AG655" t="n">
        <v>35</v>
      </c>
    </row>
    <row r="656">
      <c r="A656" t="s">
        <v>10345</v>
      </c>
      <c r="B656" t="s">
        <v>26</v>
      </c>
      <c r="C656" t="s">
        <v>65</v>
      </c>
      <c r="D656" t="s">
        <v>10346</v>
      </c>
      <c r="E656" t="s">
        <v>3789</v>
      </c>
      <c r="F656" t="s">
        <v>3790</v>
      </c>
      <c r="G656" t="s">
        <v>3797</v>
      </c>
      <c r="H656" t="n">
        <v>38.0904982857143</v>
      </c>
      <c r="I656" t="n">
        <v>-102.619434163265</v>
      </c>
      <c r="J656" t="s">
        <v>35</v>
      </c>
      <c r="K656" t="s">
        <v>70</v>
      </c>
      <c r="L656"/>
      <c r="M656" t="n">
        <v>1965</v>
      </c>
      <c r="N656" t="n">
        <v>1973</v>
      </c>
      <c r="O656" t="s">
        <v>10347</v>
      </c>
      <c r="P656" t="n">
        <v>4</v>
      </c>
      <c r="Q656" t="n">
        <v>1</v>
      </c>
      <c r="R656" t="n">
        <v>1</v>
      </c>
      <c r="S656" t="n">
        <v>1946</v>
      </c>
      <c r="T656" t="s">
        <v>10348</v>
      </c>
      <c r="U656" t="s">
        <v>10349</v>
      </c>
      <c r="V656" t="s">
        <v>74</v>
      </c>
      <c r="W656" t="s">
        <v>10350</v>
      </c>
      <c r="X656"/>
      <c r="Y656"/>
      <c r="Z656"/>
      <c r="AA656"/>
      <c r="AB656" t="s">
        <v>10351</v>
      </c>
      <c r="AC656" t="n">
        <v>10</v>
      </c>
      <c r="AD656"/>
      <c r="AE656"/>
      <c r="AF656" t="s">
        <v>10352</v>
      </c>
      <c r="AG656" t="n">
        <v>161</v>
      </c>
    </row>
    <row r="657">
      <c r="A657" t="s">
        <v>10353</v>
      </c>
      <c r="B657" t="s">
        <v>26</v>
      </c>
      <c r="C657" t="s">
        <v>65</v>
      </c>
      <c r="D657" t="s">
        <v>10354</v>
      </c>
      <c r="E657" t="s">
        <v>3789</v>
      </c>
      <c r="F657" t="s">
        <v>3790</v>
      </c>
      <c r="G657" t="s">
        <v>3797</v>
      </c>
      <c r="H657" t="n">
        <v>38.0924745714286</v>
      </c>
      <c r="I657" t="n">
        <v>-102.619589285714</v>
      </c>
      <c r="J657" t="s">
        <v>35</v>
      </c>
      <c r="K657" t="s">
        <v>126</v>
      </c>
      <c r="L657"/>
      <c r="M657" t="n">
        <v>1966</v>
      </c>
      <c r="N657" t="n">
        <v>1973</v>
      </c>
      <c r="O657" t="s">
        <v>10355</v>
      </c>
      <c r="P657" t="n">
        <v>4</v>
      </c>
      <c r="Q657" t="n">
        <v>1</v>
      </c>
      <c r="R657" t="n">
        <v>1</v>
      </c>
      <c r="S657" t="n">
        <v>1958</v>
      </c>
      <c r="T657" t="s">
        <v>10356</v>
      </c>
      <c r="U657" t="s">
        <v>10357</v>
      </c>
      <c r="V657" t="s">
        <v>74</v>
      </c>
      <c r="W657" t="s">
        <v>10358</v>
      </c>
      <c r="X657"/>
      <c r="Y657"/>
      <c r="Z657"/>
      <c r="AA657" t="s">
        <v>10359</v>
      </c>
      <c r="AB657" t="s">
        <v>10360</v>
      </c>
      <c r="AC657" t="n">
        <v>2</v>
      </c>
      <c r="AD657"/>
      <c r="AE657"/>
      <c r="AF657" t="s">
        <v>3794</v>
      </c>
      <c r="AG657" t="n">
        <v>94</v>
      </c>
    </row>
    <row r="658">
      <c r="A658" t="s">
        <v>10361</v>
      </c>
      <c r="B658" t="s">
        <v>26</v>
      </c>
      <c r="C658" t="s">
        <v>65</v>
      </c>
      <c r="D658" t="s">
        <v>10362</v>
      </c>
      <c r="E658" t="s">
        <v>3789</v>
      </c>
      <c r="F658" t="s">
        <v>3790</v>
      </c>
      <c r="G658" t="s">
        <v>3797</v>
      </c>
      <c r="H658" t="n">
        <v>38.0891333979592</v>
      </c>
      <c r="I658" t="n">
        <v>-102.619460244898</v>
      </c>
      <c r="J658" t="s">
        <v>35</v>
      </c>
      <c r="K658" t="s">
        <v>70</v>
      </c>
      <c r="L658"/>
      <c r="M658" t="n">
        <v>1966</v>
      </c>
      <c r="N658" t="n">
        <v>1974</v>
      </c>
      <c r="O658" t="s">
        <v>10363</v>
      </c>
      <c r="P658" t="n">
        <v>4</v>
      </c>
      <c r="Q658" t="n">
        <v>3</v>
      </c>
      <c r="R658" t="n">
        <v>3</v>
      </c>
      <c r="S658" t="n">
        <v>1920</v>
      </c>
      <c r="T658" t="s">
        <v>10364</v>
      </c>
      <c r="U658" t="s">
        <v>10365</v>
      </c>
      <c r="V658" t="s">
        <v>74</v>
      </c>
      <c r="W658" t="s">
        <v>10366</v>
      </c>
      <c r="X658"/>
      <c r="Y658"/>
      <c r="Z658"/>
      <c r="AA658" t="s">
        <v>10367</v>
      </c>
      <c r="AB658" t="s">
        <v>10368</v>
      </c>
      <c r="AC658" t="n">
        <v>6</v>
      </c>
      <c r="AD658"/>
      <c r="AE658"/>
      <c r="AF658" t="s">
        <v>10369</v>
      </c>
      <c r="AG658" t="n">
        <v>104</v>
      </c>
    </row>
    <row r="659">
      <c r="A659" t="s">
        <v>10370</v>
      </c>
      <c r="B659" t="s">
        <v>26</v>
      </c>
      <c r="C659" t="s">
        <v>24</v>
      </c>
      <c r="D659" t="s">
        <v>10371</v>
      </c>
      <c r="E659" t="s">
        <v>3789</v>
      </c>
      <c r="F659" t="s">
        <v>3790</v>
      </c>
      <c r="G659" t="s">
        <v>3797</v>
      </c>
      <c r="H659" t="n">
        <v>38.0892153877551</v>
      </c>
      <c r="I659" t="n">
        <v>-102.618972061224</v>
      </c>
      <c r="J659" t="s">
        <v>4109</v>
      </c>
      <c r="K659" t="s">
        <v>70</v>
      </c>
      <c r="L659"/>
      <c r="M659" t="n">
        <v>1968</v>
      </c>
      <c r="N659" t="n">
        <v>1968</v>
      </c>
      <c r="O659" t="s">
        <v>1349</v>
      </c>
      <c r="P659" t="n">
        <v>1</v>
      </c>
      <c r="Q659" t="n">
        <v>1</v>
      </c>
      <c r="R659" t="n">
        <v>1</v>
      </c>
      <c r="S659" t="n">
        <v>1920</v>
      </c>
      <c r="T659" t="s">
        <v>10372</v>
      </c>
      <c r="U659" t="s">
        <v>10373</v>
      </c>
      <c r="V659" t="s">
        <v>74</v>
      </c>
      <c r="W659" t="s">
        <v>10374</v>
      </c>
      <c r="X659"/>
      <c r="Y659" t="s">
        <v>10375</v>
      </c>
      <c r="Z659"/>
      <c r="AA659" t="s">
        <v>10376</v>
      </c>
      <c r="AB659" t="s">
        <v>10377</v>
      </c>
      <c r="AC659" t="n">
        <v>28</v>
      </c>
      <c r="AD659"/>
      <c r="AE659"/>
      <c r="AF659" t="s">
        <v>10378</v>
      </c>
      <c r="AG659" t="n">
        <v>113</v>
      </c>
    </row>
    <row r="660">
      <c r="A660" t="s">
        <v>10379</v>
      </c>
      <c r="B660" t="s">
        <v>26</v>
      </c>
      <c r="C660" t="s">
        <v>24</v>
      </c>
      <c r="D660" t="s">
        <v>10380</v>
      </c>
      <c r="E660" t="s">
        <v>3803</v>
      </c>
      <c r="F660" t="s">
        <v>3804</v>
      </c>
      <c r="G660"/>
      <c r="H660" t="n">
        <v>38.2717415538563</v>
      </c>
      <c r="I660" t="n">
        <v>-104.607057440761</v>
      </c>
      <c r="J660" t="s">
        <v>4109</v>
      </c>
      <c r="K660" t="s">
        <v>70</v>
      </c>
      <c r="L660"/>
      <c r="M660" t="n">
        <v>1965</v>
      </c>
      <c r="N660" t="n">
        <v>1966</v>
      </c>
      <c r="O660" t="s">
        <v>1275</v>
      </c>
      <c r="P660" t="n">
        <v>2</v>
      </c>
      <c r="Q660" t="n">
        <v>2</v>
      </c>
      <c r="R660" t="n">
        <v>1</v>
      </c>
      <c r="S660" t="n">
        <v>1945</v>
      </c>
      <c r="T660" t="s">
        <v>10381</v>
      </c>
      <c r="U660" t="s">
        <v>10382</v>
      </c>
      <c r="V660" t="s">
        <v>74</v>
      </c>
      <c r="W660" t="s">
        <v>10383</v>
      </c>
      <c r="X660"/>
      <c r="Y660" t="s">
        <v>10384</v>
      </c>
      <c r="Z660"/>
      <c r="AA660" t="s">
        <v>10385</v>
      </c>
      <c r="AB660" t="s">
        <v>10386</v>
      </c>
      <c r="AC660" t="n">
        <v>215</v>
      </c>
      <c r="AD660"/>
      <c r="AE660"/>
      <c r="AF660" t="s">
        <v>10387</v>
      </c>
      <c r="AG660" t="n">
        <v>135</v>
      </c>
    </row>
    <row r="661">
      <c r="A661" t="s">
        <v>10388</v>
      </c>
      <c r="B661" t="s">
        <v>26</v>
      </c>
      <c r="C661" t="s">
        <v>24</v>
      </c>
      <c r="D661" t="s">
        <v>10389</v>
      </c>
      <c r="E661" t="s">
        <v>3803</v>
      </c>
      <c r="F661" t="s">
        <v>3804</v>
      </c>
      <c r="G661"/>
      <c r="H661" t="n">
        <v>38.2513570923281</v>
      </c>
      <c r="I661" t="n">
        <v>-104.604254929439</v>
      </c>
      <c r="J661" t="s">
        <v>4109</v>
      </c>
      <c r="K661" t="s">
        <v>70</v>
      </c>
      <c r="L661"/>
      <c r="M661" t="n">
        <v>1965</v>
      </c>
      <c r="N661" t="n">
        <v>1974</v>
      </c>
      <c r="O661" t="s">
        <v>6911</v>
      </c>
      <c r="P661" t="n">
        <v>2</v>
      </c>
      <c r="Q661" t="n">
        <v>1</v>
      </c>
      <c r="R661" t="n">
        <v>1</v>
      </c>
      <c r="S661"/>
      <c r="T661" t="s">
        <v>10390</v>
      </c>
      <c r="U661" t="s">
        <v>10391</v>
      </c>
      <c r="V661" t="s">
        <v>74</v>
      </c>
      <c r="W661" t="s">
        <v>10392</v>
      </c>
      <c r="X661"/>
      <c r="Y661"/>
      <c r="Z661"/>
      <c r="AA661"/>
      <c r="AB661"/>
      <c r="AC661"/>
      <c r="AD661"/>
      <c r="AE661"/>
      <c r="AF661" t="s">
        <v>10393</v>
      </c>
      <c r="AG661" t="n">
        <v>174</v>
      </c>
    </row>
    <row r="662">
      <c r="A662" t="s">
        <v>10394</v>
      </c>
      <c r="B662" t="s">
        <v>26</v>
      </c>
      <c r="C662" t="s">
        <v>65</v>
      </c>
      <c r="D662" t="s">
        <v>10395</v>
      </c>
      <c r="E662" t="s">
        <v>3803</v>
      </c>
      <c r="F662" t="s">
        <v>3804</v>
      </c>
      <c r="G662" t="s">
        <v>3841</v>
      </c>
      <c r="H662" t="n">
        <v>38.279846</v>
      </c>
      <c r="I662" t="n">
        <v>-104.636660714286</v>
      </c>
      <c r="J662" t="s">
        <v>35</v>
      </c>
      <c r="K662" t="s">
        <v>533</v>
      </c>
      <c r="L662"/>
      <c r="M662" t="n">
        <v>1966</v>
      </c>
      <c r="N662" t="n">
        <v>1992</v>
      </c>
      <c r="O662" t="s">
        <v>10396</v>
      </c>
      <c r="P662" t="n">
        <v>6</v>
      </c>
      <c r="Q662" t="n">
        <v>2</v>
      </c>
      <c r="R662" t="n">
        <v>2</v>
      </c>
      <c r="S662" t="n">
        <v>1923</v>
      </c>
      <c r="T662" t="s">
        <v>10397</v>
      </c>
      <c r="U662" t="s">
        <v>10398</v>
      </c>
      <c r="V662" t="s">
        <v>74</v>
      </c>
      <c r="W662" t="s">
        <v>10399</v>
      </c>
      <c r="X662"/>
      <c r="Y662"/>
      <c r="Z662"/>
      <c r="AA662"/>
      <c r="AB662" t="s">
        <v>10400</v>
      </c>
      <c r="AC662" t="n">
        <v>27</v>
      </c>
      <c r="AD662"/>
      <c r="AE662"/>
      <c r="AF662"/>
      <c r="AG662"/>
    </row>
    <row r="663">
      <c r="A663" t="s">
        <v>10401</v>
      </c>
      <c r="B663" t="s">
        <v>26</v>
      </c>
      <c r="C663" t="s">
        <v>65</v>
      </c>
      <c r="D663" t="s">
        <v>10402</v>
      </c>
      <c r="E663" t="s">
        <v>3803</v>
      </c>
      <c r="F663" t="s">
        <v>3804</v>
      </c>
      <c r="G663" t="s">
        <v>3836</v>
      </c>
      <c r="H663" t="n">
        <v>38.2438905072392</v>
      </c>
      <c r="I663" t="n">
        <v>-104.613656977377</v>
      </c>
      <c r="J663" t="s">
        <v>35</v>
      </c>
      <c r="K663" t="s">
        <v>141</v>
      </c>
      <c r="L663"/>
      <c r="M663" t="n">
        <v>1966</v>
      </c>
      <c r="N663" t="n">
        <v>1968</v>
      </c>
      <c r="O663" t="s">
        <v>1556</v>
      </c>
      <c r="P663" t="n">
        <v>2</v>
      </c>
      <c r="Q663" t="n">
        <v>2</v>
      </c>
      <c r="R663" t="n">
        <v>2</v>
      </c>
      <c r="S663" t="n">
        <v>1963</v>
      </c>
      <c r="T663" t="s">
        <v>10403</v>
      </c>
      <c r="U663" t="s">
        <v>10404</v>
      </c>
      <c r="V663" t="s">
        <v>74</v>
      </c>
      <c r="W663" t="s">
        <v>10392</v>
      </c>
      <c r="X663"/>
      <c r="Y663"/>
      <c r="Z663"/>
      <c r="AA663" t="s">
        <v>10405</v>
      </c>
      <c r="AB663"/>
      <c r="AC663"/>
      <c r="AD663"/>
      <c r="AE663"/>
      <c r="AF663"/>
      <c r="AG663"/>
    </row>
    <row r="664">
      <c r="A664" t="s">
        <v>10406</v>
      </c>
      <c r="B664" t="s">
        <v>26</v>
      </c>
      <c r="C664" t="s">
        <v>65</v>
      </c>
      <c r="D664" t="s">
        <v>10407</v>
      </c>
      <c r="E664" t="s">
        <v>3803</v>
      </c>
      <c r="F664" t="s">
        <v>3804</v>
      </c>
      <c r="G664" t="s">
        <v>3805</v>
      </c>
      <c r="H664" t="n">
        <v>38.260786</v>
      </c>
      <c r="I664" t="n">
        <v>-104.60687</v>
      </c>
      <c r="J664" t="s">
        <v>35</v>
      </c>
      <c r="K664" t="s">
        <v>89</v>
      </c>
      <c r="L664"/>
      <c r="M664" t="n">
        <v>1966</v>
      </c>
      <c r="N664" t="n">
        <v>1970</v>
      </c>
      <c r="O664" t="s">
        <v>1349</v>
      </c>
      <c r="P664" t="n">
        <v>3</v>
      </c>
      <c r="Q664" t="n">
        <v>1</v>
      </c>
      <c r="R664" t="n">
        <v>1</v>
      </c>
      <c r="S664"/>
      <c r="T664" t="s">
        <v>10408</v>
      </c>
      <c r="U664" t="s">
        <v>10409</v>
      </c>
      <c r="V664" t="s">
        <v>74</v>
      </c>
      <c r="W664" t="s">
        <v>10410</v>
      </c>
      <c r="X664"/>
      <c r="Y664" t="s">
        <v>10411</v>
      </c>
      <c r="Z664"/>
      <c r="AA664"/>
      <c r="AB664" t="s">
        <v>10412</v>
      </c>
      <c r="AC664" t="n">
        <v>68</v>
      </c>
      <c r="AD664"/>
      <c r="AE664"/>
      <c r="AF664" t="s">
        <v>10413</v>
      </c>
      <c r="AG664" t="n">
        <v>11</v>
      </c>
    </row>
    <row r="665">
      <c r="A665" t="s">
        <v>10414</v>
      </c>
      <c r="B665" t="s">
        <v>26</v>
      </c>
      <c r="C665" t="s">
        <v>65</v>
      </c>
      <c r="D665" t="s">
        <v>10415</v>
      </c>
      <c r="E665" t="s">
        <v>3803</v>
      </c>
      <c r="F665" t="s">
        <v>3804</v>
      </c>
      <c r="G665" t="s">
        <v>3805</v>
      </c>
      <c r="H665" t="n">
        <v>38.2697171913574</v>
      </c>
      <c r="I665" t="n">
        <v>-104.611600299136</v>
      </c>
      <c r="J665" t="s">
        <v>35</v>
      </c>
      <c r="K665" t="s">
        <v>70</v>
      </c>
      <c r="L665"/>
      <c r="M665" t="n">
        <v>1966</v>
      </c>
      <c r="N665" t="n">
        <v>1990</v>
      </c>
      <c r="O665" t="s">
        <v>1349</v>
      </c>
      <c r="P665" t="n">
        <v>6</v>
      </c>
      <c r="Q665" t="n">
        <v>5</v>
      </c>
      <c r="R665" t="n">
        <v>1</v>
      </c>
      <c r="S665" t="n">
        <v>1949</v>
      </c>
      <c r="T665" t="s">
        <v>10416</v>
      </c>
      <c r="U665" t="s">
        <v>10417</v>
      </c>
      <c r="V665" t="s">
        <v>74</v>
      </c>
      <c r="W665" t="s">
        <v>10418</v>
      </c>
      <c r="X665"/>
      <c r="Y665"/>
      <c r="Z665"/>
      <c r="AA665" t="s">
        <v>10419</v>
      </c>
      <c r="AB665" t="s">
        <v>10420</v>
      </c>
      <c r="AC665" t="n">
        <v>36</v>
      </c>
      <c r="AD665"/>
      <c r="AE665"/>
      <c r="AF665" t="s">
        <v>10421</v>
      </c>
      <c r="AG665" t="n">
        <v>127</v>
      </c>
    </row>
    <row r="666">
      <c r="A666" t="s">
        <v>10422</v>
      </c>
      <c r="B666" t="s">
        <v>26</v>
      </c>
      <c r="C666" t="s">
        <v>65</v>
      </c>
      <c r="D666" t="s">
        <v>10423</v>
      </c>
      <c r="E666" t="s">
        <v>3803</v>
      </c>
      <c r="F666" t="s">
        <v>3804</v>
      </c>
      <c r="G666" t="s">
        <v>3805</v>
      </c>
      <c r="H666" t="n">
        <v>38.2571967751446</v>
      </c>
      <c r="I666" t="n">
        <v>-104.606860190555</v>
      </c>
      <c r="J666" t="s">
        <v>35</v>
      </c>
      <c r="K666" t="s">
        <v>2274</v>
      </c>
      <c r="L666"/>
      <c r="M666" t="n">
        <v>1966</v>
      </c>
      <c r="N666" t="n">
        <v>1974</v>
      </c>
      <c r="O666" t="s">
        <v>10424</v>
      </c>
      <c r="P666" t="n">
        <v>4</v>
      </c>
      <c r="Q666" t="n">
        <v>4</v>
      </c>
      <c r="R666" t="n">
        <v>3</v>
      </c>
      <c r="S666" t="n">
        <v>1947</v>
      </c>
      <c r="T666" t="s">
        <v>10425</v>
      </c>
      <c r="U666" t="s">
        <v>10426</v>
      </c>
      <c r="V666" t="s">
        <v>74</v>
      </c>
      <c r="W666" t="s">
        <v>10392</v>
      </c>
      <c r="X666"/>
      <c r="Y666" t="s">
        <v>10427</v>
      </c>
      <c r="Z666"/>
      <c r="AA666"/>
      <c r="AB666" t="s">
        <v>10412</v>
      </c>
      <c r="AC666" t="n">
        <v>164</v>
      </c>
      <c r="AD666"/>
      <c r="AE666"/>
      <c r="AF666" t="s">
        <v>10428</v>
      </c>
      <c r="AG666" t="n">
        <v>7</v>
      </c>
    </row>
    <row r="667">
      <c r="A667" t="s">
        <v>10429</v>
      </c>
      <c r="B667" t="s">
        <v>26</v>
      </c>
      <c r="C667" t="s">
        <v>24</v>
      </c>
      <c r="D667" t="s">
        <v>10430</v>
      </c>
      <c r="E667" t="s">
        <v>3803</v>
      </c>
      <c r="F667" t="s">
        <v>3804</v>
      </c>
      <c r="G667" t="s">
        <v>3841</v>
      </c>
      <c r="H667" t="n">
        <v>38.2491228388032</v>
      </c>
      <c r="I667" t="n">
        <v>-104.599526755098</v>
      </c>
      <c r="J667" t="s">
        <v>4109</v>
      </c>
      <c r="K667" t="s">
        <v>5187</v>
      </c>
      <c r="L667" t="s">
        <v>98</v>
      </c>
      <c r="M667" t="n">
        <v>1966</v>
      </c>
      <c r="N667" t="n">
        <v>1990</v>
      </c>
      <c r="O667" t="s">
        <v>10431</v>
      </c>
      <c r="P667" t="n">
        <v>7</v>
      </c>
      <c r="Q667" t="n">
        <v>5</v>
      </c>
      <c r="R667" t="n">
        <v>4</v>
      </c>
      <c r="S667" t="n">
        <v>1950</v>
      </c>
      <c r="T667" t="s">
        <v>10432</v>
      </c>
      <c r="U667" t="s">
        <v>10433</v>
      </c>
      <c r="V667" t="s">
        <v>74</v>
      </c>
      <c r="W667" t="s">
        <v>10434</v>
      </c>
      <c r="X667"/>
      <c r="Y667" t="s">
        <v>10435</v>
      </c>
      <c r="Z667"/>
      <c r="AA667"/>
      <c r="AB667" t="s">
        <v>10436</v>
      </c>
      <c r="AC667" t="n">
        <v>36</v>
      </c>
      <c r="AD667" t="s">
        <v>10437</v>
      </c>
      <c r="AE667" t="n">
        <v>114</v>
      </c>
      <c r="AF667" t="s">
        <v>10438</v>
      </c>
      <c r="AG667" t="n">
        <v>37</v>
      </c>
    </row>
    <row r="668">
      <c r="A668" t="s">
        <v>10439</v>
      </c>
      <c r="B668" t="s">
        <v>26</v>
      </c>
      <c r="C668" t="s">
        <v>65</v>
      </c>
      <c r="D668" t="s">
        <v>10440</v>
      </c>
      <c r="E668" t="s">
        <v>3803</v>
      </c>
      <c r="F668" t="s">
        <v>3804</v>
      </c>
      <c r="G668" t="s">
        <v>3836</v>
      </c>
      <c r="H668" t="n">
        <v>38.2441468211921</v>
      </c>
      <c r="I668" t="n">
        <v>-104.600585395686</v>
      </c>
      <c r="J668" t="s">
        <v>35</v>
      </c>
      <c r="K668" t="s">
        <v>1282</v>
      </c>
      <c r="L668"/>
      <c r="M668" t="n">
        <v>1966</v>
      </c>
      <c r="N668" t="n">
        <v>1992</v>
      </c>
      <c r="O668" t="s">
        <v>10441</v>
      </c>
      <c r="P668" t="n">
        <v>10</v>
      </c>
      <c r="Q668" t="n">
        <v>5</v>
      </c>
      <c r="R668" t="n">
        <v>4</v>
      </c>
      <c r="S668" t="n">
        <v>1917</v>
      </c>
      <c r="T668" t="s">
        <v>10442</v>
      </c>
      <c r="U668" t="s">
        <v>10443</v>
      </c>
      <c r="V668" t="s">
        <v>74</v>
      </c>
      <c r="W668" t="s">
        <v>10444</v>
      </c>
      <c r="X668"/>
      <c r="Y668" t="s">
        <v>10445</v>
      </c>
      <c r="Z668"/>
      <c r="AA668" t="s">
        <v>10446</v>
      </c>
      <c r="AB668"/>
      <c r="AC668"/>
      <c r="AD668"/>
      <c r="AE668"/>
      <c r="AF668" t="s">
        <v>10447</v>
      </c>
      <c r="AG668" t="n">
        <v>95</v>
      </c>
    </row>
    <row r="669">
      <c r="A669" t="s">
        <v>10448</v>
      </c>
      <c r="B669" t="s">
        <v>26</v>
      </c>
      <c r="C669" t="s">
        <v>65</v>
      </c>
      <c r="D669" t="s">
        <v>10449</v>
      </c>
      <c r="E669" t="s">
        <v>3803</v>
      </c>
      <c r="F669" t="s">
        <v>3804</v>
      </c>
      <c r="G669" t="s">
        <v>3836</v>
      </c>
      <c r="H669" t="n">
        <v>38.244129941691</v>
      </c>
      <c r="I669" t="n">
        <v>-104.608303655977</v>
      </c>
      <c r="J669" t="s">
        <v>35</v>
      </c>
      <c r="K669" t="s">
        <v>70</v>
      </c>
      <c r="L669"/>
      <c r="M669" t="n">
        <v>1966</v>
      </c>
      <c r="N669" t="n">
        <v>1990</v>
      </c>
      <c r="O669" t="s">
        <v>1556</v>
      </c>
      <c r="P669" t="n">
        <v>7</v>
      </c>
      <c r="Q669" t="n">
        <v>4</v>
      </c>
      <c r="R669" t="n">
        <v>1</v>
      </c>
      <c r="S669" t="n">
        <v>1954</v>
      </c>
      <c r="T669" t="s">
        <v>10450</v>
      </c>
      <c r="U669" t="s">
        <v>10451</v>
      </c>
      <c r="V669" t="s">
        <v>74</v>
      </c>
      <c r="W669" t="s">
        <v>10444</v>
      </c>
      <c r="X669"/>
      <c r="Y669"/>
      <c r="Z669"/>
      <c r="AA669"/>
      <c r="AB669"/>
      <c r="AC669"/>
      <c r="AD669"/>
      <c r="AE669"/>
      <c r="AF669" t="s">
        <v>10447</v>
      </c>
      <c r="AG669" t="n">
        <v>73</v>
      </c>
    </row>
    <row r="670">
      <c r="A670" t="s">
        <v>10452</v>
      </c>
      <c r="B670" t="s">
        <v>26</v>
      </c>
      <c r="C670" t="s">
        <v>65</v>
      </c>
      <c r="D670" t="s">
        <v>10453</v>
      </c>
      <c r="E670" t="s">
        <v>3803</v>
      </c>
      <c r="F670" t="s">
        <v>3804</v>
      </c>
      <c r="G670" t="s">
        <v>10454</v>
      </c>
      <c r="H670" t="n">
        <v>38.2535644143885</v>
      </c>
      <c r="I670" t="n">
        <v>-104.606732272943</v>
      </c>
      <c r="J670" t="s">
        <v>35</v>
      </c>
      <c r="K670" t="s">
        <v>120</v>
      </c>
      <c r="L670"/>
      <c r="M670" t="n">
        <v>1967</v>
      </c>
      <c r="N670" t="n">
        <v>1968</v>
      </c>
      <c r="O670" t="s">
        <v>1349</v>
      </c>
      <c r="P670" t="n">
        <v>2</v>
      </c>
      <c r="Q670" t="n">
        <v>2</v>
      </c>
      <c r="R670" t="n">
        <v>1</v>
      </c>
      <c r="S670" t="n">
        <v>1948</v>
      </c>
      <c r="T670" t="s">
        <v>10455</v>
      </c>
      <c r="U670" t="s">
        <v>10456</v>
      </c>
      <c r="V670" t="s">
        <v>74</v>
      </c>
      <c r="W670" t="s">
        <v>10392</v>
      </c>
      <c r="X670"/>
      <c r="Y670"/>
      <c r="Z670"/>
      <c r="AA670"/>
      <c r="AB670" t="s">
        <v>10457</v>
      </c>
      <c r="AC670" t="n">
        <v>232</v>
      </c>
      <c r="AD670"/>
      <c r="AE670"/>
      <c r="AF670" t="s">
        <v>10393</v>
      </c>
      <c r="AG670" t="n">
        <v>154</v>
      </c>
    </row>
    <row r="671">
      <c r="A671" t="s">
        <v>10458</v>
      </c>
      <c r="B671" t="s">
        <v>26</v>
      </c>
      <c r="C671" t="s">
        <v>65</v>
      </c>
      <c r="D671" t="s">
        <v>10459</v>
      </c>
      <c r="E671" t="s">
        <v>3803</v>
      </c>
      <c r="F671" t="s">
        <v>3804</v>
      </c>
      <c r="G671" t="s">
        <v>3805</v>
      </c>
      <c r="H671" t="n">
        <v>38.2581264545454</v>
      </c>
      <c r="I671" t="n">
        <v>-104.608378701299</v>
      </c>
      <c r="J671" t="s">
        <v>35</v>
      </c>
      <c r="K671" t="s">
        <v>396</v>
      </c>
      <c r="L671"/>
      <c r="M671" t="n">
        <v>1968</v>
      </c>
      <c r="N671" t="n">
        <v>1992</v>
      </c>
      <c r="O671" t="s">
        <v>7225</v>
      </c>
      <c r="P671" t="n">
        <v>8</v>
      </c>
      <c r="Q671" t="n">
        <v>2</v>
      </c>
      <c r="R671" t="n">
        <v>2</v>
      </c>
      <c r="S671" t="n">
        <v>1879</v>
      </c>
      <c r="T671" t="s">
        <v>10460</v>
      </c>
      <c r="U671" t="s">
        <v>10461</v>
      </c>
      <c r="V671" t="s">
        <v>74</v>
      </c>
      <c r="W671" t="s">
        <v>10392</v>
      </c>
      <c r="X671"/>
      <c r="Y671"/>
      <c r="Z671"/>
      <c r="AA671"/>
      <c r="AB671" t="s">
        <v>10462</v>
      </c>
      <c r="AC671" t="n">
        <v>142</v>
      </c>
      <c r="AD671"/>
      <c r="AE671"/>
      <c r="AF671" t="s">
        <v>10463</v>
      </c>
      <c r="AG671" t="n">
        <v>166</v>
      </c>
    </row>
    <row r="672">
      <c r="A672" t="s">
        <v>10464</v>
      </c>
      <c r="B672" t="s">
        <v>26</v>
      </c>
      <c r="C672" t="s">
        <v>65</v>
      </c>
      <c r="D672" t="s">
        <v>10465</v>
      </c>
      <c r="E672" t="s">
        <v>3803</v>
      </c>
      <c r="F672" t="s">
        <v>3804</v>
      </c>
      <c r="G672" t="s">
        <v>3805</v>
      </c>
      <c r="H672" t="n">
        <v>38.2706317972177</v>
      </c>
      <c r="I672" t="n">
        <v>-104.61312093879</v>
      </c>
      <c r="J672" t="s">
        <v>35</v>
      </c>
      <c r="K672" t="s">
        <v>141</v>
      </c>
      <c r="L672"/>
      <c r="M672" t="n">
        <v>1968</v>
      </c>
      <c r="N672" t="n">
        <v>1973</v>
      </c>
      <c r="O672" t="s">
        <v>1716</v>
      </c>
      <c r="P672" t="n">
        <v>3</v>
      </c>
      <c r="Q672" t="n">
        <v>2</v>
      </c>
      <c r="R672" t="n">
        <v>2</v>
      </c>
      <c r="S672" t="n">
        <v>1921</v>
      </c>
      <c r="T672" t="s">
        <v>10466</v>
      </c>
      <c r="U672" t="s">
        <v>10467</v>
      </c>
      <c r="V672" t="s">
        <v>74</v>
      </c>
      <c r="W672" t="s">
        <v>10468</v>
      </c>
      <c r="X672"/>
      <c r="Y672"/>
      <c r="Z672"/>
      <c r="AA672"/>
      <c r="AB672" t="s">
        <v>10469</v>
      </c>
      <c r="AC672" t="n">
        <v>39</v>
      </c>
      <c r="AD672"/>
      <c r="AE672"/>
      <c r="AF672" t="s">
        <v>3850</v>
      </c>
      <c r="AG672" t="n">
        <v>107</v>
      </c>
    </row>
    <row r="673">
      <c r="A673" t="s">
        <v>10470</v>
      </c>
      <c r="B673" t="s">
        <v>26</v>
      </c>
      <c r="C673" t="s">
        <v>24</v>
      </c>
      <c r="D673" t="s">
        <v>10471</v>
      </c>
      <c r="E673" t="s">
        <v>3803</v>
      </c>
      <c r="F673" t="s">
        <v>3804</v>
      </c>
      <c r="G673" t="s">
        <v>3836</v>
      </c>
      <c r="H673" t="n">
        <v>38.2460426</v>
      </c>
      <c r="I673" t="n">
        <v>-104.61643972</v>
      </c>
      <c r="J673" t="s">
        <v>4109</v>
      </c>
      <c r="K673" t="s">
        <v>70</v>
      </c>
      <c r="L673"/>
      <c r="M673" t="n">
        <v>1968</v>
      </c>
      <c r="N673" t="n">
        <v>1968</v>
      </c>
      <c r="O673" t="s">
        <v>1349</v>
      </c>
      <c r="P673" t="n">
        <v>1</v>
      </c>
      <c r="Q673" t="n">
        <v>1</v>
      </c>
      <c r="R673" t="n">
        <v>1</v>
      </c>
      <c r="S673" t="n">
        <v>1960</v>
      </c>
      <c r="T673" t="s">
        <v>10472</v>
      </c>
      <c r="U673" t="s">
        <v>10473</v>
      </c>
      <c r="V673" t="s">
        <v>74</v>
      </c>
      <c r="W673" t="s">
        <v>10392</v>
      </c>
      <c r="X673"/>
      <c r="Y673"/>
      <c r="Z673"/>
      <c r="AA673" t="s">
        <v>10474</v>
      </c>
      <c r="AB673"/>
      <c r="AC673"/>
      <c r="AD673"/>
      <c r="AE673"/>
      <c r="AF673"/>
      <c r="AG673"/>
    </row>
    <row r="674">
      <c r="A674" t="s">
        <v>10475</v>
      </c>
      <c r="B674" t="s">
        <v>26</v>
      </c>
      <c r="C674" t="s">
        <v>24</v>
      </c>
      <c r="D674" t="s">
        <v>10476</v>
      </c>
      <c r="E674" t="s">
        <v>3803</v>
      </c>
      <c r="F674" t="s">
        <v>3804</v>
      </c>
      <c r="G674" t="s">
        <v>3887</v>
      </c>
      <c r="H674" t="n">
        <v>38.267951</v>
      </c>
      <c r="I674" t="n">
        <v>-104.602595</v>
      </c>
      <c r="J674" t="s">
        <v>4109</v>
      </c>
      <c r="K674" t="s">
        <v>70</v>
      </c>
      <c r="L674"/>
      <c r="M674" t="n">
        <v>1968</v>
      </c>
      <c r="N674" t="n">
        <v>1968</v>
      </c>
      <c r="O674" t="s">
        <v>1349</v>
      </c>
      <c r="P674" t="n">
        <v>1</v>
      </c>
      <c r="Q674" t="n">
        <v>1</v>
      </c>
      <c r="R674" t="n">
        <v>1</v>
      </c>
      <c r="S674" t="n">
        <v>1951</v>
      </c>
      <c r="T674" t="s">
        <v>10477</v>
      </c>
      <c r="U674" t="s">
        <v>10478</v>
      </c>
      <c r="V674" t="s">
        <v>74</v>
      </c>
      <c r="W674" t="s">
        <v>10479</v>
      </c>
      <c r="X674"/>
      <c r="Y674" t="s">
        <v>10480</v>
      </c>
      <c r="Z674"/>
      <c r="AA674" t="s">
        <v>10481</v>
      </c>
      <c r="AB674" t="s">
        <v>10482</v>
      </c>
      <c r="AC674" t="n">
        <v>179</v>
      </c>
      <c r="AD674"/>
      <c r="AE674"/>
      <c r="AF674" t="s">
        <v>10483</v>
      </c>
      <c r="AG674" t="n">
        <v>79</v>
      </c>
    </row>
    <row r="675">
      <c r="A675" t="s">
        <v>10484</v>
      </c>
      <c r="B675" t="s">
        <v>26</v>
      </c>
      <c r="C675" t="s">
        <v>65</v>
      </c>
      <c r="D675" t="s">
        <v>10485</v>
      </c>
      <c r="E675" t="s">
        <v>3803</v>
      </c>
      <c r="F675" t="s">
        <v>3804</v>
      </c>
      <c r="G675" t="s">
        <v>3841</v>
      </c>
      <c r="H675" t="n">
        <v>38.2798133333333</v>
      </c>
      <c r="I675" t="n">
        <v>-104.634733686869</v>
      </c>
      <c r="J675" t="s">
        <v>35</v>
      </c>
      <c r="K675" t="s">
        <v>533</v>
      </c>
      <c r="L675"/>
      <c r="M675" t="n">
        <v>1970</v>
      </c>
      <c r="N675" t="n">
        <v>1983</v>
      </c>
      <c r="O675" t="s">
        <v>10486</v>
      </c>
      <c r="P675" t="n">
        <v>3</v>
      </c>
      <c r="Q675" t="n">
        <v>1</v>
      </c>
      <c r="R675" t="n">
        <v>1</v>
      </c>
      <c r="S675" t="n">
        <v>1923</v>
      </c>
      <c r="T675" t="s">
        <v>10487</v>
      </c>
      <c r="U675" t="s">
        <v>10488</v>
      </c>
      <c r="V675" t="s">
        <v>74</v>
      </c>
      <c r="W675" t="s">
        <v>10489</v>
      </c>
      <c r="X675"/>
      <c r="Y675"/>
      <c r="Z675"/>
      <c r="AA675"/>
      <c r="AB675" t="s">
        <v>10400</v>
      </c>
      <c r="AC675" t="n">
        <v>195</v>
      </c>
      <c r="AD675"/>
      <c r="AE675"/>
      <c r="AF675"/>
      <c r="AG675"/>
    </row>
    <row r="676">
      <c r="A676" t="s">
        <v>10490</v>
      </c>
      <c r="B676" t="s">
        <v>26</v>
      </c>
      <c r="C676" t="s">
        <v>65</v>
      </c>
      <c r="D676" t="s">
        <v>10491</v>
      </c>
      <c r="E676" t="s">
        <v>3803</v>
      </c>
      <c r="F676" t="s">
        <v>3804</v>
      </c>
      <c r="G676" t="s">
        <v>3859</v>
      </c>
      <c r="H676" t="n">
        <v>38.2461232244898</v>
      </c>
      <c r="I676" t="n">
        <v>-104.605817632653</v>
      </c>
      <c r="J676" t="s">
        <v>35</v>
      </c>
      <c r="K676" t="s">
        <v>81</v>
      </c>
      <c r="L676"/>
      <c r="M676" t="n">
        <v>1973</v>
      </c>
      <c r="N676" t="n">
        <v>1983</v>
      </c>
      <c r="O676" t="s">
        <v>2439</v>
      </c>
      <c r="P676" t="n">
        <v>5</v>
      </c>
      <c r="Q676" t="n">
        <v>2</v>
      </c>
      <c r="R676" t="n">
        <v>1</v>
      </c>
      <c r="S676" t="n">
        <v>1949</v>
      </c>
      <c r="T676" t="s">
        <v>10492</v>
      </c>
      <c r="U676" t="s">
        <v>10493</v>
      </c>
      <c r="V676" t="s">
        <v>74</v>
      </c>
      <c r="W676" t="s">
        <v>10392</v>
      </c>
      <c r="X676"/>
      <c r="Y676"/>
      <c r="Z676"/>
      <c r="AA676"/>
      <c r="AB676"/>
      <c r="AC676"/>
      <c r="AD676"/>
      <c r="AE676"/>
      <c r="AF676" t="s">
        <v>10494</v>
      </c>
      <c r="AG676" t="n">
        <v>124</v>
      </c>
    </row>
    <row r="677">
      <c r="A677" t="s">
        <v>10495</v>
      </c>
      <c r="B677" t="s">
        <v>26</v>
      </c>
      <c r="C677" t="s">
        <v>65</v>
      </c>
      <c r="D677" t="s">
        <v>10496</v>
      </c>
      <c r="E677" t="s">
        <v>3803</v>
      </c>
      <c r="F677" t="s">
        <v>3804</v>
      </c>
      <c r="G677" t="s">
        <v>3836</v>
      </c>
      <c r="H677" t="n">
        <v>38.240888122449</v>
      </c>
      <c r="I677" t="n">
        <v>-104.61377844898</v>
      </c>
      <c r="J677" t="s">
        <v>35</v>
      </c>
      <c r="K677" t="s">
        <v>796</v>
      </c>
      <c r="L677" t="s">
        <v>554</v>
      </c>
      <c r="M677" t="n">
        <v>1980</v>
      </c>
      <c r="N677" t="n">
        <v>1990</v>
      </c>
      <c r="O677" t="s">
        <v>540</v>
      </c>
      <c r="P677" t="n">
        <v>4</v>
      </c>
      <c r="Q677" t="n">
        <v>2</v>
      </c>
      <c r="R677" t="n">
        <v>2</v>
      </c>
      <c r="S677" t="n">
        <v>1964</v>
      </c>
      <c r="T677" t="s">
        <v>10497</v>
      </c>
      <c r="U677" t="s">
        <v>10498</v>
      </c>
      <c r="V677" t="s">
        <v>74</v>
      </c>
      <c r="W677" t="s">
        <v>10392</v>
      </c>
      <c r="X677"/>
      <c r="Y677"/>
      <c r="Z677"/>
      <c r="AA677"/>
      <c r="AB677"/>
      <c r="AC677"/>
      <c r="AD677"/>
      <c r="AE677"/>
      <c r="AF677" t="s">
        <v>10499</v>
      </c>
      <c r="AG677" t="n">
        <v>161</v>
      </c>
    </row>
    <row r="678">
      <c r="A678" t="s">
        <v>10500</v>
      </c>
      <c r="B678" t="s">
        <v>26</v>
      </c>
      <c r="C678" t="s">
        <v>24</v>
      </c>
      <c r="D678" t="s">
        <v>10501</v>
      </c>
      <c r="E678" t="s">
        <v>3803</v>
      </c>
      <c r="F678" t="s">
        <v>3804</v>
      </c>
      <c r="G678" t="s">
        <v>3887</v>
      </c>
      <c r="H678" t="n">
        <v>38.282051</v>
      </c>
      <c r="I678" t="n">
        <v>-104.490762</v>
      </c>
      <c r="J678" t="s">
        <v>4109</v>
      </c>
      <c r="K678" t="s">
        <v>70</v>
      </c>
      <c r="L678"/>
      <c r="M678" t="n">
        <v>1983</v>
      </c>
      <c r="N678" t="n">
        <v>1983</v>
      </c>
      <c r="O678" t="s">
        <v>264</v>
      </c>
      <c r="P678" t="n">
        <v>1</v>
      </c>
      <c r="Q678" t="n">
        <v>1</v>
      </c>
      <c r="R678" t="n">
        <v>1</v>
      </c>
      <c r="S678" t="n">
        <v>1981</v>
      </c>
      <c r="T678" t="s">
        <v>10502</v>
      </c>
      <c r="U678" t="s">
        <v>10503</v>
      </c>
      <c r="V678" t="s">
        <v>74</v>
      </c>
      <c r="W678" t="s">
        <v>10504</v>
      </c>
      <c r="X678"/>
      <c r="Y678" t="s">
        <v>10505</v>
      </c>
      <c r="Z678"/>
      <c r="AA678" t="s">
        <v>10506</v>
      </c>
      <c r="AB678" t="s">
        <v>10507</v>
      </c>
      <c r="AC678" t="n">
        <v>98</v>
      </c>
      <c r="AD678"/>
      <c r="AE678"/>
      <c r="AF678" t="s">
        <v>10508</v>
      </c>
      <c r="AG678" t="n">
        <v>222</v>
      </c>
    </row>
    <row r="679">
      <c r="A679" t="s">
        <v>10509</v>
      </c>
      <c r="B679" t="s">
        <v>26</v>
      </c>
      <c r="C679" t="s">
        <v>24</v>
      </c>
      <c r="D679" t="s">
        <v>10510</v>
      </c>
      <c r="E679" t="s">
        <v>3803</v>
      </c>
      <c r="F679" t="s">
        <v>3804</v>
      </c>
      <c r="G679" t="s">
        <v>3859</v>
      </c>
      <c r="H679" t="n">
        <v>38.255952</v>
      </c>
      <c r="I679" t="n">
        <v>-104.607555</v>
      </c>
      <c r="J679" t="s">
        <v>4109</v>
      </c>
      <c r="K679" t="s">
        <v>70</v>
      </c>
      <c r="L679"/>
      <c r="M679" t="n">
        <v>1988</v>
      </c>
      <c r="N679" t="n">
        <v>1988</v>
      </c>
      <c r="O679" t="s">
        <v>325</v>
      </c>
      <c r="P679" t="n">
        <v>1</v>
      </c>
      <c r="Q679" t="n">
        <v>1</v>
      </c>
      <c r="R679" t="n">
        <v>1</v>
      </c>
      <c r="S679" t="n">
        <v>1986</v>
      </c>
      <c r="T679" t="s">
        <v>10511</v>
      </c>
      <c r="U679" t="s">
        <v>10512</v>
      </c>
      <c r="V679" t="s">
        <v>74</v>
      </c>
      <c r="W679" t="s">
        <v>10513</v>
      </c>
      <c r="X679"/>
      <c r="Y679" t="s">
        <v>10514</v>
      </c>
      <c r="Z679"/>
      <c r="AA679" t="s">
        <v>10515</v>
      </c>
      <c r="AB679" t="s">
        <v>10516</v>
      </c>
      <c r="AC679" t="n">
        <v>189</v>
      </c>
      <c r="AD679"/>
      <c r="AE679"/>
      <c r="AF679" t="s">
        <v>10428</v>
      </c>
      <c r="AG679" t="n">
        <v>156</v>
      </c>
    </row>
    <row r="680">
      <c r="A680" t="s">
        <v>10517</v>
      </c>
      <c r="B680" t="s">
        <v>26</v>
      </c>
      <c r="C680" t="s">
        <v>65</v>
      </c>
      <c r="D680" t="s">
        <v>10518</v>
      </c>
      <c r="E680" t="s">
        <v>3803</v>
      </c>
      <c r="F680" t="s">
        <v>3804</v>
      </c>
      <c r="G680" t="s">
        <v>3887</v>
      </c>
      <c r="H680" t="n">
        <v>38.279762</v>
      </c>
      <c r="I680" t="n">
        <v>-104.494762</v>
      </c>
      <c r="J680" t="s">
        <v>35</v>
      </c>
      <c r="K680" t="s">
        <v>70</v>
      </c>
      <c r="L680"/>
      <c r="M680" t="n">
        <v>1990</v>
      </c>
      <c r="N680" t="n">
        <v>1990</v>
      </c>
      <c r="O680" t="s">
        <v>351</v>
      </c>
      <c r="P680" t="n">
        <v>1</v>
      </c>
      <c r="Q680" t="n">
        <v>1</v>
      </c>
      <c r="R680" t="n">
        <v>1</v>
      </c>
      <c r="S680" t="n">
        <v>1987</v>
      </c>
      <c r="T680" t="s">
        <v>10519</v>
      </c>
      <c r="U680" t="s">
        <v>10520</v>
      </c>
      <c r="V680" t="s">
        <v>74</v>
      </c>
      <c r="W680" t="s">
        <v>10521</v>
      </c>
      <c r="X680"/>
      <c r="Y680" t="s">
        <v>10522</v>
      </c>
      <c r="Z680"/>
      <c r="AA680" t="s">
        <v>10523</v>
      </c>
      <c r="AB680" t="s">
        <v>10524</v>
      </c>
      <c r="AC680" t="n">
        <v>6</v>
      </c>
      <c r="AD680"/>
      <c r="AE680"/>
      <c r="AF680" t="s">
        <v>10525</v>
      </c>
      <c r="AG680" t="n">
        <v>89</v>
      </c>
    </row>
    <row r="681">
      <c r="A681" t="s">
        <v>10526</v>
      </c>
      <c r="B681" t="s">
        <v>26</v>
      </c>
      <c r="C681" t="s">
        <v>65</v>
      </c>
      <c r="D681" t="s">
        <v>10527</v>
      </c>
      <c r="E681" t="s">
        <v>3803</v>
      </c>
      <c r="F681" t="s">
        <v>3804</v>
      </c>
      <c r="G681" t="s">
        <v>3805</v>
      </c>
      <c r="H681" t="n">
        <v>38.2771372667178</v>
      </c>
      <c r="I681" t="n">
        <v>-104.606958691025</v>
      </c>
      <c r="J681" t="s">
        <v>35</v>
      </c>
      <c r="K681" t="s">
        <v>120</v>
      </c>
      <c r="L681"/>
      <c r="M681" t="n">
        <v>1990</v>
      </c>
      <c r="N681" t="n">
        <v>1990</v>
      </c>
      <c r="O681" t="s">
        <v>351</v>
      </c>
      <c r="P681" t="n">
        <v>1</v>
      </c>
      <c r="Q681" t="n">
        <v>1</v>
      </c>
      <c r="R681" t="n">
        <v>1</v>
      </c>
      <c r="S681" t="n">
        <v>1945</v>
      </c>
      <c r="T681" t="s">
        <v>10528</v>
      </c>
      <c r="U681" t="s">
        <v>10529</v>
      </c>
      <c r="V681" t="s">
        <v>74</v>
      </c>
      <c r="W681" t="s">
        <v>10530</v>
      </c>
      <c r="X681"/>
      <c r="Y681" t="s">
        <v>10531</v>
      </c>
      <c r="Z681"/>
      <c r="AA681"/>
      <c r="AB681" t="s">
        <v>10532</v>
      </c>
      <c r="AC681" t="n">
        <v>23</v>
      </c>
      <c r="AD681"/>
      <c r="AE681"/>
      <c r="AF681" t="s">
        <v>10533</v>
      </c>
      <c r="AG681" t="n">
        <v>22</v>
      </c>
    </row>
    <row r="682">
      <c r="A682" t="s">
        <v>10534</v>
      </c>
      <c r="B682" t="s">
        <v>26</v>
      </c>
      <c r="C682" t="s">
        <v>24</v>
      </c>
      <c r="D682" t="s">
        <v>10535</v>
      </c>
      <c r="E682" t="s">
        <v>10536</v>
      </c>
      <c r="F682" t="s">
        <v>10537</v>
      </c>
      <c r="G682" t="s">
        <v>10538</v>
      </c>
      <c r="H682" t="n">
        <v>37.5801605875555</v>
      </c>
      <c r="I682" t="n">
        <v>-106.149500227802</v>
      </c>
      <c r="J682" t="s">
        <v>4109</v>
      </c>
      <c r="K682" t="s">
        <v>89</v>
      </c>
      <c r="L682" t="s">
        <v>1337</v>
      </c>
      <c r="M682" t="n">
        <v>1966</v>
      </c>
      <c r="N682" t="n">
        <v>1990</v>
      </c>
      <c r="O682" t="s">
        <v>10539</v>
      </c>
      <c r="P682" t="n">
        <v>11</v>
      </c>
      <c r="Q682" t="n">
        <v>5</v>
      </c>
      <c r="R682" t="n">
        <v>5</v>
      </c>
      <c r="S682" t="n">
        <v>1936</v>
      </c>
      <c r="T682" t="s">
        <v>10540</v>
      </c>
      <c r="U682" t="s">
        <v>10541</v>
      </c>
      <c r="V682" t="s">
        <v>74</v>
      </c>
      <c r="W682" t="s">
        <v>10542</v>
      </c>
      <c r="X682"/>
      <c r="Y682" t="s">
        <v>10543</v>
      </c>
      <c r="Z682"/>
      <c r="AA682" t="s">
        <v>10544</v>
      </c>
      <c r="AB682" t="s">
        <v>10545</v>
      </c>
      <c r="AC682" t="n">
        <v>245</v>
      </c>
      <c r="AD682"/>
      <c r="AE682"/>
      <c r="AF682" t="s">
        <v>10546</v>
      </c>
      <c r="AG682" t="n">
        <v>113</v>
      </c>
    </row>
    <row r="683">
      <c r="A683" t="s">
        <v>10547</v>
      </c>
      <c r="B683" t="s">
        <v>26</v>
      </c>
      <c r="C683" t="s">
        <v>24</v>
      </c>
      <c r="D683" t="s">
        <v>10548</v>
      </c>
      <c r="E683" t="s">
        <v>10536</v>
      </c>
      <c r="F683" t="s">
        <v>10537</v>
      </c>
      <c r="G683" t="s">
        <v>10538</v>
      </c>
      <c r="H683" t="n">
        <v>37.5822946870473</v>
      </c>
      <c r="I683" t="n">
        <v>-106.149475</v>
      </c>
      <c r="J683" t="s">
        <v>4109</v>
      </c>
      <c r="K683" t="s">
        <v>89</v>
      </c>
      <c r="L683"/>
      <c r="M683" t="n">
        <v>1973</v>
      </c>
      <c r="N683" t="n">
        <v>1983</v>
      </c>
      <c r="O683" t="s">
        <v>121</v>
      </c>
      <c r="P683" t="n">
        <v>4</v>
      </c>
      <c r="Q683" t="n">
        <v>4</v>
      </c>
      <c r="R683" t="n">
        <v>1</v>
      </c>
      <c r="S683" t="n">
        <v>1964</v>
      </c>
      <c r="T683" t="s">
        <v>10549</v>
      </c>
      <c r="U683" t="s">
        <v>10550</v>
      </c>
      <c r="V683" t="s">
        <v>74</v>
      </c>
      <c r="W683" t="s">
        <v>10551</v>
      </c>
      <c r="X683" t="s">
        <v>10552</v>
      </c>
      <c r="Y683"/>
      <c r="Z683"/>
      <c r="AA683" t="s">
        <v>10553</v>
      </c>
      <c r="AB683" t="s">
        <v>10554</v>
      </c>
      <c r="AC683" t="n">
        <v>29</v>
      </c>
      <c r="AD683" t="s">
        <v>10555</v>
      </c>
      <c r="AE683" t="n">
        <v>112</v>
      </c>
      <c r="AF683"/>
      <c r="AG683"/>
    </row>
    <row r="684">
      <c r="A684" t="s">
        <v>10556</v>
      </c>
      <c r="B684" t="s">
        <v>26</v>
      </c>
      <c r="C684" t="s">
        <v>24</v>
      </c>
      <c r="D684" t="s">
        <v>10557</v>
      </c>
      <c r="E684" t="s">
        <v>10536</v>
      </c>
      <c r="F684" t="s">
        <v>10537</v>
      </c>
      <c r="G684" t="s">
        <v>10538</v>
      </c>
      <c r="H684" t="n">
        <v>37.5834204792193</v>
      </c>
      <c r="I684" t="n">
        <v>-106.149471464923</v>
      </c>
      <c r="J684" t="s">
        <v>4109</v>
      </c>
      <c r="K684" t="s">
        <v>120</v>
      </c>
      <c r="L684"/>
      <c r="M684" t="n">
        <v>1980</v>
      </c>
      <c r="N684" t="n">
        <v>1980</v>
      </c>
      <c r="O684" t="s">
        <v>255</v>
      </c>
      <c r="P684" t="n">
        <v>1</v>
      </c>
      <c r="Q684" t="n">
        <v>1</v>
      </c>
      <c r="R684" t="n">
        <v>1</v>
      </c>
      <c r="S684" t="n">
        <v>1909</v>
      </c>
      <c r="T684" t="s">
        <v>10558</v>
      </c>
      <c r="U684" t="s">
        <v>10559</v>
      </c>
      <c r="V684" t="s">
        <v>74</v>
      </c>
      <c r="W684" t="s">
        <v>10560</v>
      </c>
      <c r="X684" t="s">
        <v>10561</v>
      </c>
      <c r="Y684"/>
      <c r="Z684"/>
      <c r="AA684" t="s">
        <v>10562</v>
      </c>
      <c r="AB684" t="s">
        <v>10554</v>
      </c>
      <c r="AC684" t="n">
        <v>97</v>
      </c>
      <c r="AD684" t="s">
        <v>10555</v>
      </c>
      <c r="AE684" t="n">
        <v>13</v>
      </c>
      <c r="AF684"/>
      <c r="AG684"/>
    </row>
    <row r="685">
      <c r="A685" t="s">
        <v>10563</v>
      </c>
      <c r="B685" t="s">
        <v>26</v>
      </c>
      <c r="C685" t="s">
        <v>65</v>
      </c>
      <c r="D685" t="s">
        <v>10564</v>
      </c>
      <c r="E685" t="s">
        <v>3932</v>
      </c>
      <c r="F685" t="s">
        <v>3933</v>
      </c>
      <c r="G685" t="s">
        <v>3934</v>
      </c>
      <c r="H685" t="n">
        <v>40.4872329755102</v>
      </c>
      <c r="I685" t="n">
        <v>-106.838702334694</v>
      </c>
      <c r="J685" t="s">
        <v>35</v>
      </c>
      <c r="K685" t="s">
        <v>315</v>
      </c>
      <c r="L685"/>
      <c r="M685" t="n">
        <v>1977</v>
      </c>
      <c r="N685" t="n">
        <v>1990</v>
      </c>
      <c r="O685" t="s">
        <v>310</v>
      </c>
      <c r="P685" t="n">
        <v>4</v>
      </c>
      <c r="Q685" t="n">
        <v>4</v>
      </c>
      <c r="R685" t="n">
        <v>2</v>
      </c>
      <c r="S685" t="n">
        <v>1975</v>
      </c>
      <c r="T685" t="s">
        <v>10565</v>
      </c>
      <c r="U685" t="s">
        <v>10566</v>
      </c>
      <c r="V685" t="s">
        <v>74</v>
      </c>
      <c r="W685" t="s">
        <v>10567</v>
      </c>
      <c r="X685"/>
      <c r="Y685"/>
      <c r="Z685"/>
      <c r="AA685"/>
      <c r="AB685" t="s">
        <v>10568</v>
      </c>
      <c r="AC685" t="n">
        <v>60</v>
      </c>
      <c r="AD685"/>
      <c r="AE685"/>
      <c r="AF685"/>
      <c r="AG685"/>
    </row>
    <row r="686">
      <c r="A686" t="s">
        <v>10569</v>
      </c>
      <c r="B686" t="s">
        <v>26</v>
      </c>
      <c r="C686" t="s">
        <v>24</v>
      </c>
      <c r="D686" t="s">
        <v>10570</v>
      </c>
      <c r="E686" t="s">
        <v>3967</v>
      </c>
      <c r="F686" t="s">
        <v>3950</v>
      </c>
      <c r="G686"/>
      <c r="H686" t="n">
        <v>40.4211542244898</v>
      </c>
      <c r="I686" t="n">
        <v>-104.689237795918</v>
      </c>
      <c r="J686" t="s">
        <v>4109</v>
      </c>
      <c r="K686" t="s">
        <v>315</v>
      </c>
      <c r="L686"/>
      <c r="M686" t="n">
        <v>1965</v>
      </c>
      <c r="N686" t="n">
        <v>1965</v>
      </c>
      <c r="O686" t="s">
        <v>1275</v>
      </c>
      <c r="P686" t="n">
        <v>1</v>
      </c>
      <c r="Q686" t="n">
        <v>1</v>
      </c>
      <c r="R686" t="n">
        <v>1</v>
      </c>
      <c r="S686"/>
      <c r="T686" t="s">
        <v>10571</v>
      </c>
      <c r="U686" t="s">
        <v>10572</v>
      </c>
      <c r="V686" t="s">
        <v>74</v>
      </c>
      <c r="W686" t="s">
        <v>10573</v>
      </c>
      <c r="X686"/>
      <c r="Y686"/>
      <c r="Z686"/>
      <c r="AA686"/>
      <c r="AB686" t="s">
        <v>4954</v>
      </c>
      <c r="AC686" t="n">
        <v>40</v>
      </c>
      <c r="AD686"/>
      <c r="AE686"/>
      <c r="AF686" t="s">
        <v>4968</v>
      </c>
      <c r="AG686" t="n">
        <v>144</v>
      </c>
    </row>
    <row r="687">
      <c r="A687" t="s">
        <v>10574</v>
      </c>
      <c r="B687" t="s">
        <v>26</v>
      </c>
      <c r="C687" t="s">
        <v>24</v>
      </c>
      <c r="D687" t="s">
        <v>10575</v>
      </c>
      <c r="E687" t="s">
        <v>3967</v>
      </c>
      <c r="F687" t="s">
        <v>3950</v>
      </c>
      <c r="G687"/>
      <c r="H687" t="n">
        <v>40.4100969558886</v>
      </c>
      <c r="I687" t="n">
        <v>-104.682677510542</v>
      </c>
      <c r="J687" t="s">
        <v>4109</v>
      </c>
      <c r="K687" t="s">
        <v>89</v>
      </c>
      <c r="L687"/>
      <c r="M687" t="n">
        <v>1965</v>
      </c>
      <c r="N687" t="n">
        <v>1992</v>
      </c>
      <c r="O687" t="s">
        <v>10576</v>
      </c>
      <c r="P687" t="n">
        <v>5</v>
      </c>
      <c r="Q687" t="n">
        <v>3</v>
      </c>
      <c r="R687" t="n">
        <v>3</v>
      </c>
      <c r="S687" t="n">
        <v>1976</v>
      </c>
      <c r="T687" t="s">
        <v>10577</v>
      </c>
      <c r="U687" t="s">
        <v>10578</v>
      </c>
      <c r="V687" t="s">
        <v>74</v>
      </c>
      <c r="W687" t="s">
        <v>10579</v>
      </c>
      <c r="X687" t="s">
        <v>10580</v>
      </c>
      <c r="Y687" t="s">
        <v>10581</v>
      </c>
      <c r="Z687"/>
      <c r="AA687"/>
      <c r="AB687" t="s">
        <v>10582</v>
      </c>
      <c r="AC687" t="n">
        <v>27</v>
      </c>
      <c r="AD687" t="s">
        <v>10583</v>
      </c>
      <c r="AE687" t="n">
        <v>204</v>
      </c>
      <c r="AF687" t="s">
        <v>10584</v>
      </c>
      <c r="AG687" t="n">
        <v>28</v>
      </c>
    </row>
    <row r="688">
      <c r="A688" t="s">
        <v>10585</v>
      </c>
      <c r="B688" t="s">
        <v>26</v>
      </c>
      <c r="C688" t="s">
        <v>65</v>
      </c>
      <c r="D688" t="s">
        <v>10586</v>
      </c>
      <c r="E688" t="s">
        <v>3967</v>
      </c>
      <c r="F688" t="s">
        <v>3950</v>
      </c>
      <c r="G688" t="s">
        <v>3976</v>
      </c>
      <c r="H688" t="n">
        <v>40.4223783877551</v>
      </c>
      <c r="I688" t="n">
        <v>-104.692642469388</v>
      </c>
      <c r="J688" t="s">
        <v>35</v>
      </c>
      <c r="K688" t="s">
        <v>120</v>
      </c>
      <c r="L688"/>
      <c r="M688" t="n">
        <v>1980</v>
      </c>
      <c r="N688" t="n">
        <v>1980</v>
      </c>
      <c r="O688" t="s">
        <v>255</v>
      </c>
      <c r="P688" t="n">
        <v>1</v>
      </c>
      <c r="Q688" t="n">
        <v>1</v>
      </c>
      <c r="R688" t="n">
        <v>1</v>
      </c>
      <c r="S688"/>
      <c r="T688" t="s">
        <v>10587</v>
      </c>
      <c r="U688" t="s">
        <v>10588</v>
      </c>
      <c r="V688" t="s">
        <v>74</v>
      </c>
      <c r="W688" t="s">
        <v>10589</v>
      </c>
      <c r="X688"/>
      <c r="Y688"/>
      <c r="Z688"/>
      <c r="AA688"/>
      <c r="AB688" t="s">
        <v>10590</v>
      </c>
      <c r="AC688" t="n">
        <v>26</v>
      </c>
      <c r="AD688"/>
      <c r="AE688"/>
      <c r="AF688" t="s">
        <v>10591</v>
      </c>
      <c r="AG688" t="n">
        <v>83</v>
      </c>
    </row>
    <row r="689">
      <c r="A689" t="s">
        <v>10592</v>
      </c>
      <c r="B689" t="s">
        <v>26</v>
      </c>
      <c r="C689" t="s">
        <v>24</v>
      </c>
      <c r="D689" t="s">
        <v>10593</v>
      </c>
      <c r="E689" t="s">
        <v>3967</v>
      </c>
      <c r="F689" t="s">
        <v>3950</v>
      </c>
      <c r="G689" t="s">
        <v>3976</v>
      </c>
      <c r="H689" t="n">
        <v>40.4099263943305</v>
      </c>
      <c r="I689" t="n">
        <v>-104.685786854063</v>
      </c>
      <c r="J689" t="s">
        <v>4109</v>
      </c>
      <c r="K689" t="s">
        <v>70</v>
      </c>
      <c r="L689"/>
      <c r="M689" t="n">
        <v>1980</v>
      </c>
      <c r="N689" t="n">
        <v>1992</v>
      </c>
      <c r="O689" t="s">
        <v>255</v>
      </c>
      <c r="P689" t="n">
        <v>2</v>
      </c>
      <c r="Q689" t="n">
        <v>2</v>
      </c>
      <c r="R689" t="n">
        <v>1</v>
      </c>
      <c r="S689" t="n">
        <v>1967</v>
      </c>
      <c r="T689" t="s">
        <v>10594</v>
      </c>
      <c r="U689" t="s">
        <v>10595</v>
      </c>
      <c r="V689" t="s">
        <v>74</v>
      </c>
      <c r="W689" t="s">
        <v>10596</v>
      </c>
      <c r="X689" t="s">
        <v>10597</v>
      </c>
      <c r="Y689" t="s">
        <v>10598</v>
      </c>
      <c r="Z689"/>
      <c r="AA689"/>
      <c r="AB689" t="s">
        <v>10583</v>
      </c>
      <c r="AC689" t="n">
        <v>206</v>
      </c>
      <c r="AD689"/>
      <c r="AE689"/>
      <c r="AF689" t="s">
        <v>10599</v>
      </c>
      <c r="AG689" t="n">
        <v>115</v>
      </c>
    </row>
    <row r="690">
      <c r="A690" t="s">
        <v>10600</v>
      </c>
      <c r="B690" t="s">
        <v>26</v>
      </c>
      <c r="C690" t="s">
        <v>65</v>
      </c>
      <c r="D690" t="s">
        <v>10601</v>
      </c>
      <c r="E690" t="s">
        <v>3967</v>
      </c>
      <c r="F690" t="s">
        <v>3950</v>
      </c>
      <c r="G690" t="s">
        <v>3976</v>
      </c>
      <c r="H690" t="n">
        <v>40.4183711428571</v>
      </c>
      <c r="I690" t="n">
        <v>-104.686072857143</v>
      </c>
      <c r="J690" t="s">
        <v>35</v>
      </c>
      <c r="K690" t="s">
        <v>70</v>
      </c>
      <c r="L690"/>
      <c r="M690" t="n">
        <v>1983</v>
      </c>
      <c r="N690" t="n">
        <v>1983</v>
      </c>
      <c r="O690" t="s">
        <v>264</v>
      </c>
      <c r="P690" t="n">
        <v>1</v>
      </c>
      <c r="Q690" t="n">
        <v>1</v>
      </c>
      <c r="R690" t="n">
        <v>1</v>
      </c>
      <c r="S690" t="n">
        <v>1967</v>
      </c>
      <c r="T690" t="s">
        <v>10602</v>
      </c>
      <c r="U690" t="s">
        <v>10603</v>
      </c>
      <c r="V690" t="s">
        <v>74</v>
      </c>
      <c r="W690" t="s">
        <v>10604</v>
      </c>
      <c r="X690"/>
      <c r="Y690"/>
      <c r="Z690"/>
      <c r="AA690" t="s">
        <v>10605</v>
      </c>
      <c r="AB690" t="s">
        <v>10606</v>
      </c>
      <c r="AC690" t="n">
        <v>39</v>
      </c>
      <c r="AD690"/>
      <c r="AE690"/>
      <c r="AF690" t="s">
        <v>10607</v>
      </c>
      <c r="AG690" t="n">
        <v>47</v>
      </c>
    </row>
    <row r="691">
      <c r="A691" t="s">
        <v>10608</v>
      </c>
      <c r="B691" t="s">
        <v>26</v>
      </c>
      <c r="C691" t="s">
        <v>24</v>
      </c>
      <c r="D691" t="s">
        <v>10609</v>
      </c>
      <c r="E691" t="s">
        <v>10610</v>
      </c>
      <c r="F691" t="s">
        <v>3950</v>
      </c>
      <c r="G691" t="s">
        <v>10611</v>
      </c>
      <c r="H691" t="n">
        <v>40.0732657142857</v>
      </c>
      <c r="I691" t="n">
        <v>-104.645216602041</v>
      </c>
      <c r="J691" t="s">
        <v>4109</v>
      </c>
      <c r="K691" t="s">
        <v>796</v>
      </c>
      <c r="L691"/>
      <c r="M691" t="n">
        <v>1983</v>
      </c>
      <c r="N691" t="n">
        <v>1990</v>
      </c>
      <c r="O691" t="s">
        <v>293</v>
      </c>
      <c r="P691" t="n">
        <v>2</v>
      </c>
      <c r="Q691" t="n">
        <v>1</v>
      </c>
      <c r="R691" t="n">
        <v>1</v>
      </c>
      <c r="S691" t="n">
        <v>1950</v>
      </c>
      <c r="T691" t="s">
        <v>10612</v>
      </c>
      <c r="U691" t="s">
        <v>10613</v>
      </c>
      <c r="V691" t="s">
        <v>74</v>
      </c>
      <c r="W691" t="s">
        <v>10614</v>
      </c>
      <c r="X691"/>
      <c r="Y691" t="s">
        <v>10615</v>
      </c>
      <c r="Z691"/>
      <c r="AA691" t="s">
        <v>10616</v>
      </c>
      <c r="AB691" t="s">
        <v>10617</v>
      </c>
      <c r="AC691" t="n">
        <v>191</v>
      </c>
      <c r="AD691"/>
      <c r="AE691"/>
      <c r="AF691" t="s">
        <v>10618</v>
      </c>
      <c r="AG691" t="n">
        <v>44</v>
      </c>
    </row>
    <row r="692">
      <c r="A692" t="s">
        <v>10619</v>
      </c>
      <c r="B692" t="s">
        <v>26</v>
      </c>
      <c r="C692" t="s">
        <v>24</v>
      </c>
      <c r="D692" t="s">
        <v>10620</v>
      </c>
      <c r="E692" t="s">
        <v>10621</v>
      </c>
      <c r="F692" t="s">
        <v>3950</v>
      </c>
      <c r="G692" t="s">
        <v>10622</v>
      </c>
      <c r="H692" t="n">
        <v>40.238696</v>
      </c>
      <c r="I692" t="n">
        <v>-104.998664</v>
      </c>
      <c r="J692" t="s">
        <v>4109</v>
      </c>
      <c r="K692" t="s">
        <v>89</v>
      </c>
      <c r="L692"/>
      <c r="M692" t="n">
        <v>1983</v>
      </c>
      <c r="N692" t="n">
        <v>1990</v>
      </c>
      <c r="O692" t="s">
        <v>271</v>
      </c>
      <c r="P692" t="n">
        <v>3</v>
      </c>
      <c r="Q692" t="n">
        <v>2</v>
      </c>
      <c r="R692" t="n">
        <v>2</v>
      </c>
      <c r="S692" t="n">
        <v>1959</v>
      </c>
      <c r="T692" t="s">
        <v>10623</v>
      </c>
      <c r="U692" t="s">
        <v>10624</v>
      </c>
      <c r="V692" t="s">
        <v>74</v>
      </c>
      <c r="W692" t="s">
        <v>10625</v>
      </c>
      <c r="X692" t="s">
        <v>10626</v>
      </c>
      <c r="Y692"/>
      <c r="Z692"/>
      <c r="AA692"/>
      <c r="AB692" t="s">
        <v>10627</v>
      </c>
      <c r="AC692" t="n">
        <v>88</v>
      </c>
      <c r="AD692" t="s">
        <v>10628</v>
      </c>
      <c r="AE692" t="n">
        <v>123</v>
      </c>
      <c r="AF692"/>
      <c r="AG692"/>
    </row>
    <row r="693">
      <c r="A693" t="s">
        <v>10629</v>
      </c>
      <c r="B693" t="s">
        <v>26</v>
      </c>
      <c r="C693" t="s">
        <v>24</v>
      </c>
      <c r="D693" t="s">
        <v>10630</v>
      </c>
      <c r="E693" t="s">
        <v>10631</v>
      </c>
      <c r="F693" t="s">
        <v>3950</v>
      </c>
      <c r="G693" t="s">
        <v>10632</v>
      </c>
      <c r="H693" t="n">
        <v>40.4811065788525</v>
      </c>
      <c r="I693" t="n">
        <v>-104.905839208328</v>
      </c>
      <c r="J693" t="s">
        <v>4109</v>
      </c>
      <c r="K693" t="s">
        <v>120</v>
      </c>
      <c r="L693"/>
      <c r="M693" t="n">
        <v>1988</v>
      </c>
      <c r="N693" t="n">
        <v>1992</v>
      </c>
      <c r="O693" t="s">
        <v>320</v>
      </c>
      <c r="P693" t="n">
        <v>3</v>
      </c>
      <c r="Q693" t="n">
        <v>1</v>
      </c>
      <c r="R693" t="n">
        <v>1</v>
      </c>
      <c r="S693" t="n">
        <v>1981</v>
      </c>
      <c r="T693" t="s">
        <v>10633</v>
      </c>
      <c r="U693" t="s">
        <v>10634</v>
      </c>
      <c r="V693" t="s">
        <v>74</v>
      </c>
      <c r="W693" t="s">
        <v>10635</v>
      </c>
      <c r="X693"/>
      <c r="Y693" t="s">
        <v>10636</v>
      </c>
      <c r="Z693"/>
      <c r="AA693"/>
      <c r="AB693" t="s">
        <v>10637</v>
      </c>
      <c r="AC693" t="n">
        <v>74</v>
      </c>
      <c r="AD693"/>
      <c r="AE693"/>
      <c r="AF693" t="s">
        <v>10638</v>
      </c>
      <c r="AG693" t="n">
        <v>9</v>
      </c>
    </row>
    <row r="694">
      <c r="A694" t="s">
        <v>10639</v>
      </c>
      <c r="B694" t="s">
        <v>26</v>
      </c>
      <c r="C694" t="s">
        <v>65</v>
      </c>
      <c r="D694" t="s">
        <v>10640</v>
      </c>
      <c r="E694" t="s">
        <v>3967</v>
      </c>
      <c r="F694" t="s">
        <v>3950</v>
      </c>
      <c r="G694" t="s">
        <v>10641</v>
      </c>
      <c r="H694" t="n">
        <v>40.4339141155624</v>
      </c>
      <c r="I694" t="n">
        <v>-104.734998000669</v>
      </c>
      <c r="J694" t="s">
        <v>35</v>
      </c>
      <c r="K694" t="s">
        <v>315</v>
      </c>
      <c r="L694"/>
      <c r="M694" t="n">
        <v>1990</v>
      </c>
      <c r="N694" t="n">
        <v>1992</v>
      </c>
      <c r="O694" t="s">
        <v>357</v>
      </c>
      <c r="P694" t="n">
        <v>2</v>
      </c>
      <c r="Q694" t="n">
        <v>1</v>
      </c>
      <c r="R694" t="n">
        <v>1</v>
      </c>
      <c r="S694" t="n">
        <v>1981</v>
      </c>
      <c r="T694" t="s">
        <v>10642</v>
      </c>
      <c r="U694" t="s">
        <v>10643</v>
      </c>
      <c r="V694" t="s">
        <v>74</v>
      </c>
      <c r="W694" t="s">
        <v>10644</v>
      </c>
      <c r="X694" t="s">
        <v>10645</v>
      </c>
      <c r="Y694"/>
      <c r="Z694"/>
      <c r="AA694"/>
      <c r="AB694" t="s">
        <v>10646</v>
      </c>
      <c r="AC694" t="n">
        <v>68</v>
      </c>
      <c r="AD694" t="s">
        <v>10647</v>
      </c>
      <c r="AE694" t="n">
        <v>238</v>
      </c>
      <c r="AF694"/>
      <c r="AG694"/>
    </row>
    <row r="695">
      <c r="A695" t="s">
        <v>64</v>
      </c>
      <c r="B695" t="s">
        <v>31</v>
      </c>
      <c r="C695" t="s">
        <v>65</v>
      </c>
      <c r="D695" t="s">
        <v>66</v>
      </c>
      <c r="E695" t="s">
        <v>67</v>
      </c>
      <c r="F695" t="s">
        <v>68</v>
      </c>
      <c r="G695" t="s">
        <v>69</v>
      </c>
      <c r="H695" t="n">
        <v>39.8249814489796</v>
      </c>
      <c r="I695" t="n">
        <v>-104.927690612245</v>
      </c>
      <c r="J695" t="s">
        <v>35</v>
      </c>
      <c r="K695" t="s">
        <v>70</v>
      </c>
      <c r="L695"/>
      <c r="M695" t="n">
        <v>1967</v>
      </c>
      <c r="N695" t="n">
        <v>1974</v>
      </c>
      <c r="O695" t="s">
        <v>71</v>
      </c>
      <c r="P695" t="n">
        <v>3</v>
      </c>
      <c r="Q695" t="n">
        <v>2</v>
      </c>
      <c r="R695" t="n">
        <v>2</v>
      </c>
      <c r="S695"/>
      <c r="T695" t="s">
        <v>72</v>
      </c>
      <c r="U695" t="s">
        <v>73</v>
      </c>
      <c r="V695" t="s">
        <v>74</v>
      </c>
      <c r="W695"/>
      <c r="X695"/>
      <c r="Y695"/>
      <c r="Z695"/>
      <c r="AA695"/>
      <c r="AB695" t="s">
        <v>75</v>
      </c>
      <c r="AC695" t="n">
        <v>102</v>
      </c>
      <c r="AD695"/>
      <c r="AE695"/>
      <c r="AF695" t="s">
        <v>76</v>
      </c>
      <c r="AG695" t="n">
        <v>58</v>
      </c>
    </row>
    <row r="696">
      <c r="A696" t="s">
        <v>77</v>
      </c>
      <c r="B696" t="s">
        <v>31</v>
      </c>
      <c r="C696" t="s">
        <v>65</v>
      </c>
      <c r="D696" t="s">
        <v>78</v>
      </c>
      <c r="E696" t="s">
        <v>79</v>
      </c>
      <c r="F696" t="s">
        <v>68</v>
      </c>
      <c r="G696" t="s">
        <v>80</v>
      </c>
      <c r="H696" t="n">
        <v>39.8223488134111</v>
      </c>
      <c r="I696" t="n">
        <v>-105.034465475219</v>
      </c>
      <c r="J696" t="s">
        <v>35</v>
      </c>
      <c r="K696" t="s">
        <v>81</v>
      </c>
      <c r="L696"/>
      <c r="M696" t="n">
        <v>1967</v>
      </c>
      <c r="N696" t="n">
        <v>1988</v>
      </c>
      <c r="O696" t="s">
        <v>82</v>
      </c>
      <c r="P696" t="n">
        <v>5</v>
      </c>
      <c r="Q696" t="n">
        <v>4</v>
      </c>
      <c r="R696" t="n">
        <v>3</v>
      </c>
      <c r="S696" t="n">
        <v>1966</v>
      </c>
      <c r="T696" t="s">
        <v>83</v>
      </c>
      <c r="U696" t="s">
        <v>84</v>
      </c>
      <c r="V696" t="s">
        <v>74</v>
      </c>
      <c r="W696"/>
      <c r="X696"/>
      <c r="Y696"/>
      <c r="Z696"/>
      <c r="AA696"/>
      <c r="AB696" t="s">
        <v>85</v>
      </c>
      <c r="AC696" t="n">
        <v>219</v>
      </c>
      <c r="AD696"/>
      <c r="AE696"/>
      <c r="AF696" t="s">
        <v>86</v>
      </c>
      <c r="AG696" t="n">
        <v>94</v>
      </c>
    </row>
    <row r="697">
      <c r="A697" t="s">
        <v>87</v>
      </c>
      <c r="B697" t="s">
        <v>31</v>
      </c>
      <c r="C697" t="s">
        <v>65</v>
      </c>
      <c r="D697" t="s">
        <v>88</v>
      </c>
      <c r="E697" t="s">
        <v>79</v>
      </c>
      <c r="F697" t="s">
        <v>68</v>
      </c>
      <c r="G697" t="s">
        <v>80</v>
      </c>
      <c r="H697" t="n">
        <v>39.8365581723076</v>
      </c>
      <c r="I697" t="n">
        <v>-105.009777686869</v>
      </c>
      <c r="J697" t="s">
        <v>35</v>
      </c>
      <c r="K697" t="s">
        <v>89</v>
      </c>
      <c r="L697"/>
      <c r="M697" t="n">
        <v>1967</v>
      </c>
      <c r="N697" t="n">
        <v>1974</v>
      </c>
      <c r="O697" t="s">
        <v>90</v>
      </c>
      <c r="P697" t="n">
        <v>4</v>
      </c>
      <c r="Q697" t="n">
        <v>3</v>
      </c>
      <c r="R697" t="n">
        <v>2</v>
      </c>
      <c r="S697" t="n">
        <v>1965</v>
      </c>
      <c r="T697" t="s">
        <v>91</v>
      </c>
      <c r="U697" t="s">
        <v>92</v>
      </c>
      <c r="V697" t="s">
        <v>74</v>
      </c>
      <c r="W697"/>
      <c r="X697"/>
      <c r="Y697"/>
      <c r="Z697"/>
      <c r="AA697"/>
      <c r="AB697"/>
      <c r="AC697"/>
      <c r="AD697"/>
      <c r="AE697"/>
      <c r="AF697"/>
      <c r="AG697"/>
    </row>
    <row r="698">
      <c r="A698" t="s">
        <v>93</v>
      </c>
      <c r="B698" t="s">
        <v>31</v>
      </c>
      <c r="C698" t="s">
        <v>65</v>
      </c>
      <c r="D698" t="s">
        <v>94</v>
      </c>
      <c r="E698" t="s">
        <v>95</v>
      </c>
      <c r="F698" t="s">
        <v>68</v>
      </c>
      <c r="G698" t="s">
        <v>96</v>
      </c>
      <c r="H698" t="n">
        <v>39.7401016938758</v>
      </c>
      <c r="I698" t="n">
        <v>-104.799506544825</v>
      </c>
      <c r="J698" t="s">
        <v>35</v>
      </c>
      <c r="K698" t="s">
        <v>97</v>
      </c>
      <c r="L698" t="s">
        <v>98</v>
      </c>
      <c r="M698" t="n">
        <v>1967</v>
      </c>
      <c r="N698" t="n">
        <v>1973</v>
      </c>
      <c r="O698" t="s">
        <v>99</v>
      </c>
      <c r="P698" t="n">
        <v>2</v>
      </c>
      <c r="Q698" t="n">
        <v>2</v>
      </c>
      <c r="R698" t="n">
        <v>2</v>
      </c>
      <c r="S698" t="n">
        <v>1961</v>
      </c>
      <c r="T698" t="s">
        <v>100</v>
      </c>
      <c r="U698" t="s">
        <v>101</v>
      </c>
      <c r="V698" t="s">
        <v>74</v>
      </c>
      <c r="W698"/>
      <c r="X698"/>
      <c r="Y698"/>
      <c r="Z698"/>
      <c r="AA698"/>
      <c r="AB698"/>
      <c r="AC698"/>
      <c r="AD698"/>
      <c r="AE698"/>
      <c r="AF698" t="s">
        <v>102</v>
      </c>
      <c r="AG698" t="n">
        <v>76</v>
      </c>
    </row>
    <row r="699">
      <c r="A699" t="s">
        <v>103</v>
      </c>
      <c r="B699" t="s">
        <v>31</v>
      </c>
      <c r="C699" t="s">
        <v>65</v>
      </c>
      <c r="D699" t="s">
        <v>104</v>
      </c>
      <c r="E699" t="s">
        <v>79</v>
      </c>
      <c r="F699" t="s">
        <v>68</v>
      </c>
      <c r="G699" t="s">
        <v>80</v>
      </c>
      <c r="H699" t="n">
        <v>39.7669350713377</v>
      </c>
      <c r="I699" t="n">
        <v>-105.006452641369</v>
      </c>
      <c r="J699" t="s">
        <v>35</v>
      </c>
      <c r="K699" t="s">
        <v>105</v>
      </c>
      <c r="L699"/>
      <c r="M699" t="n">
        <v>1967</v>
      </c>
      <c r="N699" t="n">
        <v>1968</v>
      </c>
      <c r="O699" t="s">
        <v>106</v>
      </c>
      <c r="P699" t="n">
        <v>2</v>
      </c>
      <c r="Q699" t="n">
        <v>2</v>
      </c>
      <c r="R699" t="n">
        <v>2</v>
      </c>
      <c r="S699" t="n">
        <v>1956</v>
      </c>
      <c r="T699" t="s">
        <v>107</v>
      </c>
      <c r="U699" t="s">
        <v>108</v>
      </c>
      <c r="V699" t="s">
        <v>74</v>
      </c>
      <c r="W699"/>
      <c r="X699"/>
      <c r="Y699"/>
      <c r="Z699"/>
      <c r="AA699"/>
      <c r="AB699"/>
      <c r="AC699"/>
      <c r="AD699"/>
      <c r="AE699"/>
      <c r="AF699"/>
      <c r="AG699"/>
    </row>
    <row r="700">
      <c r="A700" t="s">
        <v>109</v>
      </c>
      <c r="B700" t="s">
        <v>31</v>
      </c>
      <c r="C700" t="s">
        <v>65</v>
      </c>
      <c r="D700" t="s">
        <v>110</v>
      </c>
      <c r="E700" t="s">
        <v>67</v>
      </c>
      <c r="F700" t="s">
        <v>68</v>
      </c>
      <c r="G700" t="s">
        <v>69</v>
      </c>
      <c r="H700" t="n">
        <v>39.8556109555078</v>
      </c>
      <c r="I700" t="n">
        <v>-104.913624271994</v>
      </c>
      <c r="J700" t="s">
        <v>35</v>
      </c>
      <c r="K700" t="s">
        <v>111</v>
      </c>
      <c r="L700"/>
      <c r="M700" t="n">
        <v>1973</v>
      </c>
      <c r="N700" t="n">
        <v>1983</v>
      </c>
      <c r="O700" t="s">
        <v>112</v>
      </c>
      <c r="P700" t="n">
        <v>5</v>
      </c>
      <c r="Q700" t="n">
        <v>2</v>
      </c>
      <c r="R700" t="n">
        <v>2</v>
      </c>
      <c r="S700" t="n">
        <v>1954</v>
      </c>
      <c r="T700" t="s">
        <v>113</v>
      </c>
      <c r="U700" t="s">
        <v>114</v>
      </c>
      <c r="V700" t="s">
        <v>74</v>
      </c>
      <c r="W700"/>
      <c r="X700"/>
      <c r="Y700"/>
      <c r="Z700"/>
      <c r="AA700"/>
      <c r="AB700"/>
      <c r="AC700"/>
      <c r="AD700"/>
      <c r="AE700"/>
      <c r="AF700" t="s">
        <v>115</v>
      </c>
      <c r="AG700" t="n">
        <v>151</v>
      </c>
    </row>
    <row r="701">
      <c r="A701" t="s">
        <v>116</v>
      </c>
      <c r="B701" t="s">
        <v>31</v>
      </c>
      <c r="C701" t="s">
        <v>65</v>
      </c>
      <c r="D701" t="s">
        <v>117</v>
      </c>
      <c r="E701" t="s">
        <v>118</v>
      </c>
      <c r="F701" t="s">
        <v>68</v>
      </c>
      <c r="G701" t="s">
        <v>119</v>
      </c>
      <c r="H701" t="n">
        <v>39.9815888703204</v>
      </c>
      <c r="I701" t="n">
        <v>-104.82239553499</v>
      </c>
      <c r="J701" t="s">
        <v>35</v>
      </c>
      <c r="K701" t="s">
        <v>120</v>
      </c>
      <c r="L701"/>
      <c r="M701" t="n">
        <v>1973</v>
      </c>
      <c r="N701" t="n">
        <v>1973</v>
      </c>
      <c r="O701" t="s">
        <v>121</v>
      </c>
      <c r="P701" t="n">
        <v>1</v>
      </c>
      <c r="Q701" t="n">
        <v>1</v>
      </c>
      <c r="R701" t="n">
        <v>1</v>
      </c>
      <c r="S701"/>
      <c r="T701" t="s">
        <v>122</v>
      </c>
      <c r="U701" t="s">
        <v>123</v>
      </c>
      <c r="V701" t="s">
        <v>74</v>
      </c>
      <c r="W701"/>
      <c r="X701"/>
      <c r="Y701"/>
      <c r="Z701"/>
      <c r="AA701"/>
      <c r="AB701"/>
      <c r="AC701"/>
      <c r="AD701"/>
      <c r="AE701"/>
      <c r="AF701"/>
      <c r="AG701"/>
    </row>
    <row r="702">
      <c r="A702" t="s">
        <v>124</v>
      </c>
      <c r="B702" t="s">
        <v>31</v>
      </c>
      <c r="C702" t="s">
        <v>65</v>
      </c>
      <c r="D702" t="s">
        <v>125</v>
      </c>
      <c r="E702" t="s">
        <v>67</v>
      </c>
      <c r="F702" t="s">
        <v>68</v>
      </c>
      <c r="G702" t="s">
        <v>69</v>
      </c>
      <c r="H702" t="n">
        <v>39.7853391820153</v>
      </c>
      <c r="I702" t="n">
        <v>-104.906918916938</v>
      </c>
      <c r="J702" t="s">
        <v>35</v>
      </c>
      <c r="K702" t="s">
        <v>126</v>
      </c>
      <c r="L702"/>
      <c r="M702" t="n">
        <v>1973</v>
      </c>
      <c r="N702" t="n">
        <v>1974</v>
      </c>
      <c r="O702" t="s">
        <v>127</v>
      </c>
      <c r="P702" t="n">
        <v>2</v>
      </c>
      <c r="Q702" t="n">
        <v>1</v>
      </c>
      <c r="R702" t="n">
        <v>1</v>
      </c>
      <c r="S702" t="n">
        <v>1968</v>
      </c>
      <c r="T702" t="s">
        <v>128</v>
      </c>
      <c r="U702" t="s">
        <v>129</v>
      </c>
      <c r="V702" t="s">
        <v>74</v>
      </c>
      <c r="W702"/>
      <c r="X702"/>
      <c r="Y702"/>
      <c r="Z702"/>
      <c r="AA702"/>
      <c r="AB702"/>
      <c r="AC702"/>
      <c r="AD702"/>
      <c r="AE702"/>
      <c r="AF702" t="s">
        <v>130</v>
      </c>
      <c r="AG702" t="n">
        <v>59</v>
      </c>
    </row>
    <row r="703">
      <c r="A703" t="s">
        <v>131</v>
      </c>
      <c r="B703" t="s">
        <v>31</v>
      </c>
      <c r="C703" t="s">
        <v>65</v>
      </c>
      <c r="D703" t="s">
        <v>132</v>
      </c>
      <c r="E703" t="s">
        <v>79</v>
      </c>
      <c r="F703" t="s">
        <v>68</v>
      </c>
      <c r="G703" t="s">
        <v>80</v>
      </c>
      <c r="H703" t="n">
        <v>39.805578</v>
      </c>
      <c r="I703" t="n">
        <v>-105.014836</v>
      </c>
      <c r="J703" t="s">
        <v>35</v>
      </c>
      <c r="K703" t="s">
        <v>133</v>
      </c>
      <c r="L703"/>
      <c r="M703" t="n">
        <v>1973</v>
      </c>
      <c r="N703" t="n">
        <v>1983</v>
      </c>
      <c r="O703" t="s">
        <v>134</v>
      </c>
      <c r="P703" t="n">
        <v>3</v>
      </c>
      <c r="Q703" t="n">
        <v>2</v>
      </c>
      <c r="R703" t="n">
        <v>2</v>
      </c>
      <c r="S703" t="n">
        <v>1970</v>
      </c>
      <c r="T703" t="s">
        <v>135</v>
      </c>
      <c r="U703" t="s">
        <v>136</v>
      </c>
      <c r="V703" t="s">
        <v>74</v>
      </c>
      <c r="W703"/>
      <c r="X703"/>
      <c r="Y703"/>
      <c r="Z703"/>
      <c r="AA703"/>
      <c r="AB703" t="s">
        <v>137</v>
      </c>
      <c r="AC703" t="n">
        <v>225</v>
      </c>
      <c r="AD703"/>
      <c r="AE703"/>
      <c r="AF703" t="s">
        <v>138</v>
      </c>
      <c r="AG703" t="n">
        <v>212</v>
      </c>
    </row>
    <row r="704">
      <c r="A704" t="s">
        <v>139</v>
      </c>
      <c r="B704" t="s">
        <v>31</v>
      </c>
      <c r="C704" t="s">
        <v>65</v>
      </c>
      <c r="D704" t="s">
        <v>140</v>
      </c>
      <c r="E704" t="s">
        <v>67</v>
      </c>
      <c r="F704" t="s">
        <v>68</v>
      </c>
      <c r="G704" t="s">
        <v>69</v>
      </c>
      <c r="H704" t="n">
        <v>39.8131700967742</v>
      </c>
      <c r="I704" t="n">
        <v>-104.936777645161</v>
      </c>
      <c r="J704" t="s">
        <v>35</v>
      </c>
      <c r="K704" t="s">
        <v>141</v>
      </c>
      <c r="L704"/>
      <c r="M704" t="n">
        <v>1973</v>
      </c>
      <c r="N704" t="n">
        <v>1990</v>
      </c>
      <c r="O704" t="s">
        <v>142</v>
      </c>
      <c r="P704" t="n">
        <v>5</v>
      </c>
      <c r="Q704" t="n">
        <v>1</v>
      </c>
      <c r="R704" t="n">
        <v>1</v>
      </c>
      <c r="S704" t="n">
        <v>1927</v>
      </c>
      <c r="T704" t="s">
        <v>143</v>
      </c>
      <c r="U704" t="s">
        <v>144</v>
      </c>
      <c r="V704" t="s">
        <v>74</v>
      </c>
      <c r="W704"/>
      <c r="X704"/>
      <c r="Y704"/>
      <c r="Z704"/>
      <c r="AA704"/>
      <c r="AB704"/>
      <c r="AC704"/>
      <c r="AD704"/>
      <c r="AE704"/>
      <c r="AF704" t="s">
        <v>145</v>
      </c>
      <c r="AG704" t="n">
        <v>46</v>
      </c>
    </row>
    <row r="705">
      <c r="A705" t="s">
        <v>4107</v>
      </c>
      <c r="B705" t="s">
        <v>31</v>
      </c>
      <c r="C705" t="s">
        <v>24</v>
      </c>
      <c r="D705" t="s">
        <v>4108</v>
      </c>
      <c r="E705" t="s">
        <v>67</v>
      </c>
      <c r="F705" t="s">
        <v>68</v>
      </c>
      <c r="G705" t="s">
        <v>69</v>
      </c>
      <c r="H705" t="n">
        <v>39.8723022888032</v>
      </c>
      <c r="I705" t="n">
        <v>-104.927517089318</v>
      </c>
      <c r="J705" t="s">
        <v>4109</v>
      </c>
      <c r="K705" t="s">
        <v>120</v>
      </c>
      <c r="L705"/>
      <c r="M705" t="n">
        <v>1973</v>
      </c>
      <c r="N705" t="n">
        <v>1973</v>
      </c>
      <c r="O705" t="s">
        <v>121</v>
      </c>
      <c r="P705" t="n">
        <v>1</v>
      </c>
      <c r="Q705" t="n">
        <v>1</v>
      </c>
      <c r="R705" t="n">
        <v>1</v>
      </c>
      <c r="S705" t="n">
        <v>1962</v>
      </c>
      <c r="T705" t="s">
        <v>4110</v>
      </c>
      <c r="U705" t="s">
        <v>4111</v>
      </c>
      <c r="V705" t="s">
        <v>74</v>
      </c>
      <c r="W705"/>
      <c r="X705"/>
      <c r="Y705"/>
      <c r="Z705"/>
      <c r="AA705"/>
      <c r="AB705"/>
      <c r="AC705"/>
      <c r="AD705"/>
      <c r="AE705"/>
      <c r="AF705"/>
      <c r="AG705"/>
    </row>
    <row r="706">
      <c r="A706" t="s">
        <v>4112</v>
      </c>
      <c r="B706" t="s">
        <v>31</v>
      </c>
      <c r="C706" t="s">
        <v>24</v>
      </c>
      <c r="D706" t="s">
        <v>4113</v>
      </c>
      <c r="E706" t="s">
        <v>67</v>
      </c>
      <c r="F706" t="s">
        <v>68</v>
      </c>
      <c r="G706" t="s">
        <v>69</v>
      </c>
      <c r="H706" t="n">
        <v>39.7174874080449</v>
      </c>
      <c r="I706" t="n">
        <v>-104.931627212298</v>
      </c>
      <c r="J706" t="s">
        <v>4109</v>
      </c>
      <c r="K706" t="s">
        <v>282</v>
      </c>
      <c r="L706" t="s">
        <v>98</v>
      </c>
      <c r="M706" t="n">
        <v>1973</v>
      </c>
      <c r="N706" t="n">
        <v>1977</v>
      </c>
      <c r="O706" t="s">
        <v>4114</v>
      </c>
      <c r="P706" t="n">
        <v>2</v>
      </c>
      <c r="Q706" t="n">
        <v>1</v>
      </c>
      <c r="R706" t="n">
        <v>1</v>
      </c>
      <c r="S706" t="n">
        <v>1965</v>
      </c>
      <c r="T706" t="s">
        <v>4115</v>
      </c>
      <c r="U706" t="s">
        <v>4116</v>
      </c>
      <c r="V706" t="s">
        <v>74</v>
      </c>
      <c r="W706"/>
      <c r="X706"/>
      <c r="Y706"/>
      <c r="Z706"/>
      <c r="AA706"/>
      <c r="AB706"/>
      <c r="AC706"/>
      <c r="AD706"/>
      <c r="AE706"/>
      <c r="AF706"/>
      <c r="AG706"/>
    </row>
    <row r="707">
      <c r="A707" t="s">
        <v>146</v>
      </c>
      <c r="B707" t="s">
        <v>31</v>
      </c>
      <c r="C707" t="s">
        <v>65</v>
      </c>
      <c r="D707" t="s">
        <v>147</v>
      </c>
      <c r="E707" t="s">
        <v>67</v>
      </c>
      <c r="F707" t="s">
        <v>68</v>
      </c>
      <c r="G707" t="s">
        <v>69</v>
      </c>
      <c r="H707" t="n">
        <v>39.7848939591837</v>
      </c>
      <c r="I707" t="n">
        <v>-104.910087469388</v>
      </c>
      <c r="J707" t="s">
        <v>35</v>
      </c>
      <c r="K707" t="s">
        <v>70</v>
      </c>
      <c r="L707"/>
      <c r="M707" t="n">
        <v>1973</v>
      </c>
      <c r="N707" t="n">
        <v>1974</v>
      </c>
      <c r="O707" t="s">
        <v>127</v>
      </c>
      <c r="P707" t="n">
        <v>2</v>
      </c>
      <c r="Q707" t="n">
        <v>1</v>
      </c>
      <c r="R707" t="n">
        <v>1</v>
      </c>
      <c r="S707" t="n">
        <v>1969</v>
      </c>
      <c r="T707" t="s">
        <v>148</v>
      </c>
      <c r="U707" t="s">
        <v>149</v>
      </c>
      <c r="V707" t="s">
        <v>74</v>
      </c>
      <c r="W707"/>
      <c r="X707"/>
      <c r="Y707"/>
      <c r="Z707"/>
      <c r="AA707"/>
      <c r="AB707" t="s">
        <v>150</v>
      </c>
      <c r="AC707" t="n">
        <v>180</v>
      </c>
      <c r="AD707" t="s">
        <v>151</v>
      </c>
      <c r="AE707" t="n">
        <v>211</v>
      </c>
      <c r="AF707" t="s">
        <v>152</v>
      </c>
      <c r="AG707" t="n">
        <v>78</v>
      </c>
    </row>
    <row r="708">
      <c r="A708" t="s">
        <v>153</v>
      </c>
      <c r="B708" t="s">
        <v>31</v>
      </c>
      <c r="C708" t="s">
        <v>65</v>
      </c>
      <c r="D708" t="s">
        <v>154</v>
      </c>
      <c r="E708" t="s">
        <v>67</v>
      </c>
      <c r="F708" t="s">
        <v>68</v>
      </c>
      <c r="G708" t="s">
        <v>69</v>
      </c>
      <c r="H708" t="n">
        <v>39.8009879239863</v>
      </c>
      <c r="I708" t="n">
        <v>-104.928397040829</v>
      </c>
      <c r="J708" t="s">
        <v>35</v>
      </c>
      <c r="K708" t="s">
        <v>120</v>
      </c>
      <c r="L708"/>
      <c r="M708" t="n">
        <v>1973</v>
      </c>
      <c r="N708" t="n">
        <v>1974</v>
      </c>
      <c r="O708" t="s">
        <v>127</v>
      </c>
      <c r="P708" t="n">
        <v>2</v>
      </c>
      <c r="Q708" t="n">
        <v>1</v>
      </c>
      <c r="R708" t="n">
        <v>1</v>
      </c>
      <c r="S708" t="n">
        <v>1970</v>
      </c>
      <c r="T708" t="s">
        <v>155</v>
      </c>
      <c r="U708" t="s">
        <v>156</v>
      </c>
      <c r="V708" t="s">
        <v>74</v>
      </c>
      <c r="W708"/>
      <c r="X708"/>
      <c r="Y708"/>
      <c r="Z708"/>
      <c r="AA708"/>
      <c r="AB708" t="s">
        <v>157</v>
      </c>
      <c r="AC708" t="n">
        <v>209</v>
      </c>
      <c r="AD708"/>
      <c r="AE708"/>
      <c r="AF708" t="s">
        <v>158</v>
      </c>
      <c r="AG708" t="n">
        <v>96</v>
      </c>
    </row>
    <row r="709">
      <c r="A709" t="s">
        <v>159</v>
      </c>
      <c r="B709" t="s">
        <v>31</v>
      </c>
      <c r="C709" t="s">
        <v>65</v>
      </c>
      <c r="D709" t="s">
        <v>160</v>
      </c>
      <c r="E709" t="s">
        <v>161</v>
      </c>
      <c r="F709" t="s">
        <v>68</v>
      </c>
      <c r="G709" t="s">
        <v>162</v>
      </c>
      <c r="H709" t="n">
        <v>39.8252700202121</v>
      </c>
      <c r="I709" t="n">
        <v>-104.971142076519</v>
      </c>
      <c r="J709" t="s">
        <v>35</v>
      </c>
      <c r="K709" t="s">
        <v>126</v>
      </c>
      <c r="L709"/>
      <c r="M709" t="n">
        <v>1973</v>
      </c>
      <c r="N709" t="n">
        <v>1973</v>
      </c>
      <c r="O709" t="s">
        <v>121</v>
      </c>
      <c r="P709" t="n">
        <v>1</v>
      </c>
      <c r="Q709" t="n">
        <v>1</v>
      </c>
      <c r="R709" t="n">
        <v>1</v>
      </c>
      <c r="S709" t="n">
        <v>1970</v>
      </c>
      <c r="T709" t="s">
        <v>163</v>
      </c>
      <c r="U709" t="s">
        <v>164</v>
      </c>
      <c r="V709" t="s">
        <v>74</v>
      </c>
      <c r="W709"/>
      <c r="X709"/>
      <c r="Y709"/>
      <c r="Z709"/>
      <c r="AA709"/>
      <c r="AB709" t="s">
        <v>165</v>
      </c>
      <c r="AC709" t="n">
        <v>214</v>
      </c>
      <c r="AD709" t="s">
        <v>166</v>
      </c>
      <c r="AE709" t="n">
        <v>232</v>
      </c>
      <c r="AF709" t="s">
        <v>167</v>
      </c>
      <c r="AG709" t="n">
        <v>171</v>
      </c>
    </row>
    <row r="710">
      <c r="A710" t="s">
        <v>168</v>
      </c>
      <c r="B710" t="s">
        <v>31</v>
      </c>
      <c r="C710" t="s">
        <v>65</v>
      </c>
      <c r="D710" t="s">
        <v>169</v>
      </c>
      <c r="E710" t="s">
        <v>170</v>
      </c>
      <c r="F710" t="s">
        <v>68</v>
      </c>
      <c r="G710" t="s">
        <v>171</v>
      </c>
      <c r="H710" t="n">
        <v>39.9047418021849</v>
      </c>
      <c r="I710" t="n">
        <v>-104.974943127721</v>
      </c>
      <c r="J710" t="s">
        <v>35</v>
      </c>
      <c r="K710" t="s">
        <v>133</v>
      </c>
      <c r="L710"/>
      <c r="M710" t="n">
        <v>1973</v>
      </c>
      <c r="N710" t="n">
        <v>1974</v>
      </c>
      <c r="O710" t="s">
        <v>127</v>
      </c>
      <c r="P710" t="n">
        <v>2</v>
      </c>
      <c r="Q710" t="n">
        <v>1</v>
      </c>
      <c r="R710" t="n">
        <v>1</v>
      </c>
      <c r="S710" t="n">
        <v>1972</v>
      </c>
      <c r="T710" t="s">
        <v>172</v>
      </c>
      <c r="U710" t="s">
        <v>173</v>
      </c>
      <c r="V710" t="s">
        <v>74</v>
      </c>
      <c r="W710"/>
      <c r="X710"/>
      <c r="Y710"/>
      <c r="Z710"/>
      <c r="AA710"/>
      <c r="AB710"/>
      <c r="AC710"/>
      <c r="AD710"/>
      <c r="AE710"/>
      <c r="AF710" t="s">
        <v>174</v>
      </c>
      <c r="AG710" t="n">
        <v>245</v>
      </c>
    </row>
    <row r="711">
      <c r="A711" t="s">
        <v>175</v>
      </c>
      <c r="B711" t="s">
        <v>31</v>
      </c>
      <c r="C711" t="s">
        <v>65</v>
      </c>
      <c r="D711" t="s">
        <v>176</v>
      </c>
      <c r="E711" t="s">
        <v>177</v>
      </c>
      <c r="F711" t="s">
        <v>68</v>
      </c>
      <c r="G711" t="s">
        <v>178</v>
      </c>
      <c r="H711" t="n">
        <v>39.8333660377358</v>
      </c>
      <c r="I711" t="n">
        <v>-105.045224867925</v>
      </c>
      <c r="J711" t="s">
        <v>35</v>
      </c>
      <c r="K711" t="s">
        <v>133</v>
      </c>
      <c r="L711"/>
      <c r="M711" t="n">
        <v>1973</v>
      </c>
      <c r="N711" t="n">
        <v>1973</v>
      </c>
      <c r="O711" t="s">
        <v>121</v>
      </c>
      <c r="P711" t="n">
        <v>1</v>
      </c>
      <c r="Q711" t="n">
        <v>1</v>
      </c>
      <c r="R711" t="n">
        <v>1</v>
      </c>
      <c r="S711" t="n">
        <v>1971</v>
      </c>
      <c r="T711" t="s">
        <v>179</v>
      </c>
      <c r="U711" t="s">
        <v>180</v>
      </c>
      <c r="V711" t="s">
        <v>74</v>
      </c>
      <c r="W711"/>
      <c r="X711"/>
      <c r="Y711"/>
      <c r="Z711"/>
      <c r="AA711"/>
      <c r="AB711" t="s">
        <v>181</v>
      </c>
      <c r="AC711" t="n">
        <v>183</v>
      </c>
      <c r="AD711"/>
      <c r="AE711"/>
      <c r="AF711"/>
      <c r="AG711"/>
    </row>
    <row r="712">
      <c r="A712" t="s">
        <v>182</v>
      </c>
      <c r="B712" t="s">
        <v>31</v>
      </c>
      <c r="C712" t="s">
        <v>65</v>
      </c>
      <c r="D712" t="s">
        <v>183</v>
      </c>
      <c r="E712" t="s">
        <v>177</v>
      </c>
      <c r="F712" t="s">
        <v>68</v>
      </c>
      <c r="G712" t="s">
        <v>178</v>
      </c>
      <c r="H712" t="n">
        <v>39.8480970769231</v>
      </c>
      <c r="I712" t="n">
        <v>-105.046769576923</v>
      </c>
      <c r="J712" t="s">
        <v>35</v>
      </c>
      <c r="K712" t="s">
        <v>120</v>
      </c>
      <c r="L712"/>
      <c r="M712" t="n">
        <v>1973</v>
      </c>
      <c r="N712" t="n">
        <v>1973</v>
      </c>
      <c r="O712" t="s">
        <v>121</v>
      </c>
      <c r="P712" t="n">
        <v>1</v>
      </c>
      <c r="Q712" t="n">
        <v>1</v>
      </c>
      <c r="R712" t="n">
        <v>1</v>
      </c>
      <c r="S712" t="n">
        <v>1971</v>
      </c>
      <c r="T712" t="s">
        <v>184</v>
      </c>
      <c r="U712" t="s">
        <v>185</v>
      </c>
      <c r="V712" t="s">
        <v>74</v>
      </c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186</v>
      </c>
      <c r="B713" t="s">
        <v>31</v>
      </c>
      <c r="C713" t="s">
        <v>65</v>
      </c>
      <c r="D713" t="s">
        <v>187</v>
      </c>
      <c r="E713" t="s">
        <v>79</v>
      </c>
      <c r="F713" t="s">
        <v>68</v>
      </c>
      <c r="G713" t="s">
        <v>80</v>
      </c>
      <c r="H713" t="n">
        <v>39.728932</v>
      </c>
      <c r="I713" t="n">
        <v>-104.993495778931</v>
      </c>
      <c r="J713" t="s">
        <v>35</v>
      </c>
      <c r="K713" t="s">
        <v>70</v>
      </c>
      <c r="L713"/>
      <c r="M713" t="n">
        <v>1973</v>
      </c>
      <c r="N713" t="n">
        <v>1973</v>
      </c>
      <c r="O713" t="s">
        <v>121</v>
      </c>
      <c r="P713" t="n">
        <v>1</v>
      </c>
      <c r="Q713" t="n">
        <v>1</v>
      </c>
      <c r="R713" t="n">
        <v>1</v>
      </c>
      <c r="S713" t="n">
        <v>1958</v>
      </c>
      <c r="T713" t="s">
        <v>188</v>
      </c>
      <c r="U713" t="s">
        <v>189</v>
      </c>
      <c r="V713" t="s">
        <v>74</v>
      </c>
      <c r="W713"/>
      <c r="X713"/>
      <c r="Y713"/>
      <c r="Z713"/>
      <c r="AA713"/>
      <c r="AB713"/>
      <c r="AC713"/>
      <c r="AD713"/>
      <c r="AE713"/>
      <c r="AF713" t="s">
        <v>190</v>
      </c>
      <c r="AG713" t="n">
        <v>218</v>
      </c>
    </row>
    <row r="714">
      <c r="A714" t="s">
        <v>191</v>
      </c>
      <c r="B714" t="s">
        <v>31</v>
      </c>
      <c r="C714" t="s">
        <v>65</v>
      </c>
      <c r="D714" t="s">
        <v>192</v>
      </c>
      <c r="E714" t="s">
        <v>177</v>
      </c>
      <c r="F714" t="s">
        <v>68</v>
      </c>
      <c r="G714" t="s">
        <v>178</v>
      </c>
      <c r="H714" t="n">
        <v>39.8257050092481</v>
      </c>
      <c r="I714" t="n">
        <v>-105.036984930533</v>
      </c>
      <c r="J714" t="s">
        <v>35</v>
      </c>
      <c r="K714" t="s">
        <v>193</v>
      </c>
      <c r="L714"/>
      <c r="M714" t="n">
        <v>1974</v>
      </c>
      <c r="N714" t="n">
        <v>1992</v>
      </c>
      <c r="O714" t="s">
        <v>194</v>
      </c>
      <c r="P714" t="n">
        <v>6</v>
      </c>
      <c r="Q714" t="n">
        <v>11</v>
      </c>
      <c r="R714" t="n">
        <v>10</v>
      </c>
      <c r="S714" t="n">
        <v>1963</v>
      </c>
      <c r="T714" t="s">
        <v>195</v>
      </c>
      <c r="U714" t="s">
        <v>196</v>
      </c>
      <c r="V714" t="s">
        <v>74</v>
      </c>
      <c r="W714"/>
      <c r="X714"/>
      <c r="Y714"/>
      <c r="Z714"/>
      <c r="AA714"/>
      <c r="AB714" t="s">
        <v>197</v>
      </c>
      <c r="AC714" t="n">
        <v>227</v>
      </c>
      <c r="AD714"/>
      <c r="AE714"/>
      <c r="AF714" t="s">
        <v>198</v>
      </c>
      <c r="AG714" t="n">
        <v>56</v>
      </c>
    </row>
    <row r="715">
      <c r="A715" t="s">
        <v>199</v>
      </c>
      <c r="B715" t="s">
        <v>31</v>
      </c>
      <c r="C715" t="s">
        <v>65</v>
      </c>
      <c r="D715" t="s">
        <v>200</v>
      </c>
      <c r="E715" t="s">
        <v>95</v>
      </c>
      <c r="F715" t="s">
        <v>68</v>
      </c>
      <c r="G715" t="s">
        <v>96</v>
      </c>
      <c r="H715" t="n">
        <v>39.7425231417535</v>
      </c>
      <c r="I715" t="n">
        <v>-104.806688869</v>
      </c>
      <c r="J715" t="s">
        <v>35</v>
      </c>
      <c r="K715" t="s">
        <v>201</v>
      </c>
      <c r="L715" t="s">
        <v>202</v>
      </c>
      <c r="M715" t="n">
        <v>1974</v>
      </c>
      <c r="N715" t="n">
        <v>1992</v>
      </c>
      <c r="O715" t="s">
        <v>203</v>
      </c>
      <c r="P715" t="n">
        <v>6</v>
      </c>
      <c r="Q715" t="n">
        <v>9</v>
      </c>
      <c r="R715" t="n">
        <v>5</v>
      </c>
      <c r="S715" t="n">
        <v>1969</v>
      </c>
      <c r="T715" t="s">
        <v>204</v>
      </c>
      <c r="U715" t="s">
        <v>205</v>
      </c>
      <c r="V715" t="s">
        <v>74</v>
      </c>
      <c r="W715"/>
      <c r="X715"/>
      <c r="Y715"/>
      <c r="Z715"/>
      <c r="AA715"/>
      <c r="AB715" t="s">
        <v>206</v>
      </c>
      <c r="AC715" t="n">
        <v>153</v>
      </c>
      <c r="AD715"/>
      <c r="AE715"/>
      <c r="AF715" t="s">
        <v>207</v>
      </c>
      <c r="AG715" t="n">
        <v>81</v>
      </c>
    </row>
    <row r="716">
      <c r="A716" t="s">
        <v>208</v>
      </c>
      <c r="B716" t="s">
        <v>31</v>
      </c>
      <c r="C716" t="s">
        <v>65</v>
      </c>
      <c r="D716" t="s">
        <v>209</v>
      </c>
      <c r="E716" t="s">
        <v>79</v>
      </c>
      <c r="F716" t="s">
        <v>68</v>
      </c>
      <c r="G716" t="s">
        <v>80</v>
      </c>
      <c r="H716" t="n">
        <v>39.8341807155733</v>
      </c>
      <c r="I716" t="n">
        <v>-104.99897350531</v>
      </c>
      <c r="J716" t="s">
        <v>35</v>
      </c>
      <c r="K716" t="s">
        <v>70</v>
      </c>
      <c r="L716"/>
      <c r="M716" t="n">
        <v>1974</v>
      </c>
      <c r="N716" t="n">
        <v>1974</v>
      </c>
      <c r="O716" t="s">
        <v>210</v>
      </c>
      <c r="P716" t="n">
        <v>1</v>
      </c>
      <c r="Q716" t="n">
        <v>1</v>
      </c>
      <c r="R716" t="n">
        <v>1</v>
      </c>
      <c r="S716" t="n">
        <v>1969</v>
      </c>
      <c r="T716" t="s">
        <v>211</v>
      </c>
      <c r="U716" t="s">
        <v>212</v>
      </c>
      <c r="V716" t="s">
        <v>74</v>
      </c>
      <c r="W716"/>
      <c r="X716"/>
      <c r="Y716"/>
      <c r="Z716"/>
      <c r="AA716"/>
      <c r="AB716"/>
      <c r="AC716"/>
      <c r="AD716"/>
      <c r="AE716"/>
      <c r="AF716"/>
      <c r="AG716"/>
    </row>
    <row r="717">
      <c r="A717" t="s">
        <v>213</v>
      </c>
      <c r="B717" t="s">
        <v>31</v>
      </c>
      <c r="C717" t="s">
        <v>65</v>
      </c>
      <c r="D717" t="s">
        <v>214</v>
      </c>
      <c r="E717" t="s">
        <v>161</v>
      </c>
      <c r="F717" t="s">
        <v>68</v>
      </c>
      <c r="G717" t="s">
        <v>162</v>
      </c>
      <c r="H717" t="n">
        <v>39.8770964031989</v>
      </c>
      <c r="I717" t="n">
        <v>-104.982102851524</v>
      </c>
      <c r="J717" t="s">
        <v>35</v>
      </c>
      <c r="K717" t="s">
        <v>89</v>
      </c>
      <c r="L717"/>
      <c r="M717" t="n">
        <v>1974</v>
      </c>
      <c r="N717" t="n">
        <v>1977</v>
      </c>
      <c r="O717" t="s">
        <v>210</v>
      </c>
      <c r="P717" t="n">
        <v>2</v>
      </c>
      <c r="Q717" t="n">
        <v>2</v>
      </c>
      <c r="R717" t="n">
        <v>1</v>
      </c>
      <c r="S717" t="n">
        <v>1973</v>
      </c>
      <c r="T717" t="s">
        <v>215</v>
      </c>
      <c r="U717" t="s">
        <v>216</v>
      </c>
      <c r="V717" t="s">
        <v>74</v>
      </c>
      <c r="W717"/>
      <c r="X717"/>
      <c r="Y717"/>
      <c r="Z717"/>
      <c r="AA717"/>
      <c r="AB717"/>
      <c r="AC717"/>
      <c r="AD717"/>
      <c r="AE717"/>
      <c r="AF717" t="s">
        <v>217</v>
      </c>
      <c r="AG717" t="n">
        <v>153</v>
      </c>
    </row>
    <row r="718">
      <c r="A718" t="s">
        <v>218</v>
      </c>
      <c r="B718" t="s">
        <v>31</v>
      </c>
      <c r="C718" t="s">
        <v>65</v>
      </c>
      <c r="D718" t="s">
        <v>219</v>
      </c>
      <c r="E718" t="s">
        <v>161</v>
      </c>
      <c r="F718" t="s">
        <v>68</v>
      </c>
      <c r="G718" t="s">
        <v>162</v>
      </c>
      <c r="H718" t="n">
        <v>39.812732</v>
      </c>
      <c r="I718" t="n">
        <v>-104.97533618284</v>
      </c>
      <c r="J718" t="s">
        <v>35</v>
      </c>
      <c r="K718" t="s">
        <v>220</v>
      </c>
      <c r="L718"/>
      <c r="M718" t="n">
        <v>1974</v>
      </c>
      <c r="N718" t="n">
        <v>1980</v>
      </c>
      <c r="O718" t="s">
        <v>221</v>
      </c>
      <c r="P718" t="n">
        <v>2</v>
      </c>
      <c r="Q718" t="n">
        <v>2</v>
      </c>
      <c r="R718" t="n">
        <v>2</v>
      </c>
      <c r="S718" t="n">
        <v>1953</v>
      </c>
      <c r="T718" t="s">
        <v>222</v>
      </c>
      <c r="U718" t="s">
        <v>223</v>
      </c>
      <c r="V718" t="s">
        <v>74</v>
      </c>
      <c r="W718"/>
      <c r="X718"/>
      <c r="Y718"/>
      <c r="Z718"/>
      <c r="AA718"/>
      <c r="AB718"/>
      <c r="AC718"/>
      <c r="AD718" t="s">
        <v>224</v>
      </c>
      <c r="AE718" t="n">
        <v>136</v>
      </c>
      <c r="AF718" t="s">
        <v>225</v>
      </c>
      <c r="AG718" t="n">
        <v>49</v>
      </c>
    </row>
    <row r="719">
      <c r="A719" t="s">
        <v>226</v>
      </c>
      <c r="B719" t="s">
        <v>31</v>
      </c>
      <c r="C719" t="s">
        <v>65</v>
      </c>
      <c r="D719" t="s">
        <v>227</v>
      </c>
      <c r="E719" t="s">
        <v>118</v>
      </c>
      <c r="F719" t="s">
        <v>68</v>
      </c>
      <c r="G719" t="s">
        <v>119</v>
      </c>
      <c r="H719" t="n">
        <v>39.9870744693878</v>
      </c>
      <c r="I719" t="n">
        <v>-104.82237577551</v>
      </c>
      <c r="J719" t="s">
        <v>35</v>
      </c>
      <c r="K719" t="s">
        <v>120</v>
      </c>
      <c r="L719"/>
      <c r="M719" t="n">
        <v>1977</v>
      </c>
      <c r="N719" t="n">
        <v>1977</v>
      </c>
      <c r="O719" t="s">
        <v>228</v>
      </c>
      <c r="P719" t="n">
        <v>1</v>
      </c>
      <c r="Q719" t="n">
        <v>1</v>
      </c>
      <c r="R719" t="n">
        <v>1</v>
      </c>
      <c r="S719" t="n">
        <v>1961</v>
      </c>
      <c r="T719" t="s">
        <v>229</v>
      </c>
      <c r="U719" t="s">
        <v>230</v>
      </c>
      <c r="V719" t="s">
        <v>74</v>
      </c>
      <c r="W719"/>
      <c r="X719"/>
      <c r="Y719"/>
      <c r="Z719"/>
      <c r="AA719"/>
      <c r="AB719"/>
      <c r="AC719"/>
      <c r="AD719"/>
      <c r="AE719"/>
      <c r="AF719" t="s">
        <v>231</v>
      </c>
      <c r="AG719" t="n">
        <v>145</v>
      </c>
    </row>
    <row r="720">
      <c r="A720" t="s">
        <v>232</v>
      </c>
      <c r="B720" t="s">
        <v>31</v>
      </c>
      <c r="C720" t="s">
        <v>65</v>
      </c>
      <c r="D720" t="s">
        <v>233</v>
      </c>
      <c r="E720" t="s">
        <v>67</v>
      </c>
      <c r="F720" t="s">
        <v>68</v>
      </c>
      <c r="G720" t="s">
        <v>69</v>
      </c>
      <c r="H720" t="n">
        <v>39.8055124566976</v>
      </c>
      <c r="I720" t="n">
        <v>-104.933668388079</v>
      </c>
      <c r="J720" t="s">
        <v>35</v>
      </c>
      <c r="K720" t="s">
        <v>234</v>
      </c>
      <c r="L720"/>
      <c r="M720" t="n">
        <v>1977</v>
      </c>
      <c r="N720" t="n">
        <v>1990</v>
      </c>
      <c r="O720" t="s">
        <v>235</v>
      </c>
      <c r="P720" t="n">
        <v>4</v>
      </c>
      <c r="Q720" t="n">
        <v>4</v>
      </c>
      <c r="R720" t="n">
        <v>4</v>
      </c>
      <c r="S720" t="n">
        <v>1966</v>
      </c>
      <c r="T720" t="s">
        <v>236</v>
      </c>
      <c r="U720" t="s">
        <v>237</v>
      </c>
      <c r="V720" t="s">
        <v>74</v>
      </c>
      <c r="W720"/>
      <c r="X720"/>
      <c r="Y720"/>
      <c r="Z720"/>
      <c r="AA720"/>
      <c r="AB720" t="s">
        <v>238</v>
      </c>
      <c r="AC720" t="n">
        <v>152</v>
      </c>
      <c r="AD720"/>
      <c r="AE720"/>
      <c r="AF720" t="s">
        <v>239</v>
      </c>
      <c r="AG720" t="n">
        <v>51</v>
      </c>
    </row>
    <row r="721">
      <c r="A721" t="s">
        <v>240</v>
      </c>
      <c r="B721" t="s">
        <v>31</v>
      </c>
      <c r="C721" t="s">
        <v>65</v>
      </c>
      <c r="D721" t="s">
        <v>241</v>
      </c>
      <c r="E721" t="s">
        <v>118</v>
      </c>
      <c r="F721" t="s">
        <v>68</v>
      </c>
      <c r="G721" t="s">
        <v>119</v>
      </c>
      <c r="H721" t="n">
        <v>39.9272047612836</v>
      </c>
      <c r="I721" t="n">
        <v>-104.860806041561</v>
      </c>
      <c r="J721" t="s">
        <v>35</v>
      </c>
      <c r="K721" t="s">
        <v>120</v>
      </c>
      <c r="L721"/>
      <c r="M721" t="n">
        <v>1980</v>
      </c>
      <c r="N721" t="n">
        <v>1990</v>
      </c>
      <c r="O721" t="s">
        <v>242</v>
      </c>
      <c r="P721" t="n">
        <v>3</v>
      </c>
      <c r="Q721" t="n">
        <v>1</v>
      </c>
      <c r="R721" t="n">
        <v>1</v>
      </c>
      <c r="S721" t="n">
        <v>1955</v>
      </c>
      <c r="T721" t="s">
        <v>243</v>
      </c>
      <c r="U721" t="s">
        <v>244</v>
      </c>
      <c r="V721" t="s">
        <v>74</v>
      </c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245</v>
      </c>
      <c r="B722" t="s">
        <v>31</v>
      </c>
      <c r="C722" t="s">
        <v>65</v>
      </c>
      <c r="D722" t="s">
        <v>246</v>
      </c>
      <c r="E722" t="s">
        <v>79</v>
      </c>
      <c r="F722" t="s">
        <v>68</v>
      </c>
      <c r="G722" t="s">
        <v>80</v>
      </c>
      <c r="H722" t="n">
        <v>39.8092257272727</v>
      </c>
      <c r="I722" t="n">
        <v>-105.022671545455</v>
      </c>
      <c r="J722" t="s">
        <v>35</v>
      </c>
      <c r="K722" t="s">
        <v>70</v>
      </c>
      <c r="L722"/>
      <c r="M722" t="n">
        <v>1980</v>
      </c>
      <c r="N722" t="n">
        <v>1992</v>
      </c>
      <c r="O722" t="s">
        <v>247</v>
      </c>
      <c r="P722" t="n">
        <v>3</v>
      </c>
      <c r="Q722" t="n">
        <v>2</v>
      </c>
      <c r="R722" t="n">
        <v>2</v>
      </c>
      <c r="S722" t="n">
        <v>1976</v>
      </c>
      <c r="T722" t="s">
        <v>248</v>
      </c>
      <c r="U722" t="s">
        <v>249</v>
      </c>
      <c r="V722" t="s">
        <v>74</v>
      </c>
      <c r="W722"/>
      <c r="X722"/>
      <c r="Y722"/>
      <c r="Z722"/>
      <c r="AA722"/>
      <c r="AB722"/>
      <c r="AC722"/>
      <c r="AD722"/>
      <c r="AE722"/>
      <c r="AF722" t="s">
        <v>250</v>
      </c>
      <c r="AG722" t="n">
        <v>182</v>
      </c>
    </row>
    <row r="723">
      <c r="A723" t="s">
        <v>251</v>
      </c>
      <c r="B723" t="s">
        <v>31</v>
      </c>
      <c r="C723" t="s">
        <v>65</v>
      </c>
      <c r="D723" t="s">
        <v>252</v>
      </c>
      <c r="E723" t="s">
        <v>253</v>
      </c>
      <c r="F723" t="s">
        <v>68</v>
      </c>
      <c r="G723" t="s">
        <v>254</v>
      </c>
      <c r="H723" t="n">
        <v>39.8997335829192</v>
      </c>
      <c r="I723" t="n">
        <v>-104.830812997741</v>
      </c>
      <c r="J723" t="s">
        <v>35</v>
      </c>
      <c r="K723" t="s">
        <v>120</v>
      </c>
      <c r="L723"/>
      <c r="M723" t="n">
        <v>1980</v>
      </c>
      <c r="N723" t="n">
        <v>1980</v>
      </c>
      <c r="O723" t="s">
        <v>255</v>
      </c>
      <c r="P723" t="n">
        <v>1</v>
      </c>
      <c r="Q723" t="n">
        <v>1</v>
      </c>
      <c r="R723" t="n">
        <v>1</v>
      </c>
      <c r="S723" t="n">
        <v>1978</v>
      </c>
      <c r="T723" t="s">
        <v>256</v>
      </c>
      <c r="U723" t="s">
        <v>257</v>
      </c>
      <c r="V723" t="s">
        <v>74</v>
      </c>
      <c r="W723"/>
      <c r="X723"/>
      <c r="Y723"/>
      <c r="Z723"/>
      <c r="AA723"/>
      <c r="AB723"/>
      <c r="AC723"/>
      <c r="AD723"/>
      <c r="AE723"/>
      <c r="AF723"/>
      <c r="AG723"/>
    </row>
    <row r="724">
      <c r="A724" t="s">
        <v>258</v>
      </c>
      <c r="B724" t="s">
        <v>31</v>
      </c>
      <c r="C724" t="s">
        <v>65</v>
      </c>
      <c r="D724" t="s">
        <v>259</v>
      </c>
      <c r="E724" t="s">
        <v>177</v>
      </c>
      <c r="F724" t="s">
        <v>68</v>
      </c>
      <c r="G724" t="s">
        <v>178</v>
      </c>
      <c r="H724" t="n">
        <v>39.8689870277778</v>
      </c>
      <c r="I724" t="n">
        <v>-105.063042861111</v>
      </c>
      <c r="J724" t="s">
        <v>35</v>
      </c>
      <c r="K724" t="s">
        <v>120</v>
      </c>
      <c r="L724"/>
      <c r="M724" t="n">
        <v>1980</v>
      </c>
      <c r="N724" t="n">
        <v>1988</v>
      </c>
      <c r="O724" t="s">
        <v>255</v>
      </c>
      <c r="P724" t="n">
        <v>3</v>
      </c>
      <c r="Q724" t="n">
        <v>3</v>
      </c>
      <c r="R724" t="n">
        <v>1</v>
      </c>
      <c r="S724" t="n">
        <v>1967</v>
      </c>
      <c r="T724" t="s">
        <v>260</v>
      </c>
      <c r="U724" t="s">
        <v>261</v>
      </c>
      <c r="V724" t="s">
        <v>74</v>
      </c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262</v>
      </c>
      <c r="B725" t="s">
        <v>31</v>
      </c>
      <c r="C725" t="s">
        <v>65</v>
      </c>
      <c r="D725" t="s">
        <v>263</v>
      </c>
      <c r="E725" t="s">
        <v>95</v>
      </c>
      <c r="F725" t="s">
        <v>68</v>
      </c>
      <c r="G725" t="s">
        <v>96</v>
      </c>
      <c r="H725" t="n">
        <v>39.7645389298228</v>
      </c>
      <c r="I725" t="n">
        <v>-104.820345920497</v>
      </c>
      <c r="J725" t="s">
        <v>35</v>
      </c>
      <c r="K725" t="s">
        <v>70</v>
      </c>
      <c r="L725"/>
      <c r="M725" t="n">
        <v>1983</v>
      </c>
      <c r="N725" t="n">
        <v>1983</v>
      </c>
      <c r="O725" t="s">
        <v>264</v>
      </c>
      <c r="P725" t="n">
        <v>1</v>
      </c>
      <c r="Q725" t="n">
        <v>1</v>
      </c>
      <c r="R725" t="n">
        <v>1</v>
      </c>
      <c r="S725" t="n">
        <v>1976</v>
      </c>
      <c r="T725" t="s">
        <v>265</v>
      </c>
      <c r="U725" t="s">
        <v>266</v>
      </c>
      <c r="V725" t="s">
        <v>74</v>
      </c>
      <c r="W725"/>
      <c r="X725"/>
      <c r="Y725"/>
      <c r="Z725"/>
      <c r="AA725"/>
      <c r="AB725"/>
      <c r="AC725"/>
      <c r="AD725"/>
      <c r="AE725"/>
      <c r="AF725" t="s">
        <v>267</v>
      </c>
      <c r="AG725" t="n">
        <v>45</v>
      </c>
    </row>
    <row r="726">
      <c r="A726" t="s">
        <v>268</v>
      </c>
      <c r="B726" t="s">
        <v>31</v>
      </c>
      <c r="C726" t="s">
        <v>65</v>
      </c>
      <c r="D726" t="s">
        <v>269</v>
      </c>
      <c r="E726" t="s">
        <v>95</v>
      </c>
      <c r="F726" t="s">
        <v>68</v>
      </c>
      <c r="G726" t="s">
        <v>96</v>
      </c>
      <c r="H726" t="n">
        <v>39.7451307080897</v>
      </c>
      <c r="I726" t="n">
        <v>-104.805856087628</v>
      </c>
      <c r="J726" t="s">
        <v>35</v>
      </c>
      <c r="K726" t="s">
        <v>270</v>
      </c>
      <c r="L726"/>
      <c r="M726" t="n">
        <v>1983</v>
      </c>
      <c r="N726" t="n">
        <v>1990</v>
      </c>
      <c r="O726" t="s">
        <v>271</v>
      </c>
      <c r="P726" t="n">
        <v>3</v>
      </c>
      <c r="Q726" t="n">
        <v>3</v>
      </c>
      <c r="R726" t="n">
        <v>2</v>
      </c>
      <c r="S726" t="n">
        <v>1973</v>
      </c>
      <c r="T726" t="s">
        <v>272</v>
      </c>
      <c r="U726" t="s">
        <v>273</v>
      </c>
      <c r="V726" t="s">
        <v>74</v>
      </c>
      <c r="W726"/>
      <c r="X726"/>
      <c r="Y726"/>
      <c r="Z726"/>
      <c r="AA726"/>
      <c r="AB726"/>
      <c r="AC726"/>
      <c r="AD726"/>
      <c r="AE726"/>
      <c r="AF726" t="s">
        <v>274</v>
      </c>
      <c r="AG726" t="n">
        <v>109</v>
      </c>
    </row>
    <row r="727">
      <c r="A727" t="s">
        <v>4117</v>
      </c>
      <c r="B727" t="s">
        <v>31</v>
      </c>
      <c r="C727" t="s">
        <v>24</v>
      </c>
      <c r="D727" t="s">
        <v>4118</v>
      </c>
      <c r="E727" t="s">
        <v>67</v>
      </c>
      <c r="F727" t="s">
        <v>68</v>
      </c>
      <c r="G727" t="s">
        <v>69</v>
      </c>
      <c r="H727" t="n">
        <v>39.731096714902</v>
      </c>
      <c r="I727" t="n">
        <v>-104.910497035418</v>
      </c>
      <c r="J727" t="s">
        <v>4109</v>
      </c>
      <c r="K727" t="s">
        <v>120</v>
      </c>
      <c r="L727"/>
      <c r="M727" t="n">
        <v>1983</v>
      </c>
      <c r="N727" t="n">
        <v>1983</v>
      </c>
      <c r="O727" t="s">
        <v>264</v>
      </c>
      <c r="P727" t="n">
        <v>1</v>
      </c>
      <c r="Q727" t="n">
        <v>1</v>
      </c>
      <c r="R727" t="n">
        <v>1</v>
      </c>
      <c r="S727" t="n">
        <v>1978</v>
      </c>
      <c r="T727" t="s">
        <v>4119</v>
      </c>
      <c r="U727" t="s">
        <v>4120</v>
      </c>
      <c r="V727" t="s">
        <v>74</v>
      </c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275</v>
      </c>
      <c r="B728" t="s">
        <v>31</v>
      </c>
      <c r="C728" t="s">
        <v>65</v>
      </c>
      <c r="D728" t="s">
        <v>276</v>
      </c>
      <c r="E728" t="s">
        <v>67</v>
      </c>
      <c r="F728" t="s">
        <v>68</v>
      </c>
      <c r="G728" t="s">
        <v>69</v>
      </c>
      <c r="H728" t="n">
        <v>39.7863764983432</v>
      </c>
      <c r="I728" t="n">
        <v>-104.906928838535</v>
      </c>
      <c r="J728" t="s">
        <v>35</v>
      </c>
      <c r="K728" t="s">
        <v>120</v>
      </c>
      <c r="L728"/>
      <c r="M728" t="n">
        <v>1983</v>
      </c>
      <c r="N728" t="n">
        <v>1983</v>
      </c>
      <c r="O728" t="s">
        <v>264</v>
      </c>
      <c r="P728" t="n">
        <v>1</v>
      </c>
      <c r="Q728" t="n">
        <v>1</v>
      </c>
      <c r="R728" t="n">
        <v>1</v>
      </c>
      <c r="S728" t="n">
        <v>1982</v>
      </c>
      <c r="T728" t="s">
        <v>277</v>
      </c>
      <c r="U728" t="s">
        <v>278</v>
      </c>
      <c r="V728" t="s">
        <v>74</v>
      </c>
      <c r="W728"/>
      <c r="X728"/>
      <c r="Y728"/>
      <c r="Z728"/>
      <c r="AA728"/>
      <c r="AB728"/>
      <c r="AC728"/>
      <c r="AD728"/>
      <c r="AE728"/>
      <c r="AF728" t="s">
        <v>279</v>
      </c>
      <c r="AG728" t="n">
        <v>100</v>
      </c>
    </row>
    <row r="729">
      <c r="A729" t="s">
        <v>280</v>
      </c>
      <c r="B729" t="s">
        <v>31</v>
      </c>
      <c r="C729" t="s">
        <v>65</v>
      </c>
      <c r="D729" t="s">
        <v>281</v>
      </c>
      <c r="E729" t="s">
        <v>253</v>
      </c>
      <c r="F729" t="s">
        <v>68</v>
      </c>
      <c r="G729" t="s">
        <v>254</v>
      </c>
      <c r="H729" t="n">
        <v>39.8707428543689</v>
      </c>
      <c r="I729" t="n">
        <v>-104.873651941748</v>
      </c>
      <c r="J729" t="s">
        <v>35</v>
      </c>
      <c r="K729" t="s">
        <v>282</v>
      </c>
      <c r="L729" t="s">
        <v>98</v>
      </c>
      <c r="M729" t="n">
        <v>1983</v>
      </c>
      <c r="N729" t="n">
        <v>1988</v>
      </c>
      <c r="O729" t="s">
        <v>283</v>
      </c>
      <c r="P729" t="n">
        <v>2</v>
      </c>
      <c r="Q729" t="n">
        <v>2</v>
      </c>
      <c r="R729" t="n">
        <v>2</v>
      </c>
      <c r="S729" t="n">
        <v>1980</v>
      </c>
      <c r="T729" t="s">
        <v>284</v>
      </c>
      <c r="U729" t="s">
        <v>285</v>
      </c>
      <c r="V729" t="s">
        <v>74</v>
      </c>
      <c r="W729"/>
      <c r="X729"/>
      <c r="Y729"/>
      <c r="Z729"/>
      <c r="AA729"/>
      <c r="AB729"/>
      <c r="AC729"/>
      <c r="AD729"/>
      <c r="AE729"/>
      <c r="AF729" t="s">
        <v>286</v>
      </c>
      <c r="AG729" t="n">
        <v>207</v>
      </c>
    </row>
    <row r="730">
      <c r="A730" t="s">
        <v>287</v>
      </c>
      <c r="B730" t="s">
        <v>31</v>
      </c>
      <c r="C730" t="s">
        <v>65</v>
      </c>
      <c r="D730" t="s">
        <v>288</v>
      </c>
      <c r="E730" t="s">
        <v>253</v>
      </c>
      <c r="F730" t="s">
        <v>68</v>
      </c>
      <c r="G730" t="s">
        <v>254</v>
      </c>
      <c r="H730" t="n">
        <v>39.917967969222</v>
      </c>
      <c r="I730" t="n">
        <v>-104.867832063743</v>
      </c>
      <c r="J730" t="s">
        <v>35</v>
      </c>
      <c r="K730" t="s">
        <v>220</v>
      </c>
      <c r="L730"/>
      <c r="M730" t="n">
        <v>1983</v>
      </c>
      <c r="N730" t="n">
        <v>1990</v>
      </c>
      <c r="O730" t="s">
        <v>271</v>
      </c>
      <c r="P730" t="n">
        <v>3</v>
      </c>
      <c r="Q730" t="n">
        <v>3</v>
      </c>
      <c r="R730" t="n">
        <v>3</v>
      </c>
      <c r="S730" t="n">
        <v>1965</v>
      </c>
      <c r="T730" t="s">
        <v>289</v>
      </c>
      <c r="U730" t="s">
        <v>290</v>
      </c>
      <c r="V730" t="s">
        <v>74</v>
      </c>
      <c r="W730"/>
      <c r="X730"/>
      <c r="Y730"/>
      <c r="Z730"/>
      <c r="AA730"/>
      <c r="AB730"/>
      <c r="AC730"/>
      <c r="AD730"/>
      <c r="AE730"/>
      <c r="AF730"/>
      <c r="AG730"/>
    </row>
    <row r="731">
      <c r="A731" t="s">
        <v>291</v>
      </c>
      <c r="B731" t="s">
        <v>31</v>
      </c>
      <c r="C731" t="s">
        <v>65</v>
      </c>
      <c r="D731" t="s">
        <v>292</v>
      </c>
      <c r="E731" t="s">
        <v>170</v>
      </c>
      <c r="F731" t="s">
        <v>68</v>
      </c>
      <c r="G731" t="s">
        <v>171</v>
      </c>
      <c r="H731" t="n">
        <v>39.8959612052751</v>
      </c>
      <c r="I731" t="n">
        <v>-104.963718611541</v>
      </c>
      <c r="J731" t="s">
        <v>35</v>
      </c>
      <c r="K731" t="s">
        <v>70</v>
      </c>
      <c r="L731"/>
      <c r="M731" t="n">
        <v>1983</v>
      </c>
      <c r="N731" t="n">
        <v>1990</v>
      </c>
      <c r="O731" t="s">
        <v>293</v>
      </c>
      <c r="P731" t="n">
        <v>2</v>
      </c>
      <c r="Q731" t="n">
        <v>1</v>
      </c>
      <c r="R731" t="n">
        <v>1</v>
      </c>
      <c r="S731" t="n">
        <v>1967</v>
      </c>
      <c r="T731" t="s">
        <v>294</v>
      </c>
      <c r="U731" t="s">
        <v>295</v>
      </c>
      <c r="V731" t="s">
        <v>74</v>
      </c>
      <c r="W731"/>
      <c r="X731"/>
      <c r="Y731"/>
      <c r="Z731"/>
      <c r="AA731"/>
      <c r="AB731"/>
      <c r="AC731"/>
      <c r="AD731" t="s">
        <v>296</v>
      </c>
      <c r="AE731" t="n">
        <v>107</v>
      </c>
      <c r="AF731" t="s">
        <v>297</v>
      </c>
      <c r="AG731" t="n">
        <v>77</v>
      </c>
    </row>
    <row r="732">
      <c r="A732" t="s">
        <v>298</v>
      </c>
      <c r="B732" t="s">
        <v>31</v>
      </c>
      <c r="C732" t="s">
        <v>65</v>
      </c>
      <c r="D732" t="s">
        <v>299</v>
      </c>
      <c r="E732" t="s">
        <v>170</v>
      </c>
      <c r="F732" t="s">
        <v>68</v>
      </c>
      <c r="G732" t="s">
        <v>171</v>
      </c>
      <c r="H732" t="n">
        <v>39.897192</v>
      </c>
      <c r="I732" t="n">
        <v>-104.966318</v>
      </c>
      <c r="J732" t="s">
        <v>35</v>
      </c>
      <c r="K732" t="s">
        <v>133</v>
      </c>
      <c r="L732"/>
      <c r="M732" t="n">
        <v>1983</v>
      </c>
      <c r="N732" t="n">
        <v>1992</v>
      </c>
      <c r="O732" t="s">
        <v>283</v>
      </c>
      <c r="P732" t="n">
        <v>4</v>
      </c>
      <c r="Q732" t="n">
        <v>2</v>
      </c>
      <c r="R732" t="n">
        <v>2</v>
      </c>
      <c r="S732" t="n">
        <v>1967</v>
      </c>
      <c r="T732" t="s">
        <v>300</v>
      </c>
      <c r="U732" t="s">
        <v>301</v>
      </c>
      <c r="V732" t="s">
        <v>74</v>
      </c>
      <c r="W732"/>
      <c r="X732"/>
      <c r="Y732"/>
      <c r="Z732"/>
      <c r="AA732"/>
      <c r="AB732"/>
      <c r="AC732"/>
      <c r="AD732"/>
      <c r="AE732"/>
      <c r="AF732" t="s">
        <v>302</v>
      </c>
      <c r="AG732" t="n">
        <v>67</v>
      </c>
    </row>
    <row r="733">
      <c r="A733" t="s">
        <v>303</v>
      </c>
      <c r="B733" t="s">
        <v>31</v>
      </c>
      <c r="C733" t="s">
        <v>65</v>
      </c>
      <c r="D733" t="s">
        <v>304</v>
      </c>
      <c r="E733" t="s">
        <v>79</v>
      </c>
      <c r="F733" t="s">
        <v>68</v>
      </c>
      <c r="G733" t="s">
        <v>80</v>
      </c>
      <c r="H733" t="n">
        <v>39.7859869789944</v>
      </c>
      <c r="I733" t="n">
        <v>-105.016994992646</v>
      </c>
      <c r="J733" t="s">
        <v>35</v>
      </c>
      <c r="K733" t="s">
        <v>141</v>
      </c>
      <c r="L733"/>
      <c r="M733" t="n">
        <v>1983</v>
      </c>
      <c r="N733" t="n">
        <v>1983</v>
      </c>
      <c r="O733" t="s">
        <v>264</v>
      </c>
      <c r="P733" t="n">
        <v>1</v>
      </c>
      <c r="Q733" t="n">
        <v>1</v>
      </c>
      <c r="R733" t="n">
        <v>1</v>
      </c>
      <c r="S733" t="n">
        <v>1962</v>
      </c>
      <c r="T733" t="s">
        <v>305</v>
      </c>
      <c r="U733" t="s">
        <v>306</v>
      </c>
      <c r="V733" t="s">
        <v>74</v>
      </c>
      <c r="W733"/>
      <c r="X733"/>
      <c r="Y733"/>
      <c r="Z733"/>
      <c r="AA733"/>
      <c r="AB733"/>
      <c r="AC733"/>
      <c r="AD733"/>
      <c r="AE733"/>
      <c r="AF733" t="s">
        <v>307</v>
      </c>
      <c r="AG733" t="n">
        <v>100</v>
      </c>
    </row>
    <row r="734">
      <c r="A734" t="s">
        <v>308</v>
      </c>
      <c r="B734" t="s">
        <v>31</v>
      </c>
      <c r="C734" t="s">
        <v>65</v>
      </c>
      <c r="D734" t="s">
        <v>309</v>
      </c>
      <c r="E734" t="s">
        <v>95</v>
      </c>
      <c r="F734" t="s">
        <v>68</v>
      </c>
      <c r="G734" t="s">
        <v>96</v>
      </c>
      <c r="H734" t="n">
        <v>39.7268847906095</v>
      </c>
      <c r="I734" t="n">
        <v>-104.815227431139</v>
      </c>
      <c r="J734" t="s">
        <v>35</v>
      </c>
      <c r="K734" t="s">
        <v>70</v>
      </c>
      <c r="L734"/>
      <c r="M734" t="n">
        <v>1988</v>
      </c>
      <c r="N734" t="n">
        <v>1990</v>
      </c>
      <c r="O734" t="s">
        <v>310</v>
      </c>
      <c r="P734" t="n">
        <v>2</v>
      </c>
      <c r="Q734" t="n">
        <v>2</v>
      </c>
      <c r="R734" t="n">
        <v>2</v>
      </c>
      <c r="S734" t="n">
        <v>1983</v>
      </c>
      <c r="T734" t="s">
        <v>311</v>
      </c>
      <c r="U734" t="s">
        <v>312</v>
      </c>
      <c r="V734" t="s">
        <v>74</v>
      </c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313</v>
      </c>
      <c r="B735" t="s">
        <v>31</v>
      </c>
      <c r="C735" t="s">
        <v>65</v>
      </c>
      <c r="D735" t="s">
        <v>314</v>
      </c>
      <c r="E735" t="s">
        <v>118</v>
      </c>
      <c r="F735" t="s">
        <v>68</v>
      </c>
      <c r="G735" t="s">
        <v>119</v>
      </c>
      <c r="H735" t="n">
        <v>39.96508925</v>
      </c>
      <c r="I735" t="n">
        <v>-104.832147625</v>
      </c>
      <c r="J735" t="s">
        <v>35</v>
      </c>
      <c r="K735" t="s">
        <v>315</v>
      </c>
      <c r="L735"/>
      <c r="M735" t="n">
        <v>1988</v>
      </c>
      <c r="N735" t="n">
        <v>1990</v>
      </c>
      <c r="O735" t="s">
        <v>310</v>
      </c>
      <c r="P735" t="n">
        <v>2</v>
      </c>
      <c r="Q735" t="n">
        <v>2</v>
      </c>
      <c r="R735" t="n">
        <v>2</v>
      </c>
      <c r="S735" t="n">
        <v>1970</v>
      </c>
      <c r="T735" t="s">
        <v>316</v>
      </c>
      <c r="U735" t="s">
        <v>317</v>
      </c>
      <c r="V735" t="s">
        <v>74</v>
      </c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318</v>
      </c>
      <c r="B736" t="s">
        <v>31</v>
      </c>
      <c r="C736" t="s">
        <v>65</v>
      </c>
      <c r="D736" t="s">
        <v>319</v>
      </c>
      <c r="E736" t="s">
        <v>67</v>
      </c>
      <c r="F736" t="s">
        <v>68</v>
      </c>
      <c r="G736" t="s">
        <v>69</v>
      </c>
      <c r="H736" t="n">
        <v>39.8515982066683</v>
      </c>
      <c r="I736" t="n">
        <v>-104.891172115956</v>
      </c>
      <c r="J736" t="s">
        <v>35</v>
      </c>
      <c r="K736" t="s">
        <v>120</v>
      </c>
      <c r="L736"/>
      <c r="M736" t="n">
        <v>1988</v>
      </c>
      <c r="N736" t="n">
        <v>1992</v>
      </c>
      <c r="O736" t="s">
        <v>320</v>
      </c>
      <c r="P736" t="n">
        <v>3</v>
      </c>
      <c r="Q736" t="n">
        <v>1</v>
      </c>
      <c r="R736" t="n">
        <v>1</v>
      </c>
      <c r="S736" t="n">
        <v>1978</v>
      </c>
      <c r="T736" t="s">
        <v>321</v>
      </c>
      <c r="U736" t="s">
        <v>322</v>
      </c>
      <c r="V736" t="s">
        <v>74</v>
      </c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323</v>
      </c>
      <c r="B737" t="s">
        <v>31</v>
      </c>
      <c r="C737" t="s">
        <v>65</v>
      </c>
      <c r="D737" t="s">
        <v>324</v>
      </c>
      <c r="E737" t="s">
        <v>79</v>
      </c>
      <c r="F737" t="s">
        <v>68</v>
      </c>
      <c r="G737" t="s">
        <v>80</v>
      </c>
      <c r="H737" t="n">
        <v>39.803094</v>
      </c>
      <c r="I737" t="n">
        <v>-105.034696</v>
      </c>
      <c r="J737" t="s">
        <v>35</v>
      </c>
      <c r="K737" t="s">
        <v>70</v>
      </c>
      <c r="L737"/>
      <c r="M737" t="n">
        <v>1988</v>
      </c>
      <c r="N737" t="n">
        <v>1988</v>
      </c>
      <c r="O737" t="s">
        <v>325</v>
      </c>
      <c r="P737" t="n">
        <v>1</v>
      </c>
      <c r="Q737" t="n">
        <v>1</v>
      </c>
      <c r="R737" t="n">
        <v>1</v>
      </c>
      <c r="S737" t="n">
        <v>1969</v>
      </c>
      <c r="T737" t="s">
        <v>326</v>
      </c>
      <c r="U737" t="s">
        <v>327</v>
      </c>
      <c r="V737" t="s">
        <v>74</v>
      </c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328</v>
      </c>
      <c r="B738" t="s">
        <v>31</v>
      </c>
      <c r="C738" t="s">
        <v>65</v>
      </c>
      <c r="D738" t="s">
        <v>329</v>
      </c>
      <c r="E738" t="s">
        <v>79</v>
      </c>
      <c r="F738" t="s">
        <v>68</v>
      </c>
      <c r="G738" t="s">
        <v>80</v>
      </c>
      <c r="H738" t="n">
        <v>39.8128255554107</v>
      </c>
      <c r="I738" t="n">
        <v>-105.023535870488</v>
      </c>
      <c r="J738" t="s">
        <v>35</v>
      </c>
      <c r="K738" t="s">
        <v>70</v>
      </c>
      <c r="L738"/>
      <c r="M738" t="n">
        <v>1988</v>
      </c>
      <c r="N738" t="n">
        <v>1990</v>
      </c>
      <c r="O738" t="s">
        <v>310</v>
      </c>
      <c r="P738" t="n">
        <v>2</v>
      </c>
      <c r="Q738" t="n">
        <v>1</v>
      </c>
      <c r="R738" t="n">
        <v>1</v>
      </c>
      <c r="S738" t="n">
        <v>1977</v>
      </c>
      <c r="T738" t="s">
        <v>330</v>
      </c>
      <c r="U738" t="s">
        <v>331</v>
      </c>
      <c r="V738" t="s">
        <v>74</v>
      </c>
      <c r="W738"/>
      <c r="X738"/>
      <c r="Y738"/>
      <c r="Z738"/>
      <c r="AA738"/>
      <c r="AB738"/>
      <c r="AC738"/>
      <c r="AD738"/>
      <c r="AE738"/>
      <c r="AF738" t="s">
        <v>332</v>
      </c>
      <c r="AG738" t="n">
        <v>47</v>
      </c>
    </row>
    <row r="739">
      <c r="A739" t="s">
        <v>333</v>
      </c>
      <c r="B739" t="s">
        <v>31</v>
      </c>
      <c r="C739" t="s">
        <v>65</v>
      </c>
      <c r="D739" t="s">
        <v>334</v>
      </c>
      <c r="E739" t="s">
        <v>79</v>
      </c>
      <c r="F739" t="s">
        <v>68</v>
      </c>
      <c r="G739" t="s">
        <v>80</v>
      </c>
      <c r="H739" t="n">
        <v>39.8374918086524</v>
      </c>
      <c r="I739" t="n">
        <v>-104.987750128557</v>
      </c>
      <c r="J739" t="s">
        <v>35</v>
      </c>
      <c r="K739" t="s">
        <v>70</v>
      </c>
      <c r="L739"/>
      <c r="M739" t="n">
        <v>1988</v>
      </c>
      <c r="N739" t="n">
        <v>1988</v>
      </c>
      <c r="O739" t="s">
        <v>325</v>
      </c>
      <c r="P739" t="n">
        <v>1</v>
      </c>
      <c r="Q739" t="n">
        <v>1</v>
      </c>
      <c r="R739" t="n">
        <v>1</v>
      </c>
      <c r="S739" t="n">
        <v>1976</v>
      </c>
      <c r="T739" t="s">
        <v>335</v>
      </c>
      <c r="U739" t="s">
        <v>336</v>
      </c>
      <c r="V739" t="s">
        <v>74</v>
      </c>
      <c r="W739"/>
      <c r="X739"/>
      <c r="Y739"/>
      <c r="Z739"/>
      <c r="AA739"/>
      <c r="AB739"/>
      <c r="AC739"/>
      <c r="AD739"/>
      <c r="AE739"/>
      <c r="AF739" t="s">
        <v>337</v>
      </c>
      <c r="AG739" t="n">
        <v>188</v>
      </c>
    </row>
    <row r="740">
      <c r="A740" t="s">
        <v>338</v>
      </c>
      <c r="B740" t="s">
        <v>31</v>
      </c>
      <c r="C740" t="s">
        <v>65</v>
      </c>
      <c r="D740" t="s">
        <v>339</v>
      </c>
      <c r="E740" t="s">
        <v>161</v>
      </c>
      <c r="F740" t="s">
        <v>68</v>
      </c>
      <c r="G740" t="s">
        <v>340</v>
      </c>
      <c r="H740" t="n">
        <v>39.9295052197508</v>
      </c>
      <c r="I740" t="n">
        <v>-104.958399471202</v>
      </c>
      <c r="J740" t="s">
        <v>35</v>
      </c>
      <c r="K740" t="s">
        <v>120</v>
      </c>
      <c r="L740"/>
      <c r="M740" t="n">
        <v>1988</v>
      </c>
      <c r="N740" t="n">
        <v>1988</v>
      </c>
      <c r="O740" t="s">
        <v>325</v>
      </c>
      <c r="P740" t="n">
        <v>1</v>
      </c>
      <c r="Q740" t="n">
        <v>1</v>
      </c>
      <c r="R740" t="n">
        <v>1</v>
      </c>
      <c r="S740" t="n">
        <v>1962</v>
      </c>
      <c r="T740" t="s">
        <v>341</v>
      </c>
      <c r="U740" t="s">
        <v>342</v>
      </c>
      <c r="V740" t="s">
        <v>74</v>
      </c>
      <c r="W740"/>
      <c r="X740"/>
      <c r="Y740"/>
      <c r="Z740"/>
      <c r="AA740"/>
      <c r="AB740"/>
      <c r="AC740"/>
      <c r="AD740"/>
      <c r="AE740"/>
      <c r="AF740"/>
      <c r="AG740"/>
    </row>
    <row r="741">
      <c r="A741" t="s">
        <v>343</v>
      </c>
      <c r="B741" t="s">
        <v>31</v>
      </c>
      <c r="C741" t="s">
        <v>65</v>
      </c>
      <c r="D741" t="s">
        <v>344</v>
      </c>
      <c r="E741" t="s">
        <v>177</v>
      </c>
      <c r="F741" t="s">
        <v>68</v>
      </c>
      <c r="G741" t="s">
        <v>178</v>
      </c>
      <c r="H741" t="n">
        <v>39.8698392173618</v>
      </c>
      <c r="I741" t="n">
        <v>-105.027332828358</v>
      </c>
      <c r="J741" t="s">
        <v>35</v>
      </c>
      <c r="K741" t="s">
        <v>120</v>
      </c>
      <c r="L741"/>
      <c r="M741" t="n">
        <v>1988</v>
      </c>
      <c r="N741" t="n">
        <v>1992</v>
      </c>
      <c r="O741" t="s">
        <v>325</v>
      </c>
      <c r="P741" t="n">
        <v>3</v>
      </c>
      <c r="Q741" t="n">
        <v>2</v>
      </c>
      <c r="R741" t="n">
        <v>1</v>
      </c>
      <c r="S741" t="n">
        <v>1963</v>
      </c>
      <c r="T741" t="s">
        <v>345</v>
      </c>
      <c r="U741" t="s">
        <v>346</v>
      </c>
      <c r="V741" t="s">
        <v>74</v>
      </c>
      <c r="W741"/>
      <c r="X741"/>
      <c r="Y741"/>
      <c r="Z741"/>
      <c r="AA741"/>
      <c r="AB741" t="s">
        <v>347</v>
      </c>
      <c r="AC741" t="n">
        <v>224</v>
      </c>
      <c r="AD741"/>
      <c r="AE741"/>
      <c r="AF741" t="s">
        <v>348</v>
      </c>
      <c r="AG741" t="n">
        <v>194</v>
      </c>
    </row>
    <row r="742">
      <c r="A742" t="s">
        <v>4121</v>
      </c>
      <c r="B742" t="s">
        <v>31</v>
      </c>
      <c r="C742" t="s">
        <v>24</v>
      </c>
      <c r="D742" t="s">
        <v>4122</v>
      </c>
      <c r="E742" t="s">
        <v>95</v>
      </c>
      <c r="F742" t="s">
        <v>68</v>
      </c>
      <c r="G742" t="s">
        <v>96</v>
      </c>
      <c r="H742" t="n">
        <v>39.61261</v>
      </c>
      <c r="I742" t="n">
        <v>-104.79548</v>
      </c>
      <c r="J742" t="s">
        <v>4109</v>
      </c>
      <c r="K742" t="s">
        <v>89</v>
      </c>
      <c r="L742"/>
      <c r="M742" t="n">
        <v>1990</v>
      </c>
      <c r="N742" t="n">
        <v>1990</v>
      </c>
      <c r="O742" t="s">
        <v>351</v>
      </c>
      <c r="P742" t="n">
        <v>1</v>
      </c>
      <c r="Q742" t="n">
        <v>1</v>
      </c>
      <c r="R742" t="n">
        <v>1</v>
      </c>
      <c r="S742" t="n">
        <v>1979</v>
      </c>
      <c r="T742" t="s">
        <v>4123</v>
      </c>
      <c r="U742" t="s">
        <v>4124</v>
      </c>
      <c r="V742" t="s">
        <v>74</v>
      </c>
      <c r="W742"/>
      <c r="X742"/>
      <c r="Y742"/>
      <c r="Z742"/>
      <c r="AA742"/>
      <c r="AB742"/>
      <c r="AC742"/>
      <c r="AD742"/>
      <c r="AE742"/>
      <c r="AF742"/>
      <c r="AG742"/>
    </row>
    <row r="743">
      <c r="A743" t="s">
        <v>349</v>
      </c>
      <c r="B743" t="s">
        <v>31</v>
      </c>
      <c r="C743" t="s">
        <v>65</v>
      </c>
      <c r="D743" t="s">
        <v>350</v>
      </c>
      <c r="E743" t="s">
        <v>118</v>
      </c>
      <c r="F743" t="s">
        <v>68</v>
      </c>
      <c r="G743" t="s">
        <v>119</v>
      </c>
      <c r="H743" t="n">
        <v>39.9889296938776</v>
      </c>
      <c r="I743" t="n">
        <v>-104.819163122449</v>
      </c>
      <c r="J743" t="s">
        <v>35</v>
      </c>
      <c r="K743" t="s">
        <v>120</v>
      </c>
      <c r="L743"/>
      <c r="M743" t="n">
        <v>1990</v>
      </c>
      <c r="N743" t="n">
        <v>1990</v>
      </c>
      <c r="O743" t="s">
        <v>351</v>
      </c>
      <c r="P743" t="n">
        <v>1</v>
      </c>
      <c r="Q743" t="n">
        <v>2</v>
      </c>
      <c r="R743" t="n">
        <v>1</v>
      </c>
      <c r="S743" t="n">
        <v>1970</v>
      </c>
      <c r="T743" t="s">
        <v>352</v>
      </c>
      <c r="U743" t="s">
        <v>353</v>
      </c>
      <c r="V743" t="s">
        <v>74</v>
      </c>
      <c r="W743"/>
      <c r="X743"/>
      <c r="Y743"/>
      <c r="Z743"/>
      <c r="AA743"/>
      <c r="AB743" t="s">
        <v>354</v>
      </c>
      <c r="AC743" t="n">
        <v>195</v>
      </c>
      <c r="AD743"/>
      <c r="AE743"/>
      <c r="AF743"/>
      <c r="AG743"/>
    </row>
    <row r="744">
      <c r="A744" t="s">
        <v>355</v>
      </c>
      <c r="B744" t="s">
        <v>31</v>
      </c>
      <c r="C744" t="s">
        <v>65</v>
      </c>
      <c r="D744" t="s">
        <v>356</v>
      </c>
      <c r="E744" t="s">
        <v>67</v>
      </c>
      <c r="F744" t="s">
        <v>68</v>
      </c>
      <c r="G744" t="s">
        <v>69</v>
      </c>
      <c r="H744" t="n">
        <v>39.8014685151515</v>
      </c>
      <c r="I744" t="n">
        <v>-104.930399969697</v>
      </c>
      <c r="J744" t="s">
        <v>35</v>
      </c>
      <c r="K744" t="s">
        <v>141</v>
      </c>
      <c r="L744"/>
      <c r="M744" t="n">
        <v>1990</v>
      </c>
      <c r="N744" t="n">
        <v>1992</v>
      </c>
      <c r="O744" t="s">
        <v>357</v>
      </c>
      <c r="P744" t="n">
        <v>2</v>
      </c>
      <c r="Q744" t="n">
        <v>2</v>
      </c>
      <c r="R744" t="n">
        <v>2</v>
      </c>
      <c r="S744" t="n">
        <v>1989</v>
      </c>
      <c r="T744" t="s">
        <v>358</v>
      </c>
      <c r="U744" t="s">
        <v>359</v>
      </c>
      <c r="V744" t="s">
        <v>74</v>
      </c>
      <c r="W744"/>
      <c r="X744"/>
      <c r="Y744"/>
      <c r="Z744"/>
      <c r="AA744"/>
      <c r="AB744" t="s">
        <v>157</v>
      </c>
      <c r="AC744" t="n">
        <v>195</v>
      </c>
      <c r="AD744"/>
      <c r="AE744"/>
      <c r="AF744" t="s">
        <v>360</v>
      </c>
      <c r="AG744" t="n">
        <v>105</v>
      </c>
    </row>
    <row r="745">
      <c r="A745" t="s">
        <v>361</v>
      </c>
      <c r="B745" t="s">
        <v>31</v>
      </c>
      <c r="C745" t="s">
        <v>65</v>
      </c>
      <c r="D745" t="s">
        <v>362</v>
      </c>
      <c r="E745" t="s">
        <v>67</v>
      </c>
      <c r="F745" t="s">
        <v>68</v>
      </c>
      <c r="G745" t="s">
        <v>69</v>
      </c>
      <c r="H745" t="n">
        <v>39.7852452244898</v>
      </c>
      <c r="I745" t="n">
        <v>-104.908871959184</v>
      </c>
      <c r="J745" t="s">
        <v>35</v>
      </c>
      <c r="K745" t="s">
        <v>201</v>
      </c>
      <c r="L745"/>
      <c r="M745" t="n">
        <v>1990</v>
      </c>
      <c r="N745" t="n">
        <v>1992</v>
      </c>
      <c r="O745" t="s">
        <v>357</v>
      </c>
      <c r="P745" t="n">
        <v>2</v>
      </c>
      <c r="Q745" t="n">
        <v>2</v>
      </c>
      <c r="R745" t="n">
        <v>2</v>
      </c>
      <c r="S745" t="n">
        <v>1962</v>
      </c>
      <c r="T745" t="s">
        <v>363</v>
      </c>
      <c r="U745" t="s">
        <v>364</v>
      </c>
      <c r="V745" t="s">
        <v>74</v>
      </c>
      <c r="W745"/>
      <c r="X745"/>
      <c r="Y745"/>
      <c r="Z745"/>
      <c r="AA745"/>
      <c r="AB745" t="s">
        <v>150</v>
      </c>
      <c r="AC745" t="n">
        <v>231</v>
      </c>
      <c r="AD745"/>
      <c r="AE745"/>
      <c r="AF745" t="s">
        <v>365</v>
      </c>
      <c r="AG745" t="n">
        <v>52</v>
      </c>
    </row>
    <row r="746">
      <c r="A746" t="s">
        <v>366</v>
      </c>
      <c r="B746" t="s">
        <v>31</v>
      </c>
      <c r="C746" t="s">
        <v>65</v>
      </c>
      <c r="D746" t="s">
        <v>367</v>
      </c>
      <c r="E746" t="s">
        <v>161</v>
      </c>
      <c r="F746" t="s">
        <v>68</v>
      </c>
      <c r="G746" t="s">
        <v>162</v>
      </c>
      <c r="H746" t="n">
        <v>39.8237555529848</v>
      </c>
      <c r="I746" t="n">
        <v>-104.980473919394</v>
      </c>
      <c r="J746" t="s">
        <v>35</v>
      </c>
      <c r="K746" t="s">
        <v>120</v>
      </c>
      <c r="L746"/>
      <c r="M746" t="n">
        <v>1990</v>
      </c>
      <c r="N746" t="n">
        <v>1992</v>
      </c>
      <c r="O746" t="s">
        <v>357</v>
      </c>
      <c r="P746" t="n">
        <v>2</v>
      </c>
      <c r="Q746" t="n">
        <v>2</v>
      </c>
      <c r="R746" t="n">
        <v>1</v>
      </c>
      <c r="S746" t="n">
        <v>1983</v>
      </c>
      <c r="T746" t="s">
        <v>368</v>
      </c>
      <c r="U746" t="s">
        <v>369</v>
      </c>
      <c r="V746" t="s">
        <v>74</v>
      </c>
      <c r="W746"/>
      <c r="X746"/>
      <c r="Y746"/>
      <c r="Z746"/>
      <c r="AA746"/>
      <c r="AB746"/>
      <c r="AC746"/>
      <c r="AD746"/>
      <c r="AE746"/>
      <c r="AF746" t="s">
        <v>370</v>
      </c>
      <c r="AG746" t="n">
        <v>102</v>
      </c>
    </row>
    <row r="747">
      <c r="A747" t="s">
        <v>371</v>
      </c>
      <c r="B747" t="s">
        <v>31</v>
      </c>
      <c r="C747" t="s">
        <v>65</v>
      </c>
      <c r="D747" t="s">
        <v>372</v>
      </c>
      <c r="E747" t="s">
        <v>161</v>
      </c>
      <c r="F747" t="s">
        <v>68</v>
      </c>
      <c r="G747" t="s">
        <v>162</v>
      </c>
      <c r="H747" t="n">
        <v>39.875008606531</v>
      </c>
      <c r="I747" t="n">
        <v>-104.948238811265</v>
      </c>
      <c r="J747" t="s">
        <v>35</v>
      </c>
      <c r="K747" t="s">
        <v>120</v>
      </c>
      <c r="L747"/>
      <c r="M747" t="n">
        <v>1990</v>
      </c>
      <c r="N747" t="n">
        <v>1990</v>
      </c>
      <c r="O747" t="s">
        <v>351</v>
      </c>
      <c r="P747" t="n">
        <v>1</v>
      </c>
      <c r="Q747" t="n">
        <v>1</v>
      </c>
      <c r="R747" t="n">
        <v>1</v>
      </c>
      <c r="S747" t="n">
        <v>1987</v>
      </c>
      <c r="T747" t="s">
        <v>373</v>
      </c>
      <c r="U747" t="s">
        <v>374</v>
      </c>
      <c r="V747" t="s">
        <v>74</v>
      </c>
      <c r="W747"/>
      <c r="X747"/>
      <c r="Y747"/>
      <c r="Z747"/>
      <c r="AA747"/>
      <c r="AB747"/>
      <c r="AC747"/>
      <c r="AD747"/>
      <c r="AE747"/>
      <c r="AF747"/>
      <c r="AG747"/>
    </row>
    <row r="748">
      <c r="A748" t="s">
        <v>4125</v>
      </c>
      <c r="B748" t="s">
        <v>31</v>
      </c>
      <c r="C748" t="s">
        <v>24</v>
      </c>
      <c r="D748" t="s">
        <v>4126</v>
      </c>
      <c r="E748" t="s">
        <v>177</v>
      </c>
      <c r="F748" t="s">
        <v>68</v>
      </c>
      <c r="G748" t="s">
        <v>4127</v>
      </c>
      <c r="H748" t="n">
        <v>39.910991</v>
      </c>
      <c r="I748" t="n">
        <v>-104.991637</v>
      </c>
      <c r="J748" t="s">
        <v>4109</v>
      </c>
      <c r="K748" t="s">
        <v>141</v>
      </c>
      <c r="L748"/>
      <c r="M748" t="n">
        <v>1992</v>
      </c>
      <c r="N748" t="n">
        <v>1992</v>
      </c>
      <c r="O748" t="s">
        <v>1016</v>
      </c>
      <c r="P748" t="n">
        <v>1</v>
      </c>
      <c r="Q748" t="n">
        <v>1</v>
      </c>
      <c r="R748" t="n">
        <v>1</v>
      </c>
      <c r="S748" t="n">
        <v>1982</v>
      </c>
      <c r="T748" t="s">
        <v>4128</v>
      </c>
      <c r="U748" t="s">
        <v>4129</v>
      </c>
      <c r="V748" t="s">
        <v>74</v>
      </c>
      <c r="W748"/>
      <c r="X748"/>
      <c r="Y748"/>
      <c r="Z748"/>
      <c r="AA748"/>
      <c r="AB748"/>
      <c r="AC748"/>
      <c r="AD748"/>
      <c r="AE748"/>
      <c r="AF748"/>
      <c r="AG748"/>
    </row>
    <row r="749">
      <c r="A749" t="s">
        <v>375</v>
      </c>
      <c r="B749" t="s">
        <v>31</v>
      </c>
      <c r="C749" t="s">
        <v>65</v>
      </c>
      <c r="D749" t="s">
        <v>376</v>
      </c>
      <c r="E749" t="s">
        <v>377</v>
      </c>
      <c r="F749" t="s">
        <v>378</v>
      </c>
      <c r="G749" t="s">
        <v>379</v>
      </c>
      <c r="H749" t="n">
        <v>37.4671142908479</v>
      </c>
      <c r="I749" t="n">
        <v>-105.870326811707</v>
      </c>
      <c r="J749" t="s">
        <v>35</v>
      </c>
      <c r="K749" t="s">
        <v>126</v>
      </c>
      <c r="L749"/>
      <c r="M749" t="n">
        <v>1968</v>
      </c>
      <c r="N749" t="n">
        <v>1992</v>
      </c>
      <c r="O749" t="s">
        <v>380</v>
      </c>
      <c r="P749" t="n">
        <v>7</v>
      </c>
      <c r="Q749" t="n">
        <v>3</v>
      </c>
      <c r="R749" t="n">
        <v>2</v>
      </c>
      <c r="S749" t="n">
        <v>1958</v>
      </c>
      <c r="T749" t="s">
        <v>381</v>
      </c>
      <c r="U749" t="s">
        <v>382</v>
      </c>
      <c r="V749" t="s">
        <v>74</v>
      </c>
      <c r="W749"/>
      <c r="X749"/>
      <c r="Y749"/>
      <c r="Z749"/>
      <c r="AA749"/>
      <c r="AB749"/>
      <c r="AC749"/>
      <c r="AD749"/>
      <c r="AE749"/>
      <c r="AF749" t="s">
        <v>383</v>
      </c>
      <c r="AG749" t="n">
        <v>96</v>
      </c>
    </row>
    <row r="750">
      <c r="A750" t="s">
        <v>384</v>
      </c>
      <c r="B750" t="s">
        <v>31</v>
      </c>
      <c r="C750" t="s">
        <v>65</v>
      </c>
      <c r="D750" t="s">
        <v>385</v>
      </c>
      <c r="E750" t="s">
        <v>386</v>
      </c>
      <c r="F750" t="s">
        <v>387</v>
      </c>
      <c r="G750"/>
      <c r="H750" t="n">
        <v>39.62077</v>
      </c>
      <c r="I750" t="n">
        <v>-104.993242</v>
      </c>
      <c r="J750" t="s">
        <v>35</v>
      </c>
      <c r="K750" t="s">
        <v>126</v>
      </c>
      <c r="L750"/>
      <c r="M750" t="n">
        <v>1965</v>
      </c>
      <c r="N750" t="n">
        <v>1967</v>
      </c>
      <c r="O750" t="s">
        <v>388</v>
      </c>
      <c r="P750" t="n">
        <v>3</v>
      </c>
      <c r="Q750" t="n">
        <v>2</v>
      </c>
      <c r="R750" t="n">
        <v>2</v>
      </c>
      <c r="S750" t="n">
        <v>1942</v>
      </c>
      <c r="T750" t="s">
        <v>389</v>
      </c>
      <c r="U750" t="s">
        <v>390</v>
      </c>
      <c r="V750" t="s">
        <v>74</v>
      </c>
      <c r="W750"/>
      <c r="X750"/>
      <c r="Y750"/>
      <c r="Z750"/>
      <c r="AA750"/>
      <c r="AB750"/>
      <c r="AC750"/>
      <c r="AD750"/>
      <c r="AE750"/>
      <c r="AF750" t="s">
        <v>391</v>
      </c>
      <c r="AG750" t="n">
        <v>148</v>
      </c>
    </row>
    <row r="751">
      <c r="A751" t="s">
        <v>5030</v>
      </c>
      <c r="B751" t="s">
        <v>31</v>
      </c>
      <c r="C751" t="s">
        <v>25</v>
      </c>
      <c r="D751" t="s">
        <v>5031</v>
      </c>
      <c r="E751" t="s">
        <v>95</v>
      </c>
      <c r="F751" t="s">
        <v>387</v>
      </c>
      <c r="G751" t="s">
        <v>433</v>
      </c>
      <c r="H751" t="n">
        <v>39.7336072040816</v>
      </c>
      <c r="I751" t="n">
        <v>-104.861177469388</v>
      </c>
      <c r="J751" t="s">
        <v>4109</v>
      </c>
      <c r="K751" t="s">
        <v>120</v>
      </c>
      <c r="L751"/>
      <c r="M751" t="n">
        <v>1966</v>
      </c>
      <c r="N751" t="n">
        <v>1966</v>
      </c>
      <c r="O751" t="s">
        <v>4172</v>
      </c>
      <c r="P751" t="n">
        <v>1</v>
      </c>
      <c r="Q751" t="n">
        <v>1</v>
      </c>
      <c r="R751" t="n">
        <v>1</v>
      </c>
      <c r="S751" t="n">
        <v>1950</v>
      </c>
      <c r="T751" t="s">
        <v>5032</v>
      </c>
      <c r="U751" t="s">
        <v>5033</v>
      </c>
      <c r="V751" t="s">
        <v>4175</v>
      </c>
      <c r="W751"/>
      <c r="X751"/>
      <c r="Y751"/>
      <c r="Z751"/>
      <c r="AA751"/>
      <c r="AB751"/>
      <c r="AC751"/>
      <c r="AD751"/>
      <c r="AE751"/>
      <c r="AF751" t="s">
        <v>5034</v>
      </c>
      <c r="AG751" t="n">
        <v>240</v>
      </c>
    </row>
    <row r="752">
      <c r="A752" t="s">
        <v>392</v>
      </c>
      <c r="B752" t="s">
        <v>31</v>
      </c>
      <c r="C752" t="s">
        <v>65</v>
      </c>
      <c r="D752" t="s">
        <v>393</v>
      </c>
      <c r="E752" t="s">
        <v>394</v>
      </c>
      <c r="F752" t="s">
        <v>387</v>
      </c>
      <c r="G752" t="s">
        <v>395</v>
      </c>
      <c r="H752" t="n">
        <v>39.6409367653061</v>
      </c>
      <c r="I752" t="n">
        <v>-104.987784877551</v>
      </c>
      <c r="J752" t="s">
        <v>35</v>
      </c>
      <c r="K752" t="s">
        <v>396</v>
      </c>
      <c r="L752"/>
      <c r="M752" t="n">
        <v>1966</v>
      </c>
      <c r="N752" t="n">
        <v>1974</v>
      </c>
      <c r="O752" t="s">
        <v>388</v>
      </c>
      <c r="P752" t="n">
        <v>3</v>
      </c>
      <c r="Q752" t="n">
        <v>4</v>
      </c>
      <c r="R752" t="n">
        <v>1</v>
      </c>
      <c r="S752" t="n">
        <v>1944</v>
      </c>
      <c r="T752" t="s">
        <v>397</v>
      </c>
      <c r="U752" t="s">
        <v>398</v>
      </c>
      <c r="V752" t="s">
        <v>74</v>
      </c>
      <c r="W752"/>
      <c r="X752"/>
      <c r="Y752"/>
      <c r="Z752"/>
      <c r="AA752"/>
      <c r="AB752"/>
      <c r="AC752"/>
      <c r="AD752"/>
      <c r="AE752"/>
      <c r="AF752" t="s">
        <v>399</v>
      </c>
      <c r="AG752" t="n">
        <v>221</v>
      </c>
    </row>
    <row r="753">
      <c r="A753" t="s">
        <v>400</v>
      </c>
      <c r="B753" t="s">
        <v>31</v>
      </c>
      <c r="C753" t="s">
        <v>65</v>
      </c>
      <c r="D753" t="s">
        <v>401</v>
      </c>
      <c r="E753" t="s">
        <v>394</v>
      </c>
      <c r="F753" t="s">
        <v>387</v>
      </c>
      <c r="G753" t="s">
        <v>395</v>
      </c>
      <c r="H753" t="n">
        <v>39.6519827869906</v>
      </c>
      <c r="I753" t="n">
        <v>-104.999380048464</v>
      </c>
      <c r="J753" t="s">
        <v>35</v>
      </c>
      <c r="K753" t="s">
        <v>133</v>
      </c>
      <c r="L753"/>
      <c r="M753" t="n">
        <v>1966</v>
      </c>
      <c r="N753" t="n">
        <v>1990</v>
      </c>
      <c r="O753" t="s">
        <v>402</v>
      </c>
      <c r="P753" t="n">
        <v>7</v>
      </c>
      <c r="Q753" t="n">
        <v>5</v>
      </c>
      <c r="R753" t="n">
        <v>3</v>
      </c>
      <c r="S753" t="n">
        <v>1957</v>
      </c>
      <c r="T753" t="s">
        <v>403</v>
      </c>
      <c r="U753" t="s">
        <v>404</v>
      </c>
      <c r="V753" t="s">
        <v>74</v>
      </c>
      <c r="W753"/>
      <c r="X753"/>
      <c r="Y753"/>
      <c r="Z753"/>
      <c r="AA753"/>
      <c r="AB753" t="s">
        <v>405</v>
      </c>
      <c r="AC753" t="n">
        <v>131</v>
      </c>
      <c r="AD753"/>
      <c r="AE753"/>
      <c r="AF753" t="s">
        <v>406</v>
      </c>
      <c r="AG753" t="n">
        <v>134</v>
      </c>
    </row>
    <row r="754">
      <c r="A754" t="s">
        <v>407</v>
      </c>
      <c r="B754" t="s">
        <v>31</v>
      </c>
      <c r="C754" t="s">
        <v>65</v>
      </c>
      <c r="D754" t="s">
        <v>408</v>
      </c>
      <c r="E754" t="s">
        <v>394</v>
      </c>
      <c r="F754" t="s">
        <v>387</v>
      </c>
      <c r="G754" t="s">
        <v>395</v>
      </c>
      <c r="H754" t="n">
        <v>39.6763857959184</v>
      </c>
      <c r="I754" t="n">
        <v>-105.00863655102</v>
      </c>
      <c r="J754" t="s">
        <v>35</v>
      </c>
      <c r="K754" t="s">
        <v>70</v>
      </c>
      <c r="L754"/>
      <c r="M754" t="n">
        <v>1967</v>
      </c>
      <c r="N754" t="n">
        <v>1970</v>
      </c>
      <c r="O754" t="s">
        <v>409</v>
      </c>
      <c r="P754" t="n">
        <v>2</v>
      </c>
      <c r="Q754" t="n">
        <v>1</v>
      </c>
      <c r="R754" t="n">
        <v>1</v>
      </c>
      <c r="S754" t="n">
        <v>1959</v>
      </c>
      <c r="T754" t="s">
        <v>410</v>
      </c>
      <c r="U754" t="s">
        <v>411</v>
      </c>
      <c r="V754" t="s">
        <v>74</v>
      </c>
      <c r="W754"/>
      <c r="X754"/>
      <c r="Y754"/>
      <c r="Z754"/>
      <c r="AA754"/>
      <c r="AB754"/>
      <c r="AC754"/>
      <c r="AD754" t="s">
        <v>412</v>
      </c>
      <c r="AE754" t="n">
        <v>149</v>
      </c>
      <c r="AF754" t="s">
        <v>413</v>
      </c>
      <c r="AG754" t="n">
        <v>41</v>
      </c>
    </row>
    <row r="755">
      <c r="A755" t="s">
        <v>4130</v>
      </c>
      <c r="B755" t="s">
        <v>31</v>
      </c>
      <c r="C755" t="s">
        <v>24</v>
      </c>
      <c r="D755" t="s">
        <v>4131</v>
      </c>
      <c r="E755" t="s">
        <v>394</v>
      </c>
      <c r="F755" t="s">
        <v>387</v>
      </c>
      <c r="G755" t="s">
        <v>395</v>
      </c>
      <c r="H755" t="n">
        <v>39.7082192248262</v>
      </c>
      <c r="I755" t="n">
        <v>-105.020388313282</v>
      </c>
      <c r="J755" t="s">
        <v>4109</v>
      </c>
      <c r="K755" t="s">
        <v>141</v>
      </c>
      <c r="L755"/>
      <c r="M755" t="n">
        <v>1967</v>
      </c>
      <c r="N755" t="n">
        <v>1967</v>
      </c>
      <c r="O755" t="s">
        <v>388</v>
      </c>
      <c r="P755" t="n">
        <v>1</v>
      </c>
      <c r="Q755" t="n">
        <v>1</v>
      </c>
      <c r="R755" t="n">
        <v>1</v>
      </c>
      <c r="S755" t="n">
        <v>1947</v>
      </c>
      <c r="T755" t="s">
        <v>4132</v>
      </c>
      <c r="U755" t="s">
        <v>4133</v>
      </c>
      <c r="V755" t="s">
        <v>74</v>
      </c>
      <c r="W755"/>
      <c r="X755"/>
      <c r="Y755"/>
      <c r="Z755"/>
      <c r="AA755"/>
      <c r="AB755"/>
      <c r="AC755"/>
      <c r="AD755"/>
      <c r="AE755"/>
      <c r="AF755"/>
      <c r="AG755"/>
    </row>
    <row r="756">
      <c r="A756" t="s">
        <v>414</v>
      </c>
      <c r="B756" t="s">
        <v>31</v>
      </c>
      <c r="C756" t="s">
        <v>65</v>
      </c>
      <c r="D756" t="s">
        <v>415</v>
      </c>
      <c r="E756" t="s">
        <v>394</v>
      </c>
      <c r="F756" t="s">
        <v>387</v>
      </c>
      <c r="G756"/>
      <c r="H756" t="n">
        <v>39.650666</v>
      </c>
      <c r="I756" t="n">
        <v>-104.997057</v>
      </c>
      <c r="J756" t="s">
        <v>35</v>
      </c>
      <c r="K756" t="s">
        <v>120</v>
      </c>
      <c r="L756" t="s">
        <v>202</v>
      </c>
      <c r="M756" t="n">
        <v>1967</v>
      </c>
      <c r="N756" t="n">
        <v>1990</v>
      </c>
      <c r="O756" t="s">
        <v>416</v>
      </c>
      <c r="P756" t="n">
        <v>7</v>
      </c>
      <c r="Q756" t="n">
        <v>1</v>
      </c>
      <c r="R756" t="n">
        <v>1</v>
      </c>
      <c r="S756" t="n">
        <v>1957</v>
      </c>
      <c r="T756" t="s">
        <v>417</v>
      </c>
      <c r="U756" t="s">
        <v>418</v>
      </c>
      <c r="V756" t="s">
        <v>74</v>
      </c>
      <c r="W756"/>
      <c r="X756"/>
      <c r="Y756"/>
      <c r="Z756"/>
      <c r="AA756"/>
      <c r="AB756"/>
      <c r="AC756"/>
      <c r="AD756"/>
      <c r="AE756"/>
      <c r="AF756" t="s">
        <v>419</v>
      </c>
      <c r="AG756" t="n">
        <v>185</v>
      </c>
    </row>
    <row r="757">
      <c r="A757" t="s">
        <v>420</v>
      </c>
      <c r="B757" t="s">
        <v>31</v>
      </c>
      <c r="C757" t="s">
        <v>65</v>
      </c>
      <c r="D757" t="s">
        <v>421</v>
      </c>
      <c r="E757" t="s">
        <v>394</v>
      </c>
      <c r="F757" t="s">
        <v>387</v>
      </c>
      <c r="G757" t="s">
        <v>395</v>
      </c>
      <c r="H757" t="n">
        <v>39.6513199470568</v>
      </c>
      <c r="I757" t="n">
        <v>-105.002595248872</v>
      </c>
      <c r="J757" t="s">
        <v>35</v>
      </c>
      <c r="K757" t="s">
        <v>120</v>
      </c>
      <c r="L757"/>
      <c r="M757" t="n">
        <v>1967</v>
      </c>
      <c r="N757" t="n">
        <v>1977</v>
      </c>
      <c r="O757" t="s">
        <v>106</v>
      </c>
      <c r="P757" t="n">
        <v>4</v>
      </c>
      <c r="Q757" t="n">
        <v>4</v>
      </c>
      <c r="R757" t="n">
        <v>1</v>
      </c>
      <c r="S757" t="n">
        <v>1962</v>
      </c>
      <c r="T757" t="s">
        <v>422</v>
      </c>
      <c r="U757" t="s">
        <v>423</v>
      </c>
      <c r="V757" t="s">
        <v>74</v>
      </c>
      <c r="W757"/>
      <c r="X757"/>
      <c r="Y757"/>
      <c r="Z757"/>
      <c r="AA757"/>
      <c r="AB757" t="s">
        <v>424</v>
      </c>
      <c r="AC757" t="n">
        <v>192</v>
      </c>
      <c r="AD757"/>
      <c r="AE757"/>
      <c r="AF757" t="s">
        <v>425</v>
      </c>
      <c r="AG757" t="n">
        <v>88</v>
      </c>
    </row>
    <row r="758">
      <c r="A758" t="s">
        <v>426</v>
      </c>
      <c r="B758" t="s">
        <v>31</v>
      </c>
      <c r="C758" t="s">
        <v>65</v>
      </c>
      <c r="D758" t="s">
        <v>427</v>
      </c>
      <c r="E758" t="s">
        <v>386</v>
      </c>
      <c r="F758" t="s">
        <v>387</v>
      </c>
      <c r="G758" t="s">
        <v>428</v>
      </c>
      <c r="H758" t="n">
        <v>39.5889021692727</v>
      </c>
      <c r="I758" t="n">
        <v>-105.064871347441</v>
      </c>
      <c r="J758" t="s">
        <v>35</v>
      </c>
      <c r="K758" t="s">
        <v>133</v>
      </c>
      <c r="L758" t="s">
        <v>202</v>
      </c>
      <c r="M758" t="n">
        <v>1970</v>
      </c>
      <c r="N758" t="n">
        <v>1973</v>
      </c>
      <c r="O758" t="s">
        <v>121</v>
      </c>
      <c r="P758" t="n">
        <v>2</v>
      </c>
      <c r="Q758" t="n">
        <v>2</v>
      </c>
      <c r="R758" t="n">
        <v>1</v>
      </c>
      <c r="S758" t="n">
        <v>1964</v>
      </c>
      <c r="T758" t="s">
        <v>429</v>
      </c>
      <c r="U758" t="s">
        <v>430</v>
      </c>
      <c r="V758" t="s">
        <v>74</v>
      </c>
      <c r="W758"/>
      <c r="X758"/>
      <c r="Y758"/>
      <c r="Z758"/>
      <c r="AA758"/>
      <c r="AB758"/>
      <c r="AC758"/>
      <c r="AD758"/>
      <c r="AE758"/>
      <c r="AF758"/>
      <c r="AG758"/>
    </row>
    <row r="759">
      <c r="A759" t="s">
        <v>431</v>
      </c>
      <c r="B759" t="s">
        <v>31</v>
      </c>
      <c r="C759" t="s">
        <v>65</v>
      </c>
      <c r="D759" t="s">
        <v>432</v>
      </c>
      <c r="E759" t="s">
        <v>95</v>
      </c>
      <c r="F759" t="s">
        <v>387</v>
      </c>
      <c r="G759" t="s">
        <v>433</v>
      </c>
      <c r="H759" t="n">
        <v>39.7617577161155</v>
      </c>
      <c r="I759" t="n">
        <v>-104.850644431152</v>
      </c>
      <c r="J759" t="s">
        <v>35</v>
      </c>
      <c r="K759" t="s">
        <v>70</v>
      </c>
      <c r="L759"/>
      <c r="M759" t="n">
        <v>1973</v>
      </c>
      <c r="N759" t="n">
        <v>1990</v>
      </c>
      <c r="O759" t="s">
        <v>434</v>
      </c>
      <c r="P759" t="n">
        <v>6</v>
      </c>
      <c r="Q759" t="n">
        <v>2</v>
      </c>
      <c r="R759" t="n">
        <v>2</v>
      </c>
      <c r="S759" t="n">
        <v>1969</v>
      </c>
      <c r="T759" t="s">
        <v>435</v>
      </c>
      <c r="U759" t="s">
        <v>436</v>
      </c>
      <c r="V759" t="s">
        <v>74</v>
      </c>
      <c r="W759"/>
      <c r="X759"/>
      <c r="Y759"/>
      <c r="Z759"/>
      <c r="AA759"/>
      <c r="AB759" t="s">
        <v>437</v>
      </c>
      <c r="AC759" t="n">
        <v>191</v>
      </c>
      <c r="AD759"/>
      <c r="AE759"/>
      <c r="AF759" t="s">
        <v>438</v>
      </c>
      <c r="AG759" t="n">
        <v>131</v>
      </c>
    </row>
    <row r="760">
      <c r="A760" t="s">
        <v>439</v>
      </c>
      <c r="B760" t="s">
        <v>31</v>
      </c>
      <c r="C760" t="s">
        <v>65</v>
      </c>
      <c r="D760" t="s">
        <v>440</v>
      </c>
      <c r="E760" t="s">
        <v>95</v>
      </c>
      <c r="F760" t="s">
        <v>387</v>
      </c>
      <c r="G760" t="s">
        <v>433</v>
      </c>
      <c r="H760" t="n">
        <v>39.7425275528232</v>
      </c>
      <c r="I760" t="n">
        <v>-104.807283812023</v>
      </c>
      <c r="J760" t="s">
        <v>35</v>
      </c>
      <c r="K760" t="s">
        <v>70</v>
      </c>
      <c r="L760"/>
      <c r="M760" t="n">
        <v>1973</v>
      </c>
      <c r="N760" t="n">
        <v>1983</v>
      </c>
      <c r="O760" t="s">
        <v>121</v>
      </c>
      <c r="P760" t="n">
        <v>2</v>
      </c>
      <c r="Q760" t="n">
        <v>2</v>
      </c>
      <c r="R760" t="n">
        <v>1</v>
      </c>
      <c r="S760" t="n">
        <v>1971</v>
      </c>
      <c r="T760" t="s">
        <v>441</v>
      </c>
      <c r="U760" t="s">
        <v>442</v>
      </c>
      <c r="V760" t="s">
        <v>74</v>
      </c>
      <c r="W760"/>
      <c r="X760"/>
      <c r="Y760"/>
      <c r="Z760"/>
      <c r="AA760"/>
      <c r="AB760" t="s">
        <v>206</v>
      </c>
      <c r="AC760" t="n">
        <v>199</v>
      </c>
      <c r="AD760"/>
      <c r="AE760"/>
      <c r="AF760" t="s">
        <v>207</v>
      </c>
      <c r="AG760" t="n">
        <v>132</v>
      </c>
    </row>
    <row r="761">
      <c r="A761" t="s">
        <v>4134</v>
      </c>
      <c r="B761" t="s">
        <v>31</v>
      </c>
      <c r="C761" t="s">
        <v>24</v>
      </c>
      <c r="D761" t="s">
        <v>4135</v>
      </c>
      <c r="E761" t="s">
        <v>95</v>
      </c>
      <c r="F761" t="s">
        <v>387</v>
      </c>
      <c r="G761" t="s">
        <v>433</v>
      </c>
      <c r="H761" t="n">
        <v>39.7524358936264</v>
      </c>
      <c r="I761" t="n">
        <v>-104.867010731855</v>
      </c>
      <c r="J761" t="s">
        <v>4109</v>
      </c>
      <c r="K761" t="s">
        <v>120</v>
      </c>
      <c r="L761"/>
      <c r="M761" t="n">
        <v>1973</v>
      </c>
      <c r="N761" t="n">
        <v>1973</v>
      </c>
      <c r="O761" t="s">
        <v>121</v>
      </c>
      <c r="P761" t="n">
        <v>1</v>
      </c>
      <c r="Q761" t="n">
        <v>1</v>
      </c>
      <c r="R761" t="n">
        <v>1</v>
      </c>
      <c r="S761" t="n">
        <v>1968</v>
      </c>
      <c r="T761" t="s">
        <v>4136</v>
      </c>
      <c r="U761" t="s">
        <v>4137</v>
      </c>
      <c r="V761" t="s">
        <v>74</v>
      </c>
      <c r="W761"/>
      <c r="X761"/>
      <c r="Y761"/>
      <c r="Z761"/>
      <c r="AA761"/>
      <c r="AB761"/>
      <c r="AC761"/>
      <c r="AD761"/>
      <c r="AE761"/>
      <c r="AF761" t="s">
        <v>4138</v>
      </c>
      <c r="AG761" t="n">
        <v>70</v>
      </c>
    </row>
    <row r="762">
      <c r="A762" t="s">
        <v>443</v>
      </c>
      <c r="B762" t="s">
        <v>31</v>
      </c>
      <c r="C762" t="s">
        <v>65</v>
      </c>
      <c r="D762" t="s">
        <v>444</v>
      </c>
      <c r="E762" t="s">
        <v>394</v>
      </c>
      <c r="F762" t="s">
        <v>387</v>
      </c>
      <c r="G762" t="s">
        <v>395</v>
      </c>
      <c r="H762" t="n">
        <v>39.663807421969</v>
      </c>
      <c r="I762" t="n">
        <v>-105.013389572003</v>
      </c>
      <c r="J762" t="s">
        <v>35</v>
      </c>
      <c r="K762" t="s">
        <v>120</v>
      </c>
      <c r="L762"/>
      <c r="M762" t="n">
        <v>1973</v>
      </c>
      <c r="N762" t="n">
        <v>1990</v>
      </c>
      <c r="O762" t="s">
        <v>445</v>
      </c>
      <c r="P762" t="n">
        <v>6</v>
      </c>
      <c r="Q762" t="n">
        <v>2</v>
      </c>
      <c r="R762" t="n">
        <v>2</v>
      </c>
      <c r="S762" t="n">
        <v>1972</v>
      </c>
      <c r="T762" t="s">
        <v>446</v>
      </c>
      <c r="U762" t="s">
        <v>447</v>
      </c>
      <c r="V762" t="s">
        <v>74</v>
      </c>
      <c r="W762"/>
      <c r="X762"/>
      <c r="Y762"/>
      <c r="Z762"/>
      <c r="AA762"/>
      <c r="AB762" t="s">
        <v>448</v>
      </c>
      <c r="AC762" t="n">
        <v>127</v>
      </c>
      <c r="AD762" t="s">
        <v>449</v>
      </c>
      <c r="AE762" t="n">
        <v>235</v>
      </c>
      <c r="AF762" t="s">
        <v>450</v>
      </c>
      <c r="AG762" t="n">
        <v>103</v>
      </c>
    </row>
    <row r="763">
      <c r="A763" t="s">
        <v>451</v>
      </c>
      <c r="B763" t="s">
        <v>31</v>
      </c>
      <c r="C763" t="s">
        <v>65</v>
      </c>
      <c r="D763" t="s">
        <v>452</v>
      </c>
      <c r="E763" t="s">
        <v>394</v>
      </c>
      <c r="F763" t="s">
        <v>387</v>
      </c>
      <c r="G763" t="s">
        <v>395</v>
      </c>
      <c r="H763" t="n">
        <v>39.673743</v>
      </c>
      <c r="I763" t="n">
        <v>-105.0110455</v>
      </c>
      <c r="J763" t="s">
        <v>35</v>
      </c>
      <c r="K763" t="s">
        <v>120</v>
      </c>
      <c r="L763"/>
      <c r="M763" t="n">
        <v>1973</v>
      </c>
      <c r="N763" t="n">
        <v>1990</v>
      </c>
      <c r="O763" t="s">
        <v>453</v>
      </c>
      <c r="P763" t="n">
        <v>5</v>
      </c>
      <c r="Q763" t="n">
        <v>3</v>
      </c>
      <c r="R763" t="n">
        <v>2</v>
      </c>
      <c r="S763" t="n">
        <v>1929</v>
      </c>
      <c r="T763" t="s">
        <v>454</v>
      </c>
      <c r="U763" t="s">
        <v>455</v>
      </c>
      <c r="V763" t="s">
        <v>74</v>
      </c>
      <c r="W763"/>
      <c r="X763"/>
      <c r="Y763"/>
      <c r="Z763"/>
      <c r="AA763"/>
      <c r="AB763" t="s">
        <v>456</v>
      </c>
      <c r="AC763" t="n">
        <v>169</v>
      </c>
      <c r="AD763" t="s">
        <v>457</v>
      </c>
      <c r="AE763" t="n">
        <v>111</v>
      </c>
      <c r="AF763" t="s">
        <v>458</v>
      </c>
      <c r="AG763" t="n">
        <v>40</v>
      </c>
    </row>
    <row r="764">
      <c r="A764" t="s">
        <v>459</v>
      </c>
      <c r="B764" t="s">
        <v>31</v>
      </c>
      <c r="C764" t="s">
        <v>65</v>
      </c>
      <c r="D764" t="s">
        <v>460</v>
      </c>
      <c r="E764" t="s">
        <v>394</v>
      </c>
      <c r="F764" t="s">
        <v>387</v>
      </c>
      <c r="G764" t="s">
        <v>395</v>
      </c>
      <c r="H764" t="n">
        <v>39.6749427857143</v>
      </c>
      <c r="I764" t="n">
        <v>-105.008642928571</v>
      </c>
      <c r="J764" t="s">
        <v>35</v>
      </c>
      <c r="K764" t="s">
        <v>141</v>
      </c>
      <c r="L764"/>
      <c r="M764" t="n">
        <v>1973</v>
      </c>
      <c r="N764" t="n">
        <v>1988</v>
      </c>
      <c r="O764" t="s">
        <v>461</v>
      </c>
      <c r="P764" t="n">
        <v>4</v>
      </c>
      <c r="Q764" t="n">
        <v>4</v>
      </c>
      <c r="R764" t="n">
        <v>3</v>
      </c>
      <c r="S764" t="n">
        <v>1962</v>
      </c>
      <c r="T764" t="s">
        <v>462</v>
      </c>
      <c r="U764" t="s">
        <v>463</v>
      </c>
      <c r="V764" t="s">
        <v>74</v>
      </c>
      <c r="W764"/>
      <c r="X764"/>
      <c r="Y764"/>
      <c r="Z764"/>
      <c r="AA764"/>
      <c r="AB764" t="s">
        <v>464</v>
      </c>
      <c r="AC764" t="n">
        <v>170</v>
      </c>
      <c r="AD764" t="s">
        <v>412</v>
      </c>
      <c r="AE764" t="n">
        <v>135</v>
      </c>
      <c r="AF764" t="s">
        <v>465</v>
      </c>
      <c r="AG764" t="n">
        <v>100</v>
      </c>
    </row>
    <row r="765">
      <c r="A765" t="s">
        <v>466</v>
      </c>
      <c r="B765" t="s">
        <v>31</v>
      </c>
      <c r="C765" t="s">
        <v>65</v>
      </c>
      <c r="D765" t="s">
        <v>467</v>
      </c>
      <c r="E765" t="s">
        <v>394</v>
      </c>
      <c r="F765" t="s">
        <v>387</v>
      </c>
      <c r="G765" t="s">
        <v>395</v>
      </c>
      <c r="H765" t="n">
        <v>39.6513194666667</v>
      </c>
      <c r="I765" t="n">
        <v>-104.9947264</v>
      </c>
      <c r="J765" t="s">
        <v>35</v>
      </c>
      <c r="K765" t="s">
        <v>120</v>
      </c>
      <c r="L765"/>
      <c r="M765" t="n">
        <v>1973</v>
      </c>
      <c r="N765" t="n">
        <v>1983</v>
      </c>
      <c r="O765" t="s">
        <v>264</v>
      </c>
      <c r="P765" t="n">
        <v>2</v>
      </c>
      <c r="Q765" t="n">
        <v>2</v>
      </c>
      <c r="R765" t="n">
        <v>1</v>
      </c>
      <c r="S765" t="n">
        <v>1972</v>
      </c>
      <c r="T765" t="s">
        <v>468</v>
      </c>
      <c r="U765" t="s">
        <v>469</v>
      </c>
      <c r="V765" t="s">
        <v>74</v>
      </c>
      <c r="W765"/>
      <c r="X765"/>
      <c r="Y765"/>
      <c r="Z765"/>
      <c r="AA765"/>
      <c r="AB765"/>
      <c r="AC765"/>
      <c r="AD765"/>
      <c r="AE765"/>
      <c r="AF765" t="s">
        <v>470</v>
      </c>
      <c r="AG765" t="n">
        <v>155</v>
      </c>
    </row>
    <row r="766">
      <c r="A766" t="s">
        <v>471</v>
      </c>
      <c r="B766" t="s">
        <v>31</v>
      </c>
      <c r="C766" t="s">
        <v>65</v>
      </c>
      <c r="D766" t="s">
        <v>472</v>
      </c>
      <c r="E766" t="s">
        <v>394</v>
      </c>
      <c r="F766" t="s">
        <v>387</v>
      </c>
      <c r="G766" t="s">
        <v>395</v>
      </c>
      <c r="H766" t="n">
        <v>39.5424765532402</v>
      </c>
      <c r="I766" t="n">
        <v>-104.86850900255</v>
      </c>
      <c r="J766" t="s">
        <v>35</v>
      </c>
      <c r="K766" t="s">
        <v>120</v>
      </c>
      <c r="L766"/>
      <c r="M766" t="n">
        <v>1973</v>
      </c>
      <c r="N766" t="n">
        <v>1974</v>
      </c>
      <c r="O766" t="s">
        <v>127</v>
      </c>
      <c r="P766" t="n">
        <v>2</v>
      </c>
      <c r="Q766" t="n">
        <v>2</v>
      </c>
      <c r="R766" t="n">
        <v>2</v>
      </c>
      <c r="S766" t="n">
        <v>1965</v>
      </c>
      <c r="T766" t="s">
        <v>473</v>
      </c>
      <c r="U766" t="s">
        <v>474</v>
      </c>
      <c r="V766" t="s">
        <v>74</v>
      </c>
      <c r="W766"/>
      <c r="X766"/>
      <c r="Y766"/>
      <c r="Z766"/>
      <c r="AA766"/>
      <c r="AB766"/>
      <c r="AC766"/>
      <c r="AD766"/>
      <c r="AE766"/>
      <c r="AF766" t="s">
        <v>475</v>
      </c>
      <c r="AG766" t="n">
        <v>176</v>
      </c>
    </row>
    <row r="767">
      <c r="A767" t="s">
        <v>476</v>
      </c>
      <c r="B767" t="s">
        <v>31</v>
      </c>
      <c r="C767" t="s">
        <v>65</v>
      </c>
      <c r="D767" t="s">
        <v>477</v>
      </c>
      <c r="E767" t="s">
        <v>386</v>
      </c>
      <c r="F767" t="s">
        <v>387</v>
      </c>
      <c r="G767" t="s">
        <v>428</v>
      </c>
      <c r="H767" t="n">
        <v>39.6080729313619</v>
      </c>
      <c r="I767" t="n">
        <v>-104.995820411214</v>
      </c>
      <c r="J767" t="s">
        <v>35</v>
      </c>
      <c r="K767" t="s">
        <v>133</v>
      </c>
      <c r="L767"/>
      <c r="M767" t="n">
        <v>1973</v>
      </c>
      <c r="N767" t="n">
        <v>1973</v>
      </c>
      <c r="O767" t="s">
        <v>121</v>
      </c>
      <c r="P767" t="n">
        <v>1</v>
      </c>
      <c r="Q767" t="n">
        <v>1</v>
      </c>
      <c r="R767" t="n">
        <v>1</v>
      </c>
      <c r="S767" t="n">
        <v>1972</v>
      </c>
      <c r="T767" t="s">
        <v>478</v>
      </c>
      <c r="U767" t="s">
        <v>479</v>
      </c>
      <c r="V767" t="s">
        <v>74</v>
      </c>
      <c r="W767"/>
      <c r="X767"/>
      <c r="Y767"/>
      <c r="Z767"/>
      <c r="AA767"/>
      <c r="AB767"/>
      <c r="AC767"/>
      <c r="AD767"/>
      <c r="AE767"/>
      <c r="AF767"/>
      <c r="AG767"/>
    </row>
    <row r="768">
      <c r="A768" t="s">
        <v>480</v>
      </c>
      <c r="B768" t="s">
        <v>31</v>
      </c>
      <c r="C768" t="s">
        <v>65</v>
      </c>
      <c r="D768" t="s">
        <v>481</v>
      </c>
      <c r="E768" t="s">
        <v>95</v>
      </c>
      <c r="F768" t="s">
        <v>387</v>
      </c>
      <c r="G768" t="s">
        <v>433</v>
      </c>
      <c r="H768" t="n">
        <v>39.7621504489796</v>
      </c>
      <c r="I768" t="n">
        <v>-104.85064944898</v>
      </c>
      <c r="J768" t="s">
        <v>35</v>
      </c>
      <c r="K768" t="s">
        <v>141</v>
      </c>
      <c r="L768"/>
      <c r="M768" t="n">
        <v>1974</v>
      </c>
      <c r="N768" t="n">
        <v>1990</v>
      </c>
      <c r="O768" t="s">
        <v>482</v>
      </c>
      <c r="P768" t="n">
        <v>5</v>
      </c>
      <c r="Q768" t="n">
        <v>1</v>
      </c>
      <c r="R768" t="n">
        <v>1</v>
      </c>
      <c r="S768" t="n">
        <v>1964</v>
      </c>
      <c r="T768" t="s">
        <v>483</v>
      </c>
      <c r="U768" t="s">
        <v>484</v>
      </c>
      <c r="V768" t="s">
        <v>74</v>
      </c>
      <c r="W768"/>
      <c r="X768"/>
      <c r="Y768"/>
      <c r="Z768"/>
      <c r="AA768"/>
      <c r="AB768" t="s">
        <v>437</v>
      </c>
      <c r="AC768" t="n">
        <v>174</v>
      </c>
      <c r="AD768"/>
      <c r="AE768"/>
      <c r="AF768" t="s">
        <v>438</v>
      </c>
      <c r="AG768" t="n">
        <v>88</v>
      </c>
    </row>
    <row r="769">
      <c r="A769" t="s">
        <v>485</v>
      </c>
      <c r="B769" t="s">
        <v>31</v>
      </c>
      <c r="C769" t="s">
        <v>65</v>
      </c>
      <c r="D769" t="s">
        <v>486</v>
      </c>
      <c r="E769" t="s">
        <v>394</v>
      </c>
      <c r="F769" t="s">
        <v>387</v>
      </c>
      <c r="G769" t="s">
        <v>395</v>
      </c>
      <c r="H769" t="n">
        <v>39.6387918</v>
      </c>
      <c r="I769" t="n">
        <v>-105.0069178</v>
      </c>
      <c r="J769" t="s">
        <v>35</v>
      </c>
      <c r="K769" t="s">
        <v>126</v>
      </c>
      <c r="L769"/>
      <c r="M769" t="n">
        <v>1974</v>
      </c>
      <c r="N769" t="n">
        <v>1992</v>
      </c>
      <c r="O769" t="s">
        <v>487</v>
      </c>
      <c r="P769" t="n">
        <v>6</v>
      </c>
      <c r="Q769" t="n">
        <v>2</v>
      </c>
      <c r="R769" t="n">
        <v>2</v>
      </c>
      <c r="S769" t="n">
        <v>1959</v>
      </c>
      <c r="T769" t="s">
        <v>488</v>
      </c>
      <c r="U769" t="s">
        <v>489</v>
      </c>
      <c r="V769" t="s">
        <v>74</v>
      </c>
      <c r="W769"/>
      <c r="X769"/>
      <c r="Y769"/>
      <c r="Z769"/>
      <c r="AA769"/>
      <c r="AB769"/>
      <c r="AC769"/>
      <c r="AD769"/>
      <c r="AE769"/>
      <c r="AF769" t="s">
        <v>490</v>
      </c>
      <c r="AG769" t="n">
        <v>96</v>
      </c>
    </row>
    <row r="770">
      <c r="A770" t="s">
        <v>491</v>
      </c>
      <c r="B770" t="s">
        <v>31</v>
      </c>
      <c r="C770" t="s">
        <v>65</v>
      </c>
      <c r="D770" t="s">
        <v>492</v>
      </c>
      <c r="E770" t="s">
        <v>394</v>
      </c>
      <c r="F770" t="s">
        <v>387</v>
      </c>
      <c r="G770" t="s">
        <v>395</v>
      </c>
      <c r="H770" t="n">
        <v>39.6314461020408</v>
      </c>
      <c r="I770" t="n">
        <v>-105.024054632653</v>
      </c>
      <c r="J770" t="s">
        <v>35</v>
      </c>
      <c r="K770" t="s">
        <v>120</v>
      </c>
      <c r="L770"/>
      <c r="M770" t="n">
        <v>1974</v>
      </c>
      <c r="N770" t="n">
        <v>1974</v>
      </c>
      <c r="O770" t="s">
        <v>210</v>
      </c>
      <c r="P770" t="n">
        <v>1</v>
      </c>
      <c r="Q770" t="n">
        <v>1</v>
      </c>
      <c r="R770" t="n">
        <v>1</v>
      </c>
      <c r="S770" t="n">
        <v>1956</v>
      </c>
      <c r="T770" t="s">
        <v>493</v>
      </c>
      <c r="U770" t="s">
        <v>494</v>
      </c>
      <c r="V770" t="s">
        <v>74</v>
      </c>
      <c r="W770"/>
      <c r="X770"/>
      <c r="Y770"/>
      <c r="Z770"/>
      <c r="AA770"/>
      <c r="AB770" t="s">
        <v>495</v>
      </c>
      <c r="AC770" t="n">
        <v>185</v>
      </c>
      <c r="AD770"/>
      <c r="AE770"/>
      <c r="AF770" t="s">
        <v>496</v>
      </c>
      <c r="AG770" t="n">
        <v>193</v>
      </c>
    </row>
    <row r="771">
      <c r="A771" t="s">
        <v>497</v>
      </c>
      <c r="B771" t="s">
        <v>31</v>
      </c>
      <c r="C771" t="s">
        <v>65</v>
      </c>
      <c r="D771" t="s">
        <v>498</v>
      </c>
      <c r="E771" t="s">
        <v>394</v>
      </c>
      <c r="F771" t="s">
        <v>387</v>
      </c>
      <c r="G771" t="s">
        <v>395</v>
      </c>
      <c r="H771" t="n">
        <v>39.664192</v>
      </c>
      <c r="I771" t="n">
        <v>-105.013402</v>
      </c>
      <c r="J771" t="s">
        <v>35</v>
      </c>
      <c r="K771" t="s">
        <v>70</v>
      </c>
      <c r="L771"/>
      <c r="M771" t="n">
        <v>1974</v>
      </c>
      <c r="N771" t="n">
        <v>1990</v>
      </c>
      <c r="O771" t="s">
        <v>499</v>
      </c>
      <c r="P771" t="n">
        <v>5</v>
      </c>
      <c r="Q771" t="n">
        <v>1</v>
      </c>
      <c r="R771" t="n">
        <v>1</v>
      </c>
      <c r="S771" t="n">
        <v>1958</v>
      </c>
      <c r="T771" t="s">
        <v>500</v>
      </c>
      <c r="U771" t="s">
        <v>501</v>
      </c>
      <c r="V771" t="s">
        <v>74</v>
      </c>
      <c r="W771"/>
      <c r="X771"/>
      <c r="Y771"/>
      <c r="Z771"/>
      <c r="AA771"/>
      <c r="AB771" t="s">
        <v>448</v>
      </c>
      <c r="AC771" t="n">
        <v>159</v>
      </c>
      <c r="AD771" t="s">
        <v>449</v>
      </c>
      <c r="AE771" t="n">
        <v>192</v>
      </c>
      <c r="AF771" t="s">
        <v>450</v>
      </c>
      <c r="AG771" t="n">
        <v>125</v>
      </c>
    </row>
    <row r="772">
      <c r="A772" t="s">
        <v>4139</v>
      </c>
      <c r="B772" t="s">
        <v>31</v>
      </c>
      <c r="C772" t="s">
        <v>24</v>
      </c>
      <c r="D772" t="s">
        <v>4140</v>
      </c>
      <c r="E772" t="s">
        <v>95</v>
      </c>
      <c r="F772" t="s">
        <v>387</v>
      </c>
      <c r="G772" t="s">
        <v>433</v>
      </c>
      <c r="H772" t="n">
        <v>39.721000023946</v>
      </c>
      <c r="I772" t="n">
        <v>-104.857569312954</v>
      </c>
      <c r="J772" t="s">
        <v>4109</v>
      </c>
      <c r="K772" t="s">
        <v>1041</v>
      </c>
      <c r="L772"/>
      <c r="M772" t="n">
        <v>1977</v>
      </c>
      <c r="N772" t="n">
        <v>1977</v>
      </c>
      <c r="O772" t="s">
        <v>228</v>
      </c>
      <c r="P772" t="n">
        <v>1</v>
      </c>
      <c r="Q772" t="n">
        <v>1</v>
      </c>
      <c r="R772" t="n">
        <v>1</v>
      </c>
      <c r="S772" t="n">
        <v>1974</v>
      </c>
      <c r="T772" t="s">
        <v>4141</v>
      </c>
      <c r="U772" t="s">
        <v>4142</v>
      </c>
      <c r="V772" t="s">
        <v>74</v>
      </c>
      <c r="W772"/>
      <c r="X772"/>
      <c r="Y772"/>
      <c r="Z772"/>
      <c r="AA772"/>
      <c r="AB772"/>
      <c r="AC772"/>
      <c r="AD772"/>
      <c r="AE772"/>
      <c r="AF772" t="s">
        <v>4063</v>
      </c>
      <c r="AG772" t="n">
        <v>162</v>
      </c>
    </row>
    <row r="773">
      <c r="A773" t="s">
        <v>502</v>
      </c>
      <c r="B773" t="s">
        <v>31</v>
      </c>
      <c r="C773" t="s">
        <v>65</v>
      </c>
      <c r="D773" t="s">
        <v>503</v>
      </c>
      <c r="E773" t="s">
        <v>95</v>
      </c>
      <c r="F773" t="s">
        <v>387</v>
      </c>
      <c r="G773" t="s">
        <v>433</v>
      </c>
      <c r="H773" t="n">
        <v>39.7672984369939</v>
      </c>
      <c r="I773" t="n">
        <v>-104.826956343987</v>
      </c>
      <c r="J773" t="s">
        <v>35</v>
      </c>
      <c r="K773" t="s">
        <v>89</v>
      </c>
      <c r="L773"/>
      <c r="M773" t="n">
        <v>1977</v>
      </c>
      <c r="N773" t="n">
        <v>1977</v>
      </c>
      <c r="O773" t="s">
        <v>228</v>
      </c>
      <c r="P773" t="n">
        <v>1</v>
      </c>
      <c r="Q773" t="n">
        <v>1</v>
      </c>
      <c r="R773" t="n">
        <v>1</v>
      </c>
      <c r="S773" t="n">
        <v>1946</v>
      </c>
      <c r="T773" t="s">
        <v>504</v>
      </c>
      <c r="U773" t="s">
        <v>505</v>
      </c>
      <c r="V773" t="s">
        <v>74</v>
      </c>
      <c r="W773"/>
      <c r="X773"/>
      <c r="Y773"/>
      <c r="Z773"/>
      <c r="AA773"/>
      <c r="AB773"/>
      <c r="AC773"/>
      <c r="AD773" t="s">
        <v>506</v>
      </c>
      <c r="AE773" t="n">
        <v>198</v>
      </c>
      <c r="AF773" t="s">
        <v>507</v>
      </c>
      <c r="AG773" t="n">
        <v>81</v>
      </c>
    </row>
    <row r="774">
      <c r="A774" t="s">
        <v>508</v>
      </c>
      <c r="B774" t="s">
        <v>31</v>
      </c>
      <c r="C774" t="s">
        <v>65</v>
      </c>
      <c r="D774" t="s">
        <v>509</v>
      </c>
      <c r="E774" t="s">
        <v>95</v>
      </c>
      <c r="F774" t="s">
        <v>387</v>
      </c>
      <c r="G774" t="s">
        <v>433</v>
      </c>
      <c r="H774" t="n">
        <v>39.725572</v>
      </c>
      <c r="I774" t="n">
        <v>-104.868018122449</v>
      </c>
      <c r="J774" t="s">
        <v>35</v>
      </c>
      <c r="K774" t="s">
        <v>315</v>
      </c>
      <c r="L774"/>
      <c r="M774" t="n">
        <v>1977</v>
      </c>
      <c r="N774" t="n">
        <v>1992</v>
      </c>
      <c r="O774" t="s">
        <v>228</v>
      </c>
      <c r="P774" t="n">
        <v>2</v>
      </c>
      <c r="Q774" t="n">
        <v>1</v>
      </c>
      <c r="R774" t="n">
        <v>1</v>
      </c>
      <c r="S774" t="n">
        <v>1968</v>
      </c>
      <c r="T774" t="s">
        <v>510</v>
      </c>
      <c r="U774" t="s">
        <v>511</v>
      </c>
      <c r="V774" t="s">
        <v>74</v>
      </c>
      <c r="W774"/>
      <c r="X774"/>
      <c r="Y774"/>
      <c r="Z774"/>
      <c r="AA774"/>
      <c r="AB774"/>
      <c r="AC774"/>
      <c r="AD774"/>
      <c r="AE774"/>
      <c r="AF774" t="s">
        <v>512</v>
      </c>
      <c r="AG774" t="n">
        <v>87</v>
      </c>
    </row>
    <row r="775">
      <c r="A775" t="s">
        <v>513</v>
      </c>
      <c r="B775" t="s">
        <v>31</v>
      </c>
      <c r="C775" t="s">
        <v>65</v>
      </c>
      <c r="D775" t="s">
        <v>514</v>
      </c>
      <c r="E775" t="s">
        <v>95</v>
      </c>
      <c r="F775" t="s">
        <v>387</v>
      </c>
      <c r="G775" t="s">
        <v>515</v>
      </c>
      <c r="H775" t="n">
        <v>39.7013119018925</v>
      </c>
      <c r="I775" t="n">
        <v>-104.833222372151</v>
      </c>
      <c r="J775" t="s">
        <v>35</v>
      </c>
      <c r="K775" t="s">
        <v>70</v>
      </c>
      <c r="L775"/>
      <c r="M775" t="n">
        <v>1977</v>
      </c>
      <c r="N775" t="n">
        <v>1977</v>
      </c>
      <c r="O775" t="s">
        <v>228</v>
      </c>
      <c r="P775" t="n">
        <v>1</v>
      </c>
      <c r="Q775" t="n">
        <v>1</v>
      </c>
      <c r="R775" t="n">
        <v>1</v>
      </c>
      <c r="S775" t="n">
        <v>1976</v>
      </c>
      <c r="T775" t="s">
        <v>516</v>
      </c>
      <c r="U775" t="s">
        <v>517</v>
      </c>
      <c r="V775" t="s">
        <v>74</v>
      </c>
      <c r="W775"/>
      <c r="X775"/>
      <c r="Y775"/>
      <c r="Z775"/>
      <c r="AA775"/>
      <c r="AB775"/>
      <c r="AC775"/>
      <c r="AD775"/>
      <c r="AE775"/>
      <c r="AF775" t="s">
        <v>518</v>
      </c>
      <c r="AG775" t="n">
        <v>88</v>
      </c>
    </row>
    <row r="776">
      <c r="A776" t="s">
        <v>519</v>
      </c>
      <c r="B776" t="s">
        <v>31</v>
      </c>
      <c r="C776" t="s">
        <v>65</v>
      </c>
      <c r="D776" t="s">
        <v>520</v>
      </c>
      <c r="E776" t="s">
        <v>394</v>
      </c>
      <c r="F776" t="s">
        <v>387</v>
      </c>
      <c r="G776" t="s">
        <v>395</v>
      </c>
      <c r="H776" t="n">
        <v>39.6642008017493</v>
      </c>
      <c r="I776" t="n">
        <v>-105.015251428571</v>
      </c>
      <c r="J776" t="s">
        <v>35</v>
      </c>
      <c r="K776" t="s">
        <v>126</v>
      </c>
      <c r="L776"/>
      <c r="M776" t="n">
        <v>1977</v>
      </c>
      <c r="N776" t="n">
        <v>1992</v>
      </c>
      <c r="O776" t="s">
        <v>521</v>
      </c>
      <c r="P776" t="n">
        <v>6</v>
      </c>
      <c r="Q776" t="n">
        <v>3</v>
      </c>
      <c r="R776" t="n">
        <v>3</v>
      </c>
      <c r="S776" t="n">
        <v>1945</v>
      </c>
      <c r="T776" t="s">
        <v>522</v>
      </c>
      <c r="U776" t="s">
        <v>523</v>
      </c>
      <c r="V776" t="s">
        <v>74</v>
      </c>
      <c r="W776"/>
      <c r="X776"/>
      <c r="Y776"/>
      <c r="Z776"/>
      <c r="AA776"/>
      <c r="AB776"/>
      <c r="AC776"/>
      <c r="AD776" t="s">
        <v>449</v>
      </c>
      <c r="AE776" t="n">
        <v>204</v>
      </c>
      <c r="AF776" t="s">
        <v>524</v>
      </c>
      <c r="AG776" t="n">
        <v>96</v>
      </c>
    </row>
    <row r="777">
      <c r="A777" t="s">
        <v>525</v>
      </c>
      <c r="B777" t="s">
        <v>31</v>
      </c>
      <c r="C777" t="s">
        <v>65</v>
      </c>
      <c r="D777" t="s">
        <v>526</v>
      </c>
      <c r="E777" t="s">
        <v>394</v>
      </c>
      <c r="F777" t="s">
        <v>387</v>
      </c>
      <c r="G777" t="s">
        <v>395</v>
      </c>
      <c r="H777" t="n">
        <v>39.6617155714286</v>
      </c>
      <c r="I777" t="n">
        <v>-105.012259785714</v>
      </c>
      <c r="J777" t="s">
        <v>35</v>
      </c>
      <c r="K777" t="s">
        <v>527</v>
      </c>
      <c r="L777"/>
      <c r="M777" t="n">
        <v>1977</v>
      </c>
      <c r="N777" t="n">
        <v>1983</v>
      </c>
      <c r="O777" t="s">
        <v>528</v>
      </c>
      <c r="P777" t="n">
        <v>3</v>
      </c>
      <c r="Q777" t="n">
        <v>4</v>
      </c>
      <c r="R777" t="n">
        <v>2</v>
      </c>
      <c r="S777" t="n">
        <v>1973</v>
      </c>
      <c r="T777" t="s">
        <v>529</v>
      </c>
      <c r="U777" t="s">
        <v>530</v>
      </c>
      <c r="V777" t="s">
        <v>74</v>
      </c>
      <c r="W777"/>
      <c r="X777"/>
      <c r="Y777"/>
      <c r="Z777"/>
      <c r="AA777"/>
      <c r="AB777" t="s">
        <v>448</v>
      </c>
      <c r="AC777" t="n">
        <v>151</v>
      </c>
      <c r="AD777"/>
      <c r="AE777"/>
      <c r="AF777" t="s">
        <v>450</v>
      </c>
      <c r="AG777" t="n">
        <v>68</v>
      </c>
    </row>
    <row r="778">
      <c r="A778" t="s">
        <v>531</v>
      </c>
      <c r="B778" t="s">
        <v>31</v>
      </c>
      <c r="C778" t="s">
        <v>65</v>
      </c>
      <c r="D778" t="s">
        <v>532</v>
      </c>
      <c r="E778" t="s">
        <v>394</v>
      </c>
      <c r="F778" t="s">
        <v>387</v>
      </c>
      <c r="G778" t="s">
        <v>395</v>
      </c>
      <c r="H778" t="n">
        <v>39.6611135364432</v>
      </c>
      <c r="I778" t="n">
        <v>-105.012265860058</v>
      </c>
      <c r="J778" t="s">
        <v>35</v>
      </c>
      <c r="K778" t="s">
        <v>533</v>
      </c>
      <c r="L778"/>
      <c r="M778" t="n">
        <v>1977</v>
      </c>
      <c r="N778" t="n">
        <v>1992</v>
      </c>
      <c r="O778" t="s">
        <v>534</v>
      </c>
      <c r="P778" t="n">
        <v>4</v>
      </c>
      <c r="Q778" t="n">
        <v>5</v>
      </c>
      <c r="R778" t="n">
        <v>5</v>
      </c>
      <c r="S778" t="n">
        <v>1968</v>
      </c>
      <c r="T778" t="s">
        <v>535</v>
      </c>
      <c r="U778" t="s">
        <v>536</v>
      </c>
      <c r="V778" t="s">
        <v>74</v>
      </c>
      <c r="W778"/>
      <c r="X778"/>
      <c r="Y778"/>
      <c r="Z778"/>
      <c r="AA778"/>
      <c r="AB778" t="s">
        <v>448</v>
      </c>
      <c r="AC778" t="n">
        <v>218</v>
      </c>
      <c r="AD778"/>
      <c r="AE778"/>
      <c r="AF778" t="s">
        <v>537</v>
      </c>
      <c r="AG778" t="n">
        <v>71</v>
      </c>
    </row>
    <row r="779">
      <c r="A779" t="s">
        <v>538</v>
      </c>
      <c r="B779" t="s">
        <v>31</v>
      </c>
      <c r="C779" t="s">
        <v>65</v>
      </c>
      <c r="D779" t="s">
        <v>539</v>
      </c>
      <c r="E779" t="s">
        <v>95</v>
      </c>
      <c r="F779" t="s">
        <v>387</v>
      </c>
      <c r="G779" t="s">
        <v>433</v>
      </c>
      <c r="H779" t="n">
        <v>39.7661908926175</v>
      </c>
      <c r="I779" t="n">
        <v>-104.854716489933</v>
      </c>
      <c r="J779" t="s">
        <v>35</v>
      </c>
      <c r="K779" t="s">
        <v>234</v>
      </c>
      <c r="L779"/>
      <c r="M779" t="n">
        <v>1980</v>
      </c>
      <c r="N779" t="n">
        <v>1990</v>
      </c>
      <c r="O779" t="s">
        <v>540</v>
      </c>
      <c r="P779" t="n">
        <v>4</v>
      </c>
      <c r="Q779" t="n">
        <v>2</v>
      </c>
      <c r="R779" t="n">
        <v>2</v>
      </c>
      <c r="S779" t="n">
        <v>1964</v>
      </c>
      <c r="T779" t="s">
        <v>541</v>
      </c>
      <c r="U779" t="s">
        <v>542</v>
      </c>
      <c r="V779" t="s">
        <v>74</v>
      </c>
      <c r="W779"/>
      <c r="X779"/>
      <c r="Y779"/>
      <c r="Z779"/>
      <c r="AA779"/>
      <c r="AB779" t="s">
        <v>543</v>
      </c>
      <c r="AC779" t="n">
        <v>103</v>
      </c>
      <c r="AD779" t="s">
        <v>544</v>
      </c>
      <c r="AE779" t="n">
        <v>103</v>
      </c>
      <c r="AF779" t="s">
        <v>545</v>
      </c>
      <c r="AG779" t="n">
        <v>48</v>
      </c>
    </row>
    <row r="780">
      <c r="A780" t="s">
        <v>546</v>
      </c>
      <c r="B780" t="s">
        <v>31</v>
      </c>
      <c r="C780" t="s">
        <v>65</v>
      </c>
      <c r="D780" t="s">
        <v>547</v>
      </c>
      <c r="E780" t="s">
        <v>95</v>
      </c>
      <c r="F780" t="s">
        <v>387</v>
      </c>
      <c r="G780" t="s">
        <v>548</v>
      </c>
      <c r="H780" t="n">
        <v>39.6617320922517</v>
      </c>
      <c r="I780" t="n">
        <v>-104.809226119253</v>
      </c>
      <c r="J780" t="s">
        <v>35</v>
      </c>
      <c r="K780" t="s">
        <v>70</v>
      </c>
      <c r="L780"/>
      <c r="M780" t="n">
        <v>1980</v>
      </c>
      <c r="N780" t="n">
        <v>1980</v>
      </c>
      <c r="O780" t="s">
        <v>255</v>
      </c>
      <c r="P780" t="n">
        <v>1</v>
      </c>
      <c r="Q780" t="n">
        <v>1</v>
      </c>
      <c r="R780" t="n">
        <v>1</v>
      </c>
      <c r="S780" t="n">
        <v>1978</v>
      </c>
      <c r="T780" t="s">
        <v>549</v>
      </c>
      <c r="U780" t="s">
        <v>550</v>
      </c>
      <c r="V780" t="s">
        <v>74</v>
      </c>
      <c r="W780"/>
      <c r="X780"/>
      <c r="Y780"/>
      <c r="Z780"/>
      <c r="AA780"/>
      <c r="AB780"/>
      <c r="AC780"/>
      <c r="AD780"/>
      <c r="AE780"/>
      <c r="AF780"/>
      <c r="AG780"/>
    </row>
    <row r="781">
      <c r="A781" t="s">
        <v>551</v>
      </c>
      <c r="B781" t="s">
        <v>31</v>
      </c>
      <c r="C781" t="s">
        <v>65</v>
      </c>
      <c r="D781" t="s">
        <v>552</v>
      </c>
      <c r="E781" t="s">
        <v>394</v>
      </c>
      <c r="F781" t="s">
        <v>387</v>
      </c>
      <c r="G781" t="s">
        <v>553</v>
      </c>
      <c r="H781" t="n">
        <v>39.5667645</v>
      </c>
      <c r="I781" t="n">
        <v>-104.8651555</v>
      </c>
      <c r="J781" t="s">
        <v>35</v>
      </c>
      <c r="K781" t="s">
        <v>120</v>
      </c>
      <c r="L781" t="s">
        <v>554</v>
      </c>
      <c r="M781" t="n">
        <v>1980</v>
      </c>
      <c r="N781" t="n">
        <v>1990</v>
      </c>
      <c r="O781" t="s">
        <v>555</v>
      </c>
      <c r="P781" t="n">
        <v>2</v>
      </c>
      <c r="Q781" t="n">
        <v>2</v>
      </c>
      <c r="R781" t="n">
        <v>2</v>
      </c>
      <c r="S781" t="n">
        <v>1956</v>
      </c>
      <c r="T781" t="s">
        <v>556</v>
      </c>
      <c r="U781" t="s">
        <v>557</v>
      </c>
      <c r="V781" t="s">
        <v>74</v>
      </c>
      <c r="W781"/>
      <c r="X781"/>
      <c r="Y781"/>
      <c r="Z781"/>
      <c r="AA781"/>
      <c r="AB781" t="s">
        <v>558</v>
      </c>
      <c r="AC781" t="n">
        <v>207</v>
      </c>
      <c r="AD781"/>
      <c r="AE781"/>
      <c r="AF781" t="s">
        <v>559</v>
      </c>
      <c r="AG781" t="n">
        <v>137</v>
      </c>
    </row>
    <row r="782">
      <c r="A782" t="s">
        <v>560</v>
      </c>
      <c r="B782" t="s">
        <v>31</v>
      </c>
      <c r="C782" t="s">
        <v>65</v>
      </c>
      <c r="D782" t="s">
        <v>561</v>
      </c>
      <c r="E782" t="s">
        <v>394</v>
      </c>
      <c r="F782" t="s">
        <v>387</v>
      </c>
      <c r="G782" t="s">
        <v>395</v>
      </c>
      <c r="H782" t="n">
        <v>39.6627673877551</v>
      </c>
      <c r="I782" t="n">
        <v>-105.014567081633</v>
      </c>
      <c r="J782" t="s">
        <v>35</v>
      </c>
      <c r="K782" t="s">
        <v>126</v>
      </c>
      <c r="L782"/>
      <c r="M782" t="n">
        <v>1980</v>
      </c>
      <c r="N782" t="n">
        <v>1990</v>
      </c>
      <c r="O782" t="s">
        <v>310</v>
      </c>
      <c r="P782" t="n">
        <v>4</v>
      </c>
      <c r="Q782" t="n">
        <v>2</v>
      </c>
      <c r="R782" t="n">
        <v>1</v>
      </c>
      <c r="S782" t="n">
        <v>1974</v>
      </c>
      <c r="T782" t="s">
        <v>562</v>
      </c>
      <c r="U782" t="s">
        <v>563</v>
      </c>
      <c r="V782" t="s">
        <v>74</v>
      </c>
      <c r="W782"/>
      <c r="X782"/>
      <c r="Y782"/>
      <c r="Z782"/>
      <c r="AA782"/>
      <c r="AB782" t="s">
        <v>448</v>
      </c>
      <c r="AC782" t="n">
        <v>201</v>
      </c>
      <c r="AD782"/>
      <c r="AE782"/>
      <c r="AF782" t="s">
        <v>524</v>
      </c>
      <c r="AG782" t="n">
        <v>83</v>
      </c>
    </row>
    <row r="783">
      <c r="A783" t="s">
        <v>564</v>
      </c>
      <c r="B783" t="s">
        <v>31</v>
      </c>
      <c r="C783" t="s">
        <v>65</v>
      </c>
      <c r="D783" t="s">
        <v>565</v>
      </c>
      <c r="E783" t="s">
        <v>394</v>
      </c>
      <c r="F783" t="s">
        <v>387</v>
      </c>
      <c r="G783" t="s">
        <v>553</v>
      </c>
      <c r="H783" t="n">
        <v>39.5895956752262</v>
      </c>
      <c r="I783" t="n">
        <v>-104.883796356937</v>
      </c>
      <c r="J783" t="s">
        <v>35</v>
      </c>
      <c r="K783" t="s">
        <v>120</v>
      </c>
      <c r="L783"/>
      <c r="M783" t="n">
        <v>1980</v>
      </c>
      <c r="N783" t="n">
        <v>1983</v>
      </c>
      <c r="O783" t="s">
        <v>528</v>
      </c>
      <c r="P783" t="n">
        <v>2</v>
      </c>
      <c r="Q783" t="n">
        <v>2</v>
      </c>
      <c r="R783" t="n">
        <v>1</v>
      </c>
      <c r="S783" t="n">
        <v>1979</v>
      </c>
      <c r="T783" t="s">
        <v>566</v>
      </c>
      <c r="U783" t="s">
        <v>567</v>
      </c>
      <c r="V783" t="s">
        <v>74</v>
      </c>
      <c r="W783"/>
      <c r="X783"/>
      <c r="Y783"/>
      <c r="Z783"/>
      <c r="AA783"/>
      <c r="AB783"/>
      <c r="AC783"/>
      <c r="AD783"/>
      <c r="AE783"/>
      <c r="AF783" t="s">
        <v>568</v>
      </c>
      <c r="AG783" t="n">
        <v>196</v>
      </c>
    </row>
    <row r="784">
      <c r="A784" t="s">
        <v>569</v>
      </c>
      <c r="B784" t="s">
        <v>31</v>
      </c>
      <c r="C784" t="s">
        <v>65</v>
      </c>
      <c r="D784" t="s">
        <v>570</v>
      </c>
      <c r="E784" t="s">
        <v>394</v>
      </c>
      <c r="F784" t="s">
        <v>387</v>
      </c>
      <c r="G784" t="s">
        <v>553</v>
      </c>
      <c r="H784" t="n">
        <v>39.5714286705778</v>
      </c>
      <c r="I784" t="n">
        <v>-104.858486245487</v>
      </c>
      <c r="J784" t="s">
        <v>35</v>
      </c>
      <c r="K784" t="s">
        <v>120</v>
      </c>
      <c r="L784"/>
      <c r="M784" t="n">
        <v>1980</v>
      </c>
      <c r="N784" t="n">
        <v>1980</v>
      </c>
      <c r="O784" t="s">
        <v>255</v>
      </c>
      <c r="P784" t="n">
        <v>1</v>
      </c>
      <c r="Q784" t="n">
        <v>1</v>
      </c>
      <c r="R784" t="n">
        <v>1</v>
      </c>
      <c r="S784" t="n">
        <v>1977</v>
      </c>
      <c r="T784" t="s">
        <v>571</v>
      </c>
      <c r="U784" t="s">
        <v>572</v>
      </c>
      <c r="V784" t="s">
        <v>74</v>
      </c>
      <c r="W784"/>
      <c r="X784"/>
      <c r="Y784"/>
      <c r="Z784"/>
      <c r="AA784"/>
      <c r="AB784"/>
      <c r="AC784"/>
      <c r="AD784" t="s">
        <v>573</v>
      </c>
      <c r="AE784" t="n">
        <v>221</v>
      </c>
      <c r="AF784" t="s">
        <v>574</v>
      </c>
      <c r="AG784" t="n">
        <v>215</v>
      </c>
    </row>
    <row r="785">
      <c r="A785" t="s">
        <v>4143</v>
      </c>
      <c r="B785" t="s">
        <v>31</v>
      </c>
      <c r="C785" t="s">
        <v>24</v>
      </c>
      <c r="D785" t="s">
        <v>4144</v>
      </c>
      <c r="E785" t="s">
        <v>394</v>
      </c>
      <c r="F785" t="s">
        <v>387</v>
      </c>
      <c r="G785" t="s">
        <v>395</v>
      </c>
      <c r="H785" t="n">
        <v>39.6349433673469</v>
      </c>
      <c r="I785" t="n">
        <v>-104.998634530612</v>
      </c>
      <c r="J785" t="s">
        <v>4109</v>
      </c>
      <c r="K785" t="s">
        <v>282</v>
      </c>
      <c r="L785" t="s">
        <v>98</v>
      </c>
      <c r="M785" t="n">
        <v>1980</v>
      </c>
      <c r="N785" t="n">
        <v>1980</v>
      </c>
      <c r="O785" t="s">
        <v>255</v>
      </c>
      <c r="P785" t="n">
        <v>1</v>
      </c>
      <c r="Q785" t="n">
        <v>1</v>
      </c>
      <c r="R785" t="n">
        <v>1</v>
      </c>
      <c r="S785" t="n">
        <v>1975</v>
      </c>
      <c r="T785" t="s">
        <v>4145</v>
      </c>
      <c r="U785" t="s">
        <v>4146</v>
      </c>
      <c r="V785" t="s">
        <v>74</v>
      </c>
      <c r="W785"/>
      <c r="X785"/>
      <c r="Y785"/>
      <c r="Z785"/>
      <c r="AA785"/>
      <c r="AB785"/>
      <c r="AC785"/>
      <c r="AD785"/>
      <c r="AE785"/>
      <c r="AF785"/>
      <c r="AG785"/>
    </row>
    <row r="786">
      <c r="A786" t="s">
        <v>575</v>
      </c>
      <c r="B786" t="s">
        <v>31</v>
      </c>
      <c r="C786" t="s">
        <v>65</v>
      </c>
      <c r="D786" t="s">
        <v>576</v>
      </c>
      <c r="E786" t="s">
        <v>394</v>
      </c>
      <c r="F786" t="s">
        <v>387</v>
      </c>
      <c r="G786" t="s">
        <v>395</v>
      </c>
      <c r="H786" t="n">
        <v>39.6385558571428</v>
      </c>
      <c r="I786" t="n">
        <v>-104.987644714286</v>
      </c>
      <c r="J786" t="s">
        <v>35</v>
      </c>
      <c r="K786" t="s">
        <v>70</v>
      </c>
      <c r="L786"/>
      <c r="M786" t="n">
        <v>1980</v>
      </c>
      <c r="N786" t="n">
        <v>1980</v>
      </c>
      <c r="O786" t="s">
        <v>255</v>
      </c>
      <c r="P786" t="n">
        <v>1</v>
      </c>
      <c r="Q786" t="n">
        <v>1</v>
      </c>
      <c r="R786" t="n">
        <v>1</v>
      </c>
      <c r="S786" t="n">
        <v>1978</v>
      </c>
      <c r="T786" t="s">
        <v>577</v>
      </c>
      <c r="U786" t="s">
        <v>578</v>
      </c>
      <c r="V786" t="s">
        <v>74</v>
      </c>
      <c r="W786"/>
      <c r="X786"/>
      <c r="Y786"/>
      <c r="Z786"/>
      <c r="AA786"/>
      <c r="AB786"/>
      <c r="AC786"/>
      <c r="AD786"/>
      <c r="AE786"/>
      <c r="AF786" t="s">
        <v>579</v>
      </c>
      <c r="AG786" t="n">
        <v>41</v>
      </c>
    </row>
    <row r="787">
      <c r="A787" t="s">
        <v>580</v>
      </c>
      <c r="B787" t="s">
        <v>31</v>
      </c>
      <c r="C787" t="s">
        <v>65</v>
      </c>
      <c r="D787" t="s">
        <v>581</v>
      </c>
      <c r="E787" t="s">
        <v>394</v>
      </c>
      <c r="F787" t="s">
        <v>387</v>
      </c>
      <c r="G787" t="s">
        <v>395</v>
      </c>
      <c r="H787" t="n">
        <v>39.6510057497036</v>
      </c>
      <c r="I787" t="n">
        <v>-104.999385145737</v>
      </c>
      <c r="J787" t="s">
        <v>35</v>
      </c>
      <c r="K787" t="s">
        <v>133</v>
      </c>
      <c r="L787"/>
      <c r="M787" t="n">
        <v>1980</v>
      </c>
      <c r="N787" t="n">
        <v>1990</v>
      </c>
      <c r="O787" t="s">
        <v>582</v>
      </c>
      <c r="P787" t="n">
        <v>3</v>
      </c>
      <c r="Q787" t="n">
        <v>1</v>
      </c>
      <c r="R787" t="n">
        <v>1</v>
      </c>
      <c r="S787" t="n">
        <v>1976</v>
      </c>
      <c r="T787" t="s">
        <v>583</v>
      </c>
      <c r="U787" t="s">
        <v>584</v>
      </c>
      <c r="V787" t="s">
        <v>74</v>
      </c>
      <c r="W787"/>
      <c r="X787"/>
      <c r="Y787"/>
      <c r="Z787"/>
      <c r="AA787"/>
      <c r="AB787" t="s">
        <v>405</v>
      </c>
      <c r="AC787" t="n">
        <v>238</v>
      </c>
      <c r="AD787"/>
      <c r="AE787"/>
      <c r="AF787" t="s">
        <v>419</v>
      </c>
      <c r="AG787" t="n">
        <v>191</v>
      </c>
    </row>
    <row r="788">
      <c r="A788" t="s">
        <v>585</v>
      </c>
      <c r="B788" t="s">
        <v>31</v>
      </c>
      <c r="C788" t="s">
        <v>65</v>
      </c>
      <c r="D788" t="s">
        <v>586</v>
      </c>
      <c r="E788" t="s">
        <v>394</v>
      </c>
      <c r="F788" t="s">
        <v>387</v>
      </c>
      <c r="G788" t="s">
        <v>395</v>
      </c>
      <c r="H788" t="n">
        <v>39.6685472236181</v>
      </c>
      <c r="I788" t="n">
        <v>-105.015027160804</v>
      </c>
      <c r="J788" t="s">
        <v>35</v>
      </c>
      <c r="K788" t="s">
        <v>120</v>
      </c>
      <c r="L788"/>
      <c r="M788" t="n">
        <v>1980</v>
      </c>
      <c r="N788" t="n">
        <v>1990</v>
      </c>
      <c r="O788" t="s">
        <v>528</v>
      </c>
      <c r="P788" t="n">
        <v>4</v>
      </c>
      <c r="Q788" t="n">
        <v>3</v>
      </c>
      <c r="R788" t="n">
        <v>2</v>
      </c>
      <c r="S788" t="n">
        <v>1949</v>
      </c>
      <c r="T788" t="s">
        <v>587</v>
      </c>
      <c r="U788" t="s">
        <v>588</v>
      </c>
      <c r="V788" t="s">
        <v>74</v>
      </c>
      <c r="W788"/>
      <c r="X788"/>
      <c r="Y788"/>
      <c r="Z788"/>
      <c r="AA788"/>
      <c r="AB788" t="s">
        <v>589</v>
      </c>
      <c r="AC788" t="n">
        <v>158</v>
      </c>
      <c r="AD788"/>
      <c r="AE788"/>
      <c r="AF788" t="s">
        <v>590</v>
      </c>
      <c r="AG788" t="n">
        <v>85</v>
      </c>
    </row>
    <row r="789">
      <c r="A789" t="s">
        <v>591</v>
      </c>
      <c r="B789" t="s">
        <v>31</v>
      </c>
      <c r="C789" t="s">
        <v>65</v>
      </c>
      <c r="D789" t="s">
        <v>592</v>
      </c>
      <c r="E789" t="s">
        <v>386</v>
      </c>
      <c r="F789" t="s">
        <v>387</v>
      </c>
      <c r="G789" t="s">
        <v>428</v>
      </c>
      <c r="H789" t="n">
        <v>39.6197515503104</v>
      </c>
      <c r="I789" t="n">
        <v>-104.990335412922</v>
      </c>
      <c r="J789" t="s">
        <v>35</v>
      </c>
      <c r="K789" t="s">
        <v>89</v>
      </c>
      <c r="L789"/>
      <c r="M789" t="n">
        <v>1980</v>
      </c>
      <c r="N789" t="n">
        <v>1983</v>
      </c>
      <c r="O789" t="s">
        <v>528</v>
      </c>
      <c r="P789" t="n">
        <v>2</v>
      </c>
      <c r="Q789" t="n">
        <v>1</v>
      </c>
      <c r="R789" t="n">
        <v>1</v>
      </c>
      <c r="S789" t="n">
        <v>1978</v>
      </c>
      <c r="T789" t="s">
        <v>593</v>
      </c>
      <c r="U789" t="s">
        <v>594</v>
      </c>
      <c r="V789" t="s">
        <v>74</v>
      </c>
      <c r="W789"/>
      <c r="X789"/>
      <c r="Y789"/>
      <c r="Z789"/>
      <c r="AA789"/>
      <c r="AB789" t="s">
        <v>595</v>
      </c>
      <c r="AC789" t="n">
        <v>194</v>
      </c>
      <c r="AD789" t="s">
        <v>596</v>
      </c>
      <c r="AE789" t="n">
        <v>224</v>
      </c>
      <c r="AF789" t="s">
        <v>597</v>
      </c>
      <c r="AG789" t="n">
        <v>199</v>
      </c>
    </row>
    <row r="790">
      <c r="A790" t="s">
        <v>598</v>
      </c>
      <c r="B790" t="s">
        <v>31</v>
      </c>
      <c r="C790" t="s">
        <v>65</v>
      </c>
      <c r="D790" t="s">
        <v>599</v>
      </c>
      <c r="E790" t="s">
        <v>386</v>
      </c>
      <c r="F790" t="s">
        <v>387</v>
      </c>
      <c r="G790" t="s">
        <v>428</v>
      </c>
      <c r="H790" t="n">
        <v>39.615166</v>
      </c>
      <c r="I790" t="n">
        <v>-105.013683</v>
      </c>
      <c r="J790" t="s">
        <v>35</v>
      </c>
      <c r="K790" t="s">
        <v>220</v>
      </c>
      <c r="L790"/>
      <c r="M790" t="n">
        <v>1980</v>
      </c>
      <c r="N790" t="n">
        <v>1980</v>
      </c>
      <c r="O790" t="s">
        <v>255</v>
      </c>
      <c r="P790" t="n">
        <v>1</v>
      </c>
      <c r="Q790" t="n">
        <v>1</v>
      </c>
      <c r="R790" t="n">
        <v>1</v>
      </c>
      <c r="S790"/>
      <c r="T790" t="s">
        <v>600</v>
      </c>
      <c r="U790" t="s">
        <v>601</v>
      </c>
      <c r="V790" t="s">
        <v>74</v>
      </c>
      <c r="W790"/>
      <c r="X790"/>
      <c r="Y790"/>
      <c r="Z790"/>
      <c r="AA790"/>
      <c r="AB790"/>
      <c r="AC790"/>
      <c r="AD790"/>
      <c r="AE790"/>
      <c r="AF790" t="s">
        <v>602</v>
      </c>
      <c r="AG790" t="n">
        <v>243</v>
      </c>
    </row>
    <row r="791">
      <c r="A791" t="s">
        <v>603</v>
      </c>
      <c r="B791" t="s">
        <v>31</v>
      </c>
      <c r="C791" t="s">
        <v>65</v>
      </c>
      <c r="D791" t="s">
        <v>604</v>
      </c>
      <c r="E791" t="s">
        <v>386</v>
      </c>
      <c r="F791" t="s">
        <v>387</v>
      </c>
      <c r="G791" t="s">
        <v>605</v>
      </c>
      <c r="H791" t="n">
        <v>39.5878649303985</v>
      </c>
      <c r="I791" t="n">
        <v>-104.968816615866</v>
      </c>
      <c r="J791" t="s">
        <v>35</v>
      </c>
      <c r="K791" t="s">
        <v>133</v>
      </c>
      <c r="L791"/>
      <c r="M791" t="n">
        <v>1980</v>
      </c>
      <c r="N791" t="n">
        <v>1983</v>
      </c>
      <c r="O791" t="s">
        <v>528</v>
      </c>
      <c r="P791" t="n">
        <v>2</v>
      </c>
      <c r="Q791" t="n">
        <v>1</v>
      </c>
      <c r="R791" t="n">
        <v>1</v>
      </c>
      <c r="S791" t="n">
        <v>1976</v>
      </c>
      <c r="T791" t="s">
        <v>606</v>
      </c>
      <c r="U791" t="s">
        <v>607</v>
      </c>
      <c r="V791" t="s">
        <v>74</v>
      </c>
      <c r="W791"/>
      <c r="X791"/>
      <c r="Y791"/>
      <c r="Z791"/>
      <c r="AA791"/>
      <c r="AB791"/>
      <c r="AC791"/>
      <c r="AD791"/>
      <c r="AE791"/>
      <c r="AF791"/>
      <c r="AG791"/>
    </row>
    <row r="792">
      <c r="A792" t="s">
        <v>608</v>
      </c>
      <c r="B792" t="s">
        <v>31</v>
      </c>
      <c r="C792" t="s">
        <v>65</v>
      </c>
      <c r="D792" t="s">
        <v>609</v>
      </c>
      <c r="E792" t="s">
        <v>95</v>
      </c>
      <c r="F792" t="s">
        <v>387</v>
      </c>
      <c r="G792" t="s">
        <v>610</v>
      </c>
      <c r="H792" t="n">
        <v>39.70357</v>
      </c>
      <c r="I792" t="n">
        <v>-104.785651</v>
      </c>
      <c r="J792" t="s">
        <v>35</v>
      </c>
      <c r="K792" t="s">
        <v>120</v>
      </c>
      <c r="L792"/>
      <c r="M792" t="n">
        <v>1983</v>
      </c>
      <c r="N792" t="n">
        <v>1983</v>
      </c>
      <c r="O792" t="s">
        <v>264</v>
      </c>
      <c r="P792" t="n">
        <v>1</v>
      </c>
      <c r="Q792" t="n">
        <v>1</v>
      </c>
      <c r="R792" t="n">
        <v>1</v>
      </c>
      <c r="S792" t="n">
        <v>1968</v>
      </c>
      <c r="T792" t="s">
        <v>611</v>
      </c>
      <c r="U792" t="s">
        <v>612</v>
      </c>
      <c r="V792" t="s">
        <v>74</v>
      </c>
      <c r="W792"/>
      <c r="X792"/>
      <c r="Y792"/>
      <c r="Z792"/>
      <c r="AA792"/>
      <c r="AB792"/>
      <c r="AC792"/>
      <c r="AD792"/>
      <c r="AE792"/>
      <c r="AF792" t="s">
        <v>613</v>
      </c>
      <c r="AG792" t="n">
        <v>135</v>
      </c>
    </row>
    <row r="793">
      <c r="A793" t="s">
        <v>614</v>
      </c>
      <c r="B793" t="s">
        <v>31</v>
      </c>
      <c r="C793" t="s">
        <v>65</v>
      </c>
      <c r="D793" t="s">
        <v>615</v>
      </c>
      <c r="E793" t="s">
        <v>95</v>
      </c>
      <c r="F793" t="s">
        <v>387</v>
      </c>
      <c r="G793" t="s">
        <v>548</v>
      </c>
      <c r="H793" t="n">
        <v>39.658573</v>
      </c>
      <c r="I793" t="n">
        <v>-104.783686</v>
      </c>
      <c r="J793" t="s">
        <v>35</v>
      </c>
      <c r="K793" t="s">
        <v>616</v>
      </c>
      <c r="L793"/>
      <c r="M793" t="n">
        <v>1983</v>
      </c>
      <c r="N793" t="n">
        <v>1990</v>
      </c>
      <c r="O793" t="s">
        <v>293</v>
      </c>
      <c r="P793" t="n">
        <v>2</v>
      </c>
      <c r="Q793" t="n">
        <v>1</v>
      </c>
      <c r="R793" t="n">
        <v>1</v>
      </c>
      <c r="S793" t="n">
        <v>1976</v>
      </c>
      <c r="T793" t="s">
        <v>617</v>
      </c>
      <c r="U793" t="s">
        <v>618</v>
      </c>
      <c r="V793" t="s">
        <v>74</v>
      </c>
      <c r="W793"/>
      <c r="X793"/>
      <c r="Y793"/>
      <c r="Z793"/>
      <c r="AA793"/>
      <c r="AB793"/>
      <c r="AC793"/>
      <c r="AD793"/>
      <c r="AE793"/>
      <c r="AF793" t="s">
        <v>619</v>
      </c>
      <c r="AG793" t="n">
        <v>117</v>
      </c>
    </row>
    <row r="794">
      <c r="A794" t="s">
        <v>620</v>
      </c>
      <c r="B794" t="s">
        <v>31</v>
      </c>
      <c r="C794" t="s">
        <v>65</v>
      </c>
      <c r="D794" t="s">
        <v>621</v>
      </c>
      <c r="E794" t="s">
        <v>394</v>
      </c>
      <c r="F794" t="s">
        <v>387</v>
      </c>
      <c r="G794" t="s">
        <v>553</v>
      </c>
      <c r="H794" t="n">
        <v>39.5883059593124</v>
      </c>
      <c r="I794" t="n">
        <v>-104.883716426956</v>
      </c>
      <c r="J794" t="s">
        <v>35</v>
      </c>
      <c r="K794" t="s">
        <v>120</v>
      </c>
      <c r="L794"/>
      <c r="M794" t="n">
        <v>1983</v>
      </c>
      <c r="N794" t="n">
        <v>1992</v>
      </c>
      <c r="O794" t="s">
        <v>264</v>
      </c>
      <c r="P794" t="n">
        <v>4</v>
      </c>
      <c r="Q794" t="n">
        <v>5</v>
      </c>
      <c r="R794" t="n">
        <v>1</v>
      </c>
      <c r="S794" t="n">
        <v>1975</v>
      </c>
      <c r="T794" t="s">
        <v>622</v>
      </c>
      <c r="U794" t="s">
        <v>623</v>
      </c>
      <c r="V794" t="s">
        <v>74</v>
      </c>
      <c r="W794"/>
      <c r="X794"/>
      <c r="Y794"/>
      <c r="Z794"/>
      <c r="AA794"/>
      <c r="AB794"/>
      <c r="AC794"/>
      <c r="AD794"/>
      <c r="AE794"/>
      <c r="AF794" t="s">
        <v>624</v>
      </c>
      <c r="AG794" t="n">
        <v>141</v>
      </c>
    </row>
    <row r="795">
      <c r="A795" t="s">
        <v>625</v>
      </c>
      <c r="B795" t="s">
        <v>31</v>
      </c>
      <c r="C795" t="s">
        <v>65</v>
      </c>
      <c r="D795" t="s">
        <v>626</v>
      </c>
      <c r="E795" t="s">
        <v>394</v>
      </c>
      <c r="F795" t="s">
        <v>387</v>
      </c>
      <c r="G795" t="s">
        <v>395</v>
      </c>
      <c r="H795" t="n">
        <v>39.6643464545455</v>
      </c>
      <c r="I795" t="n">
        <v>-105.015776363636</v>
      </c>
      <c r="J795" t="s">
        <v>35</v>
      </c>
      <c r="K795" t="s">
        <v>133</v>
      </c>
      <c r="L795"/>
      <c r="M795" t="n">
        <v>1983</v>
      </c>
      <c r="N795" t="n">
        <v>1990</v>
      </c>
      <c r="O795" t="s">
        <v>271</v>
      </c>
      <c r="P795" t="n">
        <v>3</v>
      </c>
      <c r="Q795" t="n">
        <v>1</v>
      </c>
      <c r="R795" t="n">
        <v>1</v>
      </c>
      <c r="S795" t="n">
        <v>1965</v>
      </c>
      <c r="T795" t="s">
        <v>627</v>
      </c>
      <c r="U795" t="s">
        <v>628</v>
      </c>
      <c r="V795" t="s">
        <v>74</v>
      </c>
      <c r="W795"/>
      <c r="X795"/>
      <c r="Y795"/>
      <c r="Z795"/>
      <c r="AA795"/>
      <c r="AB795"/>
      <c r="AC795"/>
      <c r="AD795" t="s">
        <v>449</v>
      </c>
      <c r="AE795" t="n">
        <v>215</v>
      </c>
      <c r="AF795" t="s">
        <v>629</v>
      </c>
      <c r="AG795" t="n">
        <v>81</v>
      </c>
    </row>
    <row r="796">
      <c r="A796" t="s">
        <v>630</v>
      </c>
      <c r="B796" t="s">
        <v>31</v>
      </c>
      <c r="C796" t="s">
        <v>65</v>
      </c>
      <c r="D796" t="s">
        <v>631</v>
      </c>
      <c r="E796" t="s">
        <v>394</v>
      </c>
      <c r="F796" t="s">
        <v>387</v>
      </c>
      <c r="G796" t="s">
        <v>632</v>
      </c>
      <c r="H796" t="n">
        <v>39.6405941705119</v>
      </c>
      <c r="I796" t="n">
        <v>-105.023577478281</v>
      </c>
      <c r="J796" t="s">
        <v>35</v>
      </c>
      <c r="K796" t="s">
        <v>527</v>
      </c>
      <c r="L796"/>
      <c r="M796" t="n">
        <v>1983</v>
      </c>
      <c r="N796" t="n">
        <v>1983</v>
      </c>
      <c r="O796" t="s">
        <v>264</v>
      </c>
      <c r="P796" t="n">
        <v>1</v>
      </c>
      <c r="Q796" t="n">
        <v>1</v>
      </c>
      <c r="R796" t="n">
        <v>1</v>
      </c>
      <c r="S796" t="n">
        <v>1962</v>
      </c>
      <c r="T796" t="s">
        <v>633</v>
      </c>
      <c r="U796" t="s">
        <v>634</v>
      </c>
      <c r="V796" t="s">
        <v>74</v>
      </c>
      <c r="W796"/>
      <c r="X796"/>
      <c r="Y796"/>
      <c r="Z796"/>
      <c r="AA796"/>
      <c r="AB796" t="s">
        <v>635</v>
      </c>
      <c r="AC796" t="n">
        <v>157</v>
      </c>
      <c r="AD796"/>
      <c r="AE796"/>
      <c r="AF796" t="s">
        <v>636</v>
      </c>
      <c r="AG796" t="n">
        <v>155</v>
      </c>
    </row>
    <row r="797">
      <c r="A797" t="s">
        <v>637</v>
      </c>
      <c r="B797" t="s">
        <v>31</v>
      </c>
      <c r="C797" t="s">
        <v>65</v>
      </c>
      <c r="D797" t="s">
        <v>638</v>
      </c>
      <c r="E797" t="s">
        <v>394</v>
      </c>
      <c r="F797" t="s">
        <v>387</v>
      </c>
      <c r="G797" t="s">
        <v>395</v>
      </c>
      <c r="H797" t="n">
        <v>39.6605057004846</v>
      </c>
      <c r="I797" t="n">
        <v>-105.019423327358</v>
      </c>
      <c r="J797" t="s">
        <v>35</v>
      </c>
      <c r="K797" t="s">
        <v>120</v>
      </c>
      <c r="L797"/>
      <c r="M797" t="n">
        <v>1983</v>
      </c>
      <c r="N797" t="n">
        <v>1983</v>
      </c>
      <c r="O797" t="s">
        <v>264</v>
      </c>
      <c r="P797" t="n">
        <v>1</v>
      </c>
      <c r="Q797" t="n">
        <v>1</v>
      </c>
      <c r="R797" t="n">
        <v>1</v>
      </c>
      <c r="S797" t="n">
        <v>1979</v>
      </c>
      <c r="T797" t="s">
        <v>639</v>
      </c>
      <c r="U797" t="s">
        <v>640</v>
      </c>
      <c r="V797" t="s">
        <v>74</v>
      </c>
      <c r="W797"/>
      <c r="X797"/>
      <c r="Y797"/>
      <c r="Z797"/>
      <c r="AA797"/>
      <c r="AB797"/>
      <c r="AC797"/>
      <c r="AD797"/>
      <c r="AE797"/>
      <c r="AF797"/>
      <c r="AG797"/>
    </row>
    <row r="798">
      <c r="A798" t="s">
        <v>641</v>
      </c>
      <c r="B798" t="s">
        <v>31</v>
      </c>
      <c r="C798" t="s">
        <v>65</v>
      </c>
      <c r="D798" t="s">
        <v>642</v>
      </c>
      <c r="E798" t="s">
        <v>386</v>
      </c>
      <c r="F798" t="s">
        <v>387</v>
      </c>
      <c r="G798" t="s">
        <v>428</v>
      </c>
      <c r="H798" t="n">
        <v>39.582027</v>
      </c>
      <c r="I798" t="n">
        <v>-104.997801</v>
      </c>
      <c r="J798" t="s">
        <v>35</v>
      </c>
      <c r="K798" t="s">
        <v>282</v>
      </c>
      <c r="L798"/>
      <c r="M798" t="n">
        <v>1983</v>
      </c>
      <c r="N798" t="n">
        <v>1990</v>
      </c>
      <c r="O798" t="s">
        <v>271</v>
      </c>
      <c r="P798" t="n">
        <v>3</v>
      </c>
      <c r="Q798" t="n">
        <v>2</v>
      </c>
      <c r="R798" t="n">
        <v>2</v>
      </c>
      <c r="S798" t="n">
        <v>1976</v>
      </c>
      <c r="T798" t="s">
        <v>643</v>
      </c>
      <c r="U798" t="s">
        <v>644</v>
      </c>
      <c r="V798" t="s">
        <v>74</v>
      </c>
      <c r="W798"/>
      <c r="X798"/>
      <c r="Y798"/>
      <c r="Z798"/>
      <c r="AA798"/>
      <c r="AB798"/>
      <c r="AC798"/>
      <c r="AD798"/>
      <c r="AE798"/>
      <c r="AF798"/>
      <c r="AG798"/>
    </row>
    <row r="799">
      <c r="A799" t="s">
        <v>4147</v>
      </c>
      <c r="B799" t="s">
        <v>31</v>
      </c>
      <c r="C799" t="s">
        <v>24</v>
      </c>
      <c r="D799" t="s">
        <v>4148</v>
      </c>
      <c r="E799" t="s">
        <v>95</v>
      </c>
      <c r="F799" t="s">
        <v>387</v>
      </c>
      <c r="G799" t="s">
        <v>678</v>
      </c>
      <c r="H799" t="n">
        <v>39.6628406341463</v>
      </c>
      <c r="I799" t="n">
        <v>-104.837064780488</v>
      </c>
      <c r="J799" t="s">
        <v>4109</v>
      </c>
      <c r="K799" t="s">
        <v>70</v>
      </c>
      <c r="L799"/>
      <c r="M799" t="n">
        <v>1988</v>
      </c>
      <c r="N799" t="n">
        <v>1988</v>
      </c>
      <c r="O799" t="s">
        <v>325</v>
      </c>
      <c r="P799" t="n">
        <v>1</v>
      </c>
      <c r="Q799" t="n">
        <v>1</v>
      </c>
      <c r="R799" t="n">
        <v>1</v>
      </c>
      <c r="S799" t="n">
        <v>1973</v>
      </c>
      <c r="T799" t="s">
        <v>4149</v>
      </c>
      <c r="U799" t="s">
        <v>4150</v>
      </c>
      <c r="V799" t="s">
        <v>74</v>
      </c>
      <c r="W799"/>
      <c r="X799"/>
      <c r="Y799"/>
      <c r="Z799"/>
      <c r="AA799"/>
      <c r="AB799"/>
      <c r="AC799"/>
      <c r="AD799"/>
      <c r="AE799"/>
      <c r="AF799"/>
      <c r="AG799"/>
    </row>
    <row r="800">
      <c r="A800" t="s">
        <v>4151</v>
      </c>
      <c r="B800" t="s">
        <v>31</v>
      </c>
      <c r="C800" t="s">
        <v>24</v>
      </c>
      <c r="D800" t="s">
        <v>4152</v>
      </c>
      <c r="E800" t="s">
        <v>95</v>
      </c>
      <c r="F800" t="s">
        <v>387</v>
      </c>
      <c r="G800" t="s">
        <v>515</v>
      </c>
      <c r="H800" t="n">
        <v>39.7292908585859</v>
      </c>
      <c r="I800" t="n">
        <v>-104.865882515151</v>
      </c>
      <c r="J800" t="s">
        <v>4109</v>
      </c>
      <c r="K800" t="s">
        <v>89</v>
      </c>
      <c r="L800"/>
      <c r="M800" t="n">
        <v>1988</v>
      </c>
      <c r="N800" t="n">
        <v>1988</v>
      </c>
      <c r="O800" t="s">
        <v>325</v>
      </c>
      <c r="P800" t="n">
        <v>1</v>
      </c>
      <c r="Q800" t="n">
        <v>1</v>
      </c>
      <c r="R800" t="n">
        <v>1</v>
      </c>
      <c r="S800" t="n">
        <v>1984</v>
      </c>
      <c r="T800" t="s">
        <v>4153</v>
      </c>
      <c r="U800" t="s">
        <v>4154</v>
      </c>
      <c r="V800" t="s">
        <v>74</v>
      </c>
      <c r="W800"/>
      <c r="X800"/>
      <c r="Y800"/>
      <c r="Z800"/>
      <c r="AA800"/>
      <c r="AB800"/>
      <c r="AC800"/>
      <c r="AD800"/>
      <c r="AE800"/>
      <c r="AF800" t="s">
        <v>4155</v>
      </c>
      <c r="AG800" t="n">
        <v>239</v>
      </c>
    </row>
    <row r="801">
      <c r="A801" t="s">
        <v>4156</v>
      </c>
      <c r="B801" t="s">
        <v>31</v>
      </c>
      <c r="C801" t="s">
        <v>24</v>
      </c>
      <c r="D801" t="s">
        <v>4157</v>
      </c>
      <c r="E801" t="s">
        <v>394</v>
      </c>
      <c r="F801" t="s">
        <v>387</v>
      </c>
      <c r="G801" t="s">
        <v>395</v>
      </c>
      <c r="H801" t="n">
        <v>39.7245422789139</v>
      </c>
      <c r="I801" t="n">
        <v>-105.038768572974</v>
      </c>
      <c r="J801" t="s">
        <v>4109</v>
      </c>
      <c r="K801" t="s">
        <v>3960</v>
      </c>
      <c r="L801"/>
      <c r="M801" t="n">
        <v>1988</v>
      </c>
      <c r="N801" t="n">
        <v>1988</v>
      </c>
      <c r="O801" t="s">
        <v>325</v>
      </c>
      <c r="P801" t="n">
        <v>1</v>
      </c>
      <c r="Q801" t="n">
        <v>1</v>
      </c>
      <c r="R801" t="n">
        <v>1</v>
      </c>
      <c r="S801" t="n">
        <v>1960</v>
      </c>
      <c r="T801" t="s">
        <v>4158</v>
      </c>
      <c r="U801" t="s">
        <v>4159</v>
      </c>
      <c r="V801" t="s">
        <v>74</v>
      </c>
      <c r="W801"/>
      <c r="X801"/>
      <c r="Y801"/>
      <c r="Z801"/>
      <c r="AA801"/>
      <c r="AB801"/>
      <c r="AC801"/>
      <c r="AD801"/>
      <c r="AE801"/>
      <c r="AF801"/>
      <c r="AG801"/>
    </row>
    <row r="802">
      <c r="A802" t="s">
        <v>645</v>
      </c>
      <c r="B802" t="s">
        <v>31</v>
      </c>
      <c r="C802" t="s">
        <v>65</v>
      </c>
      <c r="D802" t="s">
        <v>646</v>
      </c>
      <c r="E802" t="s">
        <v>394</v>
      </c>
      <c r="F802" t="s">
        <v>387</v>
      </c>
      <c r="G802" t="s">
        <v>395</v>
      </c>
      <c r="H802" t="n">
        <v>39.6677348560606</v>
      </c>
      <c r="I802" t="n">
        <v>-105.015097848485</v>
      </c>
      <c r="J802" t="s">
        <v>35</v>
      </c>
      <c r="K802" t="s">
        <v>70</v>
      </c>
      <c r="L802"/>
      <c r="M802" t="n">
        <v>1988</v>
      </c>
      <c r="N802" t="n">
        <v>1992</v>
      </c>
      <c r="O802" t="s">
        <v>325</v>
      </c>
      <c r="P802" t="n">
        <v>3</v>
      </c>
      <c r="Q802" t="n">
        <v>2</v>
      </c>
      <c r="R802" t="n">
        <v>1</v>
      </c>
      <c r="S802" t="n">
        <v>1968</v>
      </c>
      <c r="T802" t="s">
        <v>647</v>
      </c>
      <c r="U802" t="s">
        <v>648</v>
      </c>
      <c r="V802" t="s">
        <v>74</v>
      </c>
      <c r="W802"/>
      <c r="X802"/>
      <c r="Y802"/>
      <c r="Z802"/>
      <c r="AA802"/>
      <c r="AB802" t="s">
        <v>589</v>
      </c>
      <c r="AC802" t="n">
        <v>126</v>
      </c>
      <c r="AD802" t="s">
        <v>449</v>
      </c>
      <c r="AE802" t="n">
        <v>226</v>
      </c>
      <c r="AF802" t="s">
        <v>649</v>
      </c>
      <c r="AG802" t="n">
        <v>98</v>
      </c>
    </row>
    <row r="803">
      <c r="A803" t="s">
        <v>650</v>
      </c>
      <c r="B803" t="s">
        <v>31</v>
      </c>
      <c r="C803" t="s">
        <v>65</v>
      </c>
      <c r="D803" t="s">
        <v>651</v>
      </c>
      <c r="E803" t="s">
        <v>394</v>
      </c>
      <c r="F803" t="s">
        <v>387</v>
      </c>
      <c r="G803" t="s">
        <v>395</v>
      </c>
      <c r="H803" t="n">
        <v>39.6361531116757</v>
      </c>
      <c r="I803" t="n">
        <v>-105.025380511095</v>
      </c>
      <c r="J803" t="s">
        <v>35</v>
      </c>
      <c r="K803" t="s">
        <v>133</v>
      </c>
      <c r="L803"/>
      <c r="M803" t="n">
        <v>1988</v>
      </c>
      <c r="N803" t="n">
        <v>1988</v>
      </c>
      <c r="O803" t="s">
        <v>325</v>
      </c>
      <c r="P803" t="n">
        <v>1</v>
      </c>
      <c r="Q803" t="n">
        <v>1</v>
      </c>
      <c r="R803" t="n">
        <v>1</v>
      </c>
      <c r="S803" t="n">
        <v>1985</v>
      </c>
      <c r="T803" t="s">
        <v>652</v>
      </c>
      <c r="U803" t="s">
        <v>653</v>
      </c>
      <c r="V803" t="s">
        <v>74</v>
      </c>
      <c r="W803"/>
      <c r="X803"/>
      <c r="Y803"/>
      <c r="Z803"/>
      <c r="AA803"/>
      <c r="AB803" t="s">
        <v>654</v>
      </c>
      <c r="AC803" t="n">
        <v>186</v>
      </c>
      <c r="AD803"/>
      <c r="AE803"/>
      <c r="AF803"/>
      <c r="AG803"/>
    </row>
    <row r="804">
      <c r="A804" t="s">
        <v>655</v>
      </c>
      <c r="B804" t="s">
        <v>31</v>
      </c>
      <c r="C804" t="s">
        <v>65</v>
      </c>
      <c r="D804" t="s">
        <v>656</v>
      </c>
      <c r="E804" t="s">
        <v>394</v>
      </c>
      <c r="F804" t="s">
        <v>387</v>
      </c>
      <c r="G804" t="s">
        <v>395</v>
      </c>
      <c r="H804" t="n">
        <v>39.6487542244898</v>
      </c>
      <c r="I804" t="n">
        <v>-105.027981938775</v>
      </c>
      <c r="J804" t="s">
        <v>35</v>
      </c>
      <c r="K804" t="s">
        <v>120</v>
      </c>
      <c r="L804"/>
      <c r="M804" t="n">
        <v>1988</v>
      </c>
      <c r="N804" t="n">
        <v>1988</v>
      </c>
      <c r="O804" t="s">
        <v>325</v>
      </c>
      <c r="P804" t="n">
        <v>1</v>
      </c>
      <c r="Q804" t="n">
        <v>1</v>
      </c>
      <c r="R804" t="n">
        <v>1</v>
      </c>
      <c r="S804" t="n">
        <v>1984</v>
      </c>
      <c r="T804" t="s">
        <v>657</v>
      </c>
      <c r="U804" t="s">
        <v>658</v>
      </c>
      <c r="V804" t="s">
        <v>74</v>
      </c>
      <c r="W804"/>
      <c r="X804"/>
      <c r="Y804"/>
      <c r="Z804"/>
      <c r="AA804"/>
      <c r="AB804" t="s">
        <v>659</v>
      </c>
      <c r="AC804" t="n">
        <v>235</v>
      </c>
      <c r="AD804" t="s">
        <v>660</v>
      </c>
      <c r="AE804" t="n">
        <v>223</v>
      </c>
      <c r="AF804" t="s">
        <v>661</v>
      </c>
      <c r="AG804" t="n">
        <v>180</v>
      </c>
    </row>
    <row r="805">
      <c r="A805" t="s">
        <v>662</v>
      </c>
      <c r="B805" t="s">
        <v>31</v>
      </c>
      <c r="C805" t="s">
        <v>65</v>
      </c>
      <c r="D805" t="s">
        <v>663</v>
      </c>
      <c r="E805" t="s">
        <v>394</v>
      </c>
      <c r="F805" t="s">
        <v>387</v>
      </c>
      <c r="G805" t="s">
        <v>395</v>
      </c>
      <c r="H805" t="n">
        <v>39.6575493130181</v>
      </c>
      <c r="I805" t="n">
        <v>-104.959460224336</v>
      </c>
      <c r="J805" t="s">
        <v>35</v>
      </c>
      <c r="K805" t="s">
        <v>133</v>
      </c>
      <c r="L805"/>
      <c r="M805" t="n">
        <v>1988</v>
      </c>
      <c r="N805" t="n">
        <v>1988</v>
      </c>
      <c r="O805" t="s">
        <v>325</v>
      </c>
      <c r="P805" t="n">
        <v>1</v>
      </c>
      <c r="Q805" t="n">
        <v>1</v>
      </c>
      <c r="R805" t="n">
        <v>1</v>
      </c>
      <c r="S805" t="n">
        <v>1983</v>
      </c>
      <c r="T805" t="s">
        <v>664</v>
      </c>
      <c r="U805" t="s">
        <v>665</v>
      </c>
      <c r="V805" t="s">
        <v>74</v>
      </c>
      <c r="W805"/>
      <c r="X805"/>
      <c r="Y805"/>
      <c r="Z805"/>
      <c r="AA805"/>
      <c r="AB805"/>
      <c r="AC805"/>
      <c r="AD805"/>
      <c r="AE805"/>
      <c r="AF805"/>
      <c r="AG805"/>
    </row>
    <row r="806">
      <c r="A806" t="s">
        <v>666</v>
      </c>
      <c r="B806" t="s">
        <v>31</v>
      </c>
      <c r="C806" t="s">
        <v>65</v>
      </c>
      <c r="D806" t="s">
        <v>667</v>
      </c>
      <c r="E806" t="s">
        <v>668</v>
      </c>
      <c r="F806" t="s">
        <v>387</v>
      </c>
      <c r="G806" t="s">
        <v>669</v>
      </c>
      <c r="H806" t="n">
        <v>39.614981</v>
      </c>
      <c r="I806" t="n">
        <v>-104.904078</v>
      </c>
      <c r="J806" t="s">
        <v>35</v>
      </c>
      <c r="K806" t="s">
        <v>120</v>
      </c>
      <c r="L806"/>
      <c r="M806" t="n">
        <v>1988</v>
      </c>
      <c r="N806" t="n">
        <v>1990</v>
      </c>
      <c r="O806" t="s">
        <v>325</v>
      </c>
      <c r="P806" t="n">
        <v>2</v>
      </c>
      <c r="Q806" t="n">
        <v>2</v>
      </c>
      <c r="R806" t="n">
        <v>1</v>
      </c>
      <c r="S806" t="n">
        <v>1964</v>
      </c>
      <c r="T806" t="s">
        <v>670</v>
      </c>
      <c r="U806" t="s">
        <v>671</v>
      </c>
      <c r="V806" t="s">
        <v>74</v>
      </c>
      <c r="W806"/>
      <c r="X806"/>
      <c r="Y806"/>
      <c r="Z806"/>
      <c r="AA806"/>
      <c r="AB806"/>
      <c r="AC806"/>
      <c r="AD806"/>
      <c r="AE806"/>
      <c r="AF806"/>
      <c r="AG806"/>
    </row>
    <row r="807">
      <c r="A807" t="s">
        <v>672</v>
      </c>
      <c r="B807" t="s">
        <v>31</v>
      </c>
      <c r="C807" t="s">
        <v>65</v>
      </c>
      <c r="D807" t="s">
        <v>673</v>
      </c>
      <c r="E807" t="s">
        <v>394</v>
      </c>
      <c r="F807" t="s">
        <v>387</v>
      </c>
      <c r="G807" t="s">
        <v>553</v>
      </c>
      <c r="H807" t="n">
        <v>39.5889904490543</v>
      </c>
      <c r="I807" t="n">
        <v>-104.857274875321</v>
      </c>
      <c r="J807" t="s">
        <v>35</v>
      </c>
      <c r="K807" t="s">
        <v>70</v>
      </c>
      <c r="L807"/>
      <c r="M807" t="n">
        <v>1988</v>
      </c>
      <c r="N807" t="n">
        <v>1990</v>
      </c>
      <c r="O807" t="s">
        <v>310</v>
      </c>
      <c r="P807" t="n">
        <v>2</v>
      </c>
      <c r="Q807" t="n">
        <v>1</v>
      </c>
      <c r="R807" t="n">
        <v>1</v>
      </c>
      <c r="S807" t="n">
        <v>1985</v>
      </c>
      <c r="T807" t="s">
        <v>674</v>
      </c>
      <c r="U807" t="s">
        <v>675</v>
      </c>
      <c r="V807" t="s">
        <v>74</v>
      </c>
      <c r="W807"/>
      <c r="X807"/>
      <c r="Y807"/>
      <c r="Z807"/>
      <c r="AA807"/>
      <c r="AB807"/>
      <c r="AC807"/>
      <c r="AD807"/>
      <c r="AE807"/>
      <c r="AF807"/>
      <c r="AG807"/>
    </row>
    <row r="808">
      <c r="A808" t="s">
        <v>676</v>
      </c>
      <c r="B808" t="s">
        <v>31</v>
      </c>
      <c r="C808" t="s">
        <v>65</v>
      </c>
      <c r="D808" t="s">
        <v>677</v>
      </c>
      <c r="E808" t="s">
        <v>95</v>
      </c>
      <c r="F808" t="s">
        <v>387</v>
      </c>
      <c r="G808" t="s">
        <v>678</v>
      </c>
      <c r="H808" t="n">
        <v>39.6602897142857</v>
      </c>
      <c r="I808" t="n">
        <v>-104.865274387755</v>
      </c>
      <c r="J808" t="s">
        <v>35</v>
      </c>
      <c r="K808" t="s">
        <v>120</v>
      </c>
      <c r="L808"/>
      <c r="M808" t="n">
        <v>1990</v>
      </c>
      <c r="N808" t="n">
        <v>1992</v>
      </c>
      <c r="O808" t="s">
        <v>357</v>
      </c>
      <c r="P808" t="n">
        <v>2</v>
      </c>
      <c r="Q808" t="n">
        <v>1</v>
      </c>
      <c r="R808" t="n">
        <v>1</v>
      </c>
      <c r="S808" t="n">
        <v>1984</v>
      </c>
      <c r="T808" t="s">
        <v>679</v>
      </c>
      <c r="U808" t="s">
        <v>680</v>
      </c>
      <c r="V808" t="s">
        <v>74</v>
      </c>
      <c r="W808"/>
      <c r="X808"/>
      <c r="Y808"/>
      <c r="Z808"/>
      <c r="AA808"/>
      <c r="AB808"/>
      <c r="AC808"/>
      <c r="AD808"/>
      <c r="AE808"/>
      <c r="AF808" t="s">
        <v>681</v>
      </c>
      <c r="AG808" t="n">
        <v>158</v>
      </c>
    </row>
    <row r="809">
      <c r="A809" t="s">
        <v>682</v>
      </c>
      <c r="B809" t="s">
        <v>31</v>
      </c>
      <c r="C809" t="s">
        <v>65</v>
      </c>
      <c r="D809" t="s">
        <v>683</v>
      </c>
      <c r="E809" t="s">
        <v>668</v>
      </c>
      <c r="F809" t="s">
        <v>387</v>
      </c>
      <c r="G809" t="s">
        <v>669</v>
      </c>
      <c r="H809" t="n">
        <v>39.6128745977409</v>
      </c>
      <c r="I809" t="n">
        <v>-104.897486964734</v>
      </c>
      <c r="J809" t="s">
        <v>35</v>
      </c>
      <c r="K809" t="s">
        <v>120</v>
      </c>
      <c r="L809"/>
      <c r="M809" t="n">
        <v>1990</v>
      </c>
      <c r="N809" t="n">
        <v>1992</v>
      </c>
      <c r="O809" t="s">
        <v>357</v>
      </c>
      <c r="P809" t="n">
        <v>2</v>
      </c>
      <c r="Q809" t="n">
        <v>2</v>
      </c>
      <c r="R809" t="n">
        <v>1</v>
      </c>
      <c r="S809" t="n">
        <v>1964</v>
      </c>
      <c r="T809" t="s">
        <v>684</v>
      </c>
      <c r="U809" t="s">
        <v>685</v>
      </c>
      <c r="V809" t="s">
        <v>74</v>
      </c>
      <c r="W809"/>
      <c r="X809"/>
      <c r="Y809"/>
      <c r="Z809"/>
      <c r="AA809"/>
      <c r="AB809"/>
      <c r="AC809"/>
      <c r="AD809"/>
      <c r="AE809"/>
      <c r="AF809" t="s">
        <v>686</v>
      </c>
      <c r="AG809" t="n">
        <v>171</v>
      </c>
    </row>
    <row r="810">
      <c r="A810" t="s">
        <v>687</v>
      </c>
      <c r="B810" t="s">
        <v>31</v>
      </c>
      <c r="C810" t="s">
        <v>65</v>
      </c>
      <c r="D810" t="s">
        <v>688</v>
      </c>
      <c r="E810" t="s">
        <v>668</v>
      </c>
      <c r="F810" t="s">
        <v>387</v>
      </c>
      <c r="G810" t="s">
        <v>669</v>
      </c>
      <c r="H810" t="n">
        <v>39.6010984661017</v>
      </c>
      <c r="I810" t="n">
        <v>-104.857018825878</v>
      </c>
      <c r="J810" t="s">
        <v>35</v>
      </c>
      <c r="K810" t="s">
        <v>81</v>
      </c>
      <c r="L810"/>
      <c r="M810" t="n">
        <v>1990</v>
      </c>
      <c r="N810" t="n">
        <v>1992</v>
      </c>
      <c r="O810" t="s">
        <v>357</v>
      </c>
      <c r="P810" t="n">
        <v>2</v>
      </c>
      <c r="Q810" t="n">
        <v>2</v>
      </c>
      <c r="R810" t="n">
        <v>2</v>
      </c>
      <c r="S810" t="n">
        <v>1979</v>
      </c>
      <c r="T810" t="s">
        <v>689</v>
      </c>
      <c r="U810" t="s">
        <v>690</v>
      </c>
      <c r="V810" t="s">
        <v>74</v>
      </c>
      <c r="W810"/>
      <c r="X810"/>
      <c r="Y810"/>
      <c r="Z810"/>
      <c r="AA810"/>
      <c r="AB810"/>
      <c r="AC810"/>
      <c r="AD810"/>
      <c r="AE810"/>
      <c r="AF810"/>
      <c r="AG810"/>
    </row>
    <row r="811">
      <c r="A811" t="s">
        <v>691</v>
      </c>
      <c r="B811" t="s">
        <v>31</v>
      </c>
      <c r="C811" t="s">
        <v>65</v>
      </c>
      <c r="D811" t="s">
        <v>692</v>
      </c>
      <c r="E811" t="s">
        <v>668</v>
      </c>
      <c r="F811" t="s">
        <v>387</v>
      </c>
      <c r="G811" t="s">
        <v>669</v>
      </c>
      <c r="H811" t="n">
        <v>39.6014715126904</v>
      </c>
      <c r="I811" t="n">
        <v>-104.842136203046</v>
      </c>
      <c r="J811" t="s">
        <v>35</v>
      </c>
      <c r="K811" t="s">
        <v>120</v>
      </c>
      <c r="L811"/>
      <c r="M811" t="n">
        <v>1990</v>
      </c>
      <c r="N811" t="n">
        <v>1990</v>
      </c>
      <c r="O811" t="s">
        <v>351</v>
      </c>
      <c r="P811" t="n">
        <v>1</v>
      </c>
      <c r="Q811" t="n">
        <v>1</v>
      </c>
      <c r="R811" t="n">
        <v>1</v>
      </c>
      <c r="S811" t="n">
        <v>1986</v>
      </c>
      <c r="T811" t="s">
        <v>693</v>
      </c>
      <c r="U811" t="s">
        <v>694</v>
      </c>
      <c r="V811" t="s">
        <v>74</v>
      </c>
      <c r="W811"/>
      <c r="X811"/>
      <c r="Y811"/>
      <c r="Z811"/>
      <c r="AA811"/>
      <c r="AB811"/>
      <c r="AC811"/>
      <c r="AD811"/>
      <c r="AE811"/>
      <c r="AF811" t="s">
        <v>695</v>
      </c>
      <c r="AG811" t="n">
        <v>85</v>
      </c>
    </row>
    <row r="812">
      <c r="A812" t="s">
        <v>696</v>
      </c>
      <c r="B812" t="s">
        <v>31</v>
      </c>
      <c r="C812" t="s">
        <v>65</v>
      </c>
      <c r="D812" t="s">
        <v>697</v>
      </c>
      <c r="E812" t="s">
        <v>698</v>
      </c>
      <c r="F812" t="s">
        <v>699</v>
      </c>
      <c r="G812" t="s">
        <v>700</v>
      </c>
      <c r="H812" t="n">
        <v>37.2555802902449</v>
      </c>
      <c r="I812" t="n">
        <v>-107.079459207949</v>
      </c>
      <c r="J812" t="s">
        <v>35</v>
      </c>
      <c r="K812" t="s">
        <v>70</v>
      </c>
      <c r="L812"/>
      <c r="M812" t="n">
        <v>1988</v>
      </c>
      <c r="N812" t="n">
        <v>1990</v>
      </c>
      <c r="O812" t="s">
        <v>310</v>
      </c>
      <c r="P812" t="n">
        <v>2</v>
      </c>
      <c r="Q812" t="n">
        <v>1</v>
      </c>
      <c r="R812" t="n">
        <v>1</v>
      </c>
      <c r="S812" t="n">
        <v>1976</v>
      </c>
      <c r="T812" t="s">
        <v>701</v>
      </c>
      <c r="U812" t="s">
        <v>702</v>
      </c>
      <c r="V812" t="s">
        <v>74</v>
      </c>
      <c r="W812"/>
      <c r="X812"/>
      <c r="Y812"/>
      <c r="Z812"/>
      <c r="AA812"/>
      <c r="AB812"/>
      <c r="AC812"/>
      <c r="AD812"/>
      <c r="AE812"/>
      <c r="AF812" t="s">
        <v>703</v>
      </c>
      <c r="AG812" t="n">
        <v>219</v>
      </c>
    </row>
    <row r="813">
      <c r="A813" t="s">
        <v>704</v>
      </c>
      <c r="B813" t="s">
        <v>31</v>
      </c>
      <c r="C813" t="s">
        <v>65</v>
      </c>
      <c r="D813" t="s">
        <v>705</v>
      </c>
      <c r="E813" t="s">
        <v>706</v>
      </c>
      <c r="F813" t="s">
        <v>707</v>
      </c>
      <c r="G813" t="s">
        <v>708</v>
      </c>
      <c r="H813" t="n">
        <v>37.409309</v>
      </c>
      <c r="I813" t="n">
        <v>-102.619235</v>
      </c>
      <c r="J813" t="s">
        <v>35</v>
      </c>
      <c r="K813" t="s">
        <v>120</v>
      </c>
      <c r="L813"/>
      <c r="M813" t="n">
        <v>1970</v>
      </c>
      <c r="N813" t="n">
        <v>1974</v>
      </c>
      <c r="O813" t="s">
        <v>210</v>
      </c>
      <c r="P813" t="n">
        <v>2</v>
      </c>
      <c r="Q813" t="n">
        <v>2</v>
      </c>
      <c r="R813" t="n">
        <v>1</v>
      </c>
      <c r="S813" t="n">
        <v>1963</v>
      </c>
      <c r="T813" t="s">
        <v>709</v>
      </c>
      <c r="U813" t="s">
        <v>710</v>
      </c>
      <c r="V813" t="s">
        <v>74</v>
      </c>
      <c r="W813"/>
      <c r="X813"/>
      <c r="Y813"/>
      <c r="Z813"/>
      <c r="AA813"/>
      <c r="AB813"/>
      <c r="AC813"/>
      <c r="AD813"/>
      <c r="AE813"/>
      <c r="AF813"/>
      <c r="AG813"/>
    </row>
    <row r="814">
      <c r="A814" t="s">
        <v>711</v>
      </c>
      <c r="B814" t="s">
        <v>31</v>
      </c>
      <c r="C814" t="s">
        <v>65</v>
      </c>
      <c r="D814" t="s">
        <v>712</v>
      </c>
      <c r="E814" t="s">
        <v>713</v>
      </c>
      <c r="F814" t="s">
        <v>714</v>
      </c>
      <c r="G814" t="s">
        <v>715</v>
      </c>
      <c r="H814" t="n">
        <v>38.0644907959184</v>
      </c>
      <c r="I814" t="n">
        <v>-103.231923979592</v>
      </c>
      <c r="J814" t="s">
        <v>35</v>
      </c>
      <c r="K814" t="s">
        <v>89</v>
      </c>
      <c r="L814"/>
      <c r="M814" t="n">
        <v>1966</v>
      </c>
      <c r="N814" t="n">
        <v>1970</v>
      </c>
      <c r="O814" t="s">
        <v>716</v>
      </c>
      <c r="P814" t="n">
        <v>4</v>
      </c>
      <c r="Q814" t="n">
        <v>1</v>
      </c>
      <c r="R814" t="n">
        <v>1</v>
      </c>
      <c r="S814" t="n">
        <v>1947</v>
      </c>
      <c r="T814" t="s">
        <v>717</v>
      </c>
      <c r="U814" t="s">
        <v>718</v>
      </c>
      <c r="V814" t="s">
        <v>74</v>
      </c>
      <c r="W814"/>
      <c r="X814"/>
      <c r="Y814"/>
      <c r="Z814"/>
      <c r="AA814"/>
      <c r="AB814" t="s">
        <v>719</v>
      </c>
      <c r="AC814" t="n">
        <v>139</v>
      </c>
      <c r="AD814"/>
      <c r="AE814"/>
      <c r="AF814" t="s">
        <v>720</v>
      </c>
      <c r="AG814" t="n">
        <v>66</v>
      </c>
    </row>
    <row r="815">
      <c r="A815" t="s">
        <v>4160</v>
      </c>
      <c r="B815" t="s">
        <v>31</v>
      </c>
      <c r="C815" t="s">
        <v>24</v>
      </c>
      <c r="D815" t="s">
        <v>4161</v>
      </c>
      <c r="E815" t="s">
        <v>713</v>
      </c>
      <c r="F815" t="s">
        <v>714</v>
      </c>
      <c r="G815" t="s">
        <v>715</v>
      </c>
      <c r="H815" t="n">
        <v>38.0713171836735</v>
      </c>
      <c r="I815" t="n">
        <v>-103.21988222449</v>
      </c>
      <c r="J815" t="s">
        <v>4109</v>
      </c>
      <c r="K815" t="s">
        <v>89</v>
      </c>
      <c r="L815"/>
      <c r="M815" t="n">
        <v>1966</v>
      </c>
      <c r="N815" t="n">
        <v>1968</v>
      </c>
      <c r="O815" t="s">
        <v>106</v>
      </c>
      <c r="P815" t="n">
        <v>3</v>
      </c>
      <c r="Q815" t="n">
        <v>1</v>
      </c>
      <c r="R815" t="n">
        <v>1</v>
      </c>
      <c r="S815" t="n">
        <v>1927</v>
      </c>
      <c r="T815" t="s">
        <v>4162</v>
      </c>
      <c r="U815" t="s">
        <v>4163</v>
      </c>
      <c r="V815" t="s">
        <v>74</v>
      </c>
      <c r="W815"/>
      <c r="X815"/>
      <c r="Y815"/>
      <c r="Z815"/>
      <c r="AA815"/>
      <c r="AB815"/>
      <c r="AC815"/>
      <c r="AD815"/>
      <c r="AE815"/>
      <c r="AF815"/>
      <c r="AG815"/>
    </row>
    <row r="816">
      <c r="A816" t="s">
        <v>4164</v>
      </c>
      <c r="B816" t="s">
        <v>31</v>
      </c>
      <c r="C816" t="s">
        <v>24</v>
      </c>
      <c r="D816" t="s">
        <v>4165</v>
      </c>
      <c r="E816" t="s">
        <v>738</v>
      </c>
      <c r="F816" t="s">
        <v>724</v>
      </c>
      <c r="G816"/>
      <c r="H816" t="n">
        <v>40.1601989573356</v>
      </c>
      <c r="I816" t="n">
        <v>-105.105378821509</v>
      </c>
      <c r="J816" t="s">
        <v>4109</v>
      </c>
      <c r="K816" t="s">
        <v>70</v>
      </c>
      <c r="L816"/>
      <c r="M816" t="n">
        <v>1965</v>
      </c>
      <c r="N816" t="n">
        <v>1965</v>
      </c>
      <c r="O816" t="s">
        <v>1275</v>
      </c>
      <c r="P816" t="n">
        <v>1</v>
      </c>
      <c r="Q816" t="n">
        <v>1</v>
      </c>
      <c r="R816" t="n">
        <v>1</v>
      </c>
      <c r="S816"/>
      <c r="T816" t="s">
        <v>4166</v>
      </c>
      <c r="U816" t="s">
        <v>4167</v>
      </c>
      <c r="V816" t="s">
        <v>74</v>
      </c>
      <c r="W816"/>
      <c r="X816"/>
      <c r="Y816"/>
      <c r="Z816"/>
      <c r="AA816"/>
      <c r="AB816" t="s">
        <v>751</v>
      </c>
      <c r="AC816" t="n">
        <v>153</v>
      </c>
      <c r="AD816"/>
      <c r="AE816"/>
      <c r="AF816" t="s">
        <v>4168</v>
      </c>
      <c r="AG816" t="n">
        <v>71</v>
      </c>
    </row>
    <row r="817">
      <c r="A817" t="s">
        <v>4169</v>
      </c>
      <c r="B817" t="s">
        <v>31</v>
      </c>
      <c r="C817" t="s">
        <v>24</v>
      </c>
      <c r="D817" t="s">
        <v>4170</v>
      </c>
      <c r="E817" t="s">
        <v>723</v>
      </c>
      <c r="F817" t="s">
        <v>724</v>
      </c>
      <c r="G817" t="s">
        <v>4171</v>
      </c>
      <c r="H817" t="n">
        <v>40.0209287095761</v>
      </c>
      <c r="I817" t="n">
        <v>-105.281005938775</v>
      </c>
      <c r="J817" t="s">
        <v>35</v>
      </c>
      <c r="K817" t="s">
        <v>89</v>
      </c>
      <c r="L817"/>
      <c r="M817" t="n">
        <v>1966</v>
      </c>
      <c r="N817" t="n">
        <v>1990</v>
      </c>
      <c r="O817" t="s">
        <v>4172</v>
      </c>
      <c r="P817" t="n">
        <v>9</v>
      </c>
      <c r="Q817" t="n">
        <v>6</v>
      </c>
      <c r="R817" t="n">
        <v>1</v>
      </c>
      <c r="S817" t="n">
        <v>1945</v>
      </c>
      <c r="T817" t="s">
        <v>4173</v>
      </c>
      <c r="U817" t="s">
        <v>4174</v>
      </c>
      <c r="V817" t="s">
        <v>4175</v>
      </c>
      <c r="W817"/>
      <c r="X817"/>
      <c r="Y817"/>
      <c r="Z817"/>
      <c r="AA817"/>
      <c r="AB817"/>
      <c r="AC817"/>
      <c r="AD817"/>
      <c r="AE817"/>
      <c r="AF817"/>
      <c r="AG817"/>
    </row>
    <row r="818">
      <c r="A818" t="s">
        <v>721</v>
      </c>
      <c r="B818" t="s">
        <v>31</v>
      </c>
      <c r="C818" t="s">
        <v>65</v>
      </c>
      <c r="D818" t="s">
        <v>722</v>
      </c>
      <c r="E818" t="s">
        <v>723</v>
      </c>
      <c r="F818" t="s">
        <v>724</v>
      </c>
      <c r="G818" t="s">
        <v>725</v>
      </c>
      <c r="H818" t="n">
        <v>40.0242871836735</v>
      </c>
      <c r="I818" t="n">
        <v>-105.259404061225</v>
      </c>
      <c r="J818" t="s">
        <v>35</v>
      </c>
      <c r="K818" t="s">
        <v>70</v>
      </c>
      <c r="L818"/>
      <c r="M818" t="n">
        <v>1966</v>
      </c>
      <c r="N818" t="n">
        <v>1970</v>
      </c>
      <c r="O818" t="s">
        <v>726</v>
      </c>
      <c r="P818" t="n">
        <v>4</v>
      </c>
      <c r="Q818" t="n">
        <v>2</v>
      </c>
      <c r="R818" t="n">
        <v>1</v>
      </c>
      <c r="S818" t="n">
        <v>1951</v>
      </c>
      <c r="T818" t="s">
        <v>727</v>
      </c>
      <c r="U818" t="s">
        <v>728</v>
      </c>
      <c r="V818" t="s">
        <v>74</v>
      </c>
      <c r="W818"/>
      <c r="X818"/>
      <c r="Y818"/>
      <c r="Z818"/>
      <c r="AA818"/>
      <c r="AB818"/>
      <c r="AC818"/>
      <c r="AD818"/>
      <c r="AE818"/>
      <c r="AF818" t="s">
        <v>729</v>
      </c>
      <c r="AG818" t="n">
        <v>83</v>
      </c>
    </row>
    <row r="819">
      <c r="A819" t="s">
        <v>730</v>
      </c>
      <c r="B819" t="s">
        <v>31</v>
      </c>
      <c r="C819" t="s">
        <v>65</v>
      </c>
      <c r="D819" t="s">
        <v>731</v>
      </c>
      <c r="E819" t="s">
        <v>723</v>
      </c>
      <c r="F819" t="s">
        <v>724</v>
      </c>
      <c r="G819" t="s">
        <v>725</v>
      </c>
      <c r="H819" t="n">
        <v>40.0156103090379</v>
      </c>
      <c r="I819" t="n">
        <v>-105.28583406414</v>
      </c>
      <c r="J819" t="s">
        <v>35</v>
      </c>
      <c r="K819" t="s">
        <v>120</v>
      </c>
      <c r="L819" t="s">
        <v>202</v>
      </c>
      <c r="M819" t="n">
        <v>1966</v>
      </c>
      <c r="N819" t="n">
        <v>1992</v>
      </c>
      <c r="O819" t="s">
        <v>732</v>
      </c>
      <c r="P819" t="n">
        <v>11</v>
      </c>
      <c r="Q819" t="n">
        <v>7</v>
      </c>
      <c r="R819" t="n">
        <v>5</v>
      </c>
      <c r="S819" t="n">
        <v>1892</v>
      </c>
      <c r="T819" t="s">
        <v>733</v>
      </c>
      <c r="U819" t="s">
        <v>734</v>
      </c>
      <c r="V819" t="s">
        <v>74</v>
      </c>
      <c r="W819"/>
      <c r="X819"/>
      <c r="Y819"/>
      <c r="Z819"/>
      <c r="AA819"/>
      <c r="AB819"/>
      <c r="AC819"/>
      <c r="AD819"/>
      <c r="AE819"/>
      <c r="AF819" t="s">
        <v>735</v>
      </c>
      <c r="AG819" t="n">
        <v>116</v>
      </c>
    </row>
    <row r="820">
      <c r="A820" t="s">
        <v>4176</v>
      </c>
      <c r="B820" t="s">
        <v>31</v>
      </c>
      <c r="C820" t="s">
        <v>24</v>
      </c>
      <c r="D820" t="s">
        <v>4177</v>
      </c>
      <c r="E820" t="s">
        <v>883</v>
      </c>
      <c r="F820" t="s">
        <v>724</v>
      </c>
      <c r="G820" t="s">
        <v>884</v>
      </c>
      <c r="H820" t="n">
        <v>40.0002347813853</v>
      </c>
      <c r="I820" t="n">
        <v>-105.100166811688</v>
      </c>
      <c r="J820" t="s">
        <v>4109</v>
      </c>
      <c r="K820" t="s">
        <v>120</v>
      </c>
      <c r="L820"/>
      <c r="M820" t="n">
        <v>1966</v>
      </c>
      <c r="N820" t="n">
        <v>1988</v>
      </c>
      <c r="O820" t="s">
        <v>264</v>
      </c>
      <c r="P820" t="n">
        <v>7</v>
      </c>
      <c r="Q820" t="n">
        <v>3</v>
      </c>
      <c r="R820" t="n">
        <v>1</v>
      </c>
      <c r="S820" t="n">
        <v>1957</v>
      </c>
      <c r="T820" t="s">
        <v>4178</v>
      </c>
      <c r="U820" t="s">
        <v>4179</v>
      </c>
      <c r="V820" t="s">
        <v>74</v>
      </c>
      <c r="W820"/>
      <c r="X820"/>
      <c r="Y820"/>
      <c r="Z820"/>
      <c r="AA820"/>
      <c r="AB820"/>
      <c r="AC820"/>
      <c r="AD820"/>
      <c r="AE820"/>
      <c r="AF820"/>
      <c r="AG820"/>
    </row>
    <row r="821">
      <c r="A821" t="s">
        <v>736</v>
      </c>
      <c r="B821" t="s">
        <v>31</v>
      </c>
      <c r="C821" t="s">
        <v>65</v>
      </c>
      <c r="D821" t="s">
        <v>737</v>
      </c>
      <c r="E821" t="s">
        <v>738</v>
      </c>
      <c r="F821" t="s">
        <v>724</v>
      </c>
      <c r="G821" t="s">
        <v>739</v>
      </c>
      <c r="H821" t="n">
        <v>40.1837755869228</v>
      </c>
      <c r="I821" t="n">
        <v>-105.102350280948</v>
      </c>
      <c r="J821" t="s">
        <v>35</v>
      </c>
      <c r="K821" t="s">
        <v>220</v>
      </c>
      <c r="L821"/>
      <c r="M821" t="n">
        <v>1966</v>
      </c>
      <c r="N821" t="n">
        <v>1990</v>
      </c>
      <c r="O821" t="s">
        <v>740</v>
      </c>
      <c r="P821" t="n">
        <v>4</v>
      </c>
      <c r="Q821" t="n">
        <v>2</v>
      </c>
      <c r="R821" t="n">
        <v>2</v>
      </c>
      <c r="S821" t="n">
        <v>1948</v>
      </c>
      <c r="T821" t="s">
        <v>741</v>
      </c>
      <c r="U821" t="s">
        <v>742</v>
      </c>
      <c r="V821" t="s">
        <v>74</v>
      </c>
      <c r="W821"/>
      <c r="X821"/>
      <c r="Y821"/>
      <c r="Z821"/>
      <c r="AA821"/>
      <c r="AB821" t="s">
        <v>743</v>
      </c>
      <c r="AC821" t="n">
        <v>106</v>
      </c>
      <c r="AD821"/>
      <c r="AE821"/>
      <c r="AF821" t="s">
        <v>744</v>
      </c>
      <c r="AG821" t="n">
        <v>72</v>
      </c>
    </row>
    <row r="822">
      <c r="A822" t="s">
        <v>745</v>
      </c>
      <c r="B822" t="s">
        <v>31</v>
      </c>
      <c r="C822" t="s">
        <v>65</v>
      </c>
      <c r="D822" t="s">
        <v>746</v>
      </c>
      <c r="E822" t="s">
        <v>738</v>
      </c>
      <c r="F822" t="s">
        <v>724</v>
      </c>
      <c r="G822" t="s">
        <v>739</v>
      </c>
      <c r="H822" t="n">
        <v>40.1611282059693</v>
      </c>
      <c r="I822" t="n">
        <v>-105.106011626527</v>
      </c>
      <c r="J822" t="s">
        <v>35</v>
      </c>
      <c r="K822" t="s">
        <v>133</v>
      </c>
      <c r="L822" t="s">
        <v>747</v>
      </c>
      <c r="M822" t="n">
        <v>1966</v>
      </c>
      <c r="N822" t="n">
        <v>1980</v>
      </c>
      <c r="O822" t="s">
        <v>748</v>
      </c>
      <c r="P822" t="n">
        <v>7</v>
      </c>
      <c r="Q822" t="n">
        <v>6</v>
      </c>
      <c r="R822" t="n">
        <v>3</v>
      </c>
      <c r="S822" t="n">
        <v>1954</v>
      </c>
      <c r="T822" t="s">
        <v>749</v>
      </c>
      <c r="U822" t="s">
        <v>750</v>
      </c>
      <c r="V822" t="s">
        <v>74</v>
      </c>
      <c r="W822"/>
      <c r="X822"/>
      <c r="Y822"/>
      <c r="Z822"/>
      <c r="AA822"/>
      <c r="AB822" t="s">
        <v>751</v>
      </c>
      <c r="AC822" t="n">
        <v>231</v>
      </c>
      <c r="AD822"/>
      <c r="AE822"/>
      <c r="AF822" t="s">
        <v>752</v>
      </c>
      <c r="AG822" t="n">
        <v>75</v>
      </c>
    </row>
    <row r="823">
      <c r="A823" t="s">
        <v>753</v>
      </c>
      <c r="B823" t="s">
        <v>31</v>
      </c>
      <c r="C823" t="s">
        <v>65</v>
      </c>
      <c r="D823" t="s">
        <v>754</v>
      </c>
      <c r="E823" t="s">
        <v>723</v>
      </c>
      <c r="F823" t="s">
        <v>724</v>
      </c>
      <c r="G823" t="s">
        <v>725</v>
      </c>
      <c r="H823" t="n">
        <v>40.020028087274</v>
      </c>
      <c r="I823" t="n">
        <v>-105.260665793798</v>
      </c>
      <c r="J823" t="s">
        <v>35</v>
      </c>
      <c r="K823" t="s">
        <v>89</v>
      </c>
      <c r="L823"/>
      <c r="M823" t="n">
        <v>1967</v>
      </c>
      <c r="N823" t="n">
        <v>1983</v>
      </c>
      <c r="O823" t="s">
        <v>755</v>
      </c>
      <c r="P823" t="n">
        <v>7</v>
      </c>
      <c r="Q823" t="n">
        <v>2</v>
      </c>
      <c r="R823" t="n">
        <v>1</v>
      </c>
      <c r="S823" t="n">
        <v>1920</v>
      </c>
      <c r="T823" t="s">
        <v>756</v>
      </c>
      <c r="U823" t="s">
        <v>757</v>
      </c>
      <c r="V823" t="s">
        <v>74</v>
      </c>
      <c r="W823"/>
      <c r="X823"/>
      <c r="Y823"/>
      <c r="Z823"/>
      <c r="AA823"/>
      <c r="AB823"/>
      <c r="AC823"/>
      <c r="AD823"/>
      <c r="AE823"/>
      <c r="AF823" t="s">
        <v>758</v>
      </c>
      <c r="AG823" t="n">
        <v>195</v>
      </c>
    </row>
    <row r="824">
      <c r="A824" t="s">
        <v>759</v>
      </c>
      <c r="B824" t="s">
        <v>31</v>
      </c>
      <c r="C824" t="s">
        <v>65</v>
      </c>
      <c r="D824" t="s">
        <v>760</v>
      </c>
      <c r="E824" t="s">
        <v>723</v>
      </c>
      <c r="F824" t="s">
        <v>724</v>
      </c>
      <c r="G824" t="s">
        <v>725</v>
      </c>
      <c r="H824" t="n">
        <v>40.0278121864407</v>
      </c>
      <c r="I824" t="n">
        <v>-105.25367161017</v>
      </c>
      <c r="J824" t="s">
        <v>35</v>
      </c>
      <c r="K824" t="s">
        <v>70</v>
      </c>
      <c r="L824"/>
      <c r="M824" t="n">
        <v>1967</v>
      </c>
      <c r="N824" t="n">
        <v>1968</v>
      </c>
      <c r="O824" t="s">
        <v>106</v>
      </c>
      <c r="P824" t="n">
        <v>2</v>
      </c>
      <c r="Q824" t="n">
        <v>1</v>
      </c>
      <c r="R824" t="n">
        <v>1</v>
      </c>
      <c r="S824" t="n">
        <v>1944</v>
      </c>
      <c r="T824" t="s">
        <v>761</v>
      </c>
      <c r="U824" t="s">
        <v>762</v>
      </c>
      <c r="V824" t="s">
        <v>74</v>
      </c>
      <c r="W824"/>
      <c r="X824"/>
      <c r="Y824"/>
      <c r="Z824"/>
      <c r="AA824"/>
      <c r="AB824"/>
      <c r="AC824"/>
      <c r="AD824" t="s">
        <v>763</v>
      </c>
      <c r="AE824" t="n">
        <v>219</v>
      </c>
      <c r="AF824" t="s">
        <v>764</v>
      </c>
      <c r="AG824" t="n">
        <v>63</v>
      </c>
    </row>
    <row r="825">
      <c r="A825" t="s">
        <v>765</v>
      </c>
      <c r="B825" t="s">
        <v>31</v>
      </c>
      <c r="C825" t="s">
        <v>65</v>
      </c>
      <c r="D825" t="s">
        <v>766</v>
      </c>
      <c r="E825" t="s">
        <v>723</v>
      </c>
      <c r="F825" t="s">
        <v>724</v>
      </c>
      <c r="G825" t="s">
        <v>725</v>
      </c>
      <c r="H825" t="n">
        <v>40.0799140843577</v>
      </c>
      <c r="I825" t="n">
        <v>-105.281991994068</v>
      </c>
      <c r="J825" t="s">
        <v>35</v>
      </c>
      <c r="K825" t="s">
        <v>767</v>
      </c>
      <c r="L825" t="s">
        <v>554</v>
      </c>
      <c r="M825" t="n">
        <v>1967</v>
      </c>
      <c r="N825" t="n">
        <v>1988</v>
      </c>
      <c r="O825" t="s">
        <v>768</v>
      </c>
      <c r="P825" t="n">
        <v>8</v>
      </c>
      <c r="Q825" t="n">
        <v>9</v>
      </c>
      <c r="R825" t="n">
        <v>6</v>
      </c>
      <c r="S825" t="n">
        <v>1960</v>
      </c>
      <c r="T825" t="s">
        <v>769</v>
      </c>
      <c r="U825" t="s">
        <v>770</v>
      </c>
      <c r="V825" t="s">
        <v>74</v>
      </c>
      <c r="W825"/>
      <c r="X825"/>
      <c r="Y825"/>
      <c r="Z825"/>
      <c r="AA825"/>
      <c r="AB825"/>
      <c r="AC825"/>
      <c r="AD825"/>
      <c r="AE825"/>
      <c r="AF825"/>
      <c r="AG825"/>
    </row>
    <row r="826">
      <c r="A826" t="s">
        <v>771</v>
      </c>
      <c r="B826" t="s">
        <v>31</v>
      </c>
      <c r="C826" t="s">
        <v>65</v>
      </c>
      <c r="D826" t="s">
        <v>772</v>
      </c>
      <c r="E826" t="s">
        <v>723</v>
      </c>
      <c r="F826" t="s">
        <v>724</v>
      </c>
      <c r="G826" t="s">
        <v>725</v>
      </c>
      <c r="H826" t="n">
        <v>40.0194377142857</v>
      </c>
      <c r="I826" t="n">
        <v>-105.269448142857</v>
      </c>
      <c r="J826" t="s">
        <v>35</v>
      </c>
      <c r="K826" t="s">
        <v>120</v>
      </c>
      <c r="L826"/>
      <c r="M826" t="n">
        <v>1967</v>
      </c>
      <c r="N826" t="n">
        <v>1968</v>
      </c>
      <c r="O826" t="s">
        <v>106</v>
      </c>
      <c r="P826" t="n">
        <v>2</v>
      </c>
      <c r="Q826" t="n">
        <v>1</v>
      </c>
      <c r="R826" t="n">
        <v>1</v>
      </c>
      <c r="S826" t="n">
        <v>1945</v>
      </c>
      <c r="T826" t="s">
        <v>773</v>
      </c>
      <c r="U826" t="s">
        <v>774</v>
      </c>
      <c r="V826" t="s">
        <v>74</v>
      </c>
      <c r="W826"/>
      <c r="X826"/>
      <c r="Y826"/>
      <c r="Z826"/>
      <c r="AA826"/>
      <c r="AB826"/>
      <c r="AC826"/>
      <c r="AD826"/>
      <c r="AE826"/>
      <c r="AF826" t="s">
        <v>775</v>
      </c>
      <c r="AG826" t="n">
        <v>98</v>
      </c>
    </row>
    <row r="827">
      <c r="A827" t="s">
        <v>776</v>
      </c>
      <c r="B827" t="s">
        <v>31</v>
      </c>
      <c r="C827" t="s">
        <v>65</v>
      </c>
      <c r="D827" t="s">
        <v>777</v>
      </c>
      <c r="E827" t="s">
        <v>723</v>
      </c>
      <c r="F827" t="s">
        <v>724</v>
      </c>
      <c r="G827" t="s">
        <v>725</v>
      </c>
      <c r="H827" t="n">
        <v>40.0380875918367</v>
      </c>
      <c r="I827" t="n">
        <v>-105.247556306122</v>
      </c>
      <c r="J827" t="s">
        <v>35</v>
      </c>
      <c r="K827" t="s">
        <v>111</v>
      </c>
      <c r="L827"/>
      <c r="M827" t="n">
        <v>1967</v>
      </c>
      <c r="N827" t="n">
        <v>1992</v>
      </c>
      <c r="O827" t="s">
        <v>778</v>
      </c>
      <c r="P827" t="n">
        <v>11</v>
      </c>
      <c r="Q827" t="n">
        <v>6</v>
      </c>
      <c r="R827" t="n">
        <v>5</v>
      </c>
      <c r="S827" t="n">
        <v>1957</v>
      </c>
      <c r="T827" t="s">
        <v>779</v>
      </c>
      <c r="U827" t="s">
        <v>780</v>
      </c>
      <c r="V827" t="s">
        <v>74</v>
      </c>
      <c r="W827"/>
      <c r="X827"/>
      <c r="Y827"/>
      <c r="Z827"/>
      <c r="AA827"/>
      <c r="AB827"/>
      <c r="AC827"/>
      <c r="AD827"/>
      <c r="AE827"/>
      <c r="AF827"/>
      <c r="AG827"/>
    </row>
    <row r="828">
      <c r="A828" t="s">
        <v>781</v>
      </c>
      <c r="B828" t="s">
        <v>31</v>
      </c>
      <c r="C828" t="s">
        <v>65</v>
      </c>
      <c r="D828" t="s">
        <v>782</v>
      </c>
      <c r="E828" t="s">
        <v>723</v>
      </c>
      <c r="F828" t="s">
        <v>724</v>
      </c>
      <c r="G828" t="s">
        <v>725</v>
      </c>
      <c r="H828" t="n">
        <v>40.0799109081633</v>
      </c>
      <c r="I828" t="n">
        <v>-105.280893571429</v>
      </c>
      <c r="J828" t="s">
        <v>35</v>
      </c>
      <c r="K828" t="s">
        <v>783</v>
      </c>
      <c r="L828"/>
      <c r="M828" t="n">
        <v>1968</v>
      </c>
      <c r="N828" t="n">
        <v>1988</v>
      </c>
      <c r="O828" t="s">
        <v>784</v>
      </c>
      <c r="P828" t="n">
        <v>7</v>
      </c>
      <c r="Q828" t="n">
        <v>5</v>
      </c>
      <c r="R828" t="n">
        <v>4</v>
      </c>
      <c r="S828" t="n">
        <v>1966</v>
      </c>
      <c r="T828" t="s">
        <v>785</v>
      </c>
      <c r="U828" t="s">
        <v>786</v>
      </c>
      <c r="V828" t="s">
        <v>74</v>
      </c>
      <c r="W828"/>
      <c r="X828"/>
      <c r="Y828"/>
      <c r="Z828"/>
      <c r="AA828"/>
      <c r="AB828"/>
      <c r="AC828"/>
      <c r="AD828"/>
      <c r="AE828"/>
      <c r="AF828"/>
      <c r="AG828"/>
    </row>
    <row r="829">
      <c r="A829" t="s">
        <v>787</v>
      </c>
      <c r="B829" t="s">
        <v>31</v>
      </c>
      <c r="C829" t="s">
        <v>65</v>
      </c>
      <c r="D829" t="s">
        <v>788</v>
      </c>
      <c r="E829" t="s">
        <v>723</v>
      </c>
      <c r="F829" t="s">
        <v>724</v>
      </c>
      <c r="G829" t="s">
        <v>725</v>
      </c>
      <c r="H829" t="n">
        <v>40.018267755102</v>
      </c>
      <c r="I829" t="n">
        <v>-105.278229346939</v>
      </c>
      <c r="J829" t="s">
        <v>35</v>
      </c>
      <c r="K829" t="s">
        <v>141</v>
      </c>
      <c r="L829"/>
      <c r="M829" t="n">
        <v>1968</v>
      </c>
      <c r="N829" t="n">
        <v>1983</v>
      </c>
      <c r="O829" t="s">
        <v>789</v>
      </c>
      <c r="P829" t="n">
        <v>2</v>
      </c>
      <c r="Q829" t="n">
        <v>2</v>
      </c>
      <c r="R829" t="n">
        <v>2</v>
      </c>
      <c r="S829" t="n">
        <v>1982</v>
      </c>
      <c r="T829" t="s">
        <v>790</v>
      </c>
      <c r="U829" t="s">
        <v>791</v>
      </c>
      <c r="V829" t="s">
        <v>74</v>
      </c>
      <c r="W829"/>
      <c r="X829"/>
      <c r="Y829"/>
      <c r="Z829"/>
      <c r="AA829"/>
      <c r="AB829" t="s">
        <v>792</v>
      </c>
      <c r="AC829" t="n">
        <v>199</v>
      </c>
      <c r="AD829"/>
      <c r="AE829"/>
      <c r="AF829" t="s">
        <v>793</v>
      </c>
      <c r="AG829" t="n">
        <v>101</v>
      </c>
    </row>
    <row r="830">
      <c r="A830" t="s">
        <v>794</v>
      </c>
      <c r="B830" t="s">
        <v>31</v>
      </c>
      <c r="C830" t="s">
        <v>65</v>
      </c>
      <c r="D830" t="s">
        <v>795</v>
      </c>
      <c r="E830" t="s">
        <v>738</v>
      </c>
      <c r="F830" t="s">
        <v>724</v>
      </c>
      <c r="G830" t="s">
        <v>739</v>
      </c>
      <c r="H830" t="n">
        <v>40.17319856674</v>
      </c>
      <c r="I830" t="n">
        <v>-105.112988324108</v>
      </c>
      <c r="J830" t="s">
        <v>35</v>
      </c>
      <c r="K830" t="s">
        <v>796</v>
      </c>
      <c r="L830"/>
      <c r="M830" t="n">
        <v>1968</v>
      </c>
      <c r="N830" t="n">
        <v>1992</v>
      </c>
      <c r="O830" t="s">
        <v>797</v>
      </c>
      <c r="P830" t="n">
        <v>7</v>
      </c>
      <c r="Q830" t="n">
        <v>4</v>
      </c>
      <c r="R830" t="n">
        <v>4</v>
      </c>
      <c r="S830" t="n">
        <v>1967</v>
      </c>
      <c r="T830" t="s">
        <v>798</v>
      </c>
      <c r="U830" t="s">
        <v>799</v>
      </c>
      <c r="V830" t="s">
        <v>74</v>
      </c>
      <c r="W830"/>
      <c r="X830"/>
      <c r="Y830"/>
      <c r="Z830"/>
      <c r="AA830"/>
      <c r="AB830"/>
      <c r="AC830"/>
      <c r="AD830"/>
      <c r="AE830"/>
      <c r="AF830"/>
      <c r="AG830"/>
    </row>
    <row r="831">
      <c r="A831" t="s">
        <v>800</v>
      </c>
      <c r="B831" t="s">
        <v>31</v>
      </c>
      <c r="C831" t="s">
        <v>65</v>
      </c>
      <c r="D831" t="s">
        <v>801</v>
      </c>
      <c r="E831" t="s">
        <v>723</v>
      </c>
      <c r="F831" t="s">
        <v>724</v>
      </c>
      <c r="G831" t="s">
        <v>725</v>
      </c>
      <c r="H831" t="n">
        <v>40.0291703689782</v>
      </c>
      <c r="I831" t="n">
        <v>-105.260360221808</v>
      </c>
      <c r="J831" t="s">
        <v>35</v>
      </c>
      <c r="K831" t="s">
        <v>70</v>
      </c>
      <c r="L831"/>
      <c r="M831" t="n">
        <v>1970</v>
      </c>
      <c r="N831" t="n">
        <v>1970</v>
      </c>
      <c r="O831" t="s">
        <v>726</v>
      </c>
      <c r="P831" t="n">
        <v>1</v>
      </c>
      <c r="Q831" t="n">
        <v>1</v>
      </c>
      <c r="R831" t="n">
        <v>1</v>
      </c>
      <c r="S831" t="n">
        <v>1959</v>
      </c>
      <c r="T831" t="s">
        <v>802</v>
      </c>
      <c r="U831" t="s">
        <v>803</v>
      </c>
      <c r="V831" t="s">
        <v>74</v>
      </c>
      <c r="W831"/>
      <c r="X831"/>
      <c r="Y831"/>
      <c r="Z831"/>
      <c r="AA831"/>
      <c r="AB831"/>
      <c r="AC831"/>
      <c r="AD831"/>
      <c r="AE831"/>
      <c r="AF831" t="s">
        <v>804</v>
      </c>
      <c r="AG831" t="n">
        <v>155</v>
      </c>
    </row>
    <row r="832">
      <c r="A832" t="s">
        <v>805</v>
      </c>
      <c r="B832" t="s">
        <v>31</v>
      </c>
      <c r="C832" t="s">
        <v>65</v>
      </c>
      <c r="D832" t="s">
        <v>806</v>
      </c>
      <c r="E832" t="s">
        <v>723</v>
      </c>
      <c r="F832" t="s">
        <v>724</v>
      </c>
      <c r="G832" t="s">
        <v>725</v>
      </c>
      <c r="H832" t="n">
        <v>40.080424484153</v>
      </c>
      <c r="I832" t="n">
        <v>-105.281164626229</v>
      </c>
      <c r="J832" t="s">
        <v>35</v>
      </c>
      <c r="K832" t="s">
        <v>81</v>
      </c>
      <c r="L832"/>
      <c r="M832" t="n">
        <v>1970</v>
      </c>
      <c r="N832" t="n">
        <v>1990</v>
      </c>
      <c r="O832" t="s">
        <v>807</v>
      </c>
      <c r="P832" t="n">
        <v>7</v>
      </c>
      <c r="Q832" t="n">
        <v>7</v>
      </c>
      <c r="R832" t="n">
        <v>4</v>
      </c>
      <c r="S832" t="n">
        <v>1953</v>
      </c>
      <c r="T832" t="s">
        <v>808</v>
      </c>
      <c r="U832" t="s">
        <v>809</v>
      </c>
      <c r="V832" t="s">
        <v>74</v>
      </c>
      <c r="W832"/>
      <c r="X832"/>
      <c r="Y832"/>
      <c r="Z832"/>
      <c r="AA832"/>
      <c r="AB832"/>
      <c r="AC832"/>
      <c r="AD832"/>
      <c r="AE832"/>
      <c r="AF832"/>
      <c r="AG832"/>
    </row>
    <row r="833">
      <c r="A833" t="s">
        <v>810</v>
      </c>
      <c r="B833" t="s">
        <v>31</v>
      </c>
      <c r="C833" t="s">
        <v>65</v>
      </c>
      <c r="D833" t="s">
        <v>811</v>
      </c>
      <c r="E833" t="s">
        <v>723</v>
      </c>
      <c r="F833" t="s">
        <v>724</v>
      </c>
      <c r="G833" t="s">
        <v>725</v>
      </c>
      <c r="H833" t="n">
        <v>40.0180012843837</v>
      </c>
      <c r="I833" t="n">
        <v>-105.255907</v>
      </c>
      <c r="J833" t="s">
        <v>35</v>
      </c>
      <c r="K833" t="s">
        <v>120</v>
      </c>
      <c r="L833"/>
      <c r="M833" t="n">
        <v>1970</v>
      </c>
      <c r="N833" t="n">
        <v>1970</v>
      </c>
      <c r="O833" t="s">
        <v>726</v>
      </c>
      <c r="P833" t="n">
        <v>1</v>
      </c>
      <c r="Q833" t="n">
        <v>1</v>
      </c>
      <c r="R833" t="n">
        <v>1</v>
      </c>
      <c r="S833" t="n">
        <v>1969</v>
      </c>
      <c r="T833" t="s">
        <v>812</v>
      </c>
      <c r="U833" t="s">
        <v>813</v>
      </c>
      <c r="V833" t="s">
        <v>74</v>
      </c>
      <c r="W833"/>
      <c r="X833"/>
      <c r="Y833"/>
      <c r="Z833"/>
      <c r="AA833"/>
      <c r="AB833"/>
      <c r="AC833"/>
      <c r="AD833"/>
      <c r="AE833"/>
      <c r="AF833" t="s">
        <v>814</v>
      </c>
      <c r="AG833" t="n">
        <v>129</v>
      </c>
    </row>
    <row r="834">
      <c r="A834" t="s">
        <v>815</v>
      </c>
      <c r="B834" t="s">
        <v>31</v>
      </c>
      <c r="C834" t="s">
        <v>65</v>
      </c>
      <c r="D834" t="s">
        <v>816</v>
      </c>
      <c r="E834" t="s">
        <v>723</v>
      </c>
      <c r="F834" t="s">
        <v>724</v>
      </c>
      <c r="G834" t="s">
        <v>817</v>
      </c>
      <c r="H834" t="n">
        <v>40.0264745120118</v>
      </c>
      <c r="I834" t="n">
        <v>-105.244202280741</v>
      </c>
      <c r="J834" t="s">
        <v>35</v>
      </c>
      <c r="K834" t="s">
        <v>315</v>
      </c>
      <c r="L834"/>
      <c r="M834" t="n">
        <v>1973</v>
      </c>
      <c r="N834" t="n">
        <v>1992</v>
      </c>
      <c r="O834" t="s">
        <v>121</v>
      </c>
      <c r="P834" t="n">
        <v>7</v>
      </c>
      <c r="Q834" t="n">
        <v>10</v>
      </c>
      <c r="R834" t="n">
        <v>1</v>
      </c>
      <c r="S834" t="n">
        <v>1965</v>
      </c>
      <c r="T834" t="s">
        <v>818</v>
      </c>
      <c r="U834" t="s">
        <v>819</v>
      </c>
      <c r="V834" t="s">
        <v>74</v>
      </c>
      <c r="W834"/>
      <c r="X834"/>
      <c r="Y834"/>
      <c r="Z834"/>
      <c r="AA834"/>
      <c r="AB834"/>
      <c r="AC834"/>
      <c r="AD834" t="s">
        <v>820</v>
      </c>
      <c r="AE834" t="n">
        <v>184</v>
      </c>
      <c r="AF834" t="s">
        <v>821</v>
      </c>
      <c r="AG834" t="n">
        <v>53</v>
      </c>
    </row>
    <row r="835">
      <c r="A835" t="s">
        <v>822</v>
      </c>
      <c r="B835" t="s">
        <v>31</v>
      </c>
      <c r="C835" t="s">
        <v>65</v>
      </c>
      <c r="D835" t="s">
        <v>823</v>
      </c>
      <c r="E835" t="s">
        <v>723</v>
      </c>
      <c r="F835" t="s">
        <v>724</v>
      </c>
      <c r="G835" t="s">
        <v>725</v>
      </c>
      <c r="H835" t="n">
        <v>40.0254870918274</v>
      </c>
      <c r="I835" t="n">
        <v>-105.240301381506</v>
      </c>
      <c r="J835" t="s">
        <v>35</v>
      </c>
      <c r="K835" t="s">
        <v>89</v>
      </c>
      <c r="L835"/>
      <c r="M835" t="n">
        <v>1973</v>
      </c>
      <c r="N835" t="n">
        <v>1988</v>
      </c>
      <c r="O835" t="s">
        <v>283</v>
      </c>
      <c r="P835" t="n">
        <v>3</v>
      </c>
      <c r="Q835" t="n">
        <v>3</v>
      </c>
      <c r="R835" t="n">
        <v>2</v>
      </c>
      <c r="S835" t="n">
        <v>1967</v>
      </c>
      <c r="T835" t="s">
        <v>824</v>
      </c>
      <c r="U835" t="s">
        <v>825</v>
      </c>
      <c r="V835" t="s">
        <v>74</v>
      </c>
      <c r="W835"/>
      <c r="X835"/>
      <c r="Y835"/>
      <c r="Z835"/>
      <c r="AA835"/>
      <c r="AB835"/>
      <c r="AC835"/>
      <c r="AD835" t="s">
        <v>820</v>
      </c>
      <c r="AE835" t="n">
        <v>135</v>
      </c>
      <c r="AF835" t="s">
        <v>826</v>
      </c>
      <c r="AG835" t="n">
        <v>184</v>
      </c>
    </row>
    <row r="836">
      <c r="A836" t="s">
        <v>827</v>
      </c>
      <c r="B836" t="s">
        <v>31</v>
      </c>
      <c r="C836" t="s">
        <v>65</v>
      </c>
      <c r="D836" t="s">
        <v>828</v>
      </c>
      <c r="E836" t="s">
        <v>723</v>
      </c>
      <c r="F836" t="s">
        <v>724</v>
      </c>
      <c r="G836" t="s">
        <v>817</v>
      </c>
      <c r="H836" t="n">
        <v>40.0276221670124</v>
      </c>
      <c r="I836" t="n">
        <v>-105.244199940985</v>
      </c>
      <c r="J836" t="s">
        <v>35</v>
      </c>
      <c r="K836" t="s">
        <v>120</v>
      </c>
      <c r="L836"/>
      <c r="M836" t="n">
        <v>1973</v>
      </c>
      <c r="N836" t="n">
        <v>1990</v>
      </c>
      <c r="O836" t="s">
        <v>829</v>
      </c>
      <c r="P836" t="n">
        <v>6</v>
      </c>
      <c r="Q836" t="n">
        <v>8</v>
      </c>
      <c r="R836" t="n">
        <v>2</v>
      </c>
      <c r="S836" t="n">
        <v>1971</v>
      </c>
      <c r="T836" t="s">
        <v>830</v>
      </c>
      <c r="U836" t="s">
        <v>831</v>
      </c>
      <c r="V836" t="s">
        <v>74</v>
      </c>
      <c r="W836"/>
      <c r="X836"/>
      <c r="Y836"/>
      <c r="Z836"/>
      <c r="AA836"/>
      <c r="AB836"/>
      <c r="AC836"/>
      <c r="AD836"/>
      <c r="AE836"/>
      <c r="AF836" t="s">
        <v>832</v>
      </c>
      <c r="AG836" t="n">
        <v>56</v>
      </c>
    </row>
    <row r="837">
      <c r="A837" t="s">
        <v>833</v>
      </c>
      <c r="B837" t="s">
        <v>31</v>
      </c>
      <c r="C837" t="s">
        <v>65</v>
      </c>
      <c r="D837" t="s">
        <v>834</v>
      </c>
      <c r="E837" t="s">
        <v>723</v>
      </c>
      <c r="F837" t="s">
        <v>724</v>
      </c>
      <c r="G837" t="s">
        <v>725</v>
      </c>
      <c r="H837" t="n">
        <v>40.0146114366335</v>
      </c>
      <c r="I837" t="n">
        <v>-105.226170918828</v>
      </c>
      <c r="J837" t="s">
        <v>35</v>
      </c>
      <c r="K837" t="s">
        <v>141</v>
      </c>
      <c r="L837"/>
      <c r="M837" t="n">
        <v>1973</v>
      </c>
      <c r="N837" t="n">
        <v>1988</v>
      </c>
      <c r="O837" t="s">
        <v>461</v>
      </c>
      <c r="P837" t="n">
        <v>4</v>
      </c>
      <c r="Q837" t="n">
        <v>5</v>
      </c>
      <c r="R837" t="n">
        <v>2</v>
      </c>
      <c r="S837" t="n">
        <v>1951</v>
      </c>
      <c r="T837" t="s">
        <v>835</v>
      </c>
      <c r="U837" t="s">
        <v>836</v>
      </c>
      <c r="V837" t="s">
        <v>74</v>
      </c>
      <c r="W837"/>
      <c r="X837"/>
      <c r="Y837"/>
      <c r="Z837"/>
      <c r="AA837"/>
      <c r="AB837" t="s">
        <v>837</v>
      </c>
      <c r="AC837" t="n">
        <v>213</v>
      </c>
      <c r="AD837"/>
      <c r="AE837"/>
      <c r="AF837" t="s">
        <v>838</v>
      </c>
      <c r="AG837" t="n">
        <v>65</v>
      </c>
    </row>
    <row r="838">
      <c r="A838" t="s">
        <v>839</v>
      </c>
      <c r="B838" t="s">
        <v>31</v>
      </c>
      <c r="C838" t="s">
        <v>65</v>
      </c>
      <c r="D838" t="s">
        <v>840</v>
      </c>
      <c r="E838" t="s">
        <v>723</v>
      </c>
      <c r="F838" t="s">
        <v>724</v>
      </c>
      <c r="G838" t="s">
        <v>725</v>
      </c>
      <c r="H838" t="n">
        <v>40.0159010569367</v>
      </c>
      <c r="I838" t="n">
        <v>-105.284417479551</v>
      </c>
      <c r="J838" t="s">
        <v>35</v>
      </c>
      <c r="K838" t="s">
        <v>315</v>
      </c>
      <c r="L838"/>
      <c r="M838" t="n">
        <v>1973</v>
      </c>
      <c r="N838" t="n">
        <v>1973</v>
      </c>
      <c r="O838" t="s">
        <v>121</v>
      </c>
      <c r="P838" t="n">
        <v>1</v>
      </c>
      <c r="Q838" t="n">
        <v>2</v>
      </c>
      <c r="R838" t="n">
        <v>1</v>
      </c>
      <c r="S838" t="n">
        <v>1970</v>
      </c>
      <c r="T838" t="s">
        <v>841</v>
      </c>
      <c r="U838" t="s">
        <v>842</v>
      </c>
      <c r="V838" t="s">
        <v>74</v>
      </c>
      <c r="W838"/>
      <c r="X838"/>
      <c r="Y838"/>
      <c r="Z838"/>
      <c r="AA838"/>
      <c r="AB838"/>
      <c r="AC838"/>
      <c r="AD838"/>
      <c r="AE838"/>
      <c r="AF838" t="s">
        <v>843</v>
      </c>
      <c r="AG838" t="n">
        <v>104</v>
      </c>
    </row>
    <row r="839">
      <c r="A839" t="s">
        <v>844</v>
      </c>
      <c r="B839" t="s">
        <v>31</v>
      </c>
      <c r="C839" t="s">
        <v>65</v>
      </c>
      <c r="D839" t="s">
        <v>845</v>
      </c>
      <c r="E839" t="s">
        <v>723</v>
      </c>
      <c r="F839" t="s">
        <v>724</v>
      </c>
      <c r="G839" t="s">
        <v>725</v>
      </c>
      <c r="H839" t="n">
        <v>40.035934</v>
      </c>
      <c r="I839" t="n">
        <v>-105.291621</v>
      </c>
      <c r="J839" t="s">
        <v>35</v>
      </c>
      <c r="K839" t="s">
        <v>133</v>
      </c>
      <c r="L839"/>
      <c r="M839" t="n">
        <v>1973</v>
      </c>
      <c r="N839" t="n">
        <v>1974</v>
      </c>
      <c r="O839" t="s">
        <v>121</v>
      </c>
      <c r="P839" t="n">
        <v>2</v>
      </c>
      <c r="Q839" t="n">
        <v>2</v>
      </c>
      <c r="R839" t="n">
        <v>1</v>
      </c>
      <c r="S839" t="n">
        <v>1968</v>
      </c>
      <c r="T839" t="s">
        <v>846</v>
      </c>
      <c r="U839" t="s">
        <v>847</v>
      </c>
      <c r="V839" t="s">
        <v>74</v>
      </c>
      <c r="W839"/>
      <c r="X839"/>
      <c r="Y839"/>
      <c r="Z839"/>
      <c r="AA839"/>
      <c r="AB839"/>
      <c r="AC839"/>
      <c r="AD839"/>
      <c r="AE839"/>
      <c r="AF839"/>
      <c r="AG839"/>
    </row>
    <row r="840">
      <c r="A840" t="s">
        <v>848</v>
      </c>
      <c r="B840" t="s">
        <v>31</v>
      </c>
      <c r="C840" t="s">
        <v>65</v>
      </c>
      <c r="D840" t="s">
        <v>849</v>
      </c>
      <c r="E840" t="s">
        <v>723</v>
      </c>
      <c r="F840" t="s">
        <v>724</v>
      </c>
      <c r="G840" t="s">
        <v>817</v>
      </c>
      <c r="H840" t="n">
        <v>40.0273227415725</v>
      </c>
      <c r="I840" t="n">
        <v>-105.25734803042</v>
      </c>
      <c r="J840" t="s">
        <v>35</v>
      </c>
      <c r="K840" t="s">
        <v>527</v>
      </c>
      <c r="L840" t="s">
        <v>850</v>
      </c>
      <c r="M840" t="n">
        <v>1973</v>
      </c>
      <c r="N840" t="n">
        <v>1992</v>
      </c>
      <c r="O840" t="s">
        <v>416</v>
      </c>
      <c r="P840" t="n">
        <v>7</v>
      </c>
      <c r="Q840" t="n">
        <v>4</v>
      </c>
      <c r="R840" t="n">
        <v>3</v>
      </c>
      <c r="S840" t="n">
        <v>1969</v>
      </c>
      <c r="T840" t="s">
        <v>851</v>
      </c>
      <c r="U840" t="s">
        <v>852</v>
      </c>
      <c r="V840" t="s">
        <v>74</v>
      </c>
      <c r="W840"/>
      <c r="X840"/>
      <c r="Y840"/>
      <c r="Z840"/>
      <c r="AA840"/>
      <c r="AB840" t="s">
        <v>853</v>
      </c>
      <c r="AC840" t="n">
        <v>212</v>
      </c>
      <c r="AD840"/>
      <c r="AE840"/>
      <c r="AF840" t="s">
        <v>854</v>
      </c>
      <c r="AG840" t="n">
        <v>69</v>
      </c>
    </row>
    <row r="841">
      <c r="A841" t="s">
        <v>855</v>
      </c>
      <c r="B841" t="s">
        <v>31</v>
      </c>
      <c r="C841" t="s">
        <v>65</v>
      </c>
      <c r="D841" t="s">
        <v>856</v>
      </c>
      <c r="E841" t="s">
        <v>723</v>
      </c>
      <c r="F841" t="s">
        <v>724</v>
      </c>
      <c r="G841" t="s">
        <v>817</v>
      </c>
      <c r="H841" t="n">
        <v>40.0254782946509</v>
      </c>
      <c r="I841" t="n">
        <v>-105.219434470343</v>
      </c>
      <c r="J841" t="s">
        <v>35</v>
      </c>
      <c r="K841" t="s">
        <v>120</v>
      </c>
      <c r="L841"/>
      <c r="M841" t="n">
        <v>1973</v>
      </c>
      <c r="N841" t="n">
        <v>1983</v>
      </c>
      <c r="O841" t="s">
        <v>264</v>
      </c>
      <c r="P841" t="n">
        <v>3</v>
      </c>
      <c r="Q841" t="n">
        <v>3</v>
      </c>
      <c r="R841" t="n">
        <v>1</v>
      </c>
      <c r="S841" t="n">
        <v>1938</v>
      </c>
      <c r="T841" t="s">
        <v>857</v>
      </c>
      <c r="U841" t="s">
        <v>858</v>
      </c>
      <c r="V841" t="s">
        <v>74</v>
      </c>
      <c r="W841"/>
      <c r="X841"/>
      <c r="Y841"/>
      <c r="Z841"/>
      <c r="AA841"/>
      <c r="AB841"/>
      <c r="AC841"/>
      <c r="AD841" t="s">
        <v>859</v>
      </c>
      <c r="AE841" t="n">
        <v>109</v>
      </c>
      <c r="AF841" t="s">
        <v>860</v>
      </c>
      <c r="AG841" t="n">
        <v>55</v>
      </c>
    </row>
    <row r="842">
      <c r="A842" t="s">
        <v>861</v>
      </c>
      <c r="B842" t="s">
        <v>31</v>
      </c>
      <c r="C842" t="s">
        <v>65</v>
      </c>
      <c r="D842" t="s">
        <v>862</v>
      </c>
      <c r="E842" t="s">
        <v>723</v>
      </c>
      <c r="F842" t="s">
        <v>724</v>
      </c>
      <c r="G842" t="s">
        <v>863</v>
      </c>
      <c r="H842" t="n">
        <v>39.9895886755013</v>
      </c>
      <c r="I842" t="n">
        <v>-105.169896023352</v>
      </c>
      <c r="J842" t="s">
        <v>35</v>
      </c>
      <c r="K842" t="s">
        <v>133</v>
      </c>
      <c r="L842"/>
      <c r="M842" t="n">
        <v>1973</v>
      </c>
      <c r="N842" t="n">
        <v>1980</v>
      </c>
      <c r="O842" t="s">
        <v>127</v>
      </c>
      <c r="P842" t="n">
        <v>4</v>
      </c>
      <c r="Q842" t="n">
        <v>2</v>
      </c>
      <c r="R842" t="n">
        <v>1</v>
      </c>
      <c r="S842" t="n">
        <v>1965</v>
      </c>
      <c r="T842" t="s">
        <v>864</v>
      </c>
      <c r="U842" t="s">
        <v>865</v>
      </c>
      <c r="V842" t="s">
        <v>74</v>
      </c>
      <c r="W842"/>
      <c r="X842"/>
      <c r="Y842"/>
      <c r="Z842"/>
      <c r="AA842"/>
      <c r="AB842"/>
      <c r="AC842"/>
      <c r="AD842"/>
      <c r="AE842"/>
      <c r="AF842"/>
      <c r="AG842"/>
    </row>
    <row r="843">
      <c r="A843" t="s">
        <v>4180</v>
      </c>
      <c r="B843" t="s">
        <v>31</v>
      </c>
      <c r="C843" t="s">
        <v>24</v>
      </c>
      <c r="D843" t="s">
        <v>4181</v>
      </c>
      <c r="E843" t="s">
        <v>723</v>
      </c>
      <c r="F843" t="s">
        <v>724</v>
      </c>
      <c r="G843" t="s">
        <v>725</v>
      </c>
      <c r="H843" t="n">
        <v>40.023101</v>
      </c>
      <c r="I843" t="n">
        <v>-105.420591</v>
      </c>
      <c r="J843" t="s">
        <v>4109</v>
      </c>
      <c r="K843" t="s">
        <v>70</v>
      </c>
      <c r="L843"/>
      <c r="M843" t="n">
        <v>1973</v>
      </c>
      <c r="N843" t="n">
        <v>1973</v>
      </c>
      <c r="O843" t="s">
        <v>121</v>
      </c>
      <c r="P843" t="n">
        <v>1</v>
      </c>
      <c r="Q843" t="n">
        <v>1</v>
      </c>
      <c r="R843" t="n">
        <v>1</v>
      </c>
      <c r="S843" t="n">
        <v>1942</v>
      </c>
      <c r="T843" t="s">
        <v>4182</v>
      </c>
      <c r="U843" t="s">
        <v>4183</v>
      </c>
      <c r="V843" t="s">
        <v>74</v>
      </c>
      <c r="W843"/>
      <c r="X843"/>
      <c r="Y843"/>
      <c r="Z843"/>
      <c r="AA843"/>
      <c r="AB843"/>
      <c r="AC843"/>
      <c r="AD843"/>
      <c r="AE843"/>
      <c r="AF843"/>
      <c r="AG843"/>
    </row>
    <row r="844">
      <c r="A844" t="s">
        <v>866</v>
      </c>
      <c r="B844" t="s">
        <v>31</v>
      </c>
      <c r="C844" t="s">
        <v>65</v>
      </c>
      <c r="D844" t="s">
        <v>867</v>
      </c>
      <c r="E844" t="s">
        <v>723</v>
      </c>
      <c r="F844" t="s">
        <v>724</v>
      </c>
      <c r="G844" t="s">
        <v>725</v>
      </c>
      <c r="H844" t="n">
        <v>40.031682</v>
      </c>
      <c r="I844" t="n">
        <v>-105.291542204082</v>
      </c>
      <c r="J844" t="s">
        <v>35</v>
      </c>
      <c r="K844" t="s">
        <v>70</v>
      </c>
      <c r="L844"/>
      <c r="M844" t="n">
        <v>1973</v>
      </c>
      <c r="N844" t="n">
        <v>1990</v>
      </c>
      <c r="O844" t="s">
        <v>121</v>
      </c>
      <c r="P844" t="n">
        <v>2</v>
      </c>
      <c r="Q844" t="n">
        <v>2</v>
      </c>
      <c r="R844" t="n">
        <v>1</v>
      </c>
      <c r="S844" t="n">
        <v>1959</v>
      </c>
      <c r="T844" t="s">
        <v>868</v>
      </c>
      <c r="U844" t="s">
        <v>869</v>
      </c>
      <c r="V844" t="s">
        <v>74</v>
      </c>
      <c r="W844"/>
      <c r="X844"/>
      <c r="Y844"/>
      <c r="Z844"/>
      <c r="AA844"/>
      <c r="AB844"/>
      <c r="AC844"/>
      <c r="AD844"/>
      <c r="AE844"/>
      <c r="AF844" t="s">
        <v>870</v>
      </c>
      <c r="AG844" t="n">
        <v>103</v>
      </c>
    </row>
    <row r="845">
      <c r="A845" t="s">
        <v>871</v>
      </c>
      <c r="B845" t="s">
        <v>31</v>
      </c>
      <c r="C845" t="s">
        <v>65</v>
      </c>
      <c r="D845" t="s">
        <v>872</v>
      </c>
      <c r="E845" t="s">
        <v>723</v>
      </c>
      <c r="F845" t="s">
        <v>724</v>
      </c>
      <c r="G845" t="s">
        <v>725</v>
      </c>
      <c r="H845" t="n">
        <v>40.0256718339689</v>
      </c>
      <c r="I845" t="n">
        <v>-105.23810184087</v>
      </c>
      <c r="J845" t="s">
        <v>35</v>
      </c>
      <c r="K845" t="s">
        <v>315</v>
      </c>
      <c r="L845"/>
      <c r="M845" t="n">
        <v>1973</v>
      </c>
      <c r="N845" t="n">
        <v>1973</v>
      </c>
      <c r="O845" t="s">
        <v>121</v>
      </c>
      <c r="P845" t="n">
        <v>1</v>
      </c>
      <c r="Q845" t="n">
        <v>1</v>
      </c>
      <c r="R845" t="n">
        <v>1</v>
      </c>
      <c r="S845" t="n">
        <v>1962</v>
      </c>
      <c r="T845" t="s">
        <v>873</v>
      </c>
      <c r="U845" t="s">
        <v>874</v>
      </c>
      <c r="V845" t="s">
        <v>74</v>
      </c>
      <c r="W845"/>
      <c r="X845"/>
      <c r="Y845"/>
      <c r="Z845"/>
      <c r="AA845"/>
      <c r="AB845"/>
      <c r="AC845"/>
      <c r="AD845" t="s">
        <v>875</v>
      </c>
      <c r="AE845" t="n">
        <v>216</v>
      </c>
      <c r="AF845" t="s">
        <v>876</v>
      </c>
      <c r="AG845" t="n">
        <v>75</v>
      </c>
    </row>
    <row r="846">
      <c r="A846" t="s">
        <v>877</v>
      </c>
      <c r="B846" t="s">
        <v>31</v>
      </c>
      <c r="C846" t="s">
        <v>65</v>
      </c>
      <c r="D846" t="s">
        <v>878</v>
      </c>
      <c r="E846" t="s">
        <v>723</v>
      </c>
      <c r="F846" t="s">
        <v>724</v>
      </c>
      <c r="G846" t="s">
        <v>725</v>
      </c>
      <c r="H846" t="n">
        <v>40.0484364385397</v>
      </c>
      <c r="I846" t="n">
        <v>-105.264241631757</v>
      </c>
      <c r="J846" t="s">
        <v>35</v>
      </c>
      <c r="K846" t="s">
        <v>133</v>
      </c>
      <c r="L846"/>
      <c r="M846" t="n">
        <v>1973</v>
      </c>
      <c r="N846" t="n">
        <v>1980</v>
      </c>
      <c r="O846" t="s">
        <v>121</v>
      </c>
      <c r="P846" t="n">
        <v>2</v>
      </c>
      <c r="Q846" t="n">
        <v>1</v>
      </c>
      <c r="R846" t="n">
        <v>1</v>
      </c>
      <c r="S846" t="n">
        <v>1969</v>
      </c>
      <c r="T846" t="s">
        <v>879</v>
      </c>
      <c r="U846" t="s">
        <v>880</v>
      </c>
      <c r="V846" t="s">
        <v>74</v>
      </c>
      <c r="W846"/>
      <c r="X846"/>
      <c r="Y846"/>
      <c r="Z846"/>
      <c r="AA846"/>
      <c r="AB846"/>
      <c r="AC846"/>
      <c r="AD846"/>
      <c r="AE846"/>
      <c r="AF846"/>
      <c r="AG846"/>
    </row>
    <row r="847">
      <c r="A847" t="s">
        <v>881</v>
      </c>
      <c r="B847" t="s">
        <v>31</v>
      </c>
      <c r="C847" t="s">
        <v>65</v>
      </c>
      <c r="D847" t="s">
        <v>882</v>
      </c>
      <c r="E847" t="s">
        <v>883</v>
      </c>
      <c r="F847" t="s">
        <v>724</v>
      </c>
      <c r="G847" t="s">
        <v>884</v>
      </c>
      <c r="H847" t="n">
        <v>39.9957059551066</v>
      </c>
      <c r="I847" t="n">
        <v>-105.090456599327</v>
      </c>
      <c r="J847" t="s">
        <v>35</v>
      </c>
      <c r="K847" t="s">
        <v>885</v>
      </c>
      <c r="L847"/>
      <c r="M847" t="n">
        <v>1973</v>
      </c>
      <c r="N847" t="n">
        <v>1990</v>
      </c>
      <c r="O847" t="s">
        <v>886</v>
      </c>
      <c r="P847" t="n">
        <v>7</v>
      </c>
      <c r="Q847" t="n">
        <v>6</v>
      </c>
      <c r="R847" t="n">
        <v>5</v>
      </c>
      <c r="S847" t="n">
        <v>1950</v>
      </c>
      <c r="T847" t="s">
        <v>887</v>
      </c>
      <c r="U847" t="s">
        <v>888</v>
      </c>
      <c r="V847" t="s">
        <v>74</v>
      </c>
      <c r="W847"/>
      <c r="X847"/>
      <c r="Y847"/>
      <c r="Z847"/>
      <c r="AA847"/>
      <c r="AB847"/>
      <c r="AC847"/>
      <c r="AD847"/>
      <c r="AE847"/>
      <c r="AF847"/>
      <c r="AG847"/>
    </row>
    <row r="848">
      <c r="A848" t="s">
        <v>889</v>
      </c>
      <c r="B848" t="s">
        <v>31</v>
      </c>
      <c r="C848" t="s">
        <v>65</v>
      </c>
      <c r="D848" t="s">
        <v>890</v>
      </c>
      <c r="E848" t="s">
        <v>883</v>
      </c>
      <c r="F848" t="s">
        <v>724</v>
      </c>
      <c r="G848" t="s">
        <v>884</v>
      </c>
      <c r="H848" t="n">
        <v>39.9650565408424</v>
      </c>
      <c r="I848" t="n">
        <v>-105.071913893801</v>
      </c>
      <c r="J848" t="s">
        <v>35</v>
      </c>
      <c r="K848" t="s">
        <v>120</v>
      </c>
      <c r="L848"/>
      <c r="M848" t="n">
        <v>1973</v>
      </c>
      <c r="N848" t="n">
        <v>1990</v>
      </c>
      <c r="O848" t="s">
        <v>310</v>
      </c>
      <c r="P848" t="n">
        <v>7</v>
      </c>
      <c r="Q848" t="n">
        <v>6</v>
      </c>
      <c r="R848" t="n">
        <v>2</v>
      </c>
      <c r="S848" t="n">
        <v>1965</v>
      </c>
      <c r="T848" t="s">
        <v>891</v>
      </c>
      <c r="U848" t="s">
        <v>892</v>
      </c>
      <c r="V848" t="s">
        <v>74</v>
      </c>
      <c r="W848"/>
      <c r="X848"/>
      <c r="Y848"/>
      <c r="Z848"/>
      <c r="AA848"/>
      <c r="AB848"/>
      <c r="AC848"/>
      <c r="AD848"/>
      <c r="AE848"/>
      <c r="AF848" t="s">
        <v>893</v>
      </c>
      <c r="AG848" t="n">
        <v>206</v>
      </c>
    </row>
    <row r="849">
      <c r="A849" t="s">
        <v>894</v>
      </c>
      <c r="B849" t="s">
        <v>31</v>
      </c>
      <c r="C849" t="s">
        <v>65</v>
      </c>
      <c r="D849" t="s">
        <v>895</v>
      </c>
      <c r="E849" t="s">
        <v>738</v>
      </c>
      <c r="F849" t="s">
        <v>724</v>
      </c>
      <c r="G849" t="s">
        <v>739</v>
      </c>
      <c r="H849" t="n">
        <v>40.1642665102041</v>
      </c>
      <c r="I849" t="n">
        <v>-105.102515632653</v>
      </c>
      <c r="J849" t="s">
        <v>35</v>
      </c>
      <c r="K849" t="s">
        <v>70</v>
      </c>
      <c r="L849"/>
      <c r="M849" t="n">
        <v>1973</v>
      </c>
      <c r="N849" t="n">
        <v>1983</v>
      </c>
      <c r="O849" t="s">
        <v>264</v>
      </c>
      <c r="P849" t="n">
        <v>5</v>
      </c>
      <c r="Q849" t="n">
        <v>5</v>
      </c>
      <c r="R849" t="n">
        <v>1</v>
      </c>
      <c r="S849" t="n">
        <v>1970</v>
      </c>
      <c r="T849" t="s">
        <v>896</v>
      </c>
      <c r="U849" t="s">
        <v>897</v>
      </c>
      <c r="V849" t="s">
        <v>74</v>
      </c>
      <c r="W849"/>
      <c r="X849"/>
      <c r="Y849"/>
      <c r="Z849"/>
      <c r="AA849"/>
      <c r="AB849"/>
      <c r="AC849"/>
      <c r="AD849"/>
      <c r="AE849"/>
      <c r="AF849" t="s">
        <v>898</v>
      </c>
      <c r="AG849" t="n">
        <v>50</v>
      </c>
    </row>
    <row r="850">
      <c r="A850" t="s">
        <v>899</v>
      </c>
      <c r="B850" t="s">
        <v>31</v>
      </c>
      <c r="C850" t="s">
        <v>65</v>
      </c>
      <c r="D850" t="s">
        <v>900</v>
      </c>
      <c r="E850" t="s">
        <v>738</v>
      </c>
      <c r="F850" t="s">
        <v>724</v>
      </c>
      <c r="G850" t="s">
        <v>739</v>
      </c>
      <c r="H850" t="n">
        <v>40.15057865137</v>
      </c>
      <c r="I850" t="n">
        <v>-105.114993027628</v>
      </c>
      <c r="J850" t="s">
        <v>35</v>
      </c>
      <c r="K850" t="s">
        <v>901</v>
      </c>
      <c r="L850"/>
      <c r="M850" t="n">
        <v>1973</v>
      </c>
      <c r="N850" t="n">
        <v>1992</v>
      </c>
      <c r="O850" t="s">
        <v>902</v>
      </c>
      <c r="P850" t="n">
        <v>6</v>
      </c>
      <c r="Q850" t="n">
        <v>5</v>
      </c>
      <c r="R850" t="n">
        <v>5</v>
      </c>
      <c r="S850" t="n">
        <v>1970</v>
      </c>
      <c r="T850" t="s">
        <v>903</v>
      </c>
      <c r="U850" t="s">
        <v>904</v>
      </c>
      <c r="V850" t="s">
        <v>74</v>
      </c>
      <c r="W850"/>
      <c r="X850"/>
      <c r="Y850"/>
      <c r="Z850"/>
      <c r="AA850"/>
      <c r="AB850"/>
      <c r="AC850"/>
      <c r="AD850" t="s">
        <v>905</v>
      </c>
      <c r="AE850" t="n">
        <v>154</v>
      </c>
      <c r="AF850" t="s">
        <v>906</v>
      </c>
      <c r="AG850" t="n">
        <v>75</v>
      </c>
    </row>
    <row r="851">
      <c r="A851" t="s">
        <v>4184</v>
      </c>
      <c r="B851" t="s">
        <v>31</v>
      </c>
      <c r="C851" t="s">
        <v>24</v>
      </c>
      <c r="D851" t="s">
        <v>4185</v>
      </c>
      <c r="E851" t="s">
        <v>738</v>
      </c>
      <c r="F851" t="s">
        <v>724</v>
      </c>
      <c r="G851" t="s">
        <v>4186</v>
      </c>
      <c r="H851" t="n">
        <v>40.201177</v>
      </c>
      <c r="I851" t="n">
        <v>-105.130114</v>
      </c>
      <c r="J851" t="s">
        <v>4109</v>
      </c>
      <c r="K851" t="s">
        <v>141</v>
      </c>
      <c r="L851"/>
      <c r="M851" t="n">
        <v>1973</v>
      </c>
      <c r="N851" t="n">
        <v>1973</v>
      </c>
      <c r="O851" t="s">
        <v>121</v>
      </c>
      <c r="P851" t="n">
        <v>1</v>
      </c>
      <c r="Q851" t="n">
        <v>1</v>
      </c>
      <c r="R851" t="n">
        <v>1</v>
      </c>
      <c r="S851" t="n">
        <v>1963</v>
      </c>
      <c r="T851" t="s">
        <v>4187</v>
      </c>
      <c r="U851" t="s">
        <v>4188</v>
      </c>
      <c r="V851" t="s">
        <v>74</v>
      </c>
      <c r="W851"/>
      <c r="X851"/>
      <c r="Y851"/>
      <c r="Z851"/>
      <c r="AA851"/>
      <c r="AB851"/>
      <c r="AC851"/>
      <c r="AD851"/>
      <c r="AE851"/>
      <c r="AF851"/>
      <c r="AG851"/>
    </row>
    <row r="852">
      <c r="A852" t="s">
        <v>907</v>
      </c>
      <c r="B852" t="s">
        <v>31</v>
      </c>
      <c r="C852" t="s">
        <v>65</v>
      </c>
      <c r="D852" t="s">
        <v>908</v>
      </c>
      <c r="E852" t="s">
        <v>723</v>
      </c>
      <c r="F852" t="s">
        <v>724</v>
      </c>
      <c r="G852" t="s">
        <v>863</v>
      </c>
      <c r="H852" t="n">
        <v>39.9868996162522</v>
      </c>
      <c r="I852" t="n">
        <v>-105.266478446049</v>
      </c>
      <c r="J852" t="s">
        <v>35</v>
      </c>
      <c r="K852" t="s">
        <v>70</v>
      </c>
      <c r="L852"/>
      <c r="M852" t="n">
        <v>1974</v>
      </c>
      <c r="N852" t="n">
        <v>1983</v>
      </c>
      <c r="O852" t="s">
        <v>829</v>
      </c>
      <c r="P852" t="n">
        <v>4</v>
      </c>
      <c r="Q852" t="n">
        <v>1</v>
      </c>
      <c r="R852" t="n">
        <v>1</v>
      </c>
      <c r="S852" t="n">
        <v>1971</v>
      </c>
      <c r="T852" t="s">
        <v>909</v>
      </c>
      <c r="U852" t="s">
        <v>910</v>
      </c>
      <c r="V852" t="s">
        <v>74</v>
      </c>
      <c r="W852"/>
      <c r="X852"/>
      <c r="Y852"/>
      <c r="Z852"/>
      <c r="AA852"/>
      <c r="AB852"/>
      <c r="AC852"/>
      <c r="AD852"/>
      <c r="AE852"/>
      <c r="AF852"/>
      <c r="AG852"/>
    </row>
    <row r="853">
      <c r="A853" t="s">
        <v>911</v>
      </c>
      <c r="B853" t="s">
        <v>31</v>
      </c>
      <c r="C853" t="s">
        <v>65</v>
      </c>
      <c r="D853" t="s">
        <v>912</v>
      </c>
      <c r="E853" t="s">
        <v>723</v>
      </c>
      <c r="F853" t="s">
        <v>724</v>
      </c>
      <c r="G853" t="s">
        <v>817</v>
      </c>
      <c r="H853" t="n">
        <v>40.0256457356357</v>
      </c>
      <c r="I853" t="n">
        <v>-105.238634348114</v>
      </c>
      <c r="J853" t="s">
        <v>35</v>
      </c>
      <c r="K853" t="s">
        <v>89</v>
      </c>
      <c r="L853"/>
      <c r="M853" t="n">
        <v>1974</v>
      </c>
      <c r="N853" t="n">
        <v>1983</v>
      </c>
      <c r="O853" t="s">
        <v>255</v>
      </c>
      <c r="P853" t="n">
        <v>3</v>
      </c>
      <c r="Q853" t="n">
        <v>2</v>
      </c>
      <c r="R853" t="n">
        <v>1</v>
      </c>
      <c r="S853" t="n">
        <v>1970</v>
      </c>
      <c r="T853" t="s">
        <v>913</v>
      </c>
      <c r="U853" t="s">
        <v>914</v>
      </c>
      <c r="V853" t="s">
        <v>74</v>
      </c>
      <c r="W853"/>
      <c r="X853"/>
      <c r="Y853"/>
      <c r="Z853"/>
      <c r="AA853"/>
      <c r="AB853"/>
      <c r="AC853"/>
      <c r="AD853" t="s">
        <v>915</v>
      </c>
      <c r="AE853" t="n">
        <v>200</v>
      </c>
      <c r="AF853" t="s">
        <v>916</v>
      </c>
      <c r="AG853" t="n">
        <v>112</v>
      </c>
    </row>
    <row r="854">
      <c r="A854" t="s">
        <v>917</v>
      </c>
      <c r="B854" t="s">
        <v>31</v>
      </c>
      <c r="C854" t="s">
        <v>65</v>
      </c>
      <c r="D854" t="s">
        <v>918</v>
      </c>
      <c r="E854" t="s">
        <v>738</v>
      </c>
      <c r="F854" t="s">
        <v>724</v>
      </c>
      <c r="G854" t="s">
        <v>739</v>
      </c>
      <c r="H854" t="n">
        <v>40.188549</v>
      </c>
      <c r="I854" t="n">
        <v>-105.113863</v>
      </c>
      <c r="J854" t="s">
        <v>35</v>
      </c>
      <c r="K854" t="s">
        <v>120</v>
      </c>
      <c r="L854"/>
      <c r="M854" t="n">
        <v>1977</v>
      </c>
      <c r="N854" t="n">
        <v>1992</v>
      </c>
      <c r="O854" t="s">
        <v>283</v>
      </c>
      <c r="P854" t="n">
        <v>5</v>
      </c>
      <c r="Q854" t="n">
        <v>3</v>
      </c>
      <c r="R854" t="n">
        <v>2</v>
      </c>
      <c r="S854" t="n">
        <v>1966</v>
      </c>
      <c r="T854" t="s">
        <v>919</v>
      </c>
      <c r="U854" t="s">
        <v>920</v>
      </c>
      <c r="V854" t="s">
        <v>74</v>
      </c>
      <c r="W854"/>
      <c r="X854"/>
      <c r="Y854"/>
      <c r="Z854"/>
      <c r="AA854"/>
      <c r="AB854"/>
      <c r="AC854"/>
      <c r="AD854"/>
      <c r="AE854"/>
      <c r="AF854" t="s">
        <v>921</v>
      </c>
      <c r="AG854" t="n">
        <v>134</v>
      </c>
    </row>
    <row r="855">
      <c r="A855" t="s">
        <v>4189</v>
      </c>
      <c r="B855" t="s">
        <v>31</v>
      </c>
      <c r="C855" t="s">
        <v>24</v>
      </c>
      <c r="D855" t="s">
        <v>4190</v>
      </c>
      <c r="E855" t="s">
        <v>723</v>
      </c>
      <c r="F855" t="s">
        <v>724</v>
      </c>
      <c r="G855" t="s">
        <v>817</v>
      </c>
      <c r="H855" t="n">
        <v>40.0293417334678</v>
      </c>
      <c r="I855" t="n">
        <v>-105.130994885207</v>
      </c>
      <c r="J855" t="s">
        <v>4109</v>
      </c>
      <c r="K855" t="s">
        <v>315</v>
      </c>
      <c r="L855"/>
      <c r="M855" t="n">
        <v>1980</v>
      </c>
      <c r="N855" t="n">
        <v>1980</v>
      </c>
      <c r="O855" t="s">
        <v>255</v>
      </c>
      <c r="P855" t="n">
        <v>1</v>
      </c>
      <c r="Q855" t="n">
        <v>1</v>
      </c>
      <c r="R855" t="n">
        <v>1</v>
      </c>
      <c r="S855" t="n">
        <v>1965</v>
      </c>
      <c r="T855" t="s">
        <v>4191</v>
      </c>
      <c r="U855" t="s">
        <v>4192</v>
      </c>
      <c r="V855" t="s">
        <v>74</v>
      </c>
      <c r="W855"/>
      <c r="X855"/>
      <c r="Y855"/>
      <c r="Z855"/>
      <c r="AA855"/>
      <c r="AB855"/>
      <c r="AC855"/>
      <c r="AD855"/>
      <c r="AE855"/>
      <c r="AF855"/>
      <c r="AG855"/>
    </row>
    <row r="856">
      <c r="A856" t="s">
        <v>922</v>
      </c>
      <c r="B856" t="s">
        <v>31</v>
      </c>
      <c r="C856" t="s">
        <v>65</v>
      </c>
      <c r="D856" t="s">
        <v>923</v>
      </c>
      <c r="E856" t="s">
        <v>723</v>
      </c>
      <c r="F856" t="s">
        <v>724</v>
      </c>
      <c r="G856" t="s">
        <v>725</v>
      </c>
      <c r="H856" t="n">
        <v>40.0163516551506</v>
      </c>
      <c r="I856" t="n">
        <v>-105.287486982956</v>
      </c>
      <c r="J856" t="s">
        <v>35</v>
      </c>
      <c r="K856" t="s">
        <v>120</v>
      </c>
      <c r="L856"/>
      <c r="M856" t="n">
        <v>1980</v>
      </c>
      <c r="N856" t="n">
        <v>1980</v>
      </c>
      <c r="O856" t="s">
        <v>255</v>
      </c>
      <c r="P856" t="n">
        <v>1</v>
      </c>
      <c r="Q856" t="n">
        <v>1</v>
      </c>
      <c r="R856" t="n">
        <v>1</v>
      </c>
      <c r="S856" t="n">
        <v>1955</v>
      </c>
      <c r="T856" t="s">
        <v>924</v>
      </c>
      <c r="U856" t="s">
        <v>925</v>
      </c>
      <c r="V856" t="s">
        <v>74</v>
      </c>
      <c r="W856"/>
      <c r="X856"/>
      <c r="Y856"/>
      <c r="Z856"/>
      <c r="AA856"/>
      <c r="AB856"/>
      <c r="AC856"/>
      <c r="AD856"/>
      <c r="AE856"/>
      <c r="AF856" t="s">
        <v>735</v>
      </c>
      <c r="AG856" t="n">
        <v>111</v>
      </c>
    </row>
    <row r="857">
      <c r="A857" t="s">
        <v>926</v>
      </c>
      <c r="B857" t="s">
        <v>31</v>
      </c>
      <c r="C857" t="s">
        <v>65</v>
      </c>
      <c r="D857" t="s">
        <v>927</v>
      </c>
      <c r="E857" t="s">
        <v>723</v>
      </c>
      <c r="F857" t="s">
        <v>724</v>
      </c>
      <c r="G857" t="s">
        <v>817</v>
      </c>
      <c r="H857" t="n">
        <v>40.0155248100797</v>
      </c>
      <c r="I857" t="n">
        <v>-105.233851713682</v>
      </c>
      <c r="J857" t="s">
        <v>35</v>
      </c>
      <c r="K857" t="s">
        <v>141</v>
      </c>
      <c r="L857"/>
      <c r="M857" t="n">
        <v>1980</v>
      </c>
      <c r="N857" t="n">
        <v>1980</v>
      </c>
      <c r="O857" t="s">
        <v>255</v>
      </c>
      <c r="P857" t="n">
        <v>1</v>
      </c>
      <c r="Q857" t="n">
        <v>1</v>
      </c>
      <c r="R857" t="n">
        <v>1</v>
      </c>
      <c r="S857" t="n">
        <v>1974</v>
      </c>
      <c r="T857" t="s">
        <v>928</v>
      </c>
      <c r="U857" t="s">
        <v>929</v>
      </c>
      <c r="V857" t="s">
        <v>74</v>
      </c>
      <c r="W857"/>
      <c r="X857"/>
      <c r="Y857"/>
      <c r="Z857"/>
      <c r="AA857"/>
      <c r="AB857"/>
      <c r="AC857"/>
      <c r="AD857" t="s">
        <v>930</v>
      </c>
      <c r="AE857" t="n">
        <v>182</v>
      </c>
      <c r="AF857" t="s">
        <v>931</v>
      </c>
      <c r="AG857" t="n">
        <v>106</v>
      </c>
    </row>
    <row r="858">
      <c r="A858" t="s">
        <v>932</v>
      </c>
      <c r="B858" t="s">
        <v>31</v>
      </c>
      <c r="C858" t="s">
        <v>65</v>
      </c>
      <c r="D858" t="s">
        <v>933</v>
      </c>
      <c r="E858" t="s">
        <v>723</v>
      </c>
      <c r="F858" t="s">
        <v>724</v>
      </c>
      <c r="G858" t="s">
        <v>817</v>
      </c>
      <c r="H858" t="n">
        <v>40.0579959714286</v>
      </c>
      <c r="I858" t="n">
        <v>-105.17416</v>
      </c>
      <c r="J858" t="s">
        <v>35</v>
      </c>
      <c r="K858" t="s">
        <v>527</v>
      </c>
      <c r="L858"/>
      <c r="M858" t="n">
        <v>1980</v>
      </c>
      <c r="N858" t="n">
        <v>1990</v>
      </c>
      <c r="O858" t="s">
        <v>582</v>
      </c>
      <c r="P858" t="n">
        <v>3</v>
      </c>
      <c r="Q858" t="n">
        <v>2</v>
      </c>
      <c r="R858" t="n">
        <v>2</v>
      </c>
      <c r="S858" t="n">
        <v>1979</v>
      </c>
      <c r="T858" t="s">
        <v>934</v>
      </c>
      <c r="U858" t="s">
        <v>935</v>
      </c>
      <c r="V858" t="s">
        <v>74</v>
      </c>
      <c r="W858"/>
      <c r="X858"/>
      <c r="Y858"/>
      <c r="Z858"/>
      <c r="AA858"/>
      <c r="AB858"/>
      <c r="AC858"/>
      <c r="AD858"/>
      <c r="AE858"/>
      <c r="AF858"/>
      <c r="AG858"/>
    </row>
    <row r="859">
      <c r="A859" t="s">
        <v>936</v>
      </c>
      <c r="B859" t="s">
        <v>31</v>
      </c>
      <c r="C859" t="s">
        <v>65</v>
      </c>
      <c r="D859" t="s">
        <v>937</v>
      </c>
      <c r="E859" t="s">
        <v>723</v>
      </c>
      <c r="F859" t="s">
        <v>724</v>
      </c>
      <c r="G859" t="s">
        <v>863</v>
      </c>
      <c r="H859" t="n">
        <v>40.0146759774539</v>
      </c>
      <c r="I859" t="n">
        <v>-105.133528664011</v>
      </c>
      <c r="J859" t="s">
        <v>35</v>
      </c>
      <c r="K859" t="s">
        <v>120</v>
      </c>
      <c r="L859"/>
      <c r="M859" t="n">
        <v>1980</v>
      </c>
      <c r="N859" t="n">
        <v>1980</v>
      </c>
      <c r="O859" t="s">
        <v>255</v>
      </c>
      <c r="P859" t="n">
        <v>1</v>
      </c>
      <c r="Q859" t="n">
        <v>1</v>
      </c>
      <c r="R859" t="n">
        <v>1</v>
      </c>
      <c r="S859" t="n">
        <v>1951</v>
      </c>
      <c r="T859" t="s">
        <v>938</v>
      </c>
      <c r="U859" t="s">
        <v>939</v>
      </c>
      <c r="V859" t="s">
        <v>74</v>
      </c>
      <c r="W859"/>
      <c r="X859"/>
      <c r="Y859"/>
      <c r="Z859"/>
      <c r="AA859"/>
      <c r="AB859"/>
      <c r="AC859"/>
      <c r="AD859"/>
      <c r="AE859"/>
      <c r="AF859"/>
      <c r="AG859"/>
    </row>
    <row r="860">
      <c r="A860" t="s">
        <v>940</v>
      </c>
      <c r="B860" t="s">
        <v>31</v>
      </c>
      <c r="C860" t="s">
        <v>65</v>
      </c>
      <c r="D860" t="s">
        <v>941</v>
      </c>
      <c r="E860" t="s">
        <v>883</v>
      </c>
      <c r="F860" t="s">
        <v>724</v>
      </c>
      <c r="G860" t="s">
        <v>884</v>
      </c>
      <c r="H860" t="n">
        <v>39.9951026938775</v>
      </c>
      <c r="I860" t="n">
        <v>-105.090460857143</v>
      </c>
      <c r="J860" t="s">
        <v>35</v>
      </c>
      <c r="K860" t="s">
        <v>234</v>
      </c>
      <c r="L860"/>
      <c r="M860" t="n">
        <v>1980</v>
      </c>
      <c r="N860" t="n">
        <v>1980</v>
      </c>
      <c r="O860" t="s">
        <v>255</v>
      </c>
      <c r="P860" t="n">
        <v>1</v>
      </c>
      <c r="Q860" t="n">
        <v>3</v>
      </c>
      <c r="R860" t="n">
        <v>3</v>
      </c>
      <c r="S860" t="n">
        <v>1950</v>
      </c>
      <c r="T860" t="s">
        <v>942</v>
      </c>
      <c r="U860" t="s">
        <v>943</v>
      </c>
      <c r="V860" t="s">
        <v>74</v>
      </c>
      <c r="W860"/>
      <c r="X860"/>
      <c r="Y860"/>
      <c r="Z860"/>
      <c r="AA860"/>
      <c r="AB860"/>
      <c r="AC860"/>
      <c r="AD860"/>
      <c r="AE860"/>
      <c r="AF860"/>
      <c r="AG860"/>
    </row>
    <row r="861">
      <c r="A861" t="s">
        <v>944</v>
      </c>
      <c r="B861" t="s">
        <v>31</v>
      </c>
      <c r="C861" t="s">
        <v>65</v>
      </c>
      <c r="D861" t="s">
        <v>945</v>
      </c>
      <c r="E861" t="s">
        <v>883</v>
      </c>
      <c r="F861" t="s">
        <v>724</v>
      </c>
      <c r="G861" t="s">
        <v>884</v>
      </c>
      <c r="H861" t="n">
        <v>40.000233</v>
      </c>
      <c r="I861" t="n">
        <v>-105.091474</v>
      </c>
      <c r="J861" t="s">
        <v>35</v>
      </c>
      <c r="K861" t="s">
        <v>70</v>
      </c>
      <c r="L861"/>
      <c r="M861" t="n">
        <v>1980</v>
      </c>
      <c r="N861" t="n">
        <v>1983</v>
      </c>
      <c r="O861" t="s">
        <v>528</v>
      </c>
      <c r="P861" t="n">
        <v>2</v>
      </c>
      <c r="Q861" t="n">
        <v>1</v>
      </c>
      <c r="R861" t="n">
        <v>1</v>
      </c>
      <c r="S861" t="n">
        <v>1978</v>
      </c>
      <c r="T861" t="s">
        <v>946</v>
      </c>
      <c r="U861" t="s">
        <v>947</v>
      </c>
      <c r="V861" t="s">
        <v>74</v>
      </c>
      <c r="W861"/>
      <c r="X861"/>
      <c r="Y861"/>
      <c r="Z861"/>
      <c r="AA861"/>
      <c r="AB861"/>
      <c r="AC861"/>
      <c r="AD861"/>
      <c r="AE861"/>
      <c r="AF861"/>
      <c r="AG861"/>
    </row>
    <row r="862">
      <c r="A862" t="s">
        <v>948</v>
      </c>
      <c r="B862" t="s">
        <v>31</v>
      </c>
      <c r="C862" t="s">
        <v>65</v>
      </c>
      <c r="D862" t="s">
        <v>949</v>
      </c>
      <c r="E862" t="s">
        <v>883</v>
      </c>
      <c r="F862" t="s">
        <v>724</v>
      </c>
      <c r="G862" t="s">
        <v>884</v>
      </c>
      <c r="H862" t="n">
        <v>39.9634161683035</v>
      </c>
      <c r="I862" t="n">
        <v>-105.095610798145</v>
      </c>
      <c r="J862" t="s">
        <v>35</v>
      </c>
      <c r="K862" t="s">
        <v>133</v>
      </c>
      <c r="L862"/>
      <c r="M862" t="n">
        <v>1980</v>
      </c>
      <c r="N862" t="n">
        <v>1990</v>
      </c>
      <c r="O862" t="s">
        <v>540</v>
      </c>
      <c r="P862" t="n">
        <v>4</v>
      </c>
      <c r="Q862" t="n">
        <v>2</v>
      </c>
      <c r="R862" t="n">
        <v>2</v>
      </c>
      <c r="S862" t="n">
        <v>1956</v>
      </c>
      <c r="T862" t="s">
        <v>950</v>
      </c>
      <c r="U862" t="s">
        <v>951</v>
      </c>
      <c r="V862" t="s">
        <v>74</v>
      </c>
      <c r="W862"/>
      <c r="X862"/>
      <c r="Y862"/>
      <c r="Z862"/>
      <c r="AA862"/>
      <c r="AB862"/>
      <c r="AC862"/>
      <c r="AD862"/>
      <c r="AE862"/>
      <c r="AF862"/>
      <c r="AG862"/>
    </row>
    <row r="863">
      <c r="A863" t="s">
        <v>4193</v>
      </c>
      <c r="B863" t="s">
        <v>31</v>
      </c>
      <c r="C863" t="s">
        <v>24</v>
      </c>
      <c r="D863" t="s">
        <v>4194</v>
      </c>
      <c r="E863" t="s">
        <v>738</v>
      </c>
      <c r="F863" t="s">
        <v>724</v>
      </c>
      <c r="G863" t="s">
        <v>739</v>
      </c>
      <c r="H863" t="n">
        <v>40.1547622750398</v>
      </c>
      <c r="I863" t="n">
        <v>-105.113329390988</v>
      </c>
      <c r="J863" t="s">
        <v>4109</v>
      </c>
      <c r="K863" t="s">
        <v>126</v>
      </c>
      <c r="L863"/>
      <c r="M863" t="n">
        <v>1980</v>
      </c>
      <c r="N863" t="n">
        <v>1992</v>
      </c>
      <c r="O863" t="s">
        <v>1668</v>
      </c>
      <c r="P863" t="n">
        <v>4</v>
      </c>
      <c r="Q863" t="n">
        <v>3</v>
      </c>
      <c r="R863" t="n">
        <v>2</v>
      </c>
      <c r="S863" t="n">
        <v>1978</v>
      </c>
      <c r="T863" t="s">
        <v>4195</v>
      </c>
      <c r="U863" t="s">
        <v>4196</v>
      </c>
      <c r="V863" t="s">
        <v>74</v>
      </c>
      <c r="W863"/>
      <c r="X863"/>
      <c r="Y863"/>
      <c r="Z863"/>
      <c r="AA863"/>
      <c r="AB863"/>
      <c r="AC863"/>
      <c r="AD863"/>
      <c r="AE863"/>
      <c r="AF863" t="s">
        <v>4197</v>
      </c>
      <c r="AG863" t="n">
        <v>45</v>
      </c>
    </row>
    <row r="864">
      <c r="A864" t="s">
        <v>952</v>
      </c>
      <c r="B864" t="s">
        <v>31</v>
      </c>
      <c r="C864" t="s">
        <v>65</v>
      </c>
      <c r="D864" t="s">
        <v>953</v>
      </c>
      <c r="E864" t="s">
        <v>738</v>
      </c>
      <c r="F864" t="s">
        <v>724</v>
      </c>
      <c r="G864" t="s">
        <v>739</v>
      </c>
      <c r="H864" t="n">
        <v>40.1660260816327</v>
      </c>
      <c r="I864" t="n">
        <v>-105.093131908163</v>
      </c>
      <c r="J864" t="s">
        <v>35</v>
      </c>
      <c r="K864" t="s">
        <v>120</v>
      </c>
      <c r="L864"/>
      <c r="M864" t="n">
        <v>1980</v>
      </c>
      <c r="N864" t="n">
        <v>1990</v>
      </c>
      <c r="O864" t="s">
        <v>540</v>
      </c>
      <c r="P864" t="n">
        <v>4</v>
      </c>
      <c r="Q864" t="n">
        <v>1</v>
      </c>
      <c r="R864" t="n">
        <v>1</v>
      </c>
      <c r="S864" t="n">
        <v>1971</v>
      </c>
      <c r="T864" t="s">
        <v>954</v>
      </c>
      <c r="U864" t="s">
        <v>955</v>
      </c>
      <c r="V864" t="s">
        <v>74</v>
      </c>
      <c r="W864"/>
      <c r="X864"/>
      <c r="Y864"/>
      <c r="Z864"/>
      <c r="AA864"/>
      <c r="AB864"/>
      <c r="AC864"/>
      <c r="AD864"/>
      <c r="AE864"/>
      <c r="AF864" t="s">
        <v>956</v>
      </c>
      <c r="AG864" t="n">
        <v>170</v>
      </c>
    </row>
    <row r="865">
      <c r="A865" t="s">
        <v>957</v>
      </c>
      <c r="B865" t="s">
        <v>31</v>
      </c>
      <c r="C865" t="s">
        <v>65</v>
      </c>
      <c r="D865" t="s">
        <v>958</v>
      </c>
      <c r="E865" t="s">
        <v>723</v>
      </c>
      <c r="F865" t="s">
        <v>724</v>
      </c>
      <c r="G865" t="s">
        <v>817</v>
      </c>
      <c r="H865" t="n">
        <v>40.0325684077605</v>
      </c>
      <c r="I865" t="n">
        <v>-105.17853671759</v>
      </c>
      <c r="J865" t="s">
        <v>35</v>
      </c>
      <c r="K865" t="s">
        <v>141</v>
      </c>
      <c r="L865"/>
      <c r="M865" t="n">
        <v>1983</v>
      </c>
      <c r="N865" t="n">
        <v>1983</v>
      </c>
      <c r="O865" t="s">
        <v>264</v>
      </c>
      <c r="P865" t="n">
        <v>1</v>
      </c>
      <c r="Q865" t="n">
        <v>2</v>
      </c>
      <c r="R865" t="n">
        <v>2</v>
      </c>
      <c r="S865" t="n">
        <v>1978</v>
      </c>
      <c r="T865" t="s">
        <v>959</v>
      </c>
      <c r="U865" t="s">
        <v>960</v>
      </c>
      <c r="V865" t="s">
        <v>74</v>
      </c>
      <c r="W865"/>
      <c r="X865"/>
      <c r="Y865"/>
      <c r="Z865"/>
      <c r="AA865"/>
      <c r="AB865"/>
      <c r="AC865"/>
      <c r="AD865"/>
      <c r="AE865"/>
      <c r="AF865" t="s">
        <v>961</v>
      </c>
      <c r="AG865" t="n">
        <v>58</v>
      </c>
    </row>
    <row r="866">
      <c r="A866" t="s">
        <v>962</v>
      </c>
      <c r="B866" t="s">
        <v>31</v>
      </c>
      <c r="C866" t="s">
        <v>65</v>
      </c>
      <c r="D866" t="s">
        <v>963</v>
      </c>
      <c r="E866" t="s">
        <v>723</v>
      </c>
      <c r="F866" t="s">
        <v>724</v>
      </c>
      <c r="G866" t="s">
        <v>725</v>
      </c>
      <c r="H866" t="n">
        <v>40.0335148571428</v>
      </c>
      <c r="I866" t="n">
        <v>-105.283286591837</v>
      </c>
      <c r="J866" t="s">
        <v>35</v>
      </c>
      <c r="K866" t="s">
        <v>796</v>
      </c>
      <c r="L866"/>
      <c r="M866" t="n">
        <v>1983</v>
      </c>
      <c r="N866" t="n">
        <v>1983</v>
      </c>
      <c r="O866" t="s">
        <v>264</v>
      </c>
      <c r="P866" t="n">
        <v>1</v>
      </c>
      <c r="Q866" t="n">
        <v>1</v>
      </c>
      <c r="R866" t="n">
        <v>1</v>
      </c>
      <c r="S866" t="n">
        <v>1962</v>
      </c>
      <c r="T866" t="s">
        <v>964</v>
      </c>
      <c r="U866" t="s">
        <v>965</v>
      </c>
      <c r="V866" t="s">
        <v>74</v>
      </c>
      <c r="W866"/>
      <c r="X866"/>
      <c r="Y866"/>
      <c r="Z866"/>
      <c r="AA866"/>
      <c r="AB866"/>
      <c r="AC866"/>
      <c r="AD866"/>
      <c r="AE866"/>
      <c r="AF866" t="s">
        <v>966</v>
      </c>
      <c r="AG866" t="n">
        <v>176</v>
      </c>
    </row>
    <row r="867">
      <c r="A867" t="s">
        <v>967</v>
      </c>
      <c r="B867" t="s">
        <v>31</v>
      </c>
      <c r="C867" t="s">
        <v>65</v>
      </c>
      <c r="D867" t="s">
        <v>968</v>
      </c>
      <c r="E867" t="s">
        <v>723</v>
      </c>
      <c r="F867" t="s">
        <v>724</v>
      </c>
      <c r="G867" t="s">
        <v>817</v>
      </c>
      <c r="H867" t="n">
        <v>40.0147686909091</v>
      </c>
      <c r="I867" t="n">
        <v>-105.205990909091</v>
      </c>
      <c r="J867" t="s">
        <v>35</v>
      </c>
      <c r="K867" t="s">
        <v>141</v>
      </c>
      <c r="L867"/>
      <c r="M867" t="n">
        <v>1983</v>
      </c>
      <c r="N867" t="n">
        <v>1990</v>
      </c>
      <c r="O867" t="s">
        <v>271</v>
      </c>
      <c r="P867" t="n">
        <v>3</v>
      </c>
      <c r="Q867" t="n">
        <v>5</v>
      </c>
      <c r="R867" t="n">
        <v>3</v>
      </c>
      <c r="S867" t="n">
        <v>1978</v>
      </c>
      <c r="T867" t="s">
        <v>969</v>
      </c>
      <c r="U867" t="s">
        <v>970</v>
      </c>
      <c r="V867" t="s">
        <v>74</v>
      </c>
      <c r="W867"/>
      <c r="X867"/>
      <c r="Y867"/>
      <c r="Z867"/>
      <c r="AA867"/>
      <c r="AB867" t="s">
        <v>971</v>
      </c>
      <c r="AC867" t="n">
        <v>109</v>
      </c>
      <c r="AD867" t="s">
        <v>972</v>
      </c>
      <c r="AE867" t="n">
        <v>134</v>
      </c>
      <c r="AF867" t="s">
        <v>973</v>
      </c>
      <c r="AG867" t="n">
        <v>51</v>
      </c>
    </row>
    <row r="868">
      <c r="A868" t="s">
        <v>974</v>
      </c>
      <c r="B868" t="s">
        <v>31</v>
      </c>
      <c r="C868" t="s">
        <v>65</v>
      </c>
      <c r="D868" t="s">
        <v>975</v>
      </c>
      <c r="E868" t="s">
        <v>723</v>
      </c>
      <c r="F868" t="s">
        <v>724</v>
      </c>
      <c r="G868" t="s">
        <v>817</v>
      </c>
      <c r="H868" t="n">
        <v>40.0190694774574</v>
      </c>
      <c r="I868" t="n">
        <v>-105.140394504078</v>
      </c>
      <c r="J868" t="s">
        <v>35</v>
      </c>
      <c r="K868" t="s">
        <v>120</v>
      </c>
      <c r="L868"/>
      <c r="M868" t="n">
        <v>1983</v>
      </c>
      <c r="N868" t="n">
        <v>1990</v>
      </c>
      <c r="O868" t="s">
        <v>293</v>
      </c>
      <c r="P868" t="n">
        <v>2</v>
      </c>
      <c r="Q868" t="n">
        <v>1</v>
      </c>
      <c r="R868" t="n">
        <v>1</v>
      </c>
      <c r="S868" t="n">
        <v>1973</v>
      </c>
      <c r="T868" t="s">
        <v>976</v>
      </c>
      <c r="U868" t="s">
        <v>977</v>
      </c>
      <c r="V868" t="s">
        <v>74</v>
      </c>
      <c r="W868"/>
      <c r="X868"/>
      <c r="Y868"/>
      <c r="Z868"/>
      <c r="AA868"/>
      <c r="AB868"/>
      <c r="AC868"/>
      <c r="AD868"/>
      <c r="AE868"/>
      <c r="AF868"/>
      <c r="AG868"/>
    </row>
    <row r="869">
      <c r="A869" t="s">
        <v>978</v>
      </c>
      <c r="B869" t="s">
        <v>31</v>
      </c>
      <c r="C869" t="s">
        <v>65</v>
      </c>
      <c r="D869" t="s">
        <v>979</v>
      </c>
      <c r="E869" t="s">
        <v>723</v>
      </c>
      <c r="F869" t="s">
        <v>724</v>
      </c>
      <c r="G869" t="s">
        <v>725</v>
      </c>
      <c r="H869" t="n">
        <v>40.0407338160079</v>
      </c>
      <c r="I869" t="n">
        <v>-105.272749423655</v>
      </c>
      <c r="J869" t="s">
        <v>35</v>
      </c>
      <c r="K869" t="s">
        <v>70</v>
      </c>
      <c r="L869"/>
      <c r="M869" t="n">
        <v>1983</v>
      </c>
      <c r="N869" t="n">
        <v>1990</v>
      </c>
      <c r="O869" t="s">
        <v>271</v>
      </c>
      <c r="P869" t="n">
        <v>3</v>
      </c>
      <c r="Q869" t="n">
        <v>2</v>
      </c>
      <c r="R869" t="n">
        <v>2</v>
      </c>
      <c r="S869" t="n">
        <v>1981</v>
      </c>
      <c r="T869" t="s">
        <v>980</v>
      </c>
      <c r="U869" t="s">
        <v>981</v>
      </c>
      <c r="V869" t="s">
        <v>74</v>
      </c>
      <c r="W869"/>
      <c r="X869"/>
      <c r="Y869"/>
      <c r="Z869"/>
      <c r="AA869"/>
      <c r="AB869"/>
      <c r="AC869"/>
      <c r="AD869"/>
      <c r="AE869"/>
      <c r="AF869"/>
      <c r="AG869"/>
    </row>
    <row r="870">
      <c r="A870" t="s">
        <v>982</v>
      </c>
      <c r="B870" t="s">
        <v>31</v>
      </c>
      <c r="C870" t="s">
        <v>65</v>
      </c>
      <c r="D870" t="s">
        <v>983</v>
      </c>
      <c r="E870" t="s">
        <v>723</v>
      </c>
      <c r="F870" t="s">
        <v>724</v>
      </c>
      <c r="G870" t="s">
        <v>817</v>
      </c>
      <c r="H870" t="n">
        <v>40.027564</v>
      </c>
      <c r="I870" t="n">
        <v>-105.253519591521</v>
      </c>
      <c r="J870" t="s">
        <v>35</v>
      </c>
      <c r="K870" t="s">
        <v>120</v>
      </c>
      <c r="L870"/>
      <c r="M870" t="n">
        <v>1983</v>
      </c>
      <c r="N870" t="n">
        <v>1990</v>
      </c>
      <c r="O870" t="s">
        <v>325</v>
      </c>
      <c r="P870" t="n">
        <v>3</v>
      </c>
      <c r="Q870" t="n">
        <v>4</v>
      </c>
      <c r="R870" t="n">
        <v>1</v>
      </c>
      <c r="S870" t="n">
        <v>1967</v>
      </c>
      <c r="T870" t="s">
        <v>984</v>
      </c>
      <c r="U870" t="s">
        <v>985</v>
      </c>
      <c r="V870" t="s">
        <v>74</v>
      </c>
      <c r="W870"/>
      <c r="X870"/>
      <c r="Y870"/>
      <c r="Z870"/>
      <c r="AA870"/>
      <c r="AB870"/>
      <c r="AC870"/>
      <c r="AD870" t="s">
        <v>763</v>
      </c>
      <c r="AE870" t="n">
        <v>204</v>
      </c>
      <c r="AF870" t="s">
        <v>764</v>
      </c>
      <c r="AG870" t="n">
        <v>92</v>
      </c>
    </row>
    <row r="871">
      <c r="A871" t="s">
        <v>4198</v>
      </c>
      <c r="B871" t="s">
        <v>31</v>
      </c>
      <c r="C871" t="s">
        <v>24</v>
      </c>
      <c r="D871" t="s">
        <v>4199</v>
      </c>
      <c r="E871" t="s">
        <v>723</v>
      </c>
      <c r="F871" t="s">
        <v>724</v>
      </c>
      <c r="G871" t="s">
        <v>863</v>
      </c>
      <c r="H871" t="n">
        <v>40.0718629587696</v>
      </c>
      <c r="I871" t="n">
        <v>-105.282411045288</v>
      </c>
      <c r="J871" t="s">
        <v>4109</v>
      </c>
      <c r="K871" t="s">
        <v>120</v>
      </c>
      <c r="L871"/>
      <c r="M871" t="n">
        <v>1983</v>
      </c>
      <c r="N871" t="n">
        <v>1983</v>
      </c>
      <c r="O871" t="s">
        <v>264</v>
      </c>
      <c r="P871" t="n">
        <v>1</v>
      </c>
      <c r="Q871" t="n">
        <v>1</v>
      </c>
      <c r="R871" t="n">
        <v>1</v>
      </c>
      <c r="S871" t="n">
        <v>1965</v>
      </c>
      <c r="T871" t="s">
        <v>4200</v>
      </c>
      <c r="U871" t="s">
        <v>4201</v>
      </c>
      <c r="V871" t="s">
        <v>74</v>
      </c>
      <c r="W871"/>
      <c r="X871"/>
      <c r="Y871"/>
      <c r="Z871"/>
      <c r="AA871"/>
      <c r="AB871"/>
      <c r="AC871"/>
      <c r="AD871"/>
      <c r="AE871"/>
      <c r="AF871"/>
      <c r="AG871"/>
    </row>
    <row r="872">
      <c r="A872" t="s">
        <v>986</v>
      </c>
      <c r="B872" t="s">
        <v>31</v>
      </c>
      <c r="C872" t="s">
        <v>65</v>
      </c>
      <c r="D872" t="s">
        <v>987</v>
      </c>
      <c r="E872" t="s">
        <v>723</v>
      </c>
      <c r="F872" t="s">
        <v>724</v>
      </c>
      <c r="G872" t="s">
        <v>863</v>
      </c>
      <c r="H872" t="n">
        <v>40.0147356612322</v>
      </c>
      <c r="I872" t="n">
        <v>-105.197040662957</v>
      </c>
      <c r="J872" t="s">
        <v>35</v>
      </c>
      <c r="K872" t="s">
        <v>988</v>
      </c>
      <c r="L872"/>
      <c r="M872" t="n">
        <v>1983</v>
      </c>
      <c r="N872" t="n">
        <v>1992</v>
      </c>
      <c r="O872" t="s">
        <v>357</v>
      </c>
      <c r="P872" t="n">
        <v>3</v>
      </c>
      <c r="Q872" t="n">
        <v>3</v>
      </c>
      <c r="R872" t="n">
        <v>2</v>
      </c>
      <c r="S872" t="n">
        <v>1977</v>
      </c>
      <c r="T872" t="s">
        <v>989</v>
      </c>
      <c r="U872" t="s">
        <v>990</v>
      </c>
      <c r="V872" t="s">
        <v>74</v>
      </c>
      <c r="W872"/>
      <c r="X872"/>
      <c r="Y872"/>
      <c r="Z872"/>
      <c r="AA872"/>
      <c r="AB872"/>
      <c r="AC872"/>
      <c r="AD872"/>
      <c r="AE872"/>
      <c r="AF872" t="s">
        <v>991</v>
      </c>
      <c r="AG872" t="n">
        <v>68</v>
      </c>
    </row>
    <row r="873">
      <c r="A873" t="s">
        <v>992</v>
      </c>
      <c r="B873" t="s">
        <v>31</v>
      </c>
      <c r="C873" t="s">
        <v>65</v>
      </c>
      <c r="D873" t="s">
        <v>993</v>
      </c>
      <c r="E873" t="s">
        <v>723</v>
      </c>
      <c r="F873" t="s">
        <v>724</v>
      </c>
      <c r="G873" t="s">
        <v>863</v>
      </c>
      <c r="H873" t="n">
        <v>39.9894478020458</v>
      </c>
      <c r="I873" t="n">
        <v>-105.162923064544</v>
      </c>
      <c r="J873" t="s">
        <v>35</v>
      </c>
      <c r="K873" t="s">
        <v>89</v>
      </c>
      <c r="L873"/>
      <c r="M873" t="n">
        <v>1983</v>
      </c>
      <c r="N873" t="n">
        <v>1990</v>
      </c>
      <c r="O873" t="s">
        <v>271</v>
      </c>
      <c r="P873" t="n">
        <v>3</v>
      </c>
      <c r="Q873" t="n">
        <v>2</v>
      </c>
      <c r="R873" t="n">
        <v>2</v>
      </c>
      <c r="S873" t="n">
        <v>1976</v>
      </c>
      <c r="T873" t="s">
        <v>994</v>
      </c>
      <c r="U873" t="s">
        <v>995</v>
      </c>
      <c r="V873" t="s">
        <v>74</v>
      </c>
      <c r="W873"/>
      <c r="X873"/>
      <c r="Y873"/>
      <c r="Z873"/>
      <c r="AA873"/>
      <c r="AB873"/>
      <c r="AC873"/>
      <c r="AD873"/>
      <c r="AE873"/>
      <c r="AF873"/>
      <c r="AG873"/>
    </row>
    <row r="874">
      <c r="A874" t="s">
        <v>996</v>
      </c>
      <c r="B874" t="s">
        <v>31</v>
      </c>
      <c r="C874" t="s">
        <v>65</v>
      </c>
      <c r="D874" t="s">
        <v>997</v>
      </c>
      <c r="E874" t="s">
        <v>883</v>
      </c>
      <c r="F874" t="s">
        <v>724</v>
      </c>
      <c r="G874" t="s">
        <v>884</v>
      </c>
      <c r="H874" t="n">
        <v>40.0050058181818</v>
      </c>
      <c r="I874" t="n">
        <v>-105.106395030303</v>
      </c>
      <c r="J874" t="s">
        <v>35</v>
      </c>
      <c r="K874" t="s">
        <v>70</v>
      </c>
      <c r="L874"/>
      <c r="M874" t="n">
        <v>1983</v>
      </c>
      <c r="N874" t="n">
        <v>1983</v>
      </c>
      <c r="O874" t="s">
        <v>264</v>
      </c>
      <c r="P874" t="n">
        <v>1</v>
      </c>
      <c r="Q874" t="n">
        <v>1</v>
      </c>
      <c r="R874" t="n">
        <v>1</v>
      </c>
      <c r="S874" t="n">
        <v>1968</v>
      </c>
      <c r="T874" t="s">
        <v>998</v>
      </c>
      <c r="U874" t="s">
        <v>999</v>
      </c>
      <c r="V874" t="s">
        <v>74</v>
      </c>
      <c r="W874"/>
      <c r="X874"/>
      <c r="Y874"/>
      <c r="Z874"/>
      <c r="AA874"/>
      <c r="AB874"/>
      <c r="AC874"/>
      <c r="AD874"/>
      <c r="AE874"/>
      <c r="AF874"/>
      <c r="AG874"/>
    </row>
    <row r="875">
      <c r="A875" t="s">
        <v>1000</v>
      </c>
      <c r="B875" t="s">
        <v>31</v>
      </c>
      <c r="C875" t="s">
        <v>65</v>
      </c>
      <c r="D875" t="s">
        <v>1001</v>
      </c>
      <c r="E875" t="s">
        <v>738</v>
      </c>
      <c r="F875" t="s">
        <v>724</v>
      </c>
      <c r="G875" t="s">
        <v>739</v>
      </c>
      <c r="H875" t="n">
        <v>40.1433292858804</v>
      </c>
      <c r="I875" t="n">
        <v>-105.122210634005</v>
      </c>
      <c r="J875" t="s">
        <v>35</v>
      </c>
      <c r="K875" t="s">
        <v>220</v>
      </c>
      <c r="L875" t="s">
        <v>1002</v>
      </c>
      <c r="M875" t="n">
        <v>1983</v>
      </c>
      <c r="N875" t="n">
        <v>1992</v>
      </c>
      <c r="O875" t="s">
        <v>1003</v>
      </c>
      <c r="P875" t="n">
        <v>2</v>
      </c>
      <c r="Q875" t="n">
        <v>3</v>
      </c>
      <c r="R875" t="n">
        <v>2</v>
      </c>
      <c r="S875" t="n">
        <v>1978</v>
      </c>
      <c r="T875" t="s">
        <v>1004</v>
      </c>
      <c r="U875" t="s">
        <v>1005</v>
      </c>
      <c r="V875" t="s">
        <v>74</v>
      </c>
      <c r="W875"/>
      <c r="X875"/>
      <c r="Y875"/>
      <c r="Z875"/>
      <c r="AA875"/>
      <c r="AB875"/>
      <c r="AC875"/>
      <c r="AD875" t="s">
        <v>1006</v>
      </c>
      <c r="AE875" t="n">
        <v>145</v>
      </c>
      <c r="AF875" t="s">
        <v>1007</v>
      </c>
      <c r="AG875" t="n">
        <v>78</v>
      </c>
    </row>
    <row r="876">
      <c r="A876" t="s">
        <v>4202</v>
      </c>
      <c r="B876" t="s">
        <v>31</v>
      </c>
      <c r="C876" t="s">
        <v>24</v>
      </c>
      <c r="D876" t="s">
        <v>4203</v>
      </c>
      <c r="E876" t="s">
        <v>738</v>
      </c>
      <c r="F876" t="s">
        <v>724</v>
      </c>
      <c r="G876" t="s">
        <v>739</v>
      </c>
      <c r="H876" t="n">
        <v>40.184189</v>
      </c>
      <c r="I876" t="n">
        <v>-105.099957</v>
      </c>
      <c r="J876" t="s">
        <v>4109</v>
      </c>
      <c r="K876" t="s">
        <v>120</v>
      </c>
      <c r="L876"/>
      <c r="M876" t="n">
        <v>1983</v>
      </c>
      <c r="N876" t="n">
        <v>1983</v>
      </c>
      <c r="O876" t="s">
        <v>264</v>
      </c>
      <c r="P876" t="n">
        <v>1</v>
      </c>
      <c r="Q876" t="n">
        <v>1</v>
      </c>
      <c r="R876" t="n">
        <v>1</v>
      </c>
      <c r="S876" t="n">
        <v>1981</v>
      </c>
      <c r="T876" t="s">
        <v>4204</v>
      </c>
      <c r="U876" t="s">
        <v>4205</v>
      </c>
      <c r="V876" t="s">
        <v>74</v>
      </c>
      <c r="W876"/>
      <c r="X876"/>
      <c r="Y876"/>
      <c r="Z876"/>
      <c r="AA876"/>
      <c r="AB876"/>
      <c r="AC876"/>
      <c r="AD876"/>
      <c r="AE876"/>
      <c r="AF876" t="s">
        <v>744</v>
      </c>
      <c r="AG876" t="n">
        <v>239</v>
      </c>
    </row>
    <row r="877">
      <c r="A877" t="s">
        <v>1008</v>
      </c>
      <c r="B877" t="s">
        <v>31</v>
      </c>
      <c r="C877" t="s">
        <v>65</v>
      </c>
      <c r="D877" t="s">
        <v>1009</v>
      </c>
      <c r="E877" t="s">
        <v>1010</v>
      </c>
      <c r="F877" t="s">
        <v>724</v>
      </c>
      <c r="G877" t="s">
        <v>1011</v>
      </c>
      <c r="H877" t="n">
        <v>39.9504883051897</v>
      </c>
      <c r="I877" t="n">
        <v>-105.168031103242</v>
      </c>
      <c r="J877" t="s">
        <v>35</v>
      </c>
      <c r="K877" t="s">
        <v>220</v>
      </c>
      <c r="L877"/>
      <c r="M877" t="n">
        <v>1983</v>
      </c>
      <c r="N877" t="n">
        <v>1990</v>
      </c>
      <c r="O877" t="s">
        <v>271</v>
      </c>
      <c r="P877" t="n">
        <v>3</v>
      </c>
      <c r="Q877" t="n">
        <v>2</v>
      </c>
      <c r="R877" t="n">
        <v>2</v>
      </c>
      <c r="S877" t="n">
        <v>1978</v>
      </c>
      <c r="T877" t="s">
        <v>1012</v>
      </c>
      <c r="U877" t="s">
        <v>1013</v>
      </c>
      <c r="V877" t="s">
        <v>74</v>
      </c>
      <c r="W877"/>
      <c r="X877"/>
      <c r="Y877"/>
      <c r="Z877"/>
      <c r="AA877"/>
      <c r="AB877"/>
      <c r="AC877"/>
      <c r="AD877"/>
      <c r="AE877"/>
      <c r="AF877"/>
      <c r="AG877"/>
    </row>
    <row r="878">
      <c r="A878" t="s">
        <v>1014</v>
      </c>
      <c r="B878" t="s">
        <v>31</v>
      </c>
      <c r="C878" t="s">
        <v>65</v>
      </c>
      <c r="D878" t="s">
        <v>1015</v>
      </c>
      <c r="E878" t="s">
        <v>723</v>
      </c>
      <c r="F878" t="s">
        <v>724</v>
      </c>
      <c r="G878" t="s">
        <v>725</v>
      </c>
      <c r="H878" t="n">
        <v>40.0186592242509</v>
      </c>
      <c r="I878" t="n">
        <v>-105.292883277705</v>
      </c>
      <c r="J878" t="s">
        <v>35</v>
      </c>
      <c r="K878" t="s">
        <v>282</v>
      </c>
      <c r="L878"/>
      <c r="M878" t="n">
        <v>1988</v>
      </c>
      <c r="N878" t="n">
        <v>1992</v>
      </c>
      <c r="O878" t="s">
        <v>1016</v>
      </c>
      <c r="P878" t="n">
        <v>3</v>
      </c>
      <c r="Q878" t="n">
        <v>1</v>
      </c>
      <c r="R878" t="n">
        <v>1</v>
      </c>
      <c r="S878" t="n">
        <v>1960</v>
      </c>
      <c r="T878" t="s">
        <v>1017</v>
      </c>
      <c r="U878" t="s">
        <v>1018</v>
      </c>
      <c r="V878" t="s">
        <v>74</v>
      </c>
      <c r="W878"/>
      <c r="X878"/>
      <c r="Y878"/>
      <c r="Z878"/>
      <c r="AA878"/>
      <c r="AB878"/>
      <c r="AC878"/>
      <c r="AD878"/>
      <c r="AE878"/>
      <c r="AF878" t="s">
        <v>1019</v>
      </c>
      <c r="AG878" t="n">
        <v>222</v>
      </c>
    </row>
    <row r="879">
      <c r="A879" t="s">
        <v>1020</v>
      </c>
      <c r="B879" t="s">
        <v>31</v>
      </c>
      <c r="C879" t="s">
        <v>65</v>
      </c>
      <c r="D879" t="s">
        <v>1021</v>
      </c>
      <c r="E879" t="s">
        <v>723</v>
      </c>
      <c r="F879" t="s">
        <v>724</v>
      </c>
      <c r="G879" t="s">
        <v>863</v>
      </c>
      <c r="H879" t="n">
        <v>40.0000380555556</v>
      </c>
      <c r="I879" t="n">
        <v>-105.238984175926</v>
      </c>
      <c r="J879" t="s">
        <v>35</v>
      </c>
      <c r="K879" t="s">
        <v>70</v>
      </c>
      <c r="L879"/>
      <c r="M879" t="n">
        <v>1988</v>
      </c>
      <c r="N879" t="n">
        <v>1988</v>
      </c>
      <c r="O879" t="s">
        <v>325</v>
      </c>
      <c r="P879" t="n">
        <v>1</v>
      </c>
      <c r="Q879" t="n">
        <v>1</v>
      </c>
      <c r="R879" t="n">
        <v>1</v>
      </c>
      <c r="S879" t="n">
        <v>1977</v>
      </c>
      <c r="T879" t="s">
        <v>1022</v>
      </c>
      <c r="U879" t="s">
        <v>1023</v>
      </c>
      <c r="V879" t="s">
        <v>74</v>
      </c>
      <c r="W879"/>
      <c r="X879"/>
      <c r="Y879"/>
      <c r="Z879"/>
      <c r="AA879"/>
      <c r="AB879"/>
      <c r="AC879"/>
      <c r="AD879"/>
      <c r="AE879"/>
      <c r="AF879" t="s">
        <v>1024</v>
      </c>
      <c r="AG879" t="n">
        <v>123</v>
      </c>
    </row>
    <row r="880">
      <c r="A880" t="s">
        <v>4206</v>
      </c>
      <c r="B880" t="s">
        <v>31</v>
      </c>
      <c r="C880" t="s">
        <v>24</v>
      </c>
      <c r="D880" t="s">
        <v>4207</v>
      </c>
      <c r="E880" t="s">
        <v>723</v>
      </c>
      <c r="F880" t="s">
        <v>724</v>
      </c>
      <c r="G880" t="s">
        <v>863</v>
      </c>
      <c r="H880" t="n">
        <v>39.9895887567568</v>
      </c>
      <c r="I880" t="n">
        <v>-105.180964567568</v>
      </c>
      <c r="J880" t="s">
        <v>4109</v>
      </c>
      <c r="K880" t="s">
        <v>282</v>
      </c>
      <c r="L880"/>
      <c r="M880" t="n">
        <v>1988</v>
      </c>
      <c r="N880" t="n">
        <v>1988</v>
      </c>
      <c r="O880" t="s">
        <v>325</v>
      </c>
      <c r="P880" t="n">
        <v>1</v>
      </c>
      <c r="Q880" t="n">
        <v>1</v>
      </c>
      <c r="R880" t="n">
        <v>1</v>
      </c>
      <c r="S880" t="n">
        <v>1971</v>
      </c>
      <c r="T880" t="s">
        <v>4208</v>
      </c>
      <c r="U880" t="s">
        <v>4209</v>
      </c>
      <c r="V880" t="s">
        <v>74</v>
      </c>
      <c r="W880"/>
      <c r="X880"/>
      <c r="Y880"/>
      <c r="Z880"/>
      <c r="AA880"/>
      <c r="AB880"/>
      <c r="AC880"/>
      <c r="AD880"/>
      <c r="AE880"/>
      <c r="AF880"/>
      <c r="AG880"/>
    </row>
    <row r="881">
      <c r="A881" t="s">
        <v>1025</v>
      </c>
      <c r="B881" t="s">
        <v>31</v>
      </c>
      <c r="C881" t="s">
        <v>65</v>
      </c>
      <c r="D881" t="s">
        <v>1026</v>
      </c>
      <c r="E881" t="s">
        <v>723</v>
      </c>
      <c r="F881" t="s">
        <v>724</v>
      </c>
      <c r="G881" t="s">
        <v>725</v>
      </c>
      <c r="H881" t="n">
        <v>40.01259401659</v>
      </c>
      <c r="I881" t="n">
        <v>-105.296654298992</v>
      </c>
      <c r="J881" t="s">
        <v>35</v>
      </c>
      <c r="K881" t="s">
        <v>120</v>
      </c>
      <c r="L881"/>
      <c r="M881" t="n">
        <v>1988</v>
      </c>
      <c r="N881" t="n">
        <v>1990</v>
      </c>
      <c r="O881" t="s">
        <v>351</v>
      </c>
      <c r="P881" t="n">
        <v>2</v>
      </c>
      <c r="Q881" t="n">
        <v>3</v>
      </c>
      <c r="R881" t="n">
        <v>1</v>
      </c>
      <c r="S881" t="n">
        <v>1982</v>
      </c>
      <c r="T881" t="s">
        <v>1027</v>
      </c>
      <c r="U881" t="s">
        <v>1028</v>
      </c>
      <c r="V881" t="s">
        <v>74</v>
      </c>
      <c r="W881"/>
      <c r="X881"/>
      <c r="Y881"/>
      <c r="Z881"/>
      <c r="AA881"/>
      <c r="AB881"/>
      <c r="AC881"/>
      <c r="AD881"/>
      <c r="AE881"/>
      <c r="AF881" t="s">
        <v>1029</v>
      </c>
      <c r="AG881" t="n">
        <v>217</v>
      </c>
    </row>
    <row r="882">
      <c r="A882" t="s">
        <v>1030</v>
      </c>
      <c r="B882" t="s">
        <v>31</v>
      </c>
      <c r="C882" t="s">
        <v>65</v>
      </c>
      <c r="D882" t="s">
        <v>1031</v>
      </c>
      <c r="E882" t="s">
        <v>723</v>
      </c>
      <c r="F882" t="s">
        <v>724</v>
      </c>
      <c r="G882" t="s">
        <v>863</v>
      </c>
      <c r="H882" t="n">
        <v>39.9668116685549</v>
      </c>
      <c r="I882" t="n">
        <v>-105.256499856297</v>
      </c>
      <c r="J882" t="s">
        <v>35</v>
      </c>
      <c r="K882" t="s">
        <v>1032</v>
      </c>
      <c r="L882"/>
      <c r="M882" t="n">
        <v>1988</v>
      </c>
      <c r="N882" t="n">
        <v>1988</v>
      </c>
      <c r="O882" t="s">
        <v>325</v>
      </c>
      <c r="P882" t="n">
        <v>1</v>
      </c>
      <c r="Q882" t="n">
        <v>1</v>
      </c>
      <c r="R882" t="n">
        <v>1</v>
      </c>
      <c r="S882" t="n">
        <v>1987</v>
      </c>
      <c r="T882" t="s">
        <v>1033</v>
      </c>
      <c r="U882" t="s">
        <v>1034</v>
      </c>
      <c r="V882" t="s">
        <v>74</v>
      </c>
      <c r="W882"/>
      <c r="X882"/>
      <c r="Y882"/>
      <c r="Z882"/>
      <c r="AA882"/>
      <c r="AB882"/>
      <c r="AC882"/>
      <c r="AD882"/>
      <c r="AE882"/>
      <c r="AF882"/>
      <c r="AG882"/>
    </row>
    <row r="883">
      <c r="A883" t="s">
        <v>1035</v>
      </c>
      <c r="B883" t="s">
        <v>31</v>
      </c>
      <c r="C883" t="s">
        <v>65</v>
      </c>
      <c r="D883" t="s">
        <v>1036</v>
      </c>
      <c r="E883" t="s">
        <v>723</v>
      </c>
      <c r="F883" t="s">
        <v>724</v>
      </c>
      <c r="G883" t="s">
        <v>863</v>
      </c>
      <c r="H883" t="n">
        <v>39.9327282805788</v>
      </c>
      <c r="I883" t="n">
        <v>-105.275944767708</v>
      </c>
      <c r="J883" t="s">
        <v>35</v>
      </c>
      <c r="K883" t="s">
        <v>120</v>
      </c>
      <c r="L883"/>
      <c r="M883" t="n">
        <v>1988</v>
      </c>
      <c r="N883" t="n">
        <v>1990</v>
      </c>
      <c r="O883" t="s">
        <v>310</v>
      </c>
      <c r="P883" t="n">
        <v>2</v>
      </c>
      <c r="Q883" t="n">
        <v>1</v>
      </c>
      <c r="R883" t="n">
        <v>1</v>
      </c>
      <c r="S883" t="n">
        <v>1978</v>
      </c>
      <c r="T883" t="s">
        <v>1037</v>
      </c>
      <c r="U883" t="s">
        <v>1038</v>
      </c>
      <c r="V883" t="s">
        <v>74</v>
      </c>
      <c r="W883"/>
      <c r="X883"/>
      <c r="Y883"/>
      <c r="Z883"/>
      <c r="AA883"/>
      <c r="AB883"/>
      <c r="AC883"/>
      <c r="AD883"/>
      <c r="AE883"/>
      <c r="AF883"/>
      <c r="AG883"/>
    </row>
    <row r="884">
      <c r="A884" t="s">
        <v>1039</v>
      </c>
      <c r="B884" t="s">
        <v>31</v>
      </c>
      <c r="C884" t="s">
        <v>65</v>
      </c>
      <c r="D884" t="s">
        <v>1040</v>
      </c>
      <c r="E884" t="s">
        <v>723</v>
      </c>
      <c r="F884" t="s">
        <v>724</v>
      </c>
      <c r="G884" t="s">
        <v>725</v>
      </c>
      <c r="H884" t="n">
        <v>40.0197570918367</v>
      </c>
      <c r="I884" t="n">
        <v>-105.276220265306</v>
      </c>
      <c r="J884" t="s">
        <v>35</v>
      </c>
      <c r="K884" t="s">
        <v>1041</v>
      </c>
      <c r="L884"/>
      <c r="M884" t="n">
        <v>1988</v>
      </c>
      <c r="N884" t="n">
        <v>1992</v>
      </c>
      <c r="O884" t="s">
        <v>351</v>
      </c>
      <c r="P884" t="n">
        <v>3</v>
      </c>
      <c r="Q884" t="n">
        <v>3</v>
      </c>
      <c r="R884" t="n">
        <v>1</v>
      </c>
      <c r="S884" t="n">
        <v>1974</v>
      </c>
      <c r="T884" t="s">
        <v>1042</v>
      </c>
      <c r="U884" t="s">
        <v>1043</v>
      </c>
      <c r="V884" t="s">
        <v>74</v>
      </c>
      <c r="W884"/>
      <c r="X884"/>
      <c r="Y884"/>
      <c r="Z884"/>
      <c r="AA884"/>
      <c r="AB884" t="s">
        <v>792</v>
      </c>
      <c r="AC884" t="n">
        <v>111</v>
      </c>
      <c r="AD884"/>
      <c r="AE884"/>
      <c r="AF884" t="s">
        <v>1044</v>
      </c>
      <c r="AG884" t="n">
        <v>117</v>
      </c>
    </row>
    <row r="885">
      <c r="A885" t="s">
        <v>1045</v>
      </c>
      <c r="B885" t="s">
        <v>31</v>
      </c>
      <c r="C885" t="s">
        <v>65</v>
      </c>
      <c r="D885" t="s">
        <v>1046</v>
      </c>
      <c r="E885" t="s">
        <v>723</v>
      </c>
      <c r="F885" t="s">
        <v>724</v>
      </c>
      <c r="G885" t="s">
        <v>863</v>
      </c>
      <c r="H885" t="n">
        <v>39.9874021737512</v>
      </c>
      <c r="I885" t="n">
        <v>-105.244461182358</v>
      </c>
      <c r="J885" t="s">
        <v>35</v>
      </c>
      <c r="K885" t="s">
        <v>70</v>
      </c>
      <c r="L885"/>
      <c r="M885" t="n">
        <v>1988</v>
      </c>
      <c r="N885" t="n">
        <v>1988</v>
      </c>
      <c r="O885" t="s">
        <v>325</v>
      </c>
      <c r="P885" t="n">
        <v>1</v>
      </c>
      <c r="Q885" t="n">
        <v>1</v>
      </c>
      <c r="R885" t="n">
        <v>1</v>
      </c>
      <c r="S885" t="n">
        <v>1971</v>
      </c>
      <c r="T885" t="s">
        <v>1047</v>
      </c>
      <c r="U885" t="s">
        <v>1048</v>
      </c>
      <c r="V885" t="s">
        <v>74</v>
      </c>
      <c r="W885"/>
      <c r="X885"/>
      <c r="Y885"/>
      <c r="Z885"/>
      <c r="AA885"/>
      <c r="AB885"/>
      <c r="AC885"/>
      <c r="AD885"/>
      <c r="AE885"/>
      <c r="AF885"/>
      <c r="AG885"/>
    </row>
    <row r="886">
      <c r="A886" t="s">
        <v>1049</v>
      </c>
      <c r="B886" t="s">
        <v>31</v>
      </c>
      <c r="C886" t="s">
        <v>65</v>
      </c>
      <c r="D886" t="s">
        <v>1050</v>
      </c>
      <c r="E886" t="s">
        <v>723</v>
      </c>
      <c r="F886" t="s">
        <v>724</v>
      </c>
      <c r="G886" t="s">
        <v>817</v>
      </c>
      <c r="H886" t="n">
        <v>40.0270130119869</v>
      </c>
      <c r="I886" t="n">
        <v>-105.24758424711</v>
      </c>
      <c r="J886" t="s">
        <v>35</v>
      </c>
      <c r="K886" t="s">
        <v>120</v>
      </c>
      <c r="L886"/>
      <c r="M886" t="n">
        <v>1988</v>
      </c>
      <c r="N886" t="n">
        <v>1988</v>
      </c>
      <c r="O886" t="s">
        <v>325</v>
      </c>
      <c r="P886" t="n">
        <v>1</v>
      </c>
      <c r="Q886" t="n">
        <v>1</v>
      </c>
      <c r="R886" t="n">
        <v>1</v>
      </c>
      <c r="S886" t="n">
        <v>1980</v>
      </c>
      <c r="T886" t="s">
        <v>1051</v>
      </c>
      <c r="U886" t="s">
        <v>1052</v>
      </c>
      <c r="V886" t="s">
        <v>74</v>
      </c>
      <c r="W886"/>
      <c r="X886"/>
      <c r="Y886"/>
      <c r="Z886"/>
      <c r="AA886"/>
      <c r="AB886"/>
      <c r="AC886"/>
      <c r="AD886"/>
      <c r="AE886"/>
      <c r="AF886" t="s">
        <v>1053</v>
      </c>
      <c r="AG886" t="n">
        <v>41</v>
      </c>
    </row>
    <row r="887">
      <c r="A887" t="s">
        <v>1054</v>
      </c>
      <c r="B887" t="s">
        <v>31</v>
      </c>
      <c r="C887" t="s">
        <v>65</v>
      </c>
      <c r="D887" t="s">
        <v>1055</v>
      </c>
      <c r="E887" t="s">
        <v>883</v>
      </c>
      <c r="F887" t="s">
        <v>724</v>
      </c>
      <c r="G887" t="s">
        <v>884</v>
      </c>
      <c r="H887" t="n">
        <v>40.0202493214516</v>
      </c>
      <c r="I887" t="n">
        <v>-105.102879335047</v>
      </c>
      <c r="J887" t="s">
        <v>35</v>
      </c>
      <c r="K887" t="s">
        <v>89</v>
      </c>
      <c r="L887"/>
      <c r="M887" t="n">
        <v>1988</v>
      </c>
      <c r="N887" t="n">
        <v>1992</v>
      </c>
      <c r="O887" t="s">
        <v>1016</v>
      </c>
      <c r="P887" t="n">
        <v>3</v>
      </c>
      <c r="Q887" t="n">
        <v>1</v>
      </c>
      <c r="R887" t="n">
        <v>1</v>
      </c>
      <c r="S887" t="n">
        <v>1986</v>
      </c>
      <c r="T887" t="s">
        <v>1056</v>
      </c>
      <c r="U887" t="s">
        <v>1057</v>
      </c>
      <c r="V887" t="s">
        <v>74</v>
      </c>
      <c r="W887"/>
      <c r="X887"/>
      <c r="Y887"/>
      <c r="Z887"/>
      <c r="AA887"/>
      <c r="AB887"/>
      <c r="AC887"/>
      <c r="AD887"/>
      <c r="AE887"/>
      <c r="AF887"/>
      <c r="AG887"/>
    </row>
    <row r="888">
      <c r="A888" t="s">
        <v>4210</v>
      </c>
      <c r="B888" t="s">
        <v>31</v>
      </c>
      <c r="C888" t="s">
        <v>24</v>
      </c>
      <c r="D888" t="s">
        <v>4211</v>
      </c>
      <c r="E888" t="s">
        <v>738</v>
      </c>
      <c r="F888" t="s">
        <v>724</v>
      </c>
      <c r="G888" t="s">
        <v>739</v>
      </c>
      <c r="H888" t="n">
        <v>40.181314</v>
      </c>
      <c r="I888" t="n">
        <v>-105.12137</v>
      </c>
      <c r="J888" t="s">
        <v>4109</v>
      </c>
      <c r="K888" t="s">
        <v>120</v>
      </c>
      <c r="L888"/>
      <c r="M888" t="n">
        <v>1988</v>
      </c>
      <c r="N888" t="n">
        <v>1988</v>
      </c>
      <c r="O888" t="s">
        <v>325</v>
      </c>
      <c r="P888" t="n">
        <v>1</v>
      </c>
      <c r="Q888" t="n">
        <v>1</v>
      </c>
      <c r="R888" t="n">
        <v>1</v>
      </c>
      <c r="S888" t="n">
        <v>1983</v>
      </c>
      <c r="T888" t="s">
        <v>4212</v>
      </c>
      <c r="U888" t="s">
        <v>4213</v>
      </c>
      <c r="V888" t="s">
        <v>74</v>
      </c>
      <c r="W888"/>
      <c r="X888"/>
      <c r="Y888"/>
      <c r="Z888"/>
      <c r="AA888"/>
      <c r="AB888"/>
      <c r="AC888"/>
      <c r="AD888"/>
      <c r="AE888"/>
      <c r="AF888" t="s">
        <v>4214</v>
      </c>
      <c r="AG888" t="n">
        <v>113</v>
      </c>
    </row>
    <row r="889">
      <c r="A889" t="s">
        <v>1058</v>
      </c>
      <c r="B889" t="s">
        <v>31</v>
      </c>
      <c r="C889" t="s">
        <v>65</v>
      </c>
      <c r="D889" t="s">
        <v>1059</v>
      </c>
      <c r="E889" t="s">
        <v>738</v>
      </c>
      <c r="F889" t="s">
        <v>724</v>
      </c>
      <c r="G889" t="s">
        <v>739</v>
      </c>
      <c r="H889" t="n">
        <v>40.1473256590704</v>
      </c>
      <c r="I889" t="n">
        <v>-105.117776063225</v>
      </c>
      <c r="J889" t="s">
        <v>35</v>
      </c>
      <c r="K889" t="s">
        <v>120</v>
      </c>
      <c r="L889"/>
      <c r="M889" t="n">
        <v>1988</v>
      </c>
      <c r="N889" t="n">
        <v>1988</v>
      </c>
      <c r="O889" t="s">
        <v>325</v>
      </c>
      <c r="P889" t="n">
        <v>1</v>
      </c>
      <c r="Q889" t="n">
        <v>2</v>
      </c>
      <c r="R889" t="n">
        <v>2</v>
      </c>
      <c r="S889" t="n">
        <v>1960</v>
      </c>
      <c r="T889" t="s">
        <v>1060</v>
      </c>
      <c r="U889" t="s">
        <v>1061</v>
      </c>
      <c r="V889" t="s">
        <v>74</v>
      </c>
      <c r="W889"/>
      <c r="X889"/>
      <c r="Y889"/>
      <c r="Z889"/>
      <c r="AA889"/>
      <c r="AB889"/>
      <c r="AC889"/>
      <c r="AD889" t="s">
        <v>1062</v>
      </c>
      <c r="AE889" t="n">
        <v>227</v>
      </c>
      <c r="AF889" t="s">
        <v>1063</v>
      </c>
      <c r="AG889" t="n">
        <v>97</v>
      </c>
    </row>
    <row r="890">
      <c r="A890" t="s">
        <v>4215</v>
      </c>
      <c r="B890" t="s">
        <v>31</v>
      </c>
      <c r="C890" t="s">
        <v>24</v>
      </c>
      <c r="D890" t="s">
        <v>4216</v>
      </c>
      <c r="E890" t="s">
        <v>738</v>
      </c>
      <c r="F890" t="s">
        <v>724</v>
      </c>
      <c r="G890" t="s">
        <v>739</v>
      </c>
      <c r="H890" t="n">
        <v>40.1854904594858</v>
      </c>
      <c r="I890" t="n">
        <v>-105.111939085354</v>
      </c>
      <c r="J890" t="s">
        <v>4109</v>
      </c>
      <c r="K890" t="s">
        <v>141</v>
      </c>
      <c r="L890"/>
      <c r="M890" t="n">
        <v>1988</v>
      </c>
      <c r="N890" t="n">
        <v>1992</v>
      </c>
      <c r="O890" t="s">
        <v>357</v>
      </c>
      <c r="P890" t="n">
        <v>3</v>
      </c>
      <c r="Q890" t="n">
        <v>1</v>
      </c>
      <c r="R890" t="n">
        <v>1</v>
      </c>
      <c r="S890" t="n">
        <v>1978</v>
      </c>
      <c r="T890" t="s">
        <v>4217</v>
      </c>
      <c r="U890" t="s">
        <v>4218</v>
      </c>
      <c r="V890" t="s">
        <v>74</v>
      </c>
      <c r="W890"/>
      <c r="X890"/>
      <c r="Y890"/>
      <c r="Z890"/>
      <c r="AA890"/>
      <c r="AB890"/>
      <c r="AC890"/>
      <c r="AD890"/>
      <c r="AE890"/>
      <c r="AF890"/>
      <c r="AG890"/>
    </row>
    <row r="891">
      <c r="A891" t="s">
        <v>1064</v>
      </c>
      <c r="B891" t="s">
        <v>31</v>
      </c>
      <c r="C891" t="s">
        <v>65</v>
      </c>
      <c r="D891" t="s">
        <v>1065</v>
      </c>
      <c r="E891" t="s">
        <v>738</v>
      </c>
      <c r="F891" t="s">
        <v>724</v>
      </c>
      <c r="G891" t="s">
        <v>739</v>
      </c>
      <c r="H891" t="n">
        <v>40.1642415170119</v>
      </c>
      <c r="I891" t="n">
        <v>-105.092183006988</v>
      </c>
      <c r="J891" t="s">
        <v>35</v>
      </c>
      <c r="K891" t="s">
        <v>120</v>
      </c>
      <c r="L891"/>
      <c r="M891" t="n">
        <v>1988</v>
      </c>
      <c r="N891" t="n">
        <v>1992</v>
      </c>
      <c r="O891" t="s">
        <v>320</v>
      </c>
      <c r="P891" t="n">
        <v>3</v>
      </c>
      <c r="Q891" t="n">
        <v>2</v>
      </c>
      <c r="R891" t="n">
        <v>2</v>
      </c>
      <c r="S891" t="n">
        <v>1961</v>
      </c>
      <c r="T891" t="s">
        <v>1066</v>
      </c>
      <c r="U891" t="s">
        <v>1067</v>
      </c>
      <c r="V891" t="s">
        <v>74</v>
      </c>
      <c r="W891"/>
      <c r="X891"/>
      <c r="Y891"/>
      <c r="Z891"/>
      <c r="AA891"/>
      <c r="AB891"/>
      <c r="AC891"/>
      <c r="AD891"/>
      <c r="AE891"/>
      <c r="AF891" t="s">
        <v>956</v>
      </c>
      <c r="AG891" t="n">
        <v>83</v>
      </c>
    </row>
    <row r="892">
      <c r="A892" t="s">
        <v>1068</v>
      </c>
      <c r="B892" t="s">
        <v>31</v>
      </c>
      <c r="C892" t="s">
        <v>65</v>
      </c>
      <c r="D892" t="s">
        <v>1069</v>
      </c>
      <c r="E892" t="s">
        <v>738</v>
      </c>
      <c r="F892" t="s">
        <v>724</v>
      </c>
      <c r="G892" t="s">
        <v>739</v>
      </c>
      <c r="H892" t="n">
        <v>40.187921862069</v>
      </c>
      <c r="I892" t="n">
        <v>-105.145688827586</v>
      </c>
      <c r="J892" t="s">
        <v>35</v>
      </c>
      <c r="K892" t="s">
        <v>220</v>
      </c>
      <c r="L892"/>
      <c r="M892" t="n">
        <v>1988</v>
      </c>
      <c r="N892" t="n">
        <v>1990</v>
      </c>
      <c r="O892" t="s">
        <v>310</v>
      </c>
      <c r="P892" t="n">
        <v>2</v>
      </c>
      <c r="Q892" t="n">
        <v>2</v>
      </c>
      <c r="R892" t="n">
        <v>2</v>
      </c>
      <c r="S892" t="n">
        <v>1987</v>
      </c>
      <c r="T892" t="s">
        <v>1070</v>
      </c>
      <c r="U892" t="s">
        <v>1071</v>
      </c>
      <c r="V892" t="s">
        <v>74</v>
      </c>
      <c r="W892"/>
      <c r="X892"/>
      <c r="Y892"/>
      <c r="Z892"/>
      <c r="AA892"/>
      <c r="AB892"/>
      <c r="AC892"/>
      <c r="AD892"/>
      <c r="AE892"/>
      <c r="AF892"/>
      <c r="AG892"/>
    </row>
    <row r="893">
      <c r="A893" t="s">
        <v>1072</v>
      </c>
      <c r="B893" t="s">
        <v>31</v>
      </c>
      <c r="C893" t="s">
        <v>65</v>
      </c>
      <c r="D893" t="s">
        <v>1073</v>
      </c>
      <c r="E893" t="s">
        <v>738</v>
      </c>
      <c r="F893" t="s">
        <v>724</v>
      </c>
      <c r="G893" t="s">
        <v>739</v>
      </c>
      <c r="H893" t="n">
        <v>40.1668031946127</v>
      </c>
      <c r="I893" t="n">
        <v>-105.120277845611</v>
      </c>
      <c r="J893" t="s">
        <v>35</v>
      </c>
      <c r="K893" t="s">
        <v>120</v>
      </c>
      <c r="L893"/>
      <c r="M893" t="n">
        <v>1988</v>
      </c>
      <c r="N893" t="n">
        <v>1990</v>
      </c>
      <c r="O893" t="s">
        <v>325</v>
      </c>
      <c r="P893" t="n">
        <v>2</v>
      </c>
      <c r="Q893" t="n">
        <v>1</v>
      </c>
      <c r="R893" t="n">
        <v>1</v>
      </c>
      <c r="S893" t="n">
        <v>1984</v>
      </c>
      <c r="T893" t="s">
        <v>1074</v>
      </c>
      <c r="U893" t="s">
        <v>1075</v>
      </c>
      <c r="V893" t="s">
        <v>74</v>
      </c>
      <c r="W893"/>
      <c r="X893"/>
      <c r="Y893"/>
      <c r="Z893"/>
      <c r="AA893"/>
      <c r="AB893"/>
      <c r="AC893"/>
      <c r="AD893"/>
      <c r="AE893"/>
      <c r="AF893"/>
      <c r="AG893"/>
    </row>
    <row r="894">
      <c r="A894" t="s">
        <v>1076</v>
      </c>
      <c r="B894" t="s">
        <v>31</v>
      </c>
      <c r="C894" t="s">
        <v>65</v>
      </c>
      <c r="D894" t="s">
        <v>1077</v>
      </c>
      <c r="E894" t="s">
        <v>1010</v>
      </c>
      <c r="F894" t="s">
        <v>724</v>
      </c>
      <c r="G894" t="s">
        <v>1011</v>
      </c>
      <c r="H894" t="n">
        <v>39.9660369328859</v>
      </c>
      <c r="I894" t="n">
        <v>-105.122532255034</v>
      </c>
      <c r="J894" t="s">
        <v>35</v>
      </c>
      <c r="K894" t="s">
        <v>201</v>
      </c>
      <c r="L894"/>
      <c r="M894" t="n">
        <v>1988</v>
      </c>
      <c r="N894" t="n">
        <v>1988</v>
      </c>
      <c r="O894" t="s">
        <v>325</v>
      </c>
      <c r="P894" t="n">
        <v>1</v>
      </c>
      <c r="Q894" t="n">
        <v>1</v>
      </c>
      <c r="R894" t="n">
        <v>1</v>
      </c>
      <c r="S894" t="n">
        <v>1963</v>
      </c>
      <c r="T894" t="s">
        <v>1078</v>
      </c>
      <c r="U894" t="s">
        <v>1079</v>
      </c>
      <c r="V894" t="s">
        <v>74</v>
      </c>
      <c r="W894"/>
      <c r="X894"/>
      <c r="Y894"/>
      <c r="Z894"/>
      <c r="AA894"/>
      <c r="AB894"/>
      <c r="AC894"/>
      <c r="AD894"/>
      <c r="AE894"/>
      <c r="AF894" t="s">
        <v>1080</v>
      </c>
      <c r="AG894" t="n">
        <v>48</v>
      </c>
    </row>
    <row r="895">
      <c r="A895" t="s">
        <v>1081</v>
      </c>
      <c r="B895" t="s">
        <v>31</v>
      </c>
      <c r="C895" t="s">
        <v>65</v>
      </c>
      <c r="D895" t="s">
        <v>1082</v>
      </c>
      <c r="E895" t="s">
        <v>1083</v>
      </c>
      <c r="F895" t="s">
        <v>724</v>
      </c>
      <c r="G895" t="s">
        <v>1084</v>
      </c>
      <c r="H895" t="n">
        <v>40.269939</v>
      </c>
      <c r="I895" t="n">
        <v>-105.298766</v>
      </c>
      <c r="J895" t="s">
        <v>35</v>
      </c>
      <c r="K895" t="s">
        <v>120</v>
      </c>
      <c r="L895"/>
      <c r="M895" t="n">
        <v>1988</v>
      </c>
      <c r="N895" t="n">
        <v>1988</v>
      </c>
      <c r="O895" t="s">
        <v>325</v>
      </c>
      <c r="P895" t="n">
        <v>1</v>
      </c>
      <c r="Q895" t="n">
        <v>1</v>
      </c>
      <c r="R895" t="n">
        <v>1</v>
      </c>
      <c r="S895" t="n">
        <v>1979</v>
      </c>
      <c r="T895" t="s">
        <v>1085</v>
      </c>
      <c r="U895" t="s">
        <v>1086</v>
      </c>
      <c r="V895" t="s">
        <v>74</v>
      </c>
      <c r="W895"/>
      <c r="X895"/>
      <c r="Y895"/>
      <c r="Z895"/>
      <c r="AA895"/>
      <c r="AB895"/>
      <c r="AC895"/>
      <c r="AD895"/>
      <c r="AE895"/>
      <c r="AF895"/>
      <c r="AG895"/>
    </row>
    <row r="896">
      <c r="A896" t="s">
        <v>1087</v>
      </c>
      <c r="B896" t="s">
        <v>31</v>
      </c>
      <c r="C896" t="s">
        <v>65</v>
      </c>
      <c r="D896" t="s">
        <v>1088</v>
      </c>
      <c r="E896" t="s">
        <v>723</v>
      </c>
      <c r="F896" t="s">
        <v>724</v>
      </c>
      <c r="G896" t="s">
        <v>725</v>
      </c>
      <c r="H896" t="n">
        <v>40.0186600612245</v>
      </c>
      <c r="I896" t="n">
        <v>-105.28148322449</v>
      </c>
      <c r="J896" t="s">
        <v>35</v>
      </c>
      <c r="K896" t="s">
        <v>120</v>
      </c>
      <c r="L896"/>
      <c r="M896" t="n">
        <v>1990</v>
      </c>
      <c r="N896" t="n">
        <v>1990</v>
      </c>
      <c r="O896" t="s">
        <v>351</v>
      </c>
      <c r="P896" t="n">
        <v>1</v>
      </c>
      <c r="Q896" t="n">
        <v>1</v>
      </c>
      <c r="R896" t="n">
        <v>1</v>
      </c>
      <c r="S896" t="n">
        <v>1987</v>
      </c>
      <c r="T896" t="s">
        <v>1089</v>
      </c>
      <c r="U896" t="s">
        <v>1090</v>
      </c>
      <c r="V896" t="s">
        <v>74</v>
      </c>
      <c r="W896"/>
      <c r="X896"/>
      <c r="Y896"/>
      <c r="Z896"/>
      <c r="AA896"/>
      <c r="AB896"/>
      <c r="AC896"/>
      <c r="AD896"/>
      <c r="AE896"/>
      <c r="AF896" t="s">
        <v>1091</v>
      </c>
      <c r="AG896" t="n">
        <v>138</v>
      </c>
    </row>
    <row r="897">
      <c r="A897" t="s">
        <v>1092</v>
      </c>
      <c r="B897" t="s">
        <v>31</v>
      </c>
      <c r="C897" t="s">
        <v>65</v>
      </c>
      <c r="D897" t="s">
        <v>1093</v>
      </c>
      <c r="E897" t="s">
        <v>723</v>
      </c>
      <c r="F897" t="s">
        <v>724</v>
      </c>
      <c r="G897" t="s">
        <v>863</v>
      </c>
      <c r="H897" t="n">
        <v>39.9531078846276</v>
      </c>
      <c r="I897" t="n">
        <v>-105.232661604829</v>
      </c>
      <c r="J897" t="s">
        <v>35</v>
      </c>
      <c r="K897" t="s">
        <v>120</v>
      </c>
      <c r="L897"/>
      <c r="M897" t="n">
        <v>1990</v>
      </c>
      <c r="N897" t="n">
        <v>1992</v>
      </c>
      <c r="O897" t="s">
        <v>351</v>
      </c>
      <c r="P897" t="n">
        <v>2</v>
      </c>
      <c r="Q897" t="n">
        <v>2</v>
      </c>
      <c r="R897" t="n">
        <v>1</v>
      </c>
      <c r="S897" t="n">
        <v>1967</v>
      </c>
      <c r="T897" t="s">
        <v>1094</v>
      </c>
      <c r="U897" t="s">
        <v>1095</v>
      </c>
      <c r="V897" t="s">
        <v>74</v>
      </c>
      <c r="W897"/>
      <c r="X897"/>
      <c r="Y897"/>
      <c r="Z897"/>
      <c r="AA897"/>
      <c r="AB897"/>
      <c r="AC897"/>
      <c r="AD897"/>
      <c r="AE897"/>
      <c r="AF897"/>
      <c r="AG897"/>
    </row>
    <row r="898">
      <c r="A898" t="s">
        <v>1096</v>
      </c>
      <c r="B898" t="s">
        <v>31</v>
      </c>
      <c r="C898" t="s">
        <v>65</v>
      </c>
      <c r="D898" t="s">
        <v>1097</v>
      </c>
      <c r="E898" t="s">
        <v>723</v>
      </c>
      <c r="F898" t="s">
        <v>724</v>
      </c>
      <c r="G898" t="s">
        <v>1098</v>
      </c>
      <c r="H898" t="n">
        <v>40.0445458290076</v>
      </c>
      <c r="I898" t="n">
        <v>-105.321072055316</v>
      </c>
      <c r="J898" t="s">
        <v>35</v>
      </c>
      <c r="K898" t="s">
        <v>120</v>
      </c>
      <c r="L898"/>
      <c r="M898" t="n">
        <v>1990</v>
      </c>
      <c r="N898" t="n">
        <v>1990</v>
      </c>
      <c r="O898" t="s">
        <v>351</v>
      </c>
      <c r="P898" t="n">
        <v>1</v>
      </c>
      <c r="Q898" t="n">
        <v>1</v>
      </c>
      <c r="R898" t="n">
        <v>1</v>
      </c>
      <c r="S898" t="n">
        <v>1964</v>
      </c>
      <c r="T898" t="s">
        <v>1099</v>
      </c>
      <c r="U898" t="s">
        <v>1100</v>
      </c>
      <c r="V898" t="s">
        <v>74</v>
      </c>
      <c r="W898"/>
      <c r="X898"/>
      <c r="Y898"/>
      <c r="Z898"/>
      <c r="AA898"/>
      <c r="AB898"/>
      <c r="AC898"/>
      <c r="AD898"/>
      <c r="AE898"/>
      <c r="AF898"/>
      <c r="AG898"/>
    </row>
    <row r="899">
      <c r="A899" t="s">
        <v>1101</v>
      </c>
      <c r="B899" t="s">
        <v>31</v>
      </c>
      <c r="C899" t="s">
        <v>65</v>
      </c>
      <c r="D899" t="s">
        <v>1102</v>
      </c>
      <c r="E899" t="s">
        <v>723</v>
      </c>
      <c r="F899" t="s">
        <v>724</v>
      </c>
      <c r="G899" t="s">
        <v>817</v>
      </c>
      <c r="H899" t="n">
        <v>40.0736291668552</v>
      </c>
      <c r="I899" t="n">
        <v>-105.203514461924</v>
      </c>
      <c r="J899" t="s">
        <v>35</v>
      </c>
      <c r="K899" t="s">
        <v>141</v>
      </c>
      <c r="L899"/>
      <c r="M899" t="n">
        <v>1990</v>
      </c>
      <c r="N899" t="n">
        <v>1992</v>
      </c>
      <c r="O899" t="s">
        <v>357</v>
      </c>
      <c r="P899" t="n">
        <v>2</v>
      </c>
      <c r="Q899" t="n">
        <v>1</v>
      </c>
      <c r="R899" t="n">
        <v>1</v>
      </c>
      <c r="S899" t="n">
        <v>1979</v>
      </c>
      <c r="T899" t="s">
        <v>1103</v>
      </c>
      <c r="U899" t="s">
        <v>1104</v>
      </c>
      <c r="V899" t="s">
        <v>74</v>
      </c>
      <c r="W899"/>
      <c r="X899"/>
      <c r="Y899"/>
      <c r="Z899"/>
      <c r="AA899"/>
      <c r="AB899"/>
      <c r="AC899"/>
      <c r="AD899" t="s">
        <v>1105</v>
      </c>
      <c r="AE899" t="n">
        <v>127</v>
      </c>
      <c r="AF899" t="s">
        <v>1106</v>
      </c>
      <c r="AG899" t="n">
        <v>111</v>
      </c>
    </row>
    <row r="900">
      <c r="A900" t="s">
        <v>1107</v>
      </c>
      <c r="B900" t="s">
        <v>31</v>
      </c>
      <c r="C900" t="s">
        <v>65</v>
      </c>
      <c r="D900" t="s">
        <v>1108</v>
      </c>
      <c r="E900" t="s">
        <v>723</v>
      </c>
      <c r="F900" t="s">
        <v>724</v>
      </c>
      <c r="G900" t="s">
        <v>817</v>
      </c>
      <c r="H900" t="n">
        <v>40.0292308224422</v>
      </c>
      <c r="I900" t="n">
        <v>-105.23338741032</v>
      </c>
      <c r="J900" t="s">
        <v>35</v>
      </c>
      <c r="K900" t="s">
        <v>89</v>
      </c>
      <c r="L900"/>
      <c r="M900" t="n">
        <v>1990</v>
      </c>
      <c r="N900" t="n">
        <v>1990</v>
      </c>
      <c r="O900" t="s">
        <v>351</v>
      </c>
      <c r="P900" t="n">
        <v>1</v>
      </c>
      <c r="Q900" t="n">
        <v>1</v>
      </c>
      <c r="R900" t="n">
        <v>1</v>
      </c>
      <c r="S900" t="n">
        <v>1973</v>
      </c>
      <c r="T900" t="s">
        <v>1109</v>
      </c>
      <c r="U900" t="s">
        <v>1110</v>
      </c>
      <c r="V900" t="s">
        <v>74</v>
      </c>
      <c r="W900"/>
      <c r="X900"/>
      <c r="Y900"/>
      <c r="Z900"/>
      <c r="AA900"/>
      <c r="AB900"/>
      <c r="AC900"/>
      <c r="AD900"/>
      <c r="AE900"/>
      <c r="AF900"/>
      <c r="AG900"/>
    </row>
    <row r="901">
      <c r="A901" t="s">
        <v>1111</v>
      </c>
      <c r="B901" t="s">
        <v>31</v>
      </c>
      <c r="C901" t="s">
        <v>65</v>
      </c>
      <c r="D901" t="s">
        <v>1112</v>
      </c>
      <c r="E901" t="s">
        <v>723</v>
      </c>
      <c r="F901" t="s">
        <v>724</v>
      </c>
      <c r="G901" t="s">
        <v>863</v>
      </c>
      <c r="H901" t="n">
        <v>39.975179</v>
      </c>
      <c r="I901" t="n">
        <v>-105.240147</v>
      </c>
      <c r="J901" t="s">
        <v>35</v>
      </c>
      <c r="K901" t="s">
        <v>70</v>
      </c>
      <c r="L901"/>
      <c r="M901" t="n">
        <v>1990</v>
      </c>
      <c r="N901" t="n">
        <v>1990</v>
      </c>
      <c r="O901" t="s">
        <v>351</v>
      </c>
      <c r="P901" t="n">
        <v>1</v>
      </c>
      <c r="Q901" t="n">
        <v>1</v>
      </c>
      <c r="R901" t="n">
        <v>1</v>
      </c>
      <c r="S901" t="n">
        <v>1979</v>
      </c>
      <c r="T901" t="s">
        <v>1113</v>
      </c>
      <c r="U901" t="s">
        <v>1114</v>
      </c>
      <c r="V901" t="s">
        <v>74</v>
      </c>
      <c r="W901"/>
      <c r="X901"/>
      <c r="Y901"/>
      <c r="Z901"/>
      <c r="AA901"/>
      <c r="AB901"/>
      <c r="AC901"/>
      <c r="AD901"/>
      <c r="AE901"/>
      <c r="AF901"/>
      <c r="AG901"/>
    </row>
    <row r="902">
      <c r="A902" t="s">
        <v>1115</v>
      </c>
      <c r="B902" t="s">
        <v>31</v>
      </c>
      <c r="C902" t="s">
        <v>65</v>
      </c>
      <c r="D902" t="s">
        <v>1116</v>
      </c>
      <c r="E902" t="s">
        <v>723</v>
      </c>
      <c r="F902" t="s">
        <v>724</v>
      </c>
      <c r="G902" t="s">
        <v>725</v>
      </c>
      <c r="H902" t="n">
        <v>40.0113225755114</v>
      </c>
      <c r="I902" t="n">
        <v>-105.351891828534</v>
      </c>
      <c r="J902" t="s">
        <v>35</v>
      </c>
      <c r="K902" t="s">
        <v>120</v>
      </c>
      <c r="L902" t="s">
        <v>1117</v>
      </c>
      <c r="M902" t="n">
        <v>1990</v>
      </c>
      <c r="N902" t="n">
        <v>1992</v>
      </c>
      <c r="O902" t="s">
        <v>357</v>
      </c>
      <c r="P902" t="n">
        <v>2</v>
      </c>
      <c r="Q902" t="n">
        <v>2</v>
      </c>
      <c r="R902" t="n">
        <v>2</v>
      </c>
      <c r="S902" t="n">
        <v>1976</v>
      </c>
      <c r="T902" t="s">
        <v>1118</v>
      </c>
      <c r="U902" t="s">
        <v>1119</v>
      </c>
      <c r="V902" t="s">
        <v>74</v>
      </c>
      <c r="W902"/>
      <c r="X902"/>
      <c r="Y902"/>
      <c r="Z902"/>
      <c r="AA902"/>
      <c r="AB902"/>
      <c r="AC902"/>
      <c r="AD902"/>
      <c r="AE902"/>
      <c r="AF902"/>
      <c r="AG902"/>
    </row>
    <row r="903">
      <c r="A903" t="s">
        <v>1120</v>
      </c>
      <c r="B903" t="s">
        <v>31</v>
      </c>
      <c r="C903" t="s">
        <v>65</v>
      </c>
      <c r="D903" t="s">
        <v>1121</v>
      </c>
      <c r="E903" t="s">
        <v>883</v>
      </c>
      <c r="F903" t="s">
        <v>724</v>
      </c>
      <c r="G903" t="s">
        <v>884</v>
      </c>
      <c r="H903" t="n">
        <v>40.0549054115507</v>
      </c>
      <c r="I903" t="n">
        <v>-105.075168348556</v>
      </c>
      <c r="J903" t="s">
        <v>35</v>
      </c>
      <c r="K903" t="s">
        <v>120</v>
      </c>
      <c r="L903"/>
      <c r="M903" t="n">
        <v>1990</v>
      </c>
      <c r="N903" t="n">
        <v>1992</v>
      </c>
      <c r="O903" t="s">
        <v>357</v>
      </c>
      <c r="P903" t="n">
        <v>2</v>
      </c>
      <c r="Q903" t="n">
        <v>2</v>
      </c>
      <c r="R903" t="n">
        <v>2</v>
      </c>
      <c r="S903" t="n">
        <v>1975</v>
      </c>
      <c r="T903" t="s">
        <v>1122</v>
      </c>
      <c r="U903" t="s">
        <v>1123</v>
      </c>
      <c r="V903" t="s">
        <v>74</v>
      </c>
      <c r="W903"/>
      <c r="X903"/>
      <c r="Y903"/>
      <c r="Z903"/>
      <c r="AA903"/>
      <c r="AB903"/>
      <c r="AC903"/>
      <c r="AD903"/>
      <c r="AE903"/>
      <c r="AF903"/>
      <c r="AG903"/>
    </row>
    <row r="904">
      <c r="A904" t="s">
        <v>1124</v>
      </c>
      <c r="B904" t="s">
        <v>31</v>
      </c>
      <c r="C904" t="s">
        <v>65</v>
      </c>
      <c r="D904" t="s">
        <v>1125</v>
      </c>
      <c r="E904" t="s">
        <v>883</v>
      </c>
      <c r="F904" t="s">
        <v>724</v>
      </c>
      <c r="G904" t="s">
        <v>884</v>
      </c>
      <c r="H904" t="n">
        <v>40.0038370680123</v>
      </c>
      <c r="I904" t="n">
        <v>-105.105337086833</v>
      </c>
      <c r="J904" t="s">
        <v>35</v>
      </c>
      <c r="K904" t="s">
        <v>120</v>
      </c>
      <c r="L904"/>
      <c r="M904" t="n">
        <v>1990</v>
      </c>
      <c r="N904" t="n">
        <v>1990</v>
      </c>
      <c r="O904" t="s">
        <v>351</v>
      </c>
      <c r="P904" t="n">
        <v>1</v>
      </c>
      <c r="Q904" t="n">
        <v>2</v>
      </c>
      <c r="R904" t="n">
        <v>1</v>
      </c>
      <c r="S904" t="n">
        <v>1979</v>
      </c>
      <c r="T904" t="s">
        <v>1126</v>
      </c>
      <c r="U904" t="s">
        <v>1127</v>
      </c>
      <c r="V904" t="s">
        <v>74</v>
      </c>
      <c r="W904"/>
      <c r="X904"/>
      <c r="Y904"/>
      <c r="Z904"/>
      <c r="AA904"/>
      <c r="AB904"/>
      <c r="AC904"/>
      <c r="AD904" t="s">
        <v>1128</v>
      </c>
      <c r="AE904" t="n">
        <v>177</v>
      </c>
      <c r="AF904" t="s">
        <v>1129</v>
      </c>
      <c r="AG904" t="n">
        <v>224</v>
      </c>
    </row>
    <row r="905">
      <c r="A905" t="s">
        <v>1130</v>
      </c>
      <c r="B905" t="s">
        <v>31</v>
      </c>
      <c r="C905" t="s">
        <v>65</v>
      </c>
      <c r="D905" t="s">
        <v>1131</v>
      </c>
      <c r="E905" t="s">
        <v>738</v>
      </c>
      <c r="F905" t="s">
        <v>724</v>
      </c>
      <c r="G905" t="s">
        <v>739</v>
      </c>
      <c r="H905" t="n">
        <v>40.1551702653061</v>
      </c>
      <c r="I905" t="n">
        <v>-105.121865959184</v>
      </c>
      <c r="J905" t="s">
        <v>35</v>
      </c>
      <c r="K905" t="s">
        <v>120</v>
      </c>
      <c r="L905"/>
      <c r="M905" t="n">
        <v>1990</v>
      </c>
      <c r="N905" t="n">
        <v>1992</v>
      </c>
      <c r="O905" t="s">
        <v>1016</v>
      </c>
      <c r="P905" t="n">
        <v>2</v>
      </c>
      <c r="Q905" t="n">
        <v>3</v>
      </c>
      <c r="R905" t="n">
        <v>1</v>
      </c>
      <c r="S905" t="n">
        <v>1971</v>
      </c>
      <c r="T905" t="s">
        <v>1132</v>
      </c>
      <c r="U905" t="s">
        <v>1133</v>
      </c>
      <c r="V905" t="s">
        <v>74</v>
      </c>
      <c r="W905"/>
      <c r="X905"/>
      <c r="Y905"/>
      <c r="Z905"/>
      <c r="AA905"/>
      <c r="AB905"/>
      <c r="AC905"/>
      <c r="AD905" t="s">
        <v>1134</v>
      </c>
      <c r="AE905" t="n">
        <v>161</v>
      </c>
      <c r="AF905" t="s">
        <v>1135</v>
      </c>
      <c r="AG905" t="n">
        <v>163</v>
      </c>
    </row>
    <row r="906">
      <c r="A906" t="s">
        <v>4219</v>
      </c>
      <c r="B906" t="s">
        <v>31</v>
      </c>
      <c r="C906" t="s">
        <v>24</v>
      </c>
      <c r="D906" t="s">
        <v>4220</v>
      </c>
      <c r="E906" t="s">
        <v>1010</v>
      </c>
      <c r="F906" t="s">
        <v>724</v>
      </c>
      <c r="G906" t="s">
        <v>1011</v>
      </c>
      <c r="H906" t="n">
        <v>39.9910630767731</v>
      </c>
      <c r="I906" t="n">
        <v>-105.144261583297</v>
      </c>
      <c r="J906" t="s">
        <v>4109</v>
      </c>
      <c r="K906" t="s">
        <v>89</v>
      </c>
      <c r="L906"/>
      <c r="M906" t="n">
        <v>1990</v>
      </c>
      <c r="N906" t="n">
        <v>1992</v>
      </c>
      <c r="O906" t="s">
        <v>357</v>
      </c>
      <c r="P906" t="n">
        <v>2</v>
      </c>
      <c r="Q906" t="n">
        <v>2</v>
      </c>
      <c r="R906" t="n">
        <v>2</v>
      </c>
      <c r="S906" t="n">
        <v>1985</v>
      </c>
      <c r="T906" t="s">
        <v>4221</v>
      </c>
      <c r="U906" t="s">
        <v>4222</v>
      </c>
      <c r="V906" t="s">
        <v>74</v>
      </c>
      <c r="W906"/>
      <c r="X906"/>
      <c r="Y906"/>
      <c r="Z906"/>
      <c r="AA906"/>
      <c r="AB906"/>
      <c r="AC906"/>
      <c r="AD906"/>
      <c r="AE906"/>
      <c r="AF906"/>
      <c r="AG906"/>
    </row>
    <row r="907">
      <c r="A907" t="s">
        <v>4223</v>
      </c>
      <c r="B907" t="s">
        <v>31</v>
      </c>
      <c r="C907" t="s">
        <v>24</v>
      </c>
      <c r="D907" t="s">
        <v>4224</v>
      </c>
      <c r="E907" t="s">
        <v>883</v>
      </c>
      <c r="F907" t="s">
        <v>724</v>
      </c>
      <c r="G907" t="s">
        <v>884</v>
      </c>
      <c r="H907" t="n">
        <v>39.974236</v>
      </c>
      <c r="I907" t="n">
        <v>-105.141023</v>
      </c>
      <c r="J907" t="s">
        <v>4109</v>
      </c>
      <c r="K907" t="s">
        <v>70</v>
      </c>
      <c r="L907" t="s">
        <v>202</v>
      </c>
      <c r="M907" t="n">
        <v>1990</v>
      </c>
      <c r="N907" t="n">
        <v>1990</v>
      </c>
      <c r="O907" t="s">
        <v>351</v>
      </c>
      <c r="P907" t="n">
        <v>1</v>
      </c>
      <c r="Q907" t="n">
        <v>1</v>
      </c>
      <c r="R907" t="n">
        <v>1</v>
      </c>
      <c r="S907" t="n">
        <v>1983</v>
      </c>
      <c r="T907" t="s">
        <v>4225</v>
      </c>
      <c r="U907" t="s">
        <v>4226</v>
      </c>
      <c r="V907" t="s">
        <v>74</v>
      </c>
      <c r="W907"/>
      <c r="X907"/>
      <c r="Y907"/>
      <c r="Z907"/>
      <c r="AA907"/>
      <c r="AB907"/>
      <c r="AC907"/>
      <c r="AD907"/>
      <c r="AE907"/>
      <c r="AF907"/>
      <c r="AG907"/>
    </row>
    <row r="908">
      <c r="A908" t="s">
        <v>1136</v>
      </c>
      <c r="B908" t="s">
        <v>31</v>
      </c>
      <c r="C908" t="s">
        <v>65</v>
      </c>
      <c r="D908" t="s">
        <v>1137</v>
      </c>
      <c r="E908" t="s">
        <v>1010</v>
      </c>
      <c r="F908" t="s">
        <v>724</v>
      </c>
      <c r="G908" t="s">
        <v>1011</v>
      </c>
      <c r="H908" t="n">
        <v>39.9600353127393</v>
      </c>
      <c r="I908" t="n">
        <v>-105.121751161489</v>
      </c>
      <c r="J908" t="s">
        <v>35</v>
      </c>
      <c r="K908" t="s">
        <v>70</v>
      </c>
      <c r="L908"/>
      <c r="M908" t="n">
        <v>1990</v>
      </c>
      <c r="N908" t="n">
        <v>1990</v>
      </c>
      <c r="O908" t="s">
        <v>351</v>
      </c>
      <c r="P908" t="n">
        <v>1</v>
      </c>
      <c r="Q908" t="n">
        <v>1</v>
      </c>
      <c r="R908" t="n">
        <v>1</v>
      </c>
      <c r="S908" t="n">
        <v>1977</v>
      </c>
      <c r="T908" t="s">
        <v>1138</v>
      </c>
      <c r="U908" t="s">
        <v>1139</v>
      </c>
      <c r="V908" t="s">
        <v>74</v>
      </c>
      <c r="W908"/>
      <c r="X908"/>
      <c r="Y908"/>
      <c r="Z908"/>
      <c r="AA908"/>
      <c r="AB908"/>
      <c r="AC908"/>
      <c r="AD908" t="s">
        <v>1140</v>
      </c>
      <c r="AE908" t="n">
        <v>179</v>
      </c>
      <c r="AF908" t="s">
        <v>1141</v>
      </c>
      <c r="AG908" t="n">
        <v>55</v>
      </c>
    </row>
    <row r="909">
      <c r="A909" t="s">
        <v>1142</v>
      </c>
      <c r="B909" t="s">
        <v>31</v>
      </c>
      <c r="C909" t="s">
        <v>65</v>
      </c>
      <c r="D909" t="s">
        <v>1143</v>
      </c>
      <c r="E909" t="s">
        <v>723</v>
      </c>
      <c r="F909" t="s">
        <v>724</v>
      </c>
      <c r="G909" t="s">
        <v>817</v>
      </c>
      <c r="H909" t="n">
        <v>40.0717967451609</v>
      </c>
      <c r="I909" t="n">
        <v>-105.205085898136</v>
      </c>
      <c r="J909" t="s">
        <v>35</v>
      </c>
      <c r="K909" t="s">
        <v>120</v>
      </c>
      <c r="L909"/>
      <c r="M909" t="n">
        <v>1992</v>
      </c>
      <c r="N909" t="n">
        <v>1992</v>
      </c>
      <c r="O909" t="s">
        <v>1016</v>
      </c>
      <c r="P909" t="n">
        <v>1</v>
      </c>
      <c r="Q909" t="n">
        <v>2</v>
      </c>
      <c r="R909" t="n">
        <v>1</v>
      </c>
      <c r="S909" t="n">
        <v>1978</v>
      </c>
      <c r="T909" t="s">
        <v>1144</v>
      </c>
      <c r="U909" t="s">
        <v>1145</v>
      </c>
      <c r="V909" t="s">
        <v>74</v>
      </c>
      <c r="W909"/>
      <c r="X909"/>
      <c r="Y909"/>
      <c r="Z909"/>
      <c r="AA909"/>
      <c r="AB909"/>
      <c r="AC909"/>
      <c r="AD909" t="s">
        <v>1105</v>
      </c>
      <c r="AE909" t="n">
        <v>119</v>
      </c>
      <c r="AF909" t="s">
        <v>1105</v>
      </c>
      <c r="AG909" t="n">
        <v>47</v>
      </c>
    </row>
    <row r="910">
      <c r="A910" t="s">
        <v>1146</v>
      </c>
      <c r="B910" t="s">
        <v>31</v>
      </c>
      <c r="C910" t="s">
        <v>65</v>
      </c>
      <c r="D910" t="s">
        <v>1147</v>
      </c>
      <c r="E910" t="s">
        <v>723</v>
      </c>
      <c r="F910" t="s">
        <v>724</v>
      </c>
      <c r="G910" t="s">
        <v>863</v>
      </c>
      <c r="H910" t="n">
        <v>40.0136491267491</v>
      </c>
      <c r="I910" t="n">
        <v>-105.258481237728</v>
      </c>
      <c r="J910" t="s">
        <v>35</v>
      </c>
      <c r="K910" t="s">
        <v>220</v>
      </c>
      <c r="L910"/>
      <c r="M910" t="n">
        <v>1992</v>
      </c>
      <c r="N910" t="n">
        <v>1992</v>
      </c>
      <c r="O910" t="s">
        <v>1016</v>
      </c>
      <c r="P910" t="n">
        <v>1</v>
      </c>
      <c r="Q910" t="n">
        <v>1</v>
      </c>
      <c r="R910" t="n">
        <v>1</v>
      </c>
      <c r="S910"/>
      <c r="T910" t="s">
        <v>1148</v>
      </c>
      <c r="U910" t="s">
        <v>1149</v>
      </c>
      <c r="V910" t="s">
        <v>74</v>
      </c>
      <c r="W910"/>
      <c r="X910"/>
      <c r="Y910"/>
      <c r="Z910"/>
      <c r="AA910"/>
      <c r="AB910" t="s">
        <v>1150</v>
      </c>
      <c r="AC910" t="n">
        <v>109</v>
      </c>
      <c r="AD910"/>
      <c r="AE910"/>
      <c r="AF910" t="s">
        <v>1151</v>
      </c>
      <c r="AG910" t="n">
        <v>142</v>
      </c>
    </row>
    <row r="911">
      <c r="A911" t="s">
        <v>4227</v>
      </c>
      <c r="B911" t="s">
        <v>31</v>
      </c>
      <c r="C911" t="s">
        <v>24</v>
      </c>
      <c r="D911" t="s">
        <v>4228</v>
      </c>
      <c r="E911" t="s">
        <v>738</v>
      </c>
      <c r="F911" t="s">
        <v>724</v>
      </c>
      <c r="G911" t="s">
        <v>739</v>
      </c>
      <c r="H911" t="n">
        <v>40.172759419053</v>
      </c>
      <c r="I911" t="n">
        <v>-105.115283488541</v>
      </c>
      <c r="J911" t="s">
        <v>4109</v>
      </c>
      <c r="K911" t="s">
        <v>81</v>
      </c>
      <c r="L911"/>
      <c r="M911" t="n">
        <v>1992</v>
      </c>
      <c r="N911" t="n">
        <v>1992</v>
      </c>
      <c r="O911" t="s">
        <v>1016</v>
      </c>
      <c r="P911" t="n">
        <v>1</v>
      </c>
      <c r="Q911" t="n">
        <v>1</v>
      </c>
      <c r="R911" t="n">
        <v>1</v>
      </c>
      <c r="S911" t="n">
        <v>1976</v>
      </c>
      <c r="T911" t="s">
        <v>4229</v>
      </c>
      <c r="U911" t="s">
        <v>4230</v>
      </c>
      <c r="V911" t="s">
        <v>74</v>
      </c>
      <c r="W911"/>
      <c r="X911"/>
      <c r="Y911"/>
      <c r="Z911"/>
      <c r="AA911"/>
      <c r="AB911"/>
      <c r="AC911"/>
      <c r="AD911"/>
      <c r="AE911"/>
      <c r="AF911"/>
      <c r="AG911"/>
    </row>
    <row r="912">
      <c r="A912" t="s">
        <v>1152</v>
      </c>
      <c r="B912" t="s">
        <v>31</v>
      </c>
      <c r="C912" t="s">
        <v>65</v>
      </c>
      <c r="D912" t="s">
        <v>1153</v>
      </c>
      <c r="E912" t="s">
        <v>738</v>
      </c>
      <c r="F912" t="s">
        <v>724</v>
      </c>
      <c r="G912" t="s">
        <v>739</v>
      </c>
      <c r="H912" t="n">
        <v>40.1557828675684</v>
      </c>
      <c r="I912" t="n">
        <v>-105.110621377368</v>
      </c>
      <c r="J912" t="s">
        <v>35</v>
      </c>
      <c r="K912" t="s">
        <v>133</v>
      </c>
      <c r="L912"/>
      <c r="M912" t="n">
        <v>1992</v>
      </c>
      <c r="N912" t="n">
        <v>1992</v>
      </c>
      <c r="O912" t="s">
        <v>1016</v>
      </c>
      <c r="P912" t="n">
        <v>1</v>
      </c>
      <c r="Q912" t="n">
        <v>1</v>
      </c>
      <c r="R912" t="n">
        <v>1</v>
      </c>
      <c r="S912" t="n">
        <v>1989</v>
      </c>
      <c r="T912" t="s">
        <v>1154</v>
      </c>
      <c r="U912" t="s">
        <v>1155</v>
      </c>
      <c r="V912" t="s">
        <v>74</v>
      </c>
      <c r="W912"/>
      <c r="X912"/>
      <c r="Y912"/>
      <c r="Z912"/>
      <c r="AA912"/>
      <c r="AB912"/>
      <c r="AC912"/>
      <c r="AD912" t="s">
        <v>1156</v>
      </c>
      <c r="AE912" t="n">
        <v>130</v>
      </c>
      <c r="AF912" t="s">
        <v>1157</v>
      </c>
      <c r="AG912" t="n">
        <v>79</v>
      </c>
    </row>
    <row r="913">
      <c r="A913" t="s">
        <v>1158</v>
      </c>
      <c r="B913" t="s">
        <v>31</v>
      </c>
      <c r="C913" t="s">
        <v>65</v>
      </c>
      <c r="D913" t="s">
        <v>1159</v>
      </c>
      <c r="E913" t="s">
        <v>738</v>
      </c>
      <c r="F913" t="s">
        <v>724</v>
      </c>
      <c r="G913" t="s">
        <v>739</v>
      </c>
      <c r="H913" t="n">
        <v>40.1902208554447</v>
      </c>
      <c r="I913" t="n">
        <v>-105.12385236334</v>
      </c>
      <c r="J913" t="s">
        <v>35</v>
      </c>
      <c r="K913" t="s">
        <v>133</v>
      </c>
      <c r="L913"/>
      <c r="M913" t="n">
        <v>1992</v>
      </c>
      <c r="N913" t="n">
        <v>1992</v>
      </c>
      <c r="O913" t="s">
        <v>1016</v>
      </c>
      <c r="P913" t="n">
        <v>1</v>
      </c>
      <c r="Q913" t="n">
        <v>1</v>
      </c>
      <c r="R913" t="n">
        <v>1</v>
      </c>
      <c r="S913"/>
      <c r="T913" t="s">
        <v>1160</v>
      </c>
      <c r="U913" t="s">
        <v>1161</v>
      </c>
      <c r="V913" t="s">
        <v>74</v>
      </c>
      <c r="W913"/>
      <c r="X913"/>
      <c r="Y913"/>
      <c r="Z913"/>
      <c r="AA913"/>
      <c r="AB913"/>
      <c r="AC913"/>
      <c r="AD913"/>
      <c r="AE913"/>
      <c r="AF913"/>
      <c r="AG913"/>
    </row>
    <row r="914">
      <c r="A914" t="s">
        <v>1162</v>
      </c>
      <c r="B914" t="s">
        <v>31</v>
      </c>
      <c r="C914" t="s">
        <v>65</v>
      </c>
      <c r="D914" t="s">
        <v>1163</v>
      </c>
      <c r="E914" t="s">
        <v>1164</v>
      </c>
      <c r="F914" t="s">
        <v>1165</v>
      </c>
      <c r="G914" t="s">
        <v>1166</v>
      </c>
      <c r="H914" t="n">
        <v>39.913563</v>
      </c>
      <c r="I914" t="n">
        <v>-105.107513</v>
      </c>
      <c r="J914" t="s">
        <v>35</v>
      </c>
      <c r="K914" t="s">
        <v>126</v>
      </c>
      <c r="L914"/>
      <c r="M914" t="n">
        <v>1966</v>
      </c>
      <c r="N914" t="n">
        <v>1990</v>
      </c>
      <c r="O914" t="s">
        <v>1167</v>
      </c>
      <c r="P914" t="n">
        <v>9</v>
      </c>
      <c r="Q914" t="n">
        <v>5</v>
      </c>
      <c r="R914" t="n">
        <v>3</v>
      </c>
      <c r="S914" t="n">
        <v>1957</v>
      </c>
      <c r="T914" t="s">
        <v>1168</v>
      </c>
      <c r="U914" t="s">
        <v>1169</v>
      </c>
      <c r="V914" t="s">
        <v>74</v>
      </c>
      <c r="W914"/>
      <c r="X914"/>
      <c r="Y914"/>
      <c r="Z914"/>
      <c r="AA914"/>
      <c r="AB914"/>
      <c r="AC914"/>
      <c r="AD914"/>
      <c r="AE914"/>
      <c r="AF914" t="s">
        <v>1170</v>
      </c>
      <c r="AG914" t="n">
        <v>50</v>
      </c>
    </row>
    <row r="915">
      <c r="A915" t="s">
        <v>1171</v>
      </c>
      <c r="B915" t="s">
        <v>31</v>
      </c>
      <c r="C915" t="s">
        <v>65</v>
      </c>
      <c r="D915" t="s">
        <v>1172</v>
      </c>
      <c r="E915" t="s">
        <v>1164</v>
      </c>
      <c r="F915" t="s">
        <v>1165</v>
      </c>
      <c r="G915" t="s">
        <v>1166</v>
      </c>
      <c r="H915" t="n">
        <v>39.915183</v>
      </c>
      <c r="I915" t="n">
        <v>-105.089509</v>
      </c>
      <c r="J915" t="s">
        <v>35</v>
      </c>
      <c r="K915" t="s">
        <v>120</v>
      </c>
      <c r="L915" t="s">
        <v>202</v>
      </c>
      <c r="M915" t="n">
        <v>1968</v>
      </c>
      <c r="N915" t="n">
        <v>1983</v>
      </c>
      <c r="O915" t="s">
        <v>1173</v>
      </c>
      <c r="P915" t="n">
        <v>5</v>
      </c>
      <c r="Q915" t="n">
        <v>3</v>
      </c>
      <c r="R915" t="n">
        <v>3</v>
      </c>
      <c r="S915" t="n">
        <v>1958</v>
      </c>
      <c r="T915" t="s">
        <v>1174</v>
      </c>
      <c r="U915" t="s">
        <v>1175</v>
      </c>
      <c r="V915" t="s">
        <v>74</v>
      </c>
      <c r="W915"/>
      <c r="X915"/>
      <c r="Y915"/>
      <c r="Z915"/>
      <c r="AA915"/>
      <c r="AB915"/>
      <c r="AC915"/>
      <c r="AD915"/>
      <c r="AE915"/>
      <c r="AF915" t="s">
        <v>1176</v>
      </c>
      <c r="AG915" t="n">
        <v>80</v>
      </c>
    </row>
    <row r="916">
      <c r="A916" t="s">
        <v>1177</v>
      </c>
      <c r="B916" t="s">
        <v>31</v>
      </c>
      <c r="C916" t="s">
        <v>65</v>
      </c>
      <c r="D916" t="s">
        <v>1178</v>
      </c>
      <c r="E916" t="s">
        <v>1164</v>
      </c>
      <c r="F916" t="s">
        <v>1165</v>
      </c>
      <c r="G916" t="s">
        <v>1166</v>
      </c>
      <c r="H916" t="n">
        <v>39.9129078985713</v>
      </c>
      <c r="I916" t="n">
        <v>-105.082740753978</v>
      </c>
      <c r="J916" t="s">
        <v>35</v>
      </c>
      <c r="K916" t="s">
        <v>120</v>
      </c>
      <c r="L916"/>
      <c r="M916" t="n">
        <v>1968</v>
      </c>
      <c r="N916" t="n">
        <v>1980</v>
      </c>
      <c r="O916" t="s">
        <v>1179</v>
      </c>
      <c r="P916" t="n">
        <v>5</v>
      </c>
      <c r="Q916" t="n">
        <v>5</v>
      </c>
      <c r="R916" t="n">
        <v>4</v>
      </c>
      <c r="S916" t="n">
        <v>1961</v>
      </c>
      <c r="T916" t="s">
        <v>1180</v>
      </c>
      <c r="U916" t="s">
        <v>1181</v>
      </c>
      <c r="V916" t="s">
        <v>74</v>
      </c>
      <c r="W916"/>
      <c r="X916"/>
      <c r="Y916"/>
      <c r="Z916"/>
      <c r="AA916"/>
      <c r="AB916"/>
      <c r="AC916"/>
      <c r="AD916"/>
      <c r="AE916"/>
      <c r="AF916" t="s">
        <v>1182</v>
      </c>
      <c r="AG916" t="n">
        <v>126</v>
      </c>
    </row>
    <row r="917">
      <c r="A917" t="s">
        <v>1183</v>
      </c>
      <c r="B917" t="s">
        <v>31</v>
      </c>
      <c r="C917" t="s">
        <v>65</v>
      </c>
      <c r="D917" t="s">
        <v>1184</v>
      </c>
      <c r="E917" t="s">
        <v>1164</v>
      </c>
      <c r="F917" t="s">
        <v>1165</v>
      </c>
      <c r="G917" t="s">
        <v>1166</v>
      </c>
      <c r="H917" t="n">
        <v>39.9213954591467</v>
      </c>
      <c r="I917" t="n">
        <v>-105.101757499104</v>
      </c>
      <c r="J917" t="s">
        <v>35</v>
      </c>
      <c r="K917" t="s">
        <v>81</v>
      </c>
      <c r="L917"/>
      <c r="M917" t="n">
        <v>1973</v>
      </c>
      <c r="N917" t="n">
        <v>1990</v>
      </c>
      <c r="O917" t="s">
        <v>242</v>
      </c>
      <c r="P917" t="n">
        <v>6</v>
      </c>
      <c r="Q917" t="n">
        <v>6</v>
      </c>
      <c r="R917" t="n">
        <v>5</v>
      </c>
      <c r="S917" t="n">
        <v>1958</v>
      </c>
      <c r="T917" t="s">
        <v>1185</v>
      </c>
      <c r="U917" t="s">
        <v>1186</v>
      </c>
      <c r="V917" t="s">
        <v>74</v>
      </c>
      <c r="W917"/>
      <c r="X917"/>
      <c r="Y917"/>
      <c r="Z917"/>
      <c r="AA917"/>
      <c r="AB917" t="s">
        <v>1187</v>
      </c>
      <c r="AC917" t="n">
        <v>183</v>
      </c>
      <c r="AD917" t="s">
        <v>1188</v>
      </c>
      <c r="AE917" t="n">
        <v>125</v>
      </c>
      <c r="AF917" t="s">
        <v>1189</v>
      </c>
      <c r="AG917" t="n">
        <v>86</v>
      </c>
    </row>
    <row r="918">
      <c r="A918" t="s">
        <v>1190</v>
      </c>
      <c r="B918" t="s">
        <v>31</v>
      </c>
      <c r="C918" t="s">
        <v>65</v>
      </c>
      <c r="D918" t="s">
        <v>1191</v>
      </c>
      <c r="E918" t="s">
        <v>1164</v>
      </c>
      <c r="F918" t="s">
        <v>1165</v>
      </c>
      <c r="G918" t="s">
        <v>1166</v>
      </c>
      <c r="H918" t="n">
        <v>39.9179846942415</v>
      </c>
      <c r="I918" t="n">
        <v>-105.08046463737</v>
      </c>
      <c r="J918" t="s">
        <v>35</v>
      </c>
      <c r="K918" t="s">
        <v>315</v>
      </c>
      <c r="L918"/>
      <c r="M918" t="n">
        <v>1980</v>
      </c>
      <c r="N918" t="n">
        <v>1983</v>
      </c>
      <c r="O918" t="s">
        <v>528</v>
      </c>
      <c r="P918" t="n">
        <v>2</v>
      </c>
      <c r="Q918" t="n">
        <v>1</v>
      </c>
      <c r="R918" t="n">
        <v>1</v>
      </c>
      <c r="S918" t="n">
        <v>1977</v>
      </c>
      <c r="T918" t="s">
        <v>1192</v>
      </c>
      <c r="U918" t="s">
        <v>1193</v>
      </c>
      <c r="V918" t="s">
        <v>74</v>
      </c>
      <c r="W918"/>
      <c r="X918"/>
      <c r="Y918"/>
      <c r="Z918"/>
      <c r="AA918"/>
      <c r="AB918"/>
      <c r="AC918"/>
      <c r="AD918"/>
      <c r="AE918"/>
      <c r="AF918"/>
      <c r="AG918"/>
    </row>
    <row r="919">
      <c r="A919" t="s">
        <v>1194</v>
      </c>
      <c r="B919" t="s">
        <v>31</v>
      </c>
      <c r="C919" t="s">
        <v>65</v>
      </c>
      <c r="D919" t="s">
        <v>1195</v>
      </c>
      <c r="E919" t="s">
        <v>1164</v>
      </c>
      <c r="F919" t="s">
        <v>1165</v>
      </c>
      <c r="G919" t="s">
        <v>1166</v>
      </c>
      <c r="H919" t="n">
        <v>39.917429</v>
      </c>
      <c r="I919" t="n">
        <v>-105.081698</v>
      </c>
      <c r="J919" t="s">
        <v>35</v>
      </c>
      <c r="K919" t="s">
        <v>70</v>
      </c>
      <c r="L919"/>
      <c r="M919" t="n">
        <v>1983</v>
      </c>
      <c r="N919" t="n">
        <v>1990</v>
      </c>
      <c r="O919" t="s">
        <v>293</v>
      </c>
      <c r="P919" t="n">
        <v>2</v>
      </c>
      <c r="Q919" t="n">
        <v>2</v>
      </c>
      <c r="R919" t="n">
        <v>1</v>
      </c>
      <c r="S919" t="n">
        <v>1970</v>
      </c>
      <c r="T919" t="s">
        <v>1196</v>
      </c>
      <c r="U919" t="s">
        <v>1197</v>
      </c>
      <c r="V919" t="s">
        <v>74</v>
      </c>
      <c r="W919"/>
      <c r="X919"/>
      <c r="Y919"/>
      <c r="Z919"/>
      <c r="AA919"/>
      <c r="AB919"/>
      <c r="AC919"/>
      <c r="AD919"/>
      <c r="AE919"/>
      <c r="AF919" t="s">
        <v>1198</v>
      </c>
      <c r="AG919" t="n">
        <v>207</v>
      </c>
    </row>
    <row r="920">
      <c r="A920" t="s">
        <v>1199</v>
      </c>
      <c r="B920" t="s">
        <v>31</v>
      </c>
      <c r="C920" t="s">
        <v>65</v>
      </c>
      <c r="D920" t="s">
        <v>1200</v>
      </c>
      <c r="E920" t="s">
        <v>1164</v>
      </c>
      <c r="F920" t="s">
        <v>1165</v>
      </c>
      <c r="G920" t="s">
        <v>1166</v>
      </c>
      <c r="H920" t="n">
        <v>39.923395305163</v>
      </c>
      <c r="I920" t="n">
        <v>-105.098206002292</v>
      </c>
      <c r="J920" t="s">
        <v>35</v>
      </c>
      <c r="K920" t="s">
        <v>81</v>
      </c>
      <c r="L920"/>
      <c r="M920" t="n">
        <v>1983</v>
      </c>
      <c r="N920" t="n">
        <v>1990</v>
      </c>
      <c r="O920" t="s">
        <v>293</v>
      </c>
      <c r="P920" t="n">
        <v>2</v>
      </c>
      <c r="Q920" t="n">
        <v>3</v>
      </c>
      <c r="R920" t="n">
        <v>2</v>
      </c>
      <c r="S920" t="n">
        <v>1969</v>
      </c>
      <c r="T920" t="s">
        <v>1201</v>
      </c>
      <c r="U920" t="s">
        <v>1202</v>
      </c>
      <c r="V920" t="s">
        <v>74</v>
      </c>
      <c r="W920"/>
      <c r="X920"/>
      <c r="Y920"/>
      <c r="Z920"/>
      <c r="AA920"/>
      <c r="AB920" t="s">
        <v>1203</v>
      </c>
      <c r="AC920" t="n">
        <v>230</v>
      </c>
      <c r="AD920" t="s">
        <v>1204</v>
      </c>
      <c r="AE920" t="n">
        <v>231</v>
      </c>
      <c r="AF920" t="s">
        <v>1205</v>
      </c>
      <c r="AG920" t="n">
        <v>165</v>
      </c>
    </row>
    <row r="921">
      <c r="A921" t="s">
        <v>1206</v>
      </c>
      <c r="B921" t="s">
        <v>31</v>
      </c>
      <c r="C921" t="s">
        <v>65</v>
      </c>
      <c r="D921" t="s">
        <v>1207</v>
      </c>
      <c r="E921" t="s">
        <v>1164</v>
      </c>
      <c r="F921" t="s">
        <v>1165</v>
      </c>
      <c r="G921" t="s">
        <v>1166</v>
      </c>
      <c r="H921" t="n">
        <v>39.9285792122042</v>
      </c>
      <c r="I921" t="n">
        <v>-105.075499216362</v>
      </c>
      <c r="J921" t="s">
        <v>35</v>
      </c>
      <c r="K921" t="s">
        <v>527</v>
      </c>
      <c r="L921"/>
      <c r="M921" t="n">
        <v>1983</v>
      </c>
      <c r="N921" t="n">
        <v>1988</v>
      </c>
      <c r="O921" t="s">
        <v>283</v>
      </c>
      <c r="P921" t="n">
        <v>2</v>
      </c>
      <c r="Q921" t="n">
        <v>1</v>
      </c>
      <c r="R921" t="n">
        <v>1</v>
      </c>
      <c r="S921" t="n">
        <v>1961</v>
      </c>
      <c r="T921" t="s">
        <v>1208</v>
      </c>
      <c r="U921" t="s">
        <v>1209</v>
      </c>
      <c r="V921" t="s">
        <v>74</v>
      </c>
      <c r="W921"/>
      <c r="X921"/>
      <c r="Y921"/>
      <c r="Z921"/>
      <c r="AA921"/>
      <c r="AB921"/>
      <c r="AC921"/>
      <c r="AD921"/>
      <c r="AE921"/>
      <c r="AF921"/>
      <c r="AG921"/>
    </row>
    <row r="922">
      <c r="A922" t="s">
        <v>1210</v>
      </c>
      <c r="B922" t="s">
        <v>31</v>
      </c>
      <c r="C922" t="s">
        <v>65</v>
      </c>
      <c r="D922" t="s">
        <v>1211</v>
      </c>
      <c r="E922" t="s">
        <v>1164</v>
      </c>
      <c r="F922" t="s">
        <v>1165</v>
      </c>
      <c r="G922" t="s">
        <v>1166</v>
      </c>
      <c r="H922" t="n">
        <v>39.8736863409297</v>
      </c>
      <c r="I922" t="n">
        <v>-105.100614944083</v>
      </c>
      <c r="J922" t="s">
        <v>35</v>
      </c>
      <c r="K922" t="s">
        <v>120</v>
      </c>
      <c r="L922"/>
      <c r="M922" t="n">
        <v>1983</v>
      </c>
      <c r="N922" t="n">
        <v>1983</v>
      </c>
      <c r="O922" t="s">
        <v>264</v>
      </c>
      <c r="P922" t="n">
        <v>1</v>
      </c>
      <c r="Q922" t="n">
        <v>1</v>
      </c>
      <c r="R922" t="n">
        <v>1</v>
      </c>
      <c r="S922" t="n">
        <v>1974</v>
      </c>
      <c r="T922" t="s">
        <v>1212</v>
      </c>
      <c r="U922" t="s">
        <v>1213</v>
      </c>
      <c r="V922" t="s">
        <v>74</v>
      </c>
      <c r="W922"/>
      <c r="X922"/>
      <c r="Y922"/>
      <c r="Z922"/>
      <c r="AA922"/>
      <c r="AB922"/>
      <c r="AC922"/>
      <c r="AD922"/>
      <c r="AE922"/>
      <c r="AF922"/>
      <c r="AG922"/>
    </row>
    <row r="923">
      <c r="A923" t="s">
        <v>1214</v>
      </c>
      <c r="B923" t="s">
        <v>31</v>
      </c>
      <c r="C923" t="s">
        <v>65</v>
      </c>
      <c r="D923" t="s">
        <v>1215</v>
      </c>
      <c r="E923" t="s">
        <v>1164</v>
      </c>
      <c r="F923" t="s">
        <v>1165</v>
      </c>
      <c r="G923" t="s">
        <v>1166</v>
      </c>
      <c r="H923" t="n">
        <v>39.9094597215072</v>
      </c>
      <c r="I923" t="n">
        <v>-105.072708240466</v>
      </c>
      <c r="J923" t="s">
        <v>35</v>
      </c>
      <c r="K923" t="s">
        <v>120</v>
      </c>
      <c r="L923"/>
      <c r="M923" t="n">
        <v>1988</v>
      </c>
      <c r="N923" t="n">
        <v>1992</v>
      </c>
      <c r="O923" t="s">
        <v>320</v>
      </c>
      <c r="P923" t="n">
        <v>3</v>
      </c>
      <c r="Q923" t="n">
        <v>3</v>
      </c>
      <c r="R923" t="n">
        <v>2</v>
      </c>
      <c r="S923" t="n">
        <v>1978</v>
      </c>
      <c r="T923" t="s">
        <v>1216</v>
      </c>
      <c r="U923" t="s">
        <v>1217</v>
      </c>
      <c r="V923" t="s">
        <v>74</v>
      </c>
      <c r="W923"/>
      <c r="X923"/>
      <c r="Y923"/>
      <c r="Z923"/>
      <c r="AA923"/>
      <c r="AB923"/>
      <c r="AC923"/>
      <c r="AD923" t="s">
        <v>1218</v>
      </c>
      <c r="AE923" t="n">
        <v>214</v>
      </c>
      <c r="AF923" t="s">
        <v>1219</v>
      </c>
      <c r="AG923" t="n">
        <v>51</v>
      </c>
    </row>
    <row r="924">
      <c r="A924" t="s">
        <v>1220</v>
      </c>
      <c r="B924" t="s">
        <v>31</v>
      </c>
      <c r="C924" t="s">
        <v>65</v>
      </c>
      <c r="D924" t="s">
        <v>1221</v>
      </c>
      <c r="E924" t="s">
        <v>1164</v>
      </c>
      <c r="F924" t="s">
        <v>1165</v>
      </c>
      <c r="G924" t="s">
        <v>1166</v>
      </c>
      <c r="H924" t="n">
        <v>39.934561</v>
      </c>
      <c r="I924" t="n">
        <v>-105.031281875764</v>
      </c>
      <c r="J924" t="s">
        <v>35</v>
      </c>
      <c r="K924" t="s">
        <v>120</v>
      </c>
      <c r="L924"/>
      <c r="M924" t="n">
        <v>1988</v>
      </c>
      <c r="N924" t="n">
        <v>1990</v>
      </c>
      <c r="O924" t="s">
        <v>351</v>
      </c>
      <c r="P924" t="n">
        <v>2</v>
      </c>
      <c r="Q924" t="n">
        <v>3</v>
      </c>
      <c r="R924" t="n">
        <v>1</v>
      </c>
      <c r="S924" t="n">
        <v>1985</v>
      </c>
      <c r="T924" t="s">
        <v>1222</v>
      </c>
      <c r="U924" t="s">
        <v>1223</v>
      </c>
      <c r="V924" t="s">
        <v>74</v>
      </c>
      <c r="W924"/>
      <c r="X924"/>
      <c r="Y924"/>
      <c r="Z924"/>
      <c r="AA924"/>
      <c r="AB924"/>
      <c r="AC924"/>
      <c r="AD924"/>
      <c r="AE924"/>
      <c r="AF924"/>
      <c r="AG924"/>
    </row>
    <row r="925">
      <c r="A925" t="s">
        <v>1224</v>
      </c>
      <c r="B925" t="s">
        <v>31</v>
      </c>
      <c r="C925" t="s">
        <v>65</v>
      </c>
      <c r="D925" t="s">
        <v>1225</v>
      </c>
      <c r="E925" t="s">
        <v>1164</v>
      </c>
      <c r="F925" t="s">
        <v>1165</v>
      </c>
      <c r="G925" t="s">
        <v>1166</v>
      </c>
      <c r="H925" t="n">
        <v>39.9205612938103</v>
      </c>
      <c r="I925" t="n">
        <v>-105.095761726202</v>
      </c>
      <c r="J925" t="s">
        <v>35</v>
      </c>
      <c r="K925" t="s">
        <v>120</v>
      </c>
      <c r="L925"/>
      <c r="M925" t="n">
        <v>1990</v>
      </c>
      <c r="N925" t="n">
        <v>1992</v>
      </c>
      <c r="O925" t="s">
        <v>1016</v>
      </c>
      <c r="P925" t="n">
        <v>2</v>
      </c>
      <c r="Q925" t="n">
        <v>2</v>
      </c>
      <c r="R925" t="n">
        <v>1</v>
      </c>
      <c r="S925" t="n">
        <v>1985</v>
      </c>
      <c r="T925" t="s">
        <v>1226</v>
      </c>
      <c r="U925" t="s">
        <v>1227</v>
      </c>
      <c r="V925" t="s">
        <v>74</v>
      </c>
      <c r="W925"/>
      <c r="X925"/>
      <c r="Y925"/>
      <c r="Z925"/>
      <c r="AA925"/>
      <c r="AB925" t="s">
        <v>1203</v>
      </c>
      <c r="AC925" t="n">
        <v>230</v>
      </c>
      <c r="AD925"/>
      <c r="AE925"/>
      <c r="AF925" t="s">
        <v>1228</v>
      </c>
      <c r="AG925" t="n">
        <v>70</v>
      </c>
    </row>
    <row r="926">
      <c r="A926" t="s">
        <v>4231</v>
      </c>
      <c r="B926" t="s">
        <v>31</v>
      </c>
      <c r="C926" t="s">
        <v>24</v>
      </c>
      <c r="D926" t="s">
        <v>4232</v>
      </c>
      <c r="E926" t="s">
        <v>1164</v>
      </c>
      <c r="F926" t="s">
        <v>1165</v>
      </c>
      <c r="G926" t="s">
        <v>1166</v>
      </c>
      <c r="H926" t="n">
        <v>39.831394</v>
      </c>
      <c r="I926" t="n">
        <v>-105.109111</v>
      </c>
      <c r="J926" t="s">
        <v>4109</v>
      </c>
      <c r="K926" t="s">
        <v>70</v>
      </c>
      <c r="L926"/>
      <c r="M926" t="n">
        <v>1992</v>
      </c>
      <c r="N926" t="n">
        <v>1992</v>
      </c>
      <c r="O926" t="s">
        <v>1016</v>
      </c>
      <c r="P926" t="n">
        <v>1</v>
      </c>
      <c r="Q926" t="n">
        <v>1</v>
      </c>
      <c r="R926" t="n">
        <v>1</v>
      </c>
      <c r="S926"/>
      <c r="T926" t="s">
        <v>4233</v>
      </c>
      <c r="U926" t="s">
        <v>4234</v>
      </c>
      <c r="V926" t="s">
        <v>74</v>
      </c>
      <c r="W926"/>
      <c r="X926"/>
      <c r="Y926"/>
      <c r="Z926"/>
      <c r="AA926"/>
      <c r="AB926"/>
      <c r="AC926"/>
      <c r="AD926"/>
      <c r="AE926"/>
      <c r="AF926"/>
      <c r="AG926"/>
    </row>
    <row r="927">
      <c r="A927" t="s">
        <v>1229</v>
      </c>
      <c r="B927" t="s">
        <v>31</v>
      </c>
      <c r="C927" t="s">
        <v>65</v>
      </c>
      <c r="D927" t="s">
        <v>1230</v>
      </c>
      <c r="E927" t="s">
        <v>1164</v>
      </c>
      <c r="F927" t="s">
        <v>1165</v>
      </c>
      <c r="G927" t="s">
        <v>1166</v>
      </c>
      <c r="H927" t="n">
        <v>39.9391440908761</v>
      </c>
      <c r="I927" t="n">
        <v>-105.090583437587</v>
      </c>
      <c r="J927" t="s">
        <v>35</v>
      </c>
      <c r="K927" t="s">
        <v>70</v>
      </c>
      <c r="L927"/>
      <c r="M927" t="n">
        <v>1992</v>
      </c>
      <c r="N927" t="n">
        <v>1992</v>
      </c>
      <c r="O927" t="s">
        <v>1016</v>
      </c>
      <c r="P927" t="n">
        <v>1</v>
      </c>
      <c r="Q927" t="n">
        <v>1</v>
      </c>
      <c r="R927" t="n">
        <v>1</v>
      </c>
      <c r="S927" t="n">
        <v>1989</v>
      </c>
      <c r="T927" t="s">
        <v>1231</v>
      </c>
      <c r="U927" t="s">
        <v>1232</v>
      </c>
      <c r="V927" t="s">
        <v>74</v>
      </c>
      <c r="W927"/>
      <c r="X927"/>
      <c r="Y927"/>
      <c r="Z927"/>
      <c r="AA927"/>
      <c r="AB927"/>
      <c r="AC927"/>
      <c r="AD927"/>
      <c r="AE927"/>
      <c r="AF927"/>
      <c r="AG927"/>
    </row>
    <row r="928">
      <c r="A928" t="s">
        <v>1233</v>
      </c>
      <c r="B928" t="s">
        <v>31</v>
      </c>
      <c r="C928" t="s">
        <v>65</v>
      </c>
      <c r="D928" t="s">
        <v>1234</v>
      </c>
      <c r="E928" t="s">
        <v>1164</v>
      </c>
      <c r="F928" t="s">
        <v>1165</v>
      </c>
      <c r="G928" t="s">
        <v>1166</v>
      </c>
      <c r="H928" t="n">
        <v>39.9283487978276</v>
      </c>
      <c r="I928" t="n">
        <v>-105.076679662884</v>
      </c>
      <c r="J928" t="s">
        <v>35</v>
      </c>
      <c r="K928" t="s">
        <v>120</v>
      </c>
      <c r="L928"/>
      <c r="M928" t="n">
        <v>1992</v>
      </c>
      <c r="N928" t="n">
        <v>1992</v>
      </c>
      <c r="O928" t="s">
        <v>1016</v>
      </c>
      <c r="P928" t="n">
        <v>1</v>
      </c>
      <c r="Q928" t="n">
        <v>1</v>
      </c>
      <c r="R928" t="n">
        <v>1</v>
      </c>
      <c r="S928" t="n">
        <v>1979</v>
      </c>
      <c r="T928" t="s">
        <v>1235</v>
      </c>
      <c r="U928" t="s">
        <v>1236</v>
      </c>
      <c r="V928" t="s">
        <v>74</v>
      </c>
      <c r="W928"/>
      <c r="X928"/>
      <c r="Y928"/>
      <c r="Z928"/>
      <c r="AA928"/>
      <c r="AB928"/>
      <c r="AC928"/>
      <c r="AD928"/>
      <c r="AE928"/>
      <c r="AF928"/>
      <c r="AG928"/>
    </row>
    <row r="929">
      <c r="A929" t="s">
        <v>1237</v>
      </c>
      <c r="B929" t="s">
        <v>31</v>
      </c>
      <c r="C929" t="s">
        <v>65</v>
      </c>
      <c r="D929" t="s">
        <v>1238</v>
      </c>
      <c r="E929" t="s">
        <v>1239</v>
      </c>
      <c r="F929" t="s">
        <v>1240</v>
      </c>
      <c r="G929" t="s">
        <v>1241</v>
      </c>
      <c r="H929" t="n">
        <v>38.5355685478807</v>
      </c>
      <c r="I929" t="n">
        <v>-105.995883361067</v>
      </c>
      <c r="J929" t="s">
        <v>35</v>
      </c>
      <c r="K929" t="s">
        <v>1242</v>
      </c>
      <c r="L929"/>
      <c r="M929" t="n">
        <v>1966</v>
      </c>
      <c r="N929" t="n">
        <v>1992</v>
      </c>
      <c r="O929" t="s">
        <v>320</v>
      </c>
      <c r="P929" t="n">
        <v>12</v>
      </c>
      <c r="Q929" t="n">
        <v>4</v>
      </c>
      <c r="R929" t="n">
        <v>2</v>
      </c>
      <c r="S929" t="n">
        <v>1948</v>
      </c>
      <c r="T929" t="s">
        <v>1243</v>
      </c>
      <c r="U929" t="s">
        <v>1244</v>
      </c>
      <c r="V929" t="s">
        <v>74</v>
      </c>
      <c r="W929"/>
      <c r="X929"/>
      <c r="Y929"/>
      <c r="Z929"/>
      <c r="AA929"/>
      <c r="AB929" t="s">
        <v>1245</v>
      </c>
      <c r="AC929" t="n">
        <v>197</v>
      </c>
      <c r="AD929"/>
      <c r="AE929"/>
      <c r="AF929" t="s">
        <v>1246</v>
      </c>
      <c r="AG929" t="n">
        <v>155</v>
      </c>
    </row>
    <row r="930">
      <c r="A930" t="s">
        <v>4235</v>
      </c>
      <c r="B930" t="s">
        <v>31</v>
      </c>
      <c r="C930" t="s">
        <v>24</v>
      </c>
      <c r="D930" t="s">
        <v>4236</v>
      </c>
      <c r="E930" t="s">
        <v>4237</v>
      </c>
      <c r="F930" t="s">
        <v>1240</v>
      </c>
      <c r="G930" t="s">
        <v>4238</v>
      </c>
      <c r="H930" t="n">
        <v>38.8303587819592</v>
      </c>
      <c r="I930" t="n">
        <v>-106.123113381091</v>
      </c>
      <c r="J930" t="s">
        <v>4109</v>
      </c>
      <c r="K930" t="s">
        <v>120</v>
      </c>
      <c r="L930"/>
      <c r="M930" t="n">
        <v>1980</v>
      </c>
      <c r="N930" t="n">
        <v>1980</v>
      </c>
      <c r="O930" t="s">
        <v>255</v>
      </c>
      <c r="P930" t="n">
        <v>1</v>
      </c>
      <c r="Q930" t="n">
        <v>1</v>
      </c>
      <c r="R930" t="n">
        <v>1</v>
      </c>
      <c r="S930" t="n">
        <v>1979</v>
      </c>
      <c r="T930" t="s">
        <v>4239</v>
      </c>
      <c r="U930" t="s">
        <v>4240</v>
      </c>
      <c r="V930" t="s">
        <v>74</v>
      </c>
      <c r="W930"/>
      <c r="X930"/>
      <c r="Y930"/>
      <c r="Z930"/>
      <c r="AA930"/>
      <c r="AB930"/>
      <c r="AC930"/>
      <c r="AD930"/>
      <c r="AE930"/>
      <c r="AF930"/>
      <c r="AG930"/>
    </row>
    <row r="931">
      <c r="A931" t="s">
        <v>1247</v>
      </c>
      <c r="B931" t="s">
        <v>31</v>
      </c>
      <c r="C931" t="s">
        <v>65</v>
      </c>
      <c r="D931" t="s">
        <v>1248</v>
      </c>
      <c r="E931" t="s">
        <v>1239</v>
      </c>
      <c r="F931" t="s">
        <v>1240</v>
      </c>
      <c r="G931" t="s">
        <v>1241</v>
      </c>
      <c r="H931" t="n">
        <v>38.5241092686892</v>
      </c>
      <c r="I931" t="n">
        <v>-106.006531855914</v>
      </c>
      <c r="J931" t="s">
        <v>35</v>
      </c>
      <c r="K931" t="s">
        <v>89</v>
      </c>
      <c r="L931"/>
      <c r="M931" t="n">
        <v>1980</v>
      </c>
      <c r="N931" t="n">
        <v>1990</v>
      </c>
      <c r="O931" t="s">
        <v>582</v>
      </c>
      <c r="P931" t="n">
        <v>3</v>
      </c>
      <c r="Q931" t="n">
        <v>1</v>
      </c>
      <c r="R931" t="n">
        <v>1</v>
      </c>
      <c r="S931" t="n">
        <v>1955</v>
      </c>
      <c r="T931" t="s">
        <v>1249</v>
      </c>
      <c r="U931" t="s">
        <v>1250</v>
      </c>
      <c r="V931" t="s">
        <v>74</v>
      </c>
      <c r="W931"/>
      <c r="X931"/>
      <c r="Y931"/>
      <c r="Z931"/>
      <c r="AA931"/>
      <c r="AB931"/>
      <c r="AC931"/>
      <c r="AD931"/>
      <c r="AE931"/>
      <c r="AF931"/>
      <c r="AG931"/>
    </row>
    <row r="932">
      <c r="A932" t="s">
        <v>1251</v>
      </c>
      <c r="B932" t="s">
        <v>31</v>
      </c>
      <c r="C932" t="s">
        <v>65</v>
      </c>
      <c r="D932" t="s">
        <v>1252</v>
      </c>
      <c r="E932" t="s">
        <v>1253</v>
      </c>
      <c r="F932" t="s">
        <v>1254</v>
      </c>
      <c r="G932" t="s">
        <v>1255</v>
      </c>
      <c r="H932" t="n">
        <v>38.7448330228863</v>
      </c>
      <c r="I932" t="n">
        <v>-108.069508747897</v>
      </c>
      <c r="J932" t="s">
        <v>35</v>
      </c>
      <c r="K932" t="s">
        <v>315</v>
      </c>
      <c r="L932"/>
      <c r="M932" t="n">
        <v>1974</v>
      </c>
      <c r="N932" t="n">
        <v>1974</v>
      </c>
      <c r="O932" t="s">
        <v>210</v>
      </c>
      <c r="P932" t="n">
        <v>1</v>
      </c>
      <c r="Q932" t="n">
        <v>1</v>
      </c>
      <c r="R932" t="n">
        <v>1</v>
      </c>
      <c r="S932" t="n">
        <v>1968</v>
      </c>
      <c r="T932" t="s">
        <v>1256</v>
      </c>
      <c r="U932" t="s">
        <v>1257</v>
      </c>
      <c r="V932" t="s">
        <v>74</v>
      </c>
      <c r="W932"/>
      <c r="X932"/>
      <c r="Y932"/>
      <c r="Z932"/>
      <c r="AA932"/>
      <c r="AB932" t="s">
        <v>1258</v>
      </c>
      <c r="AC932" t="n">
        <v>219</v>
      </c>
      <c r="AD932"/>
      <c r="AE932"/>
      <c r="AF932" t="s">
        <v>1259</v>
      </c>
      <c r="AG932" t="n">
        <v>105</v>
      </c>
    </row>
    <row r="933">
      <c r="A933" t="s">
        <v>1260</v>
      </c>
      <c r="B933" t="s">
        <v>31</v>
      </c>
      <c r="C933" t="s">
        <v>65</v>
      </c>
      <c r="D933" t="s">
        <v>1261</v>
      </c>
      <c r="E933" t="s">
        <v>1262</v>
      </c>
      <c r="F933" t="s">
        <v>1254</v>
      </c>
      <c r="G933" t="s">
        <v>1263</v>
      </c>
      <c r="H933" t="n">
        <v>38.9005596394415</v>
      </c>
      <c r="I933" t="n">
        <v>-107.933132656867</v>
      </c>
      <c r="J933" t="s">
        <v>35</v>
      </c>
      <c r="K933" t="s">
        <v>133</v>
      </c>
      <c r="L933"/>
      <c r="M933" t="n">
        <v>1988</v>
      </c>
      <c r="N933" t="n">
        <v>1990</v>
      </c>
      <c r="O933" t="s">
        <v>310</v>
      </c>
      <c r="P933" t="n">
        <v>2</v>
      </c>
      <c r="Q933" t="n">
        <v>1</v>
      </c>
      <c r="R933" t="n">
        <v>1</v>
      </c>
      <c r="S933" t="n">
        <v>1972</v>
      </c>
      <c r="T933" t="s">
        <v>1264</v>
      </c>
      <c r="U933" t="s">
        <v>1265</v>
      </c>
      <c r="V933" t="s">
        <v>74</v>
      </c>
      <c r="W933"/>
      <c r="X933"/>
      <c r="Y933"/>
      <c r="Z933"/>
      <c r="AA933"/>
      <c r="AB933"/>
      <c r="AC933"/>
      <c r="AD933"/>
      <c r="AE933"/>
      <c r="AF933" t="s">
        <v>1266</v>
      </c>
      <c r="AG933" t="n">
        <v>198</v>
      </c>
    </row>
    <row r="934">
      <c r="A934" t="s">
        <v>1267</v>
      </c>
      <c r="B934" t="s">
        <v>31</v>
      </c>
      <c r="C934" t="s">
        <v>65</v>
      </c>
      <c r="D934" t="s">
        <v>1268</v>
      </c>
      <c r="E934" t="s">
        <v>1253</v>
      </c>
      <c r="F934" t="s">
        <v>1254</v>
      </c>
      <c r="G934" t="s">
        <v>1255</v>
      </c>
      <c r="H934" t="n">
        <v>38.7543513986635</v>
      </c>
      <c r="I934" t="n">
        <v>-108.033283135618</v>
      </c>
      <c r="J934" t="s">
        <v>35</v>
      </c>
      <c r="K934" t="s">
        <v>105</v>
      </c>
      <c r="L934"/>
      <c r="M934" t="n">
        <v>1988</v>
      </c>
      <c r="N934" t="n">
        <v>1992</v>
      </c>
      <c r="O934" t="s">
        <v>320</v>
      </c>
      <c r="P934" t="n">
        <v>3</v>
      </c>
      <c r="Q934" t="n">
        <v>2</v>
      </c>
      <c r="R934" t="n">
        <v>2</v>
      </c>
      <c r="S934" t="n">
        <v>1979</v>
      </c>
      <c r="T934" t="s">
        <v>1269</v>
      </c>
      <c r="U934" t="s">
        <v>1270</v>
      </c>
      <c r="V934" t="s">
        <v>74</v>
      </c>
      <c r="W934"/>
      <c r="X934"/>
      <c r="Y934"/>
      <c r="Z934"/>
      <c r="AA934"/>
      <c r="AB934"/>
      <c r="AC934"/>
      <c r="AD934"/>
      <c r="AE934"/>
      <c r="AF934" t="s">
        <v>1271</v>
      </c>
      <c r="AG934" t="n">
        <v>85</v>
      </c>
    </row>
    <row r="935">
      <c r="A935" t="s">
        <v>1272</v>
      </c>
      <c r="B935" t="s">
        <v>31</v>
      </c>
      <c r="C935" t="s">
        <v>65</v>
      </c>
      <c r="D935" t="s">
        <v>1273</v>
      </c>
      <c r="E935" t="s">
        <v>79</v>
      </c>
      <c r="F935" t="s">
        <v>1274</v>
      </c>
      <c r="G935"/>
      <c r="H935" t="n">
        <v>39.759257</v>
      </c>
      <c r="I935" t="n">
        <v>-105.010504</v>
      </c>
      <c r="J935" t="s">
        <v>35</v>
      </c>
      <c r="K935" t="s">
        <v>133</v>
      </c>
      <c r="L935"/>
      <c r="M935" t="n">
        <v>1965</v>
      </c>
      <c r="N935" t="n">
        <v>1965</v>
      </c>
      <c r="O935" t="s">
        <v>1275</v>
      </c>
      <c r="P935" t="n">
        <v>1</v>
      </c>
      <c r="Q935" t="n">
        <v>1</v>
      </c>
      <c r="R935" t="n">
        <v>1</v>
      </c>
      <c r="S935"/>
      <c r="T935" t="s">
        <v>1276</v>
      </c>
      <c r="U935" t="s">
        <v>1277</v>
      </c>
      <c r="V935" t="s">
        <v>74</v>
      </c>
      <c r="W935"/>
      <c r="X935"/>
      <c r="Y935"/>
      <c r="Z935"/>
      <c r="AA935"/>
      <c r="AB935"/>
      <c r="AC935"/>
      <c r="AD935" t="s">
        <v>1278</v>
      </c>
      <c r="AE935" t="n">
        <v>157</v>
      </c>
      <c r="AF935" t="s">
        <v>1279</v>
      </c>
      <c r="AG935" t="n">
        <v>152</v>
      </c>
    </row>
    <row r="936">
      <c r="A936" t="s">
        <v>1280</v>
      </c>
      <c r="B936" t="s">
        <v>31</v>
      </c>
      <c r="C936" t="s">
        <v>65</v>
      </c>
      <c r="D936" t="s">
        <v>1281</v>
      </c>
      <c r="E936" t="s">
        <v>79</v>
      </c>
      <c r="F936" t="s">
        <v>1274</v>
      </c>
      <c r="G936"/>
      <c r="H936" t="n">
        <v>39.6933165627775</v>
      </c>
      <c r="I936" t="n">
        <v>-104.996841279608</v>
      </c>
      <c r="J936" t="s">
        <v>35</v>
      </c>
      <c r="K936" t="s">
        <v>1282</v>
      </c>
      <c r="L936"/>
      <c r="M936" t="n">
        <v>1965</v>
      </c>
      <c r="N936" t="n">
        <v>1970</v>
      </c>
      <c r="O936" t="s">
        <v>1283</v>
      </c>
      <c r="P936" t="n">
        <v>5</v>
      </c>
      <c r="Q936" t="n">
        <v>1</v>
      </c>
      <c r="R936" t="n">
        <v>1</v>
      </c>
      <c r="S936" t="n">
        <v>1958</v>
      </c>
      <c r="T936" t="s">
        <v>1284</v>
      </c>
      <c r="U936" t="s">
        <v>1285</v>
      </c>
      <c r="V936" t="s">
        <v>74</v>
      </c>
      <c r="W936"/>
      <c r="X936"/>
      <c r="Y936"/>
      <c r="Z936"/>
      <c r="AA936"/>
      <c r="AB936" t="s">
        <v>1286</v>
      </c>
      <c r="AC936" t="n">
        <v>161</v>
      </c>
      <c r="AD936"/>
      <c r="AE936"/>
      <c r="AF936" t="s">
        <v>1287</v>
      </c>
      <c r="AG936" t="n">
        <v>119</v>
      </c>
    </row>
    <row r="937">
      <c r="A937" t="s">
        <v>1288</v>
      </c>
      <c r="B937" t="s">
        <v>31</v>
      </c>
      <c r="C937" t="s">
        <v>65</v>
      </c>
      <c r="D937" t="s">
        <v>1289</v>
      </c>
      <c r="E937" t="s">
        <v>79</v>
      </c>
      <c r="F937" t="s">
        <v>1274</v>
      </c>
      <c r="G937"/>
      <c r="H937" t="n">
        <v>39.7543005434493</v>
      </c>
      <c r="I937" t="n">
        <v>-104.990838646394</v>
      </c>
      <c r="J937" t="s">
        <v>35</v>
      </c>
      <c r="K937" t="s">
        <v>89</v>
      </c>
      <c r="L937"/>
      <c r="M937" t="n">
        <v>1965</v>
      </c>
      <c r="N937" t="n">
        <v>1970</v>
      </c>
      <c r="O937" t="s">
        <v>1275</v>
      </c>
      <c r="P937" t="n">
        <v>5</v>
      </c>
      <c r="Q937" t="n">
        <v>1</v>
      </c>
      <c r="R937" t="n">
        <v>1</v>
      </c>
      <c r="S937" t="n">
        <v>1944</v>
      </c>
      <c r="T937" t="s">
        <v>1290</v>
      </c>
      <c r="U937" t="s">
        <v>1291</v>
      </c>
      <c r="V937" t="s">
        <v>74</v>
      </c>
      <c r="W937"/>
      <c r="X937"/>
      <c r="Y937"/>
      <c r="Z937"/>
      <c r="AA937"/>
      <c r="AB937" t="s">
        <v>1292</v>
      </c>
      <c r="AC937" t="n">
        <v>102</v>
      </c>
      <c r="AD937"/>
      <c r="AE937"/>
      <c r="AF937" t="s">
        <v>1293</v>
      </c>
      <c r="AG937" t="n">
        <v>143</v>
      </c>
    </row>
    <row r="938">
      <c r="A938" t="s">
        <v>1294</v>
      </c>
      <c r="B938" t="s">
        <v>31</v>
      </c>
      <c r="C938" t="s">
        <v>65</v>
      </c>
      <c r="D938" t="s">
        <v>1295</v>
      </c>
      <c r="E938" t="s">
        <v>79</v>
      </c>
      <c r="F938" t="s">
        <v>1274</v>
      </c>
      <c r="G938"/>
      <c r="H938" t="n">
        <v>39.7587485962163</v>
      </c>
      <c r="I938" t="n">
        <v>-105.008736131113</v>
      </c>
      <c r="J938" t="s">
        <v>35</v>
      </c>
      <c r="K938" t="s">
        <v>1296</v>
      </c>
      <c r="L938"/>
      <c r="M938" t="n">
        <v>1965</v>
      </c>
      <c r="N938" t="n">
        <v>1992</v>
      </c>
      <c r="O938" t="s">
        <v>1297</v>
      </c>
      <c r="P938" t="n">
        <v>12</v>
      </c>
      <c r="Q938" t="n">
        <v>9</v>
      </c>
      <c r="R938" t="n">
        <v>8</v>
      </c>
      <c r="S938" t="n">
        <v>1949</v>
      </c>
      <c r="T938" t="s">
        <v>1298</v>
      </c>
      <c r="U938" t="s">
        <v>1299</v>
      </c>
      <c r="V938" t="s">
        <v>74</v>
      </c>
      <c r="W938"/>
      <c r="X938"/>
      <c r="Y938"/>
      <c r="Z938"/>
      <c r="AA938"/>
      <c r="AB938" t="s">
        <v>1300</v>
      </c>
      <c r="AC938" t="n">
        <v>153</v>
      </c>
      <c r="AD938" t="s">
        <v>1278</v>
      </c>
      <c r="AE938" t="n">
        <v>118</v>
      </c>
      <c r="AF938" t="s">
        <v>1301</v>
      </c>
      <c r="AG938" t="n">
        <v>147</v>
      </c>
    </row>
    <row r="939">
      <c r="A939" t="s">
        <v>4241</v>
      </c>
      <c r="B939" t="s">
        <v>31</v>
      </c>
      <c r="C939" t="s">
        <v>24</v>
      </c>
      <c r="D939" t="s">
        <v>4242</v>
      </c>
      <c r="E939" t="s">
        <v>79</v>
      </c>
      <c r="F939" t="s">
        <v>1274</v>
      </c>
      <c r="G939"/>
      <c r="H939" t="n">
        <v>39.7227012789116</v>
      </c>
      <c r="I939" t="n">
        <v>-105.000182653061</v>
      </c>
      <c r="J939" t="s">
        <v>4109</v>
      </c>
      <c r="K939" t="s">
        <v>120</v>
      </c>
      <c r="L939"/>
      <c r="M939" t="n">
        <v>1965</v>
      </c>
      <c r="N939" t="n">
        <v>1967</v>
      </c>
      <c r="O939" t="s">
        <v>1275</v>
      </c>
      <c r="P939" t="n">
        <v>2</v>
      </c>
      <c r="Q939" t="n">
        <v>2</v>
      </c>
      <c r="R939" t="n">
        <v>1</v>
      </c>
      <c r="S939" t="n">
        <v>1952</v>
      </c>
      <c r="T939" t="s">
        <v>4243</v>
      </c>
      <c r="U939" t="s">
        <v>4244</v>
      </c>
      <c r="V939" t="s">
        <v>74</v>
      </c>
      <c r="W939"/>
      <c r="X939"/>
      <c r="Y939"/>
      <c r="Z939"/>
      <c r="AA939"/>
      <c r="AB939" t="s">
        <v>4245</v>
      </c>
      <c r="AC939" t="n">
        <v>174</v>
      </c>
      <c r="AD939" t="s">
        <v>2076</v>
      </c>
      <c r="AE939" t="n">
        <v>229</v>
      </c>
      <c r="AF939" t="s">
        <v>4246</v>
      </c>
      <c r="AG939" t="n">
        <v>65</v>
      </c>
    </row>
    <row r="940">
      <c r="A940" t="s">
        <v>1302</v>
      </c>
      <c r="B940" t="s">
        <v>31</v>
      </c>
      <c r="C940" t="s">
        <v>65</v>
      </c>
      <c r="D940" t="s">
        <v>1303</v>
      </c>
      <c r="E940" t="s">
        <v>79</v>
      </c>
      <c r="F940" t="s">
        <v>1274</v>
      </c>
      <c r="G940"/>
      <c r="H940" t="n">
        <v>39.7241359388014</v>
      </c>
      <c r="I940" t="n">
        <v>-104.985877003168</v>
      </c>
      <c r="J940" t="s">
        <v>35</v>
      </c>
      <c r="K940" t="s">
        <v>70</v>
      </c>
      <c r="L940"/>
      <c r="M940" t="n">
        <v>1965</v>
      </c>
      <c r="N940" t="n">
        <v>1965</v>
      </c>
      <c r="O940" t="s">
        <v>1275</v>
      </c>
      <c r="P940" t="n">
        <v>1</v>
      </c>
      <c r="Q940" t="n">
        <v>1</v>
      </c>
      <c r="R940" t="n">
        <v>1</v>
      </c>
      <c r="S940"/>
      <c r="T940" t="s">
        <v>1304</v>
      </c>
      <c r="U940" t="s">
        <v>1305</v>
      </c>
      <c r="V940" t="s">
        <v>74</v>
      </c>
      <c r="W940"/>
      <c r="X940"/>
      <c r="Y940"/>
      <c r="Z940"/>
      <c r="AA940"/>
      <c r="AB940" t="s">
        <v>1306</v>
      </c>
      <c r="AC940" t="n">
        <v>161</v>
      </c>
      <c r="AD940"/>
      <c r="AE940"/>
      <c r="AF940" t="s">
        <v>1307</v>
      </c>
      <c r="AG940" t="n">
        <v>123</v>
      </c>
    </row>
    <row r="941">
      <c r="A941" t="s">
        <v>1308</v>
      </c>
      <c r="B941" t="s">
        <v>31</v>
      </c>
      <c r="C941" t="s">
        <v>65</v>
      </c>
      <c r="D941" t="s">
        <v>1309</v>
      </c>
      <c r="E941" t="s">
        <v>79</v>
      </c>
      <c r="F941" t="s">
        <v>1274</v>
      </c>
      <c r="G941"/>
      <c r="H941" t="n">
        <v>39.7526593803476</v>
      </c>
      <c r="I941" t="n">
        <v>-104.99121554667</v>
      </c>
      <c r="J941" t="s">
        <v>35</v>
      </c>
      <c r="K941" t="s">
        <v>70</v>
      </c>
      <c r="L941" t="s">
        <v>1310</v>
      </c>
      <c r="M941" t="n">
        <v>1965</v>
      </c>
      <c r="N941" t="n">
        <v>1990</v>
      </c>
      <c r="O941" t="s">
        <v>1311</v>
      </c>
      <c r="P941" t="n">
        <v>11</v>
      </c>
      <c r="Q941" t="n">
        <v>8</v>
      </c>
      <c r="R941" t="n">
        <v>3</v>
      </c>
      <c r="S941" t="n">
        <v>1926</v>
      </c>
      <c r="T941" t="s">
        <v>1312</v>
      </c>
      <c r="U941" t="s">
        <v>1313</v>
      </c>
      <c r="V941" t="s">
        <v>74</v>
      </c>
      <c r="W941"/>
      <c r="X941"/>
      <c r="Y941"/>
      <c r="Z941"/>
      <c r="AA941"/>
      <c r="AB941" t="s">
        <v>1292</v>
      </c>
      <c r="AC941" t="n">
        <v>179</v>
      </c>
      <c r="AD941"/>
      <c r="AE941"/>
      <c r="AF941" t="s">
        <v>1314</v>
      </c>
      <c r="AG941" t="n">
        <v>69</v>
      </c>
    </row>
    <row r="942">
      <c r="A942" t="s">
        <v>4247</v>
      </c>
      <c r="B942" t="s">
        <v>31</v>
      </c>
      <c r="C942" t="s">
        <v>24</v>
      </c>
      <c r="D942" t="s">
        <v>4248</v>
      </c>
      <c r="E942" t="s">
        <v>79</v>
      </c>
      <c r="F942" t="s">
        <v>1274</v>
      </c>
      <c r="G942"/>
      <c r="H942" t="n">
        <v>39.7235486125835</v>
      </c>
      <c r="I942" t="n">
        <v>-104.990844641572</v>
      </c>
      <c r="J942" t="s">
        <v>4109</v>
      </c>
      <c r="K942" t="s">
        <v>70</v>
      </c>
      <c r="L942"/>
      <c r="M942" t="n">
        <v>1965</v>
      </c>
      <c r="N942" t="n">
        <v>1965</v>
      </c>
      <c r="O942" t="s">
        <v>1275</v>
      </c>
      <c r="P942" t="n">
        <v>1</v>
      </c>
      <c r="Q942" t="n">
        <v>1</v>
      </c>
      <c r="R942" t="n">
        <v>1</v>
      </c>
      <c r="S942"/>
      <c r="T942" t="s">
        <v>4249</v>
      </c>
      <c r="U942" t="s">
        <v>4250</v>
      </c>
      <c r="V942" t="s">
        <v>74</v>
      </c>
      <c r="W942"/>
      <c r="X942"/>
      <c r="Y942"/>
      <c r="Z942"/>
      <c r="AA942"/>
      <c r="AB942" t="s">
        <v>4251</v>
      </c>
      <c r="AC942" t="n">
        <v>119</v>
      </c>
      <c r="AD942"/>
      <c r="AE942"/>
      <c r="AF942" t="s">
        <v>4252</v>
      </c>
      <c r="AG942" t="n">
        <v>127</v>
      </c>
    </row>
    <row r="943">
      <c r="A943" t="s">
        <v>4253</v>
      </c>
      <c r="B943" t="s">
        <v>31</v>
      </c>
      <c r="C943" t="s">
        <v>24</v>
      </c>
      <c r="D943" t="s">
        <v>4254</v>
      </c>
      <c r="E943" t="s">
        <v>79</v>
      </c>
      <c r="F943" t="s">
        <v>1274</v>
      </c>
      <c r="G943"/>
      <c r="H943" t="n">
        <v>39.7451786572161</v>
      </c>
      <c r="I943" t="n">
        <v>-104.9993881787</v>
      </c>
      <c r="J943" t="s">
        <v>4109</v>
      </c>
      <c r="K943" t="s">
        <v>1041</v>
      </c>
      <c r="L943"/>
      <c r="M943" t="n">
        <v>1965</v>
      </c>
      <c r="N943" t="n">
        <v>1974</v>
      </c>
      <c r="O943" t="s">
        <v>4255</v>
      </c>
      <c r="P943" t="n">
        <v>7</v>
      </c>
      <c r="Q943" t="n">
        <v>7</v>
      </c>
      <c r="R943" t="n">
        <v>2</v>
      </c>
      <c r="S943" t="n">
        <v>1923</v>
      </c>
      <c r="T943" t="s">
        <v>4256</v>
      </c>
      <c r="U943" t="s">
        <v>4257</v>
      </c>
      <c r="V943" t="s">
        <v>74</v>
      </c>
      <c r="W943"/>
      <c r="X943"/>
      <c r="Y943"/>
      <c r="Z943"/>
      <c r="AA943"/>
      <c r="AB943" t="s">
        <v>1332</v>
      </c>
      <c r="AC943" t="n">
        <v>196</v>
      </c>
      <c r="AD943"/>
      <c r="AE943"/>
      <c r="AF943" t="s">
        <v>1320</v>
      </c>
      <c r="AG943" t="n">
        <v>196</v>
      </c>
    </row>
    <row r="944">
      <c r="A944" t="s">
        <v>4258</v>
      </c>
      <c r="B944" t="s">
        <v>31</v>
      </c>
      <c r="C944" t="s">
        <v>24</v>
      </c>
      <c r="D944" t="s">
        <v>4259</v>
      </c>
      <c r="E944" t="s">
        <v>79</v>
      </c>
      <c r="F944" t="s">
        <v>1274</v>
      </c>
      <c r="G944"/>
      <c r="H944" t="n">
        <v>39.7225340765015</v>
      </c>
      <c r="I944" t="n">
        <v>-104.993042736654</v>
      </c>
      <c r="J944" t="s">
        <v>35</v>
      </c>
      <c r="K944" t="s">
        <v>70</v>
      </c>
      <c r="L944"/>
      <c r="M944" t="n">
        <v>1965</v>
      </c>
      <c r="N944" t="n">
        <v>1992</v>
      </c>
      <c r="O944" t="s">
        <v>4172</v>
      </c>
      <c r="P944" t="n">
        <v>9</v>
      </c>
      <c r="Q944" t="n">
        <v>3</v>
      </c>
      <c r="R944" t="n">
        <v>1</v>
      </c>
      <c r="S944" t="n">
        <v>1935</v>
      </c>
      <c r="T944" t="s">
        <v>4260</v>
      </c>
      <c r="U944" t="s">
        <v>4261</v>
      </c>
      <c r="V944" t="s">
        <v>4175</v>
      </c>
      <c r="W944"/>
      <c r="X944"/>
      <c r="Y944"/>
      <c r="Z944"/>
      <c r="AA944"/>
      <c r="AB944" t="s">
        <v>4251</v>
      </c>
      <c r="AC944" t="n">
        <v>123</v>
      </c>
      <c r="AD944"/>
      <c r="AE944"/>
      <c r="AF944" t="s">
        <v>4262</v>
      </c>
      <c r="AG944" t="n">
        <v>119</v>
      </c>
    </row>
    <row r="945">
      <c r="A945" t="s">
        <v>1315</v>
      </c>
      <c r="B945" t="s">
        <v>31</v>
      </c>
      <c r="C945" t="s">
        <v>65</v>
      </c>
      <c r="D945" t="s">
        <v>1316</v>
      </c>
      <c r="E945" t="s">
        <v>79</v>
      </c>
      <c r="F945" t="s">
        <v>1274</v>
      </c>
      <c r="G945"/>
      <c r="H945" t="n">
        <v>39.7452585252525</v>
      </c>
      <c r="I945" t="n">
        <v>-105.000729828283</v>
      </c>
      <c r="J945" t="s">
        <v>35</v>
      </c>
      <c r="K945" t="s">
        <v>70</v>
      </c>
      <c r="L945"/>
      <c r="M945" t="n">
        <v>1965</v>
      </c>
      <c r="N945" t="n">
        <v>1965</v>
      </c>
      <c r="O945" t="s">
        <v>1275</v>
      </c>
      <c r="P945" t="n">
        <v>1</v>
      </c>
      <c r="Q945" t="n">
        <v>1</v>
      </c>
      <c r="R945" t="n">
        <v>1</v>
      </c>
      <c r="S945"/>
      <c r="T945" t="s">
        <v>1317</v>
      </c>
      <c r="U945" t="s">
        <v>1318</v>
      </c>
      <c r="V945" t="s">
        <v>74</v>
      </c>
      <c r="W945"/>
      <c r="X945"/>
      <c r="Y945"/>
      <c r="Z945"/>
      <c r="AA945"/>
      <c r="AB945" t="s">
        <v>1319</v>
      </c>
      <c r="AC945" t="n">
        <v>175</v>
      </c>
      <c r="AD945"/>
      <c r="AE945"/>
      <c r="AF945" t="s">
        <v>1320</v>
      </c>
      <c r="AG945" t="n">
        <v>223</v>
      </c>
    </row>
    <row r="946">
      <c r="A946" t="s">
        <v>1321</v>
      </c>
      <c r="B946" t="s">
        <v>31</v>
      </c>
      <c r="C946" t="s">
        <v>65</v>
      </c>
      <c r="D946" t="s">
        <v>1322</v>
      </c>
      <c r="E946" t="s">
        <v>79</v>
      </c>
      <c r="F946" t="s">
        <v>1274</v>
      </c>
      <c r="G946"/>
      <c r="H946" t="n">
        <v>39.7563233351893</v>
      </c>
      <c r="I946" t="n">
        <v>-104.988230694628</v>
      </c>
      <c r="J946" t="s">
        <v>35</v>
      </c>
      <c r="K946" t="s">
        <v>89</v>
      </c>
      <c r="L946"/>
      <c r="M946" t="n">
        <v>1965</v>
      </c>
      <c r="N946" t="n">
        <v>1990</v>
      </c>
      <c r="O946" t="s">
        <v>1275</v>
      </c>
      <c r="P946" t="n">
        <v>7</v>
      </c>
      <c r="Q946" t="n">
        <v>5</v>
      </c>
      <c r="R946" t="n">
        <v>1</v>
      </c>
      <c r="S946" t="n">
        <v>1946</v>
      </c>
      <c r="T946" t="s">
        <v>1323</v>
      </c>
      <c r="U946" t="s">
        <v>1324</v>
      </c>
      <c r="V946" t="s">
        <v>74</v>
      </c>
      <c r="W946"/>
      <c r="X946"/>
      <c r="Y946"/>
      <c r="Z946"/>
      <c r="AA946"/>
      <c r="AB946" t="s">
        <v>1325</v>
      </c>
      <c r="AC946" t="n">
        <v>107</v>
      </c>
      <c r="AD946"/>
      <c r="AE946"/>
      <c r="AF946" t="s">
        <v>1326</v>
      </c>
      <c r="AG946" t="n">
        <v>128</v>
      </c>
    </row>
    <row r="947">
      <c r="A947" t="s">
        <v>1327</v>
      </c>
      <c r="B947" t="s">
        <v>31</v>
      </c>
      <c r="C947" t="s">
        <v>65</v>
      </c>
      <c r="D947" t="s">
        <v>1328</v>
      </c>
      <c r="E947" t="s">
        <v>79</v>
      </c>
      <c r="F947" t="s">
        <v>1274</v>
      </c>
      <c r="G947"/>
      <c r="H947" t="n">
        <v>39.7481183315902</v>
      </c>
      <c r="I947" t="n">
        <v>-105.000530451343</v>
      </c>
      <c r="J947" t="s">
        <v>35</v>
      </c>
      <c r="K947" t="s">
        <v>1296</v>
      </c>
      <c r="L947"/>
      <c r="M947" t="n">
        <v>1965</v>
      </c>
      <c r="N947" t="n">
        <v>1983</v>
      </c>
      <c r="O947" t="s">
        <v>1329</v>
      </c>
      <c r="P947" t="n">
        <v>8</v>
      </c>
      <c r="Q947" t="n">
        <v>8</v>
      </c>
      <c r="R947" t="n">
        <v>5</v>
      </c>
      <c r="S947" t="n">
        <v>1945</v>
      </c>
      <c r="T947" t="s">
        <v>1330</v>
      </c>
      <c r="U947" t="s">
        <v>1331</v>
      </c>
      <c r="V947" t="s">
        <v>74</v>
      </c>
      <c r="W947"/>
      <c r="X947"/>
      <c r="Y947"/>
      <c r="Z947"/>
      <c r="AA947"/>
      <c r="AB947" t="s">
        <v>1332</v>
      </c>
      <c r="AC947" t="n">
        <v>165</v>
      </c>
      <c r="AD947" t="s">
        <v>1333</v>
      </c>
      <c r="AE947" t="n">
        <v>214</v>
      </c>
      <c r="AF947" t="s">
        <v>1334</v>
      </c>
      <c r="AG947" t="n">
        <v>111</v>
      </c>
    </row>
    <row r="948">
      <c r="A948" t="s">
        <v>1335</v>
      </c>
      <c r="B948" t="s">
        <v>31</v>
      </c>
      <c r="C948" t="s">
        <v>65</v>
      </c>
      <c r="D948" t="s">
        <v>1336</v>
      </c>
      <c r="E948" t="s">
        <v>79</v>
      </c>
      <c r="F948" t="s">
        <v>1274</v>
      </c>
      <c r="G948"/>
      <c r="H948" t="n">
        <v>39.763222490955</v>
      </c>
      <c r="I948" t="n">
        <v>-105.010156940059</v>
      </c>
      <c r="J948" t="s">
        <v>35</v>
      </c>
      <c r="K948" t="s">
        <v>89</v>
      </c>
      <c r="L948" t="s">
        <v>1337</v>
      </c>
      <c r="M948" t="n">
        <v>1965</v>
      </c>
      <c r="N948" t="n">
        <v>1968</v>
      </c>
      <c r="O948" t="s">
        <v>1338</v>
      </c>
      <c r="P948" t="n">
        <v>3</v>
      </c>
      <c r="Q948" t="n">
        <v>1</v>
      </c>
      <c r="R948" t="n">
        <v>1</v>
      </c>
      <c r="S948" t="n">
        <v>1954</v>
      </c>
      <c r="T948" t="s">
        <v>1339</v>
      </c>
      <c r="U948" t="s">
        <v>1340</v>
      </c>
      <c r="V948" t="s">
        <v>74</v>
      </c>
      <c r="W948"/>
      <c r="X948"/>
      <c r="Y948"/>
      <c r="Z948"/>
      <c r="AA948"/>
      <c r="AB948" t="s">
        <v>1341</v>
      </c>
      <c r="AC948" t="n">
        <v>174</v>
      </c>
      <c r="AD948"/>
      <c r="AE948"/>
      <c r="AF948" t="s">
        <v>1342</v>
      </c>
      <c r="AG948" t="n">
        <v>99</v>
      </c>
    </row>
    <row r="949">
      <c r="A949" t="s">
        <v>1343</v>
      </c>
      <c r="B949" t="s">
        <v>31</v>
      </c>
      <c r="C949" t="s">
        <v>65</v>
      </c>
      <c r="D949" t="s">
        <v>1344</v>
      </c>
      <c r="E949" t="s">
        <v>79</v>
      </c>
      <c r="F949" t="s">
        <v>1274</v>
      </c>
      <c r="G949"/>
      <c r="H949" t="n">
        <v>39.7558527162334</v>
      </c>
      <c r="I949" t="n">
        <v>-104.989040226322</v>
      </c>
      <c r="J949" t="s">
        <v>35</v>
      </c>
      <c r="K949" t="s">
        <v>70</v>
      </c>
      <c r="L949"/>
      <c r="M949" t="n">
        <v>1965</v>
      </c>
      <c r="N949" t="n">
        <v>1974</v>
      </c>
      <c r="O949" t="s">
        <v>1275</v>
      </c>
      <c r="P949" t="n">
        <v>5</v>
      </c>
      <c r="Q949" t="n">
        <v>3</v>
      </c>
      <c r="R949" t="n">
        <v>1</v>
      </c>
      <c r="S949" t="n">
        <v>1866</v>
      </c>
      <c r="T949" t="s">
        <v>1345</v>
      </c>
      <c r="U949" t="s">
        <v>1346</v>
      </c>
      <c r="V949" t="s">
        <v>74</v>
      </c>
      <c r="W949"/>
      <c r="X949"/>
      <c r="Y949"/>
      <c r="Z949"/>
      <c r="AA949"/>
      <c r="AB949" t="s">
        <v>1325</v>
      </c>
      <c r="AC949" t="n">
        <v>103</v>
      </c>
      <c r="AD949"/>
      <c r="AE949"/>
      <c r="AF949" t="s">
        <v>1293</v>
      </c>
      <c r="AG949" t="n">
        <v>89</v>
      </c>
    </row>
    <row r="950">
      <c r="A950" t="s">
        <v>4263</v>
      </c>
      <c r="B950" t="s">
        <v>31</v>
      </c>
      <c r="C950" t="s">
        <v>24</v>
      </c>
      <c r="D950" t="s">
        <v>4264</v>
      </c>
      <c r="E950" t="s">
        <v>79</v>
      </c>
      <c r="F950" t="s">
        <v>1274</v>
      </c>
      <c r="G950"/>
      <c r="H950" t="n">
        <v>39.7279029115285</v>
      </c>
      <c r="I950" t="n">
        <v>-105.022122087898</v>
      </c>
      <c r="J950" t="s">
        <v>4109</v>
      </c>
      <c r="K950" t="s">
        <v>141</v>
      </c>
      <c r="L950"/>
      <c r="M950" t="n">
        <v>1965</v>
      </c>
      <c r="N950" t="n">
        <v>1980</v>
      </c>
      <c r="O950" t="s">
        <v>4265</v>
      </c>
      <c r="P950" t="n">
        <v>5</v>
      </c>
      <c r="Q950" t="n">
        <v>1</v>
      </c>
      <c r="R950" t="n">
        <v>1</v>
      </c>
      <c r="S950" t="n">
        <v>1945</v>
      </c>
      <c r="T950" t="s">
        <v>4266</v>
      </c>
      <c r="U950" t="s">
        <v>4267</v>
      </c>
      <c r="V950" t="s">
        <v>74</v>
      </c>
      <c r="W950"/>
      <c r="X950"/>
      <c r="Y950"/>
      <c r="Z950"/>
      <c r="AA950"/>
      <c r="AB950" t="s">
        <v>4268</v>
      </c>
      <c r="AC950" t="n">
        <v>157</v>
      </c>
      <c r="AD950"/>
      <c r="AE950"/>
      <c r="AF950" t="s">
        <v>4269</v>
      </c>
      <c r="AG950" t="n">
        <v>45</v>
      </c>
    </row>
    <row r="951">
      <c r="A951" t="s">
        <v>1347</v>
      </c>
      <c r="B951" t="s">
        <v>31</v>
      </c>
      <c r="C951" t="s">
        <v>65</v>
      </c>
      <c r="D951" t="s">
        <v>1348</v>
      </c>
      <c r="E951" t="s">
        <v>79</v>
      </c>
      <c r="F951" t="s">
        <v>1274</v>
      </c>
      <c r="G951"/>
      <c r="H951" t="n">
        <v>39.6997413946459</v>
      </c>
      <c r="I951" t="n">
        <v>-105.039081907408</v>
      </c>
      <c r="J951" t="s">
        <v>35</v>
      </c>
      <c r="K951" t="s">
        <v>120</v>
      </c>
      <c r="L951"/>
      <c r="M951" t="n">
        <v>1965</v>
      </c>
      <c r="N951" t="n">
        <v>1968</v>
      </c>
      <c r="O951" t="s">
        <v>1349</v>
      </c>
      <c r="P951" t="n">
        <v>2</v>
      </c>
      <c r="Q951" t="n">
        <v>2</v>
      </c>
      <c r="R951" t="n">
        <v>1</v>
      </c>
      <c r="S951" t="n">
        <v>1942</v>
      </c>
      <c r="T951" t="s">
        <v>1350</v>
      </c>
      <c r="U951" t="s">
        <v>1351</v>
      </c>
      <c r="V951" t="s">
        <v>74</v>
      </c>
      <c r="W951"/>
      <c r="X951"/>
      <c r="Y951"/>
      <c r="Z951"/>
      <c r="AA951"/>
      <c r="AB951"/>
      <c r="AC951"/>
      <c r="AD951"/>
      <c r="AE951"/>
      <c r="AF951"/>
      <c r="AG951"/>
    </row>
    <row r="952">
      <c r="A952" t="s">
        <v>1352</v>
      </c>
      <c r="B952" t="s">
        <v>31</v>
      </c>
      <c r="C952" t="s">
        <v>65</v>
      </c>
      <c r="D952" t="s">
        <v>1353</v>
      </c>
      <c r="E952" t="s">
        <v>79</v>
      </c>
      <c r="F952" t="s">
        <v>1274</v>
      </c>
      <c r="G952"/>
      <c r="H952" t="n">
        <v>39.7077542839927</v>
      </c>
      <c r="I952" t="n">
        <v>-104.919942569064</v>
      </c>
      <c r="J952" t="s">
        <v>35</v>
      </c>
      <c r="K952" t="s">
        <v>70</v>
      </c>
      <c r="L952"/>
      <c r="M952" t="n">
        <v>1965</v>
      </c>
      <c r="N952" t="n">
        <v>1965</v>
      </c>
      <c r="O952" t="s">
        <v>1275</v>
      </c>
      <c r="P952" t="n">
        <v>1</v>
      </c>
      <c r="Q952" t="n">
        <v>1</v>
      </c>
      <c r="R952" t="n">
        <v>1</v>
      </c>
      <c r="S952"/>
      <c r="T952" t="s">
        <v>1354</v>
      </c>
      <c r="U952" t="s">
        <v>1355</v>
      </c>
      <c r="V952" t="s">
        <v>74</v>
      </c>
      <c r="W952"/>
      <c r="X952"/>
      <c r="Y952"/>
      <c r="Z952"/>
      <c r="AA952"/>
      <c r="AB952"/>
      <c r="AC952"/>
      <c r="AD952"/>
      <c r="AE952"/>
      <c r="AF952" t="s">
        <v>1356</v>
      </c>
      <c r="AG952" t="n">
        <v>116</v>
      </c>
    </row>
    <row r="953">
      <c r="A953" t="s">
        <v>1357</v>
      </c>
      <c r="B953" t="s">
        <v>31</v>
      </c>
      <c r="C953" t="s">
        <v>65</v>
      </c>
      <c r="D953" t="s">
        <v>1358</v>
      </c>
      <c r="E953" t="s">
        <v>79</v>
      </c>
      <c r="F953" t="s">
        <v>1274</v>
      </c>
      <c r="G953"/>
      <c r="H953" t="n">
        <v>39.7507103459126</v>
      </c>
      <c r="I953" t="n">
        <v>-104.988513918885</v>
      </c>
      <c r="J953" t="s">
        <v>35</v>
      </c>
      <c r="K953" t="s">
        <v>1359</v>
      </c>
      <c r="L953"/>
      <c r="M953" t="n">
        <v>1965</v>
      </c>
      <c r="N953" t="n">
        <v>1980</v>
      </c>
      <c r="O953" t="s">
        <v>1360</v>
      </c>
      <c r="P953" t="n">
        <v>7</v>
      </c>
      <c r="Q953" t="n">
        <v>4</v>
      </c>
      <c r="R953" t="n">
        <v>2</v>
      </c>
      <c r="S953" t="n">
        <v>1907</v>
      </c>
      <c r="T953" t="s">
        <v>1361</v>
      </c>
      <c r="U953" t="s">
        <v>1362</v>
      </c>
      <c r="V953" t="s">
        <v>74</v>
      </c>
      <c r="W953"/>
      <c r="X953"/>
      <c r="Y953"/>
      <c r="Z953"/>
      <c r="AA953"/>
      <c r="AB953" t="s">
        <v>1363</v>
      </c>
      <c r="AC953" t="n">
        <v>146</v>
      </c>
      <c r="AD953"/>
      <c r="AE953"/>
      <c r="AF953" t="s">
        <v>1364</v>
      </c>
      <c r="AG953" t="n">
        <v>175</v>
      </c>
    </row>
    <row r="954">
      <c r="A954" t="s">
        <v>1365</v>
      </c>
      <c r="B954" t="s">
        <v>31</v>
      </c>
      <c r="C954" t="s">
        <v>65</v>
      </c>
      <c r="D954" t="s">
        <v>1366</v>
      </c>
      <c r="E954" t="s">
        <v>79</v>
      </c>
      <c r="F954" t="s">
        <v>1274</v>
      </c>
      <c r="G954"/>
      <c r="H954" t="n">
        <v>39.6769829483988</v>
      </c>
      <c r="I954" t="n">
        <v>-104.992265788643</v>
      </c>
      <c r="J954" t="s">
        <v>35</v>
      </c>
      <c r="K954" t="s">
        <v>141</v>
      </c>
      <c r="L954"/>
      <c r="M954" t="n">
        <v>1965</v>
      </c>
      <c r="N954" t="n">
        <v>1992</v>
      </c>
      <c r="O954" t="s">
        <v>1367</v>
      </c>
      <c r="P954" t="n">
        <v>7</v>
      </c>
      <c r="Q954" t="n">
        <v>4</v>
      </c>
      <c r="R954" t="n">
        <v>2</v>
      </c>
      <c r="S954" t="n">
        <v>1941</v>
      </c>
      <c r="T954" t="s">
        <v>1368</v>
      </c>
      <c r="U954" t="s">
        <v>1369</v>
      </c>
      <c r="V954" t="s">
        <v>74</v>
      </c>
      <c r="W954"/>
      <c r="X954"/>
      <c r="Y954"/>
      <c r="Z954"/>
      <c r="AA954"/>
      <c r="AB954" t="s">
        <v>1370</v>
      </c>
      <c r="AC954" t="n">
        <v>79</v>
      </c>
      <c r="AD954" t="s">
        <v>1371</v>
      </c>
      <c r="AE954" t="n">
        <v>159</v>
      </c>
      <c r="AF954" t="s">
        <v>1372</v>
      </c>
      <c r="AG954" t="n">
        <v>60</v>
      </c>
    </row>
    <row r="955">
      <c r="A955" t="s">
        <v>1373</v>
      </c>
      <c r="B955" t="s">
        <v>31</v>
      </c>
      <c r="C955" t="s">
        <v>65</v>
      </c>
      <c r="D955" t="s">
        <v>1374</v>
      </c>
      <c r="E955" t="s">
        <v>79</v>
      </c>
      <c r="F955" t="s">
        <v>1274</v>
      </c>
      <c r="G955"/>
      <c r="H955" t="n">
        <v>39.7579538430024</v>
      </c>
      <c r="I955" t="n">
        <v>-104.986109939634</v>
      </c>
      <c r="J955" t="s">
        <v>35</v>
      </c>
      <c r="K955" t="s">
        <v>70</v>
      </c>
      <c r="L955" t="s">
        <v>554</v>
      </c>
      <c r="M955" t="n">
        <v>1965</v>
      </c>
      <c r="N955" t="n">
        <v>1968</v>
      </c>
      <c r="O955" t="s">
        <v>1375</v>
      </c>
      <c r="P955" t="n">
        <v>2</v>
      </c>
      <c r="Q955" t="n">
        <v>2</v>
      </c>
      <c r="R955" t="n">
        <v>2</v>
      </c>
      <c r="S955" t="n">
        <v>1947</v>
      </c>
      <c r="T955" t="s">
        <v>1376</v>
      </c>
      <c r="U955" t="s">
        <v>1377</v>
      </c>
      <c r="V955" t="s">
        <v>74</v>
      </c>
      <c r="W955"/>
      <c r="X955"/>
      <c r="Y955"/>
      <c r="Z955"/>
      <c r="AA955"/>
      <c r="AB955" t="s">
        <v>1378</v>
      </c>
      <c r="AC955" t="n">
        <v>97</v>
      </c>
      <c r="AD955"/>
      <c r="AE955"/>
      <c r="AF955" t="s">
        <v>1379</v>
      </c>
      <c r="AG955" t="n">
        <v>109</v>
      </c>
    </row>
    <row r="956">
      <c r="A956" t="s">
        <v>1380</v>
      </c>
      <c r="B956" t="s">
        <v>31</v>
      </c>
      <c r="C956" t="s">
        <v>65</v>
      </c>
      <c r="D956" t="s">
        <v>1381</v>
      </c>
      <c r="E956" t="s">
        <v>79</v>
      </c>
      <c r="F956" t="s">
        <v>1274</v>
      </c>
      <c r="G956"/>
      <c r="H956" t="n">
        <v>39.7549020857979</v>
      </c>
      <c r="I956" t="n">
        <v>-104.993552409224</v>
      </c>
      <c r="J956" t="s">
        <v>35</v>
      </c>
      <c r="K956" t="s">
        <v>70</v>
      </c>
      <c r="L956"/>
      <c r="M956" t="n">
        <v>1965</v>
      </c>
      <c r="N956" t="n">
        <v>1965</v>
      </c>
      <c r="O956" t="s">
        <v>1275</v>
      </c>
      <c r="P956" t="n">
        <v>1</v>
      </c>
      <c r="Q956" t="n">
        <v>1</v>
      </c>
      <c r="R956" t="n">
        <v>1</v>
      </c>
      <c r="S956"/>
      <c r="T956" t="s">
        <v>1382</v>
      </c>
      <c r="U956" t="s">
        <v>1383</v>
      </c>
      <c r="V956" t="s">
        <v>74</v>
      </c>
      <c r="W956"/>
      <c r="X956"/>
      <c r="Y956"/>
      <c r="Z956"/>
      <c r="AA956"/>
      <c r="AB956" t="s">
        <v>1384</v>
      </c>
      <c r="AC956" t="n">
        <v>150</v>
      </c>
      <c r="AD956"/>
      <c r="AE956"/>
      <c r="AF956" t="s">
        <v>1385</v>
      </c>
      <c r="AG956" t="n">
        <v>44</v>
      </c>
    </row>
    <row r="957">
      <c r="A957" t="s">
        <v>4270</v>
      </c>
      <c r="B957" t="s">
        <v>31</v>
      </c>
      <c r="C957" t="s">
        <v>24</v>
      </c>
      <c r="D957" t="s">
        <v>4271</v>
      </c>
      <c r="E957" t="s">
        <v>79</v>
      </c>
      <c r="F957" t="s">
        <v>1274</v>
      </c>
      <c r="G957"/>
      <c r="H957" t="n">
        <v>39.7427840855934</v>
      </c>
      <c r="I957" t="n">
        <v>-105.003245844944</v>
      </c>
      <c r="J957" t="s">
        <v>4109</v>
      </c>
      <c r="K957" t="s">
        <v>120</v>
      </c>
      <c r="L957"/>
      <c r="M957" t="n">
        <v>1965</v>
      </c>
      <c r="N957" t="n">
        <v>1965</v>
      </c>
      <c r="O957" t="s">
        <v>1275</v>
      </c>
      <c r="P957" t="n">
        <v>1</v>
      </c>
      <c r="Q957" t="n">
        <v>1</v>
      </c>
      <c r="R957" t="n">
        <v>1</v>
      </c>
      <c r="S957"/>
      <c r="T957" t="s">
        <v>4272</v>
      </c>
      <c r="U957" t="s">
        <v>4273</v>
      </c>
      <c r="V957" t="s">
        <v>74</v>
      </c>
      <c r="W957"/>
      <c r="X957"/>
      <c r="Y957"/>
      <c r="Z957"/>
      <c r="AA957"/>
      <c r="AB957" t="s">
        <v>4274</v>
      </c>
      <c r="AC957" t="n">
        <v>155</v>
      </c>
      <c r="AD957"/>
      <c r="AE957"/>
      <c r="AF957" t="s">
        <v>4275</v>
      </c>
      <c r="AG957" t="n">
        <v>139</v>
      </c>
    </row>
    <row r="958">
      <c r="A958" t="s">
        <v>1386</v>
      </c>
      <c r="B958" t="s">
        <v>31</v>
      </c>
      <c r="C958" t="s">
        <v>65</v>
      </c>
      <c r="D958" t="s">
        <v>1387</v>
      </c>
      <c r="E958" t="s">
        <v>79</v>
      </c>
      <c r="F958" t="s">
        <v>1274</v>
      </c>
      <c r="G958"/>
      <c r="H958" t="n">
        <v>39.7497263267317</v>
      </c>
      <c r="I958" t="n">
        <v>-104.913986</v>
      </c>
      <c r="J958" t="s">
        <v>35</v>
      </c>
      <c r="K958" t="s">
        <v>70</v>
      </c>
      <c r="L958"/>
      <c r="M958" t="n">
        <v>1965</v>
      </c>
      <c r="N958" t="n">
        <v>1965</v>
      </c>
      <c r="O958" t="s">
        <v>1275</v>
      </c>
      <c r="P958" t="n">
        <v>1</v>
      </c>
      <c r="Q958" t="n">
        <v>1</v>
      </c>
      <c r="R958" t="n">
        <v>1</v>
      </c>
      <c r="S958"/>
      <c r="T958" t="s">
        <v>1388</v>
      </c>
      <c r="U958" t="s">
        <v>1389</v>
      </c>
      <c r="V958" t="s">
        <v>74</v>
      </c>
      <c r="W958"/>
      <c r="X958"/>
      <c r="Y958"/>
      <c r="Z958"/>
      <c r="AA958"/>
      <c r="AB958"/>
      <c r="AC958"/>
      <c r="AD958"/>
      <c r="AE958"/>
      <c r="AF958" t="s">
        <v>804</v>
      </c>
      <c r="AG958" t="n">
        <v>96</v>
      </c>
    </row>
    <row r="959">
      <c r="A959" t="s">
        <v>1390</v>
      </c>
      <c r="B959" t="s">
        <v>31</v>
      </c>
      <c r="C959" t="s">
        <v>65</v>
      </c>
      <c r="D959" t="s">
        <v>1391</v>
      </c>
      <c r="E959" t="s">
        <v>79</v>
      </c>
      <c r="F959" t="s">
        <v>1274</v>
      </c>
      <c r="G959"/>
      <c r="H959" t="n">
        <v>39.7428060744661</v>
      </c>
      <c r="I959" t="n">
        <v>-104.998243646872</v>
      </c>
      <c r="J959" t="s">
        <v>35</v>
      </c>
      <c r="K959" t="s">
        <v>120</v>
      </c>
      <c r="L959"/>
      <c r="M959" t="n">
        <v>1965</v>
      </c>
      <c r="N959" t="n">
        <v>1965</v>
      </c>
      <c r="O959" t="s">
        <v>1275</v>
      </c>
      <c r="P959" t="n">
        <v>1</v>
      </c>
      <c r="Q959" t="n">
        <v>1</v>
      </c>
      <c r="R959" t="n">
        <v>1</v>
      </c>
      <c r="S959"/>
      <c r="T959" t="s">
        <v>1392</v>
      </c>
      <c r="U959" t="s">
        <v>1393</v>
      </c>
      <c r="V959" t="s">
        <v>74</v>
      </c>
      <c r="W959"/>
      <c r="X959"/>
      <c r="Y959"/>
      <c r="Z959"/>
      <c r="AA959"/>
      <c r="AB959"/>
      <c r="AC959"/>
      <c r="AD959"/>
      <c r="AE959"/>
      <c r="AF959" t="s">
        <v>1394</v>
      </c>
      <c r="AG959" t="n">
        <v>249</v>
      </c>
    </row>
    <row r="960">
      <c r="A960" t="s">
        <v>1395</v>
      </c>
      <c r="B960" t="s">
        <v>31</v>
      </c>
      <c r="C960" t="s">
        <v>65</v>
      </c>
      <c r="D960" t="s">
        <v>1396</v>
      </c>
      <c r="E960" t="s">
        <v>79</v>
      </c>
      <c r="F960" t="s">
        <v>1274</v>
      </c>
      <c r="G960"/>
      <c r="H960" t="n">
        <v>39.7526254139091</v>
      </c>
      <c r="I960" t="n">
        <v>-104.996469837388</v>
      </c>
      <c r="J960" t="s">
        <v>35</v>
      </c>
      <c r="K960" t="s">
        <v>120</v>
      </c>
      <c r="L960"/>
      <c r="M960" t="n">
        <v>1965</v>
      </c>
      <c r="N960" t="n">
        <v>1992</v>
      </c>
      <c r="O960" t="s">
        <v>1397</v>
      </c>
      <c r="P960" t="n">
        <v>10</v>
      </c>
      <c r="Q960" t="n">
        <v>6</v>
      </c>
      <c r="R960" t="n">
        <v>1</v>
      </c>
      <c r="S960" t="n">
        <v>1880</v>
      </c>
      <c r="T960" t="s">
        <v>1398</v>
      </c>
      <c r="U960" t="s">
        <v>1399</v>
      </c>
      <c r="V960" t="s">
        <v>74</v>
      </c>
      <c r="W960"/>
      <c r="X960"/>
      <c r="Y960"/>
      <c r="Z960"/>
      <c r="AA960"/>
      <c r="AB960" t="s">
        <v>1400</v>
      </c>
      <c r="AC960" t="n">
        <v>111</v>
      </c>
      <c r="AD960"/>
      <c r="AE960"/>
      <c r="AF960" t="s">
        <v>1401</v>
      </c>
      <c r="AG960" t="n">
        <v>170</v>
      </c>
    </row>
    <row r="961">
      <c r="A961" t="s">
        <v>1402</v>
      </c>
      <c r="B961" t="s">
        <v>31</v>
      </c>
      <c r="C961" t="s">
        <v>65</v>
      </c>
      <c r="D961" t="s">
        <v>1403</v>
      </c>
      <c r="E961" t="s">
        <v>79</v>
      </c>
      <c r="F961" t="s">
        <v>1274</v>
      </c>
      <c r="G961"/>
      <c r="H961" t="n">
        <v>39.6822088004469</v>
      </c>
      <c r="I961" t="n">
        <v>-104.9804706215</v>
      </c>
      <c r="J961" t="s">
        <v>35</v>
      </c>
      <c r="K961" t="s">
        <v>120</v>
      </c>
      <c r="L961"/>
      <c r="M961" t="n">
        <v>1965</v>
      </c>
      <c r="N961" t="n">
        <v>1990</v>
      </c>
      <c r="O961" t="s">
        <v>325</v>
      </c>
      <c r="P961" t="n">
        <v>7</v>
      </c>
      <c r="Q961" t="n">
        <v>4</v>
      </c>
      <c r="R961" t="n">
        <v>1</v>
      </c>
      <c r="S961" t="n">
        <v>1944</v>
      </c>
      <c r="T961" t="s">
        <v>1404</v>
      </c>
      <c r="U961" t="s">
        <v>1405</v>
      </c>
      <c r="V961" t="s">
        <v>74</v>
      </c>
      <c r="W961"/>
      <c r="X961"/>
      <c r="Y961"/>
      <c r="Z961"/>
      <c r="AA961"/>
      <c r="AB961" t="s">
        <v>1406</v>
      </c>
      <c r="AC961" t="n">
        <v>104</v>
      </c>
      <c r="AD961"/>
      <c r="AE961"/>
      <c r="AF961" t="s">
        <v>1407</v>
      </c>
      <c r="AG961" t="n">
        <v>181</v>
      </c>
    </row>
    <row r="962">
      <c r="A962" t="s">
        <v>1408</v>
      </c>
      <c r="B962" t="s">
        <v>31</v>
      </c>
      <c r="C962" t="s">
        <v>65</v>
      </c>
      <c r="D962" t="s">
        <v>1409</v>
      </c>
      <c r="E962" t="s">
        <v>79</v>
      </c>
      <c r="F962" t="s">
        <v>1274</v>
      </c>
      <c r="G962"/>
      <c r="H962" t="n">
        <v>39.7433269118312</v>
      </c>
      <c r="I962" t="n">
        <v>-104.991107877594</v>
      </c>
      <c r="J962" t="s">
        <v>35</v>
      </c>
      <c r="K962" t="s">
        <v>120</v>
      </c>
      <c r="L962"/>
      <c r="M962" t="n">
        <v>1965</v>
      </c>
      <c r="N962" t="n">
        <v>1970</v>
      </c>
      <c r="O962" t="s">
        <v>1275</v>
      </c>
      <c r="P962" t="n">
        <v>3</v>
      </c>
      <c r="Q962" t="n">
        <v>1</v>
      </c>
      <c r="R962" t="n">
        <v>1</v>
      </c>
      <c r="S962" t="n">
        <v>1929</v>
      </c>
      <c r="T962" t="s">
        <v>1410</v>
      </c>
      <c r="U962" t="s">
        <v>1411</v>
      </c>
      <c r="V962" t="s">
        <v>74</v>
      </c>
      <c r="W962"/>
      <c r="X962"/>
      <c r="Y962"/>
      <c r="Z962"/>
      <c r="AA962"/>
      <c r="AB962" t="s">
        <v>1412</v>
      </c>
      <c r="AC962" t="n">
        <v>133</v>
      </c>
      <c r="AD962"/>
      <c r="AE962"/>
      <c r="AF962" t="s">
        <v>1413</v>
      </c>
      <c r="AG962" t="n">
        <v>71</v>
      </c>
    </row>
    <row r="963">
      <c r="A963" t="s">
        <v>4276</v>
      </c>
      <c r="B963" t="s">
        <v>31</v>
      </c>
      <c r="C963" t="s">
        <v>24</v>
      </c>
      <c r="D963" t="s">
        <v>4277</v>
      </c>
      <c r="E963" t="s">
        <v>79</v>
      </c>
      <c r="F963" t="s">
        <v>1274</v>
      </c>
      <c r="G963"/>
      <c r="H963" t="n">
        <v>39.7590966576087</v>
      </c>
      <c r="I963" t="n">
        <v>-105.015835</v>
      </c>
      <c r="J963" t="s">
        <v>4109</v>
      </c>
      <c r="K963" t="s">
        <v>1282</v>
      </c>
      <c r="L963"/>
      <c r="M963" t="n">
        <v>1965</v>
      </c>
      <c r="N963" t="n">
        <v>1983</v>
      </c>
      <c r="O963" t="s">
        <v>4278</v>
      </c>
      <c r="P963" t="n">
        <v>7</v>
      </c>
      <c r="Q963" t="n">
        <v>5</v>
      </c>
      <c r="R963" t="n">
        <v>2</v>
      </c>
      <c r="S963" t="n">
        <v>1933</v>
      </c>
      <c r="T963" t="s">
        <v>4279</v>
      </c>
      <c r="U963" t="s">
        <v>4280</v>
      </c>
      <c r="V963" t="s">
        <v>74</v>
      </c>
      <c r="W963"/>
      <c r="X963"/>
      <c r="Y963"/>
      <c r="Z963"/>
      <c r="AA963"/>
      <c r="AB963" t="s">
        <v>4281</v>
      </c>
      <c r="AC963" t="n">
        <v>237</v>
      </c>
      <c r="AD963"/>
      <c r="AE963"/>
      <c r="AF963" t="s">
        <v>4282</v>
      </c>
      <c r="AG963" t="n">
        <v>101</v>
      </c>
    </row>
    <row r="964">
      <c r="A964" t="s">
        <v>1414</v>
      </c>
      <c r="B964" t="s">
        <v>31</v>
      </c>
      <c r="C964" t="s">
        <v>65</v>
      </c>
      <c r="D964" t="s">
        <v>1415</v>
      </c>
      <c r="E964" t="s">
        <v>79</v>
      </c>
      <c r="F964" t="s">
        <v>1274</v>
      </c>
      <c r="G964"/>
      <c r="H964" t="n">
        <v>39.7597105527471</v>
      </c>
      <c r="I964" t="n">
        <v>-105.005050349817</v>
      </c>
      <c r="J964" t="s">
        <v>35</v>
      </c>
      <c r="K964" t="s">
        <v>120</v>
      </c>
      <c r="L964"/>
      <c r="M964" t="n">
        <v>1965</v>
      </c>
      <c r="N964" t="n">
        <v>1980</v>
      </c>
      <c r="O964" t="s">
        <v>1275</v>
      </c>
      <c r="P964" t="n">
        <v>6</v>
      </c>
      <c r="Q964" t="n">
        <v>1</v>
      </c>
      <c r="R964" t="n">
        <v>1</v>
      </c>
      <c r="S964" t="n">
        <v>1924</v>
      </c>
      <c r="T964" t="s">
        <v>1416</v>
      </c>
      <c r="U964" t="s">
        <v>1417</v>
      </c>
      <c r="V964" t="s">
        <v>74</v>
      </c>
      <c r="W964"/>
      <c r="X964"/>
      <c r="Y964"/>
      <c r="Z964"/>
      <c r="AA964"/>
      <c r="AB964" t="s">
        <v>1418</v>
      </c>
      <c r="AC964" t="n">
        <v>208</v>
      </c>
      <c r="AD964" t="s">
        <v>1279</v>
      </c>
      <c r="AE964" t="n">
        <v>219</v>
      </c>
      <c r="AF964" t="s">
        <v>1419</v>
      </c>
      <c r="AG964" t="n">
        <v>229</v>
      </c>
    </row>
    <row r="965">
      <c r="A965" t="s">
        <v>1420</v>
      </c>
      <c r="B965" t="s">
        <v>31</v>
      </c>
      <c r="C965" t="s">
        <v>65</v>
      </c>
      <c r="D965" t="s">
        <v>1421</v>
      </c>
      <c r="E965" t="s">
        <v>79</v>
      </c>
      <c r="F965" t="s">
        <v>1274</v>
      </c>
      <c r="G965"/>
      <c r="H965" t="n">
        <v>39.7919893110516</v>
      </c>
      <c r="I965" t="n">
        <v>-104.947578650768</v>
      </c>
      <c r="J965" t="s">
        <v>35</v>
      </c>
      <c r="K965" t="s">
        <v>70</v>
      </c>
      <c r="L965"/>
      <c r="M965" t="n">
        <v>1965</v>
      </c>
      <c r="N965" t="n">
        <v>1988</v>
      </c>
      <c r="O965" t="s">
        <v>1422</v>
      </c>
      <c r="P965" t="n">
        <v>9</v>
      </c>
      <c r="Q965" t="n">
        <v>3</v>
      </c>
      <c r="R965" t="n">
        <v>3</v>
      </c>
      <c r="S965" t="n">
        <v>1940</v>
      </c>
      <c r="T965" t="s">
        <v>1423</v>
      </c>
      <c r="U965" t="s">
        <v>1424</v>
      </c>
      <c r="V965" t="s">
        <v>74</v>
      </c>
      <c r="W965"/>
      <c r="X965"/>
      <c r="Y965"/>
      <c r="Z965"/>
      <c r="AA965"/>
      <c r="AB965"/>
      <c r="AC965"/>
      <c r="AD965"/>
      <c r="AE965"/>
      <c r="AF965" t="s">
        <v>1425</v>
      </c>
      <c r="AG965" t="n">
        <v>112</v>
      </c>
    </row>
    <row r="966">
      <c r="A966" t="s">
        <v>4283</v>
      </c>
      <c r="B966" t="s">
        <v>31</v>
      </c>
      <c r="C966" t="s">
        <v>24</v>
      </c>
      <c r="D966" t="s">
        <v>4284</v>
      </c>
      <c r="E966" t="s">
        <v>79</v>
      </c>
      <c r="F966" t="s">
        <v>1274</v>
      </c>
      <c r="G966"/>
      <c r="H966" t="n">
        <v>39.7174288469816</v>
      </c>
      <c r="I966" t="n">
        <v>-104.987505616258</v>
      </c>
      <c r="J966" t="s">
        <v>4109</v>
      </c>
      <c r="K966" t="s">
        <v>120</v>
      </c>
      <c r="L966"/>
      <c r="M966" t="n">
        <v>1965</v>
      </c>
      <c r="N966" t="n">
        <v>1974</v>
      </c>
      <c r="O966" t="s">
        <v>210</v>
      </c>
      <c r="P966" t="n">
        <v>5</v>
      </c>
      <c r="Q966" t="n">
        <v>5</v>
      </c>
      <c r="R966" t="n">
        <v>1</v>
      </c>
      <c r="S966" t="n">
        <v>1931</v>
      </c>
      <c r="T966" t="s">
        <v>4285</v>
      </c>
      <c r="U966" t="s">
        <v>4286</v>
      </c>
      <c r="V966" t="s">
        <v>74</v>
      </c>
      <c r="W966"/>
      <c r="X966"/>
      <c r="Y966"/>
      <c r="Z966"/>
      <c r="AA966"/>
      <c r="AB966"/>
      <c r="AC966"/>
      <c r="AD966"/>
      <c r="AE966"/>
      <c r="AF966" t="s">
        <v>4287</v>
      </c>
      <c r="AG966" t="n">
        <v>44</v>
      </c>
    </row>
    <row r="967">
      <c r="A967" t="s">
        <v>1426</v>
      </c>
      <c r="B967" t="s">
        <v>31</v>
      </c>
      <c r="C967" t="s">
        <v>65</v>
      </c>
      <c r="D967" t="s">
        <v>1427</v>
      </c>
      <c r="E967" t="s">
        <v>79</v>
      </c>
      <c r="F967" t="s">
        <v>1274</v>
      </c>
      <c r="G967"/>
      <c r="H967" t="n">
        <v>39.680323</v>
      </c>
      <c r="I967" t="n">
        <v>-104.989958</v>
      </c>
      <c r="J967" t="s">
        <v>35</v>
      </c>
      <c r="K967" t="s">
        <v>141</v>
      </c>
      <c r="L967"/>
      <c r="M967" t="n">
        <v>1965</v>
      </c>
      <c r="N967" t="n">
        <v>1974</v>
      </c>
      <c r="O967" t="s">
        <v>1428</v>
      </c>
      <c r="P967" t="n">
        <v>3</v>
      </c>
      <c r="Q967" t="n">
        <v>3</v>
      </c>
      <c r="R967" t="n">
        <v>2</v>
      </c>
      <c r="S967" t="n">
        <v>1956</v>
      </c>
      <c r="T967" t="s">
        <v>1429</v>
      </c>
      <c r="U967" t="s">
        <v>1430</v>
      </c>
      <c r="V967" t="s">
        <v>74</v>
      </c>
      <c r="W967"/>
      <c r="X967"/>
      <c r="Y967"/>
      <c r="Z967"/>
      <c r="AA967"/>
      <c r="AB967"/>
      <c r="AC967"/>
      <c r="AD967" t="s">
        <v>1431</v>
      </c>
      <c r="AE967" t="n">
        <v>223</v>
      </c>
      <c r="AF967" t="s">
        <v>1432</v>
      </c>
      <c r="AG967" t="n">
        <v>100</v>
      </c>
    </row>
    <row r="968">
      <c r="A968" t="s">
        <v>1433</v>
      </c>
      <c r="B968" t="s">
        <v>31</v>
      </c>
      <c r="C968" t="s">
        <v>65</v>
      </c>
      <c r="D968" t="s">
        <v>1434</v>
      </c>
      <c r="E968" t="s">
        <v>79</v>
      </c>
      <c r="F968" t="s">
        <v>1274</v>
      </c>
      <c r="G968"/>
      <c r="H968" t="n">
        <v>39.70577</v>
      </c>
      <c r="I968" t="n">
        <v>-105.00384</v>
      </c>
      <c r="J968" t="s">
        <v>35</v>
      </c>
      <c r="K968" t="s">
        <v>70</v>
      </c>
      <c r="L968"/>
      <c r="M968" t="n">
        <v>1965</v>
      </c>
      <c r="N968" t="n">
        <v>1965</v>
      </c>
      <c r="O968" t="s">
        <v>1275</v>
      </c>
      <c r="P968" t="n">
        <v>1</v>
      </c>
      <c r="Q968" t="n">
        <v>1</v>
      </c>
      <c r="R968" t="n">
        <v>1</v>
      </c>
      <c r="S968"/>
      <c r="T968" t="s">
        <v>1435</v>
      </c>
      <c r="U968" t="s">
        <v>1436</v>
      </c>
      <c r="V968" t="s">
        <v>74</v>
      </c>
      <c r="W968"/>
      <c r="X968"/>
      <c r="Y968"/>
      <c r="Z968"/>
      <c r="AA968"/>
      <c r="AB968"/>
      <c r="AC968"/>
      <c r="AD968"/>
      <c r="AE968"/>
      <c r="AF968" t="s">
        <v>1437</v>
      </c>
      <c r="AG968" t="n">
        <v>138</v>
      </c>
    </row>
    <row r="969">
      <c r="A969" t="s">
        <v>4288</v>
      </c>
      <c r="B969" t="s">
        <v>31</v>
      </c>
      <c r="C969" t="s">
        <v>24</v>
      </c>
      <c r="D969" t="s">
        <v>4289</v>
      </c>
      <c r="E969" t="s">
        <v>79</v>
      </c>
      <c r="F969" t="s">
        <v>1274</v>
      </c>
      <c r="G969"/>
      <c r="H969" t="n">
        <v>39.6924346390404</v>
      </c>
      <c r="I969" t="n">
        <v>-104.998022729426</v>
      </c>
      <c r="J969" t="s">
        <v>35</v>
      </c>
      <c r="K969" t="s">
        <v>315</v>
      </c>
      <c r="L969"/>
      <c r="M969" t="n">
        <v>1965</v>
      </c>
      <c r="N969" t="n">
        <v>1970</v>
      </c>
      <c r="O969" t="s">
        <v>4172</v>
      </c>
      <c r="P969" t="n">
        <v>5</v>
      </c>
      <c r="Q969" t="n">
        <v>2</v>
      </c>
      <c r="R969" t="n">
        <v>1</v>
      </c>
      <c r="S969" t="n">
        <v>1908</v>
      </c>
      <c r="T969" t="s">
        <v>4290</v>
      </c>
      <c r="U969" t="s">
        <v>4291</v>
      </c>
      <c r="V969" t="s">
        <v>4175</v>
      </c>
      <c r="W969"/>
      <c r="X969"/>
      <c r="Y969"/>
      <c r="Z969"/>
      <c r="AA969"/>
      <c r="AB969" t="s">
        <v>1286</v>
      </c>
      <c r="AC969" t="n">
        <v>230</v>
      </c>
      <c r="AD969" t="s">
        <v>1478</v>
      </c>
      <c r="AE969" t="n">
        <v>230</v>
      </c>
      <c r="AF969" t="s">
        <v>1287</v>
      </c>
      <c r="AG969" t="n">
        <v>72</v>
      </c>
    </row>
    <row r="970">
      <c r="A970" t="s">
        <v>1438</v>
      </c>
      <c r="B970" t="s">
        <v>31</v>
      </c>
      <c r="C970" t="s">
        <v>65</v>
      </c>
      <c r="D970" t="s">
        <v>1439</v>
      </c>
      <c r="E970" t="s">
        <v>79</v>
      </c>
      <c r="F970" t="s">
        <v>1274</v>
      </c>
      <c r="G970" t="s">
        <v>1440</v>
      </c>
      <c r="H970" t="n">
        <v>39.7575704522017</v>
      </c>
      <c r="I970" t="n">
        <v>-105.019325896274</v>
      </c>
      <c r="J970" t="s">
        <v>35</v>
      </c>
      <c r="K970" t="s">
        <v>527</v>
      </c>
      <c r="L970"/>
      <c r="M970" t="n">
        <v>1965</v>
      </c>
      <c r="N970" t="n">
        <v>1990</v>
      </c>
      <c r="O970" t="s">
        <v>1441</v>
      </c>
      <c r="P970" t="n">
        <v>10</v>
      </c>
      <c r="Q970" t="n">
        <v>5</v>
      </c>
      <c r="R970" t="n">
        <v>1</v>
      </c>
      <c r="S970" t="n">
        <v>1947</v>
      </c>
      <c r="T970" t="s">
        <v>1442</v>
      </c>
      <c r="U970" t="s">
        <v>1443</v>
      </c>
      <c r="V970" t="s">
        <v>74</v>
      </c>
      <c r="W970"/>
      <c r="X970"/>
      <c r="Y970"/>
      <c r="Z970"/>
      <c r="AA970"/>
      <c r="AB970"/>
      <c r="AC970"/>
      <c r="AD970"/>
      <c r="AE970"/>
      <c r="AF970" t="s">
        <v>1444</v>
      </c>
      <c r="AG970" t="n">
        <v>60</v>
      </c>
    </row>
    <row r="971">
      <c r="A971" t="s">
        <v>1445</v>
      </c>
      <c r="B971" t="s">
        <v>31</v>
      </c>
      <c r="C971" t="s">
        <v>65</v>
      </c>
      <c r="D971" t="s">
        <v>1446</v>
      </c>
      <c r="E971" t="s">
        <v>79</v>
      </c>
      <c r="F971" t="s">
        <v>1274</v>
      </c>
      <c r="G971"/>
      <c r="H971" t="n">
        <v>39.686968244898</v>
      </c>
      <c r="I971" t="n">
        <v>-104.92444</v>
      </c>
      <c r="J971" t="s">
        <v>35</v>
      </c>
      <c r="K971" t="s">
        <v>70</v>
      </c>
      <c r="L971"/>
      <c r="M971" t="n">
        <v>1965</v>
      </c>
      <c r="N971" t="n">
        <v>1965</v>
      </c>
      <c r="O971" t="s">
        <v>1275</v>
      </c>
      <c r="P971" t="n">
        <v>1</v>
      </c>
      <c r="Q971" t="n">
        <v>1</v>
      </c>
      <c r="R971" t="n">
        <v>1</v>
      </c>
      <c r="S971"/>
      <c r="T971" t="s">
        <v>1447</v>
      </c>
      <c r="U971" t="s">
        <v>1448</v>
      </c>
      <c r="V971" t="s">
        <v>74</v>
      </c>
      <c r="W971"/>
      <c r="X971"/>
      <c r="Y971"/>
      <c r="Z971"/>
      <c r="AA971"/>
      <c r="AB971"/>
      <c r="AC971"/>
      <c r="AD971"/>
      <c r="AE971"/>
      <c r="AF971" t="s">
        <v>1449</v>
      </c>
      <c r="AG971" t="n">
        <v>142</v>
      </c>
    </row>
    <row r="972">
      <c r="A972" t="s">
        <v>1450</v>
      </c>
      <c r="B972" t="s">
        <v>31</v>
      </c>
      <c r="C972" t="s">
        <v>65</v>
      </c>
      <c r="D972" t="s">
        <v>1451</v>
      </c>
      <c r="E972" t="s">
        <v>79</v>
      </c>
      <c r="F972" t="s">
        <v>1274</v>
      </c>
      <c r="G972"/>
      <c r="H972" t="n">
        <v>39.740339227016</v>
      </c>
      <c r="I972" t="n">
        <v>-105.03610481906</v>
      </c>
      <c r="J972" t="s">
        <v>35</v>
      </c>
      <c r="K972" t="s">
        <v>120</v>
      </c>
      <c r="L972"/>
      <c r="M972" t="n">
        <v>1965</v>
      </c>
      <c r="N972" t="n">
        <v>1965</v>
      </c>
      <c r="O972" t="s">
        <v>1275</v>
      </c>
      <c r="P972" t="n">
        <v>1</v>
      </c>
      <c r="Q972" t="n">
        <v>1</v>
      </c>
      <c r="R972" t="n">
        <v>1</v>
      </c>
      <c r="S972"/>
      <c r="T972" t="s">
        <v>1452</v>
      </c>
      <c r="U972" t="s">
        <v>1453</v>
      </c>
      <c r="V972" t="s">
        <v>74</v>
      </c>
      <c r="W972"/>
      <c r="X972"/>
      <c r="Y972"/>
      <c r="Z972"/>
      <c r="AA972"/>
      <c r="AB972" t="s">
        <v>1454</v>
      </c>
      <c r="AC972" t="n">
        <v>132</v>
      </c>
      <c r="AD972"/>
      <c r="AE972"/>
      <c r="AF972" t="s">
        <v>1455</v>
      </c>
      <c r="AG972" t="n">
        <v>85</v>
      </c>
    </row>
    <row r="973">
      <c r="A973" t="s">
        <v>1456</v>
      </c>
      <c r="B973" t="s">
        <v>31</v>
      </c>
      <c r="C973" t="s">
        <v>65</v>
      </c>
      <c r="D973" t="s">
        <v>1457</v>
      </c>
      <c r="E973" t="s">
        <v>79</v>
      </c>
      <c r="F973" t="s">
        <v>1274</v>
      </c>
      <c r="G973"/>
      <c r="H973" t="n">
        <v>39.7511402014354</v>
      </c>
      <c r="I973" t="n">
        <v>-104.989714205289</v>
      </c>
      <c r="J973" t="s">
        <v>35</v>
      </c>
      <c r="K973" t="s">
        <v>120</v>
      </c>
      <c r="L973"/>
      <c r="M973" t="n">
        <v>1965</v>
      </c>
      <c r="N973" t="n">
        <v>1980</v>
      </c>
      <c r="O973" t="s">
        <v>1349</v>
      </c>
      <c r="P973" t="n">
        <v>8</v>
      </c>
      <c r="Q973" t="n">
        <v>5</v>
      </c>
      <c r="R973" t="n">
        <v>1</v>
      </c>
      <c r="S973" t="n">
        <v>1926</v>
      </c>
      <c r="T973" t="s">
        <v>1458</v>
      </c>
      <c r="U973" t="s">
        <v>1459</v>
      </c>
      <c r="V973" t="s">
        <v>74</v>
      </c>
      <c r="W973"/>
      <c r="X973"/>
      <c r="Y973"/>
      <c r="Z973"/>
      <c r="AA973"/>
      <c r="AB973"/>
      <c r="AC973"/>
      <c r="AD973"/>
      <c r="AE973"/>
      <c r="AF973" t="s">
        <v>1460</v>
      </c>
      <c r="AG973" t="n">
        <v>178</v>
      </c>
    </row>
    <row r="974">
      <c r="A974" t="s">
        <v>4292</v>
      </c>
      <c r="B974" t="s">
        <v>31</v>
      </c>
      <c r="C974" t="s">
        <v>24</v>
      </c>
      <c r="D974" t="s">
        <v>4293</v>
      </c>
      <c r="E974" t="s">
        <v>79</v>
      </c>
      <c r="F974" t="s">
        <v>1274</v>
      </c>
      <c r="G974"/>
      <c r="H974" t="n">
        <v>39.7216774285714</v>
      </c>
      <c r="I974" t="n">
        <v>-105.000182</v>
      </c>
      <c r="J974" t="s">
        <v>4109</v>
      </c>
      <c r="K974" t="s">
        <v>70</v>
      </c>
      <c r="L974"/>
      <c r="M974" t="n">
        <v>1965</v>
      </c>
      <c r="N974" t="n">
        <v>1983</v>
      </c>
      <c r="O974" t="s">
        <v>388</v>
      </c>
      <c r="P974" t="n">
        <v>6</v>
      </c>
      <c r="Q974" t="n">
        <v>2</v>
      </c>
      <c r="R974" t="n">
        <v>1</v>
      </c>
      <c r="S974" t="n">
        <v>1934</v>
      </c>
      <c r="T974" t="s">
        <v>4294</v>
      </c>
      <c r="U974" t="s">
        <v>4295</v>
      </c>
      <c r="V974" t="s">
        <v>74</v>
      </c>
      <c r="W974"/>
      <c r="X974"/>
      <c r="Y974"/>
      <c r="Z974"/>
      <c r="AA974"/>
      <c r="AB974" t="s">
        <v>1736</v>
      </c>
      <c r="AC974" t="n">
        <v>130</v>
      </c>
      <c r="AD974"/>
      <c r="AE974"/>
      <c r="AF974" t="s">
        <v>4296</v>
      </c>
      <c r="AG974" t="n">
        <v>137</v>
      </c>
    </row>
    <row r="975">
      <c r="A975" t="s">
        <v>1461</v>
      </c>
      <c r="B975" t="s">
        <v>31</v>
      </c>
      <c r="C975" t="s">
        <v>65</v>
      </c>
      <c r="D975" t="s">
        <v>1462</v>
      </c>
      <c r="E975" t="s">
        <v>79</v>
      </c>
      <c r="F975" t="s">
        <v>1274</v>
      </c>
      <c r="G975"/>
      <c r="H975" t="n">
        <v>39.7352570896701</v>
      </c>
      <c r="I975" t="n">
        <v>-104.98767508751</v>
      </c>
      <c r="J975" t="s">
        <v>35</v>
      </c>
      <c r="K975" t="s">
        <v>315</v>
      </c>
      <c r="L975"/>
      <c r="M975" t="n">
        <v>1965</v>
      </c>
      <c r="N975" t="n">
        <v>1967</v>
      </c>
      <c r="O975" t="s">
        <v>1338</v>
      </c>
      <c r="P975" t="n">
        <v>2</v>
      </c>
      <c r="Q975" t="n">
        <v>2</v>
      </c>
      <c r="R975" t="n">
        <v>2</v>
      </c>
      <c r="S975" t="n">
        <v>1935</v>
      </c>
      <c r="T975" t="s">
        <v>1463</v>
      </c>
      <c r="U975" t="s">
        <v>1464</v>
      </c>
      <c r="V975" t="s">
        <v>74</v>
      </c>
      <c r="W975"/>
      <c r="X975"/>
      <c r="Y975"/>
      <c r="Z975"/>
      <c r="AA975"/>
      <c r="AB975" t="s">
        <v>1465</v>
      </c>
      <c r="AC975" t="n">
        <v>228</v>
      </c>
      <c r="AD975"/>
      <c r="AE975"/>
      <c r="AF975" t="s">
        <v>1466</v>
      </c>
      <c r="AG975" t="n">
        <v>98</v>
      </c>
    </row>
    <row r="976">
      <c r="A976" t="s">
        <v>1467</v>
      </c>
      <c r="B976" t="s">
        <v>31</v>
      </c>
      <c r="C976" t="s">
        <v>65</v>
      </c>
      <c r="D976" t="s">
        <v>1468</v>
      </c>
      <c r="E976" t="s">
        <v>79</v>
      </c>
      <c r="F976" t="s">
        <v>1274</v>
      </c>
      <c r="G976"/>
      <c r="H976" t="n">
        <v>39.755132</v>
      </c>
      <c r="I976" t="n">
        <v>-104.97932477551</v>
      </c>
      <c r="J976" t="s">
        <v>35</v>
      </c>
      <c r="K976" t="s">
        <v>89</v>
      </c>
      <c r="L976"/>
      <c r="M976" t="n">
        <v>1965</v>
      </c>
      <c r="N976" t="n">
        <v>1965</v>
      </c>
      <c r="O976" t="s">
        <v>1275</v>
      </c>
      <c r="P976" t="n">
        <v>1</v>
      </c>
      <c r="Q976" t="n">
        <v>1</v>
      </c>
      <c r="R976" t="n">
        <v>1</v>
      </c>
      <c r="S976"/>
      <c r="T976" t="s">
        <v>1469</v>
      </c>
      <c r="U976" t="s">
        <v>1470</v>
      </c>
      <c r="V976" t="s">
        <v>74</v>
      </c>
      <c r="W976"/>
      <c r="X976"/>
      <c r="Y976"/>
      <c r="Z976"/>
      <c r="AA976"/>
      <c r="AB976" t="s">
        <v>1471</v>
      </c>
      <c r="AC976" t="n">
        <v>237</v>
      </c>
      <c r="AD976"/>
      <c r="AE976"/>
      <c r="AF976" t="s">
        <v>1472</v>
      </c>
      <c r="AG976" t="n">
        <v>130</v>
      </c>
    </row>
    <row r="977">
      <c r="A977" t="s">
        <v>1473</v>
      </c>
      <c r="B977" t="s">
        <v>31</v>
      </c>
      <c r="C977" t="s">
        <v>65</v>
      </c>
      <c r="D977" t="s">
        <v>1474</v>
      </c>
      <c r="E977" t="s">
        <v>79</v>
      </c>
      <c r="F977" t="s">
        <v>1274</v>
      </c>
      <c r="G977"/>
      <c r="H977" t="n">
        <v>39.693134436924</v>
      </c>
      <c r="I977" t="n">
        <v>-104.998017774875</v>
      </c>
      <c r="J977" t="s">
        <v>35</v>
      </c>
      <c r="K977" t="s">
        <v>234</v>
      </c>
      <c r="L977"/>
      <c r="M977" t="n">
        <v>1965</v>
      </c>
      <c r="N977" t="n">
        <v>1983</v>
      </c>
      <c r="O977" t="s">
        <v>1475</v>
      </c>
      <c r="P977" t="n">
        <v>8</v>
      </c>
      <c r="Q977" t="n">
        <v>4</v>
      </c>
      <c r="R977" t="n">
        <v>4</v>
      </c>
      <c r="S977" t="n">
        <v>1947</v>
      </c>
      <c r="T977" t="s">
        <v>1476</v>
      </c>
      <c r="U977" t="s">
        <v>1477</v>
      </c>
      <c r="V977" t="s">
        <v>74</v>
      </c>
      <c r="W977"/>
      <c r="X977"/>
      <c r="Y977"/>
      <c r="Z977"/>
      <c r="AA977"/>
      <c r="AB977" t="s">
        <v>1286</v>
      </c>
      <c r="AC977" t="n">
        <v>242</v>
      </c>
      <c r="AD977" t="s">
        <v>1478</v>
      </c>
      <c r="AE977" t="n">
        <v>219</v>
      </c>
      <c r="AF977" t="s">
        <v>1479</v>
      </c>
      <c r="AG977" t="n">
        <v>89</v>
      </c>
    </row>
    <row r="978">
      <c r="A978" t="s">
        <v>1480</v>
      </c>
      <c r="B978" t="s">
        <v>31</v>
      </c>
      <c r="C978" t="s">
        <v>65</v>
      </c>
      <c r="D978" t="s">
        <v>1481</v>
      </c>
      <c r="E978" t="s">
        <v>79</v>
      </c>
      <c r="F978" t="s">
        <v>1274</v>
      </c>
      <c r="G978"/>
      <c r="H978" t="n">
        <v>39.6892080150376</v>
      </c>
      <c r="I978" t="n">
        <v>-104.980428542987</v>
      </c>
      <c r="J978" t="s">
        <v>35</v>
      </c>
      <c r="K978" t="s">
        <v>70</v>
      </c>
      <c r="L978"/>
      <c r="M978" t="n">
        <v>1965</v>
      </c>
      <c r="N978" t="n">
        <v>1990</v>
      </c>
      <c r="O978" t="s">
        <v>716</v>
      </c>
      <c r="P978" t="n">
        <v>8</v>
      </c>
      <c r="Q978" t="n">
        <v>7</v>
      </c>
      <c r="R978" t="n">
        <v>1</v>
      </c>
      <c r="S978" t="n">
        <v>1950</v>
      </c>
      <c r="T978" t="s">
        <v>1482</v>
      </c>
      <c r="U978" t="s">
        <v>1483</v>
      </c>
      <c r="V978" t="s">
        <v>74</v>
      </c>
      <c r="W978"/>
      <c r="X978"/>
      <c r="Y978"/>
      <c r="Z978"/>
      <c r="AA978"/>
      <c r="AB978"/>
      <c r="AC978"/>
      <c r="AD978"/>
      <c r="AE978"/>
      <c r="AF978" t="s">
        <v>1484</v>
      </c>
      <c r="AG978" t="n">
        <v>144</v>
      </c>
    </row>
    <row r="979">
      <c r="A979" t="s">
        <v>4297</v>
      </c>
      <c r="B979" t="s">
        <v>31</v>
      </c>
      <c r="C979" t="s">
        <v>24</v>
      </c>
      <c r="D979" t="s">
        <v>4298</v>
      </c>
      <c r="E979" t="s">
        <v>79</v>
      </c>
      <c r="F979" t="s">
        <v>1274</v>
      </c>
      <c r="G979"/>
      <c r="H979" t="n">
        <v>39.7167562514226</v>
      </c>
      <c r="I979" t="n">
        <v>-104.996354</v>
      </c>
      <c r="J979" t="s">
        <v>4109</v>
      </c>
      <c r="K979" t="s">
        <v>89</v>
      </c>
      <c r="L979"/>
      <c r="M979" t="n">
        <v>1965</v>
      </c>
      <c r="N979" t="n">
        <v>1968</v>
      </c>
      <c r="O979" t="s">
        <v>4299</v>
      </c>
      <c r="P979" t="n">
        <v>3</v>
      </c>
      <c r="Q979" t="n">
        <v>1</v>
      </c>
      <c r="R979" t="n">
        <v>1</v>
      </c>
      <c r="S979" t="n">
        <v>1910</v>
      </c>
      <c r="T979" t="s">
        <v>4300</v>
      </c>
      <c r="U979" t="s">
        <v>4301</v>
      </c>
      <c r="V979" t="s">
        <v>74</v>
      </c>
      <c r="W979"/>
      <c r="X979"/>
      <c r="Y979"/>
      <c r="Z979"/>
      <c r="AA979"/>
      <c r="AB979"/>
      <c r="AC979"/>
      <c r="AD979"/>
      <c r="AE979"/>
      <c r="AF979" t="s">
        <v>4302</v>
      </c>
      <c r="AG979" t="n">
        <v>134</v>
      </c>
    </row>
    <row r="980">
      <c r="A980" t="s">
        <v>1485</v>
      </c>
      <c r="B980" t="s">
        <v>31</v>
      </c>
      <c r="C980" t="s">
        <v>65</v>
      </c>
      <c r="D980" t="s">
        <v>1486</v>
      </c>
      <c r="E980" t="s">
        <v>79</v>
      </c>
      <c r="F980" t="s">
        <v>1274</v>
      </c>
      <c r="G980"/>
      <c r="H980" t="n">
        <v>39.6929037811557</v>
      </c>
      <c r="I980" t="n">
        <v>-104.987468484362</v>
      </c>
      <c r="J980" t="s">
        <v>35</v>
      </c>
      <c r="K980" t="s">
        <v>70</v>
      </c>
      <c r="L980"/>
      <c r="M980" t="n">
        <v>1965</v>
      </c>
      <c r="N980" t="n">
        <v>1990</v>
      </c>
      <c r="O980" t="s">
        <v>1487</v>
      </c>
      <c r="P980" t="n">
        <v>12</v>
      </c>
      <c r="Q980" t="n">
        <v>4</v>
      </c>
      <c r="R980" t="n">
        <v>1</v>
      </c>
      <c r="S980" t="n">
        <v>1930</v>
      </c>
      <c r="T980" t="s">
        <v>1488</v>
      </c>
      <c r="U980" t="s">
        <v>1489</v>
      </c>
      <c r="V980" t="s">
        <v>74</v>
      </c>
      <c r="W980"/>
      <c r="X980"/>
      <c r="Y980"/>
      <c r="Z980"/>
      <c r="AA980"/>
      <c r="AB980" t="s">
        <v>1490</v>
      </c>
      <c r="AC980" t="n">
        <v>176</v>
      </c>
      <c r="AD980" t="s">
        <v>1491</v>
      </c>
      <c r="AE980" t="n">
        <v>184</v>
      </c>
      <c r="AF980" t="s">
        <v>1492</v>
      </c>
      <c r="AG980" t="n">
        <v>178</v>
      </c>
    </row>
    <row r="981">
      <c r="A981" t="s">
        <v>1493</v>
      </c>
      <c r="B981" t="s">
        <v>31</v>
      </c>
      <c r="C981" t="s">
        <v>65</v>
      </c>
      <c r="D981" t="s">
        <v>1494</v>
      </c>
      <c r="E981" t="s">
        <v>386</v>
      </c>
      <c r="F981" t="s">
        <v>1274</v>
      </c>
      <c r="G981"/>
      <c r="H981" t="n">
        <v>39.6195689191919</v>
      </c>
      <c r="I981" t="n">
        <v>-105.012109914141</v>
      </c>
      <c r="J981" t="s">
        <v>35</v>
      </c>
      <c r="K981" t="s">
        <v>1495</v>
      </c>
      <c r="L981"/>
      <c r="M981" t="n">
        <v>1965</v>
      </c>
      <c r="N981" t="n">
        <v>1990</v>
      </c>
      <c r="O981" t="s">
        <v>1496</v>
      </c>
      <c r="P981" t="n">
        <v>6</v>
      </c>
      <c r="Q981" t="n">
        <v>4</v>
      </c>
      <c r="R981" t="n">
        <v>4</v>
      </c>
      <c r="S981" t="n">
        <v>1935</v>
      </c>
      <c r="T981" t="s">
        <v>1497</v>
      </c>
      <c r="U981" t="s">
        <v>1498</v>
      </c>
      <c r="V981" t="s">
        <v>74</v>
      </c>
      <c r="W981"/>
      <c r="X981"/>
      <c r="Y981"/>
      <c r="Z981"/>
      <c r="AA981"/>
      <c r="AB981"/>
      <c r="AC981"/>
      <c r="AD981" t="s">
        <v>1499</v>
      </c>
      <c r="AE981" t="n">
        <v>193</v>
      </c>
      <c r="AF981" t="s">
        <v>1500</v>
      </c>
      <c r="AG981" t="n">
        <v>127</v>
      </c>
    </row>
    <row r="982">
      <c r="A982" t="s">
        <v>5035</v>
      </c>
      <c r="B982" t="s">
        <v>31</v>
      </c>
      <c r="C982" t="s">
        <v>25</v>
      </c>
      <c r="D982" t="s">
        <v>5036</v>
      </c>
      <c r="E982" t="s">
        <v>79</v>
      </c>
      <c r="F982" t="s">
        <v>1274</v>
      </c>
      <c r="G982" t="s">
        <v>1881</v>
      </c>
      <c r="H982" t="n">
        <v>39.7714259401301</v>
      </c>
      <c r="I982" t="n">
        <v>-104.90767644899</v>
      </c>
      <c r="J982" t="s">
        <v>4109</v>
      </c>
      <c r="K982" t="s">
        <v>282</v>
      </c>
      <c r="L982"/>
      <c r="M982" t="n">
        <v>1966</v>
      </c>
      <c r="N982" t="n">
        <v>1966</v>
      </c>
      <c r="O982" t="s">
        <v>4172</v>
      </c>
      <c r="P982" t="n">
        <v>1</v>
      </c>
      <c r="Q982" t="n">
        <v>1</v>
      </c>
      <c r="R982" t="n">
        <v>1</v>
      </c>
      <c r="S982" t="n">
        <v>1939</v>
      </c>
      <c r="T982" t="s">
        <v>5037</v>
      </c>
      <c r="U982" t="s">
        <v>5038</v>
      </c>
      <c r="V982" t="s">
        <v>4175</v>
      </c>
      <c r="W982"/>
      <c r="X982"/>
      <c r="Y982"/>
      <c r="Z982"/>
      <c r="AA982"/>
      <c r="AB982" t="s">
        <v>5039</v>
      </c>
      <c r="AC982" t="n">
        <v>172</v>
      </c>
      <c r="AD982" t="s">
        <v>5040</v>
      </c>
      <c r="AE982" t="n">
        <v>139</v>
      </c>
      <c r="AF982" t="s">
        <v>5041</v>
      </c>
      <c r="AG982" t="n">
        <v>111</v>
      </c>
    </row>
    <row r="983">
      <c r="A983" t="s">
        <v>1501</v>
      </c>
      <c r="B983" t="s">
        <v>31</v>
      </c>
      <c r="C983" t="s">
        <v>65</v>
      </c>
      <c r="D983" t="s">
        <v>1502</v>
      </c>
      <c r="E983" t="s">
        <v>79</v>
      </c>
      <c r="F983" t="s">
        <v>1274</v>
      </c>
      <c r="G983" t="s">
        <v>1440</v>
      </c>
      <c r="H983" t="n">
        <v>39.76112</v>
      </c>
      <c r="I983" t="n">
        <v>-105.008086</v>
      </c>
      <c r="J983" t="s">
        <v>35</v>
      </c>
      <c r="K983" t="s">
        <v>133</v>
      </c>
      <c r="L983"/>
      <c r="M983" t="n">
        <v>1966</v>
      </c>
      <c r="N983" t="n">
        <v>1992</v>
      </c>
      <c r="O983" t="s">
        <v>1503</v>
      </c>
      <c r="P983" t="n">
        <v>10</v>
      </c>
      <c r="Q983" t="n">
        <v>3</v>
      </c>
      <c r="R983" t="n">
        <v>1</v>
      </c>
      <c r="S983" t="n">
        <v>1955</v>
      </c>
      <c r="T983" t="s">
        <v>1504</v>
      </c>
      <c r="U983" t="s">
        <v>1505</v>
      </c>
      <c r="V983" t="s">
        <v>74</v>
      </c>
      <c r="W983"/>
      <c r="X983"/>
      <c r="Y983"/>
      <c r="Z983"/>
      <c r="AA983"/>
      <c r="AB983" t="s">
        <v>1341</v>
      </c>
      <c r="AC983" t="n">
        <v>119</v>
      </c>
      <c r="AD983" t="s">
        <v>1279</v>
      </c>
      <c r="AE983" t="n">
        <v>106</v>
      </c>
      <c r="AF983" t="s">
        <v>1506</v>
      </c>
      <c r="AG983" t="n">
        <v>141</v>
      </c>
    </row>
    <row r="984">
      <c r="A984" t="s">
        <v>4303</v>
      </c>
      <c r="B984" t="s">
        <v>31</v>
      </c>
      <c r="C984" t="s">
        <v>24</v>
      </c>
      <c r="D984" t="s">
        <v>4304</v>
      </c>
      <c r="E984" t="s">
        <v>79</v>
      </c>
      <c r="F984" t="s">
        <v>1274</v>
      </c>
      <c r="G984" t="s">
        <v>1911</v>
      </c>
      <c r="H984" t="n">
        <v>39.7401354675646</v>
      </c>
      <c r="I984" t="n">
        <v>-104.932626575315</v>
      </c>
      <c r="J984" t="s">
        <v>35</v>
      </c>
      <c r="K984" t="s">
        <v>120</v>
      </c>
      <c r="L984"/>
      <c r="M984" t="n">
        <v>1966</v>
      </c>
      <c r="N984" t="n">
        <v>1970</v>
      </c>
      <c r="O984" t="s">
        <v>4172</v>
      </c>
      <c r="P984" t="n">
        <v>3</v>
      </c>
      <c r="Q984" t="n">
        <v>1</v>
      </c>
      <c r="R984" t="n">
        <v>1</v>
      </c>
      <c r="S984" t="n">
        <v>1957</v>
      </c>
      <c r="T984" t="s">
        <v>4305</v>
      </c>
      <c r="U984" t="s">
        <v>4306</v>
      </c>
      <c r="V984" t="s">
        <v>4175</v>
      </c>
      <c r="W984"/>
      <c r="X984"/>
      <c r="Y984"/>
      <c r="Z984"/>
      <c r="AA984"/>
      <c r="AB984"/>
      <c r="AC984"/>
      <c r="AD984"/>
      <c r="AE984"/>
      <c r="AF984" t="s">
        <v>4307</v>
      </c>
      <c r="AG984" t="n">
        <v>113</v>
      </c>
    </row>
    <row r="985">
      <c r="A985" t="s">
        <v>1507</v>
      </c>
      <c r="B985" t="s">
        <v>31</v>
      </c>
      <c r="C985" t="s">
        <v>65</v>
      </c>
      <c r="D985" t="s">
        <v>1508</v>
      </c>
      <c r="E985" t="s">
        <v>79</v>
      </c>
      <c r="F985" t="s">
        <v>1274</v>
      </c>
      <c r="G985" t="s">
        <v>1509</v>
      </c>
      <c r="H985" t="n">
        <v>39.738491</v>
      </c>
      <c r="I985" t="n">
        <v>-105.011598</v>
      </c>
      <c r="J985" t="s">
        <v>35</v>
      </c>
      <c r="K985" t="s">
        <v>988</v>
      </c>
      <c r="L985"/>
      <c r="M985" t="n">
        <v>1966</v>
      </c>
      <c r="N985" t="n">
        <v>1990</v>
      </c>
      <c r="O985" t="s">
        <v>740</v>
      </c>
      <c r="P985" t="n">
        <v>3</v>
      </c>
      <c r="Q985" t="n">
        <v>3</v>
      </c>
      <c r="R985" t="n">
        <v>2</v>
      </c>
      <c r="S985" t="n">
        <v>1947</v>
      </c>
      <c r="T985" t="s">
        <v>1510</v>
      </c>
      <c r="U985" t="s">
        <v>1511</v>
      </c>
      <c r="V985" t="s">
        <v>74</v>
      </c>
      <c r="W985"/>
      <c r="X985"/>
      <c r="Y985"/>
      <c r="Z985"/>
      <c r="AA985"/>
      <c r="AB985" t="s">
        <v>1512</v>
      </c>
      <c r="AC985" t="n">
        <v>144</v>
      </c>
      <c r="AD985"/>
      <c r="AE985"/>
      <c r="AF985" t="s">
        <v>1513</v>
      </c>
      <c r="AG985" t="n">
        <v>72</v>
      </c>
    </row>
    <row r="986">
      <c r="A986" t="s">
        <v>1514</v>
      </c>
      <c r="B986" t="s">
        <v>31</v>
      </c>
      <c r="C986" t="s">
        <v>65</v>
      </c>
      <c r="D986" t="s">
        <v>1515</v>
      </c>
      <c r="E986" t="s">
        <v>79</v>
      </c>
      <c r="F986" t="s">
        <v>1274</v>
      </c>
      <c r="G986" t="s">
        <v>1516</v>
      </c>
      <c r="H986" t="n">
        <v>39.6925740204082</v>
      </c>
      <c r="I986" t="n">
        <v>-104.991004142857</v>
      </c>
      <c r="J986" t="s">
        <v>35</v>
      </c>
      <c r="K986" t="s">
        <v>315</v>
      </c>
      <c r="L986"/>
      <c r="M986" t="n">
        <v>1966</v>
      </c>
      <c r="N986" t="n">
        <v>1974</v>
      </c>
      <c r="O986" t="s">
        <v>1517</v>
      </c>
      <c r="P986" t="n">
        <v>4</v>
      </c>
      <c r="Q986" t="n">
        <v>1</v>
      </c>
      <c r="R986" t="n">
        <v>1</v>
      </c>
      <c r="S986" t="n">
        <v>1945</v>
      </c>
      <c r="T986" t="s">
        <v>1518</v>
      </c>
      <c r="U986" t="s">
        <v>1519</v>
      </c>
      <c r="V986" t="s">
        <v>74</v>
      </c>
      <c r="W986"/>
      <c r="X986"/>
      <c r="Y986"/>
      <c r="Z986"/>
      <c r="AA986"/>
      <c r="AB986" t="s">
        <v>1520</v>
      </c>
      <c r="AC986" t="n">
        <v>178</v>
      </c>
      <c r="AD986" t="s">
        <v>1521</v>
      </c>
      <c r="AE986" t="n">
        <v>137</v>
      </c>
      <c r="AF986" t="s">
        <v>1522</v>
      </c>
      <c r="AG986" t="n">
        <v>65</v>
      </c>
    </row>
    <row r="987">
      <c r="A987" t="s">
        <v>1523</v>
      </c>
      <c r="B987" t="s">
        <v>31</v>
      </c>
      <c r="C987" t="s">
        <v>65</v>
      </c>
      <c r="D987" t="s">
        <v>1524</v>
      </c>
      <c r="E987" t="s">
        <v>79</v>
      </c>
      <c r="F987" t="s">
        <v>1274</v>
      </c>
      <c r="G987" t="s">
        <v>1525</v>
      </c>
      <c r="H987" t="n">
        <v>39.736842104096</v>
      </c>
      <c r="I987" t="n">
        <v>-104.988811812175</v>
      </c>
      <c r="J987" t="s">
        <v>35</v>
      </c>
      <c r="K987" t="s">
        <v>796</v>
      </c>
      <c r="L987"/>
      <c r="M987" t="n">
        <v>1966</v>
      </c>
      <c r="N987" t="n">
        <v>1974</v>
      </c>
      <c r="O987" t="s">
        <v>210</v>
      </c>
      <c r="P987" t="n">
        <v>3</v>
      </c>
      <c r="Q987" t="n">
        <v>3</v>
      </c>
      <c r="R987" t="n">
        <v>1</v>
      </c>
      <c r="S987" t="n">
        <v>1938</v>
      </c>
      <c r="T987" t="s">
        <v>1526</v>
      </c>
      <c r="U987" t="s">
        <v>1527</v>
      </c>
      <c r="V987" t="s">
        <v>74</v>
      </c>
      <c r="W987"/>
      <c r="X987"/>
      <c r="Y987"/>
      <c r="Z987"/>
      <c r="AA987"/>
      <c r="AB987" t="s">
        <v>1528</v>
      </c>
      <c r="AC987" t="n">
        <v>156</v>
      </c>
      <c r="AD987"/>
      <c r="AE987"/>
      <c r="AF987" t="s">
        <v>1529</v>
      </c>
      <c r="AG987" t="n">
        <v>105</v>
      </c>
    </row>
    <row r="988">
      <c r="A988" t="s">
        <v>4308</v>
      </c>
      <c r="B988" t="s">
        <v>31</v>
      </c>
      <c r="C988" t="s">
        <v>24</v>
      </c>
      <c r="D988" t="s">
        <v>4309</v>
      </c>
      <c r="E988" t="s">
        <v>79</v>
      </c>
      <c r="F988" t="s">
        <v>1274</v>
      </c>
      <c r="G988" t="s">
        <v>1555</v>
      </c>
      <c r="H988" t="n">
        <v>39.7353199356497</v>
      </c>
      <c r="I988" t="n">
        <v>-104.994598739691</v>
      </c>
      <c r="J988" t="s">
        <v>4109</v>
      </c>
      <c r="K988" t="s">
        <v>120</v>
      </c>
      <c r="L988"/>
      <c r="M988" t="n">
        <v>1966</v>
      </c>
      <c r="N988" t="n">
        <v>1988</v>
      </c>
      <c r="O988" t="s">
        <v>1349</v>
      </c>
      <c r="P988" t="n">
        <v>9</v>
      </c>
      <c r="Q988" t="n">
        <v>8</v>
      </c>
      <c r="R988" t="n">
        <v>1</v>
      </c>
      <c r="S988" t="n">
        <v>1916</v>
      </c>
      <c r="T988" t="s">
        <v>4310</v>
      </c>
      <c r="U988" t="s">
        <v>4311</v>
      </c>
      <c r="V988" t="s">
        <v>74</v>
      </c>
      <c r="W988"/>
      <c r="X988"/>
      <c r="Y988"/>
      <c r="Z988"/>
      <c r="AA988"/>
      <c r="AB988"/>
      <c r="AC988"/>
      <c r="AD988"/>
      <c r="AE988"/>
      <c r="AF988" t="s">
        <v>4312</v>
      </c>
      <c r="AG988" t="n">
        <v>63</v>
      </c>
    </row>
    <row r="989">
      <c r="A989" t="s">
        <v>1530</v>
      </c>
      <c r="B989" t="s">
        <v>31</v>
      </c>
      <c r="C989" t="s">
        <v>65</v>
      </c>
      <c r="D989" t="s">
        <v>1531</v>
      </c>
      <c r="E989" t="s">
        <v>79</v>
      </c>
      <c r="F989" t="s">
        <v>1274</v>
      </c>
      <c r="G989" t="s">
        <v>1516</v>
      </c>
      <c r="H989" t="n">
        <v>39.7158862504222</v>
      </c>
      <c r="I989" t="n">
        <v>-104.99635234809</v>
      </c>
      <c r="J989" t="s">
        <v>35</v>
      </c>
      <c r="K989" t="s">
        <v>70</v>
      </c>
      <c r="L989"/>
      <c r="M989" t="n">
        <v>1966</v>
      </c>
      <c r="N989" t="n">
        <v>1974</v>
      </c>
      <c r="O989" t="s">
        <v>1532</v>
      </c>
      <c r="P989" t="n">
        <v>2</v>
      </c>
      <c r="Q989" t="n">
        <v>1</v>
      </c>
      <c r="R989" t="n">
        <v>1</v>
      </c>
      <c r="S989"/>
      <c r="T989" t="s">
        <v>1533</v>
      </c>
      <c r="U989" t="s">
        <v>1534</v>
      </c>
      <c r="V989" t="s">
        <v>74</v>
      </c>
      <c r="W989"/>
      <c r="X989"/>
      <c r="Y989"/>
      <c r="Z989"/>
      <c r="AA989"/>
      <c r="AB989" t="s">
        <v>1535</v>
      </c>
      <c r="AC989" t="n">
        <v>200</v>
      </c>
      <c r="AD989" t="s">
        <v>1536</v>
      </c>
      <c r="AE989" t="n">
        <v>238</v>
      </c>
      <c r="AF989" t="s">
        <v>1537</v>
      </c>
      <c r="AG989" t="n">
        <v>102</v>
      </c>
    </row>
    <row r="990">
      <c r="A990" t="s">
        <v>1538</v>
      </c>
      <c r="B990" t="s">
        <v>31</v>
      </c>
      <c r="C990" t="s">
        <v>65</v>
      </c>
      <c r="D990" t="s">
        <v>1539</v>
      </c>
      <c r="E990" t="s">
        <v>79</v>
      </c>
      <c r="F990" t="s">
        <v>1274</v>
      </c>
      <c r="G990" t="s">
        <v>1540</v>
      </c>
      <c r="H990" t="n">
        <v>39.7584727755102</v>
      </c>
      <c r="I990" t="n">
        <v>-105.051185204082</v>
      </c>
      <c r="J990" t="s">
        <v>35</v>
      </c>
      <c r="K990" t="s">
        <v>70</v>
      </c>
      <c r="L990"/>
      <c r="M990" t="n">
        <v>1966</v>
      </c>
      <c r="N990" t="n">
        <v>1974</v>
      </c>
      <c r="O990" t="s">
        <v>1541</v>
      </c>
      <c r="P990" t="n">
        <v>5</v>
      </c>
      <c r="Q990" t="n">
        <v>2</v>
      </c>
      <c r="R990" t="n">
        <v>2</v>
      </c>
      <c r="S990" t="n">
        <v>1944</v>
      </c>
      <c r="T990" t="s">
        <v>1542</v>
      </c>
      <c r="U990" t="s">
        <v>1543</v>
      </c>
      <c r="V990" t="s">
        <v>74</v>
      </c>
      <c r="W990"/>
      <c r="X990"/>
      <c r="Y990"/>
      <c r="Z990"/>
      <c r="AA990"/>
      <c r="AB990" t="s">
        <v>1544</v>
      </c>
      <c r="AC990" t="n">
        <v>76</v>
      </c>
      <c r="AD990"/>
      <c r="AE990"/>
      <c r="AF990" t="s">
        <v>1545</v>
      </c>
      <c r="AG990" t="n">
        <v>97</v>
      </c>
    </row>
    <row r="991">
      <c r="A991" t="s">
        <v>4313</v>
      </c>
      <c r="B991" t="s">
        <v>31</v>
      </c>
      <c r="C991" t="s">
        <v>24</v>
      </c>
      <c r="D991" t="s">
        <v>4314</v>
      </c>
      <c r="E991" t="s">
        <v>79</v>
      </c>
      <c r="F991" t="s">
        <v>1274</v>
      </c>
      <c r="G991" t="s">
        <v>1638</v>
      </c>
      <c r="H991" t="n">
        <v>39.7525793912754</v>
      </c>
      <c r="I991" t="n">
        <v>-104.996962789076</v>
      </c>
      <c r="J991" t="s">
        <v>4109</v>
      </c>
      <c r="K991" t="s">
        <v>1282</v>
      </c>
      <c r="L991"/>
      <c r="M991" t="n">
        <v>1966</v>
      </c>
      <c r="N991" t="n">
        <v>1977</v>
      </c>
      <c r="O991" t="s">
        <v>4315</v>
      </c>
      <c r="P991" t="n">
        <v>4</v>
      </c>
      <c r="Q991" t="n">
        <v>4</v>
      </c>
      <c r="R991" t="n">
        <v>2</v>
      </c>
      <c r="S991" t="n">
        <v>1927</v>
      </c>
      <c r="T991" t="s">
        <v>4316</v>
      </c>
      <c r="U991" t="s">
        <v>4317</v>
      </c>
      <c r="V991" t="s">
        <v>74</v>
      </c>
      <c r="W991"/>
      <c r="X991"/>
      <c r="Y991"/>
      <c r="Z991"/>
      <c r="AA991"/>
      <c r="AB991" t="s">
        <v>4318</v>
      </c>
      <c r="AC991" t="n">
        <v>133</v>
      </c>
      <c r="AD991"/>
      <c r="AE991"/>
      <c r="AF991" t="s">
        <v>4319</v>
      </c>
      <c r="AG991" t="n">
        <v>167</v>
      </c>
    </row>
    <row r="992">
      <c r="A992" t="s">
        <v>4320</v>
      </c>
      <c r="B992" t="s">
        <v>31</v>
      </c>
      <c r="C992" t="s">
        <v>24</v>
      </c>
      <c r="D992" t="s">
        <v>4321</v>
      </c>
      <c r="E992" t="s">
        <v>79</v>
      </c>
      <c r="F992" t="s">
        <v>1274</v>
      </c>
      <c r="G992" t="s">
        <v>1555</v>
      </c>
      <c r="H992" t="n">
        <v>39.7432892919293</v>
      </c>
      <c r="I992" t="n">
        <v>-105.002113593743</v>
      </c>
      <c r="J992" t="s">
        <v>4109</v>
      </c>
      <c r="K992" t="s">
        <v>120</v>
      </c>
      <c r="L992"/>
      <c r="M992" t="n">
        <v>1966</v>
      </c>
      <c r="N992" t="n">
        <v>1973</v>
      </c>
      <c r="O992" t="s">
        <v>1349</v>
      </c>
      <c r="P992" t="n">
        <v>4</v>
      </c>
      <c r="Q992" t="n">
        <v>4</v>
      </c>
      <c r="R992" t="n">
        <v>1</v>
      </c>
      <c r="S992" t="n">
        <v>1949</v>
      </c>
      <c r="T992" t="s">
        <v>4322</v>
      </c>
      <c r="U992" t="s">
        <v>4323</v>
      </c>
      <c r="V992" t="s">
        <v>74</v>
      </c>
      <c r="W992"/>
      <c r="X992"/>
      <c r="Y992"/>
      <c r="Z992"/>
      <c r="AA992"/>
      <c r="AB992" t="s">
        <v>4274</v>
      </c>
      <c r="AC992" t="n">
        <v>188</v>
      </c>
      <c r="AD992"/>
      <c r="AE992"/>
      <c r="AF992" t="s">
        <v>4275</v>
      </c>
      <c r="AG992" t="n">
        <v>80</v>
      </c>
    </row>
    <row r="993">
      <c r="A993" t="s">
        <v>4324</v>
      </c>
      <c r="B993" t="s">
        <v>31</v>
      </c>
      <c r="C993" t="s">
        <v>24</v>
      </c>
      <c r="D993" t="s">
        <v>4325</v>
      </c>
      <c r="E993" t="s">
        <v>79</v>
      </c>
      <c r="F993" t="s">
        <v>1274</v>
      </c>
      <c r="G993" t="s">
        <v>1881</v>
      </c>
      <c r="H993" t="n">
        <v>39.7694427356094</v>
      </c>
      <c r="I993" t="n">
        <v>-104.931735816913</v>
      </c>
      <c r="J993" t="s">
        <v>4109</v>
      </c>
      <c r="K993" t="s">
        <v>270</v>
      </c>
      <c r="L993"/>
      <c r="M993" t="n">
        <v>1966</v>
      </c>
      <c r="N993" t="n">
        <v>1973</v>
      </c>
      <c r="O993" t="s">
        <v>2349</v>
      </c>
      <c r="P993" t="n">
        <v>3</v>
      </c>
      <c r="Q993" t="n">
        <v>2</v>
      </c>
      <c r="R993" t="n">
        <v>2</v>
      </c>
      <c r="S993" t="n">
        <v>1953</v>
      </c>
      <c r="T993" t="s">
        <v>4326</v>
      </c>
      <c r="U993" t="s">
        <v>4327</v>
      </c>
      <c r="V993" t="s">
        <v>74</v>
      </c>
      <c r="W993"/>
      <c r="X993"/>
      <c r="Y993"/>
      <c r="Z993"/>
      <c r="AA993"/>
      <c r="AB993"/>
      <c r="AC993"/>
      <c r="AD993"/>
      <c r="AE993"/>
      <c r="AF993" t="s">
        <v>2012</v>
      </c>
      <c r="AG993" t="n">
        <v>135</v>
      </c>
    </row>
    <row r="994">
      <c r="A994" t="s">
        <v>1546</v>
      </c>
      <c r="B994" t="s">
        <v>31</v>
      </c>
      <c r="C994" t="s">
        <v>65</v>
      </c>
      <c r="D994" t="s">
        <v>1547</v>
      </c>
      <c r="E994" t="s">
        <v>79</v>
      </c>
      <c r="F994" t="s">
        <v>1274</v>
      </c>
      <c r="G994" t="s">
        <v>1509</v>
      </c>
      <c r="H994" t="n">
        <v>39.7594049366611</v>
      </c>
      <c r="I994" t="n">
        <v>-105.003198934009</v>
      </c>
      <c r="J994" t="s">
        <v>35</v>
      </c>
      <c r="K994" t="s">
        <v>1548</v>
      </c>
      <c r="L994"/>
      <c r="M994" t="n">
        <v>1966</v>
      </c>
      <c r="N994" t="n">
        <v>1983</v>
      </c>
      <c r="O994" t="s">
        <v>1549</v>
      </c>
      <c r="P994" t="n">
        <v>6</v>
      </c>
      <c r="Q994" t="n">
        <v>3</v>
      </c>
      <c r="R994" t="n">
        <v>3</v>
      </c>
      <c r="S994" t="n">
        <v>1956</v>
      </c>
      <c r="T994" t="s">
        <v>1550</v>
      </c>
      <c r="U994" t="s">
        <v>1551</v>
      </c>
      <c r="V994" t="s">
        <v>74</v>
      </c>
      <c r="W994"/>
      <c r="X994"/>
      <c r="Y994"/>
      <c r="Z994"/>
      <c r="AA994"/>
      <c r="AB994" t="s">
        <v>1552</v>
      </c>
      <c r="AC994" t="n">
        <v>86</v>
      </c>
      <c r="AD994"/>
      <c r="AE994"/>
      <c r="AF994" t="s">
        <v>1419</v>
      </c>
      <c r="AG994" t="n">
        <v>82</v>
      </c>
    </row>
    <row r="995">
      <c r="A995" t="s">
        <v>1553</v>
      </c>
      <c r="B995" t="s">
        <v>31</v>
      </c>
      <c r="C995" t="s">
        <v>65</v>
      </c>
      <c r="D995" t="s">
        <v>1554</v>
      </c>
      <c r="E995" t="s">
        <v>79</v>
      </c>
      <c r="F995" t="s">
        <v>1274</v>
      </c>
      <c r="G995" t="s">
        <v>1555</v>
      </c>
      <c r="H995" t="n">
        <v>39.740333520797</v>
      </c>
      <c r="I995" t="n">
        <v>-105.033240591042</v>
      </c>
      <c r="J995" t="s">
        <v>35</v>
      </c>
      <c r="K995" t="s">
        <v>133</v>
      </c>
      <c r="L995"/>
      <c r="M995" t="n">
        <v>1966</v>
      </c>
      <c r="N995" t="n">
        <v>1980</v>
      </c>
      <c r="O995" t="s">
        <v>1556</v>
      </c>
      <c r="P995" t="n">
        <v>7</v>
      </c>
      <c r="Q995" t="n">
        <v>4</v>
      </c>
      <c r="R995" t="n">
        <v>1</v>
      </c>
      <c r="S995" t="n">
        <v>1951</v>
      </c>
      <c r="T995" t="s">
        <v>1557</v>
      </c>
      <c r="U995" t="s">
        <v>1558</v>
      </c>
      <c r="V995" t="s">
        <v>74</v>
      </c>
      <c r="W995"/>
      <c r="X995"/>
      <c r="Y995"/>
      <c r="Z995"/>
      <c r="AA995"/>
      <c r="AB995" t="s">
        <v>1454</v>
      </c>
      <c r="AC995" t="n">
        <v>120</v>
      </c>
      <c r="AD995"/>
      <c r="AE995"/>
      <c r="AF995" t="s">
        <v>1559</v>
      </c>
      <c r="AG995" t="n">
        <v>136</v>
      </c>
    </row>
    <row r="996">
      <c r="A996" t="s">
        <v>1560</v>
      </c>
      <c r="B996" t="s">
        <v>31</v>
      </c>
      <c r="C996" t="s">
        <v>65</v>
      </c>
      <c r="D996" t="s">
        <v>1561</v>
      </c>
      <c r="E996" t="s">
        <v>79</v>
      </c>
      <c r="F996" t="s">
        <v>1274</v>
      </c>
      <c r="G996" t="s">
        <v>1516</v>
      </c>
      <c r="H996" t="n">
        <v>39.6973630207167</v>
      </c>
      <c r="I996" t="n">
        <v>-104.999167591846</v>
      </c>
      <c r="J996" t="s">
        <v>35</v>
      </c>
      <c r="K996" t="s">
        <v>120</v>
      </c>
      <c r="L996"/>
      <c r="M996" t="n">
        <v>1966</v>
      </c>
      <c r="N996" t="n">
        <v>1980</v>
      </c>
      <c r="O996" t="s">
        <v>1349</v>
      </c>
      <c r="P996" t="n">
        <v>4</v>
      </c>
      <c r="Q996" t="n">
        <v>3</v>
      </c>
      <c r="R996" t="n">
        <v>1</v>
      </c>
      <c r="S996" t="n">
        <v>1947</v>
      </c>
      <c r="T996" t="s">
        <v>1562</v>
      </c>
      <c r="U996" t="s">
        <v>1563</v>
      </c>
      <c r="V996" t="s">
        <v>74</v>
      </c>
      <c r="W996"/>
      <c r="X996"/>
      <c r="Y996"/>
      <c r="Z996"/>
      <c r="AA996"/>
      <c r="AB996" t="s">
        <v>1564</v>
      </c>
      <c r="AC996" t="n">
        <v>221</v>
      </c>
      <c r="AD996" t="s">
        <v>1565</v>
      </c>
      <c r="AE996" t="n">
        <v>179</v>
      </c>
      <c r="AF996" t="s">
        <v>1566</v>
      </c>
      <c r="AG996" t="n">
        <v>80</v>
      </c>
    </row>
    <row r="997">
      <c r="A997" t="s">
        <v>1567</v>
      </c>
      <c r="B997" t="s">
        <v>31</v>
      </c>
      <c r="C997" t="s">
        <v>65</v>
      </c>
      <c r="D997" t="s">
        <v>1568</v>
      </c>
      <c r="E997" t="s">
        <v>79</v>
      </c>
      <c r="F997" t="s">
        <v>1274</v>
      </c>
      <c r="G997" t="s">
        <v>1569</v>
      </c>
      <c r="H997" t="n">
        <v>39.6829631631868</v>
      </c>
      <c r="I997" t="n">
        <v>-104.980487040371</v>
      </c>
      <c r="J997" t="s">
        <v>35</v>
      </c>
      <c r="K997" t="s">
        <v>120</v>
      </c>
      <c r="L997"/>
      <c r="M997" t="n">
        <v>1966</v>
      </c>
      <c r="N997" t="n">
        <v>1990</v>
      </c>
      <c r="O997" t="s">
        <v>351</v>
      </c>
      <c r="P997" t="n">
        <v>7</v>
      </c>
      <c r="Q997" t="n">
        <v>5</v>
      </c>
      <c r="R997" t="n">
        <v>1</v>
      </c>
      <c r="S997" t="n">
        <v>1948</v>
      </c>
      <c r="T997" t="s">
        <v>1570</v>
      </c>
      <c r="U997" t="s">
        <v>1571</v>
      </c>
      <c r="V997" t="s">
        <v>74</v>
      </c>
      <c r="W997"/>
      <c r="X997"/>
      <c r="Y997"/>
      <c r="Z997"/>
      <c r="AA997"/>
      <c r="AB997" t="s">
        <v>1406</v>
      </c>
      <c r="AC997" t="n">
        <v>143</v>
      </c>
      <c r="AD997"/>
      <c r="AE997"/>
      <c r="AF997" t="s">
        <v>1407</v>
      </c>
      <c r="AG997" t="n">
        <v>98</v>
      </c>
    </row>
    <row r="998">
      <c r="A998" t="s">
        <v>4328</v>
      </c>
      <c r="B998" t="s">
        <v>31</v>
      </c>
      <c r="C998" t="s">
        <v>24</v>
      </c>
      <c r="D998" t="s">
        <v>4329</v>
      </c>
      <c r="E998" t="s">
        <v>79</v>
      </c>
      <c r="F998" t="s">
        <v>1274</v>
      </c>
      <c r="G998" t="s">
        <v>1555</v>
      </c>
      <c r="H998" t="n">
        <v>39.7465798336941</v>
      </c>
      <c r="I998" t="n">
        <v>-105.003155295538</v>
      </c>
      <c r="J998" t="s">
        <v>4109</v>
      </c>
      <c r="K998" t="s">
        <v>315</v>
      </c>
      <c r="L998"/>
      <c r="M998" t="n">
        <v>1966</v>
      </c>
      <c r="N998" t="n">
        <v>1968</v>
      </c>
      <c r="O998" t="s">
        <v>1349</v>
      </c>
      <c r="P998" t="n">
        <v>2</v>
      </c>
      <c r="Q998" t="n">
        <v>2</v>
      </c>
      <c r="R998" t="n">
        <v>1</v>
      </c>
      <c r="S998" t="n">
        <v>1918</v>
      </c>
      <c r="T998" t="s">
        <v>4330</v>
      </c>
      <c r="U998" t="s">
        <v>4331</v>
      </c>
      <c r="V998" t="s">
        <v>74</v>
      </c>
      <c r="W998"/>
      <c r="X998"/>
      <c r="Y998"/>
      <c r="Z998"/>
      <c r="AA998"/>
      <c r="AB998" t="s">
        <v>1319</v>
      </c>
      <c r="AC998" t="n">
        <v>90</v>
      </c>
      <c r="AD998"/>
      <c r="AE998"/>
      <c r="AF998" t="s">
        <v>4332</v>
      </c>
      <c r="AG998" t="n">
        <v>177</v>
      </c>
    </row>
    <row r="999">
      <c r="A999" t="s">
        <v>4333</v>
      </c>
      <c r="B999" t="s">
        <v>31</v>
      </c>
      <c r="C999" t="s">
        <v>24</v>
      </c>
      <c r="D999" t="s">
        <v>4334</v>
      </c>
      <c r="E999" t="s">
        <v>79</v>
      </c>
      <c r="F999" t="s">
        <v>1274</v>
      </c>
      <c r="G999" t="s">
        <v>4335</v>
      </c>
      <c r="H999" t="n">
        <v>39.7432362161203</v>
      </c>
      <c r="I999" t="n">
        <v>-104.971806467749</v>
      </c>
      <c r="J999" t="s">
        <v>35</v>
      </c>
      <c r="K999" t="s">
        <v>89</v>
      </c>
      <c r="L999"/>
      <c r="M999" t="n">
        <v>1966</v>
      </c>
      <c r="N999" t="n">
        <v>1974</v>
      </c>
      <c r="O999" t="s">
        <v>4172</v>
      </c>
      <c r="P999" t="n">
        <v>3</v>
      </c>
      <c r="Q999" t="n">
        <v>3</v>
      </c>
      <c r="R999" t="n">
        <v>1</v>
      </c>
      <c r="S999" t="n">
        <v>1942</v>
      </c>
      <c r="T999" t="s">
        <v>4336</v>
      </c>
      <c r="U999" t="s">
        <v>4337</v>
      </c>
      <c r="V999" t="s">
        <v>4175</v>
      </c>
      <c r="W999"/>
      <c r="X999"/>
      <c r="Y999"/>
      <c r="Z999"/>
      <c r="AA999"/>
      <c r="AB999" t="s">
        <v>4338</v>
      </c>
      <c r="AC999" t="n">
        <v>119</v>
      </c>
      <c r="AD999"/>
      <c r="AE999"/>
      <c r="AF999" t="s">
        <v>4339</v>
      </c>
      <c r="AG999" t="n">
        <v>94</v>
      </c>
    </row>
    <row r="1000">
      <c r="A1000" t="s">
        <v>4340</v>
      </c>
      <c r="B1000" t="s">
        <v>31</v>
      </c>
      <c r="C1000" t="s">
        <v>24</v>
      </c>
      <c r="D1000" t="s">
        <v>4341</v>
      </c>
      <c r="E1000" t="s">
        <v>79</v>
      </c>
      <c r="F1000" t="s">
        <v>1274</v>
      </c>
      <c r="G1000" t="s">
        <v>1574</v>
      </c>
      <c r="H1000" t="n">
        <v>39.7549341099792</v>
      </c>
      <c r="I1000" t="n">
        <v>-104.990333067179</v>
      </c>
      <c r="J1000" t="s">
        <v>4109</v>
      </c>
      <c r="K1000" t="s">
        <v>89</v>
      </c>
      <c r="L1000"/>
      <c r="M1000" t="n">
        <v>1966</v>
      </c>
      <c r="N1000" t="n">
        <v>1973</v>
      </c>
      <c r="O1000" t="s">
        <v>4342</v>
      </c>
      <c r="P1000" t="n">
        <v>4</v>
      </c>
      <c r="Q1000" t="n">
        <v>2</v>
      </c>
      <c r="R1000" t="n">
        <v>2</v>
      </c>
      <c r="S1000" t="n">
        <v>1958</v>
      </c>
      <c r="T1000" t="s">
        <v>4343</v>
      </c>
      <c r="U1000" t="s">
        <v>4344</v>
      </c>
      <c r="V1000" t="s">
        <v>74</v>
      </c>
      <c r="W1000"/>
      <c r="X1000"/>
      <c r="Y1000"/>
      <c r="Z1000"/>
      <c r="AA1000"/>
      <c r="AB1000" t="s">
        <v>1384</v>
      </c>
      <c r="AC1000" t="n">
        <v>126</v>
      </c>
      <c r="AD1000"/>
      <c r="AE1000"/>
      <c r="AF1000" t="s">
        <v>1293</v>
      </c>
      <c r="AG1000" t="n">
        <v>65</v>
      </c>
    </row>
    <row r="1001">
      <c r="A1001" t="s">
        <v>5042</v>
      </c>
      <c r="B1001" t="s">
        <v>31</v>
      </c>
      <c r="C1001" t="s">
        <v>25</v>
      </c>
      <c r="D1001" t="s">
        <v>5043</v>
      </c>
      <c r="E1001" t="s">
        <v>79</v>
      </c>
      <c r="F1001" t="s">
        <v>1274</v>
      </c>
      <c r="G1001" t="s">
        <v>1574</v>
      </c>
      <c r="H1001" t="n">
        <v>39.748206</v>
      </c>
      <c r="I1001" t="n">
        <v>-104.96965</v>
      </c>
      <c r="J1001" t="s">
        <v>4109</v>
      </c>
      <c r="K1001" t="s">
        <v>89</v>
      </c>
      <c r="L1001"/>
      <c r="M1001" t="n">
        <v>1966</v>
      </c>
      <c r="N1001" t="n">
        <v>1990</v>
      </c>
      <c r="O1001" t="s">
        <v>264</v>
      </c>
      <c r="P1001" t="n">
        <v>5</v>
      </c>
      <c r="Q1001" t="n">
        <v>5</v>
      </c>
      <c r="R1001" t="n">
        <v>1</v>
      </c>
      <c r="S1001" t="n">
        <v>1948</v>
      </c>
      <c r="T1001" t="s">
        <v>5044</v>
      </c>
      <c r="U1001" t="s">
        <v>5045</v>
      </c>
      <c r="V1001" t="s">
        <v>4175</v>
      </c>
      <c r="W1001"/>
      <c r="X1001"/>
      <c r="Y1001"/>
      <c r="Z1001"/>
      <c r="AA1001"/>
      <c r="AB1001"/>
      <c r="AC1001"/>
      <c r="AD1001"/>
      <c r="AE1001"/>
      <c r="AF1001" t="s">
        <v>5046</v>
      </c>
      <c r="AG1001" t="n">
        <v>126</v>
      </c>
    </row>
    <row r="1002">
      <c r="A1002" t="s">
        <v>1572</v>
      </c>
      <c r="B1002" t="s">
        <v>31</v>
      </c>
      <c r="C1002" t="s">
        <v>65</v>
      </c>
      <c r="D1002" t="s">
        <v>1573</v>
      </c>
      <c r="E1002" t="s">
        <v>79</v>
      </c>
      <c r="F1002" t="s">
        <v>1274</v>
      </c>
      <c r="G1002" t="s">
        <v>1574</v>
      </c>
      <c r="H1002" t="n">
        <v>39.7520244325787</v>
      </c>
      <c r="I1002" t="n">
        <v>-104.988983029782</v>
      </c>
      <c r="J1002" t="s">
        <v>35</v>
      </c>
      <c r="K1002" t="s">
        <v>70</v>
      </c>
      <c r="L1002"/>
      <c r="M1002" t="n">
        <v>1966</v>
      </c>
      <c r="N1002" t="n">
        <v>1967</v>
      </c>
      <c r="O1002" t="s">
        <v>388</v>
      </c>
      <c r="P1002" t="n">
        <v>2</v>
      </c>
      <c r="Q1002" t="n">
        <v>2</v>
      </c>
      <c r="R1002" t="n">
        <v>1</v>
      </c>
      <c r="S1002" t="n">
        <v>1961</v>
      </c>
      <c r="T1002" t="s">
        <v>1575</v>
      </c>
      <c r="U1002" t="s">
        <v>1576</v>
      </c>
      <c r="V1002" t="s">
        <v>74</v>
      </c>
      <c r="W1002"/>
      <c r="X1002"/>
      <c r="Y1002"/>
      <c r="Z1002"/>
      <c r="AA1002"/>
      <c r="AB1002" t="s">
        <v>1577</v>
      </c>
      <c r="AC1002" t="n">
        <v>153</v>
      </c>
      <c r="AD1002"/>
      <c r="AE1002"/>
      <c r="AF1002" t="s">
        <v>1460</v>
      </c>
      <c r="AG1002" t="n">
        <v>85</v>
      </c>
    </row>
    <row r="1003">
      <c r="A1003" t="s">
        <v>1578</v>
      </c>
      <c r="B1003" t="s">
        <v>31</v>
      </c>
      <c r="C1003" t="s">
        <v>65</v>
      </c>
      <c r="D1003" t="s">
        <v>1579</v>
      </c>
      <c r="E1003" t="s">
        <v>79</v>
      </c>
      <c r="F1003" t="s">
        <v>1274</v>
      </c>
      <c r="G1003" t="s">
        <v>1516</v>
      </c>
      <c r="H1003" t="n">
        <v>39.6953963323615</v>
      </c>
      <c r="I1003" t="n">
        <v>-104.991302172012</v>
      </c>
      <c r="J1003" t="s">
        <v>35</v>
      </c>
      <c r="K1003" t="s">
        <v>527</v>
      </c>
      <c r="L1003"/>
      <c r="M1003" t="n">
        <v>1966</v>
      </c>
      <c r="N1003" t="n">
        <v>1990</v>
      </c>
      <c r="O1003" t="s">
        <v>1580</v>
      </c>
      <c r="P1003" t="n">
        <v>6</v>
      </c>
      <c r="Q1003" t="n">
        <v>5</v>
      </c>
      <c r="R1003" t="n">
        <v>3</v>
      </c>
      <c r="S1003" t="n">
        <v>1945</v>
      </c>
      <c r="T1003" t="s">
        <v>1581</v>
      </c>
      <c r="U1003" t="s">
        <v>1582</v>
      </c>
      <c r="V1003" t="s">
        <v>74</v>
      </c>
      <c r="W1003"/>
      <c r="X1003"/>
      <c r="Y1003"/>
      <c r="Z1003"/>
      <c r="AA1003"/>
      <c r="AB1003" t="s">
        <v>1583</v>
      </c>
      <c r="AC1003" t="n">
        <v>149</v>
      </c>
      <c r="AD1003"/>
      <c r="AE1003"/>
      <c r="AF1003" t="s">
        <v>1584</v>
      </c>
      <c r="AG1003" t="n">
        <v>108</v>
      </c>
    </row>
    <row r="1004">
      <c r="A1004" t="s">
        <v>1585</v>
      </c>
      <c r="B1004" t="s">
        <v>31</v>
      </c>
      <c r="C1004" t="s">
        <v>65</v>
      </c>
      <c r="D1004" t="s">
        <v>1586</v>
      </c>
      <c r="E1004" t="s">
        <v>79</v>
      </c>
      <c r="F1004" t="s">
        <v>1274</v>
      </c>
      <c r="G1004" t="s">
        <v>1574</v>
      </c>
      <c r="H1004" t="n">
        <v>39.7693701310338</v>
      </c>
      <c r="I1004" t="n">
        <v>-104.974837095027</v>
      </c>
      <c r="J1004" t="s">
        <v>35</v>
      </c>
      <c r="K1004" t="s">
        <v>70</v>
      </c>
      <c r="L1004"/>
      <c r="M1004" t="n">
        <v>1966</v>
      </c>
      <c r="N1004" t="n">
        <v>1970</v>
      </c>
      <c r="O1004" t="s">
        <v>1587</v>
      </c>
      <c r="P1004" t="n">
        <v>3</v>
      </c>
      <c r="Q1004" t="n">
        <v>1</v>
      </c>
      <c r="R1004" t="n">
        <v>1</v>
      </c>
      <c r="S1004" t="n">
        <v>1957</v>
      </c>
      <c r="T1004" t="s">
        <v>1588</v>
      </c>
      <c r="U1004" t="s">
        <v>1589</v>
      </c>
      <c r="V1004" t="s">
        <v>74</v>
      </c>
      <c r="W1004"/>
      <c r="X1004"/>
      <c r="Y1004"/>
      <c r="Z1004"/>
      <c r="AA1004"/>
      <c r="AB1004" t="s">
        <v>1590</v>
      </c>
      <c r="AC1004" t="n">
        <v>101</v>
      </c>
      <c r="AD1004" t="s">
        <v>1591</v>
      </c>
      <c r="AE1004" t="n">
        <v>104</v>
      </c>
      <c r="AF1004" t="s">
        <v>1592</v>
      </c>
      <c r="AG1004" t="n">
        <v>131</v>
      </c>
    </row>
    <row r="1005">
      <c r="A1005" t="s">
        <v>4345</v>
      </c>
      <c r="B1005" t="s">
        <v>31</v>
      </c>
      <c r="C1005" t="s">
        <v>24</v>
      </c>
      <c r="D1005" t="s">
        <v>4346</v>
      </c>
      <c r="E1005" t="s">
        <v>79</v>
      </c>
      <c r="F1005" t="s">
        <v>1274</v>
      </c>
      <c r="G1005" t="s">
        <v>1824</v>
      </c>
      <c r="H1005" t="n">
        <v>39.7029703626479</v>
      </c>
      <c r="I1005" t="n">
        <v>-104.987488</v>
      </c>
      <c r="J1005" t="s">
        <v>35</v>
      </c>
      <c r="K1005" t="s">
        <v>120</v>
      </c>
      <c r="L1005"/>
      <c r="M1005" t="n">
        <v>1966</v>
      </c>
      <c r="N1005" t="n">
        <v>1990</v>
      </c>
      <c r="O1005" t="s">
        <v>4172</v>
      </c>
      <c r="P1005" t="n">
        <v>6</v>
      </c>
      <c r="Q1005" t="n">
        <v>3</v>
      </c>
      <c r="R1005" t="n">
        <v>1</v>
      </c>
      <c r="S1005" t="n">
        <v>1955</v>
      </c>
      <c r="T1005" t="s">
        <v>4347</v>
      </c>
      <c r="U1005" t="s">
        <v>4348</v>
      </c>
      <c r="V1005" t="s">
        <v>4175</v>
      </c>
      <c r="W1005"/>
      <c r="X1005"/>
      <c r="Y1005"/>
      <c r="Z1005"/>
      <c r="AA1005"/>
      <c r="AB1005"/>
      <c r="AC1005"/>
      <c r="AD1005"/>
      <c r="AE1005"/>
      <c r="AF1005" t="s">
        <v>4349</v>
      </c>
      <c r="AG1005" t="n">
        <v>63</v>
      </c>
    </row>
    <row r="1006">
      <c r="A1006" t="s">
        <v>4350</v>
      </c>
      <c r="B1006" t="s">
        <v>31</v>
      </c>
      <c r="C1006" t="s">
        <v>24</v>
      </c>
      <c r="D1006" t="s">
        <v>4351</v>
      </c>
      <c r="E1006" t="s">
        <v>79</v>
      </c>
      <c r="F1006" t="s">
        <v>1274</v>
      </c>
      <c r="G1006" t="s">
        <v>1555</v>
      </c>
      <c r="H1006" t="n">
        <v>39.722532</v>
      </c>
      <c r="I1006" t="n">
        <v>-104.998577</v>
      </c>
      <c r="J1006" t="s">
        <v>4109</v>
      </c>
      <c r="K1006" t="s">
        <v>120</v>
      </c>
      <c r="L1006" t="s">
        <v>1337</v>
      </c>
      <c r="M1006" t="n">
        <v>1966</v>
      </c>
      <c r="N1006" t="n">
        <v>1983</v>
      </c>
      <c r="O1006" t="s">
        <v>1556</v>
      </c>
      <c r="P1006" t="n">
        <v>5</v>
      </c>
      <c r="Q1006" t="n">
        <v>3</v>
      </c>
      <c r="R1006" t="n">
        <v>2</v>
      </c>
      <c r="S1006" t="n">
        <v>1880</v>
      </c>
      <c r="T1006" t="s">
        <v>4352</v>
      </c>
      <c r="U1006" t="s">
        <v>4353</v>
      </c>
      <c r="V1006" t="s">
        <v>74</v>
      </c>
      <c r="W1006"/>
      <c r="X1006"/>
      <c r="Y1006"/>
      <c r="Z1006"/>
      <c r="AA1006"/>
      <c r="AB1006" t="s">
        <v>1736</v>
      </c>
      <c r="AC1006" t="n">
        <v>97</v>
      </c>
      <c r="AD1006"/>
      <c r="AE1006"/>
      <c r="AF1006" t="s">
        <v>4354</v>
      </c>
      <c r="AG1006" t="n">
        <v>77</v>
      </c>
    </row>
    <row r="1007">
      <c r="A1007" t="s">
        <v>1593</v>
      </c>
      <c r="B1007" t="s">
        <v>31</v>
      </c>
      <c r="C1007" t="s">
        <v>65</v>
      </c>
      <c r="D1007" t="s">
        <v>1594</v>
      </c>
      <c r="E1007" t="s">
        <v>79</v>
      </c>
      <c r="F1007" t="s">
        <v>1274</v>
      </c>
      <c r="G1007" t="s">
        <v>1440</v>
      </c>
      <c r="H1007" t="n">
        <v>39.7560326531285</v>
      </c>
      <c r="I1007" t="n">
        <v>-105.020947316145</v>
      </c>
      <c r="J1007" t="s">
        <v>35</v>
      </c>
      <c r="K1007" t="s">
        <v>70</v>
      </c>
      <c r="L1007"/>
      <c r="M1007" t="n">
        <v>1966</v>
      </c>
      <c r="N1007" t="n">
        <v>1968</v>
      </c>
      <c r="O1007" t="s">
        <v>388</v>
      </c>
      <c r="P1007" t="n">
        <v>3</v>
      </c>
      <c r="Q1007" t="n">
        <v>1</v>
      </c>
      <c r="R1007" t="n">
        <v>1</v>
      </c>
      <c r="S1007" t="n">
        <v>1890</v>
      </c>
      <c r="T1007" t="s">
        <v>1595</v>
      </c>
      <c r="U1007" t="s">
        <v>1596</v>
      </c>
      <c r="V1007" t="s">
        <v>74</v>
      </c>
      <c r="W1007"/>
      <c r="X1007"/>
      <c r="Y1007"/>
      <c r="Z1007"/>
      <c r="AA1007"/>
      <c r="AB1007" t="s">
        <v>1597</v>
      </c>
      <c r="AC1007" t="n">
        <v>245</v>
      </c>
      <c r="AD1007"/>
      <c r="AE1007"/>
      <c r="AF1007" t="s">
        <v>1598</v>
      </c>
      <c r="AG1007" t="n">
        <v>74</v>
      </c>
    </row>
    <row r="1008">
      <c r="A1008" t="s">
        <v>1599</v>
      </c>
      <c r="B1008" t="s">
        <v>31</v>
      </c>
      <c r="C1008" t="s">
        <v>65</v>
      </c>
      <c r="D1008" t="s">
        <v>1600</v>
      </c>
      <c r="E1008" t="s">
        <v>79</v>
      </c>
      <c r="F1008" t="s">
        <v>1274</v>
      </c>
      <c r="G1008" t="s">
        <v>1516</v>
      </c>
      <c r="H1008" t="n">
        <v>39.7030126666667</v>
      </c>
      <c r="I1008" t="n">
        <v>-104.992189333333</v>
      </c>
      <c r="J1008" t="s">
        <v>35</v>
      </c>
      <c r="K1008" t="s">
        <v>616</v>
      </c>
      <c r="L1008"/>
      <c r="M1008" t="n">
        <v>1966</v>
      </c>
      <c r="N1008" t="n">
        <v>1974</v>
      </c>
      <c r="O1008" t="s">
        <v>1601</v>
      </c>
      <c r="P1008" t="n">
        <v>5</v>
      </c>
      <c r="Q1008" t="n">
        <v>3</v>
      </c>
      <c r="R1008" t="n">
        <v>3</v>
      </c>
      <c r="S1008" t="n">
        <v>1958</v>
      </c>
      <c r="T1008" t="s">
        <v>1602</v>
      </c>
      <c r="U1008" t="s">
        <v>1603</v>
      </c>
      <c r="V1008" t="s">
        <v>74</v>
      </c>
      <c r="W1008"/>
      <c r="X1008"/>
      <c r="Y1008"/>
      <c r="Z1008"/>
      <c r="AA1008"/>
      <c r="AB1008"/>
      <c r="AC1008"/>
      <c r="AD1008"/>
      <c r="AE1008"/>
      <c r="AF1008" t="s">
        <v>1604</v>
      </c>
      <c r="AG1008" t="n">
        <v>130</v>
      </c>
    </row>
    <row r="1009">
      <c r="A1009" t="s">
        <v>4355</v>
      </c>
      <c r="B1009" t="s">
        <v>31</v>
      </c>
      <c r="C1009" t="s">
        <v>24</v>
      </c>
      <c r="D1009" t="s">
        <v>4356</v>
      </c>
      <c r="E1009" t="s">
        <v>79</v>
      </c>
      <c r="F1009" t="s">
        <v>1274</v>
      </c>
      <c r="G1009" t="s">
        <v>1653</v>
      </c>
      <c r="H1009" t="n">
        <v>39.7796693278395</v>
      </c>
      <c r="I1009" t="n">
        <v>-104.944053023234</v>
      </c>
      <c r="J1009" t="s">
        <v>35</v>
      </c>
      <c r="K1009" t="s">
        <v>70</v>
      </c>
      <c r="L1009"/>
      <c r="M1009" t="n">
        <v>1966</v>
      </c>
      <c r="N1009" t="n">
        <v>1990</v>
      </c>
      <c r="O1009" t="s">
        <v>4172</v>
      </c>
      <c r="P1009" t="n">
        <v>10</v>
      </c>
      <c r="Q1009" t="n">
        <v>10</v>
      </c>
      <c r="R1009" t="n">
        <v>1</v>
      </c>
      <c r="S1009" t="n">
        <v>1889</v>
      </c>
      <c r="T1009" t="s">
        <v>4357</v>
      </c>
      <c r="U1009" t="s">
        <v>4358</v>
      </c>
      <c r="V1009" t="s">
        <v>4175</v>
      </c>
      <c r="W1009"/>
      <c r="X1009"/>
      <c r="Y1009"/>
      <c r="Z1009"/>
      <c r="AA1009"/>
      <c r="AB1009"/>
      <c r="AC1009"/>
      <c r="AD1009" t="s">
        <v>4359</v>
      </c>
      <c r="AE1009" t="n">
        <v>203</v>
      </c>
      <c r="AF1009" t="s">
        <v>4360</v>
      </c>
      <c r="AG1009" t="n">
        <v>58</v>
      </c>
    </row>
    <row r="1010">
      <c r="A1010" t="s">
        <v>1605</v>
      </c>
      <c r="B1010" t="s">
        <v>31</v>
      </c>
      <c r="C1010" t="s">
        <v>65</v>
      </c>
      <c r="D1010" t="s">
        <v>1606</v>
      </c>
      <c r="E1010" t="s">
        <v>79</v>
      </c>
      <c r="F1010" t="s">
        <v>1274</v>
      </c>
      <c r="G1010" t="s">
        <v>1569</v>
      </c>
      <c r="H1010" t="n">
        <v>39.6884699317074</v>
      </c>
      <c r="I1010" t="n">
        <v>-104.980431209542</v>
      </c>
      <c r="J1010" t="s">
        <v>35</v>
      </c>
      <c r="K1010" t="s">
        <v>533</v>
      </c>
      <c r="L1010"/>
      <c r="M1010" t="n">
        <v>1966</v>
      </c>
      <c r="N1010" t="n">
        <v>1983</v>
      </c>
      <c r="O1010" t="s">
        <v>1607</v>
      </c>
      <c r="P1010" t="n">
        <v>6</v>
      </c>
      <c r="Q1010" t="n">
        <v>2</v>
      </c>
      <c r="R1010" t="n">
        <v>2</v>
      </c>
      <c r="S1010" t="n">
        <v>1912</v>
      </c>
      <c r="T1010" t="s">
        <v>1608</v>
      </c>
      <c r="U1010" t="s">
        <v>1609</v>
      </c>
      <c r="V1010" t="s">
        <v>74</v>
      </c>
      <c r="W1010"/>
      <c r="X1010"/>
      <c r="Y1010"/>
      <c r="Z1010"/>
      <c r="AA1010"/>
      <c r="AB1010"/>
      <c r="AC1010"/>
      <c r="AD1010"/>
      <c r="AE1010"/>
      <c r="AF1010" t="s">
        <v>1484</v>
      </c>
      <c r="AG1010" t="n">
        <v>62</v>
      </c>
    </row>
    <row r="1011">
      <c r="A1011" t="s">
        <v>1610</v>
      </c>
      <c r="B1011" t="s">
        <v>31</v>
      </c>
      <c r="C1011" t="s">
        <v>65</v>
      </c>
      <c r="D1011" t="s">
        <v>1611</v>
      </c>
      <c r="E1011" t="s">
        <v>79</v>
      </c>
      <c r="F1011" t="s">
        <v>1274</v>
      </c>
      <c r="G1011" t="s">
        <v>1612</v>
      </c>
      <c r="H1011" t="n">
        <v>39.7256091633038</v>
      </c>
      <c r="I1011" t="n">
        <v>-104.977340943236</v>
      </c>
      <c r="J1011" t="s">
        <v>35</v>
      </c>
      <c r="K1011" t="s">
        <v>141</v>
      </c>
      <c r="L1011"/>
      <c r="M1011" t="n">
        <v>1966</v>
      </c>
      <c r="N1011" t="n">
        <v>1974</v>
      </c>
      <c r="O1011" t="s">
        <v>1613</v>
      </c>
      <c r="P1011" t="n">
        <v>4</v>
      </c>
      <c r="Q1011" t="n">
        <v>3</v>
      </c>
      <c r="R1011" t="n">
        <v>2</v>
      </c>
      <c r="S1011" t="n">
        <v>1936</v>
      </c>
      <c r="T1011" t="s">
        <v>1614</v>
      </c>
      <c r="U1011" t="s">
        <v>1615</v>
      </c>
      <c r="V1011" t="s">
        <v>74</v>
      </c>
      <c r="W1011"/>
      <c r="X1011"/>
      <c r="Y1011"/>
      <c r="Z1011"/>
      <c r="AA1011"/>
      <c r="AB1011"/>
      <c r="AC1011"/>
      <c r="AD1011"/>
      <c r="AE1011"/>
      <c r="AF1011" t="s">
        <v>1616</v>
      </c>
      <c r="AG1011" t="n">
        <v>196</v>
      </c>
    </row>
    <row r="1012">
      <c r="A1012" t="s">
        <v>1617</v>
      </c>
      <c r="B1012" t="s">
        <v>31</v>
      </c>
      <c r="C1012" t="s">
        <v>65</v>
      </c>
      <c r="D1012" t="s">
        <v>1618</v>
      </c>
      <c r="E1012" t="s">
        <v>79</v>
      </c>
      <c r="F1012" t="s">
        <v>1274</v>
      </c>
      <c r="G1012" t="s">
        <v>1540</v>
      </c>
      <c r="H1012" t="n">
        <v>39.77048197675</v>
      </c>
      <c r="I1012" t="n">
        <v>-105.056725806003</v>
      </c>
      <c r="J1012" t="s">
        <v>35</v>
      </c>
      <c r="K1012" t="s">
        <v>70</v>
      </c>
      <c r="L1012"/>
      <c r="M1012" t="n">
        <v>1966</v>
      </c>
      <c r="N1012" t="n">
        <v>1983</v>
      </c>
      <c r="O1012" t="s">
        <v>264</v>
      </c>
      <c r="P1012" t="n">
        <v>7</v>
      </c>
      <c r="Q1012" t="n">
        <v>1</v>
      </c>
      <c r="R1012" t="n">
        <v>1</v>
      </c>
      <c r="S1012" t="n">
        <v>1956</v>
      </c>
      <c r="T1012" t="s">
        <v>1619</v>
      </c>
      <c r="U1012" t="s">
        <v>1620</v>
      </c>
      <c r="V1012" t="s">
        <v>74</v>
      </c>
      <c r="W1012"/>
      <c r="X1012"/>
      <c r="Y1012"/>
      <c r="Z1012"/>
      <c r="AA1012"/>
      <c r="AB1012"/>
      <c r="AC1012"/>
      <c r="AD1012"/>
      <c r="AE1012"/>
      <c r="AF1012" t="s">
        <v>1621</v>
      </c>
      <c r="AG1012" t="n">
        <v>220</v>
      </c>
    </row>
    <row r="1013">
      <c r="A1013" t="s">
        <v>5047</v>
      </c>
      <c r="B1013" t="s">
        <v>31</v>
      </c>
      <c r="C1013" t="s">
        <v>25</v>
      </c>
      <c r="D1013" t="s">
        <v>5048</v>
      </c>
      <c r="E1013" t="s">
        <v>79</v>
      </c>
      <c r="F1013" t="s">
        <v>1274</v>
      </c>
      <c r="G1013" t="s">
        <v>1440</v>
      </c>
      <c r="H1013" t="n">
        <v>39.7347283489933</v>
      </c>
      <c r="I1013" t="n">
        <v>-105.064863006711</v>
      </c>
      <c r="J1013" t="s">
        <v>4109</v>
      </c>
      <c r="K1013" t="s">
        <v>70</v>
      </c>
      <c r="L1013"/>
      <c r="M1013" t="n">
        <v>1966</v>
      </c>
      <c r="N1013" t="n">
        <v>1990</v>
      </c>
      <c r="O1013" t="s">
        <v>4172</v>
      </c>
      <c r="P1013" t="n">
        <v>6</v>
      </c>
      <c r="Q1013" t="n">
        <v>3</v>
      </c>
      <c r="R1013" t="n">
        <v>1</v>
      </c>
      <c r="S1013" t="n">
        <v>1932</v>
      </c>
      <c r="T1013" t="s">
        <v>5049</v>
      </c>
      <c r="U1013" t="s">
        <v>5050</v>
      </c>
      <c r="V1013" t="s">
        <v>4175</v>
      </c>
      <c r="W1013"/>
      <c r="X1013"/>
      <c r="Y1013"/>
      <c r="Z1013"/>
      <c r="AA1013"/>
      <c r="AB1013" t="s">
        <v>5051</v>
      </c>
      <c r="AC1013" t="n">
        <v>201</v>
      </c>
      <c r="AD1013"/>
      <c r="AE1013"/>
      <c r="AF1013" t="s">
        <v>2871</v>
      </c>
      <c r="AG1013" t="n">
        <v>223</v>
      </c>
    </row>
    <row r="1014">
      <c r="A1014" t="s">
        <v>1622</v>
      </c>
      <c r="B1014" t="s">
        <v>31</v>
      </c>
      <c r="C1014" t="s">
        <v>65</v>
      </c>
      <c r="D1014" t="s">
        <v>1623</v>
      </c>
      <c r="E1014" t="s">
        <v>79</v>
      </c>
      <c r="F1014" t="s">
        <v>1274</v>
      </c>
      <c r="G1014" t="s">
        <v>1574</v>
      </c>
      <c r="H1014" t="n">
        <v>39.7675777836802</v>
      </c>
      <c r="I1014" t="n">
        <v>-104.977161134926</v>
      </c>
      <c r="J1014" t="s">
        <v>35</v>
      </c>
      <c r="K1014" t="s">
        <v>533</v>
      </c>
      <c r="L1014"/>
      <c r="M1014" t="n">
        <v>1966</v>
      </c>
      <c r="N1014" t="n">
        <v>1990</v>
      </c>
      <c r="O1014" t="s">
        <v>1624</v>
      </c>
      <c r="P1014" t="n">
        <v>6</v>
      </c>
      <c r="Q1014" t="n">
        <v>6</v>
      </c>
      <c r="R1014" t="n">
        <v>4</v>
      </c>
      <c r="S1014" t="n">
        <v>1944</v>
      </c>
      <c r="T1014" t="s">
        <v>1625</v>
      </c>
      <c r="U1014" t="s">
        <v>1626</v>
      </c>
      <c r="V1014" t="s">
        <v>74</v>
      </c>
      <c r="W1014"/>
      <c r="X1014"/>
      <c r="Y1014"/>
      <c r="Z1014"/>
      <c r="AA1014"/>
      <c r="AB1014" t="s">
        <v>1627</v>
      </c>
      <c r="AC1014" t="n">
        <v>120</v>
      </c>
      <c r="AD1014" t="s">
        <v>1591</v>
      </c>
      <c r="AE1014" t="n">
        <v>177</v>
      </c>
      <c r="AF1014" t="s">
        <v>1628</v>
      </c>
      <c r="AG1014" t="n">
        <v>108</v>
      </c>
    </row>
    <row r="1015">
      <c r="A1015" t="s">
        <v>1629</v>
      </c>
      <c r="B1015" t="s">
        <v>31</v>
      </c>
      <c r="C1015" t="s">
        <v>65</v>
      </c>
      <c r="D1015" t="s">
        <v>1630</v>
      </c>
      <c r="E1015" t="s">
        <v>79</v>
      </c>
      <c r="F1015" t="s">
        <v>1274</v>
      </c>
      <c r="G1015" t="s">
        <v>1555</v>
      </c>
      <c r="H1015" t="n">
        <v>39.7499160565486</v>
      </c>
      <c r="I1015" t="n">
        <v>-105.007112158075</v>
      </c>
      <c r="J1015" t="s">
        <v>35</v>
      </c>
      <c r="K1015" t="s">
        <v>89</v>
      </c>
      <c r="L1015"/>
      <c r="M1015" t="n">
        <v>1967</v>
      </c>
      <c r="N1015" t="n">
        <v>1980</v>
      </c>
      <c r="O1015" t="s">
        <v>1631</v>
      </c>
      <c r="P1015" t="n">
        <v>6</v>
      </c>
      <c r="Q1015" t="n">
        <v>2</v>
      </c>
      <c r="R1015" t="n">
        <v>2</v>
      </c>
      <c r="S1015" t="n">
        <v>1869</v>
      </c>
      <c r="T1015" t="s">
        <v>1632</v>
      </c>
      <c r="U1015" t="s">
        <v>1633</v>
      </c>
      <c r="V1015" t="s">
        <v>74</v>
      </c>
      <c r="W1015"/>
      <c r="X1015"/>
      <c r="Y1015"/>
      <c r="Z1015"/>
      <c r="AA1015"/>
      <c r="AB1015" t="s">
        <v>1634</v>
      </c>
      <c r="AC1015" t="n">
        <v>222</v>
      </c>
      <c r="AD1015"/>
      <c r="AE1015"/>
      <c r="AF1015" t="s">
        <v>1635</v>
      </c>
      <c r="AG1015" t="n">
        <v>205</v>
      </c>
    </row>
    <row r="1016">
      <c r="A1016" t="s">
        <v>1636</v>
      </c>
      <c r="B1016" t="s">
        <v>31</v>
      </c>
      <c r="C1016" t="s">
        <v>65</v>
      </c>
      <c r="D1016" t="s">
        <v>1637</v>
      </c>
      <c r="E1016" t="s">
        <v>79</v>
      </c>
      <c r="F1016" t="s">
        <v>1274</v>
      </c>
      <c r="G1016" t="s">
        <v>1638</v>
      </c>
      <c r="H1016" t="n">
        <v>39.7600658214947</v>
      </c>
      <c r="I1016" t="n">
        <v>-105.003789199002</v>
      </c>
      <c r="J1016" t="s">
        <v>35</v>
      </c>
      <c r="K1016" t="s">
        <v>1639</v>
      </c>
      <c r="L1016"/>
      <c r="M1016" t="n">
        <v>1967</v>
      </c>
      <c r="N1016" t="n">
        <v>1980</v>
      </c>
      <c r="O1016" t="s">
        <v>1640</v>
      </c>
      <c r="P1016" t="n">
        <v>4</v>
      </c>
      <c r="Q1016" t="n">
        <v>2</v>
      </c>
      <c r="R1016" t="n">
        <v>2</v>
      </c>
      <c r="S1016" t="n">
        <v>1908</v>
      </c>
      <c r="T1016" t="s">
        <v>1641</v>
      </c>
      <c r="U1016" t="s">
        <v>1642</v>
      </c>
      <c r="V1016" t="s">
        <v>74</v>
      </c>
      <c r="W1016"/>
      <c r="X1016"/>
      <c r="Y1016"/>
      <c r="Z1016"/>
      <c r="AA1016"/>
      <c r="AB1016" t="s">
        <v>1552</v>
      </c>
      <c r="AC1016" t="n">
        <v>173</v>
      </c>
      <c r="AD1016"/>
      <c r="AE1016"/>
      <c r="AF1016" t="s">
        <v>1419</v>
      </c>
      <c r="AG1016" t="n">
        <v>171</v>
      </c>
    </row>
    <row r="1017">
      <c r="A1017" t="s">
        <v>1643</v>
      </c>
      <c r="B1017" t="s">
        <v>31</v>
      </c>
      <c r="C1017" t="s">
        <v>65</v>
      </c>
      <c r="D1017" t="s">
        <v>1644</v>
      </c>
      <c r="E1017" t="s">
        <v>79</v>
      </c>
      <c r="F1017" t="s">
        <v>1274</v>
      </c>
      <c r="G1017" t="s">
        <v>1555</v>
      </c>
      <c r="H1017" t="n">
        <v>39.733677</v>
      </c>
      <c r="I1017" t="n">
        <v>-104.997642183836</v>
      </c>
      <c r="J1017" t="s">
        <v>35</v>
      </c>
      <c r="K1017" t="s">
        <v>89</v>
      </c>
      <c r="L1017"/>
      <c r="M1017" t="n">
        <v>1967</v>
      </c>
      <c r="N1017" t="n">
        <v>1974</v>
      </c>
      <c r="O1017" t="s">
        <v>1645</v>
      </c>
      <c r="P1017" t="n">
        <v>3</v>
      </c>
      <c r="Q1017" t="n">
        <v>2</v>
      </c>
      <c r="R1017" t="n">
        <v>2</v>
      </c>
      <c r="S1017"/>
      <c r="T1017" t="s">
        <v>1646</v>
      </c>
      <c r="U1017" t="s">
        <v>1647</v>
      </c>
      <c r="V1017" t="s">
        <v>74</v>
      </c>
      <c r="W1017"/>
      <c r="X1017"/>
      <c r="Y1017"/>
      <c r="Z1017"/>
      <c r="AA1017"/>
      <c r="AB1017" t="s">
        <v>1648</v>
      </c>
      <c r="AC1017" t="n">
        <v>117</v>
      </c>
      <c r="AD1017" t="s">
        <v>1649</v>
      </c>
      <c r="AE1017" t="n">
        <v>136</v>
      </c>
      <c r="AF1017" t="s">
        <v>1650</v>
      </c>
      <c r="AG1017" t="n">
        <v>104</v>
      </c>
    </row>
    <row r="1018">
      <c r="A1018" t="s">
        <v>1651</v>
      </c>
      <c r="B1018" t="s">
        <v>31</v>
      </c>
      <c r="C1018" t="s">
        <v>65</v>
      </c>
      <c r="D1018" t="s">
        <v>1652</v>
      </c>
      <c r="E1018" t="s">
        <v>79</v>
      </c>
      <c r="F1018" t="s">
        <v>1274</v>
      </c>
      <c r="G1018" t="s">
        <v>1653</v>
      </c>
      <c r="H1018" t="n">
        <v>39.7804773820576</v>
      </c>
      <c r="I1018" t="n">
        <v>-104.934005752285</v>
      </c>
      <c r="J1018" t="s">
        <v>35</v>
      </c>
      <c r="K1018" t="s">
        <v>527</v>
      </c>
      <c r="L1018"/>
      <c r="M1018" t="n">
        <v>1967</v>
      </c>
      <c r="N1018" t="n">
        <v>1990</v>
      </c>
      <c r="O1018" t="s">
        <v>1654</v>
      </c>
      <c r="P1018" t="n">
        <v>6</v>
      </c>
      <c r="Q1018" t="n">
        <v>4</v>
      </c>
      <c r="R1018" t="n">
        <v>3</v>
      </c>
      <c r="S1018" t="n">
        <v>1958</v>
      </c>
      <c r="T1018" t="s">
        <v>1655</v>
      </c>
      <c r="U1018" t="s">
        <v>1656</v>
      </c>
      <c r="V1018" t="s">
        <v>74</v>
      </c>
      <c r="W1018"/>
      <c r="X1018"/>
      <c r="Y1018"/>
      <c r="Z1018"/>
      <c r="AA1018"/>
      <c r="AB1018" t="s">
        <v>1657</v>
      </c>
      <c r="AC1018" t="n">
        <v>232</v>
      </c>
      <c r="AD1018" t="s">
        <v>1658</v>
      </c>
      <c r="AE1018" t="n">
        <v>117</v>
      </c>
      <c r="AF1018" t="s">
        <v>1659</v>
      </c>
      <c r="AG1018" t="n">
        <v>88</v>
      </c>
    </row>
    <row r="1019">
      <c r="A1019" t="s">
        <v>4361</v>
      </c>
      <c r="B1019" t="s">
        <v>31</v>
      </c>
      <c r="C1019" t="s">
        <v>24</v>
      </c>
      <c r="D1019" t="s">
        <v>4362</v>
      </c>
      <c r="E1019" t="s">
        <v>79</v>
      </c>
      <c r="F1019" t="s">
        <v>1274</v>
      </c>
      <c r="G1019" t="s">
        <v>1555</v>
      </c>
      <c r="H1019" t="n">
        <v>39.7307263665073</v>
      </c>
      <c r="I1019" t="n">
        <v>-105.012826624068</v>
      </c>
      <c r="J1019" t="s">
        <v>4109</v>
      </c>
      <c r="K1019" t="s">
        <v>70</v>
      </c>
      <c r="L1019"/>
      <c r="M1019" t="n">
        <v>1967</v>
      </c>
      <c r="N1019" t="n">
        <v>1968</v>
      </c>
      <c r="O1019" t="s">
        <v>106</v>
      </c>
      <c r="P1019" t="n">
        <v>2</v>
      </c>
      <c r="Q1019" t="n">
        <v>1</v>
      </c>
      <c r="R1019" t="n">
        <v>1</v>
      </c>
      <c r="S1019" t="n">
        <v>1962</v>
      </c>
      <c r="T1019" t="s">
        <v>4363</v>
      </c>
      <c r="U1019" t="s">
        <v>4364</v>
      </c>
      <c r="V1019" t="s">
        <v>74</v>
      </c>
      <c r="W1019"/>
      <c r="X1019"/>
      <c r="Y1019"/>
      <c r="Z1019"/>
      <c r="AA1019"/>
      <c r="AB1019" t="s">
        <v>2064</v>
      </c>
      <c r="AC1019" t="n">
        <v>140</v>
      </c>
      <c r="AD1019" t="s">
        <v>4365</v>
      </c>
      <c r="AE1019" t="n">
        <v>238</v>
      </c>
      <c r="AF1019" t="s">
        <v>4366</v>
      </c>
      <c r="AG1019" t="n">
        <v>79</v>
      </c>
    </row>
    <row r="1020">
      <c r="A1020" t="s">
        <v>1660</v>
      </c>
      <c r="B1020" t="s">
        <v>31</v>
      </c>
      <c r="C1020" t="s">
        <v>65</v>
      </c>
      <c r="D1020" t="s">
        <v>1661</v>
      </c>
      <c r="E1020" t="s">
        <v>79</v>
      </c>
      <c r="F1020" t="s">
        <v>1274</v>
      </c>
      <c r="G1020" t="s">
        <v>1516</v>
      </c>
      <c r="H1020" t="n">
        <v>39.669486</v>
      </c>
      <c r="I1020" t="n">
        <v>-104.989971</v>
      </c>
      <c r="J1020" t="s">
        <v>35</v>
      </c>
      <c r="K1020" t="s">
        <v>141</v>
      </c>
      <c r="L1020"/>
      <c r="M1020" t="n">
        <v>1967</v>
      </c>
      <c r="N1020" t="n">
        <v>1967</v>
      </c>
      <c r="O1020" t="s">
        <v>388</v>
      </c>
      <c r="P1020" t="n">
        <v>1</v>
      </c>
      <c r="Q1020" t="n">
        <v>1</v>
      </c>
      <c r="R1020" t="n">
        <v>1</v>
      </c>
      <c r="S1020" t="n">
        <v>1956</v>
      </c>
      <c r="T1020" t="s">
        <v>1662</v>
      </c>
      <c r="U1020" t="s">
        <v>1663</v>
      </c>
      <c r="V1020" t="s">
        <v>74</v>
      </c>
      <c r="W1020"/>
      <c r="X1020"/>
      <c r="Y1020"/>
      <c r="Z1020"/>
      <c r="AA1020"/>
      <c r="AB1020"/>
      <c r="AC1020"/>
      <c r="AD1020" t="s">
        <v>1664</v>
      </c>
      <c r="AE1020" t="n">
        <v>246</v>
      </c>
      <c r="AF1020" t="s">
        <v>1665</v>
      </c>
      <c r="AG1020" t="n">
        <v>170</v>
      </c>
    </row>
    <row r="1021">
      <c r="A1021" t="s">
        <v>1666</v>
      </c>
      <c r="B1021" t="s">
        <v>31</v>
      </c>
      <c r="C1021" t="s">
        <v>65</v>
      </c>
      <c r="D1021" t="s">
        <v>1667</v>
      </c>
      <c r="E1021" t="s">
        <v>79</v>
      </c>
      <c r="F1021" t="s">
        <v>1274</v>
      </c>
      <c r="G1021" t="s">
        <v>1574</v>
      </c>
      <c r="H1021" t="n">
        <v>39.755233</v>
      </c>
      <c r="I1021" t="n">
        <v>-104.993136</v>
      </c>
      <c r="J1021" t="s">
        <v>35</v>
      </c>
      <c r="K1021" t="s">
        <v>120</v>
      </c>
      <c r="L1021"/>
      <c r="M1021" t="n">
        <v>1967</v>
      </c>
      <c r="N1021" t="n">
        <v>1988</v>
      </c>
      <c r="O1021" t="s">
        <v>1668</v>
      </c>
      <c r="P1021" t="n">
        <v>6</v>
      </c>
      <c r="Q1021" t="n">
        <v>4</v>
      </c>
      <c r="R1021" t="n">
        <v>2</v>
      </c>
      <c r="S1021" t="n">
        <v>1955</v>
      </c>
      <c r="T1021" t="s">
        <v>1669</v>
      </c>
      <c r="U1021" t="s">
        <v>1670</v>
      </c>
      <c r="V1021" t="s">
        <v>74</v>
      </c>
      <c r="W1021"/>
      <c r="X1021"/>
      <c r="Y1021"/>
      <c r="Z1021"/>
      <c r="AA1021"/>
      <c r="AB1021" t="s">
        <v>1671</v>
      </c>
      <c r="AC1021" t="n">
        <v>117</v>
      </c>
      <c r="AD1021"/>
      <c r="AE1021"/>
      <c r="AF1021" t="s">
        <v>1672</v>
      </c>
      <c r="AG1021" t="n">
        <v>56</v>
      </c>
    </row>
    <row r="1022">
      <c r="A1022" t="s">
        <v>1673</v>
      </c>
      <c r="B1022" t="s">
        <v>31</v>
      </c>
      <c r="C1022" t="s">
        <v>65</v>
      </c>
      <c r="D1022" t="s">
        <v>1674</v>
      </c>
      <c r="E1022" t="s">
        <v>79</v>
      </c>
      <c r="F1022" t="s">
        <v>1274</v>
      </c>
      <c r="G1022" t="s">
        <v>1440</v>
      </c>
      <c r="H1022" t="n">
        <v>39.756144</v>
      </c>
      <c r="I1022" t="n">
        <v>-105.014881</v>
      </c>
      <c r="J1022" t="s">
        <v>35</v>
      </c>
      <c r="K1022" t="s">
        <v>133</v>
      </c>
      <c r="L1022"/>
      <c r="M1022" t="n">
        <v>1967</v>
      </c>
      <c r="N1022" t="n">
        <v>1967</v>
      </c>
      <c r="O1022" t="s">
        <v>388</v>
      </c>
      <c r="P1022" t="n">
        <v>1</v>
      </c>
      <c r="Q1022" t="n">
        <v>1</v>
      </c>
      <c r="R1022" t="n">
        <v>1</v>
      </c>
      <c r="S1022" t="n">
        <v>1947</v>
      </c>
      <c r="T1022" t="s">
        <v>1675</v>
      </c>
      <c r="U1022" t="s">
        <v>1676</v>
      </c>
      <c r="V1022" t="s">
        <v>74</v>
      </c>
      <c r="W1022"/>
      <c r="X1022"/>
      <c r="Y1022"/>
      <c r="Z1022"/>
      <c r="AA1022"/>
      <c r="AB1022"/>
      <c r="AC1022"/>
      <c r="AD1022"/>
      <c r="AE1022"/>
      <c r="AF1022" t="s">
        <v>1677</v>
      </c>
      <c r="AG1022" t="n">
        <v>203</v>
      </c>
    </row>
    <row r="1023">
      <c r="A1023" t="s">
        <v>4367</v>
      </c>
      <c r="B1023" t="s">
        <v>31</v>
      </c>
      <c r="C1023" t="s">
        <v>24</v>
      </c>
      <c r="D1023" t="s">
        <v>4368</v>
      </c>
      <c r="E1023" t="s">
        <v>79</v>
      </c>
      <c r="F1023" t="s">
        <v>1274</v>
      </c>
      <c r="G1023" t="s">
        <v>1574</v>
      </c>
      <c r="H1023" t="n">
        <v>39.7438740903291</v>
      </c>
      <c r="I1023" t="n">
        <v>-105.007159516328</v>
      </c>
      <c r="J1023" t="s">
        <v>4109</v>
      </c>
      <c r="K1023" t="s">
        <v>1041</v>
      </c>
      <c r="L1023"/>
      <c r="M1023" t="n">
        <v>1967</v>
      </c>
      <c r="N1023" t="n">
        <v>1988</v>
      </c>
      <c r="O1023" t="s">
        <v>388</v>
      </c>
      <c r="P1023" t="n">
        <v>2</v>
      </c>
      <c r="Q1023" t="n">
        <v>3</v>
      </c>
      <c r="R1023" t="n">
        <v>1</v>
      </c>
      <c r="S1023" t="n">
        <v>1969</v>
      </c>
      <c r="T1023" t="s">
        <v>4369</v>
      </c>
      <c r="U1023" t="s">
        <v>4370</v>
      </c>
      <c r="V1023" t="s">
        <v>74</v>
      </c>
      <c r="W1023"/>
      <c r="X1023"/>
      <c r="Y1023"/>
      <c r="Z1023"/>
      <c r="AA1023"/>
      <c r="AB1023"/>
      <c r="AC1023"/>
      <c r="AD1023"/>
      <c r="AE1023"/>
      <c r="AF1023" t="s">
        <v>4371</v>
      </c>
      <c r="AG1023" t="n">
        <v>119</v>
      </c>
    </row>
    <row r="1024">
      <c r="A1024" t="s">
        <v>4372</v>
      </c>
      <c r="B1024" t="s">
        <v>31</v>
      </c>
      <c r="C1024" t="s">
        <v>24</v>
      </c>
      <c r="D1024" t="s">
        <v>4373</v>
      </c>
      <c r="E1024" t="s">
        <v>79</v>
      </c>
      <c r="F1024" t="s">
        <v>1274</v>
      </c>
      <c r="G1024" t="s">
        <v>1555</v>
      </c>
      <c r="H1024" t="n">
        <v>39.7334635714286</v>
      </c>
      <c r="I1024" t="n">
        <v>-105.001579</v>
      </c>
      <c r="J1024" t="s">
        <v>4109</v>
      </c>
      <c r="K1024" t="s">
        <v>133</v>
      </c>
      <c r="L1024"/>
      <c r="M1024" t="n">
        <v>1967</v>
      </c>
      <c r="N1024" t="n">
        <v>1973</v>
      </c>
      <c r="O1024" t="s">
        <v>121</v>
      </c>
      <c r="P1024" t="n">
        <v>2</v>
      </c>
      <c r="Q1024" t="n">
        <v>2</v>
      </c>
      <c r="R1024" t="n">
        <v>1</v>
      </c>
      <c r="S1024" t="n">
        <v>1971</v>
      </c>
      <c r="T1024" t="s">
        <v>4374</v>
      </c>
      <c r="U1024" t="s">
        <v>4375</v>
      </c>
      <c r="V1024" t="s">
        <v>74</v>
      </c>
      <c r="W1024"/>
      <c r="X1024"/>
      <c r="Y1024"/>
      <c r="Z1024"/>
      <c r="AA1024"/>
      <c r="AB1024"/>
      <c r="AC1024"/>
      <c r="AD1024"/>
      <c r="AE1024"/>
      <c r="AF1024" t="s">
        <v>4376</v>
      </c>
      <c r="AG1024" t="n">
        <v>113</v>
      </c>
    </row>
    <row r="1025">
      <c r="A1025" t="s">
        <v>1678</v>
      </c>
      <c r="B1025" t="s">
        <v>31</v>
      </c>
      <c r="C1025" t="s">
        <v>65</v>
      </c>
      <c r="D1025" t="s">
        <v>1679</v>
      </c>
      <c r="E1025" t="s">
        <v>79</v>
      </c>
      <c r="F1025" t="s">
        <v>1274</v>
      </c>
      <c r="G1025" t="s">
        <v>1569</v>
      </c>
      <c r="H1025" t="n">
        <v>39.6611329753243</v>
      </c>
      <c r="I1025" t="n">
        <v>-105.018000496633</v>
      </c>
      <c r="J1025" t="s">
        <v>35</v>
      </c>
      <c r="K1025" t="s">
        <v>315</v>
      </c>
      <c r="L1025"/>
      <c r="M1025" t="n">
        <v>1967</v>
      </c>
      <c r="N1025" t="n">
        <v>1970</v>
      </c>
      <c r="O1025" t="s">
        <v>1349</v>
      </c>
      <c r="P1025" t="n">
        <v>3</v>
      </c>
      <c r="Q1025" t="n">
        <v>1</v>
      </c>
      <c r="R1025" t="n">
        <v>1</v>
      </c>
      <c r="S1025" t="n">
        <v>1950</v>
      </c>
      <c r="T1025" t="s">
        <v>1680</v>
      </c>
      <c r="U1025" t="s">
        <v>1681</v>
      </c>
      <c r="V1025" t="s">
        <v>74</v>
      </c>
      <c r="W1025"/>
      <c r="X1025"/>
      <c r="Y1025"/>
      <c r="Z1025"/>
      <c r="AA1025"/>
      <c r="AB1025"/>
      <c r="AC1025"/>
      <c r="AD1025"/>
      <c r="AE1025"/>
      <c r="AF1025" t="s">
        <v>1682</v>
      </c>
      <c r="AG1025" t="n">
        <v>201</v>
      </c>
    </row>
    <row r="1026">
      <c r="A1026" t="s">
        <v>1683</v>
      </c>
      <c r="B1026" t="s">
        <v>31</v>
      </c>
      <c r="C1026" t="s">
        <v>65</v>
      </c>
      <c r="D1026" t="s">
        <v>1684</v>
      </c>
      <c r="E1026" t="s">
        <v>79</v>
      </c>
      <c r="F1026" t="s">
        <v>1274</v>
      </c>
      <c r="G1026" t="s">
        <v>1516</v>
      </c>
      <c r="H1026" t="n">
        <v>39.715573428334</v>
      </c>
      <c r="I1026" t="n">
        <v>-104.992169</v>
      </c>
      <c r="J1026" t="s">
        <v>35</v>
      </c>
      <c r="K1026" t="s">
        <v>70</v>
      </c>
      <c r="L1026"/>
      <c r="M1026" t="n">
        <v>1967</v>
      </c>
      <c r="N1026" t="n">
        <v>1967</v>
      </c>
      <c r="O1026" t="s">
        <v>388</v>
      </c>
      <c r="P1026" t="n">
        <v>1</v>
      </c>
      <c r="Q1026" t="n">
        <v>1</v>
      </c>
      <c r="R1026" t="n">
        <v>1</v>
      </c>
      <c r="S1026" t="n">
        <v>1947</v>
      </c>
      <c r="T1026" t="s">
        <v>1685</v>
      </c>
      <c r="U1026" t="s">
        <v>1686</v>
      </c>
      <c r="V1026" t="s">
        <v>74</v>
      </c>
      <c r="W1026"/>
      <c r="X1026"/>
      <c r="Y1026"/>
      <c r="Z1026"/>
      <c r="AA1026"/>
      <c r="AB1026" t="s">
        <v>1687</v>
      </c>
      <c r="AC1026" t="n">
        <v>113</v>
      </c>
      <c r="AD1026"/>
      <c r="AE1026"/>
      <c r="AF1026" t="s">
        <v>1688</v>
      </c>
      <c r="AG1026" t="n">
        <v>146</v>
      </c>
    </row>
    <row r="1027">
      <c r="A1027" t="s">
        <v>1689</v>
      </c>
      <c r="B1027" t="s">
        <v>31</v>
      </c>
      <c r="C1027" t="s">
        <v>65</v>
      </c>
      <c r="D1027" t="s">
        <v>1690</v>
      </c>
      <c r="E1027" t="s">
        <v>79</v>
      </c>
      <c r="F1027" t="s">
        <v>1274</v>
      </c>
      <c r="G1027" t="s">
        <v>1691</v>
      </c>
      <c r="H1027" t="n">
        <v>39.709453100893</v>
      </c>
      <c r="I1027" t="n">
        <v>-104.921130859552</v>
      </c>
      <c r="J1027" t="s">
        <v>35</v>
      </c>
      <c r="K1027" t="s">
        <v>527</v>
      </c>
      <c r="L1027"/>
      <c r="M1027" t="n">
        <v>1968</v>
      </c>
      <c r="N1027" t="n">
        <v>1974</v>
      </c>
      <c r="O1027" t="s">
        <v>127</v>
      </c>
      <c r="P1027" t="n">
        <v>3</v>
      </c>
      <c r="Q1027" t="n">
        <v>1</v>
      </c>
      <c r="R1027" t="n">
        <v>1</v>
      </c>
      <c r="S1027" t="n">
        <v>1957</v>
      </c>
      <c r="T1027" t="s">
        <v>1692</v>
      </c>
      <c r="U1027" t="s">
        <v>1693</v>
      </c>
      <c r="V1027" t="s">
        <v>74</v>
      </c>
      <c r="W1027"/>
      <c r="X1027"/>
      <c r="Y1027"/>
      <c r="Z1027"/>
      <c r="AA1027"/>
      <c r="AB1027"/>
      <c r="AC1027"/>
      <c r="AD1027"/>
      <c r="AE1027"/>
      <c r="AF1027" t="s">
        <v>1694</v>
      </c>
      <c r="AG1027" t="n">
        <v>151</v>
      </c>
    </row>
    <row r="1028">
      <c r="A1028" t="s">
        <v>1695</v>
      </c>
      <c r="B1028" t="s">
        <v>31</v>
      </c>
      <c r="C1028" t="s">
        <v>65</v>
      </c>
      <c r="D1028" t="s">
        <v>1696</v>
      </c>
      <c r="E1028" t="s">
        <v>79</v>
      </c>
      <c r="F1028" t="s">
        <v>1274</v>
      </c>
      <c r="G1028" t="s">
        <v>1691</v>
      </c>
      <c r="H1028" t="n">
        <v>39.6784527964894</v>
      </c>
      <c r="I1028" t="n">
        <v>-104.936304817349</v>
      </c>
      <c r="J1028" t="s">
        <v>35</v>
      </c>
      <c r="K1028" t="s">
        <v>70</v>
      </c>
      <c r="L1028"/>
      <c r="M1028" t="n">
        <v>1968</v>
      </c>
      <c r="N1028" t="n">
        <v>1973</v>
      </c>
      <c r="O1028" t="s">
        <v>1349</v>
      </c>
      <c r="P1028" t="n">
        <v>2</v>
      </c>
      <c r="Q1028" t="n">
        <v>2</v>
      </c>
      <c r="R1028" t="n">
        <v>1</v>
      </c>
      <c r="S1028" t="n">
        <v>1950</v>
      </c>
      <c r="T1028" t="s">
        <v>1697</v>
      </c>
      <c r="U1028" t="s">
        <v>1698</v>
      </c>
      <c r="V1028" t="s">
        <v>74</v>
      </c>
      <c r="W1028"/>
      <c r="X1028"/>
      <c r="Y1028"/>
      <c r="Z1028"/>
      <c r="AA1028"/>
      <c r="AB1028"/>
      <c r="AC1028"/>
      <c r="AD1028"/>
      <c r="AE1028"/>
      <c r="AF1028" t="s">
        <v>1699</v>
      </c>
      <c r="AG1028" t="n">
        <v>48</v>
      </c>
    </row>
    <row r="1029">
      <c r="A1029" t="s">
        <v>4377</v>
      </c>
      <c r="B1029" t="s">
        <v>31</v>
      </c>
      <c r="C1029" t="s">
        <v>24</v>
      </c>
      <c r="D1029" t="s">
        <v>4378</v>
      </c>
      <c r="E1029" t="s">
        <v>79</v>
      </c>
      <c r="F1029" t="s">
        <v>1274</v>
      </c>
      <c r="G1029" t="s">
        <v>1574</v>
      </c>
      <c r="H1029" t="n">
        <v>39.7544465215441</v>
      </c>
      <c r="I1029" t="n">
        <v>-104.988906886788</v>
      </c>
      <c r="J1029" t="s">
        <v>35</v>
      </c>
      <c r="K1029" t="s">
        <v>133</v>
      </c>
      <c r="L1029"/>
      <c r="M1029" t="n">
        <v>1968</v>
      </c>
      <c r="N1029" t="n">
        <v>1974</v>
      </c>
      <c r="O1029" t="s">
        <v>121</v>
      </c>
      <c r="P1029" t="n">
        <v>4</v>
      </c>
      <c r="Q1029" t="n">
        <v>3</v>
      </c>
      <c r="R1029" t="n">
        <v>1</v>
      </c>
      <c r="S1029" t="n">
        <v>1950</v>
      </c>
      <c r="T1029" t="s">
        <v>4379</v>
      </c>
      <c r="U1029" t="s">
        <v>4380</v>
      </c>
      <c r="V1029" t="s">
        <v>4175</v>
      </c>
      <c r="W1029"/>
      <c r="X1029"/>
      <c r="Y1029"/>
      <c r="Z1029"/>
      <c r="AA1029"/>
      <c r="AB1029" t="s">
        <v>1292</v>
      </c>
      <c r="AC1029" t="n">
        <v>102</v>
      </c>
      <c r="AD1029"/>
      <c r="AE1029"/>
      <c r="AF1029" t="s">
        <v>1293</v>
      </c>
      <c r="AG1029" t="n">
        <v>108</v>
      </c>
    </row>
    <row r="1030">
      <c r="A1030" t="s">
        <v>1700</v>
      </c>
      <c r="B1030" t="s">
        <v>31</v>
      </c>
      <c r="C1030" t="s">
        <v>65</v>
      </c>
      <c r="D1030" t="s">
        <v>1701</v>
      </c>
      <c r="E1030" t="s">
        <v>79</v>
      </c>
      <c r="F1030" t="s">
        <v>1274</v>
      </c>
      <c r="G1030" t="s">
        <v>1702</v>
      </c>
      <c r="H1030" t="n">
        <v>39.7822049294657</v>
      </c>
      <c r="I1030" t="n">
        <v>-104.86328174929</v>
      </c>
      <c r="J1030" t="s">
        <v>35</v>
      </c>
      <c r="K1030" t="s">
        <v>126</v>
      </c>
      <c r="L1030"/>
      <c r="M1030" t="n">
        <v>1968</v>
      </c>
      <c r="N1030" t="n">
        <v>1983</v>
      </c>
      <c r="O1030" t="s">
        <v>1703</v>
      </c>
      <c r="P1030" t="n">
        <v>4</v>
      </c>
      <c r="Q1030" t="n">
        <v>3</v>
      </c>
      <c r="R1030" t="n">
        <v>3</v>
      </c>
      <c r="S1030" t="n">
        <v>1959</v>
      </c>
      <c r="T1030" t="s">
        <v>1704</v>
      </c>
      <c r="U1030" t="s">
        <v>1705</v>
      </c>
      <c r="V1030" t="s">
        <v>74</v>
      </c>
      <c r="W1030"/>
      <c r="X1030"/>
      <c r="Y1030"/>
      <c r="Z1030"/>
      <c r="AA1030"/>
      <c r="AB1030"/>
      <c r="AC1030"/>
      <c r="AD1030"/>
      <c r="AE1030"/>
      <c r="AF1030" t="s">
        <v>1706</v>
      </c>
      <c r="AG1030" t="n">
        <v>88</v>
      </c>
    </row>
    <row r="1031">
      <c r="A1031" t="s">
        <v>4381</v>
      </c>
      <c r="B1031" t="s">
        <v>31</v>
      </c>
      <c r="C1031" t="s">
        <v>24</v>
      </c>
      <c r="D1031" t="s">
        <v>4382</v>
      </c>
      <c r="E1031" t="s">
        <v>79</v>
      </c>
      <c r="F1031" t="s">
        <v>1274</v>
      </c>
      <c r="G1031" t="s">
        <v>1612</v>
      </c>
      <c r="H1031" t="n">
        <v>39.7178303073492</v>
      </c>
      <c r="I1031" t="n">
        <v>-105.036107970164</v>
      </c>
      <c r="J1031" t="s">
        <v>4109</v>
      </c>
      <c r="K1031" t="s">
        <v>120</v>
      </c>
      <c r="L1031"/>
      <c r="M1031" t="n">
        <v>1968</v>
      </c>
      <c r="N1031" t="n">
        <v>1970</v>
      </c>
      <c r="O1031" t="s">
        <v>1587</v>
      </c>
      <c r="P1031" t="n">
        <v>2</v>
      </c>
      <c r="Q1031" t="n">
        <v>1</v>
      </c>
      <c r="R1031" t="n">
        <v>1</v>
      </c>
      <c r="S1031" t="n">
        <v>1960</v>
      </c>
      <c r="T1031" t="s">
        <v>4383</v>
      </c>
      <c r="U1031" t="s">
        <v>4384</v>
      </c>
      <c r="V1031" t="s">
        <v>74</v>
      </c>
      <c r="W1031"/>
      <c r="X1031"/>
      <c r="Y1031"/>
      <c r="Z1031"/>
      <c r="AA1031"/>
      <c r="AB1031" t="s">
        <v>4385</v>
      </c>
      <c r="AC1031" t="n">
        <v>209</v>
      </c>
      <c r="AD1031"/>
      <c r="AE1031"/>
      <c r="AF1031" t="s">
        <v>4386</v>
      </c>
      <c r="AG1031" t="n">
        <v>66</v>
      </c>
    </row>
    <row r="1032">
      <c r="A1032" t="s">
        <v>4387</v>
      </c>
      <c r="B1032" t="s">
        <v>31</v>
      </c>
      <c r="C1032" t="s">
        <v>24</v>
      </c>
      <c r="D1032" t="s">
        <v>4388</v>
      </c>
      <c r="E1032" t="s">
        <v>79</v>
      </c>
      <c r="F1032" t="s">
        <v>1274</v>
      </c>
      <c r="G1032"/>
      <c r="H1032" t="n">
        <v>39.745654</v>
      </c>
      <c r="I1032" t="n">
        <v>-105.006940060606</v>
      </c>
      <c r="J1032" t="s">
        <v>4109</v>
      </c>
      <c r="K1032" t="s">
        <v>270</v>
      </c>
      <c r="L1032"/>
      <c r="M1032" t="n">
        <v>1968</v>
      </c>
      <c r="N1032" t="n">
        <v>1980</v>
      </c>
      <c r="O1032" t="s">
        <v>4389</v>
      </c>
      <c r="P1032" t="n">
        <v>4</v>
      </c>
      <c r="Q1032" t="n">
        <v>5</v>
      </c>
      <c r="R1032" t="n">
        <v>3</v>
      </c>
      <c r="S1032" t="n">
        <v>1933</v>
      </c>
      <c r="T1032" t="s">
        <v>4390</v>
      </c>
      <c r="U1032" t="s">
        <v>4391</v>
      </c>
      <c r="V1032" t="s">
        <v>74</v>
      </c>
      <c r="W1032"/>
      <c r="X1032"/>
      <c r="Y1032"/>
      <c r="Z1032"/>
      <c r="AA1032"/>
      <c r="AB1032" t="s">
        <v>4392</v>
      </c>
      <c r="AC1032" t="n">
        <v>105</v>
      </c>
      <c r="AD1032"/>
      <c r="AE1032"/>
      <c r="AF1032" t="s">
        <v>4393</v>
      </c>
      <c r="AG1032" t="n">
        <v>91</v>
      </c>
    </row>
    <row r="1033">
      <c r="A1033" t="s">
        <v>1707</v>
      </c>
      <c r="B1033" t="s">
        <v>31</v>
      </c>
      <c r="C1033" t="s">
        <v>65</v>
      </c>
      <c r="D1033" t="s">
        <v>1708</v>
      </c>
      <c r="E1033" t="s">
        <v>79</v>
      </c>
      <c r="F1033" t="s">
        <v>1274</v>
      </c>
      <c r="G1033" t="s">
        <v>1574</v>
      </c>
      <c r="H1033" t="n">
        <v>39.7633128214084</v>
      </c>
      <c r="I1033" t="n">
        <v>-104.97917220886</v>
      </c>
      <c r="J1033" t="s">
        <v>35</v>
      </c>
      <c r="K1033" t="s">
        <v>89</v>
      </c>
      <c r="L1033"/>
      <c r="M1033" t="n">
        <v>1968</v>
      </c>
      <c r="N1033" t="n">
        <v>1990</v>
      </c>
      <c r="O1033" t="s">
        <v>1349</v>
      </c>
      <c r="P1033" t="n">
        <v>4</v>
      </c>
      <c r="Q1033" t="n">
        <v>3</v>
      </c>
      <c r="R1033" t="n">
        <v>1</v>
      </c>
      <c r="S1033" t="n">
        <v>1940</v>
      </c>
      <c r="T1033" t="s">
        <v>1709</v>
      </c>
      <c r="U1033" t="s">
        <v>1710</v>
      </c>
      <c r="V1033" t="s">
        <v>74</v>
      </c>
      <c r="W1033"/>
      <c r="X1033"/>
      <c r="Y1033"/>
      <c r="Z1033"/>
      <c r="AA1033"/>
      <c r="AB1033" t="s">
        <v>1711</v>
      </c>
      <c r="AC1033" t="n">
        <v>143</v>
      </c>
      <c r="AD1033" t="s">
        <v>1712</v>
      </c>
      <c r="AE1033" t="n">
        <v>155</v>
      </c>
      <c r="AF1033" t="s">
        <v>1713</v>
      </c>
      <c r="AG1033" t="n">
        <v>120</v>
      </c>
    </row>
    <row r="1034">
      <c r="A1034" t="s">
        <v>1714</v>
      </c>
      <c r="B1034" t="s">
        <v>31</v>
      </c>
      <c r="C1034" t="s">
        <v>65</v>
      </c>
      <c r="D1034" t="s">
        <v>1715</v>
      </c>
      <c r="E1034" t="s">
        <v>79</v>
      </c>
      <c r="F1034" t="s">
        <v>1274</v>
      </c>
      <c r="G1034" t="s">
        <v>1653</v>
      </c>
      <c r="H1034" t="n">
        <v>39.774478</v>
      </c>
      <c r="I1034" t="n">
        <v>-104.917609</v>
      </c>
      <c r="J1034" t="s">
        <v>35</v>
      </c>
      <c r="K1034" t="s">
        <v>141</v>
      </c>
      <c r="L1034"/>
      <c r="M1034" t="n">
        <v>1968</v>
      </c>
      <c r="N1034" t="n">
        <v>1990</v>
      </c>
      <c r="O1034" t="s">
        <v>1716</v>
      </c>
      <c r="P1034" t="n">
        <v>8</v>
      </c>
      <c r="Q1034" t="n">
        <v>6</v>
      </c>
      <c r="R1034" t="n">
        <v>3</v>
      </c>
      <c r="S1034" t="n">
        <v>1930</v>
      </c>
      <c r="T1034" t="s">
        <v>1717</v>
      </c>
      <c r="U1034" t="s">
        <v>1718</v>
      </c>
      <c r="V1034" t="s">
        <v>74</v>
      </c>
      <c r="W1034"/>
      <c r="X1034"/>
      <c r="Y1034"/>
      <c r="Z1034"/>
      <c r="AA1034"/>
      <c r="AB1034"/>
      <c r="AC1034"/>
      <c r="AD1034"/>
      <c r="AE1034"/>
      <c r="AF1034" t="s">
        <v>1719</v>
      </c>
      <c r="AG1034" t="n">
        <v>132</v>
      </c>
    </row>
    <row r="1035">
      <c r="A1035" t="s">
        <v>1720</v>
      </c>
      <c r="B1035" t="s">
        <v>31</v>
      </c>
      <c r="C1035" t="s">
        <v>65</v>
      </c>
      <c r="D1035" t="s">
        <v>1721</v>
      </c>
      <c r="E1035" t="s">
        <v>79</v>
      </c>
      <c r="F1035" t="s">
        <v>1274</v>
      </c>
      <c r="G1035" t="s">
        <v>1691</v>
      </c>
      <c r="H1035" t="n">
        <v>39.6852039591837</v>
      </c>
      <c r="I1035" t="n">
        <v>-104.884097877551</v>
      </c>
      <c r="J1035" t="s">
        <v>35</v>
      </c>
      <c r="K1035" t="s">
        <v>141</v>
      </c>
      <c r="L1035"/>
      <c r="M1035" t="n">
        <v>1968</v>
      </c>
      <c r="N1035" t="n">
        <v>1970</v>
      </c>
      <c r="O1035" t="s">
        <v>1587</v>
      </c>
      <c r="P1035" t="n">
        <v>2</v>
      </c>
      <c r="Q1035" t="n">
        <v>2</v>
      </c>
      <c r="R1035" t="n">
        <v>2</v>
      </c>
      <c r="S1035" t="n">
        <v>1964</v>
      </c>
      <c r="T1035" t="s">
        <v>1722</v>
      </c>
      <c r="U1035" t="s">
        <v>1723</v>
      </c>
      <c r="V1035" t="s">
        <v>74</v>
      </c>
      <c r="W1035"/>
      <c r="X1035"/>
      <c r="Y1035"/>
      <c r="Z1035"/>
      <c r="AA1035"/>
      <c r="AB1035"/>
      <c r="AC1035"/>
      <c r="AD1035"/>
      <c r="AE1035"/>
      <c r="AF1035"/>
      <c r="AG1035"/>
    </row>
    <row r="1036">
      <c r="A1036" t="s">
        <v>1724</v>
      </c>
      <c r="B1036" t="s">
        <v>31</v>
      </c>
      <c r="C1036" t="s">
        <v>65</v>
      </c>
      <c r="D1036" t="s">
        <v>1725</v>
      </c>
      <c r="E1036" t="s">
        <v>79</v>
      </c>
      <c r="F1036" t="s">
        <v>1274</v>
      </c>
      <c r="G1036" t="s">
        <v>1653</v>
      </c>
      <c r="H1036" t="n">
        <v>39.7786848587312</v>
      </c>
      <c r="I1036" t="n">
        <v>-104.921791773156</v>
      </c>
      <c r="J1036" t="s">
        <v>35</v>
      </c>
      <c r="K1036" t="s">
        <v>120</v>
      </c>
      <c r="L1036"/>
      <c r="M1036" t="n">
        <v>1968</v>
      </c>
      <c r="N1036" t="n">
        <v>1983</v>
      </c>
      <c r="O1036" t="s">
        <v>1726</v>
      </c>
      <c r="P1036" t="n">
        <v>5</v>
      </c>
      <c r="Q1036" t="n">
        <v>1</v>
      </c>
      <c r="R1036" t="n">
        <v>1</v>
      </c>
      <c r="S1036" t="n">
        <v>1967</v>
      </c>
      <c r="T1036" t="s">
        <v>1727</v>
      </c>
      <c r="U1036" t="s">
        <v>1728</v>
      </c>
      <c r="V1036" t="s">
        <v>74</v>
      </c>
      <c r="W1036"/>
      <c r="X1036"/>
      <c r="Y1036"/>
      <c r="Z1036"/>
      <c r="AA1036"/>
      <c r="AB1036" t="s">
        <v>1729</v>
      </c>
      <c r="AC1036" t="n">
        <v>144</v>
      </c>
      <c r="AD1036" t="s">
        <v>1730</v>
      </c>
      <c r="AE1036" t="n">
        <v>164</v>
      </c>
      <c r="AF1036" t="s">
        <v>1731</v>
      </c>
      <c r="AG1036" t="n">
        <v>48</v>
      </c>
    </row>
    <row r="1037">
      <c r="A1037" t="s">
        <v>1732</v>
      </c>
      <c r="B1037" t="s">
        <v>31</v>
      </c>
      <c r="C1037" t="s">
        <v>65</v>
      </c>
      <c r="D1037" t="s">
        <v>1733</v>
      </c>
      <c r="E1037" t="s">
        <v>79</v>
      </c>
      <c r="F1037" t="s">
        <v>1274</v>
      </c>
      <c r="G1037" t="s">
        <v>1516</v>
      </c>
      <c r="H1037" t="n">
        <v>39.720926</v>
      </c>
      <c r="I1037" t="n">
        <v>-105.000522</v>
      </c>
      <c r="J1037" t="s">
        <v>35</v>
      </c>
      <c r="K1037" t="s">
        <v>120</v>
      </c>
      <c r="L1037"/>
      <c r="M1037" t="n">
        <v>1968</v>
      </c>
      <c r="N1037" t="n">
        <v>1968</v>
      </c>
      <c r="O1037" t="s">
        <v>1349</v>
      </c>
      <c r="P1037" t="n">
        <v>1</v>
      </c>
      <c r="Q1037" t="n">
        <v>1</v>
      </c>
      <c r="R1037" t="n">
        <v>1</v>
      </c>
      <c r="S1037" t="n">
        <v>1929</v>
      </c>
      <c r="T1037" t="s">
        <v>1734</v>
      </c>
      <c r="U1037" t="s">
        <v>1735</v>
      </c>
      <c r="V1037" t="s">
        <v>74</v>
      </c>
      <c r="W1037"/>
      <c r="X1037"/>
      <c r="Y1037"/>
      <c r="Z1037"/>
      <c r="AA1037"/>
      <c r="AB1037" t="s">
        <v>1736</v>
      </c>
      <c r="AC1037" t="n">
        <v>179</v>
      </c>
      <c r="AD1037"/>
      <c r="AE1037"/>
      <c r="AF1037" t="s">
        <v>1737</v>
      </c>
      <c r="AG1037" t="n">
        <v>64</v>
      </c>
    </row>
    <row r="1038">
      <c r="A1038" t="s">
        <v>4394</v>
      </c>
      <c r="B1038" t="s">
        <v>31</v>
      </c>
      <c r="C1038" t="s">
        <v>24</v>
      </c>
      <c r="D1038" t="s">
        <v>4395</v>
      </c>
      <c r="E1038" t="s">
        <v>79</v>
      </c>
      <c r="F1038" t="s">
        <v>1274</v>
      </c>
      <c r="G1038" t="s">
        <v>1911</v>
      </c>
      <c r="H1038" t="n">
        <v>39.7381437341891</v>
      </c>
      <c r="I1038" t="n">
        <v>-104.9104986246</v>
      </c>
      <c r="J1038" t="s">
        <v>4109</v>
      </c>
      <c r="K1038" t="s">
        <v>89</v>
      </c>
      <c r="L1038"/>
      <c r="M1038" t="n">
        <v>1968</v>
      </c>
      <c r="N1038" t="n">
        <v>1970</v>
      </c>
      <c r="O1038" t="s">
        <v>1587</v>
      </c>
      <c r="P1038" t="n">
        <v>2</v>
      </c>
      <c r="Q1038" t="n">
        <v>1</v>
      </c>
      <c r="R1038" t="n">
        <v>1</v>
      </c>
      <c r="S1038" t="n">
        <v>1965</v>
      </c>
      <c r="T1038" t="s">
        <v>4396</v>
      </c>
      <c r="U1038" t="s">
        <v>4397</v>
      </c>
      <c r="V1038" t="s">
        <v>74</v>
      </c>
      <c r="W1038"/>
      <c r="X1038"/>
      <c r="Y1038"/>
      <c r="Z1038"/>
      <c r="AA1038"/>
      <c r="AB1038" t="s">
        <v>4398</v>
      </c>
      <c r="AC1038" t="n">
        <v>218</v>
      </c>
      <c r="AD1038"/>
      <c r="AE1038"/>
      <c r="AF1038" t="s">
        <v>4399</v>
      </c>
      <c r="AG1038" t="n">
        <v>186</v>
      </c>
    </row>
    <row r="1039">
      <c r="A1039" t="s">
        <v>4400</v>
      </c>
      <c r="B1039" t="s">
        <v>31</v>
      </c>
      <c r="C1039" t="s">
        <v>24</v>
      </c>
      <c r="D1039" t="s">
        <v>4401</v>
      </c>
      <c r="E1039" t="s">
        <v>79</v>
      </c>
      <c r="F1039" t="s">
        <v>1274</v>
      </c>
      <c r="G1039" t="s">
        <v>1555</v>
      </c>
      <c r="H1039" t="n">
        <v>39.7310742188951</v>
      </c>
      <c r="I1039" t="n">
        <v>-105.012826</v>
      </c>
      <c r="J1039" t="s">
        <v>4109</v>
      </c>
      <c r="K1039" t="s">
        <v>796</v>
      </c>
      <c r="L1039"/>
      <c r="M1039" t="n">
        <v>1968</v>
      </c>
      <c r="N1039" t="n">
        <v>1977</v>
      </c>
      <c r="O1039" t="s">
        <v>4402</v>
      </c>
      <c r="P1039" t="n">
        <v>4</v>
      </c>
      <c r="Q1039" t="n">
        <v>2</v>
      </c>
      <c r="R1039" t="n">
        <v>2</v>
      </c>
      <c r="S1039" t="n">
        <v>1963</v>
      </c>
      <c r="T1039" t="s">
        <v>4403</v>
      </c>
      <c r="U1039" t="s">
        <v>4404</v>
      </c>
      <c r="V1039" t="s">
        <v>74</v>
      </c>
      <c r="W1039"/>
      <c r="X1039"/>
      <c r="Y1039"/>
      <c r="Z1039"/>
      <c r="AA1039"/>
      <c r="AB1039" t="s">
        <v>2064</v>
      </c>
      <c r="AC1039" t="n">
        <v>103</v>
      </c>
      <c r="AD1039"/>
      <c r="AE1039"/>
      <c r="AF1039" t="s">
        <v>4405</v>
      </c>
      <c r="AG1039" t="n">
        <v>61</v>
      </c>
    </row>
    <row r="1040">
      <c r="A1040" t="s">
        <v>1738</v>
      </c>
      <c r="B1040" t="s">
        <v>31</v>
      </c>
      <c r="C1040" t="s">
        <v>65</v>
      </c>
      <c r="D1040" t="s">
        <v>1739</v>
      </c>
      <c r="E1040" t="s">
        <v>79</v>
      </c>
      <c r="F1040" t="s">
        <v>1274</v>
      </c>
      <c r="G1040" t="s">
        <v>1516</v>
      </c>
      <c r="H1040" t="n">
        <v>39.7075692620552</v>
      </c>
      <c r="I1040" t="n">
        <v>-105.005883738254</v>
      </c>
      <c r="J1040" t="s">
        <v>35</v>
      </c>
      <c r="K1040" t="s">
        <v>70</v>
      </c>
      <c r="L1040"/>
      <c r="M1040" t="n">
        <v>1968</v>
      </c>
      <c r="N1040" t="n">
        <v>1968</v>
      </c>
      <c r="O1040" t="s">
        <v>1349</v>
      </c>
      <c r="P1040" t="n">
        <v>1</v>
      </c>
      <c r="Q1040" t="n">
        <v>1</v>
      </c>
      <c r="R1040" t="n">
        <v>1</v>
      </c>
      <c r="S1040" t="n">
        <v>1946</v>
      </c>
      <c r="T1040" t="s">
        <v>1740</v>
      </c>
      <c r="U1040" t="s">
        <v>1741</v>
      </c>
      <c r="V1040" t="s">
        <v>74</v>
      </c>
      <c r="W1040"/>
      <c r="X1040"/>
      <c r="Y1040"/>
      <c r="Z1040"/>
      <c r="AA1040"/>
      <c r="AB1040"/>
      <c r="AC1040"/>
      <c r="AD1040"/>
      <c r="AE1040"/>
      <c r="AF1040" t="s">
        <v>1742</v>
      </c>
      <c r="AG1040" t="n">
        <v>152</v>
      </c>
    </row>
    <row r="1041">
      <c r="A1041" t="s">
        <v>4406</v>
      </c>
      <c r="B1041" t="s">
        <v>31</v>
      </c>
      <c r="C1041" t="s">
        <v>24</v>
      </c>
      <c r="D1041" t="s">
        <v>4407</v>
      </c>
      <c r="E1041" t="s">
        <v>79</v>
      </c>
      <c r="F1041" t="s">
        <v>1274</v>
      </c>
      <c r="G1041" t="s">
        <v>1525</v>
      </c>
      <c r="H1041" t="n">
        <v>39.7242891574068</v>
      </c>
      <c r="I1041" t="n">
        <v>-104.987476894753</v>
      </c>
      <c r="J1041" t="s">
        <v>4109</v>
      </c>
      <c r="K1041" t="s">
        <v>70</v>
      </c>
      <c r="L1041"/>
      <c r="M1041" t="n">
        <v>1968</v>
      </c>
      <c r="N1041" t="n">
        <v>1970</v>
      </c>
      <c r="O1041" t="s">
        <v>1587</v>
      </c>
      <c r="P1041" t="n">
        <v>2</v>
      </c>
      <c r="Q1041" t="n">
        <v>1</v>
      </c>
      <c r="R1041" t="n">
        <v>1</v>
      </c>
      <c r="S1041" t="n">
        <v>1906</v>
      </c>
      <c r="T1041" t="s">
        <v>4408</v>
      </c>
      <c r="U1041" t="s">
        <v>4409</v>
      </c>
      <c r="V1041" t="s">
        <v>74</v>
      </c>
      <c r="W1041"/>
      <c r="X1041"/>
      <c r="Y1041"/>
      <c r="Z1041"/>
      <c r="AA1041"/>
      <c r="AB1041"/>
      <c r="AC1041"/>
      <c r="AD1041"/>
      <c r="AE1041"/>
      <c r="AF1041" t="s">
        <v>4410</v>
      </c>
      <c r="AG1041" t="n">
        <v>67</v>
      </c>
    </row>
    <row r="1042">
      <c r="A1042" t="s">
        <v>4411</v>
      </c>
      <c r="B1042" t="s">
        <v>31</v>
      </c>
      <c r="C1042" t="s">
        <v>24</v>
      </c>
      <c r="D1042" t="s">
        <v>4412</v>
      </c>
      <c r="E1042" t="s">
        <v>79</v>
      </c>
      <c r="F1042" t="s">
        <v>1274</v>
      </c>
      <c r="G1042" t="s">
        <v>1555</v>
      </c>
      <c r="H1042" t="n">
        <v>39.7287713764236</v>
      </c>
      <c r="I1042" t="n">
        <v>-105.004087243782</v>
      </c>
      <c r="J1042" t="s">
        <v>4109</v>
      </c>
      <c r="K1042" t="s">
        <v>120</v>
      </c>
      <c r="L1042"/>
      <c r="M1042" t="n">
        <v>1968</v>
      </c>
      <c r="N1042" t="n">
        <v>1968</v>
      </c>
      <c r="O1042" t="s">
        <v>1349</v>
      </c>
      <c r="P1042" t="n">
        <v>1</v>
      </c>
      <c r="Q1042" t="n">
        <v>1</v>
      </c>
      <c r="R1042" t="n">
        <v>1</v>
      </c>
      <c r="S1042" t="n">
        <v>1961</v>
      </c>
      <c r="T1042" t="s">
        <v>4413</v>
      </c>
      <c r="U1042" t="s">
        <v>4414</v>
      </c>
      <c r="V1042" t="s">
        <v>74</v>
      </c>
      <c r="W1042"/>
      <c r="X1042"/>
      <c r="Y1042"/>
      <c r="Z1042"/>
      <c r="AA1042"/>
      <c r="AB1042"/>
      <c r="AC1042"/>
      <c r="AD1042"/>
      <c r="AE1042"/>
      <c r="AF1042" t="s">
        <v>4415</v>
      </c>
      <c r="AG1042" t="n">
        <v>79</v>
      </c>
    </row>
    <row r="1043">
      <c r="A1043" t="s">
        <v>4416</v>
      </c>
      <c r="B1043" t="s">
        <v>31</v>
      </c>
      <c r="C1043" t="s">
        <v>24</v>
      </c>
      <c r="D1043" t="s">
        <v>4417</v>
      </c>
      <c r="E1043" t="s">
        <v>79</v>
      </c>
      <c r="F1043" t="s">
        <v>1274</v>
      </c>
      <c r="G1043" t="s">
        <v>4335</v>
      </c>
      <c r="H1043" t="n">
        <v>39.74248426099</v>
      </c>
      <c r="I1043" t="n">
        <v>-105.003015750435</v>
      </c>
      <c r="J1043" t="s">
        <v>4109</v>
      </c>
      <c r="K1043" t="s">
        <v>120</v>
      </c>
      <c r="L1043"/>
      <c r="M1043" t="n">
        <v>1968</v>
      </c>
      <c r="N1043" t="n">
        <v>1968</v>
      </c>
      <c r="O1043" t="s">
        <v>1349</v>
      </c>
      <c r="P1043" t="n">
        <v>1</v>
      </c>
      <c r="Q1043" t="n">
        <v>2</v>
      </c>
      <c r="R1043" t="n">
        <v>1</v>
      </c>
      <c r="S1043" t="n">
        <v>1961</v>
      </c>
      <c r="T1043" t="s">
        <v>4418</v>
      </c>
      <c r="U1043" t="s">
        <v>4419</v>
      </c>
      <c r="V1043" t="s">
        <v>74</v>
      </c>
      <c r="W1043"/>
      <c r="X1043"/>
      <c r="Y1043"/>
      <c r="Z1043"/>
      <c r="AA1043"/>
      <c r="AB1043" t="s">
        <v>4274</v>
      </c>
      <c r="AC1043" t="n">
        <v>194</v>
      </c>
      <c r="AD1043"/>
      <c r="AE1043"/>
      <c r="AF1043" t="s">
        <v>4275</v>
      </c>
      <c r="AG1043" t="n">
        <v>121</v>
      </c>
    </row>
    <row r="1044">
      <c r="A1044" t="s">
        <v>1743</v>
      </c>
      <c r="B1044" t="s">
        <v>31</v>
      </c>
      <c r="C1044" t="s">
        <v>65</v>
      </c>
      <c r="D1044" t="s">
        <v>1744</v>
      </c>
      <c r="E1044" t="s">
        <v>79</v>
      </c>
      <c r="F1044" t="s">
        <v>1274</v>
      </c>
      <c r="G1044" t="s">
        <v>1509</v>
      </c>
      <c r="H1044" t="n">
        <v>39.7483418554936</v>
      </c>
      <c r="I1044" t="n">
        <v>-105.000245831972</v>
      </c>
      <c r="J1044" t="s">
        <v>35</v>
      </c>
      <c r="K1044" t="s">
        <v>70</v>
      </c>
      <c r="L1044"/>
      <c r="M1044" t="n">
        <v>1968</v>
      </c>
      <c r="N1044" t="n">
        <v>1980</v>
      </c>
      <c r="O1044" t="s">
        <v>1349</v>
      </c>
      <c r="P1044" t="n">
        <v>3</v>
      </c>
      <c r="Q1044" t="n">
        <v>3</v>
      </c>
      <c r="R1044" t="n">
        <v>1</v>
      </c>
      <c r="S1044" t="n">
        <v>1955</v>
      </c>
      <c r="T1044" t="s">
        <v>1745</v>
      </c>
      <c r="U1044" t="s">
        <v>1746</v>
      </c>
      <c r="V1044" t="s">
        <v>74</v>
      </c>
      <c r="W1044"/>
      <c r="X1044"/>
      <c r="Y1044"/>
      <c r="Z1044"/>
      <c r="AA1044"/>
      <c r="AB1044" t="s">
        <v>1332</v>
      </c>
      <c r="AC1044" t="n">
        <v>173</v>
      </c>
      <c r="AD1044" t="s">
        <v>1333</v>
      </c>
      <c r="AE1044" t="n">
        <v>186</v>
      </c>
      <c r="AF1044" t="s">
        <v>1747</v>
      </c>
      <c r="AG1044" t="n">
        <v>92</v>
      </c>
    </row>
    <row r="1045">
      <c r="A1045" t="s">
        <v>1748</v>
      </c>
      <c r="B1045" t="s">
        <v>31</v>
      </c>
      <c r="C1045" t="s">
        <v>65</v>
      </c>
      <c r="D1045" t="s">
        <v>1749</v>
      </c>
      <c r="E1045" t="s">
        <v>79</v>
      </c>
      <c r="F1045" t="s">
        <v>1274</v>
      </c>
      <c r="G1045" t="s">
        <v>1440</v>
      </c>
      <c r="H1045" t="n">
        <v>39.7650678798532</v>
      </c>
      <c r="I1045" t="n">
        <v>-105.001762458945</v>
      </c>
      <c r="J1045" t="s">
        <v>35</v>
      </c>
      <c r="K1045" t="s">
        <v>120</v>
      </c>
      <c r="L1045"/>
      <c r="M1045" t="n">
        <v>1968</v>
      </c>
      <c r="N1045" t="n">
        <v>1968</v>
      </c>
      <c r="O1045" t="s">
        <v>1349</v>
      </c>
      <c r="P1045" t="n">
        <v>1</v>
      </c>
      <c r="Q1045" t="n">
        <v>1</v>
      </c>
      <c r="R1045" t="n">
        <v>1</v>
      </c>
      <c r="S1045" t="n">
        <v>1965</v>
      </c>
      <c r="T1045" t="s">
        <v>1750</v>
      </c>
      <c r="U1045" t="s">
        <v>1751</v>
      </c>
      <c r="V1045" t="s">
        <v>74</v>
      </c>
      <c r="W1045"/>
      <c r="X1045"/>
      <c r="Y1045"/>
      <c r="Z1045"/>
      <c r="AA1045"/>
      <c r="AB1045"/>
      <c r="AC1045"/>
      <c r="AD1045"/>
      <c r="AE1045"/>
      <c r="AF1045" t="s">
        <v>1752</v>
      </c>
      <c r="AG1045" t="n">
        <v>209</v>
      </c>
    </row>
    <row r="1046">
      <c r="A1046" t="s">
        <v>1753</v>
      </c>
      <c r="B1046" t="s">
        <v>31</v>
      </c>
      <c r="C1046" t="s">
        <v>65</v>
      </c>
      <c r="D1046" t="s">
        <v>1754</v>
      </c>
      <c r="E1046" t="s">
        <v>79</v>
      </c>
      <c r="F1046" t="s">
        <v>1274</v>
      </c>
      <c r="G1046" t="s">
        <v>1555</v>
      </c>
      <c r="H1046" t="n">
        <v>39.735292919937</v>
      </c>
      <c r="I1046" t="n">
        <v>-104.996860687121</v>
      </c>
      <c r="J1046" t="s">
        <v>35</v>
      </c>
      <c r="K1046" t="s">
        <v>70</v>
      </c>
      <c r="L1046"/>
      <c r="M1046" t="n">
        <v>1968</v>
      </c>
      <c r="N1046" t="n">
        <v>1990</v>
      </c>
      <c r="O1046" t="s">
        <v>1349</v>
      </c>
      <c r="P1046" t="n">
        <v>3</v>
      </c>
      <c r="Q1046" t="n">
        <v>3</v>
      </c>
      <c r="R1046" t="n">
        <v>1</v>
      </c>
      <c r="S1046" t="n">
        <v>1981</v>
      </c>
      <c r="T1046" t="s">
        <v>1755</v>
      </c>
      <c r="U1046" t="s">
        <v>1756</v>
      </c>
      <c r="V1046" t="s">
        <v>74</v>
      </c>
      <c r="W1046"/>
      <c r="X1046"/>
      <c r="Y1046"/>
      <c r="Z1046"/>
      <c r="AA1046"/>
      <c r="AB1046"/>
      <c r="AC1046"/>
      <c r="AD1046"/>
      <c r="AE1046"/>
      <c r="AF1046" t="s">
        <v>1757</v>
      </c>
      <c r="AG1046" t="n">
        <v>166</v>
      </c>
    </row>
    <row r="1047">
      <c r="A1047" t="s">
        <v>1758</v>
      </c>
      <c r="B1047" t="s">
        <v>31</v>
      </c>
      <c r="C1047" t="s">
        <v>65</v>
      </c>
      <c r="D1047" t="s">
        <v>1759</v>
      </c>
      <c r="E1047" t="s">
        <v>79</v>
      </c>
      <c r="F1047" t="s">
        <v>1274</v>
      </c>
      <c r="G1047" t="s">
        <v>1516</v>
      </c>
      <c r="H1047" t="n">
        <v>39.6799464693878</v>
      </c>
      <c r="I1047" t="n">
        <v>-104.989958</v>
      </c>
      <c r="J1047" t="s">
        <v>35</v>
      </c>
      <c r="K1047" t="s">
        <v>315</v>
      </c>
      <c r="L1047"/>
      <c r="M1047" t="n">
        <v>1968</v>
      </c>
      <c r="N1047" t="n">
        <v>1990</v>
      </c>
      <c r="O1047" t="s">
        <v>271</v>
      </c>
      <c r="P1047" t="n">
        <v>7</v>
      </c>
      <c r="Q1047" t="n">
        <v>4</v>
      </c>
      <c r="R1047" t="n">
        <v>2</v>
      </c>
      <c r="S1047" t="n">
        <v>1952</v>
      </c>
      <c r="T1047" t="s">
        <v>1760</v>
      </c>
      <c r="U1047" t="s">
        <v>1761</v>
      </c>
      <c r="V1047" t="s">
        <v>74</v>
      </c>
      <c r="W1047"/>
      <c r="X1047"/>
      <c r="Y1047"/>
      <c r="Z1047"/>
      <c r="AA1047"/>
      <c r="AB1047"/>
      <c r="AC1047"/>
      <c r="AD1047" t="s">
        <v>1431</v>
      </c>
      <c r="AE1047" t="n">
        <v>188</v>
      </c>
      <c r="AF1047" t="s">
        <v>1432</v>
      </c>
      <c r="AG1047" t="n">
        <v>98</v>
      </c>
    </row>
    <row r="1048">
      <c r="A1048" t="s">
        <v>4420</v>
      </c>
      <c r="B1048" t="s">
        <v>31</v>
      </c>
      <c r="C1048" t="s">
        <v>24</v>
      </c>
      <c r="D1048" t="s">
        <v>4421</v>
      </c>
      <c r="E1048" t="s">
        <v>79</v>
      </c>
      <c r="F1048" t="s">
        <v>1274</v>
      </c>
      <c r="G1048" t="s">
        <v>1653</v>
      </c>
      <c r="H1048" t="n">
        <v>39.798396</v>
      </c>
      <c r="I1048" t="n">
        <v>-104.968716</v>
      </c>
      <c r="J1048" t="s">
        <v>35</v>
      </c>
      <c r="K1048" t="s">
        <v>89</v>
      </c>
      <c r="L1048"/>
      <c r="M1048" t="n">
        <v>1970</v>
      </c>
      <c r="N1048" t="n">
        <v>1970</v>
      </c>
      <c r="O1048" t="s">
        <v>726</v>
      </c>
      <c r="P1048" t="n">
        <v>1</v>
      </c>
      <c r="Q1048" t="n">
        <v>1</v>
      </c>
      <c r="R1048" t="n">
        <v>1</v>
      </c>
      <c r="S1048" t="n">
        <v>1960</v>
      </c>
      <c r="T1048" t="s">
        <v>4422</v>
      </c>
      <c r="U1048" t="s">
        <v>4423</v>
      </c>
      <c r="V1048" t="s">
        <v>4175</v>
      </c>
      <c r="W1048"/>
      <c r="X1048"/>
      <c r="Y1048"/>
      <c r="Z1048"/>
      <c r="AA1048"/>
      <c r="AB1048"/>
      <c r="AC1048"/>
      <c r="AD1048" t="s">
        <v>4424</v>
      </c>
      <c r="AE1048" t="n">
        <v>153</v>
      </c>
      <c r="AF1048" t="s">
        <v>4425</v>
      </c>
      <c r="AG1048" t="n">
        <v>61</v>
      </c>
    </row>
    <row r="1049">
      <c r="A1049" t="s">
        <v>1762</v>
      </c>
      <c r="B1049" t="s">
        <v>31</v>
      </c>
      <c r="C1049" t="s">
        <v>65</v>
      </c>
      <c r="D1049" t="s">
        <v>1763</v>
      </c>
      <c r="E1049" t="s">
        <v>79</v>
      </c>
      <c r="F1049" t="s">
        <v>1274</v>
      </c>
      <c r="G1049" t="s">
        <v>1555</v>
      </c>
      <c r="H1049" t="n">
        <v>39.7295111897255</v>
      </c>
      <c r="I1049" t="n">
        <v>-104.988859</v>
      </c>
      <c r="J1049" t="s">
        <v>35</v>
      </c>
      <c r="K1049" t="s">
        <v>1041</v>
      </c>
      <c r="L1049"/>
      <c r="M1049" t="n">
        <v>1970</v>
      </c>
      <c r="N1049" t="n">
        <v>1983</v>
      </c>
      <c r="O1049" t="s">
        <v>726</v>
      </c>
      <c r="P1049" t="n">
        <v>5</v>
      </c>
      <c r="Q1049" t="n">
        <v>3</v>
      </c>
      <c r="R1049" t="n">
        <v>1</v>
      </c>
      <c r="S1049" t="n">
        <v>1958</v>
      </c>
      <c r="T1049" t="s">
        <v>1764</v>
      </c>
      <c r="U1049" t="s">
        <v>1765</v>
      </c>
      <c r="V1049" t="s">
        <v>74</v>
      </c>
      <c r="W1049"/>
      <c r="X1049"/>
      <c r="Y1049"/>
      <c r="Z1049"/>
      <c r="AA1049"/>
      <c r="AB1049" t="s">
        <v>1766</v>
      </c>
      <c r="AC1049" t="n">
        <v>136</v>
      </c>
      <c r="AD1049"/>
      <c r="AE1049"/>
      <c r="AF1049" t="s">
        <v>1767</v>
      </c>
      <c r="AG1049" t="n">
        <v>109</v>
      </c>
    </row>
    <row r="1050">
      <c r="A1050" t="s">
        <v>1768</v>
      </c>
      <c r="B1050" t="s">
        <v>31</v>
      </c>
      <c r="C1050" t="s">
        <v>65</v>
      </c>
      <c r="D1050" t="s">
        <v>1769</v>
      </c>
      <c r="E1050" t="s">
        <v>79</v>
      </c>
      <c r="F1050" t="s">
        <v>1274</v>
      </c>
      <c r="G1050" t="s">
        <v>1574</v>
      </c>
      <c r="H1050" t="n">
        <v>39.753718687001</v>
      </c>
      <c r="I1050" t="n">
        <v>-104.993333749281</v>
      </c>
      <c r="J1050" t="s">
        <v>35</v>
      </c>
      <c r="K1050" t="s">
        <v>133</v>
      </c>
      <c r="L1050"/>
      <c r="M1050" t="n">
        <v>1970</v>
      </c>
      <c r="N1050" t="n">
        <v>1973</v>
      </c>
      <c r="O1050" t="s">
        <v>121</v>
      </c>
      <c r="P1050" t="n">
        <v>2</v>
      </c>
      <c r="Q1050" t="n">
        <v>2</v>
      </c>
      <c r="R1050" t="n">
        <v>1</v>
      </c>
      <c r="S1050" t="n">
        <v>1954</v>
      </c>
      <c r="T1050" t="s">
        <v>1770</v>
      </c>
      <c r="U1050" t="s">
        <v>1771</v>
      </c>
      <c r="V1050" t="s">
        <v>74</v>
      </c>
      <c r="W1050"/>
      <c r="X1050"/>
      <c r="Y1050"/>
      <c r="Z1050"/>
      <c r="AA1050"/>
      <c r="AB1050" t="s">
        <v>1671</v>
      </c>
      <c r="AC1050" t="n">
        <v>192</v>
      </c>
      <c r="AD1050"/>
      <c r="AE1050"/>
      <c r="AF1050" t="s">
        <v>1772</v>
      </c>
      <c r="AG1050" t="n">
        <v>70</v>
      </c>
    </row>
    <row r="1051">
      <c r="A1051" t="s">
        <v>4426</v>
      </c>
      <c r="B1051" t="s">
        <v>31</v>
      </c>
      <c r="C1051" t="s">
        <v>24</v>
      </c>
      <c r="D1051" t="s">
        <v>4427</v>
      </c>
      <c r="E1051" t="s">
        <v>79</v>
      </c>
      <c r="F1051" t="s">
        <v>1274</v>
      </c>
      <c r="G1051" t="s">
        <v>1440</v>
      </c>
      <c r="H1051" t="n">
        <v>39.7611787142857</v>
      </c>
      <c r="I1051" t="n">
        <v>-105.010600857143</v>
      </c>
      <c r="J1051" t="s">
        <v>4109</v>
      </c>
      <c r="K1051" t="s">
        <v>527</v>
      </c>
      <c r="L1051"/>
      <c r="M1051" t="n">
        <v>1970</v>
      </c>
      <c r="N1051" t="n">
        <v>1992</v>
      </c>
      <c r="O1051" t="s">
        <v>1016</v>
      </c>
      <c r="P1051" t="n">
        <v>6</v>
      </c>
      <c r="Q1051" t="n">
        <v>2</v>
      </c>
      <c r="R1051" t="n">
        <v>1</v>
      </c>
      <c r="S1051" t="n">
        <v>1935</v>
      </c>
      <c r="T1051" t="s">
        <v>4428</v>
      </c>
      <c r="U1051" t="s">
        <v>4429</v>
      </c>
      <c r="V1051" t="s">
        <v>74</v>
      </c>
      <c r="W1051"/>
      <c r="X1051"/>
      <c r="Y1051"/>
      <c r="Z1051"/>
      <c r="AA1051"/>
      <c r="AB1051" t="s">
        <v>1341</v>
      </c>
      <c r="AC1051" t="n">
        <v>170</v>
      </c>
      <c r="AD1051" t="s">
        <v>1278</v>
      </c>
      <c r="AE1051" t="n">
        <v>215</v>
      </c>
      <c r="AF1051" t="s">
        <v>1279</v>
      </c>
      <c r="AG1051" t="n">
        <v>115</v>
      </c>
    </row>
    <row r="1052">
      <c r="A1052" t="s">
        <v>1773</v>
      </c>
      <c r="B1052" t="s">
        <v>31</v>
      </c>
      <c r="C1052" t="s">
        <v>65</v>
      </c>
      <c r="D1052" t="s">
        <v>1774</v>
      </c>
      <c r="E1052" t="s">
        <v>79</v>
      </c>
      <c r="F1052" t="s">
        <v>1274</v>
      </c>
      <c r="G1052" t="s">
        <v>1569</v>
      </c>
      <c r="H1052" t="n">
        <v>39.6875056732304</v>
      </c>
      <c r="I1052" t="n">
        <v>-104.980442610905</v>
      </c>
      <c r="J1052" t="s">
        <v>35</v>
      </c>
      <c r="K1052" t="s">
        <v>70</v>
      </c>
      <c r="L1052"/>
      <c r="M1052" t="n">
        <v>1970</v>
      </c>
      <c r="N1052" t="n">
        <v>1970</v>
      </c>
      <c r="O1052" t="s">
        <v>726</v>
      </c>
      <c r="P1052" t="n">
        <v>1</v>
      </c>
      <c r="Q1052" t="n">
        <v>1</v>
      </c>
      <c r="R1052" t="n">
        <v>1</v>
      </c>
      <c r="S1052" t="n">
        <v>1947</v>
      </c>
      <c r="T1052" t="s">
        <v>1775</v>
      </c>
      <c r="U1052" t="s">
        <v>1776</v>
      </c>
      <c r="V1052" t="s">
        <v>74</v>
      </c>
      <c r="W1052"/>
      <c r="X1052"/>
      <c r="Y1052"/>
      <c r="Z1052"/>
      <c r="AA1052"/>
      <c r="AB1052"/>
      <c r="AC1052"/>
      <c r="AD1052"/>
      <c r="AE1052"/>
      <c r="AF1052" t="s">
        <v>1484</v>
      </c>
      <c r="AG1052" t="n">
        <v>45</v>
      </c>
    </row>
    <row r="1053">
      <c r="A1053" t="s">
        <v>4430</v>
      </c>
      <c r="B1053" t="s">
        <v>31</v>
      </c>
      <c r="C1053" t="s">
        <v>24</v>
      </c>
      <c r="D1053" t="s">
        <v>4431</v>
      </c>
      <c r="E1053" t="s">
        <v>79</v>
      </c>
      <c r="F1053" t="s">
        <v>1274</v>
      </c>
      <c r="G1053" t="s">
        <v>1612</v>
      </c>
      <c r="H1053" t="n">
        <v>39.7179095882917</v>
      </c>
      <c r="I1053" t="n">
        <v>-105.032471</v>
      </c>
      <c r="J1053" t="s">
        <v>4109</v>
      </c>
      <c r="K1053" t="s">
        <v>220</v>
      </c>
      <c r="L1053"/>
      <c r="M1053" t="n">
        <v>1970</v>
      </c>
      <c r="N1053" t="n">
        <v>1992</v>
      </c>
      <c r="O1053" t="s">
        <v>1016</v>
      </c>
      <c r="P1053" t="n">
        <v>2</v>
      </c>
      <c r="Q1053" t="n">
        <v>2</v>
      </c>
      <c r="R1053" t="n">
        <v>1</v>
      </c>
      <c r="S1053" t="n">
        <v>1966</v>
      </c>
      <c r="T1053" t="s">
        <v>4432</v>
      </c>
      <c r="U1053" t="s">
        <v>4433</v>
      </c>
      <c r="V1053" t="s">
        <v>74</v>
      </c>
      <c r="W1053"/>
      <c r="X1053"/>
      <c r="Y1053"/>
      <c r="Z1053"/>
      <c r="AA1053"/>
      <c r="AB1053" t="s">
        <v>4385</v>
      </c>
      <c r="AC1053" t="n">
        <v>108</v>
      </c>
      <c r="AD1053"/>
      <c r="AE1053"/>
      <c r="AF1053"/>
      <c r="AG1053"/>
    </row>
    <row r="1054">
      <c r="A1054" t="s">
        <v>4434</v>
      </c>
      <c r="B1054" t="s">
        <v>31</v>
      </c>
      <c r="C1054" t="s">
        <v>24</v>
      </c>
      <c r="D1054" t="s">
        <v>4435</v>
      </c>
      <c r="E1054" t="s">
        <v>79</v>
      </c>
      <c r="F1054" t="s">
        <v>1274</v>
      </c>
      <c r="G1054" t="s">
        <v>1555</v>
      </c>
      <c r="H1054" t="n">
        <v>39.7348786171596</v>
      </c>
      <c r="I1054" t="n">
        <v>-104.998668326577</v>
      </c>
      <c r="J1054" t="s">
        <v>4109</v>
      </c>
      <c r="K1054" t="s">
        <v>133</v>
      </c>
      <c r="L1054"/>
      <c r="M1054" t="n">
        <v>1970</v>
      </c>
      <c r="N1054" t="n">
        <v>1974</v>
      </c>
      <c r="O1054" t="s">
        <v>726</v>
      </c>
      <c r="P1054" t="n">
        <v>2</v>
      </c>
      <c r="Q1054" t="n">
        <v>1</v>
      </c>
      <c r="R1054" t="n">
        <v>1</v>
      </c>
      <c r="S1054" t="n">
        <v>1960</v>
      </c>
      <c r="T1054" t="s">
        <v>4436</v>
      </c>
      <c r="U1054" t="s">
        <v>4437</v>
      </c>
      <c r="V1054" t="s">
        <v>74</v>
      </c>
      <c r="W1054"/>
      <c r="X1054"/>
      <c r="Y1054"/>
      <c r="Z1054"/>
      <c r="AA1054"/>
      <c r="AB1054" t="s">
        <v>1648</v>
      </c>
      <c r="AC1054" t="n">
        <v>224</v>
      </c>
      <c r="AD1054"/>
      <c r="AE1054"/>
      <c r="AF1054" t="s">
        <v>1757</v>
      </c>
      <c r="AG1054" t="n">
        <v>100</v>
      </c>
    </row>
    <row r="1055">
      <c r="A1055" t="s">
        <v>1777</v>
      </c>
      <c r="B1055" t="s">
        <v>31</v>
      </c>
      <c r="C1055" t="s">
        <v>65</v>
      </c>
      <c r="D1055" t="s">
        <v>1778</v>
      </c>
      <c r="E1055" t="s">
        <v>79</v>
      </c>
      <c r="F1055" t="s">
        <v>1274</v>
      </c>
      <c r="G1055" t="s">
        <v>1638</v>
      </c>
      <c r="H1055" t="n">
        <v>39.7399275774341</v>
      </c>
      <c r="I1055" t="n">
        <v>-105.015783546575</v>
      </c>
      <c r="J1055" t="s">
        <v>35</v>
      </c>
      <c r="K1055" t="s">
        <v>1282</v>
      </c>
      <c r="L1055"/>
      <c r="M1055" t="n">
        <v>1970</v>
      </c>
      <c r="N1055" t="n">
        <v>1992</v>
      </c>
      <c r="O1055" t="s">
        <v>1779</v>
      </c>
      <c r="P1055" t="n">
        <v>7</v>
      </c>
      <c r="Q1055" t="n">
        <v>4</v>
      </c>
      <c r="R1055" t="n">
        <v>3</v>
      </c>
      <c r="S1055" t="n">
        <v>1893</v>
      </c>
      <c r="T1055" t="s">
        <v>1780</v>
      </c>
      <c r="U1055" t="s">
        <v>1781</v>
      </c>
      <c r="V1055" t="s">
        <v>74</v>
      </c>
      <c r="W1055"/>
      <c r="X1055"/>
      <c r="Y1055"/>
      <c r="Z1055"/>
      <c r="AA1055"/>
      <c r="AB1055" t="s">
        <v>1782</v>
      </c>
      <c r="AC1055" t="n">
        <v>120</v>
      </c>
      <c r="AD1055"/>
      <c r="AE1055"/>
      <c r="AF1055" t="s">
        <v>1783</v>
      </c>
      <c r="AG1055" t="n">
        <v>101</v>
      </c>
    </row>
    <row r="1056">
      <c r="A1056" t="s">
        <v>4438</v>
      </c>
      <c r="B1056" t="s">
        <v>31</v>
      </c>
      <c r="C1056" t="s">
        <v>24</v>
      </c>
      <c r="D1056" t="s">
        <v>4439</v>
      </c>
      <c r="E1056" t="s">
        <v>79</v>
      </c>
      <c r="F1056" t="s">
        <v>1274</v>
      </c>
      <c r="G1056" t="s">
        <v>1574</v>
      </c>
      <c r="H1056" t="n">
        <v>39.756009</v>
      </c>
      <c r="I1056" t="n">
        <v>-104.986889</v>
      </c>
      <c r="J1056" t="s">
        <v>4109</v>
      </c>
      <c r="K1056" t="s">
        <v>70</v>
      </c>
      <c r="L1056"/>
      <c r="M1056" t="n">
        <v>1970</v>
      </c>
      <c r="N1056" t="n">
        <v>1970</v>
      </c>
      <c r="O1056" t="s">
        <v>726</v>
      </c>
      <c r="P1056" t="n">
        <v>1</v>
      </c>
      <c r="Q1056" t="n">
        <v>1</v>
      </c>
      <c r="R1056" t="n">
        <v>1</v>
      </c>
      <c r="S1056" t="n">
        <v>1964</v>
      </c>
      <c r="T1056" t="s">
        <v>4440</v>
      </c>
      <c r="U1056" t="s">
        <v>4441</v>
      </c>
      <c r="V1056" t="s">
        <v>74</v>
      </c>
      <c r="W1056"/>
      <c r="X1056"/>
      <c r="Y1056"/>
      <c r="Z1056"/>
      <c r="AA1056"/>
      <c r="AB1056" t="s">
        <v>1936</v>
      </c>
      <c r="AC1056" t="n">
        <v>120</v>
      </c>
      <c r="AD1056"/>
      <c r="AE1056"/>
      <c r="AF1056" t="s">
        <v>1326</v>
      </c>
      <c r="AG1056" t="n">
        <v>90</v>
      </c>
    </row>
    <row r="1057">
      <c r="A1057" t="s">
        <v>1784</v>
      </c>
      <c r="B1057" t="s">
        <v>31</v>
      </c>
      <c r="C1057" t="s">
        <v>65</v>
      </c>
      <c r="D1057" t="s">
        <v>1785</v>
      </c>
      <c r="E1057" t="s">
        <v>79</v>
      </c>
      <c r="F1057" t="s">
        <v>1274</v>
      </c>
      <c r="G1057" t="s">
        <v>1653</v>
      </c>
      <c r="H1057" t="n">
        <v>39.7843460408163</v>
      </c>
      <c r="I1057" t="n">
        <v>-104.887988163265</v>
      </c>
      <c r="J1057" t="s">
        <v>35</v>
      </c>
      <c r="K1057" t="s">
        <v>1786</v>
      </c>
      <c r="L1057"/>
      <c r="M1057" t="n">
        <v>1970</v>
      </c>
      <c r="N1057" t="n">
        <v>1970</v>
      </c>
      <c r="O1057" t="s">
        <v>726</v>
      </c>
      <c r="P1057" t="n">
        <v>1</v>
      </c>
      <c r="Q1057" t="n">
        <v>1</v>
      </c>
      <c r="R1057" t="n">
        <v>1</v>
      </c>
      <c r="S1057" t="n">
        <v>1948</v>
      </c>
      <c r="T1057" t="s">
        <v>1787</v>
      </c>
      <c r="U1057" t="s">
        <v>1788</v>
      </c>
      <c r="V1057" t="s">
        <v>74</v>
      </c>
      <c r="W1057"/>
      <c r="X1057"/>
      <c r="Y1057"/>
      <c r="Z1057"/>
      <c r="AA1057"/>
      <c r="AB1057"/>
      <c r="AC1057"/>
      <c r="AD1057"/>
      <c r="AE1057"/>
      <c r="AF1057" t="s">
        <v>1789</v>
      </c>
      <c r="AG1057" t="n">
        <v>152</v>
      </c>
    </row>
    <row r="1058">
      <c r="A1058" t="s">
        <v>1790</v>
      </c>
      <c r="B1058" t="s">
        <v>31</v>
      </c>
      <c r="C1058" t="s">
        <v>65</v>
      </c>
      <c r="D1058" t="s">
        <v>1791</v>
      </c>
      <c r="E1058" t="s">
        <v>79</v>
      </c>
      <c r="F1058" t="s">
        <v>1274</v>
      </c>
      <c r="G1058" t="s">
        <v>1653</v>
      </c>
      <c r="H1058" t="n">
        <v>39.7982660282661</v>
      </c>
      <c r="I1058" t="n">
        <v>-104.989244382714</v>
      </c>
      <c r="J1058" t="s">
        <v>35</v>
      </c>
      <c r="K1058" t="s">
        <v>70</v>
      </c>
      <c r="L1058"/>
      <c r="M1058" t="n">
        <v>1973</v>
      </c>
      <c r="N1058" t="n">
        <v>1983</v>
      </c>
      <c r="O1058" t="s">
        <v>134</v>
      </c>
      <c r="P1058" t="n">
        <v>4</v>
      </c>
      <c r="Q1058" t="n">
        <v>3</v>
      </c>
      <c r="R1058" t="n">
        <v>2</v>
      </c>
      <c r="S1058" t="n">
        <v>1954</v>
      </c>
      <c r="T1058" t="s">
        <v>1792</v>
      </c>
      <c r="U1058" t="s">
        <v>1793</v>
      </c>
      <c r="V1058" t="s">
        <v>74</v>
      </c>
      <c r="W1058"/>
      <c r="X1058"/>
      <c r="Y1058"/>
      <c r="Z1058"/>
      <c r="AA1058"/>
      <c r="AB1058"/>
      <c r="AC1058"/>
      <c r="AD1058" t="s">
        <v>1794</v>
      </c>
      <c r="AE1058" t="n">
        <v>101</v>
      </c>
      <c r="AF1058" t="s">
        <v>1795</v>
      </c>
      <c r="AG1058" t="n">
        <v>79</v>
      </c>
    </row>
    <row r="1059">
      <c r="A1059" t="s">
        <v>4442</v>
      </c>
      <c r="B1059" t="s">
        <v>31</v>
      </c>
      <c r="C1059" t="s">
        <v>24</v>
      </c>
      <c r="D1059" t="s">
        <v>4443</v>
      </c>
      <c r="E1059" t="s">
        <v>79</v>
      </c>
      <c r="F1059" t="s">
        <v>1274</v>
      </c>
      <c r="G1059" t="s">
        <v>1516</v>
      </c>
      <c r="H1059" t="n">
        <v>39.7809042202047</v>
      </c>
      <c r="I1059" t="n">
        <v>-105.001711095736</v>
      </c>
      <c r="J1059" t="s">
        <v>4109</v>
      </c>
      <c r="K1059" t="s">
        <v>70</v>
      </c>
      <c r="L1059"/>
      <c r="M1059" t="n">
        <v>1973</v>
      </c>
      <c r="N1059" t="n">
        <v>1974</v>
      </c>
      <c r="O1059" t="s">
        <v>127</v>
      </c>
      <c r="P1059" t="n">
        <v>2</v>
      </c>
      <c r="Q1059" t="n">
        <v>1</v>
      </c>
      <c r="R1059" t="n">
        <v>1</v>
      </c>
      <c r="S1059" t="n">
        <v>1951</v>
      </c>
      <c r="T1059" t="s">
        <v>4444</v>
      </c>
      <c r="U1059" t="s">
        <v>4445</v>
      </c>
      <c r="V1059" t="s">
        <v>74</v>
      </c>
      <c r="W1059"/>
      <c r="X1059"/>
      <c r="Y1059"/>
      <c r="Z1059"/>
      <c r="AA1059"/>
      <c r="AB1059" t="s">
        <v>1918</v>
      </c>
      <c r="AC1059" t="n">
        <v>94</v>
      </c>
      <c r="AD1059" t="s">
        <v>1919</v>
      </c>
      <c r="AE1059" t="n">
        <v>231</v>
      </c>
      <c r="AF1059" t="s">
        <v>4446</v>
      </c>
      <c r="AG1059" t="n">
        <v>165</v>
      </c>
    </row>
    <row r="1060">
      <c r="A1060" t="s">
        <v>1796</v>
      </c>
      <c r="B1060" t="s">
        <v>31</v>
      </c>
      <c r="C1060" t="s">
        <v>65</v>
      </c>
      <c r="D1060" t="s">
        <v>1797</v>
      </c>
      <c r="E1060" t="s">
        <v>79</v>
      </c>
      <c r="F1060" t="s">
        <v>1274</v>
      </c>
      <c r="G1060" t="s">
        <v>1691</v>
      </c>
      <c r="H1060" t="n">
        <v>39.6874346325865</v>
      </c>
      <c r="I1060" t="n">
        <v>-104.914059</v>
      </c>
      <c r="J1060" t="s">
        <v>35</v>
      </c>
      <c r="K1060" t="s">
        <v>133</v>
      </c>
      <c r="L1060"/>
      <c r="M1060" t="n">
        <v>1973</v>
      </c>
      <c r="N1060" t="n">
        <v>1983</v>
      </c>
      <c r="O1060" t="s">
        <v>528</v>
      </c>
      <c r="P1060" t="n">
        <v>4</v>
      </c>
      <c r="Q1060" t="n">
        <v>4</v>
      </c>
      <c r="R1060" t="n">
        <v>2</v>
      </c>
      <c r="S1060" t="n">
        <v>1970</v>
      </c>
      <c r="T1060" t="s">
        <v>1798</v>
      </c>
      <c r="U1060" t="s">
        <v>1799</v>
      </c>
      <c r="V1060" t="s">
        <v>74</v>
      </c>
      <c r="W1060"/>
      <c r="X1060"/>
      <c r="Y1060"/>
      <c r="Z1060"/>
      <c r="AA1060"/>
      <c r="AB1060"/>
      <c r="AC1060"/>
      <c r="AD1060"/>
      <c r="AE1060"/>
      <c r="AF1060"/>
      <c r="AG1060"/>
    </row>
    <row r="1061">
      <c r="A1061" t="s">
        <v>1800</v>
      </c>
      <c r="B1061" t="s">
        <v>31</v>
      </c>
      <c r="C1061" t="s">
        <v>65</v>
      </c>
      <c r="D1061" t="s">
        <v>1801</v>
      </c>
      <c r="E1061" t="s">
        <v>79</v>
      </c>
      <c r="F1061" t="s">
        <v>1274</v>
      </c>
      <c r="G1061" t="s">
        <v>1516</v>
      </c>
      <c r="H1061" t="n">
        <v>39.701603</v>
      </c>
      <c r="I1061" t="n">
        <v>-105.001531</v>
      </c>
      <c r="J1061" t="s">
        <v>35</v>
      </c>
      <c r="K1061" t="s">
        <v>70</v>
      </c>
      <c r="L1061"/>
      <c r="M1061" t="n">
        <v>1973</v>
      </c>
      <c r="N1061" t="n">
        <v>1974</v>
      </c>
      <c r="O1061" t="s">
        <v>210</v>
      </c>
      <c r="P1061" t="n">
        <v>2</v>
      </c>
      <c r="Q1061" t="n">
        <v>2</v>
      </c>
      <c r="R1061" t="n">
        <v>1</v>
      </c>
      <c r="S1061" t="n">
        <v>1970</v>
      </c>
      <c r="T1061" t="s">
        <v>1802</v>
      </c>
      <c r="U1061" t="s">
        <v>1803</v>
      </c>
      <c r="V1061" t="s">
        <v>74</v>
      </c>
      <c r="W1061"/>
      <c r="X1061"/>
      <c r="Y1061"/>
      <c r="Z1061"/>
      <c r="AA1061"/>
      <c r="AB1061" t="s">
        <v>1804</v>
      </c>
      <c r="AC1061" t="n">
        <v>210</v>
      </c>
      <c r="AD1061"/>
      <c r="AE1061"/>
      <c r="AF1061" t="s">
        <v>1805</v>
      </c>
      <c r="AG1061" t="n">
        <v>40</v>
      </c>
    </row>
    <row r="1062">
      <c r="A1062" t="s">
        <v>1806</v>
      </c>
      <c r="B1062" t="s">
        <v>31</v>
      </c>
      <c r="C1062" t="s">
        <v>65</v>
      </c>
      <c r="D1062" t="s">
        <v>1807</v>
      </c>
      <c r="E1062" t="s">
        <v>79</v>
      </c>
      <c r="F1062" t="s">
        <v>1274</v>
      </c>
      <c r="G1062" t="s">
        <v>1691</v>
      </c>
      <c r="H1062" t="n">
        <v>39.678455363544</v>
      </c>
      <c r="I1062" t="n">
        <v>-104.908478989948</v>
      </c>
      <c r="J1062" t="s">
        <v>35</v>
      </c>
      <c r="K1062" t="s">
        <v>120</v>
      </c>
      <c r="L1062" t="s">
        <v>1808</v>
      </c>
      <c r="M1062" t="n">
        <v>1973</v>
      </c>
      <c r="N1062" t="n">
        <v>1980</v>
      </c>
      <c r="O1062" t="s">
        <v>112</v>
      </c>
      <c r="P1062" t="n">
        <v>4</v>
      </c>
      <c r="Q1062" t="n">
        <v>2</v>
      </c>
      <c r="R1062" t="n">
        <v>2</v>
      </c>
      <c r="S1062" t="n">
        <v>1948</v>
      </c>
      <c r="T1062" t="s">
        <v>1809</v>
      </c>
      <c r="U1062" t="s">
        <v>1810</v>
      </c>
      <c r="V1062" t="s">
        <v>74</v>
      </c>
      <c r="W1062"/>
      <c r="X1062"/>
      <c r="Y1062"/>
      <c r="Z1062"/>
      <c r="AA1062"/>
      <c r="AB1062"/>
      <c r="AC1062"/>
      <c r="AD1062"/>
      <c r="AE1062"/>
      <c r="AF1062" t="s">
        <v>1811</v>
      </c>
      <c r="AG1062" t="n">
        <v>85</v>
      </c>
    </row>
    <row r="1063">
      <c r="A1063" t="s">
        <v>1812</v>
      </c>
      <c r="B1063" t="s">
        <v>31</v>
      </c>
      <c r="C1063" t="s">
        <v>65</v>
      </c>
      <c r="D1063" t="s">
        <v>1813</v>
      </c>
      <c r="E1063" t="s">
        <v>79</v>
      </c>
      <c r="F1063" t="s">
        <v>1274</v>
      </c>
      <c r="G1063" t="s">
        <v>1612</v>
      </c>
      <c r="H1063" t="n">
        <v>39.721261952365</v>
      </c>
      <c r="I1063" t="n">
        <v>-105.047496418561</v>
      </c>
      <c r="J1063" t="s">
        <v>35</v>
      </c>
      <c r="K1063" t="s">
        <v>1041</v>
      </c>
      <c r="L1063"/>
      <c r="M1063" t="n">
        <v>1973</v>
      </c>
      <c r="N1063" t="n">
        <v>1974</v>
      </c>
      <c r="O1063" t="s">
        <v>127</v>
      </c>
      <c r="P1063" t="n">
        <v>2</v>
      </c>
      <c r="Q1063" t="n">
        <v>1</v>
      </c>
      <c r="R1063" t="n">
        <v>1</v>
      </c>
      <c r="S1063" t="n">
        <v>1953</v>
      </c>
      <c r="T1063" t="s">
        <v>1814</v>
      </c>
      <c r="U1063" t="s">
        <v>1815</v>
      </c>
      <c r="V1063" t="s">
        <v>74</v>
      </c>
      <c r="W1063"/>
      <c r="X1063"/>
      <c r="Y1063"/>
      <c r="Z1063"/>
      <c r="AA1063"/>
      <c r="AB1063"/>
      <c r="AC1063"/>
      <c r="AD1063"/>
      <c r="AE1063"/>
      <c r="AF1063"/>
      <c r="AG1063"/>
    </row>
    <row r="1064">
      <c r="A1064" t="s">
        <v>1816</v>
      </c>
      <c r="B1064" t="s">
        <v>31</v>
      </c>
      <c r="C1064" t="s">
        <v>65</v>
      </c>
      <c r="D1064" t="s">
        <v>1817</v>
      </c>
      <c r="E1064" t="s">
        <v>79</v>
      </c>
      <c r="F1064" t="s">
        <v>1274</v>
      </c>
      <c r="G1064" t="s">
        <v>1516</v>
      </c>
      <c r="H1064" t="n">
        <v>39.6968937899988</v>
      </c>
      <c r="I1064" t="n">
        <v>-104.995621030332</v>
      </c>
      <c r="J1064" t="s">
        <v>35</v>
      </c>
      <c r="K1064" t="s">
        <v>220</v>
      </c>
      <c r="L1064"/>
      <c r="M1064" t="n">
        <v>1973</v>
      </c>
      <c r="N1064" t="n">
        <v>1990</v>
      </c>
      <c r="O1064" t="s">
        <v>1818</v>
      </c>
      <c r="P1064" t="n">
        <v>7</v>
      </c>
      <c r="Q1064" t="n">
        <v>2</v>
      </c>
      <c r="R1064" t="n">
        <v>2</v>
      </c>
      <c r="S1064" t="n">
        <v>1966</v>
      </c>
      <c r="T1064" t="s">
        <v>1819</v>
      </c>
      <c r="U1064" t="s">
        <v>1820</v>
      </c>
      <c r="V1064" t="s">
        <v>74</v>
      </c>
      <c r="W1064"/>
      <c r="X1064"/>
      <c r="Y1064"/>
      <c r="Z1064"/>
      <c r="AA1064"/>
      <c r="AB1064"/>
      <c r="AC1064"/>
      <c r="AD1064"/>
      <c r="AE1064"/>
      <c r="AF1064" t="s">
        <v>1821</v>
      </c>
      <c r="AG1064" t="n">
        <v>43</v>
      </c>
    </row>
    <row r="1065">
      <c r="A1065" t="s">
        <v>4447</v>
      </c>
      <c r="B1065" t="s">
        <v>31</v>
      </c>
      <c r="C1065" t="s">
        <v>24</v>
      </c>
      <c r="D1065" t="s">
        <v>4448</v>
      </c>
      <c r="E1065" t="s">
        <v>79</v>
      </c>
      <c r="F1065" t="s">
        <v>1274</v>
      </c>
      <c r="G1065" t="s">
        <v>1516</v>
      </c>
      <c r="H1065" t="n">
        <v>39.7340779352409</v>
      </c>
      <c r="I1065" t="n">
        <v>-105.001575550569</v>
      </c>
      <c r="J1065" t="s">
        <v>4109</v>
      </c>
      <c r="K1065" t="s">
        <v>2274</v>
      </c>
      <c r="L1065"/>
      <c r="M1065" t="n">
        <v>1973</v>
      </c>
      <c r="N1065" t="n">
        <v>1974</v>
      </c>
      <c r="O1065" t="s">
        <v>127</v>
      </c>
      <c r="P1065" t="n">
        <v>2</v>
      </c>
      <c r="Q1065" t="n">
        <v>1</v>
      </c>
      <c r="R1065" t="n">
        <v>1</v>
      </c>
      <c r="S1065"/>
      <c r="T1065" t="s">
        <v>4449</v>
      </c>
      <c r="U1065" t="s">
        <v>4450</v>
      </c>
      <c r="V1065" t="s">
        <v>74</v>
      </c>
      <c r="W1065"/>
      <c r="X1065"/>
      <c r="Y1065"/>
      <c r="Z1065"/>
      <c r="AA1065"/>
      <c r="AB1065"/>
      <c r="AC1065"/>
      <c r="AD1065"/>
      <c r="AE1065"/>
      <c r="AF1065" t="s">
        <v>4376</v>
      </c>
      <c r="AG1065" t="n">
        <v>45</v>
      </c>
    </row>
    <row r="1066">
      <c r="A1066" t="s">
        <v>4451</v>
      </c>
      <c r="B1066" t="s">
        <v>31</v>
      </c>
      <c r="C1066" t="s">
        <v>24</v>
      </c>
      <c r="D1066" t="s">
        <v>4452</v>
      </c>
      <c r="E1066" t="s">
        <v>79</v>
      </c>
      <c r="F1066" t="s">
        <v>1274</v>
      </c>
      <c r="G1066" t="s">
        <v>1555</v>
      </c>
      <c r="H1066" t="n">
        <v>39.7360367138303</v>
      </c>
      <c r="I1066" t="n">
        <v>-104.990244549486</v>
      </c>
      <c r="J1066" t="s">
        <v>4109</v>
      </c>
      <c r="K1066" t="s">
        <v>70</v>
      </c>
      <c r="L1066"/>
      <c r="M1066" t="n">
        <v>1973</v>
      </c>
      <c r="N1066" t="n">
        <v>1983</v>
      </c>
      <c r="O1066" t="s">
        <v>121</v>
      </c>
      <c r="P1066" t="n">
        <v>2</v>
      </c>
      <c r="Q1066" t="n">
        <v>2</v>
      </c>
      <c r="R1066" t="n">
        <v>1</v>
      </c>
      <c r="S1066" t="n">
        <v>1925</v>
      </c>
      <c r="T1066" t="s">
        <v>4453</v>
      </c>
      <c r="U1066" t="s">
        <v>4454</v>
      </c>
      <c r="V1066" t="s">
        <v>74</v>
      </c>
      <c r="W1066"/>
      <c r="X1066"/>
      <c r="Y1066"/>
      <c r="Z1066"/>
      <c r="AA1066"/>
      <c r="AB1066" t="s">
        <v>1465</v>
      </c>
      <c r="AC1066" t="n">
        <v>89</v>
      </c>
      <c r="AD1066"/>
      <c r="AE1066"/>
      <c r="AF1066" t="s">
        <v>1466</v>
      </c>
      <c r="AG1066" t="n">
        <v>149</v>
      </c>
    </row>
    <row r="1067">
      <c r="A1067" t="s">
        <v>4455</v>
      </c>
      <c r="B1067" t="s">
        <v>31</v>
      </c>
      <c r="C1067" t="s">
        <v>24</v>
      </c>
      <c r="D1067" t="s">
        <v>4456</v>
      </c>
      <c r="E1067" t="s">
        <v>79</v>
      </c>
      <c r="F1067" t="s">
        <v>1274</v>
      </c>
      <c r="G1067" t="s">
        <v>1555</v>
      </c>
      <c r="H1067" t="n">
        <v>39.7341879949695</v>
      </c>
      <c r="I1067" t="n">
        <v>-104.993757746227</v>
      </c>
      <c r="J1067" t="s">
        <v>4109</v>
      </c>
      <c r="K1067" t="s">
        <v>315</v>
      </c>
      <c r="L1067"/>
      <c r="M1067" t="n">
        <v>1973</v>
      </c>
      <c r="N1067" t="n">
        <v>1990</v>
      </c>
      <c r="O1067" t="s">
        <v>127</v>
      </c>
      <c r="P1067" t="n">
        <v>3</v>
      </c>
      <c r="Q1067" t="n">
        <v>2</v>
      </c>
      <c r="R1067" t="n">
        <v>1</v>
      </c>
      <c r="S1067" t="n">
        <v>1957</v>
      </c>
      <c r="T1067" t="s">
        <v>4457</v>
      </c>
      <c r="U1067" t="s">
        <v>4458</v>
      </c>
      <c r="V1067" t="s">
        <v>74</v>
      </c>
      <c r="W1067"/>
      <c r="X1067"/>
      <c r="Y1067"/>
      <c r="Z1067"/>
      <c r="AA1067"/>
      <c r="AB1067"/>
      <c r="AC1067"/>
      <c r="AD1067"/>
      <c r="AE1067"/>
      <c r="AF1067" t="s">
        <v>4312</v>
      </c>
      <c r="AG1067" t="n">
        <v>178</v>
      </c>
    </row>
    <row r="1068">
      <c r="A1068" t="s">
        <v>4459</v>
      </c>
      <c r="B1068" t="s">
        <v>31</v>
      </c>
      <c r="C1068" t="s">
        <v>24</v>
      </c>
      <c r="D1068" t="s">
        <v>4460</v>
      </c>
      <c r="E1068" t="s">
        <v>79</v>
      </c>
      <c r="F1068" t="s">
        <v>1274</v>
      </c>
      <c r="G1068" t="s">
        <v>1516</v>
      </c>
      <c r="H1068" t="n">
        <v>39.716955612244</v>
      </c>
      <c r="I1068" t="n">
        <v>-105.00018202097</v>
      </c>
      <c r="J1068" t="s">
        <v>4109</v>
      </c>
      <c r="K1068" t="s">
        <v>141</v>
      </c>
      <c r="L1068"/>
      <c r="M1068" t="n">
        <v>1973</v>
      </c>
      <c r="N1068" t="n">
        <v>1974</v>
      </c>
      <c r="O1068" t="s">
        <v>127</v>
      </c>
      <c r="P1068" t="n">
        <v>2</v>
      </c>
      <c r="Q1068" t="n">
        <v>2</v>
      </c>
      <c r="R1068" t="n">
        <v>2</v>
      </c>
      <c r="S1068" t="n">
        <v>1914</v>
      </c>
      <c r="T1068" t="s">
        <v>4461</v>
      </c>
      <c r="U1068" t="s">
        <v>4462</v>
      </c>
      <c r="V1068" t="s">
        <v>74</v>
      </c>
      <c r="W1068"/>
      <c r="X1068"/>
      <c r="Y1068"/>
      <c r="Z1068"/>
      <c r="AA1068"/>
      <c r="AB1068" t="s">
        <v>2132</v>
      </c>
      <c r="AC1068" t="n">
        <v>126</v>
      </c>
      <c r="AD1068"/>
      <c r="AE1068"/>
      <c r="AF1068" t="s">
        <v>4463</v>
      </c>
      <c r="AG1068" t="n">
        <v>49</v>
      </c>
    </row>
    <row r="1069">
      <c r="A1069" t="s">
        <v>1822</v>
      </c>
      <c r="B1069" t="s">
        <v>31</v>
      </c>
      <c r="C1069" t="s">
        <v>65</v>
      </c>
      <c r="D1069" t="s">
        <v>1823</v>
      </c>
      <c r="E1069" t="s">
        <v>79</v>
      </c>
      <c r="F1069" t="s">
        <v>1274</v>
      </c>
      <c r="G1069" t="s">
        <v>1824</v>
      </c>
      <c r="H1069" t="n">
        <v>39.7105606111025</v>
      </c>
      <c r="I1069" t="n">
        <v>-104.967478352466</v>
      </c>
      <c r="J1069" t="s">
        <v>35</v>
      </c>
      <c r="K1069" t="s">
        <v>126</v>
      </c>
      <c r="L1069"/>
      <c r="M1069" t="n">
        <v>1973</v>
      </c>
      <c r="N1069" t="n">
        <v>1973</v>
      </c>
      <c r="O1069" t="s">
        <v>121</v>
      </c>
      <c r="P1069" t="n">
        <v>1</v>
      </c>
      <c r="Q1069" t="n">
        <v>1</v>
      </c>
      <c r="R1069" t="n">
        <v>1</v>
      </c>
      <c r="S1069" t="n">
        <v>1967</v>
      </c>
      <c r="T1069" t="s">
        <v>1825</v>
      </c>
      <c r="U1069" t="s">
        <v>1826</v>
      </c>
      <c r="V1069" t="s">
        <v>74</v>
      </c>
      <c r="W1069"/>
      <c r="X1069"/>
      <c r="Y1069"/>
      <c r="Z1069"/>
      <c r="AA1069"/>
      <c r="AB1069"/>
      <c r="AC1069"/>
      <c r="AD1069"/>
      <c r="AE1069"/>
      <c r="AF1069" t="s">
        <v>1827</v>
      </c>
      <c r="AG1069" t="n">
        <v>211</v>
      </c>
    </row>
    <row r="1070">
      <c r="A1070" t="s">
        <v>1828</v>
      </c>
      <c r="B1070" t="s">
        <v>31</v>
      </c>
      <c r="C1070" t="s">
        <v>65</v>
      </c>
      <c r="D1070" t="s">
        <v>1829</v>
      </c>
      <c r="E1070" t="s">
        <v>79</v>
      </c>
      <c r="F1070" t="s">
        <v>1274</v>
      </c>
      <c r="G1070" t="s">
        <v>1555</v>
      </c>
      <c r="H1070" t="n">
        <v>39.7355276537111</v>
      </c>
      <c r="I1070" t="n">
        <v>-104.995492863167</v>
      </c>
      <c r="J1070" t="s">
        <v>35</v>
      </c>
      <c r="K1070" t="s">
        <v>120</v>
      </c>
      <c r="L1070"/>
      <c r="M1070" t="n">
        <v>1973</v>
      </c>
      <c r="N1070" t="n">
        <v>1977</v>
      </c>
      <c r="O1070" t="s">
        <v>1830</v>
      </c>
      <c r="P1070" t="n">
        <v>3</v>
      </c>
      <c r="Q1070" t="n">
        <v>2</v>
      </c>
      <c r="R1070" t="n">
        <v>1</v>
      </c>
      <c r="S1070" t="n">
        <v>1969</v>
      </c>
      <c r="T1070" t="s">
        <v>1831</v>
      </c>
      <c r="U1070" t="s">
        <v>1832</v>
      </c>
      <c r="V1070" t="s">
        <v>74</v>
      </c>
      <c r="W1070"/>
      <c r="X1070"/>
      <c r="Y1070"/>
      <c r="Z1070"/>
      <c r="AA1070"/>
      <c r="AB1070"/>
      <c r="AC1070"/>
      <c r="AD1070"/>
      <c r="AE1070"/>
      <c r="AF1070" t="s">
        <v>1833</v>
      </c>
      <c r="AG1070" t="n">
        <v>79</v>
      </c>
    </row>
    <row r="1071">
      <c r="A1071" t="s">
        <v>1834</v>
      </c>
      <c r="B1071" t="s">
        <v>31</v>
      </c>
      <c r="C1071" t="s">
        <v>65</v>
      </c>
      <c r="D1071" t="s">
        <v>1835</v>
      </c>
      <c r="E1071" t="s">
        <v>79</v>
      </c>
      <c r="F1071" t="s">
        <v>1274</v>
      </c>
      <c r="G1071" t="s">
        <v>1516</v>
      </c>
      <c r="H1071" t="n">
        <v>39.7209264955012</v>
      </c>
      <c r="I1071" t="n">
        <v>-105.004225180112</v>
      </c>
      <c r="J1071" t="s">
        <v>35</v>
      </c>
      <c r="K1071" t="s">
        <v>120</v>
      </c>
      <c r="L1071"/>
      <c r="M1071" t="n">
        <v>1973</v>
      </c>
      <c r="N1071" t="n">
        <v>1973</v>
      </c>
      <c r="O1071" t="s">
        <v>121</v>
      </c>
      <c r="P1071" t="n">
        <v>1</v>
      </c>
      <c r="Q1071" t="n">
        <v>1</v>
      </c>
      <c r="R1071" t="n">
        <v>1</v>
      </c>
      <c r="S1071" t="n">
        <v>1969</v>
      </c>
      <c r="T1071" t="s">
        <v>1836</v>
      </c>
      <c r="U1071" t="s">
        <v>1837</v>
      </c>
      <c r="V1071" t="s">
        <v>74</v>
      </c>
      <c r="W1071"/>
      <c r="X1071"/>
      <c r="Y1071"/>
      <c r="Z1071"/>
      <c r="AA1071"/>
      <c r="AB1071"/>
      <c r="AC1071"/>
      <c r="AD1071"/>
      <c r="AE1071"/>
      <c r="AF1071" t="s">
        <v>1838</v>
      </c>
      <c r="AG1071" t="n">
        <v>79</v>
      </c>
    </row>
    <row r="1072">
      <c r="A1072" t="s">
        <v>1839</v>
      </c>
      <c r="B1072" t="s">
        <v>31</v>
      </c>
      <c r="C1072" t="s">
        <v>65</v>
      </c>
      <c r="D1072" t="s">
        <v>1840</v>
      </c>
      <c r="E1072" t="s">
        <v>79</v>
      </c>
      <c r="F1072" t="s">
        <v>1274</v>
      </c>
      <c r="G1072" t="s">
        <v>1516</v>
      </c>
      <c r="H1072" t="n">
        <v>39.7018883339069</v>
      </c>
      <c r="I1072" t="n">
        <v>-105.001531</v>
      </c>
      <c r="J1072" t="s">
        <v>35</v>
      </c>
      <c r="K1072" t="s">
        <v>1495</v>
      </c>
      <c r="L1072"/>
      <c r="M1072" t="n">
        <v>1973</v>
      </c>
      <c r="N1072" t="n">
        <v>1990</v>
      </c>
      <c r="O1072" t="s">
        <v>351</v>
      </c>
      <c r="P1072" t="n">
        <v>3</v>
      </c>
      <c r="Q1072" t="n">
        <v>1</v>
      </c>
      <c r="R1072" t="n">
        <v>1</v>
      </c>
      <c r="S1072" t="n">
        <v>1942</v>
      </c>
      <c r="T1072" t="s">
        <v>1841</v>
      </c>
      <c r="U1072" t="s">
        <v>1842</v>
      </c>
      <c r="V1072" t="s">
        <v>74</v>
      </c>
      <c r="W1072"/>
      <c r="X1072"/>
      <c r="Y1072"/>
      <c r="Z1072"/>
      <c r="AA1072"/>
      <c r="AB1072" t="s">
        <v>1804</v>
      </c>
      <c r="AC1072" t="n">
        <v>179</v>
      </c>
      <c r="AD1072"/>
      <c r="AE1072"/>
      <c r="AF1072" t="s">
        <v>1805</v>
      </c>
      <c r="AG1072" t="n">
        <v>72</v>
      </c>
    </row>
    <row r="1073">
      <c r="A1073" t="s">
        <v>1843</v>
      </c>
      <c r="B1073" t="s">
        <v>31</v>
      </c>
      <c r="C1073" t="s">
        <v>65</v>
      </c>
      <c r="D1073" t="s">
        <v>1844</v>
      </c>
      <c r="E1073" t="s">
        <v>79</v>
      </c>
      <c r="F1073" t="s">
        <v>1274</v>
      </c>
      <c r="G1073" t="s">
        <v>1653</v>
      </c>
      <c r="H1073" t="n">
        <v>39.792294681217</v>
      </c>
      <c r="I1073" t="n">
        <v>-104.9498642088</v>
      </c>
      <c r="J1073" t="s">
        <v>35</v>
      </c>
      <c r="K1073" t="s">
        <v>315</v>
      </c>
      <c r="L1073"/>
      <c r="M1073" t="n">
        <v>1973</v>
      </c>
      <c r="N1073" t="n">
        <v>1973</v>
      </c>
      <c r="O1073" t="s">
        <v>121</v>
      </c>
      <c r="P1073" t="n">
        <v>1</v>
      </c>
      <c r="Q1073" t="n">
        <v>1</v>
      </c>
      <c r="R1073" t="n">
        <v>1</v>
      </c>
      <c r="S1073" t="n">
        <v>1972</v>
      </c>
      <c r="T1073" t="s">
        <v>1845</v>
      </c>
      <c r="U1073" t="s">
        <v>1846</v>
      </c>
      <c r="V1073" t="s">
        <v>74</v>
      </c>
      <c r="W1073"/>
      <c r="X1073"/>
      <c r="Y1073"/>
      <c r="Z1073"/>
      <c r="AA1073"/>
      <c r="AB1073"/>
      <c r="AC1073"/>
      <c r="AD1073"/>
      <c r="AE1073"/>
      <c r="AF1073" t="s">
        <v>1847</v>
      </c>
      <c r="AG1073" t="n">
        <v>64</v>
      </c>
    </row>
    <row r="1074">
      <c r="A1074" t="s">
        <v>4464</v>
      </c>
      <c r="B1074" t="s">
        <v>31</v>
      </c>
      <c r="C1074" t="s">
        <v>24</v>
      </c>
      <c r="D1074" t="s">
        <v>4465</v>
      </c>
      <c r="E1074" t="s">
        <v>79</v>
      </c>
      <c r="F1074" t="s">
        <v>1274</v>
      </c>
      <c r="G1074" t="s">
        <v>1555</v>
      </c>
      <c r="H1074" t="n">
        <v>39.749516278481</v>
      </c>
      <c r="I1074" t="n">
        <v>-105.005906113924</v>
      </c>
      <c r="J1074" t="s">
        <v>35</v>
      </c>
      <c r="K1074" t="s">
        <v>133</v>
      </c>
      <c r="L1074"/>
      <c r="M1074" t="n">
        <v>1973</v>
      </c>
      <c r="N1074" t="n">
        <v>1980</v>
      </c>
      <c r="O1074" t="s">
        <v>121</v>
      </c>
      <c r="P1074" t="n">
        <v>3</v>
      </c>
      <c r="Q1074" t="n">
        <v>2</v>
      </c>
      <c r="R1074" t="n">
        <v>1</v>
      </c>
      <c r="S1074" t="n">
        <v>1921</v>
      </c>
      <c r="T1074" t="s">
        <v>4466</v>
      </c>
      <c r="U1074" t="s">
        <v>4467</v>
      </c>
      <c r="V1074" t="s">
        <v>4175</v>
      </c>
      <c r="W1074"/>
      <c r="X1074"/>
      <c r="Y1074"/>
      <c r="Z1074"/>
      <c r="AA1074"/>
      <c r="AB1074" t="s">
        <v>4468</v>
      </c>
      <c r="AC1074" t="n">
        <v>224</v>
      </c>
      <c r="AD1074"/>
      <c r="AE1074"/>
      <c r="AF1074" t="s">
        <v>1635</v>
      </c>
      <c r="AG1074" t="n">
        <v>125</v>
      </c>
    </row>
    <row r="1075">
      <c r="A1075" t="s">
        <v>1848</v>
      </c>
      <c r="B1075" t="s">
        <v>31</v>
      </c>
      <c r="C1075" t="s">
        <v>65</v>
      </c>
      <c r="D1075" t="s">
        <v>1849</v>
      </c>
      <c r="E1075" t="s">
        <v>79</v>
      </c>
      <c r="F1075" t="s">
        <v>1274</v>
      </c>
      <c r="G1075" t="s">
        <v>1638</v>
      </c>
      <c r="H1075" t="n">
        <v>39.750407</v>
      </c>
      <c r="I1075" t="n">
        <v>-104.994127</v>
      </c>
      <c r="J1075" t="s">
        <v>35</v>
      </c>
      <c r="K1075" t="s">
        <v>70</v>
      </c>
      <c r="L1075" t="s">
        <v>1337</v>
      </c>
      <c r="M1075" t="n">
        <v>1973</v>
      </c>
      <c r="N1075" t="n">
        <v>1977</v>
      </c>
      <c r="O1075" t="s">
        <v>127</v>
      </c>
      <c r="P1075" t="n">
        <v>3</v>
      </c>
      <c r="Q1075" t="n">
        <v>2</v>
      </c>
      <c r="R1075" t="n">
        <v>2</v>
      </c>
      <c r="S1075" t="n">
        <v>1881</v>
      </c>
      <c r="T1075" t="s">
        <v>1850</v>
      </c>
      <c r="U1075" t="s">
        <v>1851</v>
      </c>
      <c r="V1075" t="s">
        <v>74</v>
      </c>
      <c r="W1075"/>
      <c r="X1075"/>
      <c r="Y1075"/>
      <c r="Z1075"/>
      <c r="AA1075"/>
      <c r="AB1075" t="s">
        <v>1852</v>
      </c>
      <c r="AC1075" t="n">
        <v>128</v>
      </c>
      <c r="AD1075" t="s">
        <v>1853</v>
      </c>
      <c r="AE1075" t="n">
        <v>156</v>
      </c>
      <c r="AF1075" t="s">
        <v>1854</v>
      </c>
      <c r="AG1075" t="n">
        <v>125</v>
      </c>
    </row>
    <row r="1076">
      <c r="A1076" t="s">
        <v>4469</v>
      </c>
      <c r="B1076" t="s">
        <v>31</v>
      </c>
      <c r="C1076" t="s">
        <v>24</v>
      </c>
      <c r="D1076" t="s">
        <v>4470</v>
      </c>
      <c r="E1076" t="s">
        <v>79</v>
      </c>
      <c r="F1076" t="s">
        <v>1274</v>
      </c>
      <c r="G1076" t="s">
        <v>1612</v>
      </c>
      <c r="H1076" t="n">
        <v>39.7209232631579</v>
      </c>
      <c r="I1076" t="n">
        <v>-105.032474263158</v>
      </c>
      <c r="J1076" t="s">
        <v>4109</v>
      </c>
      <c r="K1076" t="s">
        <v>70</v>
      </c>
      <c r="L1076"/>
      <c r="M1076" t="n">
        <v>1973</v>
      </c>
      <c r="N1076" t="n">
        <v>1973</v>
      </c>
      <c r="O1076" t="s">
        <v>121</v>
      </c>
      <c r="P1076" t="n">
        <v>1</v>
      </c>
      <c r="Q1076" t="n">
        <v>1</v>
      </c>
      <c r="R1076" t="n">
        <v>1</v>
      </c>
      <c r="S1076" t="n">
        <v>1955</v>
      </c>
      <c r="T1076" t="s">
        <v>4471</v>
      </c>
      <c r="U1076" t="s">
        <v>4472</v>
      </c>
      <c r="V1076" t="s">
        <v>74</v>
      </c>
      <c r="W1076"/>
      <c r="X1076"/>
      <c r="Y1076"/>
      <c r="Z1076"/>
      <c r="AA1076"/>
      <c r="AB1076" t="s">
        <v>4473</v>
      </c>
      <c r="AC1076" t="n">
        <v>128</v>
      </c>
      <c r="AD1076"/>
      <c r="AE1076"/>
      <c r="AF1076" t="s">
        <v>4474</v>
      </c>
      <c r="AG1076" t="n">
        <v>55</v>
      </c>
    </row>
    <row r="1077">
      <c r="A1077" t="s">
        <v>1855</v>
      </c>
      <c r="B1077" t="s">
        <v>31</v>
      </c>
      <c r="C1077" t="s">
        <v>65</v>
      </c>
      <c r="D1077" t="s">
        <v>1856</v>
      </c>
      <c r="E1077" t="s">
        <v>79</v>
      </c>
      <c r="F1077" t="s">
        <v>1274</v>
      </c>
      <c r="G1077" t="s">
        <v>1638</v>
      </c>
      <c r="H1077" t="n">
        <v>39.7040230648993</v>
      </c>
      <c r="I1077" t="n">
        <v>-104.938254971018</v>
      </c>
      <c r="J1077" t="s">
        <v>35</v>
      </c>
      <c r="K1077" t="s">
        <v>234</v>
      </c>
      <c r="L1077"/>
      <c r="M1077" t="n">
        <v>1973</v>
      </c>
      <c r="N1077" t="n">
        <v>1977</v>
      </c>
      <c r="O1077" t="s">
        <v>1857</v>
      </c>
      <c r="P1077" t="n">
        <v>3</v>
      </c>
      <c r="Q1077" t="n">
        <v>2</v>
      </c>
      <c r="R1077" t="n">
        <v>2</v>
      </c>
      <c r="S1077" t="n">
        <v>1885</v>
      </c>
      <c r="T1077" t="s">
        <v>1858</v>
      </c>
      <c r="U1077" t="s">
        <v>1859</v>
      </c>
      <c r="V1077" t="s">
        <v>74</v>
      </c>
      <c r="W1077"/>
      <c r="X1077"/>
      <c r="Y1077"/>
      <c r="Z1077"/>
      <c r="AA1077"/>
      <c r="AB1077" t="s">
        <v>1860</v>
      </c>
      <c r="AC1077" t="n">
        <v>224</v>
      </c>
      <c r="AD1077"/>
      <c r="AE1077"/>
      <c r="AF1077" t="s">
        <v>1861</v>
      </c>
      <c r="AG1077" t="n">
        <v>182</v>
      </c>
    </row>
    <row r="1078">
      <c r="A1078" t="s">
        <v>1862</v>
      </c>
      <c r="B1078" t="s">
        <v>31</v>
      </c>
      <c r="C1078" t="s">
        <v>65</v>
      </c>
      <c r="D1078" t="s">
        <v>1863</v>
      </c>
      <c r="E1078" t="s">
        <v>79</v>
      </c>
      <c r="F1078" t="s">
        <v>1274</v>
      </c>
      <c r="G1078" t="s">
        <v>1702</v>
      </c>
      <c r="H1078" t="n">
        <v>39.7868657060728</v>
      </c>
      <c r="I1078" t="n">
        <v>-104.863296550185</v>
      </c>
      <c r="J1078" t="s">
        <v>35</v>
      </c>
      <c r="K1078" t="s">
        <v>988</v>
      </c>
      <c r="L1078"/>
      <c r="M1078" t="n">
        <v>1973</v>
      </c>
      <c r="N1078" t="n">
        <v>1980</v>
      </c>
      <c r="O1078" t="s">
        <v>112</v>
      </c>
      <c r="P1078" t="n">
        <v>4</v>
      </c>
      <c r="Q1078" t="n">
        <v>2</v>
      </c>
      <c r="R1078" t="n">
        <v>2</v>
      </c>
      <c r="S1078" t="n">
        <v>1968</v>
      </c>
      <c r="T1078" t="s">
        <v>1864</v>
      </c>
      <c r="U1078" t="s">
        <v>1865</v>
      </c>
      <c r="V1078" t="s">
        <v>74</v>
      </c>
      <c r="W1078"/>
      <c r="X1078"/>
      <c r="Y1078"/>
      <c r="Z1078"/>
      <c r="AA1078"/>
      <c r="AB1078" t="s">
        <v>1866</v>
      </c>
      <c r="AC1078" t="n">
        <v>220</v>
      </c>
      <c r="AD1078" t="s">
        <v>1867</v>
      </c>
      <c r="AE1078" t="n">
        <v>242</v>
      </c>
      <c r="AF1078" t="s">
        <v>1868</v>
      </c>
      <c r="AG1078" t="n">
        <v>84</v>
      </c>
    </row>
    <row r="1079">
      <c r="A1079" t="s">
        <v>1869</v>
      </c>
      <c r="B1079" t="s">
        <v>31</v>
      </c>
      <c r="C1079" t="s">
        <v>65</v>
      </c>
      <c r="D1079" t="s">
        <v>1870</v>
      </c>
      <c r="E1079" t="s">
        <v>79</v>
      </c>
      <c r="F1079" t="s">
        <v>1274</v>
      </c>
      <c r="G1079" t="s">
        <v>1540</v>
      </c>
      <c r="H1079" t="n">
        <v>39.7634896938776</v>
      </c>
      <c r="I1079" t="n">
        <v>-105.055630632653</v>
      </c>
      <c r="J1079" t="s">
        <v>35</v>
      </c>
      <c r="K1079" t="s">
        <v>1871</v>
      </c>
      <c r="L1079"/>
      <c r="M1079" t="n">
        <v>1973</v>
      </c>
      <c r="N1079" t="n">
        <v>1983</v>
      </c>
      <c r="O1079" t="s">
        <v>1872</v>
      </c>
      <c r="P1079" t="n">
        <v>5</v>
      </c>
      <c r="Q1079" t="n">
        <v>2</v>
      </c>
      <c r="R1079" t="n">
        <v>1</v>
      </c>
      <c r="S1079" t="n">
        <v>1945</v>
      </c>
      <c r="T1079" t="s">
        <v>1873</v>
      </c>
      <c r="U1079" t="s">
        <v>1874</v>
      </c>
      <c r="V1079" t="s">
        <v>74</v>
      </c>
      <c r="W1079"/>
      <c r="X1079"/>
      <c r="Y1079"/>
      <c r="Z1079"/>
      <c r="AA1079"/>
      <c r="AB1079"/>
      <c r="AC1079"/>
      <c r="AD1079"/>
      <c r="AE1079"/>
      <c r="AF1079"/>
      <c r="AG1079"/>
    </row>
    <row r="1080">
      <c r="A1080" t="s">
        <v>1875</v>
      </c>
      <c r="B1080" t="s">
        <v>31</v>
      </c>
      <c r="C1080" t="s">
        <v>65</v>
      </c>
      <c r="D1080" t="s">
        <v>1876</v>
      </c>
      <c r="E1080" t="s">
        <v>79</v>
      </c>
      <c r="F1080" t="s">
        <v>1274</v>
      </c>
      <c r="G1080" t="s">
        <v>1691</v>
      </c>
      <c r="H1080" t="n">
        <v>39.698786</v>
      </c>
      <c r="I1080" t="n">
        <v>-104.924112</v>
      </c>
      <c r="J1080" t="s">
        <v>35</v>
      </c>
      <c r="K1080" t="s">
        <v>315</v>
      </c>
      <c r="L1080"/>
      <c r="M1080" t="n">
        <v>1974</v>
      </c>
      <c r="N1080" t="n">
        <v>1977</v>
      </c>
      <c r="O1080" t="s">
        <v>1830</v>
      </c>
      <c r="P1080" t="n">
        <v>2</v>
      </c>
      <c r="Q1080" t="n">
        <v>1</v>
      </c>
      <c r="R1080" t="n">
        <v>1</v>
      </c>
      <c r="S1080" t="n">
        <v>1974</v>
      </c>
      <c r="T1080" t="s">
        <v>1877</v>
      </c>
      <c r="U1080" t="s">
        <v>1878</v>
      </c>
      <c r="V1080" t="s">
        <v>74</v>
      </c>
      <c r="W1080"/>
      <c r="X1080"/>
      <c r="Y1080"/>
      <c r="Z1080"/>
      <c r="AA1080"/>
      <c r="AB1080"/>
      <c r="AC1080"/>
      <c r="AD1080"/>
      <c r="AE1080"/>
      <c r="AF1080"/>
      <c r="AG1080"/>
    </row>
    <row r="1081">
      <c r="A1081" t="s">
        <v>1879</v>
      </c>
      <c r="B1081" t="s">
        <v>31</v>
      </c>
      <c r="C1081" t="s">
        <v>65</v>
      </c>
      <c r="D1081" t="s">
        <v>1880</v>
      </c>
      <c r="E1081" t="s">
        <v>79</v>
      </c>
      <c r="F1081" t="s">
        <v>1274</v>
      </c>
      <c r="G1081" t="s">
        <v>1881</v>
      </c>
      <c r="H1081" t="n">
        <v>39.7715074910925</v>
      </c>
      <c r="I1081" t="n">
        <v>-104.893270001616</v>
      </c>
      <c r="J1081" t="s">
        <v>35</v>
      </c>
      <c r="K1081" t="s">
        <v>70</v>
      </c>
      <c r="L1081"/>
      <c r="M1081" t="n">
        <v>1974</v>
      </c>
      <c r="N1081" t="n">
        <v>1977</v>
      </c>
      <c r="O1081" t="s">
        <v>1830</v>
      </c>
      <c r="P1081" t="n">
        <v>2</v>
      </c>
      <c r="Q1081" t="n">
        <v>1</v>
      </c>
      <c r="R1081" t="n">
        <v>1</v>
      </c>
      <c r="S1081" t="n">
        <v>1945</v>
      </c>
      <c r="T1081" t="s">
        <v>1882</v>
      </c>
      <c r="U1081" t="s">
        <v>1883</v>
      </c>
      <c r="V1081" t="s">
        <v>74</v>
      </c>
      <c r="W1081"/>
      <c r="X1081"/>
      <c r="Y1081"/>
      <c r="Z1081"/>
      <c r="AA1081"/>
      <c r="AB1081" t="s">
        <v>1884</v>
      </c>
      <c r="AC1081" t="n">
        <v>199</v>
      </c>
      <c r="AD1081" t="s">
        <v>1884</v>
      </c>
      <c r="AE1081" t="n">
        <v>142</v>
      </c>
      <c r="AF1081" t="s">
        <v>1885</v>
      </c>
      <c r="AG1081" t="n">
        <v>79</v>
      </c>
    </row>
    <row r="1082">
      <c r="A1082" t="s">
        <v>1886</v>
      </c>
      <c r="B1082" t="s">
        <v>31</v>
      </c>
      <c r="C1082" t="s">
        <v>65</v>
      </c>
      <c r="D1082" t="s">
        <v>1887</v>
      </c>
      <c r="E1082" t="s">
        <v>79</v>
      </c>
      <c r="F1082" t="s">
        <v>1274</v>
      </c>
      <c r="G1082" t="s">
        <v>1516</v>
      </c>
      <c r="H1082" t="n">
        <v>39.716588</v>
      </c>
      <c r="I1082" t="n">
        <v>-105.001611</v>
      </c>
      <c r="J1082" t="s">
        <v>35</v>
      </c>
      <c r="K1082" t="s">
        <v>133</v>
      </c>
      <c r="L1082"/>
      <c r="M1082" t="n">
        <v>1974</v>
      </c>
      <c r="N1082" t="n">
        <v>1980</v>
      </c>
      <c r="O1082" t="s">
        <v>1888</v>
      </c>
      <c r="P1082" t="n">
        <v>3</v>
      </c>
      <c r="Q1082" t="n">
        <v>2</v>
      </c>
      <c r="R1082" t="n">
        <v>2</v>
      </c>
      <c r="S1082" t="n">
        <v>1963</v>
      </c>
      <c r="T1082" t="s">
        <v>1889</v>
      </c>
      <c r="U1082" t="s">
        <v>1890</v>
      </c>
      <c r="V1082" t="s">
        <v>74</v>
      </c>
      <c r="W1082"/>
      <c r="X1082"/>
      <c r="Y1082"/>
      <c r="Z1082"/>
      <c r="AA1082"/>
      <c r="AB1082" t="s">
        <v>1891</v>
      </c>
      <c r="AC1082" t="n">
        <v>154</v>
      </c>
      <c r="AD1082"/>
      <c r="AE1082"/>
      <c r="AF1082" t="s">
        <v>1892</v>
      </c>
      <c r="AG1082" t="n">
        <v>50</v>
      </c>
    </row>
    <row r="1083">
      <c r="A1083" t="s">
        <v>1893</v>
      </c>
      <c r="B1083" t="s">
        <v>31</v>
      </c>
      <c r="C1083" t="s">
        <v>65</v>
      </c>
      <c r="D1083" t="s">
        <v>1894</v>
      </c>
      <c r="E1083" t="s">
        <v>79</v>
      </c>
      <c r="F1083" t="s">
        <v>1274</v>
      </c>
      <c r="G1083" t="s">
        <v>1691</v>
      </c>
      <c r="H1083" t="n">
        <v>39.6781302380604</v>
      </c>
      <c r="I1083" t="n">
        <v>-104.91878808629</v>
      </c>
      <c r="J1083" t="s">
        <v>35</v>
      </c>
      <c r="K1083" t="s">
        <v>120</v>
      </c>
      <c r="L1083"/>
      <c r="M1083" t="n">
        <v>1974</v>
      </c>
      <c r="N1083" t="n">
        <v>1988</v>
      </c>
      <c r="O1083" t="s">
        <v>1895</v>
      </c>
      <c r="P1083" t="n">
        <v>5</v>
      </c>
      <c r="Q1083" t="n">
        <v>4</v>
      </c>
      <c r="R1083" t="n">
        <v>3</v>
      </c>
      <c r="S1083" t="n">
        <v>1970</v>
      </c>
      <c r="T1083" t="s">
        <v>1896</v>
      </c>
      <c r="U1083" t="s">
        <v>1897</v>
      </c>
      <c r="V1083" t="s">
        <v>74</v>
      </c>
      <c r="W1083"/>
      <c r="X1083"/>
      <c r="Y1083"/>
      <c r="Z1083"/>
      <c r="AA1083"/>
      <c r="AB1083"/>
      <c r="AC1083"/>
      <c r="AD1083"/>
      <c r="AE1083"/>
      <c r="AF1083" t="s">
        <v>1898</v>
      </c>
      <c r="AG1083" t="n">
        <v>56</v>
      </c>
    </row>
    <row r="1084">
      <c r="A1084" t="s">
        <v>1899</v>
      </c>
      <c r="B1084" t="s">
        <v>31</v>
      </c>
      <c r="C1084" t="s">
        <v>65</v>
      </c>
      <c r="D1084" t="s">
        <v>1900</v>
      </c>
      <c r="E1084" t="s">
        <v>79</v>
      </c>
      <c r="F1084" t="s">
        <v>1274</v>
      </c>
      <c r="G1084" t="s">
        <v>1440</v>
      </c>
      <c r="H1084" t="n">
        <v>39.7660841972796</v>
      </c>
      <c r="I1084" t="n">
        <v>-105.000687599914</v>
      </c>
      <c r="J1084" t="s">
        <v>35</v>
      </c>
      <c r="K1084" t="s">
        <v>70</v>
      </c>
      <c r="L1084"/>
      <c r="M1084" t="n">
        <v>1974</v>
      </c>
      <c r="N1084" t="n">
        <v>1977</v>
      </c>
      <c r="O1084" t="s">
        <v>1830</v>
      </c>
      <c r="P1084" t="n">
        <v>2</v>
      </c>
      <c r="Q1084" t="n">
        <v>2</v>
      </c>
      <c r="R1084" t="n">
        <v>2</v>
      </c>
      <c r="S1084"/>
      <c r="T1084" t="s">
        <v>1901</v>
      </c>
      <c r="U1084" t="s">
        <v>1902</v>
      </c>
      <c r="V1084" t="s">
        <v>74</v>
      </c>
      <c r="W1084"/>
      <c r="X1084"/>
      <c r="Y1084"/>
      <c r="Z1084"/>
      <c r="AA1084"/>
      <c r="AB1084" t="s">
        <v>1903</v>
      </c>
      <c r="AC1084" t="n">
        <v>203</v>
      </c>
      <c r="AD1084"/>
      <c r="AE1084"/>
      <c r="AF1084"/>
      <c r="AG1084"/>
    </row>
    <row r="1085">
      <c r="A1085" t="s">
        <v>1904</v>
      </c>
      <c r="B1085" t="s">
        <v>31</v>
      </c>
      <c r="C1085" t="s">
        <v>65</v>
      </c>
      <c r="D1085" t="s">
        <v>1905</v>
      </c>
      <c r="E1085" t="s">
        <v>79</v>
      </c>
      <c r="F1085" t="s">
        <v>1274</v>
      </c>
      <c r="G1085" t="s">
        <v>1691</v>
      </c>
      <c r="H1085" t="n">
        <v>39.6787999991603</v>
      </c>
      <c r="I1085" t="n">
        <v>-104.923896853137</v>
      </c>
      <c r="J1085" t="s">
        <v>35</v>
      </c>
      <c r="K1085" t="s">
        <v>120</v>
      </c>
      <c r="L1085"/>
      <c r="M1085" t="n">
        <v>1974</v>
      </c>
      <c r="N1085" t="n">
        <v>1974</v>
      </c>
      <c r="O1085" t="s">
        <v>210</v>
      </c>
      <c r="P1085" t="n">
        <v>1</v>
      </c>
      <c r="Q1085" t="n">
        <v>1</v>
      </c>
      <c r="R1085" t="n">
        <v>1</v>
      </c>
      <c r="S1085" t="n">
        <v>1972</v>
      </c>
      <c r="T1085" t="s">
        <v>1906</v>
      </c>
      <c r="U1085" t="s">
        <v>1907</v>
      </c>
      <c r="V1085" t="s">
        <v>74</v>
      </c>
      <c r="W1085"/>
      <c r="X1085"/>
      <c r="Y1085"/>
      <c r="Z1085"/>
      <c r="AA1085"/>
      <c r="AB1085"/>
      <c r="AC1085"/>
      <c r="AD1085"/>
      <c r="AE1085"/>
      <c r="AF1085" t="s">
        <v>1908</v>
      </c>
      <c r="AG1085" t="n">
        <v>57</v>
      </c>
    </row>
    <row r="1086">
      <c r="A1086" t="s">
        <v>1909</v>
      </c>
      <c r="B1086" t="s">
        <v>31</v>
      </c>
      <c r="C1086" t="s">
        <v>65</v>
      </c>
      <c r="D1086" t="s">
        <v>1910</v>
      </c>
      <c r="E1086" t="s">
        <v>79</v>
      </c>
      <c r="F1086" t="s">
        <v>1274</v>
      </c>
      <c r="G1086" t="s">
        <v>1911</v>
      </c>
      <c r="H1086" t="n">
        <v>39.6960698991597</v>
      </c>
      <c r="I1086" t="n">
        <v>-104.91289</v>
      </c>
      <c r="J1086" t="s">
        <v>35</v>
      </c>
      <c r="K1086" t="s">
        <v>1282</v>
      </c>
      <c r="L1086"/>
      <c r="M1086" t="n">
        <v>1974</v>
      </c>
      <c r="N1086" t="n">
        <v>1980</v>
      </c>
      <c r="O1086" t="s">
        <v>255</v>
      </c>
      <c r="P1086" t="n">
        <v>3</v>
      </c>
      <c r="Q1086" t="n">
        <v>3</v>
      </c>
      <c r="R1086" t="n">
        <v>2</v>
      </c>
      <c r="S1086" t="n">
        <v>1969</v>
      </c>
      <c r="T1086" t="s">
        <v>1912</v>
      </c>
      <c r="U1086" t="s">
        <v>1913</v>
      </c>
      <c r="V1086" t="s">
        <v>74</v>
      </c>
      <c r="W1086"/>
      <c r="X1086"/>
      <c r="Y1086"/>
      <c r="Z1086"/>
      <c r="AA1086"/>
      <c r="AB1086"/>
      <c r="AC1086"/>
      <c r="AD1086"/>
      <c r="AE1086"/>
      <c r="AF1086"/>
      <c r="AG1086"/>
    </row>
    <row r="1087">
      <c r="A1087" t="s">
        <v>1914</v>
      </c>
      <c r="B1087" t="s">
        <v>31</v>
      </c>
      <c r="C1087" t="s">
        <v>65</v>
      </c>
      <c r="D1087" t="s">
        <v>1915</v>
      </c>
      <c r="E1087" t="s">
        <v>79</v>
      </c>
      <c r="F1087" t="s">
        <v>1274</v>
      </c>
      <c r="G1087" t="s">
        <v>1440</v>
      </c>
      <c r="H1087" t="n">
        <v>39.7801611022929</v>
      </c>
      <c r="I1087" t="n">
        <v>-105.003516959183</v>
      </c>
      <c r="J1087" t="s">
        <v>35</v>
      </c>
      <c r="K1087" t="s">
        <v>120</v>
      </c>
      <c r="L1087"/>
      <c r="M1087" t="n">
        <v>1974</v>
      </c>
      <c r="N1087" t="n">
        <v>1974</v>
      </c>
      <c r="O1087" t="s">
        <v>210</v>
      </c>
      <c r="P1087" t="n">
        <v>1</v>
      </c>
      <c r="Q1087" t="n">
        <v>1</v>
      </c>
      <c r="R1087" t="n">
        <v>1</v>
      </c>
      <c r="S1087" t="n">
        <v>1972</v>
      </c>
      <c r="T1087" t="s">
        <v>1916</v>
      </c>
      <c r="U1087" t="s">
        <v>1917</v>
      </c>
      <c r="V1087" t="s">
        <v>74</v>
      </c>
      <c r="W1087"/>
      <c r="X1087"/>
      <c r="Y1087"/>
      <c r="Z1087"/>
      <c r="AA1087"/>
      <c r="AB1087" t="s">
        <v>1918</v>
      </c>
      <c r="AC1087" t="n">
        <v>203</v>
      </c>
      <c r="AD1087" t="s">
        <v>1919</v>
      </c>
      <c r="AE1087" t="n">
        <v>213</v>
      </c>
      <c r="AF1087" t="s">
        <v>1920</v>
      </c>
      <c r="AG1087" t="n">
        <v>102</v>
      </c>
    </row>
    <row r="1088">
      <c r="A1088" t="s">
        <v>1921</v>
      </c>
      <c r="B1088" t="s">
        <v>31</v>
      </c>
      <c r="C1088" t="s">
        <v>65</v>
      </c>
      <c r="D1088" t="s">
        <v>1922</v>
      </c>
      <c r="E1088" t="s">
        <v>79</v>
      </c>
      <c r="F1088" t="s">
        <v>1274</v>
      </c>
      <c r="G1088" t="s">
        <v>1612</v>
      </c>
      <c r="H1088" t="n">
        <v>39.7111421662209</v>
      </c>
      <c r="I1088" t="n">
        <v>-105.027495124725</v>
      </c>
      <c r="J1088" t="s">
        <v>35</v>
      </c>
      <c r="K1088" t="s">
        <v>70</v>
      </c>
      <c r="L1088"/>
      <c r="M1088" t="n">
        <v>1974</v>
      </c>
      <c r="N1088" t="n">
        <v>1983</v>
      </c>
      <c r="O1088" t="s">
        <v>228</v>
      </c>
      <c r="P1088" t="n">
        <v>4</v>
      </c>
      <c r="Q1088" t="n">
        <v>2</v>
      </c>
      <c r="R1088" t="n">
        <v>1</v>
      </c>
      <c r="S1088" t="n">
        <v>1958</v>
      </c>
      <c r="T1088" t="s">
        <v>1923</v>
      </c>
      <c r="U1088" t="s">
        <v>1924</v>
      </c>
      <c r="V1088" t="s">
        <v>74</v>
      </c>
      <c r="W1088"/>
      <c r="X1088"/>
      <c r="Y1088"/>
      <c r="Z1088"/>
      <c r="AA1088"/>
      <c r="AB1088"/>
      <c r="AC1088"/>
      <c r="AD1088"/>
      <c r="AE1088"/>
      <c r="AF1088" t="s">
        <v>1925</v>
      </c>
      <c r="AG1088" t="n">
        <v>172</v>
      </c>
    </row>
    <row r="1089">
      <c r="A1089" t="s">
        <v>1926</v>
      </c>
      <c r="B1089" t="s">
        <v>31</v>
      </c>
      <c r="C1089" t="s">
        <v>65</v>
      </c>
      <c r="D1089" t="s">
        <v>1927</v>
      </c>
      <c r="E1089" t="s">
        <v>79</v>
      </c>
      <c r="F1089" t="s">
        <v>1274</v>
      </c>
      <c r="G1089" t="s">
        <v>1440</v>
      </c>
      <c r="H1089" t="n">
        <v>39.7580369517844</v>
      </c>
      <c r="I1089" t="n">
        <v>-105.011335149416</v>
      </c>
      <c r="J1089" t="s">
        <v>35</v>
      </c>
      <c r="K1089" t="s">
        <v>133</v>
      </c>
      <c r="L1089"/>
      <c r="M1089" t="n">
        <v>1974</v>
      </c>
      <c r="N1089" t="n">
        <v>1980</v>
      </c>
      <c r="O1089" t="s">
        <v>210</v>
      </c>
      <c r="P1089" t="n">
        <v>3</v>
      </c>
      <c r="Q1089" t="n">
        <v>2</v>
      </c>
      <c r="R1089" t="n">
        <v>1</v>
      </c>
      <c r="S1089" t="n">
        <v>1968</v>
      </c>
      <c r="T1089" t="s">
        <v>1928</v>
      </c>
      <c r="U1089" t="s">
        <v>1929</v>
      </c>
      <c r="V1089" t="s">
        <v>74</v>
      </c>
      <c r="W1089"/>
      <c r="X1089"/>
      <c r="Y1089"/>
      <c r="Z1089"/>
      <c r="AA1089"/>
      <c r="AB1089" t="s">
        <v>1930</v>
      </c>
      <c r="AC1089" t="n">
        <v>166</v>
      </c>
      <c r="AD1089"/>
      <c r="AE1089"/>
      <c r="AF1089" t="s">
        <v>1931</v>
      </c>
      <c r="AG1089" t="n">
        <v>183</v>
      </c>
    </row>
    <row r="1090">
      <c r="A1090" t="s">
        <v>1932</v>
      </c>
      <c r="B1090" t="s">
        <v>31</v>
      </c>
      <c r="C1090" t="s">
        <v>65</v>
      </c>
      <c r="D1090" t="s">
        <v>1933</v>
      </c>
      <c r="E1090" t="s">
        <v>79</v>
      </c>
      <c r="F1090" t="s">
        <v>1274</v>
      </c>
      <c r="G1090" t="s">
        <v>1574</v>
      </c>
      <c r="H1090" t="n">
        <v>39.7549194325753</v>
      </c>
      <c r="I1090" t="n">
        <v>-104.986555844908</v>
      </c>
      <c r="J1090" t="s">
        <v>35</v>
      </c>
      <c r="K1090" t="s">
        <v>120</v>
      </c>
      <c r="L1090"/>
      <c r="M1090" t="n">
        <v>1974</v>
      </c>
      <c r="N1090" t="n">
        <v>1992</v>
      </c>
      <c r="O1090" t="s">
        <v>194</v>
      </c>
      <c r="P1090" t="n">
        <v>6</v>
      </c>
      <c r="Q1090" t="n">
        <v>2</v>
      </c>
      <c r="R1090" t="n">
        <v>2</v>
      </c>
      <c r="S1090" t="n">
        <v>1948</v>
      </c>
      <c r="T1090" t="s">
        <v>1934</v>
      </c>
      <c r="U1090" t="s">
        <v>1935</v>
      </c>
      <c r="V1090" t="s">
        <v>74</v>
      </c>
      <c r="W1090"/>
      <c r="X1090"/>
      <c r="Y1090"/>
      <c r="Z1090"/>
      <c r="AA1090"/>
      <c r="AB1090" t="s">
        <v>1936</v>
      </c>
      <c r="AC1090" t="n">
        <v>118</v>
      </c>
      <c r="AD1090"/>
      <c r="AE1090"/>
      <c r="AF1090" t="s">
        <v>1364</v>
      </c>
      <c r="AG1090" t="n">
        <v>78</v>
      </c>
    </row>
    <row r="1091">
      <c r="A1091" t="s">
        <v>1937</v>
      </c>
      <c r="B1091" t="s">
        <v>31</v>
      </c>
      <c r="C1091" t="s">
        <v>65</v>
      </c>
      <c r="D1091" t="s">
        <v>1938</v>
      </c>
      <c r="E1091" t="s">
        <v>79</v>
      </c>
      <c r="F1091" t="s">
        <v>1274</v>
      </c>
      <c r="G1091" t="s">
        <v>1653</v>
      </c>
      <c r="H1091" t="n">
        <v>39.720059122449</v>
      </c>
      <c r="I1091" t="n">
        <v>-104.995168489796</v>
      </c>
      <c r="J1091" t="s">
        <v>35</v>
      </c>
      <c r="K1091" t="s">
        <v>70</v>
      </c>
      <c r="L1091"/>
      <c r="M1091" t="n">
        <v>1977</v>
      </c>
      <c r="N1091" t="n">
        <v>1977</v>
      </c>
      <c r="O1091" t="s">
        <v>228</v>
      </c>
      <c r="P1091" t="n">
        <v>1</v>
      </c>
      <c r="Q1091" t="n">
        <v>1</v>
      </c>
      <c r="R1091" t="n">
        <v>1</v>
      </c>
      <c r="S1091" t="n">
        <v>1947</v>
      </c>
      <c r="T1091" t="s">
        <v>1939</v>
      </c>
      <c r="U1091" t="s">
        <v>1940</v>
      </c>
      <c r="V1091" t="s">
        <v>74</v>
      </c>
      <c r="W1091"/>
      <c r="X1091"/>
      <c r="Y1091"/>
      <c r="Z1091"/>
      <c r="AA1091"/>
      <c r="AB1091"/>
      <c r="AC1091"/>
      <c r="AD1091"/>
      <c r="AE1091"/>
      <c r="AF1091" t="s">
        <v>1941</v>
      </c>
      <c r="AG1091" t="n">
        <v>207</v>
      </c>
    </row>
    <row r="1092">
      <c r="A1092" t="s">
        <v>1942</v>
      </c>
      <c r="B1092" t="s">
        <v>31</v>
      </c>
      <c r="C1092" t="s">
        <v>65</v>
      </c>
      <c r="D1092" t="s">
        <v>1943</v>
      </c>
      <c r="E1092" t="s">
        <v>79</v>
      </c>
      <c r="F1092" t="s">
        <v>1274</v>
      </c>
      <c r="G1092" t="s">
        <v>1569</v>
      </c>
      <c r="H1092" t="n">
        <v>39.6720956118284</v>
      </c>
      <c r="I1092" t="n">
        <v>-104.987582169237</v>
      </c>
      <c r="J1092" t="s">
        <v>35</v>
      </c>
      <c r="K1092" t="s">
        <v>70</v>
      </c>
      <c r="L1092"/>
      <c r="M1092" t="n">
        <v>1977</v>
      </c>
      <c r="N1092" t="n">
        <v>1988</v>
      </c>
      <c r="O1092" t="s">
        <v>325</v>
      </c>
      <c r="P1092" t="n">
        <v>2</v>
      </c>
      <c r="Q1092" t="n">
        <v>2</v>
      </c>
      <c r="R1092" t="n">
        <v>1</v>
      </c>
      <c r="S1092" t="n">
        <v>1972</v>
      </c>
      <c r="T1092" t="s">
        <v>1944</v>
      </c>
      <c r="U1092" t="s">
        <v>1945</v>
      </c>
      <c r="V1092" t="s">
        <v>74</v>
      </c>
      <c r="W1092"/>
      <c r="X1092"/>
      <c r="Y1092"/>
      <c r="Z1092"/>
      <c r="AA1092"/>
      <c r="AB1092"/>
      <c r="AC1092"/>
      <c r="AD1092"/>
      <c r="AE1092"/>
      <c r="AF1092" t="s">
        <v>1946</v>
      </c>
      <c r="AG1092" t="n">
        <v>87</v>
      </c>
    </row>
    <row r="1093">
      <c r="A1093" t="s">
        <v>1947</v>
      </c>
      <c r="B1093" t="s">
        <v>31</v>
      </c>
      <c r="C1093" t="s">
        <v>65</v>
      </c>
      <c r="D1093" t="s">
        <v>1948</v>
      </c>
      <c r="E1093" t="s">
        <v>79</v>
      </c>
      <c r="F1093" t="s">
        <v>1274</v>
      </c>
      <c r="G1093" t="s">
        <v>1653</v>
      </c>
      <c r="H1093" t="n">
        <v>39.8033311517274</v>
      </c>
      <c r="I1093" t="n">
        <v>-104.982780417787</v>
      </c>
      <c r="J1093" t="s">
        <v>35</v>
      </c>
      <c r="K1093" t="s">
        <v>120</v>
      </c>
      <c r="L1093"/>
      <c r="M1093" t="n">
        <v>1977</v>
      </c>
      <c r="N1093" t="n">
        <v>1980</v>
      </c>
      <c r="O1093" t="s">
        <v>1949</v>
      </c>
      <c r="P1093" t="n">
        <v>2</v>
      </c>
      <c r="Q1093" t="n">
        <v>2</v>
      </c>
      <c r="R1093" t="n">
        <v>2</v>
      </c>
      <c r="S1093" t="n">
        <v>1967</v>
      </c>
      <c r="T1093" t="s">
        <v>1950</v>
      </c>
      <c r="U1093" t="s">
        <v>1951</v>
      </c>
      <c r="V1093" t="s">
        <v>74</v>
      </c>
      <c r="W1093"/>
      <c r="X1093"/>
      <c r="Y1093"/>
      <c r="Z1093"/>
      <c r="AA1093"/>
      <c r="AB1093" t="s">
        <v>1952</v>
      </c>
      <c r="AC1093" t="n">
        <v>115</v>
      </c>
      <c r="AD1093" t="s">
        <v>1953</v>
      </c>
      <c r="AE1093" t="n">
        <v>171</v>
      </c>
      <c r="AF1093" t="s">
        <v>1954</v>
      </c>
      <c r="AG1093" t="n">
        <v>108</v>
      </c>
    </row>
    <row r="1094">
      <c r="A1094" t="s">
        <v>1955</v>
      </c>
      <c r="B1094" t="s">
        <v>31</v>
      </c>
      <c r="C1094" t="s">
        <v>65</v>
      </c>
      <c r="D1094" t="s">
        <v>1956</v>
      </c>
      <c r="E1094" t="s">
        <v>79</v>
      </c>
      <c r="F1094" t="s">
        <v>1274</v>
      </c>
      <c r="G1094" t="s">
        <v>1516</v>
      </c>
      <c r="H1094" t="n">
        <v>39.7075539387755</v>
      </c>
      <c r="I1094" t="n">
        <v>-105.000893938776</v>
      </c>
      <c r="J1094" t="s">
        <v>35</v>
      </c>
      <c r="K1094" t="s">
        <v>70</v>
      </c>
      <c r="L1094"/>
      <c r="M1094" t="n">
        <v>1977</v>
      </c>
      <c r="N1094" t="n">
        <v>1990</v>
      </c>
      <c r="O1094" t="s">
        <v>555</v>
      </c>
      <c r="P1094" t="n">
        <v>3</v>
      </c>
      <c r="Q1094" t="n">
        <v>2</v>
      </c>
      <c r="R1094" t="n">
        <v>1</v>
      </c>
      <c r="S1094" t="n">
        <v>1946</v>
      </c>
      <c r="T1094" t="s">
        <v>1957</v>
      </c>
      <c r="U1094" t="s">
        <v>1958</v>
      </c>
      <c r="V1094" t="s">
        <v>74</v>
      </c>
      <c r="W1094"/>
      <c r="X1094"/>
      <c r="Y1094"/>
      <c r="Z1094"/>
      <c r="AA1094"/>
      <c r="AB1094" t="s">
        <v>1959</v>
      </c>
      <c r="AC1094" t="n">
        <v>247</v>
      </c>
      <c r="AD1094"/>
      <c r="AE1094"/>
      <c r="AF1094" t="s">
        <v>1960</v>
      </c>
      <c r="AG1094" t="n">
        <v>72</v>
      </c>
    </row>
    <row r="1095">
      <c r="A1095" t="s">
        <v>1961</v>
      </c>
      <c r="B1095" t="s">
        <v>31</v>
      </c>
      <c r="C1095" t="s">
        <v>65</v>
      </c>
      <c r="D1095" t="s">
        <v>1962</v>
      </c>
      <c r="E1095" t="s">
        <v>79</v>
      </c>
      <c r="F1095" t="s">
        <v>1274</v>
      </c>
      <c r="G1095" t="s">
        <v>1569</v>
      </c>
      <c r="H1095" t="n">
        <v>39.693001</v>
      </c>
      <c r="I1095" t="n">
        <v>-104.980421</v>
      </c>
      <c r="J1095" t="s">
        <v>35</v>
      </c>
      <c r="K1095" t="s">
        <v>141</v>
      </c>
      <c r="L1095"/>
      <c r="M1095" t="n">
        <v>1977</v>
      </c>
      <c r="N1095" t="n">
        <v>1977</v>
      </c>
      <c r="O1095" t="s">
        <v>228</v>
      </c>
      <c r="P1095" t="n">
        <v>1</v>
      </c>
      <c r="Q1095" t="n">
        <v>1</v>
      </c>
      <c r="R1095" t="n">
        <v>1</v>
      </c>
      <c r="S1095" t="n">
        <v>1946</v>
      </c>
      <c r="T1095" t="s">
        <v>1963</v>
      </c>
      <c r="U1095" t="s">
        <v>1964</v>
      </c>
      <c r="V1095" t="s">
        <v>74</v>
      </c>
      <c r="W1095"/>
      <c r="X1095"/>
      <c r="Y1095"/>
      <c r="Z1095"/>
      <c r="AA1095"/>
      <c r="AB1095"/>
      <c r="AC1095"/>
      <c r="AD1095"/>
      <c r="AE1095"/>
      <c r="AF1095"/>
      <c r="AG1095"/>
    </row>
    <row r="1096">
      <c r="A1096" t="s">
        <v>1965</v>
      </c>
      <c r="B1096" t="s">
        <v>31</v>
      </c>
      <c r="C1096" t="s">
        <v>65</v>
      </c>
      <c r="D1096" t="s">
        <v>1966</v>
      </c>
      <c r="E1096" t="s">
        <v>79</v>
      </c>
      <c r="F1096" t="s">
        <v>1274</v>
      </c>
      <c r="G1096" t="s">
        <v>1967</v>
      </c>
      <c r="H1096" t="n">
        <v>39.6907431930801</v>
      </c>
      <c r="I1096" t="n">
        <v>-104.918355558338</v>
      </c>
      <c r="J1096" t="s">
        <v>35</v>
      </c>
      <c r="K1096" t="s">
        <v>315</v>
      </c>
      <c r="L1096"/>
      <c r="M1096" t="n">
        <v>1980</v>
      </c>
      <c r="N1096" t="n">
        <v>1980</v>
      </c>
      <c r="O1096" t="s">
        <v>255</v>
      </c>
      <c r="P1096" t="n">
        <v>1</v>
      </c>
      <c r="Q1096" t="n">
        <v>1</v>
      </c>
      <c r="R1096" t="n">
        <v>1</v>
      </c>
      <c r="S1096" t="n">
        <v>1968</v>
      </c>
      <c r="T1096" t="s">
        <v>1968</v>
      </c>
      <c r="U1096" t="s">
        <v>1969</v>
      </c>
      <c r="V1096" t="s">
        <v>74</v>
      </c>
      <c r="W1096"/>
      <c r="X1096"/>
      <c r="Y1096"/>
      <c r="Z1096"/>
      <c r="AA1096"/>
      <c r="AB1096"/>
      <c r="AC1096"/>
      <c r="AD1096"/>
      <c r="AE1096"/>
      <c r="AF1096"/>
      <c r="AG1096"/>
    </row>
    <row r="1097">
      <c r="A1097" t="s">
        <v>1970</v>
      </c>
      <c r="B1097" t="s">
        <v>31</v>
      </c>
      <c r="C1097" t="s">
        <v>65</v>
      </c>
      <c r="D1097" t="s">
        <v>1971</v>
      </c>
      <c r="E1097" t="s">
        <v>79</v>
      </c>
      <c r="F1097" t="s">
        <v>1274</v>
      </c>
      <c r="G1097" t="s">
        <v>1440</v>
      </c>
      <c r="H1097" t="n">
        <v>39.773421</v>
      </c>
      <c r="I1097" t="n">
        <v>-105.025175</v>
      </c>
      <c r="J1097" t="s">
        <v>35</v>
      </c>
      <c r="K1097" t="s">
        <v>133</v>
      </c>
      <c r="L1097"/>
      <c r="M1097" t="n">
        <v>1980</v>
      </c>
      <c r="N1097" t="n">
        <v>1990</v>
      </c>
      <c r="O1097" t="s">
        <v>310</v>
      </c>
      <c r="P1097" t="n">
        <v>4</v>
      </c>
      <c r="Q1097" t="n">
        <v>3</v>
      </c>
      <c r="R1097" t="n">
        <v>2</v>
      </c>
      <c r="S1097" t="n">
        <v>1964</v>
      </c>
      <c r="T1097" t="s">
        <v>1972</v>
      </c>
      <c r="U1097" t="s">
        <v>1973</v>
      </c>
      <c r="V1097" t="s">
        <v>74</v>
      </c>
      <c r="W1097"/>
      <c r="X1097"/>
      <c r="Y1097"/>
      <c r="Z1097"/>
      <c r="AA1097"/>
      <c r="AB1097" t="s">
        <v>1974</v>
      </c>
      <c r="AC1097" t="n">
        <v>79</v>
      </c>
      <c r="AD1097"/>
      <c r="AE1097"/>
      <c r="AF1097"/>
      <c r="AG1097"/>
    </row>
    <row r="1098">
      <c r="A1098" t="s">
        <v>4475</v>
      </c>
      <c r="B1098" t="s">
        <v>31</v>
      </c>
      <c r="C1098" t="s">
        <v>24</v>
      </c>
      <c r="D1098" t="s">
        <v>4476</v>
      </c>
      <c r="E1098" t="s">
        <v>79</v>
      </c>
      <c r="F1098" t="s">
        <v>1274</v>
      </c>
      <c r="G1098" t="s">
        <v>1653</v>
      </c>
      <c r="H1098" t="n">
        <v>39.773384</v>
      </c>
      <c r="I1098" t="n">
        <v>-104.908213</v>
      </c>
      <c r="J1098" t="s">
        <v>4109</v>
      </c>
      <c r="K1098" t="s">
        <v>133</v>
      </c>
      <c r="L1098"/>
      <c r="M1098" t="n">
        <v>1980</v>
      </c>
      <c r="N1098" t="n">
        <v>1980</v>
      </c>
      <c r="O1098" t="s">
        <v>255</v>
      </c>
      <c r="P1098" t="n">
        <v>1</v>
      </c>
      <c r="Q1098" t="n">
        <v>1</v>
      </c>
      <c r="R1098" t="n">
        <v>1</v>
      </c>
      <c r="S1098" t="n">
        <v>1974</v>
      </c>
      <c r="T1098" t="s">
        <v>4477</v>
      </c>
      <c r="U1098" t="s">
        <v>4478</v>
      </c>
      <c r="V1098" t="s">
        <v>74</v>
      </c>
      <c r="W1098"/>
      <c r="X1098"/>
      <c r="Y1098"/>
      <c r="Z1098"/>
      <c r="AA1098"/>
      <c r="AB1098"/>
      <c r="AC1098"/>
      <c r="AD1098"/>
      <c r="AE1098"/>
      <c r="AF1098" t="s">
        <v>4479</v>
      </c>
      <c r="AG1098" t="n">
        <v>58</v>
      </c>
    </row>
    <row r="1099">
      <c r="A1099" t="s">
        <v>1975</v>
      </c>
      <c r="B1099" t="s">
        <v>31</v>
      </c>
      <c r="C1099" t="s">
        <v>65</v>
      </c>
      <c r="D1099" t="s">
        <v>1976</v>
      </c>
      <c r="E1099" t="s">
        <v>79</v>
      </c>
      <c r="F1099" t="s">
        <v>1274</v>
      </c>
      <c r="G1099" t="s">
        <v>1612</v>
      </c>
      <c r="H1099" t="n">
        <v>39.693111</v>
      </c>
      <c r="I1099" t="n">
        <v>-105.039059</v>
      </c>
      <c r="J1099" t="s">
        <v>35</v>
      </c>
      <c r="K1099" t="s">
        <v>120</v>
      </c>
      <c r="L1099"/>
      <c r="M1099" t="n">
        <v>1980</v>
      </c>
      <c r="N1099" t="n">
        <v>1983</v>
      </c>
      <c r="O1099" t="s">
        <v>528</v>
      </c>
      <c r="P1099" t="n">
        <v>2</v>
      </c>
      <c r="Q1099" t="n">
        <v>1</v>
      </c>
      <c r="R1099" t="n">
        <v>1</v>
      </c>
      <c r="S1099" t="n">
        <v>1962</v>
      </c>
      <c r="T1099" t="s">
        <v>1977</v>
      </c>
      <c r="U1099" t="s">
        <v>1978</v>
      </c>
      <c r="V1099" t="s">
        <v>74</v>
      </c>
      <c r="W1099"/>
      <c r="X1099"/>
      <c r="Y1099"/>
      <c r="Z1099"/>
      <c r="AA1099"/>
      <c r="AB1099"/>
      <c r="AC1099"/>
      <c r="AD1099"/>
      <c r="AE1099"/>
      <c r="AF1099"/>
      <c r="AG1099"/>
    </row>
    <row r="1100">
      <c r="A1100" t="s">
        <v>1979</v>
      </c>
      <c r="B1100" t="s">
        <v>31</v>
      </c>
      <c r="C1100" t="s">
        <v>65</v>
      </c>
      <c r="D1100" t="s">
        <v>1980</v>
      </c>
      <c r="E1100" t="s">
        <v>79</v>
      </c>
      <c r="F1100" t="s">
        <v>1274</v>
      </c>
      <c r="G1100" t="s">
        <v>1574</v>
      </c>
      <c r="H1100" t="n">
        <v>39.7656154695817</v>
      </c>
      <c r="I1100" t="n">
        <v>-104.976227188332</v>
      </c>
      <c r="J1100" t="s">
        <v>35</v>
      </c>
      <c r="K1100" t="s">
        <v>120</v>
      </c>
      <c r="L1100"/>
      <c r="M1100" t="n">
        <v>1980</v>
      </c>
      <c r="N1100" t="n">
        <v>1992</v>
      </c>
      <c r="O1100" t="s">
        <v>528</v>
      </c>
      <c r="P1100" t="n">
        <v>5</v>
      </c>
      <c r="Q1100" t="n">
        <v>5</v>
      </c>
      <c r="R1100" t="n">
        <v>1</v>
      </c>
      <c r="S1100" t="n">
        <v>1932</v>
      </c>
      <c r="T1100" t="s">
        <v>1981</v>
      </c>
      <c r="U1100" t="s">
        <v>1982</v>
      </c>
      <c r="V1100" t="s">
        <v>74</v>
      </c>
      <c r="W1100"/>
      <c r="X1100"/>
      <c r="Y1100"/>
      <c r="Z1100"/>
      <c r="AA1100"/>
      <c r="AB1100" t="s">
        <v>1983</v>
      </c>
      <c r="AC1100" t="n">
        <v>157</v>
      </c>
      <c r="AD1100"/>
      <c r="AE1100"/>
      <c r="AF1100" t="s">
        <v>1984</v>
      </c>
      <c r="AG1100" t="n">
        <v>120</v>
      </c>
    </row>
    <row r="1101">
      <c r="A1101" t="s">
        <v>4480</v>
      </c>
      <c r="B1101" t="s">
        <v>31</v>
      </c>
      <c r="C1101" t="s">
        <v>24</v>
      </c>
      <c r="D1101" t="s">
        <v>4481</v>
      </c>
      <c r="E1101" t="s">
        <v>79</v>
      </c>
      <c r="F1101" t="s">
        <v>1274</v>
      </c>
      <c r="G1101" t="s">
        <v>1653</v>
      </c>
      <c r="H1101" t="n">
        <v>39.7191711416074</v>
      </c>
      <c r="I1101" t="n">
        <v>-104.943749426782</v>
      </c>
      <c r="J1101" t="s">
        <v>4109</v>
      </c>
      <c r="K1101" t="s">
        <v>81</v>
      </c>
      <c r="L1101"/>
      <c r="M1101" t="n">
        <v>1980</v>
      </c>
      <c r="N1101" t="n">
        <v>1980</v>
      </c>
      <c r="O1101" t="s">
        <v>255</v>
      </c>
      <c r="P1101" t="n">
        <v>1</v>
      </c>
      <c r="Q1101" t="n">
        <v>1</v>
      </c>
      <c r="R1101" t="n">
        <v>1</v>
      </c>
      <c r="S1101" t="n">
        <v>1979</v>
      </c>
      <c r="T1101" t="s">
        <v>4482</v>
      </c>
      <c r="U1101" t="s">
        <v>4483</v>
      </c>
      <c r="V1101" t="s">
        <v>74</v>
      </c>
      <c r="W1101"/>
      <c r="X1101"/>
      <c r="Y1101"/>
      <c r="Z1101"/>
      <c r="AA1101"/>
      <c r="AB1101"/>
      <c r="AC1101"/>
      <c r="AD1101"/>
      <c r="AE1101"/>
      <c r="AF1101" t="s">
        <v>4484</v>
      </c>
      <c r="AG1101" t="n">
        <v>223</v>
      </c>
    </row>
    <row r="1102">
      <c r="A1102" t="s">
        <v>1985</v>
      </c>
      <c r="B1102" t="s">
        <v>31</v>
      </c>
      <c r="C1102" t="s">
        <v>65</v>
      </c>
      <c r="D1102" t="s">
        <v>1986</v>
      </c>
      <c r="E1102" t="s">
        <v>79</v>
      </c>
      <c r="F1102" t="s">
        <v>1274</v>
      </c>
      <c r="G1102" t="s">
        <v>1516</v>
      </c>
      <c r="H1102" t="n">
        <v>39.7126757283057</v>
      </c>
      <c r="I1102" t="n">
        <v>-105.006269077813</v>
      </c>
      <c r="J1102" t="s">
        <v>35</v>
      </c>
      <c r="K1102" t="s">
        <v>315</v>
      </c>
      <c r="L1102"/>
      <c r="M1102" t="n">
        <v>1980</v>
      </c>
      <c r="N1102" t="n">
        <v>1980</v>
      </c>
      <c r="O1102" t="s">
        <v>255</v>
      </c>
      <c r="P1102" t="n">
        <v>1</v>
      </c>
      <c r="Q1102" t="n">
        <v>1</v>
      </c>
      <c r="R1102" t="n">
        <v>1</v>
      </c>
      <c r="S1102" t="n">
        <v>1978</v>
      </c>
      <c r="T1102" t="s">
        <v>1987</v>
      </c>
      <c r="U1102" t="s">
        <v>1988</v>
      </c>
      <c r="V1102" t="s">
        <v>74</v>
      </c>
      <c r="W1102"/>
      <c r="X1102"/>
      <c r="Y1102"/>
      <c r="Z1102"/>
      <c r="AA1102"/>
      <c r="AB1102" t="s">
        <v>1989</v>
      </c>
      <c r="AC1102" t="n">
        <v>206</v>
      </c>
      <c r="AD1102"/>
      <c r="AE1102"/>
      <c r="AF1102" t="s">
        <v>1990</v>
      </c>
      <c r="AG1102" t="n">
        <v>108</v>
      </c>
    </row>
    <row r="1103">
      <c r="A1103" t="s">
        <v>1991</v>
      </c>
      <c r="B1103" t="s">
        <v>31</v>
      </c>
      <c r="C1103" t="s">
        <v>65</v>
      </c>
      <c r="D1103" t="s">
        <v>1992</v>
      </c>
      <c r="E1103" t="s">
        <v>79</v>
      </c>
      <c r="F1103" t="s">
        <v>1274</v>
      </c>
      <c r="G1103" t="s">
        <v>1555</v>
      </c>
      <c r="H1103" t="n">
        <v>39.7305046639714</v>
      </c>
      <c r="I1103" t="n">
        <v>-104.997671998995</v>
      </c>
      <c r="J1103" t="s">
        <v>35</v>
      </c>
      <c r="K1103" t="s">
        <v>141</v>
      </c>
      <c r="L1103"/>
      <c r="M1103" t="n">
        <v>1980</v>
      </c>
      <c r="N1103" t="n">
        <v>1990</v>
      </c>
      <c r="O1103" t="s">
        <v>582</v>
      </c>
      <c r="P1103" t="n">
        <v>3</v>
      </c>
      <c r="Q1103" t="n">
        <v>2</v>
      </c>
      <c r="R1103" t="n">
        <v>2</v>
      </c>
      <c r="S1103" t="n">
        <v>1977</v>
      </c>
      <c r="T1103" t="s">
        <v>1993</v>
      </c>
      <c r="U1103" t="s">
        <v>1994</v>
      </c>
      <c r="V1103" t="s">
        <v>74</v>
      </c>
      <c r="W1103"/>
      <c r="X1103"/>
      <c r="Y1103"/>
      <c r="Z1103"/>
      <c r="AA1103"/>
      <c r="AB1103" t="s">
        <v>1995</v>
      </c>
      <c r="AC1103" t="n">
        <v>97</v>
      </c>
      <c r="AD1103"/>
      <c r="AE1103"/>
      <c r="AF1103" t="s">
        <v>1996</v>
      </c>
      <c r="AG1103" t="n">
        <v>94</v>
      </c>
    </row>
    <row r="1104">
      <c r="A1104" t="s">
        <v>1997</v>
      </c>
      <c r="B1104" t="s">
        <v>31</v>
      </c>
      <c r="C1104" t="s">
        <v>65</v>
      </c>
      <c r="D1104" t="s">
        <v>1998</v>
      </c>
      <c r="E1104" t="s">
        <v>79</v>
      </c>
      <c r="F1104" t="s">
        <v>1274</v>
      </c>
      <c r="G1104" t="s">
        <v>1440</v>
      </c>
      <c r="H1104" t="n">
        <v>39.7766151258061</v>
      </c>
      <c r="I1104" t="n">
        <v>-105.0207620612</v>
      </c>
      <c r="J1104" t="s">
        <v>35</v>
      </c>
      <c r="K1104" t="s">
        <v>70</v>
      </c>
      <c r="L1104"/>
      <c r="M1104" t="n">
        <v>1980</v>
      </c>
      <c r="N1104" t="n">
        <v>1992</v>
      </c>
      <c r="O1104" t="s">
        <v>1999</v>
      </c>
      <c r="P1104" t="n">
        <v>5</v>
      </c>
      <c r="Q1104" t="n">
        <v>1</v>
      </c>
      <c r="R1104" t="n">
        <v>1</v>
      </c>
      <c r="S1104" t="n">
        <v>1951</v>
      </c>
      <c r="T1104" t="s">
        <v>2000</v>
      </c>
      <c r="U1104" t="s">
        <v>2001</v>
      </c>
      <c r="V1104" t="s">
        <v>74</v>
      </c>
      <c r="W1104"/>
      <c r="X1104"/>
      <c r="Y1104"/>
      <c r="Z1104"/>
      <c r="AA1104"/>
      <c r="AB1104"/>
      <c r="AC1104"/>
      <c r="AD1104"/>
      <c r="AE1104"/>
      <c r="AF1104" t="s">
        <v>2002</v>
      </c>
      <c r="AG1104" t="n">
        <v>242</v>
      </c>
    </row>
    <row r="1105">
      <c r="A1105" t="s">
        <v>2003</v>
      </c>
      <c r="B1105" t="s">
        <v>31</v>
      </c>
      <c r="C1105" t="s">
        <v>65</v>
      </c>
      <c r="D1105" t="s">
        <v>2004</v>
      </c>
      <c r="E1105" t="s">
        <v>79</v>
      </c>
      <c r="F1105" t="s">
        <v>1274</v>
      </c>
      <c r="G1105" t="s">
        <v>2005</v>
      </c>
      <c r="H1105" t="n">
        <v>39.6560428034821</v>
      </c>
      <c r="I1105" t="n">
        <v>-105.038555538645</v>
      </c>
      <c r="J1105" t="s">
        <v>35</v>
      </c>
      <c r="K1105" t="s">
        <v>70</v>
      </c>
      <c r="L1105"/>
      <c r="M1105" t="n">
        <v>1980</v>
      </c>
      <c r="N1105" t="n">
        <v>1990</v>
      </c>
      <c r="O1105" t="s">
        <v>540</v>
      </c>
      <c r="P1105" t="n">
        <v>4</v>
      </c>
      <c r="Q1105" t="n">
        <v>1</v>
      </c>
      <c r="R1105" t="n">
        <v>1</v>
      </c>
      <c r="S1105" t="n">
        <v>1962</v>
      </c>
      <c r="T1105" t="s">
        <v>2006</v>
      </c>
      <c r="U1105" t="s">
        <v>2007</v>
      </c>
      <c r="V1105" t="s">
        <v>74</v>
      </c>
      <c r="W1105"/>
      <c r="X1105"/>
      <c r="Y1105"/>
      <c r="Z1105"/>
      <c r="AA1105"/>
      <c r="AB1105"/>
      <c r="AC1105"/>
      <c r="AD1105"/>
      <c r="AE1105"/>
      <c r="AF1105"/>
      <c r="AG1105"/>
    </row>
    <row r="1106">
      <c r="A1106" t="s">
        <v>2008</v>
      </c>
      <c r="B1106" t="s">
        <v>31</v>
      </c>
      <c r="C1106" t="s">
        <v>65</v>
      </c>
      <c r="D1106" t="s">
        <v>2009</v>
      </c>
      <c r="E1106" t="s">
        <v>79</v>
      </c>
      <c r="F1106" t="s">
        <v>1274</v>
      </c>
      <c r="G1106" t="s">
        <v>1881</v>
      </c>
      <c r="H1106" t="n">
        <v>39.7674404885607</v>
      </c>
      <c r="I1106" t="n">
        <v>-104.918397629572</v>
      </c>
      <c r="J1106" t="s">
        <v>35</v>
      </c>
      <c r="K1106" t="s">
        <v>89</v>
      </c>
      <c r="L1106"/>
      <c r="M1106" t="n">
        <v>1980</v>
      </c>
      <c r="N1106" t="n">
        <v>1980</v>
      </c>
      <c r="O1106" t="s">
        <v>255</v>
      </c>
      <c r="P1106" t="n">
        <v>1</v>
      </c>
      <c r="Q1106" t="n">
        <v>1</v>
      </c>
      <c r="R1106" t="n">
        <v>1</v>
      </c>
      <c r="S1106" t="n">
        <v>1925</v>
      </c>
      <c r="T1106" t="s">
        <v>2010</v>
      </c>
      <c r="U1106" t="s">
        <v>2011</v>
      </c>
      <c r="V1106" t="s">
        <v>74</v>
      </c>
      <c r="W1106"/>
      <c r="X1106"/>
      <c r="Y1106"/>
      <c r="Z1106"/>
      <c r="AA1106"/>
      <c r="AB1106"/>
      <c r="AC1106"/>
      <c r="AD1106"/>
      <c r="AE1106"/>
      <c r="AF1106" t="s">
        <v>2012</v>
      </c>
      <c r="AG1106" t="n">
        <v>183</v>
      </c>
    </row>
    <row r="1107">
      <c r="A1107" t="s">
        <v>4485</v>
      </c>
      <c r="B1107" t="s">
        <v>31</v>
      </c>
      <c r="C1107" t="s">
        <v>24</v>
      </c>
      <c r="D1107" t="s">
        <v>4486</v>
      </c>
      <c r="E1107" t="s">
        <v>79</v>
      </c>
      <c r="F1107" t="s">
        <v>1274</v>
      </c>
      <c r="G1107" t="s">
        <v>1653</v>
      </c>
      <c r="H1107" t="n">
        <v>39.863594</v>
      </c>
      <c r="I1107" t="n">
        <v>-104.946675</v>
      </c>
      <c r="J1107" t="s">
        <v>4109</v>
      </c>
      <c r="K1107" t="s">
        <v>70</v>
      </c>
      <c r="L1107"/>
      <c r="M1107" t="n">
        <v>1980</v>
      </c>
      <c r="N1107" t="n">
        <v>1980</v>
      </c>
      <c r="O1107" t="s">
        <v>255</v>
      </c>
      <c r="P1107" t="n">
        <v>1</v>
      </c>
      <c r="Q1107" t="n">
        <v>1</v>
      </c>
      <c r="R1107" t="n">
        <v>1</v>
      </c>
      <c r="S1107" t="n">
        <v>1968</v>
      </c>
      <c r="T1107" t="s">
        <v>4487</v>
      </c>
      <c r="U1107" t="s">
        <v>4488</v>
      </c>
      <c r="V1107" t="s">
        <v>74</v>
      </c>
      <c r="W1107"/>
      <c r="X1107"/>
      <c r="Y1107"/>
      <c r="Z1107"/>
      <c r="AA1107"/>
      <c r="AB1107"/>
      <c r="AC1107"/>
      <c r="AD1107"/>
      <c r="AE1107"/>
      <c r="AF1107"/>
      <c r="AG1107"/>
    </row>
    <row r="1108">
      <c r="A1108" t="s">
        <v>2013</v>
      </c>
      <c r="B1108" t="s">
        <v>31</v>
      </c>
      <c r="C1108" t="s">
        <v>65</v>
      </c>
      <c r="D1108" t="s">
        <v>2014</v>
      </c>
      <c r="E1108" t="s">
        <v>79</v>
      </c>
      <c r="F1108" t="s">
        <v>1274</v>
      </c>
      <c r="G1108" t="s">
        <v>1653</v>
      </c>
      <c r="H1108" t="n">
        <v>39.778905</v>
      </c>
      <c r="I1108" t="n">
        <v>-104.942894</v>
      </c>
      <c r="J1108" t="s">
        <v>35</v>
      </c>
      <c r="K1108" t="s">
        <v>141</v>
      </c>
      <c r="L1108"/>
      <c r="M1108" t="n">
        <v>1980</v>
      </c>
      <c r="N1108" t="n">
        <v>1990</v>
      </c>
      <c r="O1108" t="s">
        <v>582</v>
      </c>
      <c r="P1108" t="n">
        <v>3</v>
      </c>
      <c r="Q1108" t="n">
        <v>1</v>
      </c>
      <c r="R1108" t="n">
        <v>1</v>
      </c>
      <c r="S1108" t="n">
        <v>1963</v>
      </c>
      <c r="T1108" t="s">
        <v>2015</v>
      </c>
      <c r="U1108" t="s">
        <v>2016</v>
      </c>
      <c r="V1108" t="s">
        <v>74</v>
      </c>
      <c r="W1108"/>
      <c r="X1108"/>
      <c r="Y1108"/>
      <c r="Z1108"/>
      <c r="AA1108"/>
      <c r="AB1108"/>
      <c r="AC1108"/>
      <c r="AD1108" t="s">
        <v>2017</v>
      </c>
      <c r="AE1108" t="n">
        <v>148</v>
      </c>
      <c r="AF1108" t="s">
        <v>2018</v>
      </c>
      <c r="AG1108" t="n">
        <v>41</v>
      </c>
    </row>
    <row r="1109">
      <c r="A1109" t="s">
        <v>4489</v>
      </c>
      <c r="B1109" t="s">
        <v>31</v>
      </c>
      <c r="C1109" t="s">
        <v>24</v>
      </c>
      <c r="D1109" t="s">
        <v>4490</v>
      </c>
      <c r="E1109" t="s">
        <v>79</v>
      </c>
      <c r="F1109" t="s">
        <v>1274</v>
      </c>
      <c r="G1109" t="s">
        <v>1653</v>
      </c>
      <c r="H1109" t="n">
        <v>39.717957877551</v>
      </c>
      <c r="I1109" t="n">
        <v>-104.922261877551</v>
      </c>
      <c r="J1109" t="s">
        <v>4109</v>
      </c>
      <c r="K1109" t="s">
        <v>133</v>
      </c>
      <c r="L1109"/>
      <c r="M1109" t="n">
        <v>1980</v>
      </c>
      <c r="N1109" t="n">
        <v>1980</v>
      </c>
      <c r="O1109" t="s">
        <v>255</v>
      </c>
      <c r="P1109" t="n">
        <v>1</v>
      </c>
      <c r="Q1109" t="n">
        <v>1</v>
      </c>
      <c r="R1109" t="n">
        <v>1</v>
      </c>
      <c r="S1109" t="n">
        <v>1967</v>
      </c>
      <c r="T1109" t="s">
        <v>4491</v>
      </c>
      <c r="U1109" t="s">
        <v>4492</v>
      </c>
      <c r="V1109" t="s">
        <v>74</v>
      </c>
      <c r="W1109"/>
      <c r="X1109"/>
      <c r="Y1109"/>
      <c r="Z1109"/>
      <c r="AA1109"/>
      <c r="AB1109"/>
      <c r="AC1109"/>
      <c r="AD1109"/>
      <c r="AE1109"/>
      <c r="AF1109" t="s">
        <v>4493</v>
      </c>
      <c r="AG1109" t="n">
        <v>172</v>
      </c>
    </row>
    <row r="1110">
      <c r="A1110" t="s">
        <v>2019</v>
      </c>
      <c r="B1110" t="s">
        <v>31</v>
      </c>
      <c r="C1110" t="s">
        <v>65</v>
      </c>
      <c r="D1110" t="s">
        <v>2020</v>
      </c>
      <c r="E1110" t="s">
        <v>79</v>
      </c>
      <c r="F1110" t="s">
        <v>1274</v>
      </c>
      <c r="G1110" t="s">
        <v>1555</v>
      </c>
      <c r="H1110" t="n">
        <v>39.7266520204082</v>
      </c>
      <c r="I1110" t="n">
        <v>-105.000173693877</v>
      </c>
      <c r="J1110" t="s">
        <v>35</v>
      </c>
      <c r="K1110" t="s">
        <v>70</v>
      </c>
      <c r="L1110"/>
      <c r="M1110" t="n">
        <v>1980</v>
      </c>
      <c r="N1110" t="n">
        <v>1990</v>
      </c>
      <c r="O1110" t="s">
        <v>255</v>
      </c>
      <c r="P1110" t="n">
        <v>2</v>
      </c>
      <c r="Q1110" t="n">
        <v>2</v>
      </c>
      <c r="R1110" t="n">
        <v>1</v>
      </c>
      <c r="S1110" t="n">
        <v>1960</v>
      </c>
      <c r="T1110" t="s">
        <v>2021</v>
      </c>
      <c r="U1110" t="s">
        <v>2022</v>
      </c>
      <c r="V1110" t="s">
        <v>74</v>
      </c>
      <c r="W1110"/>
      <c r="X1110"/>
      <c r="Y1110"/>
      <c r="Z1110"/>
      <c r="AA1110"/>
      <c r="AB1110" t="s">
        <v>2023</v>
      </c>
      <c r="AC1110" t="n">
        <v>233</v>
      </c>
      <c r="AD1110"/>
      <c r="AE1110"/>
      <c r="AF1110" t="s">
        <v>2024</v>
      </c>
      <c r="AG1110" t="n">
        <v>180</v>
      </c>
    </row>
    <row r="1111">
      <c r="A1111" t="s">
        <v>2025</v>
      </c>
      <c r="B1111" t="s">
        <v>31</v>
      </c>
      <c r="C1111" t="s">
        <v>65</v>
      </c>
      <c r="D1111" t="s">
        <v>2026</v>
      </c>
      <c r="E1111" t="s">
        <v>79</v>
      </c>
      <c r="F1111" t="s">
        <v>1274</v>
      </c>
      <c r="G1111" t="s">
        <v>1612</v>
      </c>
      <c r="H1111" t="n">
        <v>39.7111449607577</v>
      </c>
      <c r="I1111" t="n">
        <v>-105.028510333317</v>
      </c>
      <c r="J1111" t="s">
        <v>35</v>
      </c>
      <c r="K1111" t="s">
        <v>70</v>
      </c>
      <c r="L1111"/>
      <c r="M1111" t="n">
        <v>1980</v>
      </c>
      <c r="N1111" t="n">
        <v>1983</v>
      </c>
      <c r="O1111" t="s">
        <v>528</v>
      </c>
      <c r="P1111" t="n">
        <v>2</v>
      </c>
      <c r="Q1111" t="n">
        <v>1</v>
      </c>
      <c r="R1111" t="n">
        <v>1</v>
      </c>
      <c r="S1111" t="n">
        <v>1958</v>
      </c>
      <c r="T1111" t="s">
        <v>2027</v>
      </c>
      <c r="U1111" t="s">
        <v>2028</v>
      </c>
      <c r="V1111" t="s">
        <v>74</v>
      </c>
      <c r="W1111"/>
      <c r="X1111"/>
      <c r="Y1111"/>
      <c r="Z1111"/>
      <c r="AA1111"/>
      <c r="AB1111"/>
      <c r="AC1111"/>
      <c r="AD1111"/>
      <c r="AE1111"/>
      <c r="AF1111" t="s">
        <v>1925</v>
      </c>
      <c r="AG1111" t="n">
        <v>85</v>
      </c>
    </row>
    <row r="1112">
      <c r="A1112" t="s">
        <v>4494</v>
      </c>
      <c r="B1112" t="s">
        <v>31</v>
      </c>
      <c r="C1112" t="s">
        <v>24</v>
      </c>
      <c r="D1112" t="s">
        <v>4495</v>
      </c>
      <c r="E1112" t="s">
        <v>79</v>
      </c>
      <c r="F1112" t="s">
        <v>1274</v>
      </c>
      <c r="G1112" t="s">
        <v>4335</v>
      </c>
      <c r="H1112" t="n">
        <v>39.725589</v>
      </c>
      <c r="I1112" t="n">
        <v>-104.975233</v>
      </c>
      <c r="J1112" t="s">
        <v>4109</v>
      </c>
      <c r="K1112" t="s">
        <v>120</v>
      </c>
      <c r="L1112"/>
      <c r="M1112" t="n">
        <v>1980</v>
      </c>
      <c r="N1112" t="n">
        <v>1990</v>
      </c>
      <c r="O1112" t="s">
        <v>540</v>
      </c>
      <c r="P1112" t="n">
        <v>4</v>
      </c>
      <c r="Q1112" t="n">
        <v>1</v>
      </c>
      <c r="R1112" t="n">
        <v>1</v>
      </c>
      <c r="S1112" t="n">
        <v>1970</v>
      </c>
      <c r="T1112" t="s">
        <v>4496</v>
      </c>
      <c r="U1112" t="s">
        <v>4497</v>
      </c>
      <c r="V1112" t="s">
        <v>74</v>
      </c>
      <c r="W1112"/>
      <c r="X1112"/>
      <c r="Y1112"/>
      <c r="Z1112"/>
      <c r="AA1112"/>
      <c r="AB1112" t="s">
        <v>4498</v>
      </c>
      <c r="AC1112" t="n">
        <v>181</v>
      </c>
      <c r="AD1112"/>
      <c r="AE1112"/>
      <c r="AF1112" t="s">
        <v>568</v>
      </c>
      <c r="AG1112" t="n">
        <v>121</v>
      </c>
    </row>
    <row r="1113">
      <c r="A1113" t="s">
        <v>2029</v>
      </c>
      <c r="B1113" t="s">
        <v>31</v>
      </c>
      <c r="C1113" t="s">
        <v>65</v>
      </c>
      <c r="D1113" t="s">
        <v>2030</v>
      </c>
      <c r="E1113" t="s">
        <v>79</v>
      </c>
      <c r="F1113" t="s">
        <v>1274</v>
      </c>
      <c r="G1113" t="s">
        <v>1516</v>
      </c>
      <c r="H1113" t="n">
        <v>39.7121464700384</v>
      </c>
      <c r="I1113" t="n">
        <v>-105.00554620831</v>
      </c>
      <c r="J1113" t="s">
        <v>35</v>
      </c>
      <c r="K1113" t="s">
        <v>120</v>
      </c>
      <c r="L1113"/>
      <c r="M1113" t="n">
        <v>1980</v>
      </c>
      <c r="N1113" t="n">
        <v>1990</v>
      </c>
      <c r="O1113" t="s">
        <v>351</v>
      </c>
      <c r="P1113" t="n">
        <v>4</v>
      </c>
      <c r="Q1113" t="n">
        <v>2</v>
      </c>
      <c r="R1113" t="n">
        <v>1</v>
      </c>
      <c r="S1113" t="n">
        <v>1947</v>
      </c>
      <c r="T1113" t="s">
        <v>2031</v>
      </c>
      <c r="U1113" t="s">
        <v>2032</v>
      </c>
      <c r="V1113" t="s">
        <v>74</v>
      </c>
      <c r="W1113"/>
      <c r="X1113"/>
      <c r="Y1113"/>
      <c r="Z1113"/>
      <c r="AA1113"/>
      <c r="AB1113"/>
      <c r="AC1113"/>
      <c r="AD1113"/>
      <c r="AE1113"/>
      <c r="AF1113" t="s">
        <v>1990</v>
      </c>
      <c r="AG1113" t="n">
        <v>106</v>
      </c>
    </row>
    <row r="1114">
      <c r="A1114" t="s">
        <v>2033</v>
      </c>
      <c r="B1114" t="s">
        <v>31</v>
      </c>
      <c r="C1114" t="s">
        <v>65</v>
      </c>
      <c r="D1114" t="s">
        <v>2034</v>
      </c>
      <c r="E1114" t="s">
        <v>79</v>
      </c>
      <c r="F1114" t="s">
        <v>1274</v>
      </c>
      <c r="G1114" t="s">
        <v>1612</v>
      </c>
      <c r="H1114" t="n">
        <v>39.7094944715998</v>
      </c>
      <c r="I1114" t="n">
        <v>-105.035210571272</v>
      </c>
      <c r="J1114" t="s">
        <v>35</v>
      </c>
      <c r="K1114" t="s">
        <v>315</v>
      </c>
      <c r="L1114"/>
      <c r="M1114" t="n">
        <v>1980</v>
      </c>
      <c r="N1114" t="n">
        <v>1980</v>
      </c>
      <c r="O1114" t="s">
        <v>255</v>
      </c>
      <c r="P1114" t="n">
        <v>1</v>
      </c>
      <c r="Q1114" t="n">
        <v>1</v>
      </c>
      <c r="R1114" t="n">
        <v>1</v>
      </c>
      <c r="S1114" t="n">
        <v>1976</v>
      </c>
      <c r="T1114" t="s">
        <v>2035</v>
      </c>
      <c r="U1114" t="s">
        <v>2036</v>
      </c>
      <c r="V1114" t="s">
        <v>74</v>
      </c>
      <c r="W1114"/>
      <c r="X1114"/>
      <c r="Y1114"/>
      <c r="Z1114"/>
      <c r="AA1114"/>
      <c r="AB1114" t="s">
        <v>2037</v>
      </c>
      <c r="AC1114" t="n">
        <v>173</v>
      </c>
      <c r="AD1114"/>
      <c r="AE1114"/>
      <c r="AF1114" t="s">
        <v>2038</v>
      </c>
      <c r="AG1114" t="n">
        <v>90</v>
      </c>
    </row>
    <row r="1115">
      <c r="A1115" t="s">
        <v>2039</v>
      </c>
      <c r="B1115" t="s">
        <v>31</v>
      </c>
      <c r="C1115" t="s">
        <v>65</v>
      </c>
      <c r="D1115" t="s">
        <v>2040</v>
      </c>
      <c r="E1115" t="s">
        <v>79</v>
      </c>
      <c r="F1115" t="s">
        <v>1274</v>
      </c>
      <c r="G1115" t="s">
        <v>2041</v>
      </c>
      <c r="H1115" t="n">
        <v>39.6712167755952</v>
      </c>
      <c r="I1115" t="n">
        <v>-104.896461521429</v>
      </c>
      <c r="J1115" t="s">
        <v>35</v>
      </c>
      <c r="K1115" t="s">
        <v>120</v>
      </c>
      <c r="L1115"/>
      <c r="M1115" t="n">
        <v>1980</v>
      </c>
      <c r="N1115" t="n">
        <v>1992</v>
      </c>
      <c r="O1115" t="s">
        <v>325</v>
      </c>
      <c r="P1115" t="n">
        <v>5</v>
      </c>
      <c r="Q1115" t="n">
        <v>8</v>
      </c>
      <c r="R1115" t="n">
        <v>1</v>
      </c>
      <c r="S1115" t="n">
        <v>1973</v>
      </c>
      <c r="T1115" t="s">
        <v>2042</v>
      </c>
      <c r="U1115" t="s">
        <v>2043</v>
      </c>
      <c r="V1115" t="s">
        <v>74</v>
      </c>
      <c r="W1115"/>
      <c r="X1115"/>
      <c r="Y1115"/>
      <c r="Z1115"/>
      <c r="AA1115"/>
      <c r="AB1115"/>
      <c r="AC1115"/>
      <c r="AD1115"/>
      <c r="AE1115"/>
      <c r="AF1115" t="s">
        <v>2044</v>
      </c>
      <c r="AG1115" t="n">
        <v>130</v>
      </c>
    </row>
    <row r="1116">
      <c r="A1116" t="s">
        <v>2045</v>
      </c>
      <c r="B1116" t="s">
        <v>31</v>
      </c>
      <c r="C1116" t="s">
        <v>65</v>
      </c>
      <c r="D1116" t="s">
        <v>2046</v>
      </c>
      <c r="E1116" t="s">
        <v>79</v>
      </c>
      <c r="F1116" t="s">
        <v>1274</v>
      </c>
      <c r="G1116" t="s">
        <v>1540</v>
      </c>
      <c r="H1116" t="n">
        <v>39.7942502694253</v>
      </c>
      <c r="I1116" t="n">
        <v>-105.043837119723</v>
      </c>
      <c r="J1116" t="s">
        <v>35</v>
      </c>
      <c r="K1116" t="s">
        <v>1282</v>
      </c>
      <c r="L1116"/>
      <c r="M1116" t="n">
        <v>1983</v>
      </c>
      <c r="N1116" t="n">
        <v>1990</v>
      </c>
      <c r="O1116" t="s">
        <v>283</v>
      </c>
      <c r="P1116" t="n">
        <v>3</v>
      </c>
      <c r="Q1116" t="n">
        <v>5</v>
      </c>
      <c r="R1116" t="n">
        <v>4</v>
      </c>
      <c r="S1116" t="n">
        <v>1975</v>
      </c>
      <c r="T1116" t="s">
        <v>2047</v>
      </c>
      <c r="U1116" t="s">
        <v>2048</v>
      </c>
      <c r="V1116" t="s">
        <v>74</v>
      </c>
      <c r="W1116"/>
      <c r="X1116"/>
      <c r="Y1116"/>
      <c r="Z1116"/>
      <c r="AA1116"/>
      <c r="AB1116"/>
      <c r="AC1116"/>
      <c r="AD1116"/>
      <c r="AE1116"/>
      <c r="AF1116" t="s">
        <v>2049</v>
      </c>
      <c r="AG1116" t="n">
        <v>41</v>
      </c>
    </row>
    <row r="1117">
      <c r="A1117" t="s">
        <v>2050</v>
      </c>
      <c r="B1117" t="s">
        <v>31</v>
      </c>
      <c r="C1117" t="s">
        <v>65</v>
      </c>
      <c r="D1117" t="s">
        <v>2051</v>
      </c>
      <c r="E1117" t="s">
        <v>79</v>
      </c>
      <c r="F1117" t="s">
        <v>1274</v>
      </c>
      <c r="G1117" t="s">
        <v>2041</v>
      </c>
      <c r="H1117" t="n">
        <v>39.6614381286836</v>
      </c>
      <c r="I1117" t="n">
        <v>-104.879400601362</v>
      </c>
      <c r="J1117" t="s">
        <v>35</v>
      </c>
      <c r="K1117" t="s">
        <v>70</v>
      </c>
      <c r="L1117"/>
      <c r="M1117" t="n">
        <v>1983</v>
      </c>
      <c r="N1117" t="n">
        <v>1983</v>
      </c>
      <c r="O1117" t="s">
        <v>264</v>
      </c>
      <c r="P1117" t="n">
        <v>1</v>
      </c>
      <c r="Q1117" t="n">
        <v>1</v>
      </c>
      <c r="R1117" t="n">
        <v>1</v>
      </c>
      <c r="S1117" t="n">
        <v>1978</v>
      </c>
      <c r="T1117" t="s">
        <v>2052</v>
      </c>
      <c r="U1117" t="s">
        <v>2053</v>
      </c>
      <c r="V1117" t="s">
        <v>74</v>
      </c>
      <c r="W1117"/>
      <c r="X1117"/>
      <c r="Y1117"/>
      <c r="Z1117"/>
      <c r="AA1117"/>
      <c r="AB1117"/>
      <c r="AC1117"/>
      <c r="AD1117"/>
      <c r="AE1117"/>
      <c r="AF1117"/>
      <c r="AG1117"/>
    </row>
    <row r="1118">
      <c r="A1118" t="s">
        <v>2054</v>
      </c>
      <c r="B1118" t="s">
        <v>31</v>
      </c>
      <c r="C1118" t="s">
        <v>65</v>
      </c>
      <c r="D1118" t="s">
        <v>2055</v>
      </c>
      <c r="E1118" t="s">
        <v>79</v>
      </c>
      <c r="F1118" t="s">
        <v>1274</v>
      </c>
      <c r="G1118" t="s">
        <v>1691</v>
      </c>
      <c r="H1118" t="n">
        <v>39.6614199769234</v>
      </c>
      <c r="I1118" t="n">
        <v>-104.916981909733</v>
      </c>
      <c r="J1118" t="s">
        <v>35</v>
      </c>
      <c r="K1118" t="s">
        <v>70</v>
      </c>
      <c r="L1118" t="s">
        <v>554</v>
      </c>
      <c r="M1118" t="n">
        <v>1983</v>
      </c>
      <c r="N1118" t="n">
        <v>1983</v>
      </c>
      <c r="O1118" t="s">
        <v>264</v>
      </c>
      <c r="P1118" t="n">
        <v>1</v>
      </c>
      <c r="Q1118" t="n">
        <v>1</v>
      </c>
      <c r="R1118" t="n">
        <v>1</v>
      </c>
      <c r="S1118" t="n">
        <v>1975</v>
      </c>
      <c r="T1118" t="s">
        <v>2056</v>
      </c>
      <c r="U1118" t="s">
        <v>2057</v>
      </c>
      <c r="V1118" t="s">
        <v>74</v>
      </c>
      <c r="W1118"/>
      <c r="X1118"/>
      <c r="Y1118"/>
      <c r="Z1118"/>
      <c r="AA1118"/>
      <c r="AB1118"/>
      <c r="AC1118"/>
      <c r="AD1118"/>
      <c r="AE1118"/>
      <c r="AF1118" t="s">
        <v>2058</v>
      </c>
      <c r="AG1118" t="n">
        <v>161</v>
      </c>
    </row>
    <row r="1119">
      <c r="A1119" t="s">
        <v>4499</v>
      </c>
      <c r="B1119" t="s">
        <v>31</v>
      </c>
      <c r="C1119" t="s">
        <v>24</v>
      </c>
      <c r="D1119" t="s">
        <v>4500</v>
      </c>
      <c r="E1119" t="s">
        <v>79</v>
      </c>
      <c r="F1119" t="s">
        <v>1274</v>
      </c>
      <c r="G1119" t="s">
        <v>1516</v>
      </c>
      <c r="H1119" t="n">
        <v>39.844606</v>
      </c>
      <c r="I1119" t="n">
        <v>-105.009379</v>
      </c>
      <c r="J1119" t="s">
        <v>4109</v>
      </c>
      <c r="K1119" t="s">
        <v>70</v>
      </c>
      <c r="L1119"/>
      <c r="M1119" t="n">
        <v>1983</v>
      </c>
      <c r="N1119" t="n">
        <v>1983</v>
      </c>
      <c r="O1119" t="s">
        <v>264</v>
      </c>
      <c r="P1119" t="n">
        <v>1</v>
      </c>
      <c r="Q1119" t="n">
        <v>1</v>
      </c>
      <c r="R1119" t="n">
        <v>1</v>
      </c>
      <c r="S1119" t="n">
        <v>1975</v>
      </c>
      <c r="T1119" t="s">
        <v>4501</v>
      </c>
      <c r="U1119" t="s">
        <v>4502</v>
      </c>
      <c r="V1119" t="s">
        <v>74</v>
      </c>
      <c r="W1119"/>
      <c r="X1119"/>
      <c r="Y1119"/>
      <c r="Z1119"/>
      <c r="AA1119"/>
      <c r="AB1119"/>
      <c r="AC1119"/>
      <c r="AD1119"/>
      <c r="AE1119"/>
      <c r="AF1119"/>
      <c r="AG1119"/>
    </row>
    <row r="1120">
      <c r="A1120" t="s">
        <v>4503</v>
      </c>
      <c r="B1120" t="s">
        <v>31</v>
      </c>
      <c r="C1120" t="s">
        <v>24</v>
      </c>
      <c r="D1120" t="s">
        <v>4504</v>
      </c>
      <c r="E1120" t="s">
        <v>79</v>
      </c>
      <c r="F1120" t="s">
        <v>1274</v>
      </c>
      <c r="G1120" t="s">
        <v>1653</v>
      </c>
      <c r="H1120" t="n">
        <v>39.7173539180922</v>
      </c>
      <c r="I1120" t="n">
        <v>-104.995173169288</v>
      </c>
      <c r="J1120" t="s">
        <v>4109</v>
      </c>
      <c r="K1120" t="s">
        <v>141</v>
      </c>
      <c r="L1120"/>
      <c r="M1120" t="n">
        <v>1983</v>
      </c>
      <c r="N1120" t="n">
        <v>1992</v>
      </c>
      <c r="O1120" t="s">
        <v>1003</v>
      </c>
      <c r="P1120" t="n">
        <v>2</v>
      </c>
      <c r="Q1120" t="n">
        <v>2</v>
      </c>
      <c r="R1120" t="n">
        <v>2</v>
      </c>
      <c r="S1120" t="n">
        <v>1955</v>
      </c>
      <c r="T1120" t="s">
        <v>4505</v>
      </c>
      <c r="U1120" t="s">
        <v>4506</v>
      </c>
      <c r="V1120" t="s">
        <v>74</v>
      </c>
      <c r="W1120"/>
      <c r="X1120"/>
      <c r="Y1120"/>
      <c r="Z1120"/>
      <c r="AA1120"/>
      <c r="AB1120"/>
      <c r="AC1120"/>
      <c r="AD1120"/>
      <c r="AE1120"/>
      <c r="AF1120" t="s">
        <v>1537</v>
      </c>
      <c r="AG1120" t="n">
        <v>173</v>
      </c>
    </row>
    <row r="1121">
      <c r="A1121" t="s">
        <v>4507</v>
      </c>
      <c r="B1121" t="s">
        <v>31</v>
      </c>
      <c r="C1121" t="s">
        <v>24</v>
      </c>
      <c r="D1121" t="s">
        <v>4508</v>
      </c>
      <c r="E1121" t="s">
        <v>79</v>
      </c>
      <c r="F1121" t="s">
        <v>1274</v>
      </c>
      <c r="G1121" t="s">
        <v>1555</v>
      </c>
      <c r="H1121" t="n">
        <v>39.7280532157804</v>
      </c>
      <c r="I1121" t="n">
        <v>-104.998605642867</v>
      </c>
      <c r="J1121" t="s">
        <v>4109</v>
      </c>
      <c r="K1121" t="s">
        <v>527</v>
      </c>
      <c r="L1121"/>
      <c r="M1121" t="n">
        <v>1983</v>
      </c>
      <c r="N1121" t="n">
        <v>1992</v>
      </c>
      <c r="O1121" t="s">
        <v>264</v>
      </c>
      <c r="P1121" t="n">
        <v>4</v>
      </c>
      <c r="Q1121" t="n">
        <v>3</v>
      </c>
      <c r="R1121" t="n">
        <v>1</v>
      </c>
      <c r="S1121" t="n">
        <v>1979</v>
      </c>
      <c r="T1121" t="s">
        <v>4509</v>
      </c>
      <c r="U1121" t="s">
        <v>4510</v>
      </c>
      <c r="V1121" t="s">
        <v>74</v>
      </c>
      <c r="W1121"/>
      <c r="X1121"/>
      <c r="Y1121"/>
      <c r="Z1121"/>
      <c r="AA1121"/>
      <c r="AB1121"/>
      <c r="AC1121"/>
      <c r="AD1121"/>
      <c r="AE1121"/>
      <c r="AF1121" t="s">
        <v>4511</v>
      </c>
      <c r="AG1121" t="n">
        <v>113</v>
      </c>
    </row>
    <row r="1122">
      <c r="A1122" t="s">
        <v>2059</v>
      </c>
      <c r="B1122" t="s">
        <v>31</v>
      </c>
      <c r="C1122" t="s">
        <v>65</v>
      </c>
      <c r="D1122" t="s">
        <v>2060</v>
      </c>
      <c r="E1122" t="s">
        <v>79</v>
      </c>
      <c r="F1122" t="s">
        <v>1274</v>
      </c>
      <c r="G1122" t="s">
        <v>1555</v>
      </c>
      <c r="H1122" t="n">
        <v>39.7310563456915</v>
      </c>
      <c r="I1122" t="n">
        <v>-105.012233002025</v>
      </c>
      <c r="J1122" t="s">
        <v>35</v>
      </c>
      <c r="K1122" t="s">
        <v>533</v>
      </c>
      <c r="L1122"/>
      <c r="M1122" t="n">
        <v>1983</v>
      </c>
      <c r="N1122" t="n">
        <v>1992</v>
      </c>
      <c r="O1122" t="s">
        <v>2061</v>
      </c>
      <c r="P1122" t="n">
        <v>4</v>
      </c>
      <c r="Q1122" t="n">
        <v>3</v>
      </c>
      <c r="R1122" t="n">
        <v>3</v>
      </c>
      <c r="S1122" t="n">
        <v>1960</v>
      </c>
      <c r="T1122" t="s">
        <v>2062</v>
      </c>
      <c r="U1122" t="s">
        <v>2063</v>
      </c>
      <c r="V1122" t="s">
        <v>74</v>
      </c>
      <c r="W1122"/>
      <c r="X1122"/>
      <c r="Y1122"/>
      <c r="Z1122"/>
      <c r="AA1122"/>
      <c r="AB1122" t="s">
        <v>2064</v>
      </c>
      <c r="AC1122" t="n">
        <v>98</v>
      </c>
      <c r="AD1122"/>
      <c r="AE1122"/>
      <c r="AF1122" t="s">
        <v>2065</v>
      </c>
      <c r="AG1122" t="n">
        <v>52</v>
      </c>
    </row>
    <row r="1123">
      <c r="A1123" t="s">
        <v>4512</v>
      </c>
      <c r="B1123" t="s">
        <v>31</v>
      </c>
      <c r="C1123" t="s">
        <v>24</v>
      </c>
      <c r="D1123" t="s">
        <v>4513</v>
      </c>
      <c r="E1123" t="s">
        <v>79</v>
      </c>
      <c r="F1123" t="s">
        <v>1274</v>
      </c>
      <c r="G1123" t="s">
        <v>1525</v>
      </c>
      <c r="H1123" t="n">
        <v>39.7340499985587</v>
      </c>
      <c r="I1123" t="n">
        <v>-104.986128568431</v>
      </c>
      <c r="J1123" t="s">
        <v>4109</v>
      </c>
      <c r="K1123" t="s">
        <v>70</v>
      </c>
      <c r="L1123"/>
      <c r="M1123" t="n">
        <v>1983</v>
      </c>
      <c r="N1123" t="n">
        <v>1990</v>
      </c>
      <c r="O1123" t="s">
        <v>271</v>
      </c>
      <c r="P1123" t="n">
        <v>3</v>
      </c>
      <c r="Q1123" t="n">
        <v>1</v>
      </c>
      <c r="R1123" t="n">
        <v>1</v>
      </c>
      <c r="S1123" t="n">
        <v>1907</v>
      </c>
      <c r="T1123" t="s">
        <v>4514</v>
      </c>
      <c r="U1123" t="s">
        <v>4515</v>
      </c>
      <c r="V1123" t="s">
        <v>74</v>
      </c>
      <c r="W1123"/>
      <c r="X1123"/>
      <c r="Y1123"/>
      <c r="Z1123"/>
      <c r="AA1123"/>
      <c r="AB1123"/>
      <c r="AC1123"/>
      <c r="AD1123" t="s">
        <v>4516</v>
      </c>
      <c r="AE1123" t="n">
        <v>198</v>
      </c>
      <c r="AF1123" t="s">
        <v>4517</v>
      </c>
      <c r="AG1123" t="n">
        <v>40</v>
      </c>
    </row>
    <row r="1124">
      <c r="A1124" t="s">
        <v>2066</v>
      </c>
      <c r="B1124" t="s">
        <v>31</v>
      </c>
      <c r="C1124" t="s">
        <v>65</v>
      </c>
      <c r="D1124" t="s">
        <v>2067</v>
      </c>
      <c r="E1124" t="s">
        <v>79</v>
      </c>
      <c r="F1124" t="s">
        <v>1274</v>
      </c>
      <c r="G1124" t="s">
        <v>1516</v>
      </c>
      <c r="H1124" t="n">
        <v>39.7139366003189</v>
      </c>
      <c r="I1124" t="n">
        <v>-105.007029552222</v>
      </c>
      <c r="J1124" t="s">
        <v>35</v>
      </c>
      <c r="K1124" t="s">
        <v>141</v>
      </c>
      <c r="L1124"/>
      <c r="M1124" t="n">
        <v>1983</v>
      </c>
      <c r="N1124" t="n">
        <v>1990</v>
      </c>
      <c r="O1124" t="s">
        <v>293</v>
      </c>
      <c r="P1124" t="n">
        <v>3</v>
      </c>
      <c r="Q1124" t="n">
        <v>2</v>
      </c>
      <c r="R1124" t="n">
        <v>1</v>
      </c>
      <c r="S1124" t="n">
        <v>1977</v>
      </c>
      <c r="T1124" t="s">
        <v>2068</v>
      </c>
      <c r="U1124" t="s">
        <v>2069</v>
      </c>
      <c r="V1124" t="s">
        <v>74</v>
      </c>
      <c r="W1124"/>
      <c r="X1124"/>
      <c r="Y1124"/>
      <c r="Z1124"/>
      <c r="AA1124"/>
      <c r="AB1124" t="s">
        <v>1989</v>
      </c>
      <c r="AC1124" t="n">
        <v>94</v>
      </c>
      <c r="AD1124"/>
      <c r="AE1124"/>
      <c r="AF1124" t="s">
        <v>2070</v>
      </c>
      <c r="AG1124" t="n">
        <v>104</v>
      </c>
    </row>
    <row r="1125">
      <c r="A1125" t="s">
        <v>2071</v>
      </c>
      <c r="B1125" t="s">
        <v>31</v>
      </c>
      <c r="C1125" t="s">
        <v>65</v>
      </c>
      <c r="D1125" t="s">
        <v>2072</v>
      </c>
      <c r="E1125" t="s">
        <v>79</v>
      </c>
      <c r="F1125" t="s">
        <v>1274</v>
      </c>
      <c r="G1125" t="s">
        <v>1555</v>
      </c>
      <c r="H1125" t="n">
        <v>39.7244696734694</v>
      </c>
      <c r="I1125" t="n">
        <v>-105.000179244898</v>
      </c>
      <c r="J1125" t="s">
        <v>35</v>
      </c>
      <c r="K1125" t="s">
        <v>133</v>
      </c>
      <c r="L1125"/>
      <c r="M1125" t="n">
        <v>1983</v>
      </c>
      <c r="N1125" t="n">
        <v>1983</v>
      </c>
      <c r="O1125" t="s">
        <v>264</v>
      </c>
      <c r="P1125" t="n">
        <v>1</v>
      </c>
      <c r="Q1125" t="n">
        <v>1</v>
      </c>
      <c r="R1125" t="n">
        <v>1</v>
      </c>
      <c r="S1125" t="n">
        <v>1979</v>
      </c>
      <c r="T1125" t="s">
        <v>2073</v>
      </c>
      <c r="U1125" t="s">
        <v>2074</v>
      </c>
      <c r="V1125" t="s">
        <v>74</v>
      </c>
      <c r="W1125"/>
      <c r="X1125"/>
      <c r="Y1125"/>
      <c r="Z1125"/>
      <c r="AA1125"/>
      <c r="AB1125" t="s">
        <v>2075</v>
      </c>
      <c r="AC1125" t="n">
        <v>100</v>
      </c>
      <c r="AD1125" t="s">
        <v>2076</v>
      </c>
      <c r="AE1125" t="n">
        <v>162</v>
      </c>
      <c r="AF1125" t="s">
        <v>2077</v>
      </c>
      <c r="AG1125" t="n">
        <v>97</v>
      </c>
    </row>
    <row r="1126">
      <c r="A1126" t="s">
        <v>2078</v>
      </c>
      <c r="B1126" t="s">
        <v>31</v>
      </c>
      <c r="C1126" t="s">
        <v>65</v>
      </c>
      <c r="D1126" t="s">
        <v>2079</v>
      </c>
      <c r="E1126" t="s">
        <v>79</v>
      </c>
      <c r="F1126" t="s">
        <v>1274</v>
      </c>
      <c r="G1126" t="s">
        <v>1653</v>
      </c>
      <c r="H1126" t="n">
        <v>39.781155</v>
      </c>
      <c r="I1126" t="n">
        <v>-104.924636</v>
      </c>
      <c r="J1126" t="s">
        <v>35</v>
      </c>
      <c r="K1126" t="s">
        <v>70</v>
      </c>
      <c r="L1126"/>
      <c r="M1126" t="n">
        <v>1983</v>
      </c>
      <c r="N1126" t="n">
        <v>1983</v>
      </c>
      <c r="O1126" t="s">
        <v>264</v>
      </c>
      <c r="P1126" t="n">
        <v>1</v>
      </c>
      <c r="Q1126" t="n">
        <v>1</v>
      </c>
      <c r="R1126" t="n">
        <v>1</v>
      </c>
      <c r="S1126" t="n">
        <v>1962</v>
      </c>
      <c r="T1126" t="s">
        <v>2080</v>
      </c>
      <c r="U1126" t="s">
        <v>2081</v>
      </c>
      <c r="V1126" t="s">
        <v>74</v>
      </c>
      <c r="W1126"/>
      <c r="X1126"/>
      <c r="Y1126"/>
      <c r="Z1126"/>
      <c r="AA1126"/>
      <c r="AB1126" t="s">
        <v>2082</v>
      </c>
      <c r="AC1126" t="n">
        <v>248</v>
      </c>
      <c r="AD1126" t="s">
        <v>2083</v>
      </c>
      <c r="AE1126" t="n">
        <v>177</v>
      </c>
      <c r="AF1126" t="s">
        <v>2084</v>
      </c>
      <c r="AG1126" t="n">
        <v>116</v>
      </c>
    </row>
    <row r="1127">
      <c r="A1127" t="s">
        <v>2085</v>
      </c>
      <c r="B1127" t="s">
        <v>31</v>
      </c>
      <c r="C1127" t="s">
        <v>65</v>
      </c>
      <c r="D1127" t="s">
        <v>2086</v>
      </c>
      <c r="E1127" t="s">
        <v>79</v>
      </c>
      <c r="F1127" t="s">
        <v>1274</v>
      </c>
      <c r="G1127" t="s">
        <v>1516</v>
      </c>
      <c r="H1127" t="n">
        <v>39.7139500686715</v>
      </c>
      <c r="I1127" t="n">
        <v>-105.005295148349</v>
      </c>
      <c r="J1127" t="s">
        <v>35</v>
      </c>
      <c r="K1127" t="s">
        <v>89</v>
      </c>
      <c r="L1127"/>
      <c r="M1127" t="n">
        <v>1983</v>
      </c>
      <c r="N1127" t="n">
        <v>1992</v>
      </c>
      <c r="O1127" t="s">
        <v>1003</v>
      </c>
      <c r="P1127" t="n">
        <v>2</v>
      </c>
      <c r="Q1127" t="n">
        <v>1</v>
      </c>
      <c r="R1127" t="n">
        <v>1</v>
      </c>
      <c r="S1127" t="n">
        <v>1978</v>
      </c>
      <c r="T1127" t="s">
        <v>2087</v>
      </c>
      <c r="U1127" t="s">
        <v>2088</v>
      </c>
      <c r="V1127" t="s">
        <v>74</v>
      </c>
      <c r="W1127"/>
      <c r="X1127"/>
      <c r="Y1127"/>
      <c r="Z1127"/>
      <c r="AA1127"/>
      <c r="AB1127" t="s">
        <v>2089</v>
      </c>
      <c r="AC1127" t="n">
        <v>98</v>
      </c>
      <c r="AD1127"/>
      <c r="AE1127"/>
      <c r="AF1127" t="s">
        <v>1990</v>
      </c>
      <c r="AG1127" t="n">
        <v>103</v>
      </c>
    </row>
    <row r="1128">
      <c r="A1128" t="s">
        <v>2090</v>
      </c>
      <c r="B1128" t="s">
        <v>31</v>
      </c>
      <c r="C1128" t="s">
        <v>65</v>
      </c>
      <c r="D1128" t="s">
        <v>2091</v>
      </c>
      <c r="E1128" t="s">
        <v>79</v>
      </c>
      <c r="F1128" t="s">
        <v>1274</v>
      </c>
      <c r="G1128" t="s">
        <v>1516</v>
      </c>
      <c r="H1128" t="n">
        <v>39.7084668530062</v>
      </c>
      <c r="I1128" t="n">
        <v>-104.990930894152</v>
      </c>
      <c r="J1128" t="s">
        <v>35</v>
      </c>
      <c r="K1128" t="s">
        <v>315</v>
      </c>
      <c r="L1128"/>
      <c r="M1128" t="n">
        <v>1983</v>
      </c>
      <c r="N1128" t="n">
        <v>1990</v>
      </c>
      <c r="O1128" t="s">
        <v>271</v>
      </c>
      <c r="P1128" t="n">
        <v>3</v>
      </c>
      <c r="Q1128" t="n">
        <v>2</v>
      </c>
      <c r="R1128" t="n">
        <v>2</v>
      </c>
      <c r="S1128" t="n">
        <v>1978</v>
      </c>
      <c r="T1128" t="s">
        <v>2092</v>
      </c>
      <c r="U1128" t="s">
        <v>2093</v>
      </c>
      <c r="V1128" t="s">
        <v>74</v>
      </c>
      <c r="W1128"/>
      <c r="X1128"/>
      <c r="Y1128"/>
      <c r="Z1128"/>
      <c r="AA1128"/>
      <c r="AB1128"/>
      <c r="AC1128"/>
      <c r="AD1128" t="s">
        <v>2094</v>
      </c>
      <c r="AE1128" t="n">
        <v>203</v>
      </c>
      <c r="AF1128" t="s">
        <v>2095</v>
      </c>
      <c r="AG1128" t="n">
        <v>97</v>
      </c>
    </row>
    <row r="1129">
      <c r="A1129" t="s">
        <v>4518</v>
      </c>
      <c r="B1129" t="s">
        <v>31</v>
      </c>
      <c r="C1129" t="s">
        <v>24</v>
      </c>
      <c r="D1129" t="s">
        <v>4519</v>
      </c>
      <c r="E1129" t="s">
        <v>79</v>
      </c>
      <c r="F1129" t="s">
        <v>1274</v>
      </c>
      <c r="G1129" t="s">
        <v>1516</v>
      </c>
      <c r="H1129" t="n">
        <v>39.7292311226376</v>
      </c>
      <c r="I1129" t="n">
        <v>-105.001589</v>
      </c>
      <c r="J1129" t="s">
        <v>4109</v>
      </c>
      <c r="K1129" t="s">
        <v>1495</v>
      </c>
      <c r="L1129"/>
      <c r="M1129" t="n">
        <v>1983</v>
      </c>
      <c r="N1129" t="n">
        <v>1992</v>
      </c>
      <c r="O1129" t="s">
        <v>1016</v>
      </c>
      <c r="P1129" t="n">
        <v>2</v>
      </c>
      <c r="Q1129" t="n">
        <v>1</v>
      </c>
      <c r="R1129" t="n">
        <v>1</v>
      </c>
      <c r="S1129" t="n">
        <v>1942</v>
      </c>
      <c r="T1129" t="s">
        <v>4520</v>
      </c>
      <c r="U1129" t="s">
        <v>4521</v>
      </c>
      <c r="V1129" t="s">
        <v>74</v>
      </c>
      <c r="W1129"/>
      <c r="X1129"/>
      <c r="Y1129"/>
      <c r="Z1129"/>
      <c r="AA1129"/>
      <c r="AB1129"/>
      <c r="AC1129"/>
      <c r="AD1129"/>
      <c r="AE1129"/>
      <c r="AF1129" t="s">
        <v>4522</v>
      </c>
      <c r="AG1129" t="n">
        <v>46</v>
      </c>
    </row>
    <row r="1130">
      <c r="A1130" t="s">
        <v>2096</v>
      </c>
      <c r="B1130" t="s">
        <v>31</v>
      </c>
      <c r="C1130" t="s">
        <v>65</v>
      </c>
      <c r="D1130" t="s">
        <v>2097</v>
      </c>
      <c r="E1130" t="s">
        <v>79</v>
      </c>
      <c r="F1130" t="s">
        <v>1274</v>
      </c>
      <c r="G1130" t="s">
        <v>1516</v>
      </c>
      <c r="H1130" t="n">
        <v>39.7130429267446</v>
      </c>
      <c r="I1130" t="n">
        <v>-105.00758239035</v>
      </c>
      <c r="J1130" t="s">
        <v>35</v>
      </c>
      <c r="K1130" t="s">
        <v>70</v>
      </c>
      <c r="L1130"/>
      <c r="M1130" t="n">
        <v>1983</v>
      </c>
      <c r="N1130" t="n">
        <v>1992</v>
      </c>
      <c r="O1130" t="s">
        <v>2061</v>
      </c>
      <c r="P1130" t="n">
        <v>4</v>
      </c>
      <c r="Q1130" t="n">
        <v>1</v>
      </c>
      <c r="R1130" t="n">
        <v>1</v>
      </c>
      <c r="S1130" t="n">
        <v>1962</v>
      </c>
      <c r="T1130" t="s">
        <v>2098</v>
      </c>
      <c r="U1130" t="s">
        <v>2099</v>
      </c>
      <c r="V1130" t="s">
        <v>74</v>
      </c>
      <c r="W1130"/>
      <c r="X1130"/>
      <c r="Y1130"/>
      <c r="Z1130"/>
      <c r="AA1130"/>
      <c r="AB1130" t="s">
        <v>1989</v>
      </c>
      <c r="AC1130" t="n">
        <v>201</v>
      </c>
      <c r="AD1130"/>
      <c r="AE1130"/>
      <c r="AF1130" t="s">
        <v>2070</v>
      </c>
      <c r="AG1130" t="n">
        <v>113</v>
      </c>
    </row>
    <row r="1131">
      <c r="A1131" t="s">
        <v>2100</v>
      </c>
      <c r="B1131" t="s">
        <v>31</v>
      </c>
      <c r="C1131" t="s">
        <v>65</v>
      </c>
      <c r="D1131" t="s">
        <v>2101</v>
      </c>
      <c r="E1131" t="s">
        <v>79</v>
      </c>
      <c r="F1131" t="s">
        <v>1274</v>
      </c>
      <c r="G1131" t="s">
        <v>1612</v>
      </c>
      <c r="H1131" t="n">
        <v>39.7092035337108</v>
      </c>
      <c r="I1131" t="n">
        <v>-105.035627451674</v>
      </c>
      <c r="J1131" t="s">
        <v>35</v>
      </c>
      <c r="K1131" t="s">
        <v>220</v>
      </c>
      <c r="L1131"/>
      <c r="M1131" t="n">
        <v>1983</v>
      </c>
      <c r="N1131" t="n">
        <v>1990</v>
      </c>
      <c r="O1131" t="s">
        <v>293</v>
      </c>
      <c r="P1131" t="n">
        <v>2</v>
      </c>
      <c r="Q1131" t="n">
        <v>2</v>
      </c>
      <c r="R1131" t="n">
        <v>2</v>
      </c>
      <c r="S1131" t="n">
        <v>1976</v>
      </c>
      <c r="T1131" t="s">
        <v>2102</v>
      </c>
      <c r="U1131" t="s">
        <v>2103</v>
      </c>
      <c r="V1131" t="s">
        <v>74</v>
      </c>
      <c r="W1131"/>
      <c r="X1131"/>
      <c r="Y1131"/>
      <c r="Z1131"/>
      <c r="AA1131"/>
      <c r="AB1131" t="s">
        <v>2037</v>
      </c>
      <c r="AC1131" t="n">
        <v>125</v>
      </c>
      <c r="AD1131"/>
      <c r="AE1131"/>
      <c r="AF1131" t="s">
        <v>2038</v>
      </c>
      <c r="AG1131" t="n">
        <v>42</v>
      </c>
    </row>
    <row r="1132">
      <c r="A1132" t="s">
        <v>2104</v>
      </c>
      <c r="B1132" t="s">
        <v>31</v>
      </c>
      <c r="C1132" t="s">
        <v>65</v>
      </c>
      <c r="D1132" t="s">
        <v>2105</v>
      </c>
      <c r="E1132" t="s">
        <v>79</v>
      </c>
      <c r="F1132" t="s">
        <v>1274</v>
      </c>
      <c r="G1132" t="s">
        <v>1516</v>
      </c>
      <c r="H1132" t="n">
        <v>39.7075605102041</v>
      </c>
      <c r="I1132" t="n">
        <v>-105.002800897959</v>
      </c>
      <c r="J1132" t="s">
        <v>35</v>
      </c>
      <c r="K1132" t="s">
        <v>141</v>
      </c>
      <c r="L1132"/>
      <c r="M1132" t="n">
        <v>1983</v>
      </c>
      <c r="N1132" t="n">
        <v>1992</v>
      </c>
      <c r="O1132" t="s">
        <v>2061</v>
      </c>
      <c r="P1132" t="n">
        <v>4</v>
      </c>
      <c r="Q1132" t="n">
        <v>1</v>
      </c>
      <c r="R1132" t="n">
        <v>1</v>
      </c>
      <c r="S1132" t="n">
        <v>1969</v>
      </c>
      <c r="T1132" t="s">
        <v>2106</v>
      </c>
      <c r="U1132" t="s">
        <v>2107</v>
      </c>
      <c r="V1132" t="s">
        <v>74</v>
      </c>
      <c r="W1132"/>
      <c r="X1132"/>
      <c r="Y1132"/>
      <c r="Z1132"/>
      <c r="AA1132"/>
      <c r="AB1132"/>
      <c r="AC1132"/>
      <c r="AD1132"/>
      <c r="AE1132"/>
      <c r="AF1132" t="s">
        <v>1437</v>
      </c>
      <c r="AG1132" t="n">
        <v>100</v>
      </c>
    </row>
    <row r="1133">
      <c r="A1133" t="s">
        <v>4523</v>
      </c>
      <c r="B1133" t="s">
        <v>31</v>
      </c>
      <c r="C1133" t="s">
        <v>24</v>
      </c>
      <c r="D1133" t="s">
        <v>4524</v>
      </c>
      <c r="E1133" t="s">
        <v>79</v>
      </c>
      <c r="F1133" t="s">
        <v>1274</v>
      </c>
      <c r="G1133" t="s">
        <v>1555</v>
      </c>
      <c r="H1133" t="n">
        <v>39.7285075006975</v>
      </c>
      <c r="I1133" t="n">
        <v>-104.998608500004</v>
      </c>
      <c r="J1133" t="s">
        <v>4109</v>
      </c>
      <c r="K1133" t="s">
        <v>527</v>
      </c>
      <c r="L1133"/>
      <c r="M1133" t="n">
        <v>1983</v>
      </c>
      <c r="N1133" t="n">
        <v>1992</v>
      </c>
      <c r="O1133" t="s">
        <v>3904</v>
      </c>
      <c r="P1133" t="n">
        <v>3</v>
      </c>
      <c r="Q1133" t="n">
        <v>3</v>
      </c>
      <c r="R1133" t="n">
        <v>3</v>
      </c>
      <c r="S1133" t="n">
        <v>1969</v>
      </c>
      <c r="T1133" t="s">
        <v>4525</v>
      </c>
      <c r="U1133" t="s">
        <v>4526</v>
      </c>
      <c r="V1133" t="s">
        <v>74</v>
      </c>
      <c r="W1133"/>
      <c r="X1133"/>
      <c r="Y1133"/>
      <c r="Z1133"/>
      <c r="AA1133"/>
      <c r="AB1133"/>
      <c r="AC1133"/>
      <c r="AD1133"/>
      <c r="AE1133"/>
      <c r="AF1133" t="s">
        <v>4511</v>
      </c>
      <c r="AG1133" t="n">
        <v>77</v>
      </c>
    </row>
    <row r="1134">
      <c r="A1134" t="s">
        <v>4527</v>
      </c>
      <c r="B1134" t="s">
        <v>31</v>
      </c>
      <c r="C1134" t="s">
        <v>24</v>
      </c>
      <c r="D1134" t="s">
        <v>4528</v>
      </c>
      <c r="E1134" t="s">
        <v>79</v>
      </c>
      <c r="F1134" t="s">
        <v>1274</v>
      </c>
      <c r="G1134" t="s">
        <v>1653</v>
      </c>
      <c r="H1134" t="n">
        <v>39.866522</v>
      </c>
      <c r="I1134" t="n">
        <v>-104.942891</v>
      </c>
      <c r="J1134" t="s">
        <v>4109</v>
      </c>
      <c r="K1134" t="s">
        <v>315</v>
      </c>
      <c r="L1134"/>
      <c r="M1134" t="n">
        <v>1983</v>
      </c>
      <c r="N1134" t="n">
        <v>1983</v>
      </c>
      <c r="O1134" t="s">
        <v>264</v>
      </c>
      <c r="P1134" t="n">
        <v>1</v>
      </c>
      <c r="Q1134" t="n">
        <v>1</v>
      </c>
      <c r="R1134" t="n">
        <v>1</v>
      </c>
      <c r="S1134" t="n">
        <v>1962</v>
      </c>
      <c r="T1134" t="s">
        <v>4529</v>
      </c>
      <c r="U1134" t="s">
        <v>4530</v>
      </c>
      <c r="V1134" t="s">
        <v>74</v>
      </c>
      <c r="W1134"/>
      <c r="X1134"/>
      <c r="Y1134"/>
      <c r="Z1134"/>
      <c r="AA1134"/>
      <c r="AB1134"/>
      <c r="AC1134"/>
      <c r="AD1134"/>
      <c r="AE1134"/>
      <c r="AF1134"/>
      <c r="AG1134"/>
    </row>
    <row r="1135">
      <c r="A1135" t="s">
        <v>4531</v>
      </c>
      <c r="B1135" t="s">
        <v>31</v>
      </c>
      <c r="C1135" t="s">
        <v>24</v>
      </c>
      <c r="D1135" t="s">
        <v>4532</v>
      </c>
      <c r="E1135" t="s">
        <v>79</v>
      </c>
      <c r="F1135" t="s">
        <v>1274</v>
      </c>
      <c r="G1135" t="s">
        <v>1653</v>
      </c>
      <c r="H1135" t="n">
        <v>39.7214631062749</v>
      </c>
      <c r="I1135" t="n">
        <v>-104.91275977085</v>
      </c>
      <c r="J1135" t="s">
        <v>4109</v>
      </c>
      <c r="K1135" t="s">
        <v>120</v>
      </c>
      <c r="L1135"/>
      <c r="M1135" t="n">
        <v>1983</v>
      </c>
      <c r="N1135" t="n">
        <v>1983</v>
      </c>
      <c r="O1135" t="s">
        <v>264</v>
      </c>
      <c r="P1135" t="n">
        <v>1</v>
      </c>
      <c r="Q1135" t="n">
        <v>1</v>
      </c>
      <c r="R1135" t="n">
        <v>1</v>
      </c>
      <c r="S1135" t="n">
        <v>1976</v>
      </c>
      <c r="T1135" t="s">
        <v>4533</v>
      </c>
      <c r="U1135" t="s">
        <v>4534</v>
      </c>
      <c r="V1135" t="s">
        <v>74</v>
      </c>
      <c r="W1135"/>
      <c r="X1135"/>
      <c r="Y1135"/>
      <c r="Z1135"/>
      <c r="AA1135"/>
      <c r="AB1135"/>
      <c r="AC1135"/>
      <c r="AD1135"/>
      <c r="AE1135"/>
      <c r="AF1135"/>
      <c r="AG1135"/>
    </row>
    <row r="1136">
      <c r="A1136" t="s">
        <v>4535</v>
      </c>
      <c r="B1136" t="s">
        <v>31</v>
      </c>
      <c r="C1136" t="s">
        <v>24</v>
      </c>
      <c r="D1136" t="s">
        <v>4536</v>
      </c>
      <c r="E1136" t="s">
        <v>79</v>
      </c>
      <c r="F1136" t="s">
        <v>1274</v>
      </c>
      <c r="G1136" t="s">
        <v>1881</v>
      </c>
      <c r="H1136" t="n">
        <v>39.7511844149081</v>
      </c>
      <c r="I1136" t="n">
        <v>-104.930504061791</v>
      </c>
      <c r="J1136" t="s">
        <v>4109</v>
      </c>
      <c r="K1136" t="s">
        <v>141</v>
      </c>
      <c r="L1136"/>
      <c r="M1136" t="n">
        <v>1983</v>
      </c>
      <c r="N1136" t="n">
        <v>1992</v>
      </c>
      <c r="O1136" t="s">
        <v>4537</v>
      </c>
      <c r="P1136" t="n">
        <v>3</v>
      </c>
      <c r="Q1136" t="n">
        <v>2</v>
      </c>
      <c r="R1136" t="n">
        <v>2</v>
      </c>
      <c r="S1136" t="n">
        <v>1964</v>
      </c>
      <c r="T1136" t="s">
        <v>4538</v>
      </c>
      <c r="U1136" t="s">
        <v>4539</v>
      </c>
      <c r="V1136" t="s">
        <v>74</v>
      </c>
      <c r="W1136"/>
      <c r="X1136"/>
      <c r="Y1136"/>
      <c r="Z1136"/>
      <c r="AA1136"/>
      <c r="AB1136"/>
      <c r="AC1136"/>
      <c r="AD1136"/>
      <c r="AE1136"/>
      <c r="AF1136" t="s">
        <v>4540</v>
      </c>
      <c r="AG1136" t="n">
        <v>239</v>
      </c>
    </row>
    <row r="1137">
      <c r="A1137" t="s">
        <v>2108</v>
      </c>
      <c r="B1137" t="s">
        <v>31</v>
      </c>
      <c r="C1137" t="s">
        <v>65</v>
      </c>
      <c r="D1137" t="s">
        <v>2109</v>
      </c>
      <c r="E1137" t="s">
        <v>79</v>
      </c>
      <c r="F1137" t="s">
        <v>1274</v>
      </c>
      <c r="G1137" t="s">
        <v>1881</v>
      </c>
      <c r="H1137" t="n">
        <v>39.7710639167198</v>
      </c>
      <c r="I1137" t="n">
        <v>-104.918935720872</v>
      </c>
      <c r="J1137" t="s">
        <v>35</v>
      </c>
      <c r="K1137" t="s">
        <v>141</v>
      </c>
      <c r="L1137"/>
      <c r="M1137" t="n">
        <v>1988</v>
      </c>
      <c r="N1137" t="n">
        <v>1988</v>
      </c>
      <c r="O1137" t="s">
        <v>325</v>
      </c>
      <c r="P1137" t="n">
        <v>1</v>
      </c>
      <c r="Q1137" t="n">
        <v>1</v>
      </c>
      <c r="R1137" t="n">
        <v>1</v>
      </c>
      <c r="S1137" t="n">
        <v>1942</v>
      </c>
      <c r="T1137" t="s">
        <v>2110</v>
      </c>
      <c r="U1137" t="s">
        <v>2111</v>
      </c>
      <c r="V1137" t="s">
        <v>74</v>
      </c>
      <c r="W1137"/>
      <c r="X1137"/>
      <c r="Y1137"/>
      <c r="Z1137"/>
      <c r="AA1137"/>
      <c r="AB1137"/>
      <c r="AC1137"/>
      <c r="AD1137" t="s">
        <v>2112</v>
      </c>
      <c r="AE1137" t="n">
        <v>188</v>
      </c>
      <c r="AF1137" t="s">
        <v>2113</v>
      </c>
      <c r="AG1137" t="n">
        <v>40</v>
      </c>
    </row>
    <row r="1138">
      <c r="A1138" t="s">
        <v>4541</v>
      </c>
      <c r="B1138" t="s">
        <v>31</v>
      </c>
      <c r="C1138" t="s">
        <v>24</v>
      </c>
      <c r="D1138" t="s">
        <v>4542</v>
      </c>
      <c r="E1138" t="s">
        <v>79</v>
      </c>
      <c r="F1138" t="s">
        <v>1274</v>
      </c>
      <c r="G1138" t="s">
        <v>1540</v>
      </c>
      <c r="H1138" t="n">
        <v>39.8474621950017</v>
      </c>
      <c r="I1138" t="n">
        <v>-105.048318012074</v>
      </c>
      <c r="J1138" t="s">
        <v>4109</v>
      </c>
      <c r="K1138" t="s">
        <v>70</v>
      </c>
      <c r="L1138"/>
      <c r="M1138" t="n">
        <v>1988</v>
      </c>
      <c r="N1138" t="n">
        <v>1988</v>
      </c>
      <c r="O1138" t="s">
        <v>325</v>
      </c>
      <c r="P1138" t="n">
        <v>1</v>
      </c>
      <c r="Q1138" t="n">
        <v>1</v>
      </c>
      <c r="R1138" t="n">
        <v>1</v>
      </c>
      <c r="S1138" t="n">
        <v>1976</v>
      </c>
      <c r="T1138" t="s">
        <v>4543</v>
      </c>
      <c r="U1138" t="s">
        <v>4544</v>
      </c>
      <c r="V1138" t="s">
        <v>74</v>
      </c>
      <c r="W1138"/>
      <c r="X1138"/>
      <c r="Y1138"/>
      <c r="Z1138"/>
      <c r="AA1138"/>
      <c r="AB1138"/>
      <c r="AC1138"/>
      <c r="AD1138"/>
      <c r="AE1138"/>
      <c r="AF1138"/>
      <c r="AG1138"/>
    </row>
    <row r="1139">
      <c r="A1139" t="s">
        <v>4545</v>
      </c>
      <c r="B1139" t="s">
        <v>31</v>
      </c>
      <c r="C1139" t="s">
        <v>24</v>
      </c>
      <c r="D1139" t="s">
        <v>4546</v>
      </c>
      <c r="E1139" t="s">
        <v>79</v>
      </c>
      <c r="F1139" t="s">
        <v>1274</v>
      </c>
      <c r="G1139" t="s">
        <v>1653</v>
      </c>
      <c r="H1139" t="n">
        <v>39.7242114285714</v>
      </c>
      <c r="I1139" t="n">
        <v>-104.940748489796</v>
      </c>
      <c r="J1139" t="s">
        <v>4109</v>
      </c>
      <c r="K1139" t="s">
        <v>70</v>
      </c>
      <c r="L1139"/>
      <c r="M1139" t="n">
        <v>1988</v>
      </c>
      <c r="N1139" t="n">
        <v>1988</v>
      </c>
      <c r="O1139" t="s">
        <v>325</v>
      </c>
      <c r="P1139" t="n">
        <v>1</v>
      </c>
      <c r="Q1139" t="n">
        <v>1</v>
      </c>
      <c r="R1139" t="n">
        <v>1</v>
      </c>
      <c r="S1139" t="n">
        <v>1958</v>
      </c>
      <c r="T1139" t="s">
        <v>4547</v>
      </c>
      <c r="U1139" t="s">
        <v>4548</v>
      </c>
      <c r="V1139" t="s">
        <v>74</v>
      </c>
      <c r="W1139"/>
      <c r="X1139"/>
      <c r="Y1139"/>
      <c r="Z1139"/>
      <c r="AA1139"/>
      <c r="AB1139"/>
      <c r="AC1139"/>
      <c r="AD1139"/>
      <c r="AE1139"/>
      <c r="AF1139"/>
      <c r="AG1139"/>
    </row>
    <row r="1140">
      <c r="A1140" t="s">
        <v>4549</v>
      </c>
      <c r="B1140" t="s">
        <v>31</v>
      </c>
      <c r="C1140" t="s">
        <v>24</v>
      </c>
      <c r="D1140" t="s">
        <v>4550</v>
      </c>
      <c r="E1140" t="s">
        <v>79</v>
      </c>
      <c r="F1140" t="s">
        <v>1274</v>
      </c>
      <c r="G1140" t="s">
        <v>1516</v>
      </c>
      <c r="H1140" t="n">
        <v>39.736864</v>
      </c>
      <c r="I1140" t="n">
        <v>-104.991649</v>
      </c>
      <c r="J1140" t="s">
        <v>4109</v>
      </c>
      <c r="K1140" t="s">
        <v>70</v>
      </c>
      <c r="L1140"/>
      <c r="M1140" t="n">
        <v>1988</v>
      </c>
      <c r="N1140" t="n">
        <v>1988</v>
      </c>
      <c r="O1140" t="s">
        <v>325</v>
      </c>
      <c r="P1140" t="n">
        <v>1</v>
      </c>
      <c r="Q1140" t="n">
        <v>1</v>
      </c>
      <c r="R1140" t="n">
        <v>1</v>
      </c>
      <c r="S1140" t="n">
        <v>1964</v>
      </c>
      <c r="T1140" t="s">
        <v>4551</v>
      </c>
      <c r="U1140" t="s">
        <v>4552</v>
      </c>
      <c r="V1140" t="s">
        <v>74</v>
      </c>
      <c r="W1140"/>
      <c r="X1140"/>
      <c r="Y1140"/>
      <c r="Z1140"/>
      <c r="AA1140"/>
      <c r="AB1140" t="s">
        <v>4553</v>
      </c>
      <c r="AC1140" t="n">
        <v>159</v>
      </c>
      <c r="AD1140"/>
      <c r="AE1140"/>
      <c r="AF1140" t="s">
        <v>4554</v>
      </c>
      <c r="AG1140" t="n">
        <v>122</v>
      </c>
    </row>
    <row r="1141">
      <c r="A1141" t="s">
        <v>4555</v>
      </c>
      <c r="B1141" t="s">
        <v>31</v>
      </c>
      <c r="C1141" t="s">
        <v>24</v>
      </c>
      <c r="D1141" t="s">
        <v>4556</v>
      </c>
      <c r="E1141" t="s">
        <v>79</v>
      </c>
      <c r="F1141" t="s">
        <v>1274</v>
      </c>
      <c r="G1141" t="s">
        <v>1653</v>
      </c>
      <c r="H1141" t="n">
        <v>39.871209</v>
      </c>
      <c r="I1141" t="n">
        <v>-104.968906</v>
      </c>
      <c r="J1141" t="s">
        <v>4109</v>
      </c>
      <c r="K1141" t="s">
        <v>70</v>
      </c>
      <c r="L1141"/>
      <c r="M1141" t="n">
        <v>1988</v>
      </c>
      <c r="N1141" t="n">
        <v>1988</v>
      </c>
      <c r="O1141" t="s">
        <v>325</v>
      </c>
      <c r="P1141" t="n">
        <v>1</v>
      </c>
      <c r="Q1141" t="n">
        <v>1</v>
      </c>
      <c r="R1141" t="n">
        <v>1</v>
      </c>
      <c r="S1141" t="n">
        <v>1904</v>
      </c>
      <c r="T1141" t="s">
        <v>4557</v>
      </c>
      <c r="U1141" t="s">
        <v>4558</v>
      </c>
      <c r="V1141" t="s">
        <v>74</v>
      </c>
      <c r="W1141"/>
      <c r="X1141"/>
      <c r="Y1141"/>
      <c r="Z1141"/>
      <c r="AA1141"/>
      <c r="AB1141"/>
      <c r="AC1141"/>
      <c r="AD1141"/>
      <c r="AE1141"/>
      <c r="AF1141"/>
      <c r="AG1141"/>
    </row>
    <row r="1142">
      <c r="A1142" t="s">
        <v>2114</v>
      </c>
      <c r="B1142" t="s">
        <v>31</v>
      </c>
      <c r="C1142" t="s">
        <v>65</v>
      </c>
      <c r="D1142" t="s">
        <v>2115</v>
      </c>
      <c r="E1142" t="s">
        <v>79</v>
      </c>
      <c r="F1142" t="s">
        <v>1274</v>
      </c>
      <c r="G1142" t="s">
        <v>1702</v>
      </c>
      <c r="H1142" t="n">
        <v>39.7768452662799</v>
      </c>
      <c r="I1142" t="n">
        <v>-104.828395280398</v>
      </c>
      <c r="J1142" t="s">
        <v>35</v>
      </c>
      <c r="K1142" t="s">
        <v>70</v>
      </c>
      <c r="L1142"/>
      <c r="M1142" t="n">
        <v>1988</v>
      </c>
      <c r="N1142" t="n">
        <v>1988</v>
      </c>
      <c r="O1142" t="s">
        <v>325</v>
      </c>
      <c r="P1142" t="n">
        <v>1</v>
      </c>
      <c r="Q1142" t="n">
        <v>1</v>
      </c>
      <c r="R1142" t="n">
        <v>1</v>
      </c>
      <c r="S1142" t="n">
        <v>1979</v>
      </c>
      <c r="T1142" t="s">
        <v>2116</v>
      </c>
      <c r="U1142" t="s">
        <v>2117</v>
      </c>
      <c r="V1142" t="s">
        <v>74</v>
      </c>
      <c r="W1142"/>
      <c r="X1142"/>
      <c r="Y1142"/>
      <c r="Z1142"/>
      <c r="AA1142"/>
      <c r="AB1142"/>
      <c r="AC1142"/>
      <c r="AD1142"/>
      <c r="AE1142"/>
      <c r="AF1142"/>
      <c r="AG1142"/>
    </row>
    <row r="1143">
      <c r="A1143" t="s">
        <v>2118</v>
      </c>
      <c r="B1143" t="s">
        <v>31</v>
      </c>
      <c r="C1143" t="s">
        <v>65</v>
      </c>
      <c r="D1143" t="s">
        <v>2119</v>
      </c>
      <c r="E1143" t="s">
        <v>79</v>
      </c>
      <c r="F1143" t="s">
        <v>1274</v>
      </c>
      <c r="G1143" t="s">
        <v>1612</v>
      </c>
      <c r="H1143" t="n">
        <v>39.7181777190077</v>
      </c>
      <c r="I1143" t="n">
        <v>-105.047637999934</v>
      </c>
      <c r="J1143" t="s">
        <v>35</v>
      </c>
      <c r="K1143" t="s">
        <v>120</v>
      </c>
      <c r="L1143"/>
      <c r="M1143" t="n">
        <v>1988</v>
      </c>
      <c r="N1143" t="n">
        <v>1990</v>
      </c>
      <c r="O1143" t="s">
        <v>310</v>
      </c>
      <c r="P1143" t="n">
        <v>2</v>
      </c>
      <c r="Q1143" t="n">
        <v>2</v>
      </c>
      <c r="R1143" t="n">
        <v>2</v>
      </c>
      <c r="S1143" t="n">
        <v>1973</v>
      </c>
      <c r="T1143" t="s">
        <v>2120</v>
      </c>
      <c r="U1143" t="s">
        <v>2121</v>
      </c>
      <c r="V1143" t="s">
        <v>74</v>
      </c>
      <c r="W1143"/>
      <c r="X1143"/>
      <c r="Y1143"/>
      <c r="Z1143"/>
      <c r="AA1143"/>
      <c r="AB1143"/>
      <c r="AC1143"/>
      <c r="AD1143"/>
      <c r="AE1143"/>
      <c r="AF1143"/>
      <c r="AG1143"/>
    </row>
    <row r="1144">
      <c r="A1144" t="s">
        <v>2122</v>
      </c>
      <c r="B1144" t="s">
        <v>31</v>
      </c>
      <c r="C1144" t="s">
        <v>65</v>
      </c>
      <c r="D1144" t="s">
        <v>2123</v>
      </c>
      <c r="E1144" t="s">
        <v>79</v>
      </c>
      <c r="F1144" t="s">
        <v>1274</v>
      </c>
      <c r="G1144" t="s">
        <v>1702</v>
      </c>
      <c r="H1144" t="n">
        <v>39.788223080988</v>
      </c>
      <c r="I1144" t="n">
        <v>-104.854867103309</v>
      </c>
      <c r="J1144" t="s">
        <v>35</v>
      </c>
      <c r="K1144" t="s">
        <v>133</v>
      </c>
      <c r="L1144"/>
      <c r="M1144" t="n">
        <v>1988</v>
      </c>
      <c r="N1144" t="n">
        <v>1990</v>
      </c>
      <c r="O1144" t="s">
        <v>310</v>
      </c>
      <c r="P1144" t="n">
        <v>2</v>
      </c>
      <c r="Q1144" t="n">
        <v>1</v>
      </c>
      <c r="R1144" t="n">
        <v>1</v>
      </c>
      <c r="S1144" t="n">
        <v>1983</v>
      </c>
      <c r="T1144" t="s">
        <v>2124</v>
      </c>
      <c r="U1144" t="s">
        <v>2125</v>
      </c>
      <c r="V1144" t="s">
        <v>74</v>
      </c>
      <c r="W1144"/>
      <c r="X1144"/>
      <c r="Y1144"/>
      <c r="Z1144"/>
      <c r="AA1144"/>
      <c r="AB1144"/>
      <c r="AC1144"/>
      <c r="AD1144" t="s">
        <v>2126</v>
      </c>
      <c r="AE1144" t="n">
        <v>150</v>
      </c>
      <c r="AF1144" t="s">
        <v>2127</v>
      </c>
      <c r="AG1144" t="n">
        <v>159</v>
      </c>
    </row>
    <row r="1145">
      <c r="A1145" t="s">
        <v>2128</v>
      </c>
      <c r="B1145" t="s">
        <v>31</v>
      </c>
      <c r="C1145" t="s">
        <v>65</v>
      </c>
      <c r="D1145" t="s">
        <v>2129</v>
      </c>
      <c r="E1145" t="s">
        <v>79</v>
      </c>
      <c r="F1145" t="s">
        <v>1274</v>
      </c>
      <c r="G1145" t="s">
        <v>1516</v>
      </c>
      <c r="H1145" t="n">
        <v>39.7171286379799</v>
      </c>
      <c r="I1145" t="n">
        <v>-105.002474875616</v>
      </c>
      <c r="J1145" t="s">
        <v>35</v>
      </c>
      <c r="K1145" t="s">
        <v>70</v>
      </c>
      <c r="L1145"/>
      <c r="M1145" t="n">
        <v>1988</v>
      </c>
      <c r="N1145" t="n">
        <v>1990</v>
      </c>
      <c r="O1145" t="s">
        <v>310</v>
      </c>
      <c r="P1145" t="n">
        <v>2</v>
      </c>
      <c r="Q1145" t="n">
        <v>1</v>
      </c>
      <c r="R1145" t="n">
        <v>1</v>
      </c>
      <c r="S1145" t="n">
        <v>1980</v>
      </c>
      <c r="T1145" t="s">
        <v>2130</v>
      </c>
      <c r="U1145" t="s">
        <v>2131</v>
      </c>
      <c r="V1145" t="s">
        <v>74</v>
      </c>
      <c r="W1145"/>
      <c r="X1145"/>
      <c r="Y1145"/>
      <c r="Z1145"/>
      <c r="AA1145"/>
      <c r="AB1145" t="s">
        <v>2132</v>
      </c>
      <c r="AC1145" t="n">
        <v>249</v>
      </c>
      <c r="AD1145"/>
      <c r="AE1145"/>
      <c r="AF1145" t="s">
        <v>1892</v>
      </c>
      <c r="AG1145" t="n">
        <v>76</v>
      </c>
    </row>
    <row r="1146">
      <c r="A1146" t="s">
        <v>2133</v>
      </c>
      <c r="B1146" t="s">
        <v>31</v>
      </c>
      <c r="C1146" t="s">
        <v>65</v>
      </c>
      <c r="D1146" t="s">
        <v>2134</v>
      </c>
      <c r="E1146" t="s">
        <v>79</v>
      </c>
      <c r="F1146" t="s">
        <v>1274</v>
      </c>
      <c r="G1146" t="s">
        <v>1702</v>
      </c>
      <c r="H1146" t="n">
        <v>39.7837526175896</v>
      </c>
      <c r="I1146" t="n">
        <v>-104.854850969869</v>
      </c>
      <c r="J1146" t="s">
        <v>35</v>
      </c>
      <c r="K1146" t="s">
        <v>89</v>
      </c>
      <c r="L1146" t="s">
        <v>554</v>
      </c>
      <c r="M1146" t="n">
        <v>1988</v>
      </c>
      <c r="N1146" t="n">
        <v>1990</v>
      </c>
      <c r="O1146" t="s">
        <v>310</v>
      </c>
      <c r="P1146" t="n">
        <v>2</v>
      </c>
      <c r="Q1146" t="n">
        <v>2</v>
      </c>
      <c r="R1146" t="n">
        <v>2</v>
      </c>
      <c r="S1146" t="n">
        <v>1967</v>
      </c>
      <c r="T1146" t="s">
        <v>2135</v>
      </c>
      <c r="U1146" t="s">
        <v>2136</v>
      </c>
      <c r="V1146" t="s">
        <v>74</v>
      </c>
      <c r="W1146"/>
      <c r="X1146"/>
      <c r="Y1146"/>
      <c r="Z1146"/>
      <c r="AA1146"/>
      <c r="AB1146"/>
      <c r="AC1146"/>
      <c r="AD1146"/>
      <c r="AE1146"/>
      <c r="AF1146" t="s">
        <v>2137</v>
      </c>
      <c r="AG1146" t="n">
        <v>123</v>
      </c>
    </row>
    <row r="1147">
      <c r="A1147" t="s">
        <v>2138</v>
      </c>
      <c r="B1147" t="s">
        <v>31</v>
      </c>
      <c r="C1147" t="s">
        <v>65</v>
      </c>
      <c r="D1147" t="s">
        <v>2139</v>
      </c>
      <c r="E1147" t="s">
        <v>79</v>
      </c>
      <c r="F1147" t="s">
        <v>1274</v>
      </c>
      <c r="G1147" t="s">
        <v>2041</v>
      </c>
      <c r="H1147" t="n">
        <v>39.6820844501019</v>
      </c>
      <c r="I1147" t="n">
        <v>-104.901238878519</v>
      </c>
      <c r="J1147" t="s">
        <v>35</v>
      </c>
      <c r="K1147" t="s">
        <v>1242</v>
      </c>
      <c r="L1147"/>
      <c r="M1147" t="n">
        <v>1988</v>
      </c>
      <c r="N1147" t="n">
        <v>1990</v>
      </c>
      <c r="O1147" t="s">
        <v>310</v>
      </c>
      <c r="P1147" t="n">
        <v>2</v>
      </c>
      <c r="Q1147" t="n">
        <v>2</v>
      </c>
      <c r="R1147" t="n">
        <v>2</v>
      </c>
      <c r="S1147" t="n">
        <v>1986</v>
      </c>
      <c r="T1147" t="s">
        <v>2140</v>
      </c>
      <c r="U1147" t="s">
        <v>2141</v>
      </c>
      <c r="V1147" t="s">
        <v>74</v>
      </c>
      <c r="W1147"/>
      <c r="X1147"/>
      <c r="Y1147"/>
      <c r="Z1147"/>
      <c r="AA1147"/>
      <c r="AB1147" t="s">
        <v>2142</v>
      </c>
      <c r="AC1147" t="n">
        <v>228</v>
      </c>
      <c r="AD1147"/>
      <c r="AE1147"/>
      <c r="AF1147" t="s">
        <v>2143</v>
      </c>
      <c r="AG1147" t="n">
        <v>109</v>
      </c>
    </row>
    <row r="1148">
      <c r="A1148" t="s">
        <v>2144</v>
      </c>
      <c r="B1148" t="s">
        <v>31</v>
      </c>
      <c r="C1148" t="s">
        <v>65</v>
      </c>
      <c r="D1148" t="s">
        <v>2145</v>
      </c>
      <c r="E1148" t="s">
        <v>79</v>
      </c>
      <c r="F1148" t="s">
        <v>1274</v>
      </c>
      <c r="G1148" t="s">
        <v>1516</v>
      </c>
      <c r="H1148" t="n">
        <v>39.720926</v>
      </c>
      <c r="I1148" t="n">
        <v>-105.00510483298</v>
      </c>
      <c r="J1148" t="s">
        <v>35</v>
      </c>
      <c r="K1148" t="s">
        <v>133</v>
      </c>
      <c r="L1148"/>
      <c r="M1148" t="n">
        <v>1990</v>
      </c>
      <c r="N1148" t="n">
        <v>1990</v>
      </c>
      <c r="O1148" t="s">
        <v>351</v>
      </c>
      <c r="P1148" t="n">
        <v>1</v>
      </c>
      <c r="Q1148" t="n">
        <v>1</v>
      </c>
      <c r="R1148" t="n">
        <v>1</v>
      </c>
      <c r="S1148" t="n">
        <v>1965</v>
      </c>
      <c r="T1148" t="s">
        <v>2146</v>
      </c>
      <c r="U1148" t="s">
        <v>2147</v>
      </c>
      <c r="V1148" t="s">
        <v>74</v>
      </c>
      <c r="W1148"/>
      <c r="X1148"/>
      <c r="Y1148"/>
      <c r="Z1148"/>
      <c r="AA1148"/>
      <c r="AB1148"/>
      <c r="AC1148"/>
      <c r="AD1148"/>
      <c r="AE1148"/>
      <c r="AF1148" t="s">
        <v>2148</v>
      </c>
      <c r="AG1148" t="n">
        <v>73</v>
      </c>
    </row>
    <row r="1149">
      <c r="A1149" t="s">
        <v>2149</v>
      </c>
      <c r="B1149" t="s">
        <v>31</v>
      </c>
      <c r="C1149" t="s">
        <v>65</v>
      </c>
      <c r="D1149" t="s">
        <v>2150</v>
      </c>
      <c r="E1149" t="s">
        <v>79</v>
      </c>
      <c r="F1149" t="s">
        <v>1274</v>
      </c>
      <c r="G1149" t="s">
        <v>1653</v>
      </c>
      <c r="H1149" t="n">
        <v>39.7983031263826</v>
      </c>
      <c r="I1149" t="n">
        <v>-104.983666384896</v>
      </c>
      <c r="J1149" t="s">
        <v>35</v>
      </c>
      <c r="K1149" t="s">
        <v>133</v>
      </c>
      <c r="L1149"/>
      <c r="M1149" t="n">
        <v>1990</v>
      </c>
      <c r="N1149" t="n">
        <v>1992</v>
      </c>
      <c r="O1149" t="s">
        <v>357</v>
      </c>
      <c r="P1149" t="n">
        <v>2</v>
      </c>
      <c r="Q1149" t="n">
        <v>2</v>
      </c>
      <c r="R1149" t="n">
        <v>2</v>
      </c>
      <c r="S1149" t="n">
        <v>1977</v>
      </c>
      <c r="T1149" t="s">
        <v>2151</v>
      </c>
      <c r="U1149" t="s">
        <v>2152</v>
      </c>
      <c r="V1149" t="s">
        <v>74</v>
      </c>
      <c r="W1149"/>
      <c r="X1149"/>
      <c r="Y1149"/>
      <c r="Z1149"/>
      <c r="AA1149"/>
      <c r="AB1149"/>
      <c r="AC1149"/>
      <c r="AD1149" t="s">
        <v>2153</v>
      </c>
      <c r="AE1149" t="n">
        <v>184</v>
      </c>
      <c r="AF1149" t="s">
        <v>2154</v>
      </c>
      <c r="AG1149" t="n">
        <v>106</v>
      </c>
    </row>
    <row r="1150">
      <c r="A1150" t="s">
        <v>2155</v>
      </c>
      <c r="B1150" t="s">
        <v>31</v>
      </c>
      <c r="C1150" t="s">
        <v>65</v>
      </c>
      <c r="D1150" t="s">
        <v>2156</v>
      </c>
      <c r="E1150" t="s">
        <v>79</v>
      </c>
      <c r="F1150" t="s">
        <v>1274</v>
      </c>
      <c r="G1150" t="s">
        <v>1702</v>
      </c>
      <c r="H1150" t="n">
        <v>39.7903273427106</v>
      </c>
      <c r="I1150" t="n">
        <v>-104.849597922534</v>
      </c>
      <c r="J1150" t="s">
        <v>35</v>
      </c>
      <c r="K1150" t="s">
        <v>70</v>
      </c>
      <c r="L1150"/>
      <c r="M1150" t="n">
        <v>1990</v>
      </c>
      <c r="N1150" t="n">
        <v>1990</v>
      </c>
      <c r="O1150" t="s">
        <v>351</v>
      </c>
      <c r="P1150" t="n">
        <v>1</v>
      </c>
      <c r="Q1150" t="n">
        <v>1</v>
      </c>
      <c r="R1150" t="n">
        <v>1</v>
      </c>
      <c r="S1150" t="n">
        <v>1987</v>
      </c>
      <c r="T1150" t="s">
        <v>2157</v>
      </c>
      <c r="U1150" t="s">
        <v>2158</v>
      </c>
      <c r="V1150" t="s">
        <v>74</v>
      </c>
      <c r="W1150"/>
      <c r="X1150"/>
      <c r="Y1150"/>
      <c r="Z1150"/>
      <c r="AA1150"/>
      <c r="AB1150" t="s">
        <v>2159</v>
      </c>
      <c r="AC1150" t="n">
        <v>214</v>
      </c>
      <c r="AD1150" t="s">
        <v>2160</v>
      </c>
      <c r="AE1150" t="n">
        <v>171</v>
      </c>
      <c r="AF1150" t="s">
        <v>2161</v>
      </c>
      <c r="AG1150" t="n">
        <v>93</v>
      </c>
    </row>
    <row r="1151">
      <c r="A1151" t="s">
        <v>2162</v>
      </c>
      <c r="B1151" t="s">
        <v>31</v>
      </c>
      <c r="C1151" t="s">
        <v>65</v>
      </c>
      <c r="D1151" t="s">
        <v>2163</v>
      </c>
      <c r="E1151" t="s">
        <v>79</v>
      </c>
      <c r="F1151" t="s">
        <v>1274</v>
      </c>
      <c r="G1151" t="s">
        <v>1653</v>
      </c>
      <c r="H1151" t="n">
        <v>39.7742789315345</v>
      </c>
      <c r="I1151" t="n">
        <v>-104.912827175676</v>
      </c>
      <c r="J1151" t="s">
        <v>35</v>
      </c>
      <c r="K1151" t="s">
        <v>133</v>
      </c>
      <c r="L1151"/>
      <c r="M1151" t="n">
        <v>1990</v>
      </c>
      <c r="N1151" t="n">
        <v>1992</v>
      </c>
      <c r="O1151" t="s">
        <v>357</v>
      </c>
      <c r="P1151" t="n">
        <v>2</v>
      </c>
      <c r="Q1151" t="n">
        <v>1</v>
      </c>
      <c r="R1151" t="n">
        <v>1</v>
      </c>
      <c r="S1151" t="n">
        <v>1963</v>
      </c>
      <c r="T1151" t="s">
        <v>2164</v>
      </c>
      <c r="U1151" t="s">
        <v>2165</v>
      </c>
      <c r="V1151" t="s">
        <v>74</v>
      </c>
      <c r="W1151"/>
      <c r="X1151"/>
      <c r="Y1151"/>
      <c r="Z1151"/>
      <c r="AA1151"/>
      <c r="AB1151" t="s">
        <v>2166</v>
      </c>
      <c r="AC1151" t="n">
        <v>248</v>
      </c>
      <c r="AD1151"/>
      <c r="AE1151"/>
      <c r="AF1151" t="s">
        <v>2167</v>
      </c>
      <c r="AG1151" t="n">
        <v>41</v>
      </c>
    </row>
    <row r="1152">
      <c r="A1152" t="s">
        <v>2168</v>
      </c>
      <c r="B1152" t="s">
        <v>31</v>
      </c>
      <c r="C1152" t="s">
        <v>65</v>
      </c>
      <c r="D1152" t="s">
        <v>2169</v>
      </c>
      <c r="E1152" t="s">
        <v>79</v>
      </c>
      <c r="F1152" t="s">
        <v>1274</v>
      </c>
      <c r="G1152" t="s">
        <v>2170</v>
      </c>
      <c r="H1152" t="n">
        <v>39.631528</v>
      </c>
      <c r="I1152" t="n">
        <v>-104.896928</v>
      </c>
      <c r="J1152" t="s">
        <v>35</v>
      </c>
      <c r="K1152" t="s">
        <v>120</v>
      </c>
      <c r="L1152"/>
      <c r="M1152" t="n">
        <v>1990</v>
      </c>
      <c r="N1152" t="n">
        <v>1990</v>
      </c>
      <c r="O1152" t="s">
        <v>351</v>
      </c>
      <c r="P1152" t="n">
        <v>1</v>
      </c>
      <c r="Q1152" t="n">
        <v>1</v>
      </c>
      <c r="R1152" t="n">
        <v>1</v>
      </c>
      <c r="S1152"/>
      <c r="T1152" t="s">
        <v>2171</v>
      </c>
      <c r="U1152" t="s">
        <v>2172</v>
      </c>
      <c r="V1152" t="s">
        <v>74</v>
      </c>
      <c r="W1152"/>
      <c r="X1152"/>
      <c r="Y1152"/>
      <c r="Z1152"/>
      <c r="AA1152"/>
      <c r="AB1152"/>
      <c r="AC1152"/>
      <c r="AD1152"/>
      <c r="AE1152"/>
      <c r="AF1152" t="s">
        <v>2173</v>
      </c>
      <c r="AG1152" t="n">
        <v>47</v>
      </c>
    </row>
    <row r="1153">
      <c r="A1153" t="s">
        <v>2174</v>
      </c>
      <c r="B1153" t="s">
        <v>31</v>
      </c>
      <c r="C1153" t="s">
        <v>65</v>
      </c>
      <c r="D1153" t="s">
        <v>2175</v>
      </c>
      <c r="E1153" t="s">
        <v>79</v>
      </c>
      <c r="F1153" t="s">
        <v>1274</v>
      </c>
      <c r="G1153" t="s">
        <v>1509</v>
      </c>
      <c r="H1153" t="n">
        <v>39.6573786944129</v>
      </c>
      <c r="I1153" t="n">
        <v>-104.9362922449</v>
      </c>
      <c r="J1153" t="s">
        <v>35</v>
      </c>
      <c r="K1153" t="s">
        <v>120</v>
      </c>
      <c r="L1153"/>
      <c r="M1153" t="n">
        <v>1990</v>
      </c>
      <c r="N1153" t="n">
        <v>1990</v>
      </c>
      <c r="O1153" t="s">
        <v>351</v>
      </c>
      <c r="P1153" t="n">
        <v>1</v>
      </c>
      <c r="Q1153" t="n">
        <v>1</v>
      </c>
      <c r="R1153" t="n">
        <v>1</v>
      </c>
      <c r="S1153" t="n">
        <v>1962</v>
      </c>
      <c r="T1153" t="s">
        <v>2176</v>
      </c>
      <c r="U1153" t="s">
        <v>2177</v>
      </c>
      <c r="V1153" t="s">
        <v>74</v>
      </c>
      <c r="W1153"/>
      <c r="X1153"/>
      <c r="Y1153"/>
      <c r="Z1153"/>
      <c r="AA1153"/>
      <c r="AB1153"/>
      <c r="AC1153"/>
      <c r="AD1153"/>
      <c r="AE1153"/>
      <c r="AF1153"/>
      <c r="AG1153"/>
    </row>
    <row r="1154">
      <c r="A1154" t="s">
        <v>2178</v>
      </c>
      <c r="B1154" t="s">
        <v>31</v>
      </c>
      <c r="C1154" t="s">
        <v>65</v>
      </c>
      <c r="D1154" t="s">
        <v>2179</v>
      </c>
      <c r="E1154" t="s">
        <v>79</v>
      </c>
      <c r="F1154" t="s">
        <v>1274</v>
      </c>
      <c r="G1154" t="s">
        <v>2005</v>
      </c>
      <c r="H1154" t="n">
        <v>39.6324549275362</v>
      </c>
      <c r="I1154" t="n">
        <v>-105.036186275362</v>
      </c>
      <c r="J1154" t="s">
        <v>35</v>
      </c>
      <c r="K1154" t="s">
        <v>120</v>
      </c>
      <c r="L1154"/>
      <c r="M1154" t="n">
        <v>1990</v>
      </c>
      <c r="N1154" t="n">
        <v>1990</v>
      </c>
      <c r="O1154" t="s">
        <v>351</v>
      </c>
      <c r="P1154" t="n">
        <v>1</v>
      </c>
      <c r="Q1154" t="n">
        <v>1</v>
      </c>
      <c r="R1154" t="n">
        <v>1</v>
      </c>
      <c r="S1154" t="n">
        <v>1984</v>
      </c>
      <c r="T1154" t="s">
        <v>2180</v>
      </c>
      <c r="U1154" t="s">
        <v>2181</v>
      </c>
      <c r="V1154" t="s">
        <v>74</v>
      </c>
      <c r="W1154"/>
      <c r="X1154"/>
      <c r="Y1154"/>
      <c r="Z1154"/>
      <c r="AA1154"/>
      <c r="AB1154"/>
      <c r="AC1154"/>
      <c r="AD1154"/>
      <c r="AE1154"/>
      <c r="AF1154"/>
      <c r="AG1154"/>
    </row>
    <row r="1155">
      <c r="A1155" t="s">
        <v>2182</v>
      </c>
      <c r="B1155" t="s">
        <v>31</v>
      </c>
      <c r="C1155" t="s">
        <v>65</v>
      </c>
      <c r="D1155" t="s">
        <v>2183</v>
      </c>
      <c r="E1155" t="s">
        <v>79</v>
      </c>
      <c r="F1155" t="s">
        <v>1274</v>
      </c>
      <c r="G1155" t="s">
        <v>1612</v>
      </c>
      <c r="H1155" t="n">
        <v>39.686679</v>
      </c>
      <c r="I1155" t="n">
        <v>-105.025053</v>
      </c>
      <c r="J1155" t="s">
        <v>35</v>
      </c>
      <c r="K1155" t="s">
        <v>133</v>
      </c>
      <c r="L1155"/>
      <c r="M1155" t="n">
        <v>1990</v>
      </c>
      <c r="N1155" t="n">
        <v>1992</v>
      </c>
      <c r="O1155" t="s">
        <v>357</v>
      </c>
      <c r="P1155" t="n">
        <v>2</v>
      </c>
      <c r="Q1155" t="n">
        <v>1</v>
      </c>
      <c r="R1155" t="n">
        <v>1</v>
      </c>
      <c r="S1155" t="n">
        <v>1966</v>
      </c>
      <c r="T1155" t="s">
        <v>2184</v>
      </c>
      <c r="U1155" t="s">
        <v>2185</v>
      </c>
      <c r="V1155" t="s">
        <v>74</v>
      </c>
      <c r="W1155"/>
      <c r="X1155"/>
      <c r="Y1155"/>
      <c r="Z1155"/>
      <c r="AA1155"/>
      <c r="AB1155"/>
      <c r="AC1155"/>
      <c r="AD1155"/>
      <c r="AE1155"/>
      <c r="AF1155" t="s">
        <v>2186</v>
      </c>
      <c r="AG1155" t="n">
        <v>100</v>
      </c>
    </row>
    <row r="1156">
      <c r="A1156" t="s">
        <v>2187</v>
      </c>
      <c r="B1156" t="s">
        <v>31</v>
      </c>
      <c r="C1156" t="s">
        <v>65</v>
      </c>
      <c r="D1156" t="s">
        <v>2188</v>
      </c>
      <c r="E1156" t="s">
        <v>79</v>
      </c>
      <c r="F1156" t="s">
        <v>1274</v>
      </c>
      <c r="G1156" t="s">
        <v>1574</v>
      </c>
      <c r="H1156" t="n">
        <v>39.755919620017</v>
      </c>
      <c r="I1156" t="n">
        <v>-104.990499056326</v>
      </c>
      <c r="J1156" t="s">
        <v>35</v>
      </c>
      <c r="K1156" t="s">
        <v>527</v>
      </c>
      <c r="L1156"/>
      <c r="M1156" t="n">
        <v>1990</v>
      </c>
      <c r="N1156" t="n">
        <v>1990</v>
      </c>
      <c r="O1156" t="s">
        <v>351</v>
      </c>
      <c r="P1156" t="n">
        <v>1</v>
      </c>
      <c r="Q1156" t="n">
        <v>1</v>
      </c>
      <c r="R1156" t="n">
        <v>1</v>
      </c>
      <c r="S1156" t="n">
        <v>1904</v>
      </c>
      <c r="T1156" t="s">
        <v>2189</v>
      </c>
      <c r="U1156" t="s">
        <v>2190</v>
      </c>
      <c r="V1156" t="s">
        <v>74</v>
      </c>
      <c r="W1156"/>
      <c r="X1156"/>
      <c r="Y1156"/>
      <c r="Z1156"/>
      <c r="AA1156"/>
      <c r="AB1156" t="s">
        <v>2191</v>
      </c>
      <c r="AC1156" t="n">
        <v>134</v>
      </c>
      <c r="AD1156"/>
      <c r="AE1156"/>
      <c r="AF1156" t="s">
        <v>2192</v>
      </c>
      <c r="AG1156" t="n">
        <v>42</v>
      </c>
    </row>
    <row r="1157">
      <c r="A1157" t="s">
        <v>4559</v>
      </c>
      <c r="B1157" t="s">
        <v>31</v>
      </c>
      <c r="C1157" t="s">
        <v>24</v>
      </c>
      <c r="D1157" t="s">
        <v>4560</v>
      </c>
      <c r="E1157" t="s">
        <v>79</v>
      </c>
      <c r="F1157" t="s">
        <v>1274</v>
      </c>
      <c r="G1157" t="s">
        <v>1555</v>
      </c>
      <c r="H1157" t="n">
        <v>39.7285117336166</v>
      </c>
      <c r="I1157" t="n">
        <v>-105.002844295379</v>
      </c>
      <c r="J1157" t="s">
        <v>4109</v>
      </c>
      <c r="K1157" t="s">
        <v>141</v>
      </c>
      <c r="L1157" t="s">
        <v>2901</v>
      </c>
      <c r="M1157" t="n">
        <v>1990</v>
      </c>
      <c r="N1157" t="n">
        <v>1990</v>
      </c>
      <c r="O1157" t="s">
        <v>351</v>
      </c>
      <c r="P1157" t="n">
        <v>1</v>
      </c>
      <c r="Q1157" t="n">
        <v>1</v>
      </c>
      <c r="R1157" t="n">
        <v>1</v>
      </c>
      <c r="S1157" t="n">
        <v>1983</v>
      </c>
      <c r="T1157" t="s">
        <v>4561</v>
      </c>
      <c r="U1157" t="s">
        <v>4562</v>
      </c>
      <c r="V1157" t="s">
        <v>74</v>
      </c>
      <c r="W1157"/>
      <c r="X1157"/>
      <c r="Y1157"/>
      <c r="Z1157"/>
      <c r="AA1157"/>
      <c r="AB1157"/>
      <c r="AC1157"/>
      <c r="AD1157"/>
      <c r="AE1157"/>
      <c r="AF1157" t="s">
        <v>4415</v>
      </c>
      <c r="AG1157" t="n">
        <v>112</v>
      </c>
    </row>
    <row r="1158">
      <c r="A1158" t="s">
        <v>2193</v>
      </c>
      <c r="B1158" t="s">
        <v>31</v>
      </c>
      <c r="C1158" t="s">
        <v>65</v>
      </c>
      <c r="D1158" t="s">
        <v>2194</v>
      </c>
      <c r="E1158" t="s">
        <v>79</v>
      </c>
      <c r="F1158" t="s">
        <v>1274</v>
      </c>
      <c r="G1158" t="s">
        <v>1516</v>
      </c>
      <c r="H1158" t="n">
        <v>39.7121447360693</v>
      </c>
      <c r="I1158" t="n">
        <v>-105.004719105039</v>
      </c>
      <c r="J1158" t="s">
        <v>35</v>
      </c>
      <c r="K1158" t="s">
        <v>120</v>
      </c>
      <c r="L1158"/>
      <c r="M1158" t="n">
        <v>1990</v>
      </c>
      <c r="N1158" t="n">
        <v>1992</v>
      </c>
      <c r="O1158" t="s">
        <v>1016</v>
      </c>
      <c r="P1158" t="n">
        <v>2</v>
      </c>
      <c r="Q1158" t="n">
        <v>2</v>
      </c>
      <c r="R1158" t="n">
        <v>1</v>
      </c>
      <c r="S1158" t="n">
        <v>1898</v>
      </c>
      <c r="T1158" t="s">
        <v>2195</v>
      </c>
      <c r="U1158" t="s">
        <v>2196</v>
      </c>
      <c r="V1158" t="s">
        <v>74</v>
      </c>
      <c r="W1158"/>
      <c r="X1158"/>
      <c r="Y1158"/>
      <c r="Z1158"/>
      <c r="AA1158"/>
      <c r="AB1158" t="s">
        <v>2089</v>
      </c>
      <c r="AC1158" t="n">
        <v>250</v>
      </c>
      <c r="AD1158"/>
      <c r="AE1158"/>
      <c r="AF1158" t="s">
        <v>2197</v>
      </c>
      <c r="AG1158" t="n">
        <v>100</v>
      </c>
    </row>
    <row r="1159">
      <c r="A1159" t="s">
        <v>2198</v>
      </c>
      <c r="B1159" t="s">
        <v>31</v>
      </c>
      <c r="C1159" t="s">
        <v>65</v>
      </c>
      <c r="D1159" t="s">
        <v>2199</v>
      </c>
      <c r="E1159" t="s">
        <v>79</v>
      </c>
      <c r="F1159" t="s">
        <v>1274</v>
      </c>
      <c r="G1159" t="s">
        <v>1702</v>
      </c>
      <c r="H1159" t="n">
        <v>39.7981695093848</v>
      </c>
      <c r="I1159" t="n">
        <v>-104.861332407352</v>
      </c>
      <c r="J1159" t="s">
        <v>35</v>
      </c>
      <c r="K1159" t="s">
        <v>133</v>
      </c>
      <c r="L1159"/>
      <c r="M1159" t="n">
        <v>1990</v>
      </c>
      <c r="N1159" t="n">
        <v>1990</v>
      </c>
      <c r="O1159" t="s">
        <v>351</v>
      </c>
      <c r="P1159" t="n">
        <v>1</v>
      </c>
      <c r="Q1159" t="n">
        <v>1</v>
      </c>
      <c r="R1159" t="n">
        <v>1</v>
      </c>
      <c r="S1159" t="n">
        <v>1973</v>
      </c>
      <c r="T1159" t="s">
        <v>2200</v>
      </c>
      <c r="U1159" t="s">
        <v>2201</v>
      </c>
      <c r="V1159" t="s">
        <v>74</v>
      </c>
      <c r="W1159"/>
      <c r="X1159"/>
      <c r="Y1159"/>
      <c r="Z1159"/>
      <c r="AA1159"/>
      <c r="AB1159"/>
      <c r="AC1159"/>
      <c r="AD1159"/>
      <c r="AE1159"/>
      <c r="AF1159"/>
      <c r="AG1159"/>
    </row>
    <row r="1160">
      <c r="A1160" t="s">
        <v>2202</v>
      </c>
      <c r="B1160" t="s">
        <v>31</v>
      </c>
      <c r="C1160" t="s">
        <v>65</v>
      </c>
      <c r="D1160" t="s">
        <v>2203</v>
      </c>
      <c r="E1160" t="s">
        <v>79</v>
      </c>
      <c r="F1160" t="s">
        <v>1274</v>
      </c>
      <c r="G1160" t="s">
        <v>1881</v>
      </c>
      <c r="H1160" t="n">
        <v>39.7692571830259</v>
      </c>
      <c r="I1160" t="n">
        <v>-104.916517628409</v>
      </c>
      <c r="J1160" t="s">
        <v>35</v>
      </c>
      <c r="K1160" t="s">
        <v>527</v>
      </c>
      <c r="L1160" t="s">
        <v>2204</v>
      </c>
      <c r="M1160" t="n">
        <v>1992</v>
      </c>
      <c r="N1160" t="n">
        <v>1992</v>
      </c>
      <c r="O1160" t="s">
        <v>1016</v>
      </c>
      <c r="P1160" t="n">
        <v>1</v>
      </c>
      <c r="Q1160" t="n">
        <v>1</v>
      </c>
      <c r="R1160" t="n">
        <v>1</v>
      </c>
      <c r="S1160"/>
      <c r="T1160" t="s">
        <v>2205</v>
      </c>
      <c r="U1160" t="s">
        <v>2206</v>
      </c>
      <c r="V1160" t="s">
        <v>74</v>
      </c>
      <c r="W1160"/>
      <c r="X1160"/>
      <c r="Y1160"/>
      <c r="Z1160"/>
      <c r="AA1160"/>
      <c r="AB1160"/>
      <c r="AC1160"/>
      <c r="AD1160" t="s">
        <v>2112</v>
      </c>
      <c r="AE1160" t="n">
        <v>151</v>
      </c>
      <c r="AF1160" t="s">
        <v>2207</v>
      </c>
      <c r="AG1160" t="n">
        <v>62</v>
      </c>
    </row>
    <row r="1161">
      <c r="A1161" t="s">
        <v>2208</v>
      </c>
      <c r="B1161" t="s">
        <v>31</v>
      </c>
      <c r="C1161" t="s">
        <v>65</v>
      </c>
      <c r="D1161" t="s">
        <v>2209</v>
      </c>
      <c r="E1161" t="s">
        <v>79</v>
      </c>
      <c r="F1161" t="s">
        <v>1274</v>
      </c>
      <c r="G1161" t="s">
        <v>1653</v>
      </c>
      <c r="H1161" t="n">
        <v>39.7241024085048</v>
      </c>
      <c r="I1161" t="n">
        <v>-104.979981816322</v>
      </c>
      <c r="J1161" t="s">
        <v>35</v>
      </c>
      <c r="K1161" t="s">
        <v>133</v>
      </c>
      <c r="L1161"/>
      <c r="M1161" t="n">
        <v>1992</v>
      </c>
      <c r="N1161" t="n">
        <v>1992</v>
      </c>
      <c r="O1161" t="s">
        <v>1016</v>
      </c>
      <c r="P1161" t="n">
        <v>1</v>
      </c>
      <c r="Q1161" t="n">
        <v>1</v>
      </c>
      <c r="R1161" t="n">
        <v>1</v>
      </c>
      <c r="S1161"/>
      <c r="T1161" t="s">
        <v>2210</v>
      </c>
      <c r="U1161" t="s">
        <v>2211</v>
      </c>
      <c r="V1161" t="s">
        <v>74</v>
      </c>
      <c r="W1161"/>
      <c r="X1161"/>
      <c r="Y1161"/>
      <c r="Z1161"/>
      <c r="AA1161"/>
      <c r="AB1161"/>
      <c r="AC1161"/>
      <c r="AD1161"/>
      <c r="AE1161"/>
      <c r="AF1161" t="s">
        <v>1616</v>
      </c>
      <c r="AG1161" t="n">
        <v>174</v>
      </c>
    </row>
    <row r="1162">
      <c r="A1162" t="s">
        <v>2212</v>
      </c>
      <c r="B1162" t="s">
        <v>31</v>
      </c>
      <c r="C1162" t="s">
        <v>65</v>
      </c>
      <c r="D1162" t="s">
        <v>2213</v>
      </c>
      <c r="E1162" t="s">
        <v>79</v>
      </c>
      <c r="F1162" t="s">
        <v>1274</v>
      </c>
      <c r="G1162" t="s">
        <v>1555</v>
      </c>
      <c r="H1162" t="n">
        <v>39.739979076271</v>
      </c>
      <c r="I1162" t="n">
        <v>-105.007452161954</v>
      </c>
      <c r="J1162" t="s">
        <v>35</v>
      </c>
      <c r="K1162" t="s">
        <v>70</v>
      </c>
      <c r="L1162"/>
      <c r="M1162" t="n">
        <v>1992</v>
      </c>
      <c r="N1162" t="n">
        <v>1992</v>
      </c>
      <c r="O1162" t="s">
        <v>1016</v>
      </c>
      <c r="P1162" t="n">
        <v>1</v>
      </c>
      <c r="Q1162" t="n">
        <v>1</v>
      </c>
      <c r="R1162" t="n">
        <v>1</v>
      </c>
      <c r="S1162"/>
      <c r="T1162" t="s">
        <v>2214</v>
      </c>
      <c r="U1162" t="s">
        <v>2215</v>
      </c>
      <c r="V1162" t="s">
        <v>74</v>
      </c>
      <c r="W1162"/>
      <c r="X1162"/>
      <c r="Y1162"/>
      <c r="Z1162"/>
      <c r="AA1162"/>
      <c r="AB1162" t="s">
        <v>2216</v>
      </c>
      <c r="AC1162" t="n">
        <v>168</v>
      </c>
      <c r="AD1162"/>
      <c r="AE1162"/>
      <c r="AF1162" t="s">
        <v>2217</v>
      </c>
      <c r="AG1162" t="n">
        <v>176</v>
      </c>
    </row>
    <row r="1163">
      <c r="A1163" t="s">
        <v>2218</v>
      </c>
      <c r="B1163" t="s">
        <v>31</v>
      </c>
      <c r="C1163" t="s">
        <v>65</v>
      </c>
      <c r="D1163" t="s">
        <v>2219</v>
      </c>
      <c r="E1163" t="s">
        <v>2220</v>
      </c>
      <c r="F1163" t="s">
        <v>2221</v>
      </c>
      <c r="G1163" t="s">
        <v>2222</v>
      </c>
      <c r="H1163" t="n">
        <v>39.3655969340594</v>
      </c>
      <c r="I1163" t="n">
        <v>-104.85014874135</v>
      </c>
      <c r="J1163" t="s">
        <v>35</v>
      </c>
      <c r="K1163" t="s">
        <v>133</v>
      </c>
      <c r="L1163"/>
      <c r="M1163" t="n">
        <v>1974</v>
      </c>
      <c r="N1163" t="n">
        <v>1992</v>
      </c>
      <c r="O1163" t="s">
        <v>1830</v>
      </c>
      <c r="P1163" t="n">
        <v>7</v>
      </c>
      <c r="Q1163" t="n">
        <v>3</v>
      </c>
      <c r="R1163" t="n">
        <v>1</v>
      </c>
      <c r="S1163" t="n">
        <v>1972</v>
      </c>
      <c r="T1163" t="s">
        <v>2223</v>
      </c>
      <c r="U1163" t="s">
        <v>2224</v>
      </c>
      <c r="V1163" t="s">
        <v>74</v>
      </c>
      <c r="W1163"/>
      <c r="X1163"/>
      <c r="Y1163"/>
      <c r="Z1163"/>
      <c r="AA1163"/>
      <c r="AB1163"/>
      <c r="AC1163"/>
      <c r="AD1163" t="s">
        <v>2225</v>
      </c>
      <c r="AE1163" t="n">
        <v>219</v>
      </c>
      <c r="AF1163" t="s">
        <v>2226</v>
      </c>
      <c r="AG1163" t="n">
        <v>95</v>
      </c>
    </row>
    <row r="1164">
      <c r="A1164" t="s">
        <v>2227</v>
      </c>
      <c r="B1164" t="s">
        <v>31</v>
      </c>
      <c r="C1164" t="s">
        <v>65</v>
      </c>
      <c r="D1164" t="s">
        <v>2228</v>
      </c>
      <c r="E1164" t="s">
        <v>2220</v>
      </c>
      <c r="F1164" t="s">
        <v>2221</v>
      </c>
      <c r="G1164" t="s">
        <v>2222</v>
      </c>
      <c r="H1164" t="n">
        <v>39.3792144787154</v>
      </c>
      <c r="I1164" t="n">
        <v>-104.858855098505</v>
      </c>
      <c r="J1164" t="s">
        <v>35</v>
      </c>
      <c r="K1164" t="s">
        <v>133</v>
      </c>
      <c r="L1164"/>
      <c r="M1164" t="n">
        <v>1977</v>
      </c>
      <c r="N1164" t="n">
        <v>1977</v>
      </c>
      <c r="O1164" t="s">
        <v>228</v>
      </c>
      <c r="P1164" t="n">
        <v>1</v>
      </c>
      <c r="Q1164" t="n">
        <v>1</v>
      </c>
      <c r="R1164" t="n">
        <v>1</v>
      </c>
      <c r="S1164" t="n">
        <v>1960</v>
      </c>
      <c r="T1164" t="s">
        <v>2229</v>
      </c>
      <c r="U1164" t="s">
        <v>2230</v>
      </c>
      <c r="V1164" t="s">
        <v>74</v>
      </c>
      <c r="W1164"/>
      <c r="X1164"/>
      <c r="Y1164"/>
      <c r="Z1164"/>
      <c r="AA1164"/>
      <c r="AB1164"/>
      <c r="AC1164"/>
      <c r="AD1164" t="s">
        <v>2231</v>
      </c>
      <c r="AE1164" t="n">
        <v>239</v>
      </c>
      <c r="AF1164" t="s">
        <v>2232</v>
      </c>
      <c r="AG1164" t="n">
        <v>108</v>
      </c>
    </row>
    <row r="1165">
      <c r="A1165" t="s">
        <v>2233</v>
      </c>
      <c r="B1165" t="s">
        <v>31</v>
      </c>
      <c r="C1165" t="s">
        <v>65</v>
      </c>
      <c r="D1165" t="s">
        <v>2234</v>
      </c>
      <c r="E1165" t="s">
        <v>2220</v>
      </c>
      <c r="F1165" t="s">
        <v>2221</v>
      </c>
      <c r="G1165" t="s">
        <v>2222</v>
      </c>
      <c r="H1165" t="n">
        <v>39.3639388713689</v>
      </c>
      <c r="I1165" t="n">
        <v>-104.848495256571</v>
      </c>
      <c r="J1165" t="s">
        <v>35</v>
      </c>
      <c r="K1165" t="s">
        <v>201</v>
      </c>
      <c r="L1165"/>
      <c r="M1165" t="n">
        <v>1977</v>
      </c>
      <c r="N1165" t="n">
        <v>1990</v>
      </c>
      <c r="O1165" t="s">
        <v>540</v>
      </c>
      <c r="P1165" t="n">
        <v>5</v>
      </c>
      <c r="Q1165" t="n">
        <v>3</v>
      </c>
      <c r="R1165" t="n">
        <v>3</v>
      </c>
      <c r="S1165" t="n">
        <v>1968</v>
      </c>
      <c r="T1165" t="s">
        <v>2235</v>
      </c>
      <c r="U1165" t="s">
        <v>2236</v>
      </c>
      <c r="V1165" t="s">
        <v>74</v>
      </c>
      <c r="W1165"/>
      <c r="X1165"/>
      <c r="Y1165"/>
      <c r="Z1165"/>
      <c r="AA1165"/>
      <c r="AB1165"/>
      <c r="AC1165"/>
      <c r="AD1165"/>
      <c r="AE1165"/>
      <c r="AF1165" t="s">
        <v>2237</v>
      </c>
      <c r="AG1165" t="n">
        <v>66</v>
      </c>
    </row>
    <row r="1166">
      <c r="A1166" t="s">
        <v>4563</v>
      </c>
      <c r="B1166" t="s">
        <v>31</v>
      </c>
      <c r="C1166" t="s">
        <v>24</v>
      </c>
      <c r="D1166" t="s">
        <v>4564</v>
      </c>
      <c r="E1166" t="s">
        <v>4565</v>
      </c>
      <c r="F1166" t="s">
        <v>2221</v>
      </c>
      <c r="G1166" t="s">
        <v>4566</v>
      </c>
      <c r="H1166" t="n">
        <v>39.4764652008493</v>
      </c>
      <c r="I1166" t="n">
        <v>-105.026546232795</v>
      </c>
      <c r="J1166" t="s">
        <v>4109</v>
      </c>
      <c r="K1166" t="s">
        <v>89</v>
      </c>
      <c r="L1166"/>
      <c r="M1166" t="n">
        <v>1977</v>
      </c>
      <c r="N1166" t="n">
        <v>1980</v>
      </c>
      <c r="O1166" t="s">
        <v>1949</v>
      </c>
      <c r="P1166" t="n">
        <v>2</v>
      </c>
      <c r="Q1166" t="n">
        <v>1</v>
      </c>
      <c r="R1166" t="n">
        <v>1</v>
      </c>
      <c r="S1166" t="n">
        <v>1966</v>
      </c>
      <c r="T1166" t="s">
        <v>4567</v>
      </c>
      <c r="U1166" t="s">
        <v>4568</v>
      </c>
      <c r="V1166" t="s">
        <v>74</v>
      </c>
      <c r="W1166"/>
      <c r="X1166"/>
      <c r="Y1166"/>
      <c r="Z1166"/>
      <c r="AA1166"/>
      <c r="AB1166"/>
      <c r="AC1166"/>
      <c r="AD1166"/>
      <c r="AE1166"/>
      <c r="AF1166"/>
      <c r="AG1166"/>
    </row>
    <row r="1167">
      <c r="A1167" t="s">
        <v>4569</v>
      </c>
      <c r="B1167" t="s">
        <v>31</v>
      </c>
      <c r="C1167" t="s">
        <v>24</v>
      </c>
      <c r="D1167" t="s">
        <v>4570</v>
      </c>
      <c r="E1167" t="s">
        <v>2246</v>
      </c>
      <c r="F1167" t="s">
        <v>2221</v>
      </c>
      <c r="G1167" t="s">
        <v>2247</v>
      </c>
      <c r="H1167" t="n">
        <v>39.5554396091201</v>
      </c>
      <c r="I1167" t="n">
        <v>-104.67057993871</v>
      </c>
      <c r="J1167" t="s">
        <v>4109</v>
      </c>
      <c r="K1167" t="s">
        <v>89</v>
      </c>
      <c r="L1167"/>
      <c r="M1167" t="n">
        <v>1980</v>
      </c>
      <c r="N1167" t="n">
        <v>1980</v>
      </c>
      <c r="O1167" t="s">
        <v>255</v>
      </c>
      <c r="P1167" t="n">
        <v>1</v>
      </c>
      <c r="Q1167" t="n">
        <v>1</v>
      </c>
      <c r="R1167" t="n">
        <v>1</v>
      </c>
      <c r="S1167" t="n">
        <v>1978</v>
      </c>
      <c r="T1167" t="s">
        <v>4571</v>
      </c>
      <c r="U1167" t="s">
        <v>4572</v>
      </c>
      <c r="V1167" t="s">
        <v>74</v>
      </c>
      <c r="W1167"/>
      <c r="X1167"/>
      <c r="Y1167"/>
      <c r="Z1167"/>
      <c r="AA1167"/>
      <c r="AB1167"/>
      <c r="AC1167"/>
      <c r="AD1167"/>
      <c r="AE1167"/>
      <c r="AF1167"/>
      <c r="AG1167"/>
    </row>
    <row r="1168">
      <c r="A1168" t="s">
        <v>2238</v>
      </c>
      <c r="B1168" t="s">
        <v>31</v>
      </c>
      <c r="C1168" t="s">
        <v>65</v>
      </c>
      <c r="D1168" t="s">
        <v>2239</v>
      </c>
      <c r="E1168" t="s">
        <v>2240</v>
      </c>
      <c r="F1168" t="s">
        <v>2221</v>
      </c>
      <c r="G1168" t="s">
        <v>2241</v>
      </c>
      <c r="H1168" t="n">
        <v>39.4114980332802</v>
      </c>
      <c r="I1168" t="n">
        <v>-104.670428575821</v>
      </c>
      <c r="J1168" t="s">
        <v>35</v>
      </c>
      <c r="K1168" t="s">
        <v>282</v>
      </c>
      <c r="L1168"/>
      <c r="M1168" t="n">
        <v>1983</v>
      </c>
      <c r="N1168" t="n">
        <v>1992</v>
      </c>
      <c r="O1168" t="s">
        <v>1016</v>
      </c>
      <c r="P1168" t="n">
        <v>3</v>
      </c>
      <c r="Q1168" t="n">
        <v>1</v>
      </c>
      <c r="R1168" t="n">
        <v>1</v>
      </c>
      <c r="S1168" t="n">
        <v>1973</v>
      </c>
      <c r="T1168" t="s">
        <v>2242</v>
      </c>
      <c r="U1168" t="s">
        <v>2243</v>
      </c>
      <c r="V1168" t="s">
        <v>74</v>
      </c>
      <c r="W1168"/>
      <c r="X1168"/>
      <c r="Y1168"/>
      <c r="Z1168"/>
      <c r="AA1168"/>
      <c r="AB1168"/>
      <c r="AC1168"/>
      <c r="AD1168"/>
      <c r="AE1168"/>
      <c r="AF1168"/>
      <c r="AG1168"/>
    </row>
    <row r="1169">
      <c r="A1169" t="s">
        <v>2244</v>
      </c>
      <c r="B1169" t="s">
        <v>31</v>
      </c>
      <c r="C1169" t="s">
        <v>65</v>
      </c>
      <c r="D1169" t="s">
        <v>2245</v>
      </c>
      <c r="E1169" t="s">
        <v>2246</v>
      </c>
      <c r="F1169" t="s">
        <v>2221</v>
      </c>
      <c r="G1169" t="s">
        <v>2247</v>
      </c>
      <c r="H1169" t="n">
        <v>39.4980658438171</v>
      </c>
      <c r="I1169" t="n">
        <v>-104.777295677601</v>
      </c>
      <c r="J1169" t="s">
        <v>35</v>
      </c>
      <c r="K1169" t="s">
        <v>70</v>
      </c>
      <c r="L1169"/>
      <c r="M1169" t="n">
        <v>1983</v>
      </c>
      <c r="N1169" t="n">
        <v>1992</v>
      </c>
      <c r="O1169" t="s">
        <v>271</v>
      </c>
      <c r="P1169" t="n">
        <v>4</v>
      </c>
      <c r="Q1169" t="n">
        <v>1</v>
      </c>
      <c r="R1169" t="n">
        <v>1</v>
      </c>
      <c r="S1169" t="n">
        <v>1978</v>
      </c>
      <c r="T1169" t="s">
        <v>2248</v>
      </c>
      <c r="U1169" t="s">
        <v>2249</v>
      </c>
      <c r="V1169" t="s">
        <v>74</v>
      </c>
      <c r="W1169"/>
      <c r="X1169"/>
      <c r="Y1169"/>
      <c r="Z1169"/>
      <c r="AA1169"/>
      <c r="AB1169"/>
      <c r="AC1169"/>
      <c r="AD1169"/>
      <c r="AE1169"/>
      <c r="AF1169"/>
      <c r="AG1169"/>
    </row>
    <row r="1170">
      <c r="A1170" t="s">
        <v>4573</v>
      </c>
      <c r="B1170" t="s">
        <v>31</v>
      </c>
      <c r="C1170" t="s">
        <v>24</v>
      </c>
      <c r="D1170" t="s">
        <v>4574</v>
      </c>
      <c r="E1170" t="s">
        <v>386</v>
      </c>
      <c r="F1170" t="s">
        <v>2221</v>
      </c>
      <c r="G1170" t="s">
        <v>4575</v>
      </c>
      <c r="H1170" t="n">
        <v>39.5066898126475</v>
      </c>
      <c r="I1170" t="n">
        <v>-105.020087455845</v>
      </c>
      <c r="J1170" t="s">
        <v>4109</v>
      </c>
      <c r="K1170" t="s">
        <v>70</v>
      </c>
      <c r="L1170"/>
      <c r="M1170" t="n">
        <v>1992</v>
      </c>
      <c r="N1170" t="n">
        <v>1992</v>
      </c>
      <c r="O1170" t="s">
        <v>1016</v>
      </c>
      <c r="P1170" t="n">
        <v>1</v>
      </c>
      <c r="Q1170" t="n">
        <v>1</v>
      </c>
      <c r="R1170" t="n">
        <v>1</v>
      </c>
      <c r="S1170" t="n">
        <v>1962</v>
      </c>
      <c r="T1170" t="s">
        <v>4576</v>
      </c>
      <c r="U1170" t="s">
        <v>4577</v>
      </c>
      <c r="V1170" t="s">
        <v>74</v>
      </c>
      <c r="W1170"/>
      <c r="X1170"/>
      <c r="Y1170"/>
      <c r="Z1170"/>
      <c r="AA1170"/>
      <c r="AB1170" t="s">
        <v>4578</v>
      </c>
      <c r="AC1170" t="n">
        <v>183</v>
      </c>
      <c r="AD1170" t="s">
        <v>4579</v>
      </c>
      <c r="AE1170" t="n">
        <v>209</v>
      </c>
      <c r="AF1170" t="s">
        <v>4580</v>
      </c>
      <c r="AG1170" t="n">
        <v>161</v>
      </c>
    </row>
    <row r="1171">
      <c r="A1171" t="s">
        <v>2250</v>
      </c>
      <c r="B1171" t="s">
        <v>31</v>
      </c>
      <c r="C1171" t="s">
        <v>65</v>
      </c>
      <c r="D1171" t="s">
        <v>2251</v>
      </c>
      <c r="E1171" t="s">
        <v>2252</v>
      </c>
      <c r="F1171" t="s">
        <v>2253</v>
      </c>
      <c r="G1171" t="s">
        <v>2254</v>
      </c>
      <c r="H1171" t="n">
        <v>39.642087559604</v>
      </c>
      <c r="I1171" t="n">
        <v>-106.37683652472</v>
      </c>
      <c r="J1171" t="s">
        <v>35</v>
      </c>
      <c r="K1171" t="s">
        <v>120</v>
      </c>
      <c r="L1171"/>
      <c r="M1171" t="n">
        <v>1980</v>
      </c>
      <c r="N1171" t="n">
        <v>1992</v>
      </c>
      <c r="O1171" t="s">
        <v>255</v>
      </c>
      <c r="P1171" t="n">
        <v>4</v>
      </c>
      <c r="Q1171" t="n">
        <v>6</v>
      </c>
      <c r="R1171" t="n">
        <v>1</v>
      </c>
      <c r="S1171" t="n">
        <v>1978</v>
      </c>
      <c r="T1171" t="s">
        <v>2255</v>
      </c>
      <c r="U1171" t="s">
        <v>2256</v>
      </c>
      <c r="V1171" t="s">
        <v>74</v>
      </c>
      <c r="W1171"/>
      <c r="X1171"/>
      <c r="Y1171"/>
      <c r="Z1171"/>
      <c r="AA1171"/>
      <c r="AB1171"/>
      <c r="AC1171"/>
      <c r="AD1171"/>
      <c r="AE1171"/>
      <c r="AF1171" t="s">
        <v>2257</v>
      </c>
      <c r="AG1171" t="n">
        <v>147</v>
      </c>
    </row>
    <row r="1172">
      <c r="A1172" t="s">
        <v>2258</v>
      </c>
      <c r="B1172" t="s">
        <v>31</v>
      </c>
      <c r="C1172" t="s">
        <v>65</v>
      </c>
      <c r="D1172" t="s">
        <v>2259</v>
      </c>
      <c r="E1172" t="s">
        <v>2260</v>
      </c>
      <c r="F1172" t="s">
        <v>2253</v>
      </c>
      <c r="G1172"/>
      <c r="H1172" t="n">
        <v>39.364963</v>
      </c>
      <c r="I1172" t="n">
        <v>-107.035195</v>
      </c>
      <c r="J1172" t="s">
        <v>35</v>
      </c>
      <c r="K1172" t="s">
        <v>70</v>
      </c>
      <c r="L1172"/>
      <c r="M1172" t="n">
        <v>1988</v>
      </c>
      <c r="N1172" t="n">
        <v>1992</v>
      </c>
      <c r="O1172" t="s">
        <v>320</v>
      </c>
      <c r="P1172" t="n">
        <v>3</v>
      </c>
      <c r="Q1172" t="n">
        <v>1</v>
      </c>
      <c r="R1172" t="n">
        <v>1</v>
      </c>
      <c r="S1172" t="n">
        <v>1986</v>
      </c>
      <c r="T1172" t="s">
        <v>2261</v>
      </c>
      <c r="U1172" t="s">
        <v>2262</v>
      </c>
      <c r="V1172" t="s">
        <v>74</v>
      </c>
      <c r="W1172"/>
      <c r="X1172"/>
      <c r="Y1172"/>
      <c r="Z1172"/>
      <c r="AA1172"/>
      <c r="AB1172"/>
      <c r="AC1172"/>
      <c r="AD1172"/>
      <c r="AE1172"/>
      <c r="AF1172" t="s">
        <v>2263</v>
      </c>
      <c r="AG1172" t="n">
        <v>216</v>
      </c>
    </row>
    <row r="1173">
      <c r="A1173" t="s">
        <v>2264</v>
      </c>
      <c r="B1173" t="s">
        <v>31</v>
      </c>
      <c r="C1173" t="s">
        <v>65</v>
      </c>
      <c r="D1173" t="s">
        <v>2265</v>
      </c>
      <c r="E1173" t="s">
        <v>2266</v>
      </c>
      <c r="F1173" t="s">
        <v>2267</v>
      </c>
      <c r="G1173"/>
      <c r="H1173" t="n">
        <v>38.8591279590443</v>
      </c>
      <c r="I1173" t="n">
        <v>-104.919663641518</v>
      </c>
      <c r="J1173" t="s">
        <v>35</v>
      </c>
      <c r="K1173" t="s">
        <v>120</v>
      </c>
      <c r="L1173"/>
      <c r="M1173" t="n">
        <v>1965</v>
      </c>
      <c r="N1173" t="n">
        <v>1990</v>
      </c>
      <c r="O1173" t="s">
        <v>271</v>
      </c>
      <c r="P1173" t="n">
        <v>9</v>
      </c>
      <c r="Q1173" t="n">
        <v>4</v>
      </c>
      <c r="R1173" t="n">
        <v>2</v>
      </c>
      <c r="S1173" t="n">
        <v>1862</v>
      </c>
      <c r="T1173" t="s">
        <v>2268</v>
      </c>
      <c r="U1173" t="s">
        <v>2269</v>
      </c>
      <c r="V1173" t="s">
        <v>74</v>
      </c>
      <c r="W1173"/>
      <c r="X1173"/>
      <c r="Y1173"/>
      <c r="Z1173"/>
      <c r="AA1173"/>
      <c r="AB1173"/>
      <c r="AC1173"/>
      <c r="AD1173"/>
      <c r="AE1173"/>
      <c r="AF1173"/>
      <c r="AG1173"/>
    </row>
    <row r="1174">
      <c r="A1174" t="s">
        <v>2270</v>
      </c>
      <c r="B1174" t="s">
        <v>31</v>
      </c>
      <c r="C1174" t="s">
        <v>65</v>
      </c>
      <c r="D1174" t="s">
        <v>2271</v>
      </c>
      <c r="E1174" t="s">
        <v>2272</v>
      </c>
      <c r="F1174" t="s">
        <v>2267</v>
      </c>
      <c r="G1174" t="s">
        <v>2273</v>
      </c>
      <c r="H1174" t="n">
        <v>38.8358443505327</v>
      </c>
      <c r="I1174" t="n">
        <v>-104.773215934642</v>
      </c>
      <c r="J1174" t="s">
        <v>35</v>
      </c>
      <c r="K1174" t="s">
        <v>2274</v>
      </c>
      <c r="L1174"/>
      <c r="M1174" t="n">
        <v>1966</v>
      </c>
      <c r="N1174" t="n">
        <v>1990</v>
      </c>
      <c r="O1174" t="s">
        <v>2275</v>
      </c>
      <c r="P1174" t="n">
        <v>9</v>
      </c>
      <c r="Q1174" t="n">
        <v>5</v>
      </c>
      <c r="R1174" t="n">
        <v>2</v>
      </c>
      <c r="S1174" t="n">
        <v>1955</v>
      </c>
      <c r="T1174" t="s">
        <v>2276</v>
      </c>
      <c r="U1174" t="s">
        <v>2277</v>
      </c>
      <c r="V1174" t="s">
        <v>74</v>
      </c>
      <c r="W1174"/>
      <c r="X1174"/>
      <c r="Y1174"/>
      <c r="Z1174"/>
      <c r="AA1174"/>
      <c r="AB1174" t="s">
        <v>2278</v>
      </c>
      <c r="AC1174" t="n">
        <v>225</v>
      </c>
      <c r="AD1174"/>
      <c r="AE1174"/>
      <c r="AF1174" t="s">
        <v>2279</v>
      </c>
      <c r="AG1174" t="n">
        <v>106</v>
      </c>
    </row>
    <row r="1175">
      <c r="A1175" t="s">
        <v>2280</v>
      </c>
      <c r="B1175" t="s">
        <v>31</v>
      </c>
      <c r="C1175" t="s">
        <v>65</v>
      </c>
      <c r="D1175" t="s">
        <v>2281</v>
      </c>
      <c r="E1175" t="s">
        <v>2272</v>
      </c>
      <c r="F1175" t="s">
        <v>2267</v>
      </c>
      <c r="G1175" t="s">
        <v>2282</v>
      </c>
      <c r="H1175" t="n">
        <v>38.832502</v>
      </c>
      <c r="I1175" t="n">
        <v>-104.839656</v>
      </c>
      <c r="J1175" t="s">
        <v>35</v>
      </c>
      <c r="K1175" t="s">
        <v>70</v>
      </c>
      <c r="L1175"/>
      <c r="M1175" t="n">
        <v>1966</v>
      </c>
      <c r="N1175" t="n">
        <v>1973</v>
      </c>
      <c r="O1175" t="s">
        <v>121</v>
      </c>
      <c r="P1175" t="n">
        <v>2</v>
      </c>
      <c r="Q1175" t="n">
        <v>1</v>
      </c>
      <c r="R1175" t="n">
        <v>1</v>
      </c>
      <c r="S1175" t="n">
        <v>1954</v>
      </c>
      <c r="T1175" t="s">
        <v>2283</v>
      </c>
      <c r="U1175" t="s">
        <v>2284</v>
      </c>
      <c r="V1175" t="s">
        <v>74</v>
      </c>
      <c r="W1175"/>
      <c r="X1175"/>
      <c r="Y1175"/>
      <c r="Z1175"/>
      <c r="AA1175"/>
      <c r="AB1175" t="s">
        <v>2285</v>
      </c>
      <c r="AC1175" t="n">
        <v>249</v>
      </c>
      <c r="AD1175"/>
      <c r="AE1175"/>
      <c r="AF1175" t="s">
        <v>2286</v>
      </c>
      <c r="AG1175" t="n">
        <v>105</v>
      </c>
    </row>
    <row r="1176">
      <c r="A1176" t="s">
        <v>2287</v>
      </c>
      <c r="B1176" t="s">
        <v>31</v>
      </c>
      <c r="C1176" t="s">
        <v>65</v>
      </c>
      <c r="D1176" t="s">
        <v>2288</v>
      </c>
      <c r="E1176" t="s">
        <v>2272</v>
      </c>
      <c r="F1176" t="s">
        <v>2267</v>
      </c>
      <c r="G1176" t="s">
        <v>2289</v>
      </c>
      <c r="H1176" t="n">
        <v>38.8195338161771</v>
      </c>
      <c r="I1176" t="n">
        <v>-104.815372179935</v>
      </c>
      <c r="J1176" t="s">
        <v>35</v>
      </c>
      <c r="K1176" t="s">
        <v>141</v>
      </c>
      <c r="L1176"/>
      <c r="M1176" t="n">
        <v>1966</v>
      </c>
      <c r="N1176" t="n">
        <v>1977</v>
      </c>
      <c r="O1176" t="s">
        <v>1556</v>
      </c>
      <c r="P1176" t="n">
        <v>4</v>
      </c>
      <c r="Q1176" t="n">
        <v>3</v>
      </c>
      <c r="R1176" t="n">
        <v>1</v>
      </c>
      <c r="S1176" t="n">
        <v>1912</v>
      </c>
      <c r="T1176" t="s">
        <v>2290</v>
      </c>
      <c r="U1176" t="s">
        <v>2291</v>
      </c>
      <c r="V1176" t="s">
        <v>74</v>
      </c>
      <c r="W1176"/>
      <c r="X1176"/>
      <c r="Y1176"/>
      <c r="Z1176"/>
      <c r="AA1176"/>
      <c r="AB1176" t="s">
        <v>2292</v>
      </c>
      <c r="AC1176" t="n">
        <v>159</v>
      </c>
      <c r="AD1176"/>
      <c r="AE1176"/>
      <c r="AF1176" t="s">
        <v>2293</v>
      </c>
      <c r="AG1176" t="n">
        <v>45</v>
      </c>
    </row>
    <row r="1177">
      <c r="A1177" t="s">
        <v>2294</v>
      </c>
      <c r="B1177" t="s">
        <v>31</v>
      </c>
      <c r="C1177" t="s">
        <v>65</v>
      </c>
      <c r="D1177" t="s">
        <v>2295</v>
      </c>
      <c r="E1177" t="s">
        <v>2272</v>
      </c>
      <c r="F1177" t="s">
        <v>2267</v>
      </c>
      <c r="G1177" t="s">
        <v>2296</v>
      </c>
      <c r="H1177" t="n">
        <v>38.857819</v>
      </c>
      <c r="I1177" t="n">
        <v>-104.81859755102</v>
      </c>
      <c r="J1177" t="s">
        <v>35</v>
      </c>
      <c r="K1177" t="s">
        <v>89</v>
      </c>
      <c r="L1177"/>
      <c r="M1177" t="n">
        <v>1966</v>
      </c>
      <c r="N1177" t="n">
        <v>1973</v>
      </c>
      <c r="O1177" t="s">
        <v>2297</v>
      </c>
      <c r="P1177" t="n">
        <v>3</v>
      </c>
      <c r="Q1177" t="n">
        <v>1</v>
      </c>
      <c r="R1177" t="n">
        <v>1</v>
      </c>
      <c r="S1177" t="n">
        <v>1936</v>
      </c>
      <c r="T1177" t="s">
        <v>2298</v>
      </c>
      <c r="U1177" t="s">
        <v>2299</v>
      </c>
      <c r="V1177" t="s">
        <v>74</v>
      </c>
      <c r="W1177"/>
      <c r="X1177"/>
      <c r="Y1177"/>
      <c r="Z1177"/>
      <c r="AA1177"/>
      <c r="AB1177"/>
      <c r="AC1177"/>
      <c r="AD1177"/>
      <c r="AE1177"/>
      <c r="AF1177"/>
      <c r="AG1177"/>
    </row>
    <row r="1178">
      <c r="A1178" t="s">
        <v>2300</v>
      </c>
      <c r="B1178" t="s">
        <v>31</v>
      </c>
      <c r="C1178" t="s">
        <v>65</v>
      </c>
      <c r="D1178" t="s">
        <v>2301</v>
      </c>
      <c r="E1178" t="s">
        <v>2272</v>
      </c>
      <c r="F1178" t="s">
        <v>2267</v>
      </c>
      <c r="G1178" t="s">
        <v>2302</v>
      </c>
      <c r="H1178" t="n">
        <v>38.8356143380205</v>
      </c>
      <c r="I1178" t="n">
        <v>-104.823410007564</v>
      </c>
      <c r="J1178" t="s">
        <v>35</v>
      </c>
      <c r="K1178" t="s">
        <v>282</v>
      </c>
      <c r="L1178"/>
      <c r="M1178" t="n">
        <v>1966</v>
      </c>
      <c r="N1178" t="n">
        <v>1992</v>
      </c>
      <c r="O1178" t="s">
        <v>228</v>
      </c>
      <c r="P1178" t="n">
        <v>10</v>
      </c>
      <c r="Q1178" t="n">
        <v>5</v>
      </c>
      <c r="R1178" t="n">
        <v>1</v>
      </c>
      <c r="S1178" t="n">
        <v>1952</v>
      </c>
      <c r="T1178" t="s">
        <v>2303</v>
      </c>
      <c r="U1178" t="s">
        <v>2304</v>
      </c>
      <c r="V1178" t="s">
        <v>74</v>
      </c>
      <c r="W1178"/>
      <c r="X1178"/>
      <c r="Y1178"/>
      <c r="Z1178"/>
      <c r="AA1178"/>
      <c r="AB1178" t="s">
        <v>2305</v>
      </c>
      <c r="AC1178" t="n">
        <v>175</v>
      </c>
      <c r="AD1178"/>
      <c r="AE1178"/>
      <c r="AF1178" t="s">
        <v>2306</v>
      </c>
      <c r="AG1178" t="n">
        <v>165</v>
      </c>
    </row>
    <row r="1179">
      <c r="A1179" t="s">
        <v>2307</v>
      </c>
      <c r="B1179" t="s">
        <v>31</v>
      </c>
      <c r="C1179" t="s">
        <v>65</v>
      </c>
      <c r="D1179" t="s">
        <v>2308</v>
      </c>
      <c r="E1179" t="s">
        <v>2272</v>
      </c>
      <c r="F1179" t="s">
        <v>2267</v>
      </c>
      <c r="G1179" t="s">
        <v>2296</v>
      </c>
      <c r="H1179" t="n">
        <v>38.8898757163032</v>
      </c>
      <c r="I1179" t="n">
        <v>-104.815285858583</v>
      </c>
      <c r="J1179" t="s">
        <v>35</v>
      </c>
      <c r="K1179" t="s">
        <v>220</v>
      </c>
      <c r="L1179"/>
      <c r="M1179" t="n">
        <v>1966</v>
      </c>
      <c r="N1179" t="n">
        <v>1990</v>
      </c>
      <c r="O1179" t="s">
        <v>2309</v>
      </c>
      <c r="P1179" t="n">
        <v>6</v>
      </c>
      <c r="Q1179" t="n">
        <v>5</v>
      </c>
      <c r="R1179" t="n">
        <v>4</v>
      </c>
      <c r="S1179" t="n">
        <v>1935</v>
      </c>
      <c r="T1179" t="s">
        <v>2310</v>
      </c>
      <c r="U1179" t="s">
        <v>2311</v>
      </c>
      <c r="V1179" t="s">
        <v>74</v>
      </c>
      <c r="W1179"/>
      <c r="X1179"/>
      <c r="Y1179"/>
      <c r="Z1179"/>
      <c r="AA1179"/>
      <c r="AB1179"/>
      <c r="AC1179"/>
      <c r="AD1179" t="s">
        <v>2312</v>
      </c>
      <c r="AE1179" t="n">
        <v>232</v>
      </c>
      <c r="AF1179" t="s">
        <v>2313</v>
      </c>
      <c r="AG1179" t="n">
        <v>119</v>
      </c>
    </row>
    <row r="1180">
      <c r="A1180" t="s">
        <v>2314</v>
      </c>
      <c r="B1180" t="s">
        <v>31</v>
      </c>
      <c r="C1180" t="s">
        <v>65</v>
      </c>
      <c r="D1180" t="s">
        <v>2315</v>
      </c>
      <c r="E1180" t="s">
        <v>2272</v>
      </c>
      <c r="F1180" t="s">
        <v>2267</v>
      </c>
      <c r="G1180" t="s">
        <v>2289</v>
      </c>
      <c r="H1180" t="n">
        <v>38.8209929298321</v>
      </c>
      <c r="I1180" t="n">
        <v>-104.820376022115</v>
      </c>
      <c r="J1180" t="s">
        <v>35</v>
      </c>
      <c r="K1180" t="s">
        <v>120</v>
      </c>
      <c r="L1180"/>
      <c r="M1180" t="n">
        <v>1966</v>
      </c>
      <c r="N1180" t="n">
        <v>1990</v>
      </c>
      <c r="O1180" t="s">
        <v>2316</v>
      </c>
      <c r="P1180" t="n">
        <v>10</v>
      </c>
      <c r="Q1180" t="n">
        <v>3</v>
      </c>
      <c r="R1180" t="n">
        <v>3</v>
      </c>
      <c r="S1180" t="n">
        <v>1962</v>
      </c>
      <c r="T1180" t="s">
        <v>2317</v>
      </c>
      <c r="U1180" t="s">
        <v>2318</v>
      </c>
      <c r="V1180" t="s">
        <v>74</v>
      </c>
      <c r="W1180"/>
      <c r="X1180"/>
      <c r="Y1180"/>
      <c r="Z1180"/>
      <c r="AA1180"/>
      <c r="AB1180"/>
      <c r="AC1180"/>
      <c r="AD1180"/>
      <c r="AE1180"/>
      <c r="AF1180"/>
      <c r="AG1180"/>
    </row>
    <row r="1181">
      <c r="A1181" t="s">
        <v>2319</v>
      </c>
      <c r="B1181" t="s">
        <v>31</v>
      </c>
      <c r="C1181" t="s">
        <v>65</v>
      </c>
      <c r="D1181" t="s">
        <v>2320</v>
      </c>
      <c r="E1181" t="s">
        <v>2272</v>
      </c>
      <c r="F1181" t="s">
        <v>2267</v>
      </c>
      <c r="G1181" t="s">
        <v>2296</v>
      </c>
      <c r="H1181" t="n">
        <v>38.874992</v>
      </c>
      <c r="I1181" t="n">
        <v>-104.807676</v>
      </c>
      <c r="J1181" t="s">
        <v>35</v>
      </c>
      <c r="K1181" t="s">
        <v>315</v>
      </c>
      <c r="L1181"/>
      <c r="M1181" t="n">
        <v>1966</v>
      </c>
      <c r="N1181" t="n">
        <v>1968</v>
      </c>
      <c r="O1181" t="s">
        <v>1349</v>
      </c>
      <c r="P1181" t="n">
        <v>2</v>
      </c>
      <c r="Q1181" t="n">
        <v>1</v>
      </c>
      <c r="R1181" t="n">
        <v>1</v>
      </c>
      <c r="S1181" t="n">
        <v>1954</v>
      </c>
      <c r="T1181" t="s">
        <v>2321</v>
      </c>
      <c r="U1181" t="s">
        <v>2322</v>
      </c>
      <c r="V1181" t="s">
        <v>74</v>
      </c>
      <c r="W1181"/>
      <c r="X1181"/>
      <c r="Y1181"/>
      <c r="Z1181"/>
      <c r="AA1181"/>
      <c r="AB1181"/>
      <c r="AC1181"/>
      <c r="AD1181"/>
      <c r="AE1181"/>
      <c r="AF1181" t="s">
        <v>2323</v>
      </c>
      <c r="AG1181" t="n">
        <v>143</v>
      </c>
    </row>
    <row r="1182">
      <c r="A1182" t="s">
        <v>2324</v>
      </c>
      <c r="B1182" t="s">
        <v>31</v>
      </c>
      <c r="C1182" t="s">
        <v>65</v>
      </c>
      <c r="D1182" t="s">
        <v>2325</v>
      </c>
      <c r="E1182" t="s">
        <v>2272</v>
      </c>
      <c r="F1182" t="s">
        <v>2267</v>
      </c>
      <c r="G1182" t="s">
        <v>2326</v>
      </c>
      <c r="H1182" t="n">
        <v>38.8373083636364</v>
      </c>
      <c r="I1182" t="n">
        <v>-104.859877363636</v>
      </c>
      <c r="J1182" t="s">
        <v>35</v>
      </c>
      <c r="K1182" t="s">
        <v>70</v>
      </c>
      <c r="L1182" t="s">
        <v>1337</v>
      </c>
      <c r="M1182" t="n">
        <v>1967</v>
      </c>
      <c r="N1182" t="n">
        <v>1970</v>
      </c>
      <c r="O1182" t="s">
        <v>388</v>
      </c>
      <c r="P1182" t="n">
        <v>2</v>
      </c>
      <c r="Q1182" t="n">
        <v>2</v>
      </c>
      <c r="R1182" t="n">
        <v>1</v>
      </c>
      <c r="S1182" t="n">
        <v>1964</v>
      </c>
      <c r="T1182" t="s">
        <v>2327</v>
      </c>
      <c r="U1182" t="s">
        <v>2328</v>
      </c>
      <c r="V1182" t="s">
        <v>74</v>
      </c>
      <c r="W1182"/>
      <c r="X1182"/>
      <c r="Y1182"/>
      <c r="Z1182"/>
      <c r="AA1182"/>
      <c r="AB1182" t="s">
        <v>2329</v>
      </c>
      <c r="AC1182" t="n">
        <v>134</v>
      </c>
      <c r="AD1182"/>
      <c r="AE1182"/>
      <c r="AF1182" t="s">
        <v>2330</v>
      </c>
      <c r="AG1182" t="n">
        <v>94</v>
      </c>
    </row>
    <row r="1183">
      <c r="A1183" t="s">
        <v>2331</v>
      </c>
      <c r="B1183" t="s">
        <v>31</v>
      </c>
      <c r="C1183" t="s">
        <v>65</v>
      </c>
      <c r="D1183" t="s">
        <v>2332</v>
      </c>
      <c r="E1183" t="s">
        <v>2272</v>
      </c>
      <c r="F1183" t="s">
        <v>2267</v>
      </c>
      <c r="G1183" t="s">
        <v>2289</v>
      </c>
      <c r="H1183" t="n">
        <v>38.8265198163265</v>
      </c>
      <c r="I1183" t="n">
        <v>-104.818389265306</v>
      </c>
      <c r="J1183" t="s">
        <v>35</v>
      </c>
      <c r="K1183" t="s">
        <v>120</v>
      </c>
      <c r="L1183"/>
      <c r="M1183" t="n">
        <v>1967</v>
      </c>
      <c r="N1183" t="n">
        <v>1967</v>
      </c>
      <c r="O1183" t="s">
        <v>388</v>
      </c>
      <c r="P1183" t="n">
        <v>1</v>
      </c>
      <c r="Q1183" t="n">
        <v>1</v>
      </c>
      <c r="R1183" t="n">
        <v>1</v>
      </c>
      <c r="S1183" t="n">
        <v>1927</v>
      </c>
      <c r="T1183" t="s">
        <v>2333</v>
      </c>
      <c r="U1183" t="s">
        <v>2334</v>
      </c>
      <c r="V1183" t="s">
        <v>74</v>
      </c>
      <c r="W1183"/>
      <c r="X1183"/>
      <c r="Y1183"/>
      <c r="Z1183"/>
      <c r="AA1183"/>
      <c r="AB1183" t="s">
        <v>2335</v>
      </c>
      <c r="AC1183" t="n">
        <v>166</v>
      </c>
      <c r="AD1183"/>
      <c r="AE1183"/>
      <c r="AF1183" t="s">
        <v>2336</v>
      </c>
      <c r="AG1183" t="n">
        <v>134</v>
      </c>
    </row>
    <row r="1184">
      <c r="A1184" t="s">
        <v>2337</v>
      </c>
      <c r="B1184" t="s">
        <v>31</v>
      </c>
      <c r="C1184" t="s">
        <v>65</v>
      </c>
      <c r="D1184" t="s">
        <v>2338</v>
      </c>
      <c r="E1184" t="s">
        <v>2272</v>
      </c>
      <c r="F1184" t="s">
        <v>2267</v>
      </c>
      <c r="G1184" t="s">
        <v>2296</v>
      </c>
      <c r="H1184" t="n">
        <v>38.853667</v>
      </c>
      <c r="I1184" t="n">
        <v>-104.816605409398</v>
      </c>
      <c r="J1184" t="s">
        <v>35</v>
      </c>
      <c r="K1184" t="s">
        <v>89</v>
      </c>
      <c r="L1184"/>
      <c r="M1184" t="n">
        <v>1967</v>
      </c>
      <c r="N1184" t="n">
        <v>1968</v>
      </c>
      <c r="O1184" t="s">
        <v>1349</v>
      </c>
      <c r="P1184" t="n">
        <v>2</v>
      </c>
      <c r="Q1184" t="n">
        <v>2</v>
      </c>
      <c r="R1184" t="n">
        <v>1</v>
      </c>
      <c r="S1184" t="n">
        <v>1954</v>
      </c>
      <c r="T1184" t="s">
        <v>2339</v>
      </c>
      <c r="U1184" t="s">
        <v>2340</v>
      </c>
      <c r="V1184" t="s">
        <v>74</v>
      </c>
      <c r="W1184"/>
      <c r="X1184"/>
      <c r="Y1184"/>
      <c r="Z1184"/>
      <c r="AA1184"/>
      <c r="AB1184"/>
      <c r="AC1184"/>
      <c r="AD1184"/>
      <c r="AE1184"/>
      <c r="AF1184" t="s">
        <v>2341</v>
      </c>
      <c r="AG1184" t="n">
        <v>114</v>
      </c>
    </row>
    <row r="1185">
      <c r="A1185" t="s">
        <v>2342</v>
      </c>
      <c r="B1185" t="s">
        <v>31</v>
      </c>
      <c r="C1185" t="s">
        <v>65</v>
      </c>
      <c r="D1185" t="s">
        <v>2343</v>
      </c>
      <c r="E1185" t="s">
        <v>2272</v>
      </c>
      <c r="F1185" t="s">
        <v>2267</v>
      </c>
      <c r="G1185" t="s">
        <v>2273</v>
      </c>
      <c r="H1185" t="n">
        <v>38.83876979625</v>
      </c>
      <c r="I1185" t="n">
        <v>-104.771914</v>
      </c>
      <c r="J1185" t="s">
        <v>35</v>
      </c>
      <c r="K1185" t="s">
        <v>70</v>
      </c>
      <c r="L1185"/>
      <c r="M1185" t="n">
        <v>1967</v>
      </c>
      <c r="N1185" t="n">
        <v>1990</v>
      </c>
      <c r="O1185" t="s">
        <v>264</v>
      </c>
      <c r="P1185" t="n">
        <v>4</v>
      </c>
      <c r="Q1185" t="n">
        <v>4</v>
      </c>
      <c r="R1185" t="n">
        <v>1</v>
      </c>
      <c r="S1185" t="n">
        <v>1955</v>
      </c>
      <c r="T1185" t="s">
        <v>2344</v>
      </c>
      <c r="U1185" t="s">
        <v>2345</v>
      </c>
      <c r="V1185" t="s">
        <v>74</v>
      </c>
      <c r="W1185"/>
      <c r="X1185"/>
      <c r="Y1185"/>
      <c r="Z1185"/>
      <c r="AA1185"/>
      <c r="AB1185" t="s">
        <v>2278</v>
      </c>
      <c r="AC1185" t="n">
        <v>131</v>
      </c>
      <c r="AD1185"/>
      <c r="AE1185"/>
      <c r="AF1185" t="s">
        <v>2346</v>
      </c>
      <c r="AG1185" t="n">
        <v>75</v>
      </c>
    </row>
    <row r="1186">
      <c r="A1186" t="s">
        <v>4581</v>
      </c>
      <c r="B1186" t="s">
        <v>31</v>
      </c>
      <c r="C1186" t="s">
        <v>24</v>
      </c>
      <c r="D1186" t="s">
        <v>4582</v>
      </c>
      <c r="E1186" t="s">
        <v>2266</v>
      </c>
      <c r="F1186" t="s">
        <v>2267</v>
      </c>
      <c r="G1186" t="s">
        <v>2488</v>
      </c>
      <c r="H1186" t="n">
        <v>38.8553878085136</v>
      </c>
      <c r="I1186" t="n">
        <v>-104.914330383049</v>
      </c>
      <c r="J1186" t="s">
        <v>4109</v>
      </c>
      <c r="K1186" t="s">
        <v>70</v>
      </c>
      <c r="L1186"/>
      <c r="M1186" t="n">
        <v>1967</v>
      </c>
      <c r="N1186" t="n">
        <v>1968</v>
      </c>
      <c r="O1186" t="s">
        <v>1349</v>
      </c>
      <c r="P1186" t="n">
        <v>2</v>
      </c>
      <c r="Q1186" t="n">
        <v>2</v>
      </c>
      <c r="R1186" t="n">
        <v>1</v>
      </c>
      <c r="S1186" t="n">
        <v>1948</v>
      </c>
      <c r="T1186" t="s">
        <v>4583</v>
      </c>
      <c r="U1186" t="s">
        <v>4584</v>
      </c>
      <c r="V1186" t="s">
        <v>74</v>
      </c>
      <c r="W1186"/>
      <c r="X1186"/>
      <c r="Y1186"/>
      <c r="Z1186"/>
      <c r="AA1186"/>
      <c r="AB1186"/>
      <c r="AC1186"/>
      <c r="AD1186"/>
      <c r="AE1186"/>
      <c r="AF1186"/>
      <c r="AG1186"/>
    </row>
    <row r="1187">
      <c r="A1187" t="s">
        <v>2347</v>
      </c>
      <c r="B1187" t="s">
        <v>31</v>
      </c>
      <c r="C1187" t="s">
        <v>65</v>
      </c>
      <c r="D1187" t="s">
        <v>2348</v>
      </c>
      <c r="E1187" t="s">
        <v>2272</v>
      </c>
      <c r="F1187" t="s">
        <v>2267</v>
      </c>
      <c r="G1187" t="s">
        <v>2289</v>
      </c>
      <c r="H1187" t="n">
        <v>38.8278139292929</v>
      </c>
      <c r="I1187" t="n">
        <v>-104.818323818182</v>
      </c>
      <c r="J1187" t="s">
        <v>35</v>
      </c>
      <c r="K1187" t="s">
        <v>70</v>
      </c>
      <c r="L1187"/>
      <c r="M1187" t="n">
        <v>1968</v>
      </c>
      <c r="N1187" t="n">
        <v>1973</v>
      </c>
      <c r="O1187" t="s">
        <v>2349</v>
      </c>
      <c r="P1187" t="n">
        <v>2</v>
      </c>
      <c r="Q1187" t="n">
        <v>2</v>
      </c>
      <c r="R1187" t="n">
        <v>2</v>
      </c>
      <c r="S1187" t="n">
        <v>1962</v>
      </c>
      <c r="T1187" t="s">
        <v>2350</v>
      </c>
      <c r="U1187" t="s">
        <v>2351</v>
      </c>
      <c r="V1187" t="s">
        <v>74</v>
      </c>
      <c r="W1187"/>
      <c r="X1187"/>
      <c r="Y1187"/>
      <c r="Z1187"/>
      <c r="AA1187"/>
      <c r="AB1187"/>
      <c r="AC1187"/>
      <c r="AD1187" t="s">
        <v>2352</v>
      </c>
      <c r="AE1187" t="n">
        <v>187</v>
      </c>
      <c r="AF1187" t="s">
        <v>2353</v>
      </c>
      <c r="AG1187" t="n">
        <v>79</v>
      </c>
    </row>
    <row r="1188">
      <c r="A1188" t="s">
        <v>2354</v>
      </c>
      <c r="B1188" t="s">
        <v>31</v>
      </c>
      <c r="C1188" t="s">
        <v>65</v>
      </c>
      <c r="D1188" t="s">
        <v>2355</v>
      </c>
      <c r="E1188" t="s">
        <v>2272</v>
      </c>
      <c r="F1188" t="s">
        <v>2267</v>
      </c>
      <c r="G1188" t="s">
        <v>2326</v>
      </c>
      <c r="H1188" t="n">
        <v>38.8480814578827</v>
      </c>
      <c r="I1188" t="n">
        <v>-104.864220963956</v>
      </c>
      <c r="J1188" t="s">
        <v>35</v>
      </c>
      <c r="K1188" t="s">
        <v>133</v>
      </c>
      <c r="L1188"/>
      <c r="M1188" t="n">
        <v>1968</v>
      </c>
      <c r="N1188" t="n">
        <v>1983</v>
      </c>
      <c r="O1188" t="s">
        <v>264</v>
      </c>
      <c r="P1188" t="n">
        <v>3</v>
      </c>
      <c r="Q1188" t="n">
        <v>3</v>
      </c>
      <c r="R1188" t="n">
        <v>1</v>
      </c>
      <c r="S1188" t="n">
        <v>1927</v>
      </c>
      <c r="T1188" t="s">
        <v>2356</v>
      </c>
      <c r="U1188" t="s">
        <v>2357</v>
      </c>
      <c r="V1188" t="s">
        <v>74</v>
      </c>
      <c r="W1188"/>
      <c r="X1188"/>
      <c r="Y1188"/>
      <c r="Z1188"/>
      <c r="AA1188"/>
      <c r="AB1188"/>
      <c r="AC1188"/>
      <c r="AD1188"/>
      <c r="AE1188"/>
      <c r="AF1188" t="s">
        <v>2358</v>
      </c>
      <c r="AG1188" t="n">
        <v>104</v>
      </c>
    </row>
    <row r="1189">
      <c r="A1189" t="s">
        <v>2359</v>
      </c>
      <c r="B1189" t="s">
        <v>31</v>
      </c>
      <c r="C1189" t="s">
        <v>65</v>
      </c>
      <c r="D1189" t="s">
        <v>2360</v>
      </c>
      <c r="E1189" t="s">
        <v>2272</v>
      </c>
      <c r="F1189" t="s">
        <v>2267</v>
      </c>
      <c r="G1189" t="s">
        <v>2326</v>
      </c>
      <c r="H1189" t="n">
        <v>38.8468660289848</v>
      </c>
      <c r="I1189" t="n">
        <v>-104.872847628201</v>
      </c>
      <c r="J1189" t="s">
        <v>35</v>
      </c>
      <c r="K1189" t="s">
        <v>141</v>
      </c>
      <c r="L1189"/>
      <c r="M1189" t="n">
        <v>1970</v>
      </c>
      <c r="N1189" t="n">
        <v>1990</v>
      </c>
      <c r="O1189" t="s">
        <v>2361</v>
      </c>
      <c r="P1189" t="n">
        <v>8</v>
      </c>
      <c r="Q1189" t="n">
        <v>1</v>
      </c>
      <c r="R1189" t="n">
        <v>1</v>
      </c>
      <c r="S1189" t="n">
        <v>1945</v>
      </c>
      <c r="T1189" t="s">
        <v>2362</v>
      </c>
      <c r="U1189" t="s">
        <v>2363</v>
      </c>
      <c r="V1189" t="s">
        <v>74</v>
      </c>
      <c r="W1189"/>
      <c r="X1189"/>
      <c r="Y1189"/>
      <c r="Z1189"/>
      <c r="AA1189"/>
      <c r="AB1189" t="s">
        <v>2364</v>
      </c>
      <c r="AC1189" t="n">
        <v>177</v>
      </c>
      <c r="AD1189"/>
      <c r="AE1189"/>
      <c r="AF1189" t="s">
        <v>2365</v>
      </c>
      <c r="AG1189" t="n">
        <v>118</v>
      </c>
    </row>
    <row r="1190">
      <c r="A1190" t="s">
        <v>2366</v>
      </c>
      <c r="B1190" t="s">
        <v>31</v>
      </c>
      <c r="C1190" t="s">
        <v>65</v>
      </c>
      <c r="D1190" t="s">
        <v>2367</v>
      </c>
      <c r="E1190" t="s">
        <v>2272</v>
      </c>
      <c r="F1190" t="s">
        <v>2267</v>
      </c>
      <c r="G1190" t="s">
        <v>2296</v>
      </c>
      <c r="H1190" t="n">
        <v>38.8810309992789</v>
      </c>
      <c r="I1190" t="n">
        <v>-104.812749109499</v>
      </c>
      <c r="J1190" t="s">
        <v>35</v>
      </c>
      <c r="K1190" t="s">
        <v>315</v>
      </c>
      <c r="L1190"/>
      <c r="M1190" t="n">
        <v>1970</v>
      </c>
      <c r="N1190" t="n">
        <v>1990</v>
      </c>
      <c r="O1190" t="s">
        <v>210</v>
      </c>
      <c r="P1190" t="n">
        <v>4</v>
      </c>
      <c r="Q1190" t="n">
        <v>4</v>
      </c>
      <c r="R1190" t="n">
        <v>1</v>
      </c>
      <c r="S1190" t="n">
        <v>1959</v>
      </c>
      <c r="T1190" t="s">
        <v>2368</v>
      </c>
      <c r="U1190" t="s">
        <v>2369</v>
      </c>
      <c r="V1190" t="s">
        <v>74</v>
      </c>
      <c r="W1190"/>
      <c r="X1190"/>
      <c r="Y1190"/>
      <c r="Z1190"/>
      <c r="AA1190"/>
      <c r="AB1190"/>
      <c r="AC1190"/>
      <c r="AD1190" t="s">
        <v>2370</v>
      </c>
      <c r="AE1190" t="n">
        <v>187</v>
      </c>
      <c r="AF1190" t="s">
        <v>2371</v>
      </c>
      <c r="AG1190" t="n">
        <v>57</v>
      </c>
    </row>
    <row r="1191">
      <c r="A1191" t="s">
        <v>2372</v>
      </c>
      <c r="B1191" t="s">
        <v>31</v>
      </c>
      <c r="C1191" t="s">
        <v>65</v>
      </c>
      <c r="D1191" t="s">
        <v>2373</v>
      </c>
      <c r="E1191" t="s">
        <v>2272</v>
      </c>
      <c r="F1191" t="s">
        <v>2267</v>
      </c>
      <c r="G1191" t="s">
        <v>2374</v>
      </c>
      <c r="H1191" t="n">
        <v>38.8341629611147</v>
      </c>
      <c r="I1191" t="n">
        <v>-104.840198552208</v>
      </c>
      <c r="J1191" t="s">
        <v>35</v>
      </c>
      <c r="K1191" t="s">
        <v>133</v>
      </c>
      <c r="L1191"/>
      <c r="M1191" t="n">
        <v>1970</v>
      </c>
      <c r="N1191" t="n">
        <v>1983</v>
      </c>
      <c r="O1191" t="s">
        <v>2375</v>
      </c>
      <c r="P1191" t="n">
        <v>4</v>
      </c>
      <c r="Q1191" t="n">
        <v>2</v>
      </c>
      <c r="R1191" t="n">
        <v>2</v>
      </c>
      <c r="S1191" t="n">
        <v>1910</v>
      </c>
      <c r="T1191" t="s">
        <v>2376</v>
      </c>
      <c r="U1191" t="s">
        <v>2377</v>
      </c>
      <c r="V1191" t="s">
        <v>74</v>
      </c>
      <c r="W1191"/>
      <c r="X1191"/>
      <c r="Y1191"/>
      <c r="Z1191"/>
      <c r="AA1191"/>
      <c r="AB1191"/>
      <c r="AC1191"/>
      <c r="AD1191"/>
      <c r="AE1191"/>
      <c r="AF1191" t="s">
        <v>2378</v>
      </c>
      <c r="AG1191" t="n">
        <v>136</v>
      </c>
    </row>
    <row r="1192">
      <c r="A1192" t="s">
        <v>4585</v>
      </c>
      <c r="B1192" t="s">
        <v>31</v>
      </c>
      <c r="C1192" t="s">
        <v>24</v>
      </c>
      <c r="D1192" t="s">
        <v>4586</v>
      </c>
      <c r="E1192" t="s">
        <v>2272</v>
      </c>
      <c r="F1192" t="s">
        <v>2267</v>
      </c>
      <c r="G1192" t="s">
        <v>2296</v>
      </c>
      <c r="H1192" t="n">
        <v>38.8670360356662</v>
      </c>
      <c r="I1192" t="n">
        <v>-104.891669110712</v>
      </c>
      <c r="J1192" t="s">
        <v>4109</v>
      </c>
      <c r="K1192" t="s">
        <v>141</v>
      </c>
      <c r="L1192"/>
      <c r="M1192" t="n">
        <v>1970</v>
      </c>
      <c r="N1192" t="n">
        <v>1983</v>
      </c>
      <c r="O1192" t="s">
        <v>4587</v>
      </c>
      <c r="P1192" t="n">
        <v>5</v>
      </c>
      <c r="Q1192" t="n">
        <v>4</v>
      </c>
      <c r="R1192" t="n">
        <v>4</v>
      </c>
      <c r="S1192" t="n">
        <v>1965</v>
      </c>
      <c r="T1192" t="s">
        <v>4588</v>
      </c>
      <c r="U1192" t="s">
        <v>4589</v>
      </c>
      <c r="V1192" t="s">
        <v>74</v>
      </c>
      <c r="W1192"/>
      <c r="X1192"/>
      <c r="Y1192"/>
      <c r="Z1192"/>
      <c r="AA1192"/>
      <c r="AB1192"/>
      <c r="AC1192"/>
      <c r="AD1192"/>
      <c r="AE1192"/>
      <c r="AF1192"/>
      <c r="AG1192"/>
    </row>
    <row r="1193">
      <c r="A1193" t="s">
        <v>2379</v>
      </c>
      <c r="B1193" t="s">
        <v>31</v>
      </c>
      <c r="C1193" t="s">
        <v>65</v>
      </c>
      <c r="D1193" t="s">
        <v>2380</v>
      </c>
      <c r="E1193" t="s">
        <v>2272</v>
      </c>
      <c r="F1193" t="s">
        <v>2267</v>
      </c>
      <c r="G1193" t="s">
        <v>2326</v>
      </c>
      <c r="H1193" t="n">
        <v>38.8462580287522</v>
      </c>
      <c r="I1193" t="n">
        <v>-104.844402384695</v>
      </c>
      <c r="J1193" t="s">
        <v>35</v>
      </c>
      <c r="K1193" t="s">
        <v>89</v>
      </c>
      <c r="L1193"/>
      <c r="M1193" t="n">
        <v>1970</v>
      </c>
      <c r="N1193" t="n">
        <v>1970</v>
      </c>
      <c r="O1193" t="s">
        <v>726</v>
      </c>
      <c r="P1193" t="n">
        <v>1</v>
      </c>
      <c r="Q1193" t="n">
        <v>1</v>
      </c>
      <c r="R1193" t="n">
        <v>1</v>
      </c>
      <c r="S1193" t="n">
        <v>1935</v>
      </c>
      <c r="T1193" t="s">
        <v>2381</v>
      </c>
      <c r="U1193" t="s">
        <v>2382</v>
      </c>
      <c r="V1193" t="s">
        <v>74</v>
      </c>
      <c r="W1193"/>
      <c r="X1193"/>
      <c r="Y1193"/>
      <c r="Z1193"/>
      <c r="AA1193"/>
      <c r="AB1193"/>
      <c r="AC1193"/>
      <c r="AD1193"/>
      <c r="AE1193"/>
      <c r="AF1193"/>
      <c r="AG1193"/>
    </row>
    <row r="1194">
      <c r="A1194" t="s">
        <v>2383</v>
      </c>
      <c r="B1194" t="s">
        <v>31</v>
      </c>
      <c r="C1194" t="s">
        <v>65</v>
      </c>
      <c r="D1194" t="s">
        <v>2384</v>
      </c>
      <c r="E1194" t="s">
        <v>2272</v>
      </c>
      <c r="F1194" t="s">
        <v>2267</v>
      </c>
      <c r="G1194" t="s">
        <v>2374</v>
      </c>
      <c r="H1194" t="n">
        <v>38.8290299922906</v>
      </c>
      <c r="I1194" t="n">
        <v>-104.813194141347</v>
      </c>
      <c r="J1194" t="s">
        <v>35</v>
      </c>
      <c r="K1194" t="s">
        <v>133</v>
      </c>
      <c r="L1194"/>
      <c r="M1194" t="n">
        <v>1970</v>
      </c>
      <c r="N1194" t="n">
        <v>1990</v>
      </c>
      <c r="O1194" t="s">
        <v>235</v>
      </c>
      <c r="P1194" t="n">
        <v>5</v>
      </c>
      <c r="Q1194" t="n">
        <v>4</v>
      </c>
      <c r="R1194" t="n">
        <v>3</v>
      </c>
      <c r="S1194" t="n">
        <v>1959</v>
      </c>
      <c r="T1194" t="s">
        <v>2385</v>
      </c>
      <c r="U1194" t="s">
        <v>2386</v>
      </c>
      <c r="V1194" t="s">
        <v>74</v>
      </c>
      <c r="W1194"/>
      <c r="X1194"/>
      <c r="Y1194"/>
      <c r="Z1194"/>
      <c r="AA1194"/>
      <c r="AB1194"/>
      <c r="AC1194"/>
      <c r="AD1194"/>
      <c r="AE1194"/>
      <c r="AF1194" t="s">
        <v>2387</v>
      </c>
      <c r="AG1194" t="n">
        <v>130</v>
      </c>
    </row>
    <row r="1195">
      <c r="A1195" t="s">
        <v>2388</v>
      </c>
      <c r="B1195" t="s">
        <v>31</v>
      </c>
      <c r="C1195" t="s">
        <v>65</v>
      </c>
      <c r="D1195" t="s">
        <v>2389</v>
      </c>
      <c r="E1195" t="s">
        <v>2272</v>
      </c>
      <c r="F1195" t="s">
        <v>2267</v>
      </c>
      <c r="G1195" t="s">
        <v>2326</v>
      </c>
      <c r="H1195" t="n">
        <v>38.8361516730471</v>
      </c>
      <c r="I1195" t="n">
        <v>-104.848736197783</v>
      </c>
      <c r="J1195" t="s">
        <v>35</v>
      </c>
      <c r="K1195" t="s">
        <v>315</v>
      </c>
      <c r="L1195"/>
      <c r="M1195" t="n">
        <v>1970</v>
      </c>
      <c r="N1195" t="n">
        <v>1990</v>
      </c>
      <c r="O1195" t="s">
        <v>293</v>
      </c>
      <c r="P1195" t="n">
        <v>5</v>
      </c>
      <c r="Q1195" t="n">
        <v>3</v>
      </c>
      <c r="R1195" t="n">
        <v>1</v>
      </c>
      <c r="S1195" t="n">
        <v>1888</v>
      </c>
      <c r="T1195" t="s">
        <v>2390</v>
      </c>
      <c r="U1195" t="s">
        <v>2391</v>
      </c>
      <c r="V1195" t="s">
        <v>74</v>
      </c>
      <c r="W1195"/>
      <c r="X1195"/>
      <c r="Y1195"/>
      <c r="Z1195"/>
      <c r="AA1195"/>
      <c r="AB1195"/>
      <c r="AC1195"/>
      <c r="AD1195"/>
      <c r="AE1195"/>
      <c r="AF1195" t="s">
        <v>2392</v>
      </c>
      <c r="AG1195" t="n">
        <v>46</v>
      </c>
    </row>
    <row r="1196">
      <c r="A1196" t="s">
        <v>2393</v>
      </c>
      <c r="B1196" t="s">
        <v>31</v>
      </c>
      <c r="C1196" t="s">
        <v>65</v>
      </c>
      <c r="D1196" t="s">
        <v>2394</v>
      </c>
      <c r="E1196" t="s">
        <v>2272</v>
      </c>
      <c r="F1196" t="s">
        <v>2267</v>
      </c>
      <c r="G1196" t="s">
        <v>2273</v>
      </c>
      <c r="H1196" t="n">
        <v>38.8397010612245</v>
      </c>
      <c r="I1196" t="n">
        <v>-104.770655714286</v>
      </c>
      <c r="J1196" t="s">
        <v>35</v>
      </c>
      <c r="K1196" t="s">
        <v>220</v>
      </c>
      <c r="L1196"/>
      <c r="M1196" t="n">
        <v>1973</v>
      </c>
      <c r="N1196" t="n">
        <v>1990</v>
      </c>
      <c r="O1196" t="s">
        <v>2395</v>
      </c>
      <c r="P1196" t="n">
        <v>4</v>
      </c>
      <c r="Q1196" t="n">
        <v>2</v>
      </c>
      <c r="R1196" t="n">
        <v>2</v>
      </c>
      <c r="S1196" t="n">
        <v>1954</v>
      </c>
      <c r="T1196" t="s">
        <v>2396</v>
      </c>
      <c r="U1196" t="s">
        <v>2397</v>
      </c>
      <c r="V1196" t="s">
        <v>74</v>
      </c>
      <c r="W1196"/>
      <c r="X1196"/>
      <c r="Y1196"/>
      <c r="Z1196"/>
      <c r="AA1196"/>
      <c r="AB1196" t="s">
        <v>2398</v>
      </c>
      <c r="AC1196" t="n">
        <v>84</v>
      </c>
      <c r="AD1196"/>
      <c r="AE1196"/>
      <c r="AF1196" t="s">
        <v>2399</v>
      </c>
      <c r="AG1196" t="n">
        <v>46</v>
      </c>
    </row>
    <row r="1197">
      <c r="A1197" t="s">
        <v>2400</v>
      </c>
      <c r="B1197" t="s">
        <v>31</v>
      </c>
      <c r="C1197" t="s">
        <v>65</v>
      </c>
      <c r="D1197" t="s">
        <v>2401</v>
      </c>
      <c r="E1197" t="s">
        <v>2272</v>
      </c>
      <c r="F1197" t="s">
        <v>2267</v>
      </c>
      <c r="G1197" t="s">
        <v>2374</v>
      </c>
      <c r="H1197" t="n">
        <v>38.835770040287</v>
      </c>
      <c r="I1197" t="n">
        <v>-104.834282174993</v>
      </c>
      <c r="J1197" t="s">
        <v>35</v>
      </c>
      <c r="K1197" t="s">
        <v>70</v>
      </c>
      <c r="L1197"/>
      <c r="M1197" t="n">
        <v>1973</v>
      </c>
      <c r="N1197" t="n">
        <v>1973</v>
      </c>
      <c r="O1197" t="s">
        <v>121</v>
      </c>
      <c r="P1197" t="n">
        <v>1</v>
      </c>
      <c r="Q1197" t="n">
        <v>2</v>
      </c>
      <c r="R1197" t="n">
        <v>1</v>
      </c>
      <c r="S1197" t="n">
        <v>1971</v>
      </c>
      <c r="T1197" t="s">
        <v>2402</v>
      </c>
      <c r="U1197" t="s">
        <v>2403</v>
      </c>
      <c r="V1197" t="s">
        <v>74</v>
      </c>
      <c r="W1197"/>
      <c r="X1197"/>
      <c r="Y1197"/>
      <c r="Z1197"/>
      <c r="AA1197"/>
      <c r="AB1197"/>
      <c r="AC1197"/>
      <c r="AD1197"/>
      <c r="AE1197"/>
      <c r="AF1197" t="s">
        <v>2404</v>
      </c>
      <c r="AG1197" t="n">
        <v>196</v>
      </c>
    </row>
    <row r="1198">
      <c r="A1198" t="s">
        <v>2405</v>
      </c>
      <c r="B1198" t="s">
        <v>31</v>
      </c>
      <c r="C1198" t="s">
        <v>65</v>
      </c>
      <c r="D1198" t="s">
        <v>2406</v>
      </c>
      <c r="E1198" t="s">
        <v>2272</v>
      </c>
      <c r="F1198" t="s">
        <v>2267</v>
      </c>
      <c r="G1198" t="s">
        <v>2296</v>
      </c>
      <c r="H1198" t="n">
        <v>38.8805910194968</v>
      </c>
      <c r="I1198" t="n">
        <v>-104.81275474877</v>
      </c>
      <c r="J1198" t="s">
        <v>35</v>
      </c>
      <c r="K1198" t="s">
        <v>220</v>
      </c>
      <c r="L1198"/>
      <c r="M1198" t="n">
        <v>1973</v>
      </c>
      <c r="N1198" t="n">
        <v>1983</v>
      </c>
      <c r="O1198" t="s">
        <v>829</v>
      </c>
      <c r="P1198" t="n">
        <v>4</v>
      </c>
      <c r="Q1198" t="n">
        <v>3</v>
      </c>
      <c r="R1198" t="n">
        <v>1</v>
      </c>
      <c r="S1198" t="n">
        <v>1971</v>
      </c>
      <c r="T1198" t="s">
        <v>2407</v>
      </c>
      <c r="U1198" t="s">
        <v>2408</v>
      </c>
      <c r="V1198" t="s">
        <v>74</v>
      </c>
      <c r="W1198"/>
      <c r="X1198"/>
      <c r="Y1198"/>
      <c r="Z1198"/>
      <c r="AA1198"/>
      <c r="AB1198"/>
      <c r="AC1198"/>
      <c r="AD1198" t="s">
        <v>2409</v>
      </c>
      <c r="AE1198" t="n">
        <v>231</v>
      </c>
      <c r="AF1198" t="s">
        <v>2371</v>
      </c>
      <c r="AG1198" t="n">
        <v>58</v>
      </c>
    </row>
    <row r="1199">
      <c r="A1199" t="s">
        <v>4590</v>
      </c>
      <c r="B1199" t="s">
        <v>31</v>
      </c>
      <c r="C1199" t="s">
        <v>24</v>
      </c>
      <c r="D1199" t="s">
        <v>4591</v>
      </c>
      <c r="E1199" t="s">
        <v>2272</v>
      </c>
      <c r="F1199" t="s">
        <v>2267</v>
      </c>
      <c r="G1199" t="s">
        <v>2296</v>
      </c>
      <c r="H1199" t="n">
        <v>38.8672644618713</v>
      </c>
      <c r="I1199" t="n">
        <v>-104.890685551582</v>
      </c>
      <c r="J1199" t="s">
        <v>4109</v>
      </c>
      <c r="K1199" t="s">
        <v>120</v>
      </c>
      <c r="L1199"/>
      <c r="M1199" t="n">
        <v>1973</v>
      </c>
      <c r="N1199" t="n">
        <v>1983</v>
      </c>
      <c r="O1199" t="s">
        <v>4592</v>
      </c>
      <c r="P1199" t="n">
        <v>4</v>
      </c>
      <c r="Q1199" t="n">
        <v>1</v>
      </c>
      <c r="R1199" t="n">
        <v>1</v>
      </c>
      <c r="S1199" t="n">
        <v>1963</v>
      </c>
      <c r="T1199" t="s">
        <v>4593</v>
      </c>
      <c r="U1199" t="s">
        <v>4594</v>
      </c>
      <c r="V1199" t="s">
        <v>74</v>
      </c>
      <c r="W1199"/>
      <c r="X1199"/>
      <c r="Y1199"/>
      <c r="Z1199"/>
      <c r="AA1199"/>
      <c r="AB1199"/>
      <c r="AC1199"/>
      <c r="AD1199"/>
      <c r="AE1199"/>
      <c r="AF1199"/>
      <c r="AG1199"/>
    </row>
    <row r="1200">
      <c r="A1200" t="s">
        <v>2410</v>
      </c>
      <c r="B1200" t="s">
        <v>31</v>
      </c>
      <c r="C1200" t="s">
        <v>65</v>
      </c>
      <c r="D1200" t="s">
        <v>2411</v>
      </c>
      <c r="E1200" t="s">
        <v>2272</v>
      </c>
      <c r="F1200" t="s">
        <v>2267</v>
      </c>
      <c r="G1200" t="s">
        <v>2412</v>
      </c>
      <c r="H1200" t="n">
        <v>38.849018</v>
      </c>
      <c r="I1200" t="n">
        <v>-104.815551</v>
      </c>
      <c r="J1200" t="s">
        <v>35</v>
      </c>
      <c r="K1200" t="s">
        <v>120</v>
      </c>
      <c r="L1200"/>
      <c r="M1200" t="n">
        <v>1973</v>
      </c>
      <c r="N1200" t="n">
        <v>1973</v>
      </c>
      <c r="O1200" t="s">
        <v>121</v>
      </c>
      <c r="P1200" t="n">
        <v>1</v>
      </c>
      <c r="Q1200" t="n">
        <v>1</v>
      </c>
      <c r="R1200" t="n">
        <v>1</v>
      </c>
      <c r="S1200" t="n">
        <v>1972</v>
      </c>
      <c r="T1200" t="s">
        <v>2413</v>
      </c>
      <c r="U1200" t="s">
        <v>2414</v>
      </c>
      <c r="V1200" t="s">
        <v>74</v>
      </c>
      <c r="W1200"/>
      <c r="X1200"/>
      <c r="Y1200"/>
      <c r="Z1200"/>
      <c r="AA1200"/>
      <c r="AB1200"/>
      <c r="AC1200"/>
      <c r="AD1200"/>
      <c r="AE1200"/>
      <c r="AF1200" t="s">
        <v>2415</v>
      </c>
      <c r="AG1200" t="n">
        <v>221</v>
      </c>
    </row>
    <row r="1201">
      <c r="A1201" t="s">
        <v>2416</v>
      </c>
      <c r="B1201" t="s">
        <v>31</v>
      </c>
      <c r="C1201" t="s">
        <v>65</v>
      </c>
      <c r="D1201" t="s">
        <v>2417</v>
      </c>
      <c r="E1201" t="s">
        <v>2272</v>
      </c>
      <c r="F1201" t="s">
        <v>2267</v>
      </c>
      <c r="G1201" t="s">
        <v>2273</v>
      </c>
      <c r="H1201" t="n">
        <v>38.8470583953167</v>
      </c>
      <c r="I1201" t="n">
        <v>-104.77794863224</v>
      </c>
      <c r="J1201" t="s">
        <v>35</v>
      </c>
      <c r="K1201" t="s">
        <v>70</v>
      </c>
      <c r="L1201"/>
      <c r="M1201" t="n">
        <v>1973</v>
      </c>
      <c r="N1201" t="n">
        <v>1973</v>
      </c>
      <c r="O1201" t="s">
        <v>121</v>
      </c>
      <c r="P1201" t="n">
        <v>1</v>
      </c>
      <c r="Q1201" t="n">
        <v>1</v>
      </c>
      <c r="R1201" t="n">
        <v>1</v>
      </c>
      <c r="S1201" t="n">
        <v>1970</v>
      </c>
      <c r="T1201" t="s">
        <v>2418</v>
      </c>
      <c r="U1201" t="s">
        <v>2419</v>
      </c>
      <c r="V1201" t="s">
        <v>74</v>
      </c>
      <c r="W1201"/>
      <c r="X1201"/>
      <c r="Y1201"/>
      <c r="Z1201"/>
      <c r="AA1201"/>
      <c r="AB1201"/>
      <c r="AC1201"/>
      <c r="AD1201"/>
      <c r="AE1201"/>
      <c r="AF1201" t="s">
        <v>2420</v>
      </c>
      <c r="AG1201" t="n">
        <v>188</v>
      </c>
    </row>
    <row r="1202">
      <c r="A1202" t="s">
        <v>2421</v>
      </c>
      <c r="B1202" t="s">
        <v>31</v>
      </c>
      <c r="C1202" t="s">
        <v>65</v>
      </c>
      <c r="D1202" t="s">
        <v>2422</v>
      </c>
      <c r="E1202" t="s">
        <v>2272</v>
      </c>
      <c r="F1202" t="s">
        <v>2267</v>
      </c>
      <c r="G1202" t="s">
        <v>2423</v>
      </c>
      <c r="H1202" t="n">
        <v>38.8318667765517</v>
      </c>
      <c r="I1202" t="n">
        <v>-104.768327824552</v>
      </c>
      <c r="J1202" t="s">
        <v>35</v>
      </c>
      <c r="K1202" t="s">
        <v>89</v>
      </c>
      <c r="L1202"/>
      <c r="M1202" t="n">
        <v>1973</v>
      </c>
      <c r="N1202" t="n">
        <v>1974</v>
      </c>
      <c r="O1202" t="s">
        <v>127</v>
      </c>
      <c r="P1202" t="n">
        <v>2</v>
      </c>
      <c r="Q1202" t="n">
        <v>1</v>
      </c>
      <c r="R1202" t="n">
        <v>1</v>
      </c>
      <c r="S1202" t="n">
        <v>1972</v>
      </c>
      <c r="T1202" t="s">
        <v>2424</v>
      </c>
      <c r="U1202" t="s">
        <v>2425</v>
      </c>
      <c r="V1202" t="s">
        <v>74</v>
      </c>
      <c r="W1202"/>
      <c r="X1202"/>
      <c r="Y1202"/>
      <c r="Z1202"/>
      <c r="AA1202"/>
      <c r="AB1202"/>
      <c r="AC1202"/>
      <c r="AD1202"/>
      <c r="AE1202"/>
      <c r="AF1202"/>
      <c r="AG1202"/>
    </row>
    <row r="1203">
      <c r="A1203" t="s">
        <v>2426</v>
      </c>
      <c r="B1203" t="s">
        <v>31</v>
      </c>
      <c r="C1203" t="s">
        <v>65</v>
      </c>
      <c r="D1203" t="s">
        <v>2427</v>
      </c>
      <c r="E1203" t="s">
        <v>2272</v>
      </c>
      <c r="F1203" t="s">
        <v>2267</v>
      </c>
      <c r="G1203" t="s">
        <v>2282</v>
      </c>
      <c r="H1203" t="n">
        <v>38.8373199963732</v>
      </c>
      <c r="I1203" t="n">
        <v>-104.834260132224</v>
      </c>
      <c r="J1203" t="s">
        <v>35</v>
      </c>
      <c r="K1203" t="s">
        <v>70</v>
      </c>
      <c r="L1203"/>
      <c r="M1203" t="n">
        <v>1974</v>
      </c>
      <c r="N1203" t="n">
        <v>1974</v>
      </c>
      <c r="O1203" t="s">
        <v>210</v>
      </c>
      <c r="P1203" t="n">
        <v>1</v>
      </c>
      <c r="Q1203" t="n">
        <v>1</v>
      </c>
      <c r="R1203" t="n">
        <v>1</v>
      </c>
      <c r="S1203" t="n">
        <v>1972</v>
      </c>
      <c r="T1203" t="s">
        <v>2428</v>
      </c>
      <c r="U1203" t="s">
        <v>2429</v>
      </c>
      <c r="V1203" t="s">
        <v>74</v>
      </c>
      <c r="W1203"/>
      <c r="X1203"/>
      <c r="Y1203"/>
      <c r="Z1203"/>
      <c r="AA1203"/>
      <c r="AB1203"/>
      <c r="AC1203"/>
      <c r="AD1203"/>
      <c r="AE1203"/>
      <c r="AF1203" t="s">
        <v>2404</v>
      </c>
      <c r="AG1203" t="n">
        <v>143</v>
      </c>
    </row>
    <row r="1204">
      <c r="A1204" t="s">
        <v>2430</v>
      </c>
      <c r="B1204" t="s">
        <v>31</v>
      </c>
      <c r="C1204" t="s">
        <v>65</v>
      </c>
      <c r="D1204" t="s">
        <v>2431</v>
      </c>
      <c r="E1204" t="s">
        <v>2272</v>
      </c>
      <c r="F1204" t="s">
        <v>2267</v>
      </c>
      <c r="G1204" t="s">
        <v>2296</v>
      </c>
      <c r="H1204" t="n">
        <v>38.878606</v>
      </c>
      <c r="I1204" t="n">
        <v>-104.815945</v>
      </c>
      <c r="J1204" t="s">
        <v>35</v>
      </c>
      <c r="K1204" t="s">
        <v>1282</v>
      </c>
      <c r="L1204"/>
      <c r="M1204" t="n">
        <v>1974</v>
      </c>
      <c r="N1204" t="n">
        <v>1988</v>
      </c>
      <c r="O1204" t="s">
        <v>283</v>
      </c>
      <c r="P1204" t="n">
        <v>3</v>
      </c>
      <c r="Q1204" t="n">
        <v>3</v>
      </c>
      <c r="R1204" t="n">
        <v>2</v>
      </c>
      <c r="S1204" t="n">
        <v>1941</v>
      </c>
      <c r="T1204" t="s">
        <v>2432</v>
      </c>
      <c r="U1204" t="s">
        <v>2433</v>
      </c>
      <c r="V1204" t="s">
        <v>74</v>
      </c>
      <c r="W1204"/>
      <c r="X1204"/>
      <c r="Y1204"/>
      <c r="Z1204"/>
      <c r="AA1204"/>
      <c r="AB1204" t="s">
        <v>2434</v>
      </c>
      <c r="AC1204" t="n">
        <v>149</v>
      </c>
      <c r="AD1204" t="s">
        <v>2435</v>
      </c>
      <c r="AE1204" t="n">
        <v>242</v>
      </c>
      <c r="AF1204" t="s">
        <v>2436</v>
      </c>
      <c r="AG1204" t="n">
        <v>64</v>
      </c>
    </row>
    <row r="1205">
      <c r="A1205" t="s">
        <v>2437</v>
      </c>
      <c r="B1205" t="s">
        <v>31</v>
      </c>
      <c r="C1205" t="s">
        <v>65</v>
      </c>
      <c r="D1205" t="s">
        <v>2438</v>
      </c>
      <c r="E1205" t="s">
        <v>2272</v>
      </c>
      <c r="F1205" t="s">
        <v>2267</v>
      </c>
      <c r="G1205" t="s">
        <v>2289</v>
      </c>
      <c r="H1205" t="n">
        <v>38.8214599956222</v>
      </c>
      <c r="I1205" t="n">
        <v>-104.815927169287</v>
      </c>
      <c r="J1205" t="s">
        <v>35</v>
      </c>
      <c r="K1205" t="s">
        <v>141</v>
      </c>
      <c r="L1205"/>
      <c r="M1205" t="n">
        <v>1974</v>
      </c>
      <c r="N1205" t="n">
        <v>1983</v>
      </c>
      <c r="O1205" t="s">
        <v>2439</v>
      </c>
      <c r="P1205" t="n">
        <v>4</v>
      </c>
      <c r="Q1205" t="n">
        <v>1</v>
      </c>
      <c r="R1205" t="n">
        <v>1</v>
      </c>
      <c r="S1205" t="n">
        <v>1950</v>
      </c>
      <c r="T1205" t="s">
        <v>2440</v>
      </c>
      <c r="U1205" t="s">
        <v>2441</v>
      </c>
      <c r="V1205" t="s">
        <v>74</v>
      </c>
      <c r="W1205"/>
      <c r="X1205"/>
      <c r="Y1205"/>
      <c r="Z1205"/>
      <c r="AA1205"/>
      <c r="AB1205"/>
      <c r="AC1205"/>
      <c r="AD1205"/>
      <c r="AE1205"/>
      <c r="AF1205"/>
      <c r="AG1205"/>
    </row>
    <row r="1206">
      <c r="A1206" t="s">
        <v>2442</v>
      </c>
      <c r="B1206" t="s">
        <v>31</v>
      </c>
      <c r="C1206" t="s">
        <v>65</v>
      </c>
      <c r="D1206" t="s">
        <v>2443</v>
      </c>
      <c r="E1206" t="s">
        <v>2272</v>
      </c>
      <c r="F1206" t="s">
        <v>2267</v>
      </c>
      <c r="G1206" t="s">
        <v>2444</v>
      </c>
      <c r="H1206" t="n">
        <v>38.8401164281276</v>
      </c>
      <c r="I1206" t="n">
        <v>-104.741099166322</v>
      </c>
      <c r="J1206" t="s">
        <v>35</v>
      </c>
      <c r="K1206" t="s">
        <v>81</v>
      </c>
      <c r="L1206" t="s">
        <v>2445</v>
      </c>
      <c r="M1206" t="n">
        <v>1977</v>
      </c>
      <c r="N1206" t="n">
        <v>1990</v>
      </c>
      <c r="O1206" t="s">
        <v>2446</v>
      </c>
      <c r="P1206" t="n">
        <v>4</v>
      </c>
      <c r="Q1206" t="n">
        <v>5</v>
      </c>
      <c r="R1206" t="n">
        <v>4</v>
      </c>
      <c r="S1206" t="n">
        <v>1960</v>
      </c>
      <c r="T1206" t="s">
        <v>2447</v>
      </c>
      <c r="U1206" t="s">
        <v>2448</v>
      </c>
      <c r="V1206" t="s">
        <v>74</v>
      </c>
      <c r="W1206"/>
      <c r="X1206"/>
      <c r="Y1206"/>
      <c r="Z1206"/>
      <c r="AA1206"/>
      <c r="AB1206"/>
      <c r="AC1206"/>
      <c r="AD1206"/>
      <c r="AE1206"/>
      <c r="AF1206" t="s">
        <v>2449</v>
      </c>
      <c r="AG1206" t="n">
        <v>132</v>
      </c>
    </row>
    <row r="1207">
      <c r="A1207" t="s">
        <v>2450</v>
      </c>
      <c r="B1207" t="s">
        <v>31</v>
      </c>
      <c r="C1207" t="s">
        <v>65</v>
      </c>
      <c r="D1207" t="s">
        <v>2451</v>
      </c>
      <c r="E1207" t="s">
        <v>2272</v>
      </c>
      <c r="F1207" t="s">
        <v>2267</v>
      </c>
      <c r="G1207" t="s">
        <v>2296</v>
      </c>
      <c r="H1207" t="n">
        <v>38.857966957329</v>
      </c>
      <c r="I1207" t="n">
        <v>-104.815057563605</v>
      </c>
      <c r="J1207" t="s">
        <v>35</v>
      </c>
      <c r="K1207" t="s">
        <v>89</v>
      </c>
      <c r="L1207"/>
      <c r="M1207" t="n">
        <v>1977</v>
      </c>
      <c r="N1207" t="n">
        <v>1992</v>
      </c>
      <c r="O1207" t="s">
        <v>1949</v>
      </c>
      <c r="P1207" t="n">
        <v>5</v>
      </c>
      <c r="Q1207" t="n">
        <v>2</v>
      </c>
      <c r="R1207" t="n">
        <v>1</v>
      </c>
      <c r="S1207" t="n">
        <v>1936</v>
      </c>
      <c r="T1207" t="s">
        <v>2452</v>
      </c>
      <c r="U1207" t="s">
        <v>2453</v>
      </c>
      <c r="V1207" t="s">
        <v>74</v>
      </c>
      <c r="W1207"/>
      <c r="X1207"/>
      <c r="Y1207"/>
      <c r="Z1207"/>
      <c r="AA1207"/>
      <c r="AB1207"/>
      <c r="AC1207"/>
      <c r="AD1207"/>
      <c r="AE1207"/>
      <c r="AF1207"/>
      <c r="AG1207"/>
    </row>
    <row r="1208">
      <c r="A1208" t="s">
        <v>2454</v>
      </c>
      <c r="B1208" t="s">
        <v>31</v>
      </c>
      <c r="C1208" t="s">
        <v>65</v>
      </c>
      <c r="D1208" t="s">
        <v>2455</v>
      </c>
      <c r="E1208" t="s">
        <v>2272</v>
      </c>
      <c r="F1208" t="s">
        <v>2267</v>
      </c>
      <c r="G1208" t="s">
        <v>2444</v>
      </c>
      <c r="H1208" t="n">
        <v>38.8534180203909</v>
      </c>
      <c r="I1208" t="n">
        <v>-104.711864278328</v>
      </c>
      <c r="J1208" t="s">
        <v>35</v>
      </c>
      <c r="K1208" t="s">
        <v>141</v>
      </c>
      <c r="L1208"/>
      <c r="M1208" t="n">
        <v>1977</v>
      </c>
      <c r="N1208" t="n">
        <v>1977</v>
      </c>
      <c r="O1208" t="s">
        <v>228</v>
      </c>
      <c r="P1208" t="n">
        <v>1</v>
      </c>
      <c r="Q1208" t="n">
        <v>1</v>
      </c>
      <c r="R1208" t="n">
        <v>1</v>
      </c>
      <c r="S1208" t="n">
        <v>1973</v>
      </c>
      <c r="T1208" t="s">
        <v>2456</v>
      </c>
      <c r="U1208" t="s">
        <v>2457</v>
      </c>
      <c r="V1208" t="s">
        <v>74</v>
      </c>
      <c r="W1208"/>
      <c r="X1208"/>
      <c r="Y1208"/>
      <c r="Z1208"/>
      <c r="AA1208"/>
      <c r="AB1208"/>
      <c r="AC1208"/>
      <c r="AD1208"/>
      <c r="AE1208"/>
      <c r="AF1208" t="s">
        <v>2458</v>
      </c>
      <c r="AG1208" t="n">
        <v>173</v>
      </c>
    </row>
    <row r="1209">
      <c r="A1209" t="s">
        <v>2459</v>
      </c>
      <c r="B1209" t="s">
        <v>31</v>
      </c>
      <c r="C1209" t="s">
        <v>65</v>
      </c>
      <c r="D1209" t="s">
        <v>2460</v>
      </c>
      <c r="E1209" t="s">
        <v>2272</v>
      </c>
      <c r="F1209" t="s">
        <v>2267</v>
      </c>
      <c r="G1209" t="s">
        <v>2423</v>
      </c>
      <c r="H1209" t="n">
        <v>38.8253581020408</v>
      </c>
      <c r="I1209" t="n">
        <v>-104.776983469388</v>
      </c>
      <c r="J1209" t="s">
        <v>35</v>
      </c>
      <c r="K1209" t="s">
        <v>133</v>
      </c>
      <c r="L1209"/>
      <c r="M1209" t="n">
        <v>1977</v>
      </c>
      <c r="N1209" t="n">
        <v>1977</v>
      </c>
      <c r="O1209" t="s">
        <v>228</v>
      </c>
      <c r="P1209" t="n">
        <v>1</v>
      </c>
      <c r="Q1209" t="n">
        <v>1</v>
      </c>
      <c r="R1209" t="n">
        <v>1</v>
      </c>
      <c r="S1209" t="n">
        <v>1977</v>
      </c>
      <c r="T1209" t="s">
        <v>2461</v>
      </c>
      <c r="U1209" t="s">
        <v>2462</v>
      </c>
      <c r="V1209" t="s">
        <v>74</v>
      </c>
      <c r="W1209"/>
      <c r="X1209"/>
      <c r="Y1209"/>
      <c r="Z1209"/>
      <c r="AA1209"/>
      <c r="AB1209"/>
      <c r="AC1209"/>
      <c r="AD1209"/>
      <c r="AE1209"/>
      <c r="AF1209"/>
      <c r="AG1209"/>
    </row>
    <row r="1210">
      <c r="A1210" t="s">
        <v>2463</v>
      </c>
      <c r="B1210" t="s">
        <v>31</v>
      </c>
      <c r="C1210" t="s">
        <v>65</v>
      </c>
      <c r="D1210" t="s">
        <v>2464</v>
      </c>
      <c r="E1210" t="s">
        <v>2272</v>
      </c>
      <c r="F1210" t="s">
        <v>2267</v>
      </c>
      <c r="G1210" t="s">
        <v>2444</v>
      </c>
      <c r="H1210" t="n">
        <v>38.8397218217535</v>
      </c>
      <c r="I1210" t="n">
        <v>-104.730661030555</v>
      </c>
      <c r="J1210" t="s">
        <v>35</v>
      </c>
      <c r="K1210" t="s">
        <v>133</v>
      </c>
      <c r="L1210" t="s">
        <v>1310</v>
      </c>
      <c r="M1210" t="n">
        <v>1980</v>
      </c>
      <c r="N1210" t="n">
        <v>1980</v>
      </c>
      <c r="O1210" t="s">
        <v>255</v>
      </c>
      <c r="P1210" t="n">
        <v>1</v>
      </c>
      <c r="Q1210" t="n">
        <v>1</v>
      </c>
      <c r="R1210" t="n">
        <v>1</v>
      </c>
      <c r="S1210" t="n">
        <v>1960</v>
      </c>
      <c r="T1210" t="s">
        <v>2465</v>
      </c>
      <c r="U1210" t="s">
        <v>2466</v>
      </c>
      <c r="V1210" t="s">
        <v>74</v>
      </c>
      <c r="W1210"/>
      <c r="X1210"/>
      <c r="Y1210"/>
      <c r="Z1210"/>
      <c r="AA1210"/>
      <c r="AB1210"/>
      <c r="AC1210"/>
      <c r="AD1210"/>
      <c r="AE1210"/>
      <c r="AF1210" t="s">
        <v>2467</v>
      </c>
      <c r="AG1210" t="n">
        <v>132</v>
      </c>
    </row>
    <row r="1211">
      <c r="A1211" t="s">
        <v>2468</v>
      </c>
      <c r="B1211" t="s">
        <v>31</v>
      </c>
      <c r="C1211" t="s">
        <v>65</v>
      </c>
      <c r="D1211" t="s">
        <v>2469</v>
      </c>
      <c r="E1211" t="s">
        <v>2272</v>
      </c>
      <c r="F1211" t="s">
        <v>2267</v>
      </c>
      <c r="G1211" t="s">
        <v>2326</v>
      </c>
      <c r="H1211" t="n">
        <v>38.8531527290202</v>
      </c>
      <c r="I1211" t="n">
        <v>-104.87049601875</v>
      </c>
      <c r="J1211" t="s">
        <v>35</v>
      </c>
      <c r="K1211" t="s">
        <v>126</v>
      </c>
      <c r="L1211"/>
      <c r="M1211" t="n">
        <v>1980</v>
      </c>
      <c r="N1211" t="n">
        <v>1983</v>
      </c>
      <c r="O1211" t="s">
        <v>528</v>
      </c>
      <c r="P1211" t="n">
        <v>2</v>
      </c>
      <c r="Q1211" t="n">
        <v>3</v>
      </c>
      <c r="R1211" t="n">
        <v>3</v>
      </c>
      <c r="S1211" t="n">
        <v>1953</v>
      </c>
      <c r="T1211" t="s">
        <v>2470</v>
      </c>
      <c r="U1211" t="s">
        <v>2471</v>
      </c>
      <c r="V1211" t="s">
        <v>74</v>
      </c>
      <c r="W1211"/>
      <c r="X1211"/>
      <c r="Y1211"/>
      <c r="Z1211"/>
      <c r="AA1211"/>
      <c r="AB1211"/>
      <c r="AC1211"/>
      <c r="AD1211"/>
      <c r="AE1211"/>
      <c r="AF1211" t="s">
        <v>2472</v>
      </c>
      <c r="AG1211" t="n">
        <v>62</v>
      </c>
    </row>
    <row r="1212">
      <c r="A1212" t="s">
        <v>4595</v>
      </c>
      <c r="B1212" t="s">
        <v>31</v>
      </c>
      <c r="C1212" t="s">
        <v>24</v>
      </c>
      <c r="D1212" t="s">
        <v>4596</v>
      </c>
      <c r="E1212" t="s">
        <v>2272</v>
      </c>
      <c r="F1212" t="s">
        <v>2267</v>
      </c>
      <c r="G1212" t="s">
        <v>4597</v>
      </c>
      <c r="H1212" t="n">
        <v>38.865128</v>
      </c>
      <c r="I1212" t="n">
        <v>-104.894306</v>
      </c>
      <c r="J1212" t="s">
        <v>4109</v>
      </c>
      <c r="K1212" t="s">
        <v>120</v>
      </c>
      <c r="L1212"/>
      <c r="M1212" t="n">
        <v>1980</v>
      </c>
      <c r="N1212" t="n">
        <v>1980</v>
      </c>
      <c r="O1212" t="s">
        <v>255</v>
      </c>
      <c r="P1212" t="n">
        <v>1</v>
      </c>
      <c r="Q1212" t="n">
        <v>1</v>
      </c>
      <c r="R1212" t="n">
        <v>1</v>
      </c>
      <c r="S1212" t="n">
        <v>1976</v>
      </c>
      <c r="T1212" t="s">
        <v>4598</v>
      </c>
      <c r="U1212" t="s">
        <v>4599</v>
      </c>
      <c r="V1212" t="s">
        <v>74</v>
      </c>
      <c r="W1212"/>
      <c r="X1212"/>
      <c r="Y1212"/>
      <c r="Z1212"/>
      <c r="AA1212"/>
      <c r="AB1212"/>
      <c r="AC1212"/>
      <c r="AD1212"/>
      <c r="AE1212"/>
      <c r="AF1212"/>
      <c r="AG1212"/>
    </row>
    <row r="1213">
      <c r="A1213" t="s">
        <v>2473</v>
      </c>
      <c r="B1213" t="s">
        <v>31</v>
      </c>
      <c r="C1213" t="s">
        <v>65</v>
      </c>
      <c r="D1213" t="s">
        <v>2474</v>
      </c>
      <c r="E1213" t="s">
        <v>2272</v>
      </c>
      <c r="F1213" t="s">
        <v>2267</v>
      </c>
      <c r="G1213" t="s">
        <v>2475</v>
      </c>
      <c r="H1213" t="n">
        <v>38.7992329888647</v>
      </c>
      <c r="I1213" t="n">
        <v>-104.80051762993</v>
      </c>
      <c r="J1213" t="s">
        <v>35</v>
      </c>
      <c r="K1213" t="s">
        <v>1041</v>
      </c>
      <c r="L1213" t="s">
        <v>2476</v>
      </c>
      <c r="M1213" t="n">
        <v>1980</v>
      </c>
      <c r="N1213" t="n">
        <v>1980</v>
      </c>
      <c r="O1213" t="s">
        <v>255</v>
      </c>
      <c r="P1213" t="n">
        <v>1</v>
      </c>
      <c r="Q1213" t="n">
        <v>1</v>
      </c>
      <c r="R1213" t="n">
        <v>1</v>
      </c>
      <c r="S1213" t="n">
        <v>1960</v>
      </c>
      <c r="T1213" t="s">
        <v>2477</v>
      </c>
      <c r="U1213" t="s">
        <v>2478</v>
      </c>
      <c r="V1213" t="s">
        <v>74</v>
      </c>
      <c r="W1213"/>
      <c r="X1213"/>
      <c r="Y1213"/>
      <c r="Z1213"/>
      <c r="AA1213"/>
      <c r="AB1213"/>
      <c r="AC1213"/>
      <c r="AD1213"/>
      <c r="AE1213"/>
      <c r="AF1213" t="s">
        <v>2479</v>
      </c>
      <c r="AG1213" t="n">
        <v>102</v>
      </c>
    </row>
    <row r="1214">
      <c r="A1214" t="s">
        <v>2480</v>
      </c>
      <c r="B1214" t="s">
        <v>31</v>
      </c>
      <c r="C1214" t="s">
        <v>65</v>
      </c>
      <c r="D1214" t="s">
        <v>2481</v>
      </c>
      <c r="E1214" t="s">
        <v>2272</v>
      </c>
      <c r="F1214" t="s">
        <v>2267</v>
      </c>
      <c r="G1214" t="s">
        <v>2296</v>
      </c>
      <c r="H1214" t="n">
        <v>38.8196207437271</v>
      </c>
      <c r="I1214" t="n">
        <v>-104.824267229685</v>
      </c>
      <c r="J1214" t="s">
        <v>35</v>
      </c>
      <c r="K1214" t="s">
        <v>270</v>
      </c>
      <c r="L1214"/>
      <c r="M1214" t="n">
        <v>1980</v>
      </c>
      <c r="N1214" t="n">
        <v>1992</v>
      </c>
      <c r="O1214" t="s">
        <v>2482</v>
      </c>
      <c r="P1214" t="n">
        <v>3</v>
      </c>
      <c r="Q1214" t="n">
        <v>4</v>
      </c>
      <c r="R1214" t="n">
        <v>2</v>
      </c>
      <c r="S1214" t="n">
        <v>1969</v>
      </c>
      <c r="T1214" t="s">
        <v>2483</v>
      </c>
      <c r="U1214" t="s">
        <v>2484</v>
      </c>
      <c r="V1214" t="s">
        <v>74</v>
      </c>
      <c r="W1214"/>
      <c r="X1214"/>
      <c r="Y1214"/>
      <c r="Z1214"/>
      <c r="AA1214"/>
      <c r="AB1214"/>
      <c r="AC1214"/>
      <c r="AD1214"/>
      <c r="AE1214"/>
      <c r="AF1214" t="s">
        <v>2485</v>
      </c>
      <c r="AG1214" t="n">
        <v>219</v>
      </c>
    </row>
    <row r="1215">
      <c r="A1215" t="s">
        <v>2486</v>
      </c>
      <c r="B1215" t="s">
        <v>31</v>
      </c>
      <c r="C1215" t="s">
        <v>65</v>
      </c>
      <c r="D1215" t="s">
        <v>2487</v>
      </c>
      <c r="E1215" t="s">
        <v>2266</v>
      </c>
      <c r="F1215" t="s">
        <v>2267</v>
      </c>
      <c r="G1215" t="s">
        <v>2488</v>
      </c>
      <c r="H1215" t="n">
        <v>38.856725</v>
      </c>
      <c r="I1215" t="n">
        <v>-104.900066</v>
      </c>
      <c r="J1215" t="s">
        <v>35</v>
      </c>
      <c r="K1215" t="s">
        <v>315</v>
      </c>
      <c r="L1215"/>
      <c r="M1215" t="n">
        <v>1980</v>
      </c>
      <c r="N1215" t="n">
        <v>1983</v>
      </c>
      <c r="O1215" t="s">
        <v>528</v>
      </c>
      <c r="P1215" t="n">
        <v>2</v>
      </c>
      <c r="Q1215" t="n">
        <v>2</v>
      </c>
      <c r="R1215" t="n">
        <v>2</v>
      </c>
      <c r="S1215" t="n">
        <v>1967</v>
      </c>
      <c r="T1215" t="s">
        <v>2489</v>
      </c>
      <c r="U1215" t="s">
        <v>2490</v>
      </c>
      <c r="V1215" t="s">
        <v>74</v>
      </c>
      <c r="W1215"/>
      <c r="X1215"/>
      <c r="Y1215"/>
      <c r="Z1215"/>
      <c r="AA1215"/>
      <c r="AB1215"/>
      <c r="AC1215"/>
      <c r="AD1215"/>
      <c r="AE1215"/>
      <c r="AF1215"/>
      <c r="AG1215"/>
    </row>
    <row r="1216">
      <c r="A1216" t="s">
        <v>2491</v>
      </c>
      <c r="B1216" t="s">
        <v>31</v>
      </c>
      <c r="C1216" t="s">
        <v>65</v>
      </c>
      <c r="D1216" t="s">
        <v>2492</v>
      </c>
      <c r="E1216" t="s">
        <v>2266</v>
      </c>
      <c r="F1216" t="s">
        <v>2267</v>
      </c>
      <c r="G1216" t="s">
        <v>2488</v>
      </c>
      <c r="H1216" t="n">
        <v>38.8638620907713</v>
      </c>
      <c r="I1216" t="n">
        <v>-104.922628662864</v>
      </c>
      <c r="J1216" t="s">
        <v>35</v>
      </c>
      <c r="K1216" t="s">
        <v>120</v>
      </c>
      <c r="L1216"/>
      <c r="M1216" t="n">
        <v>1980</v>
      </c>
      <c r="N1216" t="n">
        <v>1980</v>
      </c>
      <c r="O1216" t="s">
        <v>255</v>
      </c>
      <c r="P1216" t="n">
        <v>1</v>
      </c>
      <c r="Q1216" t="n">
        <v>1</v>
      </c>
      <c r="R1216" t="n">
        <v>1</v>
      </c>
      <c r="S1216" t="n">
        <v>1963</v>
      </c>
      <c r="T1216" t="s">
        <v>2493</v>
      </c>
      <c r="U1216" t="s">
        <v>2494</v>
      </c>
      <c r="V1216" t="s">
        <v>74</v>
      </c>
      <c r="W1216"/>
      <c r="X1216"/>
      <c r="Y1216"/>
      <c r="Z1216"/>
      <c r="AA1216"/>
      <c r="AB1216"/>
      <c r="AC1216"/>
      <c r="AD1216"/>
      <c r="AE1216"/>
      <c r="AF1216" t="s">
        <v>2495</v>
      </c>
      <c r="AG1216" t="n">
        <v>69</v>
      </c>
    </row>
    <row r="1217">
      <c r="A1217" t="s">
        <v>4600</v>
      </c>
      <c r="B1217" t="s">
        <v>31</v>
      </c>
      <c r="C1217" t="s">
        <v>24</v>
      </c>
      <c r="D1217" t="s">
        <v>4601</v>
      </c>
      <c r="E1217" t="s">
        <v>4602</v>
      </c>
      <c r="F1217" t="s">
        <v>2267</v>
      </c>
      <c r="G1217" t="s">
        <v>4603</v>
      </c>
      <c r="H1217" t="n">
        <v>39.077709</v>
      </c>
      <c r="I1217" t="n">
        <v>-104.87299</v>
      </c>
      <c r="J1217" t="s">
        <v>4109</v>
      </c>
      <c r="K1217" t="s">
        <v>533</v>
      </c>
      <c r="L1217"/>
      <c r="M1217" t="n">
        <v>1980</v>
      </c>
      <c r="N1217" t="n">
        <v>1990</v>
      </c>
      <c r="O1217" t="s">
        <v>540</v>
      </c>
      <c r="P1217" t="n">
        <v>4</v>
      </c>
      <c r="Q1217" t="n">
        <v>4</v>
      </c>
      <c r="R1217" t="n">
        <v>4</v>
      </c>
      <c r="S1217" t="n">
        <v>1979</v>
      </c>
      <c r="T1217" t="s">
        <v>4604</v>
      </c>
      <c r="U1217" t="s">
        <v>4605</v>
      </c>
      <c r="V1217" t="s">
        <v>74</v>
      </c>
      <c r="W1217"/>
      <c r="X1217"/>
      <c r="Y1217"/>
      <c r="Z1217"/>
      <c r="AA1217"/>
      <c r="AB1217"/>
      <c r="AC1217"/>
      <c r="AD1217"/>
      <c r="AE1217"/>
      <c r="AF1217"/>
      <c r="AG1217"/>
    </row>
    <row r="1218">
      <c r="A1218" t="s">
        <v>2496</v>
      </c>
      <c r="B1218" t="s">
        <v>31</v>
      </c>
      <c r="C1218" t="s">
        <v>65</v>
      </c>
      <c r="D1218" t="s">
        <v>2497</v>
      </c>
      <c r="E1218" t="s">
        <v>2272</v>
      </c>
      <c r="F1218" t="s">
        <v>2267</v>
      </c>
      <c r="G1218" t="s">
        <v>2289</v>
      </c>
      <c r="H1218" t="n">
        <v>38.8722964446164</v>
      </c>
      <c r="I1218" t="n">
        <v>-104.831992555384</v>
      </c>
      <c r="J1218" t="s">
        <v>35</v>
      </c>
      <c r="K1218" t="s">
        <v>141</v>
      </c>
      <c r="L1218"/>
      <c r="M1218" t="n">
        <v>1983</v>
      </c>
      <c r="N1218" t="n">
        <v>1990</v>
      </c>
      <c r="O1218" t="s">
        <v>271</v>
      </c>
      <c r="P1218" t="n">
        <v>3</v>
      </c>
      <c r="Q1218" t="n">
        <v>2</v>
      </c>
      <c r="R1218" t="n">
        <v>2</v>
      </c>
      <c r="S1218" t="n">
        <v>1963</v>
      </c>
      <c r="T1218" t="s">
        <v>2498</v>
      </c>
      <c r="U1218" t="s">
        <v>2499</v>
      </c>
      <c r="V1218" t="s">
        <v>74</v>
      </c>
      <c r="W1218"/>
      <c r="X1218"/>
      <c r="Y1218"/>
      <c r="Z1218"/>
      <c r="AA1218"/>
      <c r="AB1218"/>
      <c r="AC1218"/>
      <c r="AD1218"/>
      <c r="AE1218"/>
      <c r="AF1218" t="s">
        <v>2500</v>
      </c>
      <c r="AG1218" t="n">
        <v>57</v>
      </c>
    </row>
    <row r="1219">
      <c r="A1219" t="s">
        <v>2501</v>
      </c>
      <c r="B1219" t="s">
        <v>31</v>
      </c>
      <c r="C1219" t="s">
        <v>65</v>
      </c>
      <c r="D1219" t="s">
        <v>2502</v>
      </c>
      <c r="E1219" t="s">
        <v>2272</v>
      </c>
      <c r="F1219" t="s">
        <v>2267</v>
      </c>
      <c r="G1219" t="s">
        <v>2273</v>
      </c>
      <c r="H1219" t="n">
        <v>38.837155112079</v>
      </c>
      <c r="I1219" t="n">
        <v>-104.785851117374</v>
      </c>
      <c r="J1219" t="s">
        <v>35</v>
      </c>
      <c r="K1219" t="s">
        <v>120</v>
      </c>
      <c r="L1219"/>
      <c r="M1219" t="n">
        <v>1983</v>
      </c>
      <c r="N1219" t="n">
        <v>1983</v>
      </c>
      <c r="O1219" t="s">
        <v>264</v>
      </c>
      <c r="P1219" t="n">
        <v>1</v>
      </c>
      <c r="Q1219" t="n">
        <v>1</v>
      </c>
      <c r="R1219" t="n">
        <v>1</v>
      </c>
      <c r="S1219" t="n">
        <v>1976</v>
      </c>
      <c r="T1219" t="s">
        <v>2503</v>
      </c>
      <c r="U1219" t="s">
        <v>2504</v>
      </c>
      <c r="V1219" t="s">
        <v>74</v>
      </c>
      <c r="W1219"/>
      <c r="X1219"/>
      <c r="Y1219"/>
      <c r="Z1219"/>
      <c r="AA1219"/>
      <c r="AB1219" t="s">
        <v>2505</v>
      </c>
      <c r="AC1219" t="n">
        <v>245</v>
      </c>
      <c r="AD1219"/>
      <c r="AE1219"/>
      <c r="AF1219" t="s">
        <v>2506</v>
      </c>
      <c r="AG1219" t="n">
        <v>61</v>
      </c>
    </row>
    <row r="1220">
      <c r="A1220" t="s">
        <v>2507</v>
      </c>
      <c r="B1220" t="s">
        <v>31</v>
      </c>
      <c r="C1220" t="s">
        <v>65</v>
      </c>
      <c r="D1220" t="s">
        <v>2508</v>
      </c>
      <c r="E1220" t="s">
        <v>2272</v>
      </c>
      <c r="F1220" t="s">
        <v>2267</v>
      </c>
      <c r="G1220" t="s">
        <v>2444</v>
      </c>
      <c r="H1220" t="n">
        <v>38.8430974014024</v>
      </c>
      <c r="I1220" t="n">
        <v>-104.732660641103</v>
      </c>
      <c r="J1220" t="s">
        <v>35</v>
      </c>
      <c r="K1220" t="s">
        <v>70</v>
      </c>
      <c r="L1220"/>
      <c r="M1220" t="n">
        <v>1983</v>
      </c>
      <c r="N1220" t="n">
        <v>1983</v>
      </c>
      <c r="O1220" t="s">
        <v>264</v>
      </c>
      <c r="P1220" t="n">
        <v>1</v>
      </c>
      <c r="Q1220" t="n">
        <v>1</v>
      </c>
      <c r="R1220" t="n">
        <v>1</v>
      </c>
      <c r="S1220" t="n">
        <v>1979</v>
      </c>
      <c r="T1220" t="s">
        <v>2509</v>
      </c>
      <c r="U1220" t="s">
        <v>2510</v>
      </c>
      <c r="V1220" t="s">
        <v>74</v>
      </c>
      <c r="W1220"/>
      <c r="X1220"/>
      <c r="Y1220"/>
      <c r="Z1220"/>
      <c r="AA1220"/>
      <c r="AB1220"/>
      <c r="AC1220"/>
      <c r="AD1220"/>
      <c r="AE1220"/>
      <c r="AF1220" t="s">
        <v>2511</v>
      </c>
      <c r="AG1220" t="n">
        <v>176</v>
      </c>
    </row>
    <row r="1221">
      <c r="A1221" t="s">
        <v>2512</v>
      </c>
      <c r="B1221" t="s">
        <v>31</v>
      </c>
      <c r="C1221" t="s">
        <v>65</v>
      </c>
      <c r="D1221" t="s">
        <v>2513</v>
      </c>
      <c r="E1221" t="s">
        <v>2272</v>
      </c>
      <c r="F1221" t="s">
        <v>2267</v>
      </c>
      <c r="G1221" t="s">
        <v>2475</v>
      </c>
      <c r="H1221" t="n">
        <v>38.8006502459589</v>
      </c>
      <c r="I1221" t="n">
        <v>-104.794404</v>
      </c>
      <c r="J1221" t="s">
        <v>35</v>
      </c>
      <c r="K1221" t="s">
        <v>120</v>
      </c>
      <c r="L1221"/>
      <c r="M1221" t="n">
        <v>1983</v>
      </c>
      <c r="N1221" t="n">
        <v>1983</v>
      </c>
      <c r="O1221" t="s">
        <v>264</v>
      </c>
      <c r="P1221" t="n">
        <v>1</v>
      </c>
      <c r="Q1221" t="n">
        <v>1</v>
      </c>
      <c r="R1221" t="n">
        <v>1</v>
      </c>
      <c r="S1221" t="n">
        <v>1982</v>
      </c>
      <c r="T1221" t="s">
        <v>2514</v>
      </c>
      <c r="U1221" t="s">
        <v>2515</v>
      </c>
      <c r="V1221" t="s">
        <v>74</v>
      </c>
      <c r="W1221"/>
      <c r="X1221"/>
      <c r="Y1221"/>
      <c r="Z1221"/>
      <c r="AA1221"/>
      <c r="AB1221"/>
      <c r="AC1221"/>
      <c r="AD1221"/>
      <c r="AE1221"/>
      <c r="AF1221" t="s">
        <v>2516</v>
      </c>
      <c r="AG1221" t="n">
        <v>156</v>
      </c>
    </row>
    <row r="1222">
      <c r="A1222" t="s">
        <v>2517</v>
      </c>
      <c r="B1222" t="s">
        <v>31</v>
      </c>
      <c r="C1222" t="s">
        <v>65</v>
      </c>
      <c r="D1222" t="s">
        <v>2518</v>
      </c>
      <c r="E1222" t="s">
        <v>2272</v>
      </c>
      <c r="F1222" t="s">
        <v>2267</v>
      </c>
      <c r="G1222" t="s">
        <v>2289</v>
      </c>
      <c r="H1222" t="n">
        <v>38.845328925261</v>
      </c>
      <c r="I1222" t="n">
        <v>-104.819230202591</v>
      </c>
      <c r="J1222" t="s">
        <v>35</v>
      </c>
      <c r="K1222" t="s">
        <v>796</v>
      </c>
      <c r="L1222"/>
      <c r="M1222" t="n">
        <v>1983</v>
      </c>
      <c r="N1222" t="n">
        <v>1990</v>
      </c>
      <c r="O1222" t="s">
        <v>293</v>
      </c>
      <c r="P1222" t="n">
        <v>2</v>
      </c>
      <c r="Q1222" t="n">
        <v>1</v>
      </c>
      <c r="R1222" t="n">
        <v>1</v>
      </c>
      <c r="S1222" t="n">
        <v>1970</v>
      </c>
      <c r="T1222" t="s">
        <v>2519</v>
      </c>
      <c r="U1222" t="s">
        <v>2520</v>
      </c>
      <c r="V1222" t="s">
        <v>74</v>
      </c>
      <c r="W1222"/>
      <c r="X1222"/>
      <c r="Y1222"/>
      <c r="Z1222"/>
      <c r="AA1222"/>
      <c r="AB1222" t="s">
        <v>2521</v>
      </c>
      <c r="AC1222" t="n">
        <v>221</v>
      </c>
      <c r="AD1222"/>
      <c r="AE1222"/>
      <c r="AF1222" t="s">
        <v>2522</v>
      </c>
      <c r="AG1222" t="n">
        <v>119</v>
      </c>
    </row>
    <row r="1223">
      <c r="A1223" t="s">
        <v>2523</v>
      </c>
      <c r="B1223" t="s">
        <v>31</v>
      </c>
      <c r="C1223" t="s">
        <v>65</v>
      </c>
      <c r="D1223" t="s">
        <v>2524</v>
      </c>
      <c r="E1223" t="s">
        <v>2272</v>
      </c>
      <c r="F1223" t="s">
        <v>2267</v>
      </c>
      <c r="G1223" t="s">
        <v>2444</v>
      </c>
      <c r="H1223" t="n">
        <v>38.8498079073539</v>
      </c>
      <c r="I1223" t="n">
        <v>-104.713805560957</v>
      </c>
      <c r="J1223" t="s">
        <v>35</v>
      </c>
      <c r="K1223" t="s">
        <v>1041</v>
      </c>
      <c r="L1223" t="s">
        <v>2476</v>
      </c>
      <c r="M1223" t="n">
        <v>1983</v>
      </c>
      <c r="N1223" t="n">
        <v>1990</v>
      </c>
      <c r="O1223" t="s">
        <v>271</v>
      </c>
      <c r="P1223" t="n">
        <v>3</v>
      </c>
      <c r="Q1223" t="n">
        <v>1</v>
      </c>
      <c r="R1223" t="n">
        <v>1</v>
      </c>
      <c r="S1223" t="n">
        <v>1980</v>
      </c>
      <c r="T1223" t="s">
        <v>2525</v>
      </c>
      <c r="U1223" t="s">
        <v>2526</v>
      </c>
      <c r="V1223" t="s">
        <v>74</v>
      </c>
      <c r="W1223"/>
      <c r="X1223"/>
      <c r="Y1223"/>
      <c r="Z1223"/>
      <c r="AA1223"/>
      <c r="AB1223"/>
      <c r="AC1223"/>
      <c r="AD1223"/>
      <c r="AE1223"/>
      <c r="AF1223" t="s">
        <v>2527</v>
      </c>
      <c r="AG1223" t="n">
        <v>48</v>
      </c>
    </row>
    <row r="1224">
      <c r="A1224" t="s">
        <v>2528</v>
      </c>
      <c r="B1224" t="s">
        <v>31</v>
      </c>
      <c r="C1224" t="s">
        <v>65</v>
      </c>
      <c r="D1224" t="s">
        <v>2529</v>
      </c>
      <c r="E1224" t="s">
        <v>2272</v>
      </c>
      <c r="F1224" t="s">
        <v>2267</v>
      </c>
      <c r="G1224" t="s">
        <v>2530</v>
      </c>
      <c r="H1224" t="n">
        <v>38.8006583885524</v>
      </c>
      <c r="I1224" t="n">
        <v>-104.747177842258</v>
      </c>
      <c r="J1224" t="s">
        <v>35</v>
      </c>
      <c r="K1224" t="s">
        <v>120</v>
      </c>
      <c r="L1224"/>
      <c r="M1224" t="n">
        <v>1983</v>
      </c>
      <c r="N1224" t="n">
        <v>1983</v>
      </c>
      <c r="O1224" t="s">
        <v>264</v>
      </c>
      <c r="P1224" t="n">
        <v>1</v>
      </c>
      <c r="Q1224" t="n">
        <v>1</v>
      </c>
      <c r="R1224" t="n">
        <v>1</v>
      </c>
      <c r="S1224" t="n">
        <v>1972</v>
      </c>
      <c r="T1224" t="s">
        <v>2531</v>
      </c>
      <c r="U1224" t="s">
        <v>2532</v>
      </c>
      <c r="V1224" t="s">
        <v>74</v>
      </c>
      <c r="W1224"/>
      <c r="X1224"/>
      <c r="Y1224"/>
      <c r="Z1224"/>
      <c r="AA1224"/>
      <c r="AB1224"/>
      <c r="AC1224"/>
      <c r="AD1224"/>
      <c r="AE1224"/>
      <c r="AF1224"/>
      <c r="AG1224"/>
    </row>
    <row r="1225">
      <c r="A1225" t="s">
        <v>2533</v>
      </c>
      <c r="B1225" t="s">
        <v>31</v>
      </c>
      <c r="C1225" t="s">
        <v>65</v>
      </c>
      <c r="D1225" t="s">
        <v>2534</v>
      </c>
      <c r="E1225" t="s">
        <v>2272</v>
      </c>
      <c r="F1225" t="s">
        <v>2267</v>
      </c>
      <c r="G1225" t="s">
        <v>2289</v>
      </c>
      <c r="H1225" t="n">
        <v>38.8184784651212</v>
      </c>
      <c r="I1225" t="n">
        <v>-104.825648589443</v>
      </c>
      <c r="J1225" t="s">
        <v>35</v>
      </c>
      <c r="K1225" t="s">
        <v>89</v>
      </c>
      <c r="L1225"/>
      <c r="M1225" t="n">
        <v>1983</v>
      </c>
      <c r="N1225" t="n">
        <v>1983</v>
      </c>
      <c r="O1225" t="s">
        <v>264</v>
      </c>
      <c r="P1225" t="n">
        <v>1</v>
      </c>
      <c r="Q1225" t="n">
        <v>1</v>
      </c>
      <c r="R1225" t="n">
        <v>1</v>
      </c>
      <c r="S1225" t="n">
        <v>1980</v>
      </c>
      <c r="T1225" t="s">
        <v>2535</v>
      </c>
      <c r="U1225" t="s">
        <v>2536</v>
      </c>
      <c r="V1225" t="s">
        <v>74</v>
      </c>
      <c r="W1225"/>
      <c r="X1225"/>
      <c r="Y1225"/>
      <c r="Z1225"/>
      <c r="AA1225"/>
      <c r="AB1225"/>
      <c r="AC1225"/>
      <c r="AD1225"/>
      <c r="AE1225"/>
      <c r="AF1225" t="s">
        <v>2485</v>
      </c>
      <c r="AG1225" t="n">
        <v>62</v>
      </c>
    </row>
    <row r="1226">
      <c r="A1226" t="s">
        <v>2537</v>
      </c>
      <c r="B1226" t="s">
        <v>31</v>
      </c>
      <c r="C1226" t="s">
        <v>65</v>
      </c>
      <c r="D1226" t="s">
        <v>2538</v>
      </c>
      <c r="E1226" t="s">
        <v>2539</v>
      </c>
      <c r="F1226" t="s">
        <v>2267</v>
      </c>
      <c r="G1226" t="s">
        <v>2540</v>
      </c>
      <c r="H1226" t="n">
        <v>38.7262560909091</v>
      </c>
      <c r="I1226" t="n">
        <v>-104.694151363636</v>
      </c>
      <c r="J1226" t="s">
        <v>35</v>
      </c>
      <c r="K1226" t="s">
        <v>70</v>
      </c>
      <c r="L1226"/>
      <c r="M1226" t="n">
        <v>1983</v>
      </c>
      <c r="N1226" t="n">
        <v>1983</v>
      </c>
      <c r="O1226" t="s">
        <v>264</v>
      </c>
      <c r="P1226" t="n">
        <v>1</v>
      </c>
      <c r="Q1226" t="n">
        <v>1</v>
      </c>
      <c r="R1226" t="n">
        <v>1</v>
      </c>
      <c r="S1226" t="n">
        <v>1981</v>
      </c>
      <c r="T1226" t="s">
        <v>2541</v>
      </c>
      <c r="U1226" t="s">
        <v>2542</v>
      </c>
      <c r="V1226" t="s">
        <v>74</v>
      </c>
      <c r="W1226"/>
      <c r="X1226"/>
      <c r="Y1226"/>
      <c r="Z1226"/>
      <c r="AA1226"/>
      <c r="AB1226"/>
      <c r="AC1226"/>
      <c r="AD1226"/>
      <c r="AE1226"/>
      <c r="AF1226"/>
      <c r="AG1226"/>
    </row>
    <row r="1227">
      <c r="A1227" t="s">
        <v>2543</v>
      </c>
      <c r="B1227" t="s">
        <v>31</v>
      </c>
      <c r="C1227" t="s">
        <v>65</v>
      </c>
      <c r="D1227" t="s">
        <v>2544</v>
      </c>
      <c r="E1227" t="s">
        <v>2266</v>
      </c>
      <c r="F1227" t="s">
        <v>2267</v>
      </c>
      <c r="G1227" t="s">
        <v>2488</v>
      </c>
      <c r="H1227" t="n">
        <v>38.8575900876447</v>
      </c>
      <c r="I1227" t="n">
        <v>-104.91125511212</v>
      </c>
      <c r="J1227" t="s">
        <v>35</v>
      </c>
      <c r="K1227" t="s">
        <v>133</v>
      </c>
      <c r="L1227" t="s">
        <v>202</v>
      </c>
      <c r="M1227" t="n">
        <v>1983</v>
      </c>
      <c r="N1227" t="n">
        <v>1990</v>
      </c>
      <c r="O1227" t="s">
        <v>293</v>
      </c>
      <c r="P1227" t="n">
        <v>2</v>
      </c>
      <c r="Q1227" t="n">
        <v>1</v>
      </c>
      <c r="R1227" t="n">
        <v>1</v>
      </c>
      <c r="S1227" t="n">
        <v>1978</v>
      </c>
      <c r="T1227" t="s">
        <v>2545</v>
      </c>
      <c r="U1227" t="s">
        <v>2546</v>
      </c>
      <c r="V1227" t="s">
        <v>74</v>
      </c>
      <c r="W1227"/>
      <c r="X1227"/>
      <c r="Y1227"/>
      <c r="Z1227"/>
      <c r="AA1227"/>
      <c r="AB1227"/>
      <c r="AC1227"/>
      <c r="AD1227"/>
      <c r="AE1227"/>
      <c r="AF1227"/>
      <c r="AG1227"/>
    </row>
    <row r="1228">
      <c r="A1228" t="s">
        <v>2547</v>
      </c>
      <c r="B1228" t="s">
        <v>31</v>
      </c>
      <c r="C1228" t="s">
        <v>65</v>
      </c>
      <c r="D1228" t="s">
        <v>2548</v>
      </c>
      <c r="E1228" t="s">
        <v>2272</v>
      </c>
      <c r="F1228" t="s">
        <v>2267</v>
      </c>
      <c r="G1228" t="s">
        <v>2412</v>
      </c>
      <c r="H1228" t="n">
        <v>38.9455958219622</v>
      </c>
      <c r="I1228" t="n">
        <v>-104.670914026849</v>
      </c>
      <c r="J1228" t="s">
        <v>35</v>
      </c>
      <c r="K1228" t="s">
        <v>141</v>
      </c>
      <c r="L1228"/>
      <c r="M1228" t="n">
        <v>1988</v>
      </c>
      <c r="N1228" t="n">
        <v>1990</v>
      </c>
      <c r="O1228" t="s">
        <v>310</v>
      </c>
      <c r="P1228" t="n">
        <v>2</v>
      </c>
      <c r="Q1228" t="n">
        <v>2</v>
      </c>
      <c r="R1228" t="n">
        <v>2</v>
      </c>
      <c r="S1228" t="n">
        <v>1950</v>
      </c>
      <c r="T1228" t="s">
        <v>2549</v>
      </c>
      <c r="U1228" t="s">
        <v>2550</v>
      </c>
      <c r="V1228" t="s">
        <v>74</v>
      </c>
      <c r="W1228"/>
      <c r="X1228"/>
      <c r="Y1228"/>
      <c r="Z1228"/>
      <c r="AA1228"/>
      <c r="AB1228"/>
      <c r="AC1228"/>
      <c r="AD1228"/>
      <c r="AE1228"/>
      <c r="AF1228"/>
      <c r="AG1228"/>
    </row>
    <row r="1229">
      <c r="A1229" t="s">
        <v>2551</v>
      </c>
      <c r="B1229" t="s">
        <v>31</v>
      </c>
      <c r="C1229" t="s">
        <v>65</v>
      </c>
      <c r="D1229" t="s">
        <v>2552</v>
      </c>
      <c r="E1229" t="s">
        <v>2272</v>
      </c>
      <c r="F1229" t="s">
        <v>2267</v>
      </c>
      <c r="G1229" t="s">
        <v>2289</v>
      </c>
      <c r="H1229" t="n">
        <v>38.8320266198218</v>
      </c>
      <c r="I1229" t="n">
        <v>-104.817171400307</v>
      </c>
      <c r="J1229" t="s">
        <v>35</v>
      </c>
      <c r="K1229" t="s">
        <v>70</v>
      </c>
      <c r="L1229"/>
      <c r="M1229" t="n">
        <v>1988</v>
      </c>
      <c r="N1229" t="n">
        <v>1990</v>
      </c>
      <c r="O1229" t="s">
        <v>310</v>
      </c>
      <c r="P1229" t="n">
        <v>2</v>
      </c>
      <c r="Q1229" t="n">
        <v>1</v>
      </c>
      <c r="R1229" t="n">
        <v>1</v>
      </c>
      <c r="S1229" t="n">
        <v>1975</v>
      </c>
      <c r="T1229" t="s">
        <v>2553</v>
      </c>
      <c r="U1229" t="s">
        <v>2554</v>
      </c>
      <c r="V1229" t="s">
        <v>74</v>
      </c>
      <c r="W1229"/>
      <c r="X1229"/>
      <c r="Y1229"/>
      <c r="Z1229"/>
      <c r="AA1229"/>
      <c r="AB1229" t="s">
        <v>2555</v>
      </c>
      <c r="AC1229" t="n">
        <v>242</v>
      </c>
      <c r="AD1229"/>
      <c r="AE1229"/>
      <c r="AF1229" t="s">
        <v>2556</v>
      </c>
      <c r="AG1229" t="n">
        <v>195</v>
      </c>
    </row>
    <row r="1230">
      <c r="A1230" t="s">
        <v>2557</v>
      </c>
      <c r="B1230" t="s">
        <v>31</v>
      </c>
      <c r="C1230" t="s">
        <v>65</v>
      </c>
      <c r="D1230" t="s">
        <v>2558</v>
      </c>
      <c r="E1230" t="s">
        <v>2272</v>
      </c>
      <c r="F1230" t="s">
        <v>2267</v>
      </c>
      <c r="G1230" t="s">
        <v>2530</v>
      </c>
      <c r="H1230" t="n">
        <v>38.8125060357104</v>
      </c>
      <c r="I1230" t="n">
        <v>-104.725302929885</v>
      </c>
      <c r="J1230" t="s">
        <v>35</v>
      </c>
      <c r="K1230" t="s">
        <v>527</v>
      </c>
      <c r="L1230"/>
      <c r="M1230" t="n">
        <v>1988</v>
      </c>
      <c r="N1230" t="n">
        <v>1990</v>
      </c>
      <c r="O1230" t="s">
        <v>310</v>
      </c>
      <c r="P1230" t="n">
        <v>2</v>
      </c>
      <c r="Q1230" t="n">
        <v>1</v>
      </c>
      <c r="R1230" t="n">
        <v>1</v>
      </c>
      <c r="S1230" t="n">
        <v>1983</v>
      </c>
      <c r="T1230" t="s">
        <v>2559</v>
      </c>
      <c r="U1230" t="s">
        <v>2560</v>
      </c>
      <c r="V1230" t="s">
        <v>74</v>
      </c>
      <c r="W1230"/>
      <c r="X1230"/>
      <c r="Y1230"/>
      <c r="Z1230"/>
      <c r="AA1230"/>
      <c r="AB1230"/>
      <c r="AC1230"/>
      <c r="AD1230" t="s">
        <v>2561</v>
      </c>
      <c r="AE1230" t="n">
        <v>122</v>
      </c>
      <c r="AF1230" t="s">
        <v>2562</v>
      </c>
      <c r="AG1230" t="n">
        <v>145</v>
      </c>
    </row>
    <row r="1231">
      <c r="A1231" t="s">
        <v>2563</v>
      </c>
      <c r="B1231" t="s">
        <v>31</v>
      </c>
      <c r="C1231" t="s">
        <v>65</v>
      </c>
      <c r="D1231" t="s">
        <v>2564</v>
      </c>
      <c r="E1231" t="s">
        <v>2272</v>
      </c>
      <c r="F1231" t="s">
        <v>2267</v>
      </c>
      <c r="G1231" t="s">
        <v>2475</v>
      </c>
      <c r="H1231" t="n">
        <v>38.7983281495933</v>
      </c>
      <c r="I1231" t="n">
        <v>-104.794396256976</v>
      </c>
      <c r="J1231" t="s">
        <v>35</v>
      </c>
      <c r="K1231" t="s">
        <v>89</v>
      </c>
      <c r="L1231"/>
      <c r="M1231" t="n">
        <v>1988</v>
      </c>
      <c r="N1231" t="n">
        <v>1988</v>
      </c>
      <c r="O1231" t="s">
        <v>325</v>
      </c>
      <c r="P1231" t="n">
        <v>1</v>
      </c>
      <c r="Q1231" t="n">
        <v>1</v>
      </c>
      <c r="R1231" t="n">
        <v>1</v>
      </c>
      <c r="S1231" t="n">
        <v>1958</v>
      </c>
      <c r="T1231" t="s">
        <v>2565</v>
      </c>
      <c r="U1231" t="s">
        <v>2566</v>
      </c>
      <c r="V1231" t="s">
        <v>74</v>
      </c>
      <c r="W1231"/>
      <c r="X1231"/>
      <c r="Y1231"/>
      <c r="Z1231"/>
      <c r="AA1231"/>
      <c r="AB1231"/>
      <c r="AC1231"/>
      <c r="AD1231"/>
      <c r="AE1231"/>
      <c r="AF1231" t="s">
        <v>2567</v>
      </c>
      <c r="AG1231" t="n">
        <v>237</v>
      </c>
    </row>
    <row r="1232">
      <c r="A1232" t="s">
        <v>4606</v>
      </c>
      <c r="B1232" t="s">
        <v>31</v>
      </c>
      <c r="C1232" t="s">
        <v>24</v>
      </c>
      <c r="D1232" t="s">
        <v>4607</v>
      </c>
      <c r="E1232" t="s">
        <v>2272</v>
      </c>
      <c r="F1232" t="s">
        <v>2267</v>
      </c>
      <c r="G1232" t="s">
        <v>4608</v>
      </c>
      <c r="H1232" t="n">
        <v>38.922395</v>
      </c>
      <c r="I1232" t="n">
        <v>-104.842881</v>
      </c>
      <c r="J1232" t="s">
        <v>4109</v>
      </c>
      <c r="K1232" t="s">
        <v>120</v>
      </c>
      <c r="L1232"/>
      <c r="M1232" t="n">
        <v>1988</v>
      </c>
      <c r="N1232" t="n">
        <v>1992</v>
      </c>
      <c r="O1232" t="s">
        <v>310</v>
      </c>
      <c r="P1232" t="n">
        <v>3</v>
      </c>
      <c r="Q1232" t="n">
        <v>1</v>
      </c>
      <c r="R1232" t="n">
        <v>1</v>
      </c>
      <c r="S1232" t="n">
        <v>1976</v>
      </c>
      <c r="T1232" t="s">
        <v>4609</v>
      </c>
      <c r="U1232" t="s">
        <v>4610</v>
      </c>
      <c r="V1232" t="s">
        <v>74</v>
      </c>
      <c r="W1232"/>
      <c r="X1232"/>
      <c r="Y1232"/>
      <c r="Z1232"/>
      <c r="AA1232"/>
      <c r="AB1232"/>
      <c r="AC1232"/>
      <c r="AD1232"/>
      <c r="AE1232"/>
      <c r="AF1232" t="s">
        <v>4611</v>
      </c>
      <c r="AG1232" t="n">
        <v>75</v>
      </c>
    </row>
    <row r="1233">
      <c r="A1233" t="s">
        <v>2568</v>
      </c>
      <c r="B1233" t="s">
        <v>31</v>
      </c>
      <c r="C1233" t="s">
        <v>65</v>
      </c>
      <c r="D1233" t="s">
        <v>2569</v>
      </c>
      <c r="E1233" t="s">
        <v>2272</v>
      </c>
      <c r="F1233" t="s">
        <v>2267</v>
      </c>
      <c r="G1233" t="s">
        <v>2570</v>
      </c>
      <c r="H1233" t="n">
        <v>38.9189560165822</v>
      </c>
      <c r="I1233" t="n">
        <v>-104.787239702576</v>
      </c>
      <c r="J1233" t="s">
        <v>35</v>
      </c>
      <c r="K1233" t="s">
        <v>70</v>
      </c>
      <c r="L1233"/>
      <c r="M1233" t="n">
        <v>1988</v>
      </c>
      <c r="N1233" t="n">
        <v>1988</v>
      </c>
      <c r="O1233" t="s">
        <v>325</v>
      </c>
      <c r="P1233" t="n">
        <v>1</v>
      </c>
      <c r="Q1233" t="n">
        <v>1</v>
      </c>
      <c r="R1233" t="n">
        <v>1</v>
      </c>
      <c r="S1233" t="n">
        <v>1979</v>
      </c>
      <c r="T1233" t="s">
        <v>2571</v>
      </c>
      <c r="U1233" t="s">
        <v>2572</v>
      </c>
      <c r="V1233" t="s">
        <v>74</v>
      </c>
      <c r="W1233"/>
      <c r="X1233"/>
      <c r="Y1233"/>
      <c r="Z1233"/>
      <c r="AA1233"/>
      <c r="AB1233"/>
      <c r="AC1233"/>
      <c r="AD1233"/>
      <c r="AE1233"/>
      <c r="AF1233" t="s">
        <v>2573</v>
      </c>
      <c r="AG1233" t="n">
        <v>179</v>
      </c>
    </row>
    <row r="1234">
      <c r="A1234" t="s">
        <v>2574</v>
      </c>
      <c r="B1234" t="s">
        <v>31</v>
      </c>
      <c r="C1234" t="s">
        <v>65</v>
      </c>
      <c r="D1234" t="s">
        <v>2575</v>
      </c>
      <c r="E1234" t="s">
        <v>2272</v>
      </c>
      <c r="F1234" t="s">
        <v>2267</v>
      </c>
      <c r="G1234" t="s">
        <v>2444</v>
      </c>
      <c r="H1234" t="n">
        <v>38.8393795310446</v>
      </c>
      <c r="I1234" t="n">
        <v>-104.743913863141</v>
      </c>
      <c r="J1234" t="s">
        <v>35</v>
      </c>
      <c r="K1234" t="s">
        <v>120</v>
      </c>
      <c r="L1234"/>
      <c r="M1234" t="n">
        <v>1988</v>
      </c>
      <c r="N1234" t="n">
        <v>1988</v>
      </c>
      <c r="O1234" t="s">
        <v>325</v>
      </c>
      <c r="P1234" t="n">
        <v>1</v>
      </c>
      <c r="Q1234" t="n">
        <v>1</v>
      </c>
      <c r="R1234" t="n">
        <v>1</v>
      </c>
      <c r="S1234" t="n">
        <v>1984</v>
      </c>
      <c r="T1234" t="s">
        <v>2576</v>
      </c>
      <c r="U1234" t="s">
        <v>2577</v>
      </c>
      <c r="V1234" t="s">
        <v>74</v>
      </c>
      <c r="W1234"/>
      <c r="X1234"/>
      <c r="Y1234"/>
      <c r="Z1234"/>
      <c r="AA1234"/>
      <c r="AB1234"/>
      <c r="AC1234"/>
      <c r="AD1234"/>
      <c r="AE1234"/>
      <c r="AF1234" t="s">
        <v>2578</v>
      </c>
      <c r="AG1234" t="n">
        <v>83</v>
      </c>
    </row>
    <row r="1235">
      <c r="A1235" t="s">
        <v>4612</v>
      </c>
      <c r="B1235" t="s">
        <v>31</v>
      </c>
      <c r="C1235" t="s">
        <v>24</v>
      </c>
      <c r="D1235" t="s">
        <v>4613</v>
      </c>
      <c r="E1235" t="s">
        <v>2272</v>
      </c>
      <c r="F1235" t="s">
        <v>2267</v>
      </c>
      <c r="G1235" t="s">
        <v>2444</v>
      </c>
      <c r="H1235" t="n">
        <v>38.937002439673</v>
      </c>
      <c r="I1235" t="n">
        <v>-104.846392518942</v>
      </c>
      <c r="J1235" t="s">
        <v>4109</v>
      </c>
      <c r="K1235" t="s">
        <v>141</v>
      </c>
      <c r="L1235"/>
      <c r="M1235" t="n">
        <v>1988</v>
      </c>
      <c r="N1235" t="n">
        <v>1990</v>
      </c>
      <c r="O1235" t="s">
        <v>310</v>
      </c>
      <c r="P1235" t="n">
        <v>2</v>
      </c>
      <c r="Q1235" t="n">
        <v>1</v>
      </c>
      <c r="R1235" t="n">
        <v>1</v>
      </c>
      <c r="S1235" t="n">
        <v>1982</v>
      </c>
      <c r="T1235" t="s">
        <v>4614</v>
      </c>
      <c r="U1235" t="s">
        <v>4615</v>
      </c>
      <c r="V1235" t="s">
        <v>74</v>
      </c>
      <c r="W1235"/>
      <c r="X1235"/>
      <c r="Y1235"/>
      <c r="Z1235"/>
      <c r="AA1235"/>
      <c r="AB1235"/>
      <c r="AC1235"/>
      <c r="AD1235"/>
      <c r="AE1235"/>
      <c r="AF1235"/>
      <c r="AG1235"/>
    </row>
    <row r="1236">
      <c r="A1236" t="s">
        <v>2579</v>
      </c>
      <c r="B1236" t="s">
        <v>31</v>
      </c>
      <c r="C1236" t="s">
        <v>65</v>
      </c>
      <c r="D1236" t="s">
        <v>2580</v>
      </c>
      <c r="E1236" t="s">
        <v>2272</v>
      </c>
      <c r="F1236" t="s">
        <v>2267</v>
      </c>
      <c r="G1236" t="s">
        <v>2570</v>
      </c>
      <c r="H1236" t="n">
        <v>38.8993408657964</v>
      </c>
      <c r="I1236" t="n">
        <v>-104.8249916433</v>
      </c>
      <c r="J1236" t="s">
        <v>35</v>
      </c>
      <c r="K1236" t="s">
        <v>70</v>
      </c>
      <c r="L1236"/>
      <c r="M1236" t="n">
        <v>1988</v>
      </c>
      <c r="N1236" t="n">
        <v>1988</v>
      </c>
      <c r="O1236" t="s">
        <v>325</v>
      </c>
      <c r="P1236" t="n">
        <v>1</v>
      </c>
      <c r="Q1236" t="n">
        <v>1</v>
      </c>
      <c r="R1236" t="n">
        <v>1</v>
      </c>
      <c r="S1236" t="n">
        <v>1983</v>
      </c>
      <c r="T1236" t="s">
        <v>2581</v>
      </c>
      <c r="U1236" t="s">
        <v>2582</v>
      </c>
      <c r="V1236" t="s">
        <v>74</v>
      </c>
      <c r="W1236"/>
      <c r="X1236"/>
      <c r="Y1236"/>
      <c r="Z1236"/>
      <c r="AA1236"/>
      <c r="AB1236"/>
      <c r="AC1236"/>
      <c r="AD1236" t="s">
        <v>2583</v>
      </c>
      <c r="AE1236" t="n">
        <v>185</v>
      </c>
      <c r="AF1236" t="s">
        <v>2584</v>
      </c>
      <c r="AG1236" t="n">
        <v>43</v>
      </c>
    </row>
    <row r="1237">
      <c r="A1237" t="s">
        <v>2585</v>
      </c>
      <c r="B1237" t="s">
        <v>31</v>
      </c>
      <c r="C1237" t="s">
        <v>65</v>
      </c>
      <c r="D1237" t="s">
        <v>2586</v>
      </c>
      <c r="E1237" t="s">
        <v>2272</v>
      </c>
      <c r="F1237" t="s">
        <v>2267</v>
      </c>
      <c r="G1237" t="s">
        <v>2296</v>
      </c>
      <c r="H1237" t="n">
        <v>38.8702903948144</v>
      </c>
      <c r="I1237" t="n">
        <v>-104.836020950662</v>
      </c>
      <c r="J1237" t="s">
        <v>35</v>
      </c>
      <c r="K1237" t="s">
        <v>141</v>
      </c>
      <c r="L1237"/>
      <c r="M1237" t="n">
        <v>1988</v>
      </c>
      <c r="N1237" t="n">
        <v>1990</v>
      </c>
      <c r="O1237" t="s">
        <v>310</v>
      </c>
      <c r="P1237" t="n">
        <v>2</v>
      </c>
      <c r="Q1237" t="n">
        <v>1</v>
      </c>
      <c r="R1237" t="n">
        <v>1</v>
      </c>
      <c r="S1237" t="n">
        <v>1982</v>
      </c>
      <c r="T1237" t="s">
        <v>2587</v>
      </c>
      <c r="U1237" t="s">
        <v>2588</v>
      </c>
      <c r="V1237" t="s">
        <v>74</v>
      </c>
      <c r="W1237"/>
      <c r="X1237"/>
      <c r="Y1237"/>
      <c r="Z1237"/>
      <c r="AA1237"/>
      <c r="AB1237"/>
      <c r="AC1237"/>
      <c r="AD1237"/>
      <c r="AE1237"/>
      <c r="AF1237"/>
      <c r="AG1237"/>
    </row>
    <row r="1238">
      <c r="A1238" t="s">
        <v>2589</v>
      </c>
      <c r="B1238" t="s">
        <v>31</v>
      </c>
      <c r="C1238" t="s">
        <v>65</v>
      </c>
      <c r="D1238" t="s">
        <v>2590</v>
      </c>
      <c r="E1238" t="s">
        <v>2272</v>
      </c>
      <c r="F1238" t="s">
        <v>2267</v>
      </c>
      <c r="G1238" t="s">
        <v>2570</v>
      </c>
      <c r="H1238" t="n">
        <v>38.898676877551</v>
      </c>
      <c r="I1238" t="n">
        <v>-104.751287244898</v>
      </c>
      <c r="J1238" t="s">
        <v>35</v>
      </c>
      <c r="K1238" t="s">
        <v>120</v>
      </c>
      <c r="L1238" t="s">
        <v>202</v>
      </c>
      <c r="M1238" t="n">
        <v>1988</v>
      </c>
      <c r="N1238" t="n">
        <v>1988</v>
      </c>
      <c r="O1238" t="s">
        <v>325</v>
      </c>
      <c r="P1238" t="n">
        <v>1</v>
      </c>
      <c r="Q1238" t="n">
        <v>1</v>
      </c>
      <c r="R1238" t="n">
        <v>1</v>
      </c>
      <c r="S1238" t="n">
        <v>1982</v>
      </c>
      <c r="T1238" t="s">
        <v>2591</v>
      </c>
      <c r="U1238" t="s">
        <v>2592</v>
      </c>
      <c r="V1238" t="s">
        <v>74</v>
      </c>
      <c r="W1238"/>
      <c r="X1238"/>
      <c r="Y1238"/>
      <c r="Z1238"/>
      <c r="AA1238"/>
      <c r="AB1238"/>
      <c r="AC1238"/>
      <c r="AD1238"/>
      <c r="AE1238"/>
      <c r="AF1238" t="s">
        <v>2593</v>
      </c>
      <c r="AG1238" t="n">
        <v>158</v>
      </c>
    </row>
    <row r="1239">
      <c r="A1239" t="s">
        <v>4616</v>
      </c>
      <c r="B1239" t="s">
        <v>31</v>
      </c>
      <c r="C1239" t="s">
        <v>24</v>
      </c>
      <c r="D1239" t="s">
        <v>4617</v>
      </c>
      <c r="E1239" t="s">
        <v>2272</v>
      </c>
      <c r="F1239" t="s">
        <v>2267</v>
      </c>
      <c r="G1239" t="s">
        <v>2296</v>
      </c>
      <c r="H1239" t="n">
        <v>38.846748</v>
      </c>
      <c r="I1239" t="n">
        <v>-104.698371</v>
      </c>
      <c r="J1239" t="s">
        <v>4109</v>
      </c>
      <c r="K1239" t="s">
        <v>120</v>
      </c>
      <c r="L1239" t="s">
        <v>202</v>
      </c>
      <c r="M1239" t="n">
        <v>1988</v>
      </c>
      <c r="N1239" t="n">
        <v>1992</v>
      </c>
      <c r="O1239" t="s">
        <v>320</v>
      </c>
      <c r="P1239" t="n">
        <v>3</v>
      </c>
      <c r="Q1239" t="n">
        <v>1</v>
      </c>
      <c r="R1239" t="n">
        <v>1</v>
      </c>
      <c r="S1239" t="n">
        <v>1980</v>
      </c>
      <c r="T1239" t="s">
        <v>4618</v>
      </c>
      <c r="U1239" t="s">
        <v>4619</v>
      </c>
      <c r="V1239" t="s">
        <v>74</v>
      </c>
      <c r="W1239"/>
      <c r="X1239"/>
      <c r="Y1239"/>
      <c r="Z1239"/>
      <c r="AA1239"/>
      <c r="AB1239"/>
      <c r="AC1239"/>
      <c r="AD1239"/>
      <c r="AE1239"/>
      <c r="AF1239"/>
      <c r="AG1239"/>
    </row>
    <row r="1240">
      <c r="A1240" t="s">
        <v>4620</v>
      </c>
      <c r="B1240" t="s">
        <v>31</v>
      </c>
      <c r="C1240" t="s">
        <v>24</v>
      </c>
      <c r="D1240" t="s">
        <v>4621</v>
      </c>
      <c r="E1240" t="s">
        <v>4602</v>
      </c>
      <c r="F1240" t="s">
        <v>2267</v>
      </c>
      <c r="G1240" t="s">
        <v>4622</v>
      </c>
      <c r="H1240" t="n">
        <v>39.1004223153114</v>
      </c>
      <c r="I1240" t="n">
        <v>-104.867442114554</v>
      </c>
      <c r="J1240" t="s">
        <v>4109</v>
      </c>
      <c r="K1240" t="s">
        <v>120</v>
      </c>
      <c r="L1240"/>
      <c r="M1240" t="n">
        <v>1988</v>
      </c>
      <c r="N1240" t="n">
        <v>1992</v>
      </c>
      <c r="O1240" t="s">
        <v>320</v>
      </c>
      <c r="P1240" t="n">
        <v>3</v>
      </c>
      <c r="Q1240" t="n">
        <v>1</v>
      </c>
      <c r="R1240" t="n">
        <v>1</v>
      </c>
      <c r="S1240" t="n">
        <v>1982</v>
      </c>
      <c r="T1240" t="s">
        <v>4623</v>
      </c>
      <c r="U1240" t="s">
        <v>4624</v>
      </c>
      <c r="V1240" t="s">
        <v>74</v>
      </c>
      <c r="W1240"/>
      <c r="X1240"/>
      <c r="Y1240"/>
      <c r="Z1240"/>
      <c r="AA1240"/>
      <c r="AB1240"/>
      <c r="AC1240"/>
      <c r="AD1240"/>
      <c r="AE1240"/>
      <c r="AF1240"/>
      <c r="AG1240"/>
    </row>
    <row r="1241">
      <c r="A1241" t="s">
        <v>2594</v>
      </c>
      <c r="B1241" t="s">
        <v>31</v>
      </c>
      <c r="C1241" t="s">
        <v>65</v>
      </c>
      <c r="D1241" t="s">
        <v>2595</v>
      </c>
      <c r="E1241" t="s">
        <v>2596</v>
      </c>
      <c r="F1241" t="s">
        <v>2267</v>
      </c>
      <c r="G1241" t="s">
        <v>2597</v>
      </c>
      <c r="H1241" t="n">
        <v>39.0382320612245</v>
      </c>
      <c r="I1241" t="n">
        <v>-104.294098061225</v>
      </c>
      <c r="J1241" t="s">
        <v>35</v>
      </c>
      <c r="K1241" t="s">
        <v>1041</v>
      </c>
      <c r="L1241"/>
      <c r="M1241" t="n">
        <v>1990</v>
      </c>
      <c r="N1241" t="n">
        <v>1990</v>
      </c>
      <c r="O1241" t="s">
        <v>351</v>
      </c>
      <c r="P1241" t="n">
        <v>1</v>
      </c>
      <c r="Q1241" t="n">
        <v>1</v>
      </c>
      <c r="R1241" t="n">
        <v>1</v>
      </c>
      <c r="S1241" t="n">
        <v>1977</v>
      </c>
      <c r="T1241" t="s">
        <v>2598</v>
      </c>
      <c r="U1241" t="s">
        <v>2599</v>
      </c>
      <c r="V1241" t="s">
        <v>74</v>
      </c>
      <c r="W1241"/>
      <c r="X1241"/>
      <c r="Y1241"/>
      <c r="Z1241"/>
      <c r="AA1241"/>
      <c r="AB1241"/>
      <c r="AC1241"/>
      <c r="AD1241"/>
      <c r="AE1241"/>
      <c r="AF1241"/>
      <c r="AG1241"/>
    </row>
    <row r="1242">
      <c r="A1242" t="s">
        <v>2600</v>
      </c>
      <c r="B1242" t="s">
        <v>31</v>
      </c>
      <c r="C1242" t="s">
        <v>65</v>
      </c>
      <c r="D1242" t="s">
        <v>2601</v>
      </c>
      <c r="E1242" t="s">
        <v>2272</v>
      </c>
      <c r="F1242" t="s">
        <v>2267</v>
      </c>
      <c r="G1242" t="s">
        <v>2475</v>
      </c>
      <c r="H1242" t="n">
        <v>38.79533854407</v>
      </c>
      <c r="I1242" t="n">
        <v>-104.782029313318</v>
      </c>
      <c r="J1242" t="s">
        <v>35</v>
      </c>
      <c r="K1242" t="s">
        <v>1548</v>
      </c>
      <c r="L1242"/>
      <c r="M1242" t="n">
        <v>1990</v>
      </c>
      <c r="N1242" t="n">
        <v>1990</v>
      </c>
      <c r="O1242" t="s">
        <v>351</v>
      </c>
      <c r="P1242" t="n">
        <v>1</v>
      </c>
      <c r="Q1242" t="n">
        <v>1</v>
      </c>
      <c r="R1242" t="n">
        <v>1</v>
      </c>
      <c r="S1242" t="n">
        <v>1949</v>
      </c>
      <c r="T1242" t="s">
        <v>2602</v>
      </c>
      <c r="U1242" t="s">
        <v>2603</v>
      </c>
      <c r="V1242" t="s">
        <v>74</v>
      </c>
      <c r="W1242"/>
      <c r="X1242"/>
      <c r="Y1242"/>
      <c r="Z1242"/>
      <c r="AA1242"/>
      <c r="AB1242"/>
      <c r="AC1242"/>
      <c r="AD1242"/>
      <c r="AE1242"/>
      <c r="AF1242"/>
      <c r="AG1242"/>
    </row>
    <row r="1243">
      <c r="A1243" t="s">
        <v>2604</v>
      </c>
      <c r="B1243" t="s">
        <v>31</v>
      </c>
      <c r="C1243" t="s">
        <v>65</v>
      </c>
      <c r="D1243" t="s">
        <v>2605</v>
      </c>
      <c r="E1243" t="s">
        <v>2272</v>
      </c>
      <c r="F1243" t="s">
        <v>2267</v>
      </c>
      <c r="G1243" t="s">
        <v>2475</v>
      </c>
      <c r="H1243" t="n">
        <v>38.78652</v>
      </c>
      <c r="I1243" t="n">
        <v>-104.795179</v>
      </c>
      <c r="J1243" t="s">
        <v>35</v>
      </c>
      <c r="K1243" t="s">
        <v>120</v>
      </c>
      <c r="L1243"/>
      <c r="M1243" t="n">
        <v>1990</v>
      </c>
      <c r="N1243" t="n">
        <v>1990</v>
      </c>
      <c r="O1243" t="s">
        <v>351</v>
      </c>
      <c r="P1243" t="n">
        <v>1</v>
      </c>
      <c r="Q1243" t="n">
        <v>1</v>
      </c>
      <c r="R1243" t="n">
        <v>1</v>
      </c>
      <c r="S1243" t="n">
        <v>1981</v>
      </c>
      <c r="T1243" t="s">
        <v>2606</v>
      </c>
      <c r="U1243" t="s">
        <v>2607</v>
      </c>
      <c r="V1243" t="s">
        <v>74</v>
      </c>
      <c r="W1243"/>
      <c r="X1243"/>
      <c r="Y1243"/>
      <c r="Z1243"/>
      <c r="AA1243"/>
      <c r="AB1243"/>
      <c r="AC1243"/>
      <c r="AD1243"/>
      <c r="AE1243"/>
      <c r="AF1243"/>
      <c r="AG1243"/>
    </row>
    <row r="1244">
      <c r="A1244" t="s">
        <v>2608</v>
      </c>
      <c r="B1244" t="s">
        <v>31</v>
      </c>
      <c r="C1244" t="s">
        <v>65</v>
      </c>
      <c r="D1244" t="s">
        <v>2609</v>
      </c>
      <c r="E1244" t="s">
        <v>2272</v>
      </c>
      <c r="F1244" t="s">
        <v>2267</v>
      </c>
      <c r="G1244" t="s">
        <v>2570</v>
      </c>
      <c r="H1244" t="n">
        <v>38.9277069515022</v>
      </c>
      <c r="I1244" t="n">
        <v>-104.765725102438</v>
      </c>
      <c r="J1244" t="s">
        <v>35</v>
      </c>
      <c r="K1244" t="s">
        <v>120</v>
      </c>
      <c r="L1244"/>
      <c r="M1244" t="n">
        <v>1990</v>
      </c>
      <c r="N1244" t="n">
        <v>1990</v>
      </c>
      <c r="O1244" t="s">
        <v>351</v>
      </c>
      <c r="P1244" t="n">
        <v>1</v>
      </c>
      <c r="Q1244" t="n">
        <v>1</v>
      </c>
      <c r="R1244" t="n">
        <v>1</v>
      </c>
      <c r="S1244" t="n">
        <v>1985</v>
      </c>
      <c r="T1244" t="s">
        <v>2610</v>
      </c>
      <c r="U1244" t="s">
        <v>2611</v>
      </c>
      <c r="V1244" t="s">
        <v>74</v>
      </c>
      <c r="W1244"/>
      <c r="X1244"/>
      <c r="Y1244"/>
      <c r="Z1244"/>
      <c r="AA1244"/>
      <c r="AB1244"/>
      <c r="AC1244"/>
      <c r="AD1244"/>
      <c r="AE1244"/>
      <c r="AF1244"/>
      <c r="AG1244"/>
    </row>
    <row r="1245">
      <c r="A1245" t="s">
        <v>2612</v>
      </c>
      <c r="B1245" t="s">
        <v>31</v>
      </c>
      <c r="C1245" t="s">
        <v>65</v>
      </c>
      <c r="D1245" t="s">
        <v>2613</v>
      </c>
      <c r="E1245" t="s">
        <v>2272</v>
      </c>
      <c r="F1245" t="s">
        <v>2267</v>
      </c>
      <c r="G1245" t="s">
        <v>2423</v>
      </c>
      <c r="H1245" t="n">
        <v>38.7970929492473</v>
      </c>
      <c r="I1245" t="n">
        <v>-104.773782880285</v>
      </c>
      <c r="J1245" t="s">
        <v>35</v>
      </c>
      <c r="K1245" t="s">
        <v>133</v>
      </c>
      <c r="L1245"/>
      <c r="M1245" t="n">
        <v>1990</v>
      </c>
      <c r="N1245" t="n">
        <v>1990</v>
      </c>
      <c r="O1245" t="s">
        <v>351</v>
      </c>
      <c r="P1245" t="n">
        <v>1</v>
      </c>
      <c r="Q1245" t="n">
        <v>1</v>
      </c>
      <c r="R1245" t="n">
        <v>1</v>
      </c>
      <c r="S1245" t="n">
        <v>1983</v>
      </c>
      <c r="T1245" t="s">
        <v>2614</v>
      </c>
      <c r="U1245" t="s">
        <v>2615</v>
      </c>
      <c r="V1245" t="s">
        <v>74</v>
      </c>
      <c r="W1245"/>
      <c r="X1245"/>
      <c r="Y1245"/>
      <c r="Z1245"/>
      <c r="AA1245"/>
      <c r="AB1245" t="s">
        <v>2616</v>
      </c>
      <c r="AC1245" t="n">
        <v>214</v>
      </c>
      <c r="AD1245"/>
      <c r="AE1245"/>
      <c r="AF1245"/>
      <c r="AG1245"/>
    </row>
    <row r="1246">
      <c r="A1246" t="s">
        <v>2617</v>
      </c>
      <c r="B1246" t="s">
        <v>31</v>
      </c>
      <c r="C1246" t="s">
        <v>65</v>
      </c>
      <c r="D1246" t="s">
        <v>2618</v>
      </c>
      <c r="E1246" t="s">
        <v>2272</v>
      </c>
      <c r="F1246" t="s">
        <v>2267</v>
      </c>
      <c r="G1246" t="s">
        <v>2273</v>
      </c>
      <c r="H1246" t="n">
        <v>38.8385299747799</v>
      </c>
      <c r="I1246" t="n">
        <v>-104.791381984745</v>
      </c>
      <c r="J1246" t="s">
        <v>35</v>
      </c>
      <c r="K1246" t="s">
        <v>315</v>
      </c>
      <c r="L1246"/>
      <c r="M1246" t="n">
        <v>1990</v>
      </c>
      <c r="N1246" t="n">
        <v>1990</v>
      </c>
      <c r="O1246" t="s">
        <v>351</v>
      </c>
      <c r="P1246" t="n">
        <v>1</v>
      </c>
      <c r="Q1246" t="n">
        <v>1</v>
      </c>
      <c r="R1246" t="n">
        <v>1</v>
      </c>
      <c r="S1246" t="n">
        <v>1976</v>
      </c>
      <c r="T1246" t="s">
        <v>2619</v>
      </c>
      <c r="U1246" t="s">
        <v>2620</v>
      </c>
      <c r="V1246" t="s">
        <v>74</v>
      </c>
      <c r="W1246"/>
      <c r="X1246"/>
      <c r="Y1246"/>
      <c r="Z1246"/>
      <c r="AA1246"/>
      <c r="AB1246"/>
      <c r="AC1246"/>
      <c r="AD1246"/>
      <c r="AE1246"/>
      <c r="AF1246" t="s">
        <v>2621</v>
      </c>
      <c r="AG1246" t="n">
        <v>69</v>
      </c>
    </row>
    <row r="1247">
      <c r="A1247" t="s">
        <v>2622</v>
      </c>
      <c r="B1247" t="s">
        <v>31</v>
      </c>
      <c r="C1247" t="s">
        <v>65</v>
      </c>
      <c r="D1247" t="s">
        <v>2623</v>
      </c>
      <c r="E1247" t="s">
        <v>2272</v>
      </c>
      <c r="F1247" t="s">
        <v>2267</v>
      </c>
      <c r="G1247" t="s">
        <v>2444</v>
      </c>
      <c r="H1247" t="n">
        <v>38.8488232718868</v>
      </c>
      <c r="I1247" t="n">
        <v>-104.713812664133</v>
      </c>
      <c r="J1247" t="s">
        <v>35</v>
      </c>
      <c r="K1247" t="s">
        <v>120</v>
      </c>
      <c r="L1247"/>
      <c r="M1247" t="n">
        <v>1990</v>
      </c>
      <c r="N1247" t="n">
        <v>1990</v>
      </c>
      <c r="O1247" t="s">
        <v>351</v>
      </c>
      <c r="P1247" t="n">
        <v>1</v>
      </c>
      <c r="Q1247" t="n">
        <v>1</v>
      </c>
      <c r="R1247" t="n">
        <v>1</v>
      </c>
      <c r="S1247" t="n">
        <v>1981</v>
      </c>
      <c r="T1247" t="s">
        <v>2624</v>
      </c>
      <c r="U1247" t="s">
        <v>2625</v>
      </c>
      <c r="V1247" t="s">
        <v>74</v>
      </c>
      <c r="W1247"/>
      <c r="X1247"/>
      <c r="Y1247"/>
      <c r="Z1247"/>
      <c r="AA1247"/>
      <c r="AB1247"/>
      <c r="AC1247"/>
      <c r="AD1247"/>
      <c r="AE1247"/>
      <c r="AF1247" t="s">
        <v>2626</v>
      </c>
      <c r="AG1247" t="n">
        <v>84</v>
      </c>
    </row>
    <row r="1248">
      <c r="A1248" t="s">
        <v>2627</v>
      </c>
      <c r="B1248" t="s">
        <v>31</v>
      </c>
      <c r="C1248" t="s">
        <v>65</v>
      </c>
      <c r="D1248" t="s">
        <v>2628</v>
      </c>
      <c r="E1248" t="s">
        <v>2272</v>
      </c>
      <c r="F1248" t="s">
        <v>2267</v>
      </c>
      <c r="G1248" t="s">
        <v>2444</v>
      </c>
      <c r="H1248" t="n">
        <v>38.8631065454545</v>
      </c>
      <c r="I1248" t="n">
        <v>-104.720246383838</v>
      </c>
      <c r="J1248" t="s">
        <v>35</v>
      </c>
      <c r="K1248" t="s">
        <v>120</v>
      </c>
      <c r="L1248"/>
      <c r="M1248" t="n">
        <v>1992</v>
      </c>
      <c r="N1248" t="n">
        <v>1992</v>
      </c>
      <c r="O1248" t="s">
        <v>1016</v>
      </c>
      <c r="P1248" t="n">
        <v>1</v>
      </c>
      <c r="Q1248" t="n">
        <v>1</v>
      </c>
      <c r="R1248" t="n">
        <v>1</v>
      </c>
      <c r="S1248"/>
      <c r="T1248" t="s">
        <v>2629</v>
      </c>
      <c r="U1248" t="s">
        <v>2630</v>
      </c>
      <c r="V1248" t="s">
        <v>74</v>
      </c>
      <c r="W1248"/>
      <c r="X1248"/>
      <c r="Y1248"/>
      <c r="Z1248"/>
      <c r="AA1248"/>
      <c r="AB1248"/>
      <c r="AC1248"/>
      <c r="AD1248"/>
      <c r="AE1248"/>
      <c r="AF1248" t="s">
        <v>2631</v>
      </c>
      <c r="AG1248" t="n">
        <v>96</v>
      </c>
    </row>
    <row r="1249">
      <c r="A1249" t="s">
        <v>2632</v>
      </c>
      <c r="B1249" t="s">
        <v>31</v>
      </c>
      <c r="C1249" t="s">
        <v>65</v>
      </c>
      <c r="D1249" t="s">
        <v>2633</v>
      </c>
      <c r="E1249" t="s">
        <v>2272</v>
      </c>
      <c r="F1249" t="s">
        <v>2267</v>
      </c>
      <c r="G1249" t="s">
        <v>2326</v>
      </c>
      <c r="H1249" t="n">
        <v>38.8443387027523</v>
      </c>
      <c r="I1249" t="n">
        <v>-104.865544059841</v>
      </c>
      <c r="J1249" t="s">
        <v>35</v>
      </c>
      <c r="K1249" t="s">
        <v>70</v>
      </c>
      <c r="L1249"/>
      <c r="M1249" t="n">
        <v>1992</v>
      </c>
      <c r="N1249" t="n">
        <v>1992</v>
      </c>
      <c r="O1249" t="s">
        <v>1016</v>
      </c>
      <c r="P1249" t="n">
        <v>1</v>
      </c>
      <c r="Q1249" t="n">
        <v>1</v>
      </c>
      <c r="R1249" t="n">
        <v>1</v>
      </c>
      <c r="S1249" t="n">
        <v>1989</v>
      </c>
      <c r="T1249" t="s">
        <v>2634</v>
      </c>
      <c r="U1249" t="s">
        <v>2635</v>
      </c>
      <c r="V1249" t="s">
        <v>74</v>
      </c>
      <c r="W1249"/>
      <c r="X1249"/>
      <c r="Y1249"/>
      <c r="Z1249"/>
      <c r="AA1249"/>
      <c r="AB1249"/>
      <c r="AC1249"/>
      <c r="AD1249"/>
      <c r="AE1249"/>
      <c r="AF1249" t="s">
        <v>2636</v>
      </c>
      <c r="AG1249" t="n">
        <v>130</v>
      </c>
    </row>
    <row r="1250">
      <c r="A1250" t="s">
        <v>2637</v>
      </c>
      <c r="B1250" t="s">
        <v>31</v>
      </c>
      <c r="C1250" t="s">
        <v>65</v>
      </c>
      <c r="D1250" t="s">
        <v>2638</v>
      </c>
      <c r="E1250" t="s">
        <v>2639</v>
      </c>
      <c r="F1250" t="s">
        <v>2640</v>
      </c>
      <c r="G1250" t="s">
        <v>2641</v>
      </c>
      <c r="H1250" t="n">
        <v>38.4446122805744</v>
      </c>
      <c r="I1250" t="n">
        <v>-105.243539756597</v>
      </c>
      <c r="J1250" t="s">
        <v>35</v>
      </c>
      <c r="K1250" t="s">
        <v>70</v>
      </c>
      <c r="L1250"/>
      <c r="M1250" t="n">
        <v>1977</v>
      </c>
      <c r="N1250" t="n">
        <v>1977</v>
      </c>
      <c r="O1250" t="s">
        <v>228</v>
      </c>
      <c r="P1250" t="n">
        <v>1</v>
      </c>
      <c r="Q1250" t="n">
        <v>1</v>
      </c>
      <c r="R1250" t="n">
        <v>1</v>
      </c>
      <c r="S1250" t="n">
        <v>1976</v>
      </c>
      <c r="T1250" t="s">
        <v>2642</v>
      </c>
      <c r="U1250" t="s">
        <v>2643</v>
      </c>
      <c r="V1250" t="s">
        <v>74</v>
      </c>
      <c r="W1250"/>
      <c r="X1250"/>
      <c r="Y1250"/>
      <c r="Z1250"/>
      <c r="AA1250"/>
      <c r="AB1250"/>
      <c r="AC1250"/>
      <c r="AD1250"/>
      <c r="AE1250"/>
      <c r="AF1250"/>
      <c r="AG1250"/>
    </row>
    <row r="1251">
      <c r="A1251" t="s">
        <v>2644</v>
      </c>
      <c r="B1251" t="s">
        <v>31</v>
      </c>
      <c r="C1251" t="s">
        <v>65</v>
      </c>
      <c r="D1251" t="s">
        <v>2645</v>
      </c>
      <c r="E1251" t="s">
        <v>2646</v>
      </c>
      <c r="F1251" t="s">
        <v>2640</v>
      </c>
      <c r="G1251" t="s">
        <v>2647</v>
      </c>
      <c r="H1251" t="n">
        <v>38.389853176014</v>
      </c>
      <c r="I1251" t="n">
        <v>-105.11772098481</v>
      </c>
      <c r="J1251" t="s">
        <v>35</v>
      </c>
      <c r="K1251" t="s">
        <v>89</v>
      </c>
      <c r="L1251"/>
      <c r="M1251" t="n">
        <v>1977</v>
      </c>
      <c r="N1251" t="n">
        <v>1980</v>
      </c>
      <c r="O1251" t="s">
        <v>228</v>
      </c>
      <c r="P1251" t="n">
        <v>2</v>
      </c>
      <c r="Q1251" t="n">
        <v>2</v>
      </c>
      <c r="R1251" t="n">
        <v>1</v>
      </c>
      <c r="S1251" t="n">
        <v>1975</v>
      </c>
      <c r="T1251" t="s">
        <v>2648</v>
      </c>
      <c r="U1251" t="s">
        <v>2649</v>
      </c>
      <c r="V1251" t="s">
        <v>74</v>
      </c>
      <c r="W1251"/>
      <c r="X1251"/>
      <c r="Y1251"/>
      <c r="Z1251"/>
      <c r="AA1251"/>
      <c r="AB1251" t="s">
        <v>2650</v>
      </c>
      <c r="AC1251" t="n">
        <v>128</v>
      </c>
      <c r="AD1251"/>
      <c r="AE1251"/>
      <c r="AF1251" t="s">
        <v>2651</v>
      </c>
      <c r="AG1251" t="n">
        <v>76</v>
      </c>
    </row>
    <row r="1252">
      <c r="A1252" t="s">
        <v>2652</v>
      </c>
      <c r="B1252" t="s">
        <v>31</v>
      </c>
      <c r="C1252" t="s">
        <v>65</v>
      </c>
      <c r="D1252" t="s">
        <v>2653</v>
      </c>
      <c r="E1252" t="s">
        <v>2639</v>
      </c>
      <c r="F1252" t="s">
        <v>2640</v>
      </c>
      <c r="G1252" t="s">
        <v>2641</v>
      </c>
      <c r="H1252" t="n">
        <v>38.4721943254219</v>
      </c>
      <c r="I1252" t="n">
        <v>-105.23128545077</v>
      </c>
      <c r="J1252" t="s">
        <v>35</v>
      </c>
      <c r="K1252" t="s">
        <v>220</v>
      </c>
      <c r="L1252"/>
      <c r="M1252" t="n">
        <v>1983</v>
      </c>
      <c r="N1252" t="n">
        <v>1983</v>
      </c>
      <c r="O1252" t="s">
        <v>264</v>
      </c>
      <c r="P1252" t="n">
        <v>1</v>
      </c>
      <c r="Q1252" t="n">
        <v>1</v>
      </c>
      <c r="R1252" t="n">
        <v>1</v>
      </c>
      <c r="S1252" t="n">
        <v>1976</v>
      </c>
      <c r="T1252" t="s">
        <v>2654</v>
      </c>
      <c r="U1252" t="s">
        <v>2655</v>
      </c>
      <c r="V1252" t="s">
        <v>74</v>
      </c>
      <c r="W1252"/>
      <c r="X1252"/>
      <c r="Y1252"/>
      <c r="Z1252"/>
      <c r="AA1252"/>
      <c r="AB1252"/>
      <c r="AC1252"/>
      <c r="AD1252"/>
      <c r="AE1252"/>
      <c r="AF1252"/>
      <c r="AG1252"/>
    </row>
    <row r="1253">
      <c r="A1253" t="s">
        <v>2656</v>
      </c>
      <c r="B1253" t="s">
        <v>31</v>
      </c>
      <c r="C1253" t="s">
        <v>65</v>
      </c>
      <c r="D1253" t="s">
        <v>2657</v>
      </c>
      <c r="E1253" t="s">
        <v>2639</v>
      </c>
      <c r="F1253" t="s">
        <v>2640</v>
      </c>
      <c r="G1253" t="s">
        <v>2641</v>
      </c>
      <c r="H1253" t="n">
        <v>38.43309</v>
      </c>
      <c r="I1253" t="n">
        <v>-105.236078571429</v>
      </c>
      <c r="J1253" t="s">
        <v>35</v>
      </c>
      <c r="K1253" t="s">
        <v>70</v>
      </c>
      <c r="L1253"/>
      <c r="M1253" t="n">
        <v>1983</v>
      </c>
      <c r="N1253" t="n">
        <v>1990</v>
      </c>
      <c r="O1253" t="s">
        <v>271</v>
      </c>
      <c r="P1253" t="n">
        <v>3</v>
      </c>
      <c r="Q1253" t="n">
        <v>1</v>
      </c>
      <c r="R1253" t="n">
        <v>1</v>
      </c>
      <c r="S1253" t="n">
        <v>1955</v>
      </c>
      <c r="T1253" t="s">
        <v>2658</v>
      </c>
      <c r="U1253" t="s">
        <v>2659</v>
      </c>
      <c r="V1253" t="s">
        <v>74</v>
      </c>
      <c r="W1253"/>
      <c r="X1253"/>
      <c r="Y1253"/>
      <c r="Z1253"/>
      <c r="AA1253"/>
      <c r="AB1253"/>
      <c r="AC1253"/>
      <c r="AD1253"/>
      <c r="AE1253"/>
      <c r="AF1253"/>
      <c r="AG1253"/>
    </row>
    <row r="1254">
      <c r="A1254" t="s">
        <v>2660</v>
      </c>
      <c r="B1254" t="s">
        <v>31</v>
      </c>
      <c r="C1254" t="s">
        <v>65</v>
      </c>
      <c r="D1254" t="s">
        <v>2661</v>
      </c>
      <c r="E1254" t="s">
        <v>2639</v>
      </c>
      <c r="F1254" t="s">
        <v>2640</v>
      </c>
      <c r="G1254" t="s">
        <v>2641</v>
      </c>
      <c r="H1254" t="n">
        <v>38.4298512087912</v>
      </c>
      <c r="I1254" t="n">
        <v>-105.226982747253</v>
      </c>
      <c r="J1254" t="s">
        <v>35</v>
      </c>
      <c r="K1254" t="s">
        <v>120</v>
      </c>
      <c r="L1254"/>
      <c r="M1254" t="n">
        <v>1990</v>
      </c>
      <c r="N1254" t="n">
        <v>1992</v>
      </c>
      <c r="O1254" t="s">
        <v>1016</v>
      </c>
      <c r="P1254" t="n">
        <v>2</v>
      </c>
      <c r="Q1254" t="n">
        <v>2</v>
      </c>
      <c r="R1254" t="n">
        <v>1</v>
      </c>
      <c r="S1254" t="n">
        <v>1989</v>
      </c>
      <c r="T1254" t="s">
        <v>2662</v>
      </c>
      <c r="U1254" t="s">
        <v>2663</v>
      </c>
      <c r="V1254" t="s">
        <v>74</v>
      </c>
      <c r="W1254"/>
      <c r="X1254"/>
      <c r="Y1254"/>
      <c r="Z1254"/>
      <c r="AA1254"/>
      <c r="AB1254"/>
      <c r="AC1254"/>
      <c r="AD1254"/>
      <c r="AE1254"/>
      <c r="AF1254"/>
      <c r="AG1254"/>
    </row>
    <row r="1255">
      <c r="A1255" t="s">
        <v>2664</v>
      </c>
      <c r="B1255" t="s">
        <v>31</v>
      </c>
      <c r="C1255" t="s">
        <v>65</v>
      </c>
      <c r="D1255" t="s">
        <v>2665</v>
      </c>
      <c r="E1255" t="s">
        <v>2666</v>
      </c>
      <c r="F1255" t="s">
        <v>2667</v>
      </c>
      <c r="G1255" t="s">
        <v>2668</v>
      </c>
      <c r="H1255" t="n">
        <v>39.5476718532722</v>
      </c>
      <c r="I1255" t="n">
        <v>-107.324680947189</v>
      </c>
      <c r="J1255" t="s">
        <v>35</v>
      </c>
      <c r="K1255" t="s">
        <v>120</v>
      </c>
      <c r="L1255"/>
      <c r="M1255" t="n">
        <v>1967</v>
      </c>
      <c r="N1255" t="n">
        <v>1983</v>
      </c>
      <c r="O1255" t="s">
        <v>388</v>
      </c>
      <c r="P1255" t="n">
        <v>4</v>
      </c>
      <c r="Q1255" t="n">
        <v>4</v>
      </c>
      <c r="R1255" t="n">
        <v>1</v>
      </c>
      <c r="S1255" t="n">
        <v>1937</v>
      </c>
      <c r="T1255" t="s">
        <v>2669</v>
      </c>
      <c r="U1255" t="s">
        <v>2670</v>
      </c>
      <c r="V1255" t="s">
        <v>74</v>
      </c>
      <c r="W1255"/>
      <c r="X1255"/>
      <c r="Y1255"/>
      <c r="Z1255"/>
      <c r="AA1255"/>
      <c r="AB1255" t="s">
        <v>2671</v>
      </c>
      <c r="AC1255" t="n">
        <v>89</v>
      </c>
      <c r="AD1255"/>
      <c r="AE1255"/>
      <c r="AF1255" t="s">
        <v>2672</v>
      </c>
      <c r="AG1255" t="n">
        <v>156</v>
      </c>
    </row>
    <row r="1256">
      <c r="A1256" t="s">
        <v>4625</v>
      </c>
      <c r="B1256" t="s">
        <v>31</v>
      </c>
      <c r="C1256" t="s">
        <v>24</v>
      </c>
      <c r="D1256" t="s">
        <v>4626</v>
      </c>
      <c r="E1256" t="s">
        <v>4627</v>
      </c>
      <c r="F1256" t="s">
        <v>2667</v>
      </c>
      <c r="G1256" t="s">
        <v>4628</v>
      </c>
      <c r="H1256" t="n">
        <v>39.547026</v>
      </c>
      <c r="I1256" t="n">
        <v>-107.659095</v>
      </c>
      <c r="J1256" t="s">
        <v>4109</v>
      </c>
      <c r="K1256" t="s">
        <v>70</v>
      </c>
      <c r="L1256"/>
      <c r="M1256" t="n">
        <v>1974</v>
      </c>
      <c r="N1256" t="n">
        <v>1990</v>
      </c>
      <c r="O1256" t="s">
        <v>264</v>
      </c>
      <c r="P1256" t="n">
        <v>4</v>
      </c>
      <c r="Q1256" t="n">
        <v>3</v>
      </c>
      <c r="R1256" t="n">
        <v>1</v>
      </c>
      <c r="S1256" t="n">
        <v>1973</v>
      </c>
      <c r="T1256" t="s">
        <v>4629</v>
      </c>
      <c r="U1256" t="s">
        <v>4630</v>
      </c>
      <c r="V1256" t="s">
        <v>74</v>
      </c>
      <c r="W1256"/>
      <c r="X1256"/>
      <c r="Y1256"/>
      <c r="Z1256"/>
      <c r="AA1256"/>
      <c r="AB1256"/>
      <c r="AC1256"/>
      <c r="AD1256"/>
      <c r="AE1256"/>
      <c r="AF1256"/>
      <c r="AG1256"/>
    </row>
    <row r="1257">
      <c r="A1257" t="s">
        <v>2673</v>
      </c>
      <c r="B1257" t="s">
        <v>31</v>
      </c>
      <c r="C1257" t="s">
        <v>65</v>
      </c>
      <c r="D1257" t="s">
        <v>2674</v>
      </c>
      <c r="E1257" t="s">
        <v>2675</v>
      </c>
      <c r="F1257" t="s">
        <v>2667</v>
      </c>
      <c r="G1257" t="s">
        <v>2676</v>
      </c>
      <c r="H1257" t="n">
        <v>39.5556548701089</v>
      </c>
      <c r="I1257" t="n">
        <v>-107.775742264884</v>
      </c>
      <c r="J1257" t="s">
        <v>35</v>
      </c>
      <c r="K1257" t="s">
        <v>89</v>
      </c>
      <c r="L1257"/>
      <c r="M1257" t="n">
        <v>1980</v>
      </c>
      <c r="N1257" t="n">
        <v>1980</v>
      </c>
      <c r="O1257" t="s">
        <v>255</v>
      </c>
      <c r="P1257" t="n">
        <v>1</v>
      </c>
      <c r="Q1257" t="n">
        <v>1</v>
      </c>
      <c r="R1257" t="n">
        <v>1</v>
      </c>
      <c r="S1257" t="n">
        <v>1975</v>
      </c>
      <c r="T1257" t="s">
        <v>2677</v>
      </c>
      <c r="U1257" t="s">
        <v>2678</v>
      </c>
      <c r="V1257" t="s">
        <v>74</v>
      </c>
      <c r="W1257"/>
      <c r="X1257"/>
      <c r="Y1257"/>
      <c r="Z1257"/>
      <c r="AA1257"/>
      <c r="AB1257"/>
      <c r="AC1257"/>
      <c r="AD1257"/>
      <c r="AE1257"/>
      <c r="AF1257" t="s">
        <v>2679</v>
      </c>
      <c r="AG1257" t="n">
        <v>195</v>
      </c>
    </row>
    <row r="1258">
      <c r="A1258" t="s">
        <v>4631</v>
      </c>
      <c r="B1258" t="s">
        <v>31</v>
      </c>
      <c r="C1258" t="s">
        <v>24</v>
      </c>
      <c r="D1258" t="s">
        <v>4632</v>
      </c>
      <c r="E1258" t="s">
        <v>4633</v>
      </c>
      <c r="F1258" t="s">
        <v>4634</v>
      </c>
      <c r="G1258" t="s">
        <v>4635</v>
      </c>
      <c r="H1258" t="n">
        <v>40.108915</v>
      </c>
      <c r="I1258" t="n">
        <v>-105.895028</v>
      </c>
      <c r="J1258" t="s">
        <v>4109</v>
      </c>
      <c r="K1258" t="s">
        <v>282</v>
      </c>
      <c r="L1258" t="s">
        <v>98</v>
      </c>
      <c r="M1258" t="n">
        <v>1988</v>
      </c>
      <c r="N1258" t="n">
        <v>1990</v>
      </c>
      <c r="O1258" t="s">
        <v>310</v>
      </c>
      <c r="P1258" t="n">
        <v>2</v>
      </c>
      <c r="Q1258" t="n">
        <v>1</v>
      </c>
      <c r="R1258" t="n">
        <v>1</v>
      </c>
      <c r="S1258" t="n">
        <v>1967</v>
      </c>
      <c r="T1258" t="s">
        <v>4636</v>
      </c>
      <c r="U1258" t="s">
        <v>4637</v>
      </c>
      <c r="V1258" t="s">
        <v>74</v>
      </c>
      <c r="W1258"/>
      <c r="X1258"/>
      <c r="Y1258"/>
      <c r="Z1258"/>
      <c r="AA1258"/>
      <c r="AB1258"/>
      <c r="AC1258"/>
      <c r="AD1258"/>
      <c r="AE1258"/>
      <c r="AF1258"/>
      <c r="AG1258"/>
    </row>
    <row r="1259">
      <c r="A1259" t="s">
        <v>2680</v>
      </c>
      <c r="B1259" t="s">
        <v>31</v>
      </c>
      <c r="C1259" t="s">
        <v>65</v>
      </c>
      <c r="D1259" t="s">
        <v>2681</v>
      </c>
      <c r="E1259" t="s">
        <v>2682</v>
      </c>
      <c r="F1259" t="s">
        <v>2683</v>
      </c>
      <c r="G1259" t="s">
        <v>2684</v>
      </c>
      <c r="H1259" t="n">
        <v>38.546636</v>
      </c>
      <c r="I1259" t="n">
        <v>-106.921749</v>
      </c>
      <c r="J1259" t="s">
        <v>35</v>
      </c>
      <c r="K1259" t="s">
        <v>70</v>
      </c>
      <c r="L1259"/>
      <c r="M1259" t="n">
        <v>1973</v>
      </c>
      <c r="N1259" t="n">
        <v>1980</v>
      </c>
      <c r="O1259" t="s">
        <v>112</v>
      </c>
      <c r="P1259" t="n">
        <v>4</v>
      </c>
      <c r="Q1259" t="n">
        <v>1</v>
      </c>
      <c r="R1259" t="n">
        <v>1</v>
      </c>
      <c r="S1259" t="n">
        <v>1944</v>
      </c>
      <c r="T1259" t="s">
        <v>2685</v>
      </c>
      <c r="U1259" t="s">
        <v>2686</v>
      </c>
      <c r="V1259" t="s">
        <v>74</v>
      </c>
      <c r="W1259"/>
      <c r="X1259"/>
      <c r="Y1259"/>
      <c r="Z1259"/>
      <c r="AA1259"/>
      <c r="AB1259"/>
      <c r="AC1259"/>
      <c r="AD1259"/>
      <c r="AE1259"/>
      <c r="AF1259"/>
      <c r="AG1259"/>
    </row>
    <row r="1260">
      <c r="A1260" t="s">
        <v>2687</v>
      </c>
      <c r="B1260" t="s">
        <v>31</v>
      </c>
      <c r="C1260" t="s">
        <v>65</v>
      </c>
      <c r="D1260" t="s">
        <v>2688</v>
      </c>
      <c r="E1260" t="s">
        <v>2682</v>
      </c>
      <c r="F1260" t="s">
        <v>2683</v>
      </c>
      <c r="G1260" t="s">
        <v>2684</v>
      </c>
      <c r="H1260" t="n">
        <v>38.5467704473137</v>
      </c>
      <c r="I1260" t="n">
        <v>-106.924330772171</v>
      </c>
      <c r="J1260" t="s">
        <v>35</v>
      </c>
      <c r="K1260" t="s">
        <v>70</v>
      </c>
      <c r="L1260"/>
      <c r="M1260" t="n">
        <v>1973</v>
      </c>
      <c r="N1260" t="n">
        <v>1973</v>
      </c>
      <c r="O1260" t="s">
        <v>121</v>
      </c>
      <c r="P1260" t="n">
        <v>1</v>
      </c>
      <c r="Q1260" t="n">
        <v>1</v>
      </c>
      <c r="R1260" t="n">
        <v>1</v>
      </c>
      <c r="S1260" t="n">
        <v>1958</v>
      </c>
      <c r="T1260" t="s">
        <v>2689</v>
      </c>
      <c r="U1260" t="s">
        <v>2690</v>
      </c>
      <c r="V1260" t="s">
        <v>74</v>
      </c>
      <c r="W1260"/>
      <c r="X1260"/>
      <c r="Y1260"/>
      <c r="Z1260"/>
      <c r="AA1260"/>
      <c r="AB1260"/>
      <c r="AC1260"/>
      <c r="AD1260"/>
      <c r="AE1260"/>
      <c r="AF1260" t="s">
        <v>2691</v>
      </c>
      <c r="AG1260" t="n">
        <v>140</v>
      </c>
    </row>
    <row r="1261">
      <c r="A1261" t="s">
        <v>4638</v>
      </c>
      <c r="B1261" t="s">
        <v>31</v>
      </c>
      <c r="C1261" t="s">
        <v>24</v>
      </c>
      <c r="D1261" t="s">
        <v>4639</v>
      </c>
      <c r="E1261" t="s">
        <v>2682</v>
      </c>
      <c r="F1261" t="s">
        <v>2683</v>
      </c>
      <c r="G1261" t="s">
        <v>2684</v>
      </c>
      <c r="H1261" t="n">
        <v>38.6087223478343</v>
      </c>
      <c r="I1261" t="n">
        <v>-106.945935051268</v>
      </c>
      <c r="J1261" t="s">
        <v>4109</v>
      </c>
      <c r="K1261" t="s">
        <v>70</v>
      </c>
      <c r="L1261"/>
      <c r="M1261" t="n">
        <v>1977</v>
      </c>
      <c r="N1261" t="n">
        <v>1977</v>
      </c>
      <c r="O1261" t="s">
        <v>228</v>
      </c>
      <c r="P1261" t="n">
        <v>1</v>
      </c>
      <c r="Q1261" t="n">
        <v>1</v>
      </c>
      <c r="R1261" t="n">
        <v>1</v>
      </c>
      <c r="S1261" t="n">
        <v>1977</v>
      </c>
      <c r="T1261" t="s">
        <v>4640</v>
      </c>
      <c r="U1261" t="s">
        <v>4641</v>
      </c>
      <c r="V1261" t="s">
        <v>74</v>
      </c>
      <c r="W1261"/>
      <c r="X1261"/>
      <c r="Y1261"/>
      <c r="Z1261"/>
      <c r="AA1261"/>
      <c r="AB1261"/>
      <c r="AC1261"/>
      <c r="AD1261"/>
      <c r="AE1261"/>
      <c r="AF1261"/>
      <c r="AG1261"/>
    </row>
    <row r="1262">
      <c r="A1262" t="s">
        <v>2692</v>
      </c>
      <c r="B1262" t="s">
        <v>31</v>
      </c>
      <c r="C1262" t="s">
        <v>65</v>
      </c>
      <c r="D1262" t="s">
        <v>2693</v>
      </c>
      <c r="E1262" t="s">
        <v>2694</v>
      </c>
      <c r="F1262" t="s">
        <v>2683</v>
      </c>
      <c r="G1262" t="s">
        <v>2695</v>
      </c>
      <c r="H1262" t="n">
        <v>38.8670372962618</v>
      </c>
      <c r="I1262" t="n">
        <v>-106.985409119588</v>
      </c>
      <c r="J1262" t="s">
        <v>35</v>
      </c>
      <c r="K1262" t="s">
        <v>141</v>
      </c>
      <c r="L1262"/>
      <c r="M1262" t="n">
        <v>1980</v>
      </c>
      <c r="N1262" t="n">
        <v>1992</v>
      </c>
      <c r="O1262" t="s">
        <v>528</v>
      </c>
      <c r="P1262" t="n">
        <v>5</v>
      </c>
      <c r="Q1262" t="n">
        <v>3</v>
      </c>
      <c r="R1262" t="n">
        <v>1</v>
      </c>
      <c r="S1262" t="n">
        <v>1977</v>
      </c>
      <c r="T1262" t="s">
        <v>2696</v>
      </c>
      <c r="U1262" t="s">
        <v>2697</v>
      </c>
      <c r="V1262" t="s">
        <v>74</v>
      </c>
      <c r="W1262"/>
      <c r="X1262"/>
      <c r="Y1262"/>
      <c r="Z1262"/>
      <c r="AA1262"/>
      <c r="AB1262"/>
      <c r="AC1262"/>
      <c r="AD1262"/>
      <c r="AE1262"/>
      <c r="AF1262"/>
      <c r="AG1262"/>
    </row>
    <row r="1263">
      <c r="A1263" t="s">
        <v>2698</v>
      </c>
      <c r="B1263" t="s">
        <v>31</v>
      </c>
      <c r="C1263" t="s">
        <v>65</v>
      </c>
      <c r="D1263" t="s">
        <v>2699</v>
      </c>
      <c r="E1263" t="s">
        <v>2682</v>
      </c>
      <c r="F1263" t="s">
        <v>2683</v>
      </c>
      <c r="G1263" t="s">
        <v>2684</v>
      </c>
      <c r="H1263" t="n">
        <v>38.5421208990599</v>
      </c>
      <c r="I1263" t="n">
        <v>-106.932099326843</v>
      </c>
      <c r="J1263" t="s">
        <v>35</v>
      </c>
      <c r="K1263" t="s">
        <v>70</v>
      </c>
      <c r="L1263"/>
      <c r="M1263" t="n">
        <v>1980</v>
      </c>
      <c r="N1263" t="n">
        <v>1990</v>
      </c>
      <c r="O1263" t="s">
        <v>351</v>
      </c>
      <c r="P1263" t="n">
        <v>3</v>
      </c>
      <c r="Q1263" t="n">
        <v>1</v>
      </c>
      <c r="R1263" t="n">
        <v>1</v>
      </c>
      <c r="S1263" t="n">
        <v>1968</v>
      </c>
      <c r="T1263" t="s">
        <v>2700</v>
      </c>
      <c r="U1263" t="s">
        <v>2701</v>
      </c>
      <c r="V1263" t="s">
        <v>74</v>
      </c>
      <c r="W1263"/>
      <c r="X1263"/>
      <c r="Y1263"/>
      <c r="Z1263"/>
      <c r="AA1263"/>
      <c r="AB1263"/>
      <c r="AC1263"/>
      <c r="AD1263"/>
      <c r="AE1263"/>
      <c r="AF1263" t="s">
        <v>2702</v>
      </c>
      <c r="AG1263" t="n">
        <v>139</v>
      </c>
    </row>
    <row r="1264">
      <c r="A1264" t="s">
        <v>2703</v>
      </c>
      <c r="B1264" t="s">
        <v>31</v>
      </c>
      <c r="C1264" t="s">
        <v>65</v>
      </c>
      <c r="D1264" t="s">
        <v>2704</v>
      </c>
      <c r="E1264" t="s">
        <v>2694</v>
      </c>
      <c r="F1264" t="s">
        <v>2683</v>
      </c>
      <c r="G1264" t="s">
        <v>2695</v>
      </c>
      <c r="H1264" t="n">
        <v>38.868385</v>
      </c>
      <c r="I1264" t="n">
        <v>-106.982551</v>
      </c>
      <c r="J1264" t="s">
        <v>35</v>
      </c>
      <c r="K1264" t="s">
        <v>141</v>
      </c>
      <c r="L1264"/>
      <c r="M1264" t="n">
        <v>1983</v>
      </c>
      <c r="N1264" t="n">
        <v>1983</v>
      </c>
      <c r="O1264" t="s">
        <v>264</v>
      </c>
      <c r="P1264" t="n">
        <v>1</v>
      </c>
      <c r="Q1264" t="n">
        <v>1</v>
      </c>
      <c r="R1264" t="n">
        <v>1</v>
      </c>
      <c r="S1264" t="n">
        <v>1979</v>
      </c>
      <c r="T1264" t="s">
        <v>2705</v>
      </c>
      <c r="U1264" t="s">
        <v>2706</v>
      </c>
      <c r="V1264" t="s">
        <v>74</v>
      </c>
      <c r="W1264"/>
      <c r="X1264"/>
      <c r="Y1264"/>
      <c r="Z1264"/>
      <c r="AA1264"/>
      <c r="AB1264" t="s">
        <v>2707</v>
      </c>
      <c r="AC1264" t="n">
        <v>125</v>
      </c>
      <c r="AD1264"/>
      <c r="AE1264"/>
      <c r="AF1264"/>
      <c r="AG1264"/>
    </row>
    <row r="1265">
      <c r="A1265" t="s">
        <v>4642</v>
      </c>
      <c r="B1265" t="s">
        <v>31</v>
      </c>
      <c r="C1265" t="s">
        <v>24</v>
      </c>
      <c r="D1265" t="s">
        <v>4643</v>
      </c>
      <c r="E1265" t="s">
        <v>2710</v>
      </c>
      <c r="F1265" t="s">
        <v>2711</v>
      </c>
      <c r="G1265" t="s">
        <v>2712</v>
      </c>
      <c r="H1265" t="n">
        <v>37.6250454551046</v>
      </c>
      <c r="I1265" t="n">
        <v>-104.783556148831</v>
      </c>
      <c r="J1265" t="s">
        <v>35</v>
      </c>
      <c r="K1265" t="s">
        <v>120</v>
      </c>
      <c r="L1265"/>
      <c r="M1265" t="n">
        <v>1966</v>
      </c>
      <c r="N1265" t="n">
        <v>1973</v>
      </c>
      <c r="O1265" t="s">
        <v>1349</v>
      </c>
      <c r="P1265" t="n">
        <v>4</v>
      </c>
      <c r="Q1265" t="n">
        <v>2</v>
      </c>
      <c r="R1265" t="n">
        <v>1</v>
      </c>
      <c r="S1265" t="n">
        <v>1915</v>
      </c>
      <c r="T1265" t="s">
        <v>4644</v>
      </c>
      <c r="U1265" t="s">
        <v>4645</v>
      </c>
      <c r="V1265" t="s">
        <v>4175</v>
      </c>
      <c r="W1265"/>
      <c r="X1265"/>
      <c r="Y1265"/>
      <c r="Z1265"/>
      <c r="AA1265"/>
      <c r="AB1265" t="s">
        <v>4646</v>
      </c>
      <c r="AC1265" t="n">
        <v>182</v>
      </c>
      <c r="AD1265"/>
      <c r="AE1265"/>
      <c r="AF1265"/>
      <c r="AG1265"/>
    </row>
    <row r="1266">
      <c r="A1266" t="s">
        <v>2708</v>
      </c>
      <c r="B1266" t="s">
        <v>31</v>
      </c>
      <c r="C1266" t="s">
        <v>65</v>
      </c>
      <c r="D1266" t="s">
        <v>2709</v>
      </c>
      <c r="E1266" t="s">
        <v>2710</v>
      </c>
      <c r="F1266" t="s">
        <v>2711</v>
      </c>
      <c r="G1266" t="s">
        <v>2712</v>
      </c>
      <c r="H1266" t="n">
        <v>37.6292120880333</v>
      </c>
      <c r="I1266" t="n">
        <v>-104.783601950657</v>
      </c>
      <c r="J1266" t="s">
        <v>35</v>
      </c>
      <c r="K1266" t="s">
        <v>70</v>
      </c>
      <c r="L1266"/>
      <c r="M1266" t="n">
        <v>1973</v>
      </c>
      <c r="N1266" t="n">
        <v>1973</v>
      </c>
      <c r="O1266" t="s">
        <v>121</v>
      </c>
      <c r="P1266" t="n">
        <v>1</v>
      </c>
      <c r="Q1266" t="n">
        <v>1</v>
      </c>
      <c r="R1266" t="n">
        <v>1</v>
      </c>
      <c r="S1266" t="n">
        <v>1964</v>
      </c>
      <c r="T1266" t="s">
        <v>2713</v>
      </c>
      <c r="U1266" t="s">
        <v>2714</v>
      </c>
      <c r="V1266" t="s">
        <v>74</v>
      </c>
      <c r="W1266"/>
      <c r="X1266"/>
      <c r="Y1266"/>
      <c r="Z1266"/>
      <c r="AA1266"/>
      <c r="AB1266" t="s">
        <v>2715</v>
      </c>
      <c r="AC1266" t="n">
        <v>107</v>
      </c>
      <c r="AD1266"/>
      <c r="AE1266"/>
      <c r="AF1266"/>
      <c r="AG1266"/>
    </row>
    <row r="1267">
      <c r="A1267" t="s">
        <v>2716</v>
      </c>
      <c r="B1267" t="s">
        <v>31</v>
      </c>
      <c r="C1267" t="s">
        <v>65</v>
      </c>
      <c r="D1267" t="s">
        <v>2717</v>
      </c>
      <c r="E1267" t="s">
        <v>2710</v>
      </c>
      <c r="F1267" t="s">
        <v>2711</v>
      </c>
      <c r="G1267" t="s">
        <v>2712</v>
      </c>
      <c r="H1267" t="n">
        <v>37.622303</v>
      </c>
      <c r="I1267" t="n">
        <v>-104.778228</v>
      </c>
      <c r="J1267" t="s">
        <v>35</v>
      </c>
      <c r="K1267" t="s">
        <v>133</v>
      </c>
      <c r="L1267"/>
      <c r="M1267" t="n">
        <v>1973</v>
      </c>
      <c r="N1267" t="n">
        <v>1973</v>
      </c>
      <c r="O1267" t="s">
        <v>121</v>
      </c>
      <c r="P1267" t="n">
        <v>1</v>
      </c>
      <c r="Q1267" t="n">
        <v>1</v>
      </c>
      <c r="R1267" t="n">
        <v>1</v>
      </c>
      <c r="S1267" t="n">
        <v>1964</v>
      </c>
      <c r="T1267" t="s">
        <v>2718</v>
      </c>
      <c r="U1267" t="s">
        <v>2719</v>
      </c>
      <c r="V1267" t="s">
        <v>74</v>
      </c>
      <c r="W1267"/>
      <c r="X1267"/>
      <c r="Y1267"/>
      <c r="Z1267"/>
      <c r="AA1267"/>
      <c r="AB1267"/>
      <c r="AC1267"/>
      <c r="AD1267"/>
      <c r="AE1267"/>
      <c r="AF1267" t="s">
        <v>2720</v>
      </c>
      <c r="AG1267" t="n">
        <v>156</v>
      </c>
    </row>
    <row r="1268">
      <c r="A1268" t="s">
        <v>2721</v>
      </c>
      <c r="B1268" t="s">
        <v>31</v>
      </c>
      <c r="C1268" t="s">
        <v>65</v>
      </c>
      <c r="D1268" t="s">
        <v>2722</v>
      </c>
      <c r="E1268" t="s">
        <v>2723</v>
      </c>
      <c r="F1268" t="s">
        <v>2724</v>
      </c>
      <c r="G1268"/>
      <c r="H1268" t="n">
        <v>39.7617214287396</v>
      </c>
      <c r="I1268" t="n">
        <v>-105.161509230586</v>
      </c>
      <c r="J1268" t="s">
        <v>35</v>
      </c>
      <c r="K1268" t="s">
        <v>282</v>
      </c>
      <c r="L1268" t="s">
        <v>98</v>
      </c>
      <c r="M1268" t="n">
        <v>1965</v>
      </c>
      <c r="N1268" t="n">
        <v>1968</v>
      </c>
      <c r="O1268" t="s">
        <v>1349</v>
      </c>
      <c r="P1268" t="n">
        <v>3</v>
      </c>
      <c r="Q1268" t="n">
        <v>2</v>
      </c>
      <c r="R1268" t="n">
        <v>1</v>
      </c>
      <c r="S1268" t="n">
        <v>1957</v>
      </c>
      <c r="T1268" t="s">
        <v>2725</v>
      </c>
      <c r="U1268" t="s">
        <v>2726</v>
      </c>
      <c r="V1268" t="s">
        <v>74</v>
      </c>
      <c r="W1268"/>
      <c r="X1268"/>
      <c r="Y1268"/>
      <c r="Z1268"/>
      <c r="AA1268"/>
      <c r="AB1268"/>
      <c r="AC1268"/>
      <c r="AD1268"/>
      <c r="AE1268"/>
      <c r="AF1268"/>
      <c r="AG1268"/>
    </row>
    <row r="1269">
      <c r="A1269" t="s">
        <v>4647</v>
      </c>
      <c r="B1269" t="s">
        <v>31</v>
      </c>
      <c r="C1269" t="s">
        <v>24</v>
      </c>
      <c r="D1269" t="s">
        <v>4648</v>
      </c>
      <c r="E1269" t="s">
        <v>2748</v>
      </c>
      <c r="F1269" t="s">
        <v>2724</v>
      </c>
      <c r="G1269" t="s">
        <v>2856</v>
      </c>
      <c r="H1269" t="n">
        <v>39.7468056326531</v>
      </c>
      <c r="I1269" t="n">
        <v>-105.062593142857</v>
      </c>
      <c r="J1269" t="s">
        <v>4109</v>
      </c>
      <c r="K1269" t="s">
        <v>141</v>
      </c>
      <c r="L1269"/>
      <c r="M1269" t="n">
        <v>1966</v>
      </c>
      <c r="N1269" t="n">
        <v>1970</v>
      </c>
      <c r="O1269" t="s">
        <v>1556</v>
      </c>
      <c r="P1269" t="n">
        <v>3</v>
      </c>
      <c r="Q1269" t="n">
        <v>2</v>
      </c>
      <c r="R1269" t="n">
        <v>1</v>
      </c>
      <c r="S1269" t="n">
        <v>1958</v>
      </c>
      <c r="T1269" t="s">
        <v>4649</v>
      </c>
      <c r="U1269" t="s">
        <v>4650</v>
      </c>
      <c r="V1269" t="s">
        <v>74</v>
      </c>
      <c r="W1269"/>
      <c r="X1269"/>
      <c r="Y1269"/>
      <c r="Z1269"/>
      <c r="AA1269"/>
      <c r="AB1269"/>
      <c r="AC1269"/>
      <c r="AD1269"/>
      <c r="AE1269"/>
      <c r="AF1269" t="s">
        <v>4651</v>
      </c>
      <c r="AG1269" t="n">
        <v>95</v>
      </c>
    </row>
    <row r="1270">
      <c r="A1270" t="s">
        <v>2727</v>
      </c>
      <c r="B1270" t="s">
        <v>31</v>
      </c>
      <c r="C1270" t="s">
        <v>65</v>
      </c>
      <c r="D1270" t="s">
        <v>2728</v>
      </c>
      <c r="E1270" t="s">
        <v>2729</v>
      </c>
      <c r="F1270" t="s">
        <v>2724</v>
      </c>
      <c r="G1270" t="s">
        <v>2730</v>
      </c>
      <c r="H1270" t="n">
        <v>39.8108817363907</v>
      </c>
      <c r="I1270" t="n">
        <v>-105.096428619111</v>
      </c>
      <c r="J1270" t="s">
        <v>35</v>
      </c>
      <c r="K1270" t="s">
        <v>70</v>
      </c>
      <c r="L1270"/>
      <c r="M1270" t="n">
        <v>1966</v>
      </c>
      <c r="N1270" t="n">
        <v>1977</v>
      </c>
      <c r="O1270" t="s">
        <v>2731</v>
      </c>
      <c r="P1270" t="n">
        <v>3</v>
      </c>
      <c r="Q1270" t="n">
        <v>2</v>
      </c>
      <c r="R1270" t="n">
        <v>2</v>
      </c>
      <c r="S1270" t="n">
        <v>1951</v>
      </c>
      <c r="T1270" t="s">
        <v>2732</v>
      </c>
      <c r="U1270" t="s">
        <v>2733</v>
      </c>
      <c r="V1270" t="s">
        <v>74</v>
      </c>
      <c r="W1270"/>
      <c r="X1270"/>
      <c r="Y1270"/>
      <c r="Z1270"/>
      <c r="AA1270"/>
      <c r="AB1270"/>
      <c r="AC1270"/>
      <c r="AD1270"/>
      <c r="AE1270"/>
      <c r="AF1270"/>
      <c r="AG1270"/>
    </row>
    <row r="1271">
      <c r="A1271" t="s">
        <v>2734</v>
      </c>
      <c r="B1271" t="s">
        <v>31</v>
      </c>
      <c r="C1271" t="s">
        <v>65</v>
      </c>
      <c r="D1271" t="s">
        <v>2735</v>
      </c>
      <c r="E1271" t="s">
        <v>2729</v>
      </c>
      <c r="F1271" t="s">
        <v>2724</v>
      </c>
      <c r="G1271" t="s">
        <v>2730</v>
      </c>
      <c r="H1271" t="n">
        <v>39.8001578163265</v>
      </c>
      <c r="I1271" t="n">
        <v>-105.061441190476</v>
      </c>
      <c r="J1271" t="s">
        <v>35</v>
      </c>
      <c r="K1271" t="s">
        <v>70</v>
      </c>
      <c r="L1271"/>
      <c r="M1271" t="n">
        <v>1966</v>
      </c>
      <c r="N1271" t="n">
        <v>1974</v>
      </c>
      <c r="O1271" t="s">
        <v>2736</v>
      </c>
      <c r="P1271" t="n">
        <v>4</v>
      </c>
      <c r="Q1271" t="n">
        <v>3</v>
      </c>
      <c r="R1271" t="n">
        <v>3</v>
      </c>
      <c r="S1271" t="n">
        <v>1963</v>
      </c>
      <c r="T1271" t="s">
        <v>2737</v>
      </c>
      <c r="U1271" t="s">
        <v>2738</v>
      </c>
      <c r="V1271" t="s">
        <v>74</v>
      </c>
      <c r="W1271"/>
      <c r="X1271"/>
      <c r="Y1271"/>
      <c r="Z1271"/>
      <c r="AA1271"/>
      <c r="AB1271" t="s">
        <v>2739</v>
      </c>
      <c r="AC1271" t="n">
        <v>131</v>
      </c>
      <c r="AD1271"/>
      <c r="AE1271"/>
      <c r="AF1271" t="s">
        <v>2740</v>
      </c>
      <c r="AG1271" t="n">
        <v>143</v>
      </c>
    </row>
    <row r="1272">
      <c r="A1272" t="s">
        <v>2741</v>
      </c>
      <c r="B1272" t="s">
        <v>31</v>
      </c>
      <c r="C1272" t="s">
        <v>65</v>
      </c>
      <c r="D1272" t="s">
        <v>2742</v>
      </c>
      <c r="E1272" t="s">
        <v>2729</v>
      </c>
      <c r="F1272" t="s">
        <v>2724</v>
      </c>
      <c r="G1272" t="s">
        <v>2730</v>
      </c>
      <c r="H1272" t="n">
        <v>39.8004111825406</v>
      </c>
      <c r="I1272" t="n">
        <v>-105.071150068008</v>
      </c>
      <c r="J1272" t="s">
        <v>35</v>
      </c>
      <c r="K1272" t="s">
        <v>133</v>
      </c>
      <c r="L1272"/>
      <c r="M1272" t="n">
        <v>1966</v>
      </c>
      <c r="N1272" t="n">
        <v>1968</v>
      </c>
      <c r="O1272" t="s">
        <v>1349</v>
      </c>
      <c r="P1272" t="n">
        <v>2</v>
      </c>
      <c r="Q1272" t="n">
        <v>1</v>
      </c>
      <c r="R1272" t="n">
        <v>1</v>
      </c>
      <c r="S1272" t="n">
        <v>1958</v>
      </c>
      <c r="T1272" t="s">
        <v>2743</v>
      </c>
      <c r="U1272" t="s">
        <v>2744</v>
      </c>
      <c r="V1272" t="s">
        <v>74</v>
      </c>
      <c r="W1272"/>
      <c r="X1272"/>
      <c r="Y1272"/>
      <c r="Z1272"/>
      <c r="AA1272"/>
      <c r="AB1272"/>
      <c r="AC1272"/>
      <c r="AD1272"/>
      <c r="AE1272"/>
      <c r="AF1272" t="s">
        <v>2745</v>
      </c>
      <c r="AG1272" t="n">
        <v>132</v>
      </c>
    </row>
    <row r="1273">
      <c r="A1273" t="s">
        <v>2746</v>
      </c>
      <c r="B1273" t="s">
        <v>31</v>
      </c>
      <c r="C1273" t="s">
        <v>65</v>
      </c>
      <c r="D1273" t="s">
        <v>2747</v>
      </c>
      <c r="E1273" t="s">
        <v>2748</v>
      </c>
      <c r="F1273" t="s">
        <v>2724</v>
      </c>
      <c r="G1273" t="s">
        <v>2749</v>
      </c>
      <c r="H1273" t="n">
        <v>39.7292145102041</v>
      </c>
      <c r="I1273" t="n">
        <v>-105.109143469388</v>
      </c>
      <c r="J1273" t="s">
        <v>35</v>
      </c>
      <c r="K1273" t="s">
        <v>70</v>
      </c>
      <c r="L1273"/>
      <c r="M1273" t="n">
        <v>1966</v>
      </c>
      <c r="N1273" t="n">
        <v>1977</v>
      </c>
      <c r="O1273" t="s">
        <v>2750</v>
      </c>
      <c r="P1273" t="n">
        <v>4</v>
      </c>
      <c r="Q1273" t="n">
        <v>1</v>
      </c>
      <c r="R1273" t="n">
        <v>1</v>
      </c>
      <c r="S1273" t="n">
        <v>1958</v>
      </c>
      <c r="T1273" t="s">
        <v>2751</v>
      </c>
      <c r="U1273" t="s">
        <v>2752</v>
      </c>
      <c r="V1273" t="s">
        <v>74</v>
      </c>
      <c r="W1273"/>
      <c r="X1273"/>
      <c r="Y1273"/>
      <c r="Z1273"/>
      <c r="AA1273"/>
      <c r="AB1273"/>
      <c r="AC1273"/>
      <c r="AD1273"/>
      <c r="AE1273"/>
      <c r="AF1273" t="s">
        <v>2753</v>
      </c>
      <c r="AG1273" t="n">
        <v>86</v>
      </c>
    </row>
    <row r="1274">
      <c r="A1274" t="s">
        <v>4652</v>
      </c>
      <c r="B1274" t="s">
        <v>31</v>
      </c>
      <c r="C1274" t="s">
        <v>24</v>
      </c>
      <c r="D1274" t="s">
        <v>4653</v>
      </c>
      <c r="E1274" t="s">
        <v>2723</v>
      </c>
      <c r="F1274" t="s">
        <v>2724</v>
      </c>
      <c r="G1274" t="s">
        <v>2778</v>
      </c>
      <c r="H1274" t="n">
        <v>39.7347810384615</v>
      </c>
      <c r="I1274" t="n">
        <v>-105.137710615385</v>
      </c>
      <c r="J1274" t="s">
        <v>4109</v>
      </c>
      <c r="K1274" t="s">
        <v>120</v>
      </c>
      <c r="L1274"/>
      <c r="M1274" t="n">
        <v>1966</v>
      </c>
      <c r="N1274" t="n">
        <v>1973</v>
      </c>
      <c r="O1274" t="s">
        <v>2736</v>
      </c>
      <c r="P1274" t="n">
        <v>3</v>
      </c>
      <c r="Q1274" t="n">
        <v>2</v>
      </c>
      <c r="R1274" t="n">
        <v>2</v>
      </c>
      <c r="S1274" t="n">
        <v>1960</v>
      </c>
      <c r="T1274" t="s">
        <v>4654</v>
      </c>
      <c r="U1274" t="s">
        <v>4655</v>
      </c>
      <c r="V1274" t="s">
        <v>74</v>
      </c>
      <c r="W1274"/>
      <c r="X1274"/>
      <c r="Y1274"/>
      <c r="Z1274"/>
      <c r="AA1274"/>
      <c r="AB1274"/>
      <c r="AC1274"/>
      <c r="AD1274"/>
      <c r="AE1274"/>
      <c r="AF1274"/>
      <c r="AG1274"/>
    </row>
    <row r="1275">
      <c r="A1275" t="s">
        <v>2754</v>
      </c>
      <c r="B1275" t="s">
        <v>31</v>
      </c>
      <c r="C1275" t="s">
        <v>65</v>
      </c>
      <c r="D1275" t="s">
        <v>2755</v>
      </c>
      <c r="E1275" t="s">
        <v>2748</v>
      </c>
      <c r="F1275" t="s">
        <v>2724</v>
      </c>
      <c r="G1275" t="s">
        <v>2749</v>
      </c>
      <c r="H1275" t="n">
        <v>39.7528900306122</v>
      </c>
      <c r="I1275" t="n">
        <v>-105.108981979592</v>
      </c>
      <c r="J1275" t="s">
        <v>35</v>
      </c>
      <c r="K1275" t="s">
        <v>120</v>
      </c>
      <c r="L1275" t="s">
        <v>554</v>
      </c>
      <c r="M1275" t="n">
        <v>1966</v>
      </c>
      <c r="N1275" t="n">
        <v>1990</v>
      </c>
      <c r="O1275" t="s">
        <v>2756</v>
      </c>
      <c r="P1275" t="n">
        <v>9</v>
      </c>
      <c r="Q1275" t="n">
        <v>6</v>
      </c>
      <c r="R1275" t="n">
        <v>2</v>
      </c>
      <c r="S1275" t="n">
        <v>1952</v>
      </c>
      <c r="T1275" t="s">
        <v>2757</v>
      </c>
      <c r="U1275" t="s">
        <v>2758</v>
      </c>
      <c r="V1275" t="s">
        <v>74</v>
      </c>
      <c r="W1275"/>
      <c r="X1275"/>
      <c r="Y1275"/>
      <c r="Z1275"/>
      <c r="AA1275"/>
      <c r="AB1275" t="s">
        <v>2759</v>
      </c>
      <c r="AC1275" t="n">
        <v>168</v>
      </c>
      <c r="AD1275"/>
      <c r="AE1275"/>
      <c r="AF1275" t="s">
        <v>2760</v>
      </c>
      <c r="AG1275" t="n">
        <v>57</v>
      </c>
    </row>
    <row r="1276">
      <c r="A1276" t="s">
        <v>2761</v>
      </c>
      <c r="B1276" t="s">
        <v>31</v>
      </c>
      <c r="C1276" t="s">
        <v>65</v>
      </c>
      <c r="D1276" t="s">
        <v>2762</v>
      </c>
      <c r="E1276" t="s">
        <v>2748</v>
      </c>
      <c r="F1276" t="s">
        <v>2724</v>
      </c>
      <c r="G1276" t="s">
        <v>2763</v>
      </c>
      <c r="H1276" t="n">
        <v>39.6894077278134</v>
      </c>
      <c r="I1276" t="n">
        <v>-105.064301292749</v>
      </c>
      <c r="J1276" t="s">
        <v>35</v>
      </c>
      <c r="K1276" t="s">
        <v>120</v>
      </c>
      <c r="L1276"/>
      <c r="M1276" t="n">
        <v>1966</v>
      </c>
      <c r="N1276" t="n">
        <v>1968</v>
      </c>
      <c r="O1276" t="s">
        <v>2764</v>
      </c>
      <c r="P1276" t="n">
        <v>3</v>
      </c>
      <c r="Q1276" t="n">
        <v>1</v>
      </c>
      <c r="R1276" t="n">
        <v>1</v>
      </c>
      <c r="S1276" t="n">
        <v>1958</v>
      </c>
      <c r="T1276" t="s">
        <v>2765</v>
      </c>
      <c r="U1276" t="s">
        <v>2766</v>
      </c>
      <c r="V1276" t="s">
        <v>74</v>
      </c>
      <c r="W1276"/>
      <c r="X1276"/>
      <c r="Y1276"/>
      <c r="Z1276"/>
      <c r="AA1276"/>
      <c r="AB1276"/>
      <c r="AC1276"/>
      <c r="AD1276"/>
      <c r="AE1276"/>
      <c r="AF1276"/>
      <c r="AG1276"/>
    </row>
    <row r="1277">
      <c r="A1277" t="s">
        <v>4656</v>
      </c>
      <c r="B1277" t="s">
        <v>31</v>
      </c>
      <c r="C1277" t="s">
        <v>24</v>
      </c>
      <c r="D1277" t="s">
        <v>4657</v>
      </c>
      <c r="E1277" t="s">
        <v>2748</v>
      </c>
      <c r="F1277" t="s">
        <v>2724</v>
      </c>
      <c r="G1277" t="s">
        <v>2856</v>
      </c>
      <c r="H1277" t="n">
        <v>39.7343151380471</v>
      </c>
      <c r="I1277" t="n">
        <v>-105.06260389899</v>
      </c>
      <c r="J1277" t="s">
        <v>4109</v>
      </c>
      <c r="K1277" t="s">
        <v>220</v>
      </c>
      <c r="L1277"/>
      <c r="M1277" t="n">
        <v>1966</v>
      </c>
      <c r="N1277" t="n">
        <v>1992</v>
      </c>
      <c r="O1277" t="s">
        <v>4658</v>
      </c>
      <c r="P1277" t="n">
        <v>11</v>
      </c>
      <c r="Q1277" t="n">
        <v>10</v>
      </c>
      <c r="R1277" t="n">
        <v>7</v>
      </c>
      <c r="S1277" t="n">
        <v>1955</v>
      </c>
      <c r="T1277" t="s">
        <v>4659</v>
      </c>
      <c r="U1277" t="s">
        <v>4660</v>
      </c>
      <c r="V1277" t="s">
        <v>74</v>
      </c>
      <c r="W1277"/>
      <c r="X1277"/>
      <c r="Y1277"/>
      <c r="Z1277"/>
      <c r="AA1277"/>
      <c r="AB1277" t="s">
        <v>2869</v>
      </c>
      <c r="AC1277" t="n">
        <v>179</v>
      </c>
      <c r="AD1277" t="s">
        <v>2870</v>
      </c>
      <c r="AE1277" t="n">
        <v>233</v>
      </c>
      <c r="AF1277" t="s">
        <v>2871</v>
      </c>
      <c r="AG1277" t="n">
        <v>162</v>
      </c>
    </row>
    <row r="1278">
      <c r="A1278" t="s">
        <v>4661</v>
      </c>
      <c r="B1278" t="s">
        <v>31</v>
      </c>
      <c r="C1278" t="s">
        <v>24</v>
      </c>
      <c r="D1278" t="s">
        <v>4662</v>
      </c>
      <c r="E1278" t="s">
        <v>2748</v>
      </c>
      <c r="F1278" t="s">
        <v>2724</v>
      </c>
      <c r="G1278" t="s">
        <v>2749</v>
      </c>
      <c r="H1278" t="n">
        <v>39.738455</v>
      </c>
      <c r="I1278" t="n">
        <v>-105.075462</v>
      </c>
      <c r="J1278" t="s">
        <v>4109</v>
      </c>
      <c r="K1278" t="s">
        <v>97</v>
      </c>
      <c r="L1278" t="s">
        <v>98</v>
      </c>
      <c r="M1278" t="n">
        <v>1966</v>
      </c>
      <c r="N1278" t="n">
        <v>1968</v>
      </c>
      <c r="O1278" t="s">
        <v>2764</v>
      </c>
      <c r="P1278" t="n">
        <v>3</v>
      </c>
      <c r="Q1278" t="n">
        <v>1</v>
      </c>
      <c r="R1278" t="n">
        <v>1</v>
      </c>
      <c r="S1278" t="n">
        <v>1962</v>
      </c>
      <c r="T1278" t="s">
        <v>4663</v>
      </c>
      <c r="U1278" t="s">
        <v>4664</v>
      </c>
      <c r="V1278" t="s">
        <v>74</v>
      </c>
      <c r="W1278"/>
      <c r="X1278"/>
      <c r="Y1278"/>
      <c r="Z1278"/>
      <c r="AA1278"/>
      <c r="AB1278"/>
      <c r="AC1278"/>
      <c r="AD1278"/>
      <c r="AE1278"/>
      <c r="AF1278" t="s">
        <v>4665</v>
      </c>
      <c r="AG1278" t="n">
        <v>168</v>
      </c>
    </row>
    <row r="1279">
      <c r="A1279" t="s">
        <v>2767</v>
      </c>
      <c r="B1279" t="s">
        <v>31</v>
      </c>
      <c r="C1279" t="s">
        <v>65</v>
      </c>
      <c r="D1279" t="s">
        <v>2768</v>
      </c>
      <c r="E1279" t="s">
        <v>2769</v>
      </c>
      <c r="F1279" t="s">
        <v>2724</v>
      </c>
      <c r="G1279" t="s">
        <v>2770</v>
      </c>
      <c r="H1279" t="n">
        <v>39.76784225</v>
      </c>
      <c r="I1279" t="n">
        <v>-105.111970142857</v>
      </c>
      <c r="J1279" t="s">
        <v>35</v>
      </c>
      <c r="K1279" t="s">
        <v>133</v>
      </c>
      <c r="L1279" t="s">
        <v>1337</v>
      </c>
      <c r="M1279" t="n">
        <v>1966</v>
      </c>
      <c r="N1279" t="n">
        <v>1970</v>
      </c>
      <c r="O1279" t="s">
        <v>2771</v>
      </c>
      <c r="P1279" t="n">
        <v>3</v>
      </c>
      <c r="Q1279" t="n">
        <v>2</v>
      </c>
      <c r="R1279" t="n">
        <v>2</v>
      </c>
      <c r="S1279" t="n">
        <v>1956</v>
      </c>
      <c r="T1279" t="s">
        <v>2772</v>
      </c>
      <c r="U1279" t="s">
        <v>2773</v>
      </c>
      <c r="V1279" t="s">
        <v>74</v>
      </c>
      <c r="W1279"/>
      <c r="X1279"/>
      <c r="Y1279"/>
      <c r="Z1279"/>
      <c r="AA1279"/>
      <c r="AB1279" t="s">
        <v>2774</v>
      </c>
      <c r="AC1279" t="n">
        <v>85</v>
      </c>
      <c r="AD1279"/>
      <c r="AE1279"/>
      <c r="AF1279" t="s">
        <v>2775</v>
      </c>
      <c r="AG1279" t="n">
        <v>219</v>
      </c>
    </row>
    <row r="1280">
      <c r="A1280" t="s">
        <v>2776</v>
      </c>
      <c r="B1280" t="s">
        <v>31</v>
      </c>
      <c r="C1280" t="s">
        <v>65</v>
      </c>
      <c r="D1280" t="s">
        <v>2777</v>
      </c>
      <c r="E1280" t="s">
        <v>2723</v>
      </c>
      <c r="F1280" t="s">
        <v>2724</v>
      </c>
      <c r="G1280" t="s">
        <v>2778</v>
      </c>
      <c r="H1280" t="n">
        <v>39.7309454195563</v>
      </c>
      <c r="I1280" t="n">
        <v>-105.177470337698</v>
      </c>
      <c r="J1280" t="s">
        <v>35</v>
      </c>
      <c r="K1280" t="s">
        <v>141</v>
      </c>
      <c r="L1280"/>
      <c r="M1280" t="n">
        <v>1966</v>
      </c>
      <c r="N1280" t="n">
        <v>1992</v>
      </c>
      <c r="O1280" t="s">
        <v>2779</v>
      </c>
      <c r="P1280" t="n">
        <v>6</v>
      </c>
      <c r="Q1280" t="n">
        <v>9</v>
      </c>
      <c r="R1280" t="n">
        <v>2</v>
      </c>
      <c r="S1280" t="n">
        <v>1958</v>
      </c>
      <c r="T1280" t="s">
        <v>2780</v>
      </c>
      <c r="U1280" t="s">
        <v>2781</v>
      </c>
      <c r="V1280" t="s">
        <v>74</v>
      </c>
      <c r="W1280"/>
      <c r="X1280"/>
      <c r="Y1280"/>
      <c r="Z1280"/>
      <c r="AA1280"/>
      <c r="AB1280" t="s">
        <v>2782</v>
      </c>
      <c r="AC1280" t="n">
        <v>229</v>
      </c>
      <c r="AD1280"/>
      <c r="AE1280"/>
      <c r="AF1280" t="s">
        <v>2783</v>
      </c>
      <c r="AG1280" t="n">
        <v>221</v>
      </c>
    </row>
    <row r="1281">
      <c r="A1281" t="s">
        <v>4666</v>
      </c>
      <c r="B1281" t="s">
        <v>31</v>
      </c>
      <c r="C1281" t="s">
        <v>24</v>
      </c>
      <c r="D1281" t="s">
        <v>4667</v>
      </c>
      <c r="E1281" t="s">
        <v>2729</v>
      </c>
      <c r="F1281" t="s">
        <v>2724</v>
      </c>
      <c r="G1281" t="s">
        <v>2730</v>
      </c>
      <c r="H1281" t="n">
        <v>39.8705347142857</v>
      </c>
      <c r="I1281" t="n">
        <v>-105.062432857143</v>
      </c>
      <c r="J1281" t="s">
        <v>4109</v>
      </c>
      <c r="K1281" t="s">
        <v>133</v>
      </c>
      <c r="L1281"/>
      <c r="M1281" t="n">
        <v>1967</v>
      </c>
      <c r="N1281" t="n">
        <v>1967</v>
      </c>
      <c r="O1281" t="s">
        <v>388</v>
      </c>
      <c r="P1281" t="n">
        <v>1</v>
      </c>
      <c r="Q1281" t="n">
        <v>1</v>
      </c>
      <c r="R1281" t="n">
        <v>1</v>
      </c>
      <c r="S1281" t="n">
        <v>1965</v>
      </c>
      <c r="T1281" t="s">
        <v>4668</v>
      </c>
      <c r="U1281" t="s">
        <v>4669</v>
      </c>
      <c r="V1281" t="s">
        <v>74</v>
      </c>
      <c r="W1281"/>
      <c r="X1281"/>
      <c r="Y1281"/>
      <c r="Z1281"/>
      <c r="AA1281"/>
      <c r="AB1281"/>
      <c r="AC1281"/>
      <c r="AD1281"/>
      <c r="AE1281"/>
      <c r="AF1281"/>
      <c r="AG1281"/>
    </row>
    <row r="1282">
      <c r="A1282" t="s">
        <v>2784</v>
      </c>
      <c r="B1282" t="s">
        <v>31</v>
      </c>
      <c r="C1282" t="s">
        <v>65</v>
      </c>
      <c r="D1282" t="s">
        <v>2785</v>
      </c>
      <c r="E1282" t="s">
        <v>2723</v>
      </c>
      <c r="F1282" t="s">
        <v>2724</v>
      </c>
      <c r="G1282" t="s">
        <v>2778</v>
      </c>
      <c r="H1282" t="n">
        <v>39.7561880816327</v>
      </c>
      <c r="I1282" t="n">
        <v>-105.217245265306</v>
      </c>
      <c r="J1282" t="s">
        <v>35</v>
      </c>
      <c r="K1282" t="s">
        <v>133</v>
      </c>
      <c r="L1282"/>
      <c r="M1282" t="n">
        <v>1967</v>
      </c>
      <c r="N1282" t="n">
        <v>1967</v>
      </c>
      <c r="O1282" t="s">
        <v>388</v>
      </c>
      <c r="P1282" t="n">
        <v>1</v>
      </c>
      <c r="Q1282" t="n">
        <v>1</v>
      </c>
      <c r="R1282" t="n">
        <v>1</v>
      </c>
      <c r="S1282" t="n">
        <v>1967</v>
      </c>
      <c r="T1282" t="s">
        <v>2786</v>
      </c>
      <c r="U1282" t="s">
        <v>2787</v>
      </c>
      <c r="V1282" t="s">
        <v>74</v>
      </c>
      <c r="W1282"/>
      <c r="X1282"/>
      <c r="Y1282"/>
      <c r="Z1282"/>
      <c r="AA1282"/>
      <c r="AB1282" t="s">
        <v>2788</v>
      </c>
      <c r="AC1282" t="n">
        <v>178</v>
      </c>
      <c r="AD1282" t="s">
        <v>2789</v>
      </c>
      <c r="AE1282" t="n">
        <v>173</v>
      </c>
      <c r="AF1282" t="s">
        <v>2790</v>
      </c>
      <c r="AG1282" t="n">
        <v>110</v>
      </c>
    </row>
    <row r="1283">
      <c r="A1283" t="s">
        <v>4670</v>
      </c>
      <c r="B1283" t="s">
        <v>31</v>
      </c>
      <c r="C1283" t="s">
        <v>24</v>
      </c>
      <c r="D1283" t="s">
        <v>4671</v>
      </c>
      <c r="E1283" t="s">
        <v>2748</v>
      </c>
      <c r="F1283" t="s">
        <v>2724</v>
      </c>
      <c r="G1283" t="s">
        <v>2763</v>
      </c>
      <c r="H1283" t="n">
        <v>39.7207200241853</v>
      </c>
      <c r="I1283" t="n">
        <v>-105.065062632115</v>
      </c>
      <c r="J1283" t="s">
        <v>4109</v>
      </c>
      <c r="K1283" t="s">
        <v>70</v>
      </c>
      <c r="L1283"/>
      <c r="M1283" t="n">
        <v>1967</v>
      </c>
      <c r="N1283" t="n">
        <v>1968</v>
      </c>
      <c r="O1283" t="s">
        <v>106</v>
      </c>
      <c r="P1283" t="n">
        <v>2</v>
      </c>
      <c r="Q1283" t="n">
        <v>2</v>
      </c>
      <c r="R1283" t="n">
        <v>2</v>
      </c>
      <c r="S1283"/>
      <c r="T1283" t="s">
        <v>4672</v>
      </c>
      <c r="U1283" t="s">
        <v>4673</v>
      </c>
      <c r="V1283" t="s">
        <v>74</v>
      </c>
      <c r="W1283"/>
      <c r="X1283"/>
      <c r="Y1283"/>
      <c r="Z1283"/>
      <c r="AA1283"/>
      <c r="AB1283"/>
      <c r="AC1283"/>
      <c r="AD1283"/>
      <c r="AE1283"/>
      <c r="AF1283" t="s">
        <v>4674</v>
      </c>
      <c r="AG1283" t="n">
        <v>106</v>
      </c>
    </row>
    <row r="1284">
      <c r="A1284" t="s">
        <v>4675</v>
      </c>
      <c r="B1284" t="s">
        <v>31</v>
      </c>
      <c r="C1284" t="s">
        <v>24</v>
      </c>
      <c r="D1284" t="s">
        <v>4676</v>
      </c>
      <c r="E1284" t="s">
        <v>2729</v>
      </c>
      <c r="F1284" t="s">
        <v>2724</v>
      </c>
      <c r="G1284" t="s">
        <v>2730</v>
      </c>
      <c r="H1284" t="n">
        <v>39.87591</v>
      </c>
      <c r="I1284" t="n">
        <v>-105.050156</v>
      </c>
      <c r="J1284" t="s">
        <v>4109</v>
      </c>
      <c r="K1284" t="s">
        <v>270</v>
      </c>
      <c r="L1284"/>
      <c r="M1284" t="n">
        <v>1968</v>
      </c>
      <c r="N1284" t="n">
        <v>1980</v>
      </c>
      <c r="O1284" t="s">
        <v>1640</v>
      </c>
      <c r="P1284" t="n">
        <v>3</v>
      </c>
      <c r="Q1284" t="n">
        <v>2</v>
      </c>
      <c r="R1284" t="n">
        <v>2</v>
      </c>
      <c r="S1284" t="n">
        <v>1954</v>
      </c>
      <c r="T1284" t="s">
        <v>4677</v>
      </c>
      <c r="U1284" t="s">
        <v>4678</v>
      </c>
      <c r="V1284" t="s">
        <v>74</v>
      </c>
      <c r="W1284"/>
      <c r="X1284"/>
      <c r="Y1284"/>
      <c r="Z1284"/>
      <c r="AA1284"/>
      <c r="AB1284"/>
      <c r="AC1284"/>
      <c r="AD1284"/>
      <c r="AE1284"/>
      <c r="AF1284"/>
      <c r="AG1284"/>
    </row>
    <row r="1285">
      <c r="A1285" t="s">
        <v>2791</v>
      </c>
      <c r="B1285" t="s">
        <v>31</v>
      </c>
      <c r="C1285" t="s">
        <v>65</v>
      </c>
      <c r="D1285" t="s">
        <v>2792</v>
      </c>
      <c r="E1285" t="s">
        <v>2769</v>
      </c>
      <c r="F1285" t="s">
        <v>2724</v>
      </c>
      <c r="G1285" t="s">
        <v>2770</v>
      </c>
      <c r="H1285" t="n">
        <v>39.7674934285714</v>
      </c>
      <c r="I1285" t="n">
        <v>-105.139154</v>
      </c>
      <c r="J1285" t="s">
        <v>35</v>
      </c>
      <c r="K1285" t="s">
        <v>120</v>
      </c>
      <c r="L1285"/>
      <c r="M1285" t="n">
        <v>1968</v>
      </c>
      <c r="N1285" t="n">
        <v>1968</v>
      </c>
      <c r="O1285" t="s">
        <v>1349</v>
      </c>
      <c r="P1285" t="n">
        <v>1</v>
      </c>
      <c r="Q1285" t="n">
        <v>1</v>
      </c>
      <c r="R1285" t="n">
        <v>1</v>
      </c>
      <c r="S1285"/>
      <c r="T1285" t="s">
        <v>2793</v>
      </c>
      <c r="U1285" t="s">
        <v>2794</v>
      </c>
      <c r="V1285" t="s">
        <v>74</v>
      </c>
      <c r="W1285"/>
      <c r="X1285"/>
      <c r="Y1285"/>
      <c r="Z1285"/>
      <c r="AA1285"/>
      <c r="AB1285"/>
      <c r="AC1285"/>
      <c r="AD1285"/>
      <c r="AE1285"/>
      <c r="AF1285"/>
      <c r="AG1285"/>
    </row>
    <row r="1286">
      <c r="A1286" t="s">
        <v>2795</v>
      </c>
      <c r="B1286" t="s">
        <v>31</v>
      </c>
      <c r="C1286" t="s">
        <v>65</v>
      </c>
      <c r="D1286" t="s">
        <v>2796</v>
      </c>
      <c r="E1286" t="s">
        <v>2769</v>
      </c>
      <c r="F1286" t="s">
        <v>2724</v>
      </c>
      <c r="G1286" t="s">
        <v>2770</v>
      </c>
      <c r="H1286" t="n">
        <v>39.7725146363636</v>
      </c>
      <c r="I1286" t="n">
        <v>-105.081397818182</v>
      </c>
      <c r="J1286" t="s">
        <v>35</v>
      </c>
      <c r="K1286" t="s">
        <v>89</v>
      </c>
      <c r="L1286"/>
      <c r="M1286" t="n">
        <v>1968</v>
      </c>
      <c r="N1286" t="n">
        <v>1968</v>
      </c>
      <c r="O1286" t="s">
        <v>1349</v>
      </c>
      <c r="P1286" t="n">
        <v>1</v>
      </c>
      <c r="Q1286" t="n">
        <v>1</v>
      </c>
      <c r="R1286" t="n">
        <v>1</v>
      </c>
      <c r="S1286"/>
      <c r="T1286" t="s">
        <v>2797</v>
      </c>
      <c r="U1286" t="s">
        <v>2798</v>
      </c>
      <c r="V1286" t="s">
        <v>74</v>
      </c>
      <c r="W1286"/>
      <c r="X1286"/>
      <c r="Y1286"/>
      <c r="Z1286"/>
      <c r="AA1286"/>
      <c r="AB1286" t="s">
        <v>2799</v>
      </c>
      <c r="AC1286" t="n">
        <v>149</v>
      </c>
      <c r="AD1286" t="s">
        <v>2800</v>
      </c>
      <c r="AE1286" t="n">
        <v>167</v>
      </c>
      <c r="AF1286" t="s">
        <v>2801</v>
      </c>
      <c r="AG1286" t="n">
        <v>147</v>
      </c>
    </row>
    <row r="1287">
      <c r="A1287" t="s">
        <v>2802</v>
      </c>
      <c r="B1287" t="s">
        <v>31</v>
      </c>
      <c r="C1287" t="s">
        <v>65</v>
      </c>
      <c r="D1287" t="s">
        <v>2803</v>
      </c>
      <c r="E1287" t="s">
        <v>2769</v>
      </c>
      <c r="F1287" t="s">
        <v>2724</v>
      </c>
      <c r="G1287" t="s">
        <v>2770</v>
      </c>
      <c r="H1287" t="n">
        <v>39.7803795327869</v>
      </c>
      <c r="I1287" t="n">
        <v>-105.137907016393</v>
      </c>
      <c r="J1287" t="s">
        <v>35</v>
      </c>
      <c r="K1287" t="s">
        <v>70</v>
      </c>
      <c r="L1287"/>
      <c r="M1287" t="n">
        <v>1970</v>
      </c>
      <c r="N1287" t="n">
        <v>1970</v>
      </c>
      <c r="O1287" t="s">
        <v>726</v>
      </c>
      <c r="P1287" t="n">
        <v>1</v>
      </c>
      <c r="Q1287" t="n">
        <v>1</v>
      </c>
      <c r="R1287" t="n">
        <v>1</v>
      </c>
      <c r="S1287" t="n">
        <v>1966</v>
      </c>
      <c r="T1287" t="s">
        <v>2804</v>
      </c>
      <c r="U1287" t="s">
        <v>2805</v>
      </c>
      <c r="V1287" t="s">
        <v>74</v>
      </c>
      <c r="W1287"/>
      <c r="X1287"/>
      <c r="Y1287"/>
      <c r="Z1287"/>
      <c r="AA1287"/>
      <c r="AB1287" t="s">
        <v>2806</v>
      </c>
      <c r="AC1287" t="n">
        <v>241</v>
      </c>
      <c r="AD1287"/>
      <c r="AE1287"/>
      <c r="AF1287"/>
      <c r="AG1287"/>
    </row>
    <row r="1288">
      <c r="A1288" t="s">
        <v>2807</v>
      </c>
      <c r="B1288" t="s">
        <v>31</v>
      </c>
      <c r="C1288" t="s">
        <v>65</v>
      </c>
      <c r="D1288" t="s">
        <v>2808</v>
      </c>
      <c r="E1288" t="s">
        <v>386</v>
      </c>
      <c r="F1288" t="s">
        <v>2724</v>
      </c>
      <c r="G1288" t="s">
        <v>2809</v>
      </c>
      <c r="H1288" t="n">
        <v>39.5757841902848</v>
      </c>
      <c r="I1288" t="n">
        <v>-105.054031052737</v>
      </c>
      <c r="J1288" t="s">
        <v>35</v>
      </c>
      <c r="K1288" t="s">
        <v>527</v>
      </c>
      <c r="L1288"/>
      <c r="M1288" t="n">
        <v>1973</v>
      </c>
      <c r="N1288" t="n">
        <v>1973</v>
      </c>
      <c r="O1288" t="s">
        <v>121</v>
      </c>
      <c r="P1288" t="n">
        <v>1</v>
      </c>
      <c r="Q1288" t="n">
        <v>1</v>
      </c>
      <c r="R1288" t="n">
        <v>1</v>
      </c>
      <c r="S1288" t="n">
        <v>1958</v>
      </c>
      <c r="T1288" t="s">
        <v>2810</v>
      </c>
      <c r="U1288" t="s">
        <v>2811</v>
      </c>
      <c r="V1288" t="s">
        <v>74</v>
      </c>
      <c r="W1288"/>
      <c r="X1288"/>
      <c r="Y1288"/>
      <c r="Z1288"/>
      <c r="AA1288"/>
      <c r="AB1288"/>
      <c r="AC1288"/>
      <c r="AD1288"/>
      <c r="AE1288"/>
      <c r="AF1288"/>
      <c r="AG1288"/>
    </row>
    <row r="1289">
      <c r="A1289" t="s">
        <v>2812</v>
      </c>
      <c r="B1289" t="s">
        <v>31</v>
      </c>
      <c r="C1289" t="s">
        <v>65</v>
      </c>
      <c r="D1289" t="s">
        <v>2813</v>
      </c>
      <c r="E1289" t="s">
        <v>2748</v>
      </c>
      <c r="F1289" t="s">
        <v>2724</v>
      </c>
      <c r="G1289" t="s">
        <v>2763</v>
      </c>
      <c r="H1289" t="n">
        <v>39.711777733196</v>
      </c>
      <c r="I1289" t="n">
        <v>-105.132418298842</v>
      </c>
      <c r="J1289" t="s">
        <v>35</v>
      </c>
      <c r="K1289" t="s">
        <v>120</v>
      </c>
      <c r="L1289" t="s">
        <v>2814</v>
      </c>
      <c r="M1289" t="n">
        <v>1973</v>
      </c>
      <c r="N1289" t="n">
        <v>1990</v>
      </c>
      <c r="O1289" t="s">
        <v>528</v>
      </c>
      <c r="P1289" t="n">
        <v>5</v>
      </c>
      <c r="Q1289" t="n">
        <v>5</v>
      </c>
      <c r="R1289" t="n">
        <v>2</v>
      </c>
      <c r="S1289" t="n">
        <v>1965</v>
      </c>
      <c r="T1289" t="s">
        <v>2815</v>
      </c>
      <c r="U1289" t="s">
        <v>2816</v>
      </c>
      <c r="V1289" t="s">
        <v>74</v>
      </c>
      <c r="W1289"/>
      <c r="X1289"/>
      <c r="Y1289"/>
      <c r="Z1289"/>
      <c r="AA1289"/>
      <c r="AB1289"/>
      <c r="AC1289"/>
      <c r="AD1289"/>
      <c r="AE1289"/>
      <c r="AF1289" t="s">
        <v>2817</v>
      </c>
      <c r="AG1289" t="n">
        <v>70</v>
      </c>
    </row>
    <row r="1290">
      <c r="A1290" t="s">
        <v>2818</v>
      </c>
      <c r="B1290" t="s">
        <v>31</v>
      </c>
      <c r="C1290" t="s">
        <v>65</v>
      </c>
      <c r="D1290" t="s">
        <v>2819</v>
      </c>
      <c r="E1290" t="s">
        <v>2769</v>
      </c>
      <c r="F1290" t="s">
        <v>2724</v>
      </c>
      <c r="G1290" t="s">
        <v>2770</v>
      </c>
      <c r="H1290" t="n">
        <v>39.7620668615557</v>
      </c>
      <c r="I1290" t="n">
        <v>-105.09172299776</v>
      </c>
      <c r="J1290" t="s">
        <v>35</v>
      </c>
      <c r="K1290" t="s">
        <v>70</v>
      </c>
      <c r="L1290"/>
      <c r="M1290" t="n">
        <v>1973</v>
      </c>
      <c r="N1290" t="n">
        <v>1990</v>
      </c>
      <c r="O1290" t="s">
        <v>2820</v>
      </c>
      <c r="P1290" t="n">
        <v>6</v>
      </c>
      <c r="Q1290" t="n">
        <v>2</v>
      </c>
      <c r="R1290" t="n">
        <v>2</v>
      </c>
      <c r="S1290" t="n">
        <v>1977</v>
      </c>
      <c r="T1290" t="s">
        <v>2821</v>
      </c>
      <c r="U1290" t="s">
        <v>2822</v>
      </c>
      <c r="V1290" t="s">
        <v>74</v>
      </c>
      <c r="W1290"/>
      <c r="X1290"/>
      <c r="Y1290"/>
      <c r="Z1290"/>
      <c r="AA1290"/>
      <c r="AB1290"/>
      <c r="AC1290"/>
      <c r="AD1290"/>
      <c r="AE1290"/>
      <c r="AF1290" t="s">
        <v>2823</v>
      </c>
      <c r="AG1290" t="n">
        <v>93</v>
      </c>
    </row>
    <row r="1291">
      <c r="A1291" t="s">
        <v>4679</v>
      </c>
      <c r="B1291" t="s">
        <v>31</v>
      </c>
      <c r="C1291" t="s">
        <v>24</v>
      </c>
      <c r="D1291" t="s">
        <v>4680</v>
      </c>
      <c r="E1291" t="s">
        <v>2748</v>
      </c>
      <c r="F1291" t="s">
        <v>2724</v>
      </c>
      <c r="G1291" t="s">
        <v>2749</v>
      </c>
      <c r="H1291" t="n">
        <v>39.7423492214765</v>
      </c>
      <c r="I1291" t="n">
        <v>-105.09310742953</v>
      </c>
      <c r="J1291" t="s">
        <v>4109</v>
      </c>
      <c r="K1291" t="s">
        <v>70</v>
      </c>
      <c r="L1291"/>
      <c r="M1291" t="n">
        <v>1973</v>
      </c>
      <c r="N1291" t="n">
        <v>1973</v>
      </c>
      <c r="O1291" t="s">
        <v>121</v>
      </c>
      <c r="P1291" t="n">
        <v>1</v>
      </c>
      <c r="Q1291" t="n">
        <v>1</v>
      </c>
      <c r="R1291" t="n">
        <v>1</v>
      </c>
      <c r="S1291" t="n">
        <v>1971</v>
      </c>
      <c r="T1291" t="s">
        <v>4681</v>
      </c>
      <c r="U1291" t="s">
        <v>4682</v>
      </c>
      <c r="V1291" t="s">
        <v>74</v>
      </c>
      <c r="W1291"/>
      <c r="X1291"/>
      <c r="Y1291"/>
      <c r="Z1291"/>
      <c r="AA1291"/>
      <c r="AB1291"/>
      <c r="AC1291"/>
      <c r="AD1291"/>
      <c r="AE1291"/>
      <c r="AF1291" t="s">
        <v>4683</v>
      </c>
      <c r="AG1291" t="n">
        <v>57</v>
      </c>
    </row>
    <row r="1292">
      <c r="A1292" t="s">
        <v>2824</v>
      </c>
      <c r="B1292" t="s">
        <v>31</v>
      </c>
      <c r="C1292" t="s">
        <v>65</v>
      </c>
      <c r="D1292" t="s">
        <v>2825</v>
      </c>
      <c r="E1292" t="s">
        <v>2723</v>
      </c>
      <c r="F1292" t="s">
        <v>2724</v>
      </c>
      <c r="G1292" t="s">
        <v>2778</v>
      </c>
      <c r="H1292" t="n">
        <v>39.7756761212121</v>
      </c>
      <c r="I1292" t="n">
        <v>-105.174657868687</v>
      </c>
      <c r="J1292" t="s">
        <v>35</v>
      </c>
      <c r="K1292" t="s">
        <v>988</v>
      </c>
      <c r="L1292"/>
      <c r="M1292" t="n">
        <v>1973</v>
      </c>
      <c r="N1292" t="n">
        <v>1988</v>
      </c>
      <c r="O1292" t="s">
        <v>82</v>
      </c>
      <c r="P1292" t="n">
        <v>4</v>
      </c>
      <c r="Q1292" t="n">
        <v>2</v>
      </c>
      <c r="R1292" t="n">
        <v>2</v>
      </c>
      <c r="S1292" t="n">
        <v>1971</v>
      </c>
      <c r="T1292" t="s">
        <v>2826</v>
      </c>
      <c r="U1292" t="s">
        <v>2827</v>
      </c>
      <c r="V1292" t="s">
        <v>74</v>
      </c>
      <c r="W1292"/>
      <c r="X1292"/>
      <c r="Y1292"/>
      <c r="Z1292"/>
      <c r="AA1292"/>
      <c r="AB1292" t="s">
        <v>2828</v>
      </c>
      <c r="AC1292" t="n">
        <v>97</v>
      </c>
      <c r="AD1292"/>
      <c r="AE1292"/>
      <c r="AF1292" t="s">
        <v>2829</v>
      </c>
      <c r="AG1292" t="n">
        <v>51</v>
      </c>
    </row>
    <row r="1293">
      <c r="A1293" t="s">
        <v>2830</v>
      </c>
      <c r="B1293" t="s">
        <v>31</v>
      </c>
      <c r="C1293" t="s">
        <v>65</v>
      </c>
      <c r="D1293" t="s">
        <v>2831</v>
      </c>
      <c r="E1293" t="s">
        <v>2723</v>
      </c>
      <c r="F1293" t="s">
        <v>2724</v>
      </c>
      <c r="G1293" t="s">
        <v>2778</v>
      </c>
      <c r="H1293" t="n">
        <v>39.7712921131259</v>
      </c>
      <c r="I1293" t="n">
        <v>-105.196398829014</v>
      </c>
      <c r="J1293" t="s">
        <v>35</v>
      </c>
      <c r="K1293" t="s">
        <v>141</v>
      </c>
      <c r="L1293"/>
      <c r="M1293" t="n">
        <v>1973</v>
      </c>
      <c r="N1293" t="n">
        <v>1974</v>
      </c>
      <c r="O1293" t="s">
        <v>127</v>
      </c>
      <c r="P1293" t="n">
        <v>2</v>
      </c>
      <c r="Q1293" t="n">
        <v>1</v>
      </c>
      <c r="R1293" t="n">
        <v>1</v>
      </c>
      <c r="S1293" t="n">
        <v>1962</v>
      </c>
      <c r="T1293" t="s">
        <v>2832</v>
      </c>
      <c r="U1293" t="s">
        <v>2833</v>
      </c>
      <c r="V1293" t="s">
        <v>74</v>
      </c>
      <c r="W1293"/>
      <c r="X1293"/>
      <c r="Y1293"/>
      <c r="Z1293"/>
      <c r="AA1293"/>
      <c r="AB1293"/>
      <c r="AC1293"/>
      <c r="AD1293"/>
      <c r="AE1293"/>
      <c r="AF1293"/>
      <c r="AG1293"/>
    </row>
    <row r="1294">
      <c r="A1294" t="s">
        <v>4684</v>
      </c>
      <c r="B1294" t="s">
        <v>31</v>
      </c>
      <c r="C1294" t="s">
        <v>24</v>
      </c>
      <c r="D1294" t="s">
        <v>4685</v>
      </c>
      <c r="E1294" t="s">
        <v>2748</v>
      </c>
      <c r="F1294" t="s">
        <v>2724</v>
      </c>
      <c r="G1294" t="s">
        <v>2749</v>
      </c>
      <c r="H1294" t="n">
        <v>39.743923952381</v>
      </c>
      <c r="I1294" t="n">
        <v>-105.080183952381</v>
      </c>
      <c r="J1294" t="s">
        <v>35</v>
      </c>
      <c r="K1294" t="s">
        <v>89</v>
      </c>
      <c r="L1294"/>
      <c r="M1294" t="n">
        <v>1973</v>
      </c>
      <c r="N1294" t="n">
        <v>1983</v>
      </c>
      <c r="O1294" t="s">
        <v>121</v>
      </c>
      <c r="P1294" t="n">
        <v>3</v>
      </c>
      <c r="Q1294" t="n">
        <v>2</v>
      </c>
      <c r="R1294" t="n">
        <v>1</v>
      </c>
      <c r="S1294" t="n">
        <v>1954</v>
      </c>
      <c r="T1294" t="s">
        <v>4686</v>
      </c>
      <c r="U1294" t="s">
        <v>4687</v>
      </c>
      <c r="V1294" t="s">
        <v>4175</v>
      </c>
      <c r="W1294"/>
      <c r="X1294"/>
      <c r="Y1294"/>
      <c r="Z1294"/>
      <c r="AA1294"/>
      <c r="AB1294"/>
      <c r="AC1294"/>
      <c r="AD1294"/>
      <c r="AE1294"/>
      <c r="AF1294" t="s">
        <v>4688</v>
      </c>
      <c r="AG1294" t="n">
        <v>100</v>
      </c>
    </row>
    <row r="1295">
      <c r="A1295" t="s">
        <v>2834</v>
      </c>
      <c r="B1295" t="s">
        <v>31</v>
      </c>
      <c r="C1295" t="s">
        <v>65</v>
      </c>
      <c r="D1295" t="s">
        <v>2835</v>
      </c>
      <c r="E1295" t="s">
        <v>2836</v>
      </c>
      <c r="F1295" t="s">
        <v>2724</v>
      </c>
      <c r="G1295" t="s">
        <v>2837</v>
      </c>
      <c r="H1295" t="n">
        <v>39.6678524406501</v>
      </c>
      <c r="I1295" t="n">
        <v>-105.186151122403</v>
      </c>
      <c r="J1295" t="s">
        <v>35</v>
      </c>
      <c r="K1295" t="s">
        <v>120</v>
      </c>
      <c r="L1295"/>
      <c r="M1295" t="n">
        <v>1973</v>
      </c>
      <c r="N1295" t="n">
        <v>1990</v>
      </c>
      <c r="O1295" t="s">
        <v>310</v>
      </c>
      <c r="P1295" t="n">
        <v>4</v>
      </c>
      <c r="Q1295" t="n">
        <v>3</v>
      </c>
      <c r="R1295" t="n">
        <v>2</v>
      </c>
      <c r="S1295" t="n">
        <v>1965</v>
      </c>
      <c r="T1295" t="s">
        <v>2838</v>
      </c>
      <c r="U1295" t="s">
        <v>2839</v>
      </c>
      <c r="V1295" t="s">
        <v>74</v>
      </c>
      <c r="W1295"/>
      <c r="X1295"/>
      <c r="Y1295"/>
      <c r="Z1295"/>
      <c r="AA1295"/>
      <c r="AB1295"/>
      <c r="AC1295"/>
      <c r="AD1295"/>
      <c r="AE1295"/>
      <c r="AF1295"/>
      <c r="AG1295"/>
    </row>
    <row r="1296">
      <c r="A1296" t="s">
        <v>2840</v>
      </c>
      <c r="B1296" t="s">
        <v>31</v>
      </c>
      <c r="C1296" t="s">
        <v>65</v>
      </c>
      <c r="D1296" t="s">
        <v>2841</v>
      </c>
      <c r="E1296" t="s">
        <v>2769</v>
      </c>
      <c r="F1296" t="s">
        <v>2724</v>
      </c>
      <c r="G1296" t="s">
        <v>2770</v>
      </c>
      <c r="H1296" t="n">
        <v>39.7781849387755</v>
      </c>
      <c r="I1296" t="n">
        <v>-105.117801408163</v>
      </c>
      <c r="J1296" t="s">
        <v>35</v>
      </c>
      <c r="K1296" t="s">
        <v>70</v>
      </c>
      <c r="L1296"/>
      <c r="M1296" t="n">
        <v>1973</v>
      </c>
      <c r="N1296" t="n">
        <v>1977</v>
      </c>
      <c r="O1296" t="s">
        <v>1857</v>
      </c>
      <c r="P1296" t="n">
        <v>3</v>
      </c>
      <c r="Q1296" t="n">
        <v>1</v>
      </c>
      <c r="R1296" t="n">
        <v>1</v>
      </c>
      <c r="S1296"/>
      <c r="T1296" t="s">
        <v>2842</v>
      </c>
      <c r="U1296" t="s">
        <v>2843</v>
      </c>
      <c r="V1296" t="s">
        <v>74</v>
      </c>
      <c r="W1296"/>
      <c r="X1296"/>
      <c r="Y1296"/>
      <c r="Z1296"/>
      <c r="AA1296"/>
      <c r="AB1296" t="s">
        <v>2844</v>
      </c>
      <c r="AC1296" t="n">
        <v>139</v>
      </c>
      <c r="AD1296"/>
      <c r="AE1296"/>
      <c r="AF1296"/>
      <c r="AG1296"/>
    </row>
    <row r="1297">
      <c r="A1297" t="s">
        <v>2845</v>
      </c>
      <c r="B1297" t="s">
        <v>31</v>
      </c>
      <c r="C1297" t="s">
        <v>65</v>
      </c>
      <c r="D1297" t="s">
        <v>2846</v>
      </c>
      <c r="E1297" t="s">
        <v>386</v>
      </c>
      <c r="F1297" t="s">
        <v>2724</v>
      </c>
      <c r="G1297" t="s">
        <v>2809</v>
      </c>
      <c r="H1297" t="n">
        <v>39.5765241365073</v>
      </c>
      <c r="I1297" t="n">
        <v>-105.053665225435</v>
      </c>
      <c r="J1297" t="s">
        <v>35</v>
      </c>
      <c r="K1297" t="s">
        <v>527</v>
      </c>
      <c r="L1297"/>
      <c r="M1297" t="n">
        <v>1974</v>
      </c>
      <c r="N1297" t="n">
        <v>1974</v>
      </c>
      <c r="O1297" t="s">
        <v>210</v>
      </c>
      <c r="P1297" t="n">
        <v>1</v>
      </c>
      <c r="Q1297" t="n">
        <v>1</v>
      </c>
      <c r="R1297" t="n">
        <v>1</v>
      </c>
      <c r="S1297" t="n">
        <v>1958</v>
      </c>
      <c r="T1297" t="s">
        <v>2847</v>
      </c>
      <c r="U1297" t="s">
        <v>2848</v>
      </c>
      <c r="V1297" t="s">
        <v>74</v>
      </c>
      <c r="W1297"/>
      <c r="X1297"/>
      <c r="Y1297"/>
      <c r="Z1297"/>
      <c r="AA1297"/>
      <c r="AB1297"/>
      <c r="AC1297"/>
      <c r="AD1297"/>
      <c r="AE1297"/>
      <c r="AF1297"/>
      <c r="AG1297"/>
    </row>
    <row r="1298">
      <c r="A1298" t="s">
        <v>4689</v>
      </c>
      <c r="B1298" t="s">
        <v>31</v>
      </c>
      <c r="C1298" t="s">
        <v>24</v>
      </c>
      <c r="D1298" t="s">
        <v>4690</v>
      </c>
      <c r="E1298" t="s">
        <v>2729</v>
      </c>
      <c r="F1298" t="s">
        <v>2724</v>
      </c>
      <c r="G1298" t="s">
        <v>2919</v>
      </c>
      <c r="H1298" t="n">
        <v>39.8757388359195</v>
      </c>
      <c r="I1298" t="n">
        <v>-105.070446949015</v>
      </c>
      <c r="J1298" t="s">
        <v>4109</v>
      </c>
      <c r="K1298" t="s">
        <v>70</v>
      </c>
      <c r="L1298"/>
      <c r="M1298" t="n">
        <v>1974</v>
      </c>
      <c r="N1298" t="n">
        <v>1980</v>
      </c>
      <c r="O1298" t="s">
        <v>255</v>
      </c>
      <c r="P1298" t="n">
        <v>2</v>
      </c>
      <c r="Q1298" t="n">
        <v>3</v>
      </c>
      <c r="R1298" t="n">
        <v>1</v>
      </c>
      <c r="S1298" t="n">
        <v>1969</v>
      </c>
      <c r="T1298" t="s">
        <v>4691</v>
      </c>
      <c r="U1298" t="s">
        <v>4692</v>
      </c>
      <c r="V1298" t="s">
        <v>74</v>
      </c>
      <c r="W1298"/>
      <c r="X1298"/>
      <c r="Y1298"/>
      <c r="Z1298"/>
      <c r="AA1298"/>
      <c r="AB1298"/>
      <c r="AC1298"/>
      <c r="AD1298"/>
      <c r="AE1298"/>
      <c r="AF1298"/>
      <c r="AG1298"/>
    </row>
    <row r="1299">
      <c r="A1299" t="s">
        <v>2849</v>
      </c>
      <c r="B1299" t="s">
        <v>31</v>
      </c>
      <c r="C1299" t="s">
        <v>65</v>
      </c>
      <c r="D1299" t="s">
        <v>2850</v>
      </c>
      <c r="E1299" t="s">
        <v>2748</v>
      </c>
      <c r="F1299" t="s">
        <v>2724</v>
      </c>
      <c r="G1299" t="s">
        <v>2851</v>
      </c>
      <c r="H1299" t="n">
        <v>39.6782468571429</v>
      </c>
      <c r="I1299" t="n">
        <v>-105.087433</v>
      </c>
      <c r="J1299" t="s">
        <v>35</v>
      </c>
      <c r="K1299" t="s">
        <v>70</v>
      </c>
      <c r="L1299"/>
      <c r="M1299" t="n">
        <v>1974</v>
      </c>
      <c r="N1299" t="n">
        <v>1977</v>
      </c>
      <c r="O1299" t="s">
        <v>1830</v>
      </c>
      <c r="P1299" t="n">
        <v>2</v>
      </c>
      <c r="Q1299" t="n">
        <v>1</v>
      </c>
      <c r="R1299" t="n">
        <v>1</v>
      </c>
      <c r="S1299" t="n">
        <v>1971</v>
      </c>
      <c r="T1299" t="s">
        <v>2852</v>
      </c>
      <c r="U1299" t="s">
        <v>2853</v>
      </c>
      <c r="V1299" t="s">
        <v>74</v>
      </c>
      <c r="W1299"/>
      <c r="X1299"/>
      <c r="Y1299"/>
      <c r="Z1299"/>
      <c r="AA1299"/>
      <c r="AB1299"/>
      <c r="AC1299"/>
      <c r="AD1299"/>
      <c r="AE1299"/>
      <c r="AF1299"/>
      <c r="AG1299"/>
    </row>
    <row r="1300">
      <c r="A1300" t="s">
        <v>2854</v>
      </c>
      <c r="B1300" t="s">
        <v>31</v>
      </c>
      <c r="C1300" t="s">
        <v>65</v>
      </c>
      <c r="D1300" t="s">
        <v>2855</v>
      </c>
      <c r="E1300" t="s">
        <v>2748</v>
      </c>
      <c r="F1300" t="s">
        <v>2724</v>
      </c>
      <c r="G1300" t="s">
        <v>2856</v>
      </c>
      <c r="H1300" t="n">
        <v>39.7584954285714</v>
      </c>
      <c r="I1300" t="n">
        <v>-105.058443244898</v>
      </c>
      <c r="J1300" t="s">
        <v>35</v>
      </c>
      <c r="K1300" t="s">
        <v>89</v>
      </c>
      <c r="L1300"/>
      <c r="M1300" t="n">
        <v>1974</v>
      </c>
      <c r="N1300" t="n">
        <v>1980</v>
      </c>
      <c r="O1300" t="s">
        <v>1888</v>
      </c>
      <c r="P1300" t="n">
        <v>3</v>
      </c>
      <c r="Q1300" t="n">
        <v>1</v>
      </c>
      <c r="R1300" t="n">
        <v>1</v>
      </c>
      <c r="S1300" t="n">
        <v>1941</v>
      </c>
      <c r="T1300" t="s">
        <v>2857</v>
      </c>
      <c r="U1300" t="s">
        <v>2858</v>
      </c>
      <c r="V1300" t="s">
        <v>74</v>
      </c>
      <c r="W1300"/>
      <c r="X1300"/>
      <c r="Y1300"/>
      <c r="Z1300"/>
      <c r="AA1300"/>
      <c r="AB1300"/>
      <c r="AC1300"/>
      <c r="AD1300"/>
      <c r="AE1300"/>
      <c r="AF1300" t="s">
        <v>2859</v>
      </c>
      <c r="AG1300" t="n">
        <v>172</v>
      </c>
    </row>
    <row r="1301">
      <c r="A1301" t="s">
        <v>4693</v>
      </c>
      <c r="B1301" t="s">
        <v>31</v>
      </c>
      <c r="C1301" t="s">
        <v>24</v>
      </c>
      <c r="D1301" t="s">
        <v>4694</v>
      </c>
      <c r="E1301" t="s">
        <v>2723</v>
      </c>
      <c r="F1301" t="s">
        <v>2724</v>
      </c>
      <c r="G1301" t="s">
        <v>2778</v>
      </c>
      <c r="H1301" t="n">
        <v>39.727328</v>
      </c>
      <c r="I1301" t="n">
        <v>-105.161129</v>
      </c>
      <c r="J1301" t="s">
        <v>4109</v>
      </c>
      <c r="K1301" t="s">
        <v>120</v>
      </c>
      <c r="L1301"/>
      <c r="M1301" t="n">
        <v>1974</v>
      </c>
      <c r="N1301" t="n">
        <v>1990</v>
      </c>
      <c r="O1301" t="s">
        <v>528</v>
      </c>
      <c r="P1301" t="n">
        <v>5</v>
      </c>
      <c r="Q1301" t="n">
        <v>2</v>
      </c>
      <c r="R1301" t="n">
        <v>2</v>
      </c>
      <c r="S1301" t="n">
        <v>1952</v>
      </c>
      <c r="T1301" t="s">
        <v>4695</v>
      </c>
      <c r="U1301" t="s">
        <v>4696</v>
      </c>
      <c r="V1301" t="s">
        <v>74</v>
      </c>
      <c r="W1301"/>
      <c r="X1301"/>
      <c r="Y1301"/>
      <c r="Z1301"/>
      <c r="AA1301"/>
      <c r="AB1301"/>
      <c r="AC1301"/>
      <c r="AD1301"/>
      <c r="AE1301"/>
      <c r="AF1301"/>
      <c r="AG1301"/>
    </row>
    <row r="1302">
      <c r="A1302" t="s">
        <v>4697</v>
      </c>
      <c r="B1302" t="s">
        <v>31</v>
      </c>
      <c r="C1302" t="s">
        <v>24</v>
      </c>
      <c r="D1302" t="s">
        <v>4698</v>
      </c>
      <c r="E1302" t="s">
        <v>2748</v>
      </c>
      <c r="F1302" t="s">
        <v>2724</v>
      </c>
      <c r="G1302" t="s">
        <v>2749</v>
      </c>
      <c r="H1302" t="n">
        <v>39.7480951111111</v>
      </c>
      <c r="I1302" t="n">
        <v>-105.089587777778</v>
      </c>
      <c r="J1302" t="s">
        <v>4109</v>
      </c>
      <c r="K1302" t="s">
        <v>315</v>
      </c>
      <c r="L1302"/>
      <c r="M1302" t="n">
        <v>1974</v>
      </c>
      <c r="N1302" t="n">
        <v>1977</v>
      </c>
      <c r="O1302" t="s">
        <v>1830</v>
      </c>
      <c r="P1302" t="n">
        <v>2</v>
      </c>
      <c r="Q1302" t="n">
        <v>1</v>
      </c>
      <c r="R1302" t="n">
        <v>1</v>
      </c>
      <c r="S1302" t="n">
        <v>1968</v>
      </c>
      <c r="T1302" t="s">
        <v>4699</v>
      </c>
      <c r="U1302" t="s">
        <v>4700</v>
      </c>
      <c r="V1302" t="s">
        <v>74</v>
      </c>
      <c r="W1302"/>
      <c r="X1302"/>
      <c r="Y1302"/>
      <c r="Z1302"/>
      <c r="AA1302"/>
      <c r="AB1302"/>
      <c r="AC1302"/>
      <c r="AD1302"/>
      <c r="AE1302"/>
      <c r="AF1302"/>
      <c r="AG1302"/>
    </row>
    <row r="1303">
      <c r="A1303" t="s">
        <v>2860</v>
      </c>
      <c r="B1303" t="s">
        <v>31</v>
      </c>
      <c r="C1303" t="s">
        <v>65</v>
      </c>
      <c r="D1303" t="s">
        <v>2861</v>
      </c>
      <c r="E1303" t="s">
        <v>2748</v>
      </c>
      <c r="F1303" t="s">
        <v>2724</v>
      </c>
      <c r="G1303" t="s">
        <v>2856</v>
      </c>
      <c r="H1303" t="n">
        <v>39.73654</v>
      </c>
      <c r="I1303" t="n">
        <v>-105.086116</v>
      </c>
      <c r="J1303" t="s">
        <v>35</v>
      </c>
      <c r="K1303" t="s">
        <v>70</v>
      </c>
      <c r="L1303"/>
      <c r="M1303" t="n">
        <v>1974</v>
      </c>
      <c r="N1303" t="n">
        <v>1974</v>
      </c>
      <c r="O1303" t="s">
        <v>210</v>
      </c>
      <c r="P1303" t="n">
        <v>1</v>
      </c>
      <c r="Q1303" t="n">
        <v>1</v>
      </c>
      <c r="R1303" t="n">
        <v>1</v>
      </c>
      <c r="S1303" t="n">
        <v>1949</v>
      </c>
      <c r="T1303" t="s">
        <v>2862</v>
      </c>
      <c r="U1303" t="s">
        <v>2863</v>
      </c>
      <c r="V1303" t="s">
        <v>74</v>
      </c>
      <c r="W1303"/>
      <c r="X1303"/>
      <c r="Y1303"/>
      <c r="Z1303"/>
      <c r="AA1303"/>
      <c r="AB1303"/>
      <c r="AC1303"/>
      <c r="AD1303"/>
      <c r="AE1303"/>
      <c r="AF1303" t="s">
        <v>2864</v>
      </c>
      <c r="AG1303" t="n">
        <v>237</v>
      </c>
    </row>
    <row r="1304">
      <c r="A1304" t="s">
        <v>4701</v>
      </c>
      <c r="B1304" t="s">
        <v>31</v>
      </c>
      <c r="C1304" t="s">
        <v>24</v>
      </c>
      <c r="D1304" t="s">
        <v>4702</v>
      </c>
      <c r="E1304" t="s">
        <v>2748</v>
      </c>
      <c r="F1304" t="s">
        <v>2724</v>
      </c>
      <c r="G1304" t="s">
        <v>2851</v>
      </c>
      <c r="H1304" t="n">
        <v>39.669901</v>
      </c>
      <c r="I1304" t="n">
        <v>-105.106613</v>
      </c>
      <c r="J1304" t="s">
        <v>4109</v>
      </c>
      <c r="K1304" t="s">
        <v>89</v>
      </c>
      <c r="L1304"/>
      <c r="M1304" t="n">
        <v>1974</v>
      </c>
      <c r="N1304" t="n">
        <v>1980</v>
      </c>
      <c r="O1304" t="s">
        <v>221</v>
      </c>
      <c r="P1304" t="n">
        <v>3</v>
      </c>
      <c r="Q1304" t="n">
        <v>2</v>
      </c>
      <c r="R1304" t="n">
        <v>1</v>
      </c>
      <c r="S1304" t="n">
        <v>1929</v>
      </c>
      <c r="T1304" t="s">
        <v>4703</v>
      </c>
      <c r="U1304" t="s">
        <v>4704</v>
      </c>
      <c r="V1304" t="s">
        <v>74</v>
      </c>
      <c r="W1304"/>
      <c r="X1304"/>
      <c r="Y1304"/>
      <c r="Z1304"/>
      <c r="AA1304"/>
      <c r="AB1304"/>
      <c r="AC1304"/>
      <c r="AD1304"/>
      <c r="AE1304"/>
      <c r="AF1304"/>
      <c r="AG1304"/>
    </row>
    <row r="1305">
      <c r="A1305" t="s">
        <v>2865</v>
      </c>
      <c r="B1305" t="s">
        <v>31</v>
      </c>
      <c r="C1305" t="s">
        <v>65</v>
      </c>
      <c r="D1305" t="s">
        <v>2866</v>
      </c>
      <c r="E1305" t="s">
        <v>2748</v>
      </c>
      <c r="F1305" t="s">
        <v>2724</v>
      </c>
      <c r="G1305" t="s">
        <v>2856</v>
      </c>
      <c r="H1305" t="n">
        <v>39.734871621501</v>
      </c>
      <c r="I1305" t="n">
        <v>-105.062997343078</v>
      </c>
      <c r="J1305" t="s">
        <v>35</v>
      </c>
      <c r="K1305" t="s">
        <v>133</v>
      </c>
      <c r="L1305"/>
      <c r="M1305" t="n">
        <v>1974</v>
      </c>
      <c r="N1305" t="n">
        <v>1977</v>
      </c>
      <c r="O1305" t="s">
        <v>210</v>
      </c>
      <c r="P1305" t="n">
        <v>2</v>
      </c>
      <c r="Q1305" t="n">
        <v>2</v>
      </c>
      <c r="R1305" t="n">
        <v>1</v>
      </c>
      <c r="S1305" t="n">
        <v>1972</v>
      </c>
      <c r="T1305" t="s">
        <v>2867</v>
      </c>
      <c r="U1305" t="s">
        <v>2868</v>
      </c>
      <c r="V1305" t="s">
        <v>74</v>
      </c>
      <c r="W1305"/>
      <c r="X1305"/>
      <c r="Y1305"/>
      <c r="Z1305"/>
      <c r="AA1305"/>
      <c r="AB1305" t="s">
        <v>2869</v>
      </c>
      <c r="AC1305" t="n">
        <v>129</v>
      </c>
      <c r="AD1305" t="s">
        <v>2870</v>
      </c>
      <c r="AE1305" t="n">
        <v>181</v>
      </c>
      <c r="AF1305" t="s">
        <v>2871</v>
      </c>
      <c r="AG1305" t="n">
        <v>104</v>
      </c>
    </row>
    <row r="1306">
      <c r="A1306" t="s">
        <v>2872</v>
      </c>
      <c r="B1306" t="s">
        <v>31</v>
      </c>
      <c r="C1306" t="s">
        <v>65</v>
      </c>
      <c r="D1306" t="s">
        <v>2873</v>
      </c>
      <c r="E1306" t="s">
        <v>2836</v>
      </c>
      <c r="F1306" t="s">
        <v>2724</v>
      </c>
      <c r="G1306" t="s">
        <v>2837</v>
      </c>
      <c r="H1306" t="n">
        <v>39.6633309139233</v>
      </c>
      <c r="I1306" t="n">
        <v>-105.18469921786</v>
      </c>
      <c r="J1306" t="s">
        <v>35</v>
      </c>
      <c r="K1306" t="s">
        <v>315</v>
      </c>
      <c r="L1306"/>
      <c r="M1306" t="n">
        <v>1974</v>
      </c>
      <c r="N1306" t="n">
        <v>1990</v>
      </c>
      <c r="O1306" t="s">
        <v>2874</v>
      </c>
      <c r="P1306" t="n">
        <v>4</v>
      </c>
      <c r="Q1306" t="n">
        <v>2</v>
      </c>
      <c r="R1306" t="n">
        <v>2</v>
      </c>
      <c r="S1306" t="n">
        <v>1962</v>
      </c>
      <c r="T1306" t="s">
        <v>2875</v>
      </c>
      <c r="U1306" t="s">
        <v>2876</v>
      </c>
      <c r="V1306" t="s">
        <v>74</v>
      </c>
      <c r="W1306"/>
      <c r="X1306"/>
      <c r="Y1306"/>
      <c r="Z1306"/>
      <c r="AA1306"/>
      <c r="AB1306"/>
      <c r="AC1306"/>
      <c r="AD1306"/>
      <c r="AE1306"/>
      <c r="AF1306" t="s">
        <v>2877</v>
      </c>
      <c r="AG1306" t="n">
        <v>217</v>
      </c>
    </row>
    <row r="1307">
      <c r="A1307" t="s">
        <v>4705</v>
      </c>
      <c r="B1307" t="s">
        <v>31</v>
      </c>
      <c r="C1307" t="s">
        <v>24</v>
      </c>
      <c r="D1307" t="s">
        <v>4706</v>
      </c>
      <c r="E1307" t="s">
        <v>2729</v>
      </c>
      <c r="F1307" t="s">
        <v>2724</v>
      </c>
      <c r="G1307" t="s">
        <v>2730</v>
      </c>
      <c r="H1307" t="n">
        <v>39.873959</v>
      </c>
      <c r="I1307" t="n">
        <v>-105.106568</v>
      </c>
      <c r="J1307" t="s">
        <v>4109</v>
      </c>
      <c r="K1307" t="s">
        <v>89</v>
      </c>
      <c r="L1307"/>
      <c r="M1307" t="n">
        <v>1977</v>
      </c>
      <c r="N1307" t="n">
        <v>1977</v>
      </c>
      <c r="O1307" t="s">
        <v>228</v>
      </c>
      <c r="P1307" t="n">
        <v>1</v>
      </c>
      <c r="Q1307" t="n">
        <v>1</v>
      </c>
      <c r="R1307" t="n">
        <v>1</v>
      </c>
      <c r="S1307" t="n">
        <v>1954</v>
      </c>
      <c r="T1307" t="s">
        <v>4707</v>
      </c>
      <c r="U1307" t="s">
        <v>4708</v>
      </c>
      <c r="V1307" t="s">
        <v>74</v>
      </c>
      <c r="W1307"/>
      <c r="X1307"/>
      <c r="Y1307"/>
      <c r="Z1307"/>
      <c r="AA1307"/>
      <c r="AB1307"/>
      <c r="AC1307"/>
      <c r="AD1307"/>
      <c r="AE1307"/>
      <c r="AF1307"/>
      <c r="AG1307"/>
    </row>
    <row r="1308">
      <c r="A1308" t="s">
        <v>2878</v>
      </c>
      <c r="B1308" t="s">
        <v>31</v>
      </c>
      <c r="C1308" t="s">
        <v>65</v>
      </c>
      <c r="D1308" t="s">
        <v>2879</v>
      </c>
      <c r="E1308" t="s">
        <v>2729</v>
      </c>
      <c r="F1308" t="s">
        <v>2724</v>
      </c>
      <c r="G1308" t="s">
        <v>2730</v>
      </c>
      <c r="H1308" t="n">
        <v>39.7910901428571</v>
      </c>
      <c r="I1308" t="n">
        <v>-105.067832</v>
      </c>
      <c r="J1308" t="s">
        <v>35</v>
      </c>
      <c r="K1308" t="s">
        <v>120</v>
      </c>
      <c r="L1308"/>
      <c r="M1308" t="n">
        <v>1977</v>
      </c>
      <c r="N1308" t="n">
        <v>1983</v>
      </c>
      <c r="O1308" t="s">
        <v>1949</v>
      </c>
      <c r="P1308" t="n">
        <v>3</v>
      </c>
      <c r="Q1308" t="n">
        <v>3</v>
      </c>
      <c r="R1308" t="n">
        <v>2</v>
      </c>
      <c r="S1308" t="n">
        <v>1970</v>
      </c>
      <c r="T1308" t="s">
        <v>2880</v>
      </c>
      <c r="U1308" t="s">
        <v>2881</v>
      </c>
      <c r="V1308" t="s">
        <v>74</v>
      </c>
      <c r="W1308"/>
      <c r="X1308"/>
      <c r="Y1308"/>
      <c r="Z1308"/>
      <c r="AA1308"/>
      <c r="AB1308"/>
      <c r="AC1308"/>
      <c r="AD1308"/>
      <c r="AE1308"/>
      <c r="AF1308" t="s">
        <v>2882</v>
      </c>
      <c r="AG1308" t="n">
        <v>94</v>
      </c>
    </row>
    <row r="1309">
      <c r="A1309" t="s">
        <v>2883</v>
      </c>
      <c r="B1309" t="s">
        <v>31</v>
      </c>
      <c r="C1309" t="s">
        <v>65</v>
      </c>
      <c r="D1309" t="s">
        <v>2884</v>
      </c>
      <c r="E1309" t="s">
        <v>2723</v>
      </c>
      <c r="F1309" t="s">
        <v>2724</v>
      </c>
      <c r="G1309" t="s">
        <v>2778</v>
      </c>
      <c r="H1309" t="n">
        <v>39.77616</v>
      </c>
      <c r="I1309" t="n">
        <v>-105.172134</v>
      </c>
      <c r="J1309" t="s">
        <v>35</v>
      </c>
      <c r="K1309" t="s">
        <v>141</v>
      </c>
      <c r="L1309"/>
      <c r="M1309" t="n">
        <v>1977</v>
      </c>
      <c r="N1309" t="n">
        <v>1980</v>
      </c>
      <c r="O1309" t="s">
        <v>1949</v>
      </c>
      <c r="P1309" t="n">
        <v>2</v>
      </c>
      <c r="Q1309" t="n">
        <v>1</v>
      </c>
      <c r="R1309" t="n">
        <v>1</v>
      </c>
      <c r="S1309" t="n">
        <v>1962</v>
      </c>
      <c r="T1309" t="s">
        <v>2885</v>
      </c>
      <c r="U1309" t="s">
        <v>2886</v>
      </c>
      <c r="V1309" t="s">
        <v>74</v>
      </c>
      <c r="W1309"/>
      <c r="X1309"/>
      <c r="Y1309"/>
      <c r="Z1309"/>
      <c r="AA1309"/>
      <c r="AB1309" t="s">
        <v>2828</v>
      </c>
      <c r="AC1309" t="n">
        <v>240</v>
      </c>
      <c r="AD1309" t="s">
        <v>2887</v>
      </c>
      <c r="AE1309" t="n">
        <v>221</v>
      </c>
      <c r="AF1309" t="s">
        <v>2888</v>
      </c>
      <c r="AG1309" t="n">
        <v>204</v>
      </c>
    </row>
    <row r="1310">
      <c r="A1310" t="s">
        <v>2889</v>
      </c>
      <c r="B1310" t="s">
        <v>31</v>
      </c>
      <c r="C1310" t="s">
        <v>65</v>
      </c>
      <c r="D1310" t="s">
        <v>2890</v>
      </c>
      <c r="E1310" t="s">
        <v>2748</v>
      </c>
      <c r="F1310" t="s">
        <v>2724</v>
      </c>
      <c r="G1310" t="s">
        <v>2763</v>
      </c>
      <c r="H1310" t="n">
        <v>39.7146825808347</v>
      </c>
      <c r="I1310" t="n">
        <v>-105.079777197219</v>
      </c>
      <c r="J1310" t="s">
        <v>35</v>
      </c>
      <c r="K1310" t="s">
        <v>282</v>
      </c>
      <c r="L1310" t="s">
        <v>98</v>
      </c>
      <c r="M1310" t="n">
        <v>1977</v>
      </c>
      <c r="N1310" t="n">
        <v>1977</v>
      </c>
      <c r="O1310" t="s">
        <v>228</v>
      </c>
      <c r="P1310" t="n">
        <v>1</v>
      </c>
      <c r="Q1310" t="n">
        <v>1</v>
      </c>
      <c r="R1310" t="n">
        <v>1</v>
      </c>
      <c r="S1310" t="n">
        <v>1953</v>
      </c>
      <c r="T1310" t="s">
        <v>2891</v>
      </c>
      <c r="U1310" t="s">
        <v>2892</v>
      </c>
      <c r="V1310" t="s">
        <v>74</v>
      </c>
      <c r="W1310"/>
      <c r="X1310"/>
      <c r="Y1310"/>
      <c r="Z1310"/>
      <c r="AA1310"/>
      <c r="AB1310"/>
      <c r="AC1310"/>
      <c r="AD1310"/>
      <c r="AE1310"/>
      <c r="AF1310" t="s">
        <v>2893</v>
      </c>
      <c r="AG1310" t="n">
        <v>143</v>
      </c>
    </row>
    <row r="1311">
      <c r="A1311" t="s">
        <v>2894</v>
      </c>
      <c r="B1311" t="s">
        <v>31</v>
      </c>
      <c r="C1311" t="s">
        <v>65</v>
      </c>
      <c r="D1311" t="s">
        <v>2895</v>
      </c>
      <c r="E1311" t="s">
        <v>2769</v>
      </c>
      <c r="F1311" t="s">
        <v>2724</v>
      </c>
      <c r="G1311" t="s">
        <v>2770</v>
      </c>
      <c r="H1311" t="n">
        <v>39.7833357799228</v>
      </c>
      <c r="I1311" t="n">
        <v>-105.090957930502</v>
      </c>
      <c r="J1311" t="s">
        <v>35</v>
      </c>
      <c r="K1311" t="s">
        <v>2896</v>
      </c>
      <c r="L1311"/>
      <c r="M1311" t="n">
        <v>1977</v>
      </c>
      <c r="N1311" t="n">
        <v>1983</v>
      </c>
      <c r="O1311" t="s">
        <v>829</v>
      </c>
      <c r="P1311" t="n">
        <v>3</v>
      </c>
      <c r="Q1311" t="n">
        <v>7</v>
      </c>
      <c r="R1311" t="n">
        <v>5</v>
      </c>
      <c r="S1311" t="n">
        <v>1955</v>
      </c>
      <c r="T1311" t="s">
        <v>2897</v>
      </c>
      <c r="U1311" t="s">
        <v>2898</v>
      </c>
      <c r="V1311" t="s">
        <v>74</v>
      </c>
      <c r="W1311"/>
      <c r="X1311"/>
      <c r="Y1311"/>
      <c r="Z1311"/>
      <c r="AA1311"/>
      <c r="AB1311"/>
      <c r="AC1311"/>
      <c r="AD1311"/>
      <c r="AE1311"/>
      <c r="AF1311"/>
      <c r="AG1311"/>
    </row>
    <row r="1312">
      <c r="A1312" t="s">
        <v>2899</v>
      </c>
      <c r="B1312" t="s">
        <v>31</v>
      </c>
      <c r="C1312" t="s">
        <v>65</v>
      </c>
      <c r="D1312" t="s">
        <v>2900</v>
      </c>
      <c r="E1312" t="s">
        <v>2769</v>
      </c>
      <c r="F1312" t="s">
        <v>2724</v>
      </c>
      <c r="G1312" t="s">
        <v>2770</v>
      </c>
      <c r="H1312" t="n">
        <v>39.7767106394558</v>
      </c>
      <c r="I1312" t="n">
        <v>-105.085935414966</v>
      </c>
      <c r="J1312" t="s">
        <v>35</v>
      </c>
      <c r="K1312" t="s">
        <v>201</v>
      </c>
      <c r="L1312" t="s">
        <v>2901</v>
      </c>
      <c r="M1312" t="n">
        <v>1977</v>
      </c>
      <c r="N1312" t="n">
        <v>1990</v>
      </c>
      <c r="O1312" t="s">
        <v>2902</v>
      </c>
      <c r="P1312" t="n">
        <v>3</v>
      </c>
      <c r="Q1312" t="n">
        <v>3</v>
      </c>
      <c r="R1312" t="n">
        <v>2</v>
      </c>
      <c r="S1312" t="n">
        <v>1972</v>
      </c>
      <c r="T1312" t="s">
        <v>2903</v>
      </c>
      <c r="U1312" t="s">
        <v>2904</v>
      </c>
      <c r="V1312" t="s">
        <v>74</v>
      </c>
      <c r="W1312"/>
      <c r="X1312"/>
      <c r="Y1312"/>
      <c r="Z1312"/>
      <c r="AA1312"/>
      <c r="AB1312" t="s">
        <v>2905</v>
      </c>
      <c r="AC1312" t="n">
        <v>221</v>
      </c>
      <c r="AD1312"/>
      <c r="AE1312"/>
      <c r="AF1312" t="s">
        <v>2906</v>
      </c>
      <c r="AG1312" t="n">
        <v>74</v>
      </c>
    </row>
    <row r="1313">
      <c r="A1313" t="s">
        <v>2907</v>
      </c>
      <c r="B1313" t="s">
        <v>31</v>
      </c>
      <c r="C1313" t="s">
        <v>65</v>
      </c>
      <c r="D1313" t="s">
        <v>2908</v>
      </c>
      <c r="E1313" t="s">
        <v>2769</v>
      </c>
      <c r="F1313" t="s">
        <v>2724</v>
      </c>
      <c r="G1313" t="s">
        <v>2770</v>
      </c>
      <c r="H1313" t="n">
        <v>39.7644873056035</v>
      </c>
      <c r="I1313" t="n">
        <v>-105.135871721242</v>
      </c>
      <c r="J1313" t="s">
        <v>35</v>
      </c>
      <c r="K1313" t="s">
        <v>70</v>
      </c>
      <c r="L1313"/>
      <c r="M1313" t="n">
        <v>1977</v>
      </c>
      <c r="N1313" t="n">
        <v>1977</v>
      </c>
      <c r="O1313" t="s">
        <v>228</v>
      </c>
      <c r="P1313" t="n">
        <v>1</v>
      </c>
      <c r="Q1313" t="n">
        <v>1</v>
      </c>
      <c r="R1313" t="n">
        <v>1</v>
      </c>
      <c r="S1313" t="n">
        <v>1976</v>
      </c>
      <c r="T1313" t="s">
        <v>2909</v>
      </c>
      <c r="U1313" t="s">
        <v>2910</v>
      </c>
      <c r="V1313" t="s">
        <v>74</v>
      </c>
      <c r="W1313"/>
      <c r="X1313"/>
      <c r="Y1313"/>
      <c r="Z1313"/>
      <c r="AA1313"/>
      <c r="AB1313"/>
      <c r="AC1313"/>
      <c r="AD1313"/>
      <c r="AE1313"/>
      <c r="AF1313" t="s">
        <v>2911</v>
      </c>
      <c r="AG1313" t="n">
        <v>174</v>
      </c>
    </row>
    <row r="1314">
      <c r="A1314" t="s">
        <v>4709</v>
      </c>
      <c r="B1314" t="s">
        <v>31</v>
      </c>
      <c r="C1314" t="s">
        <v>24</v>
      </c>
      <c r="D1314" t="s">
        <v>4710</v>
      </c>
      <c r="E1314" t="s">
        <v>2729</v>
      </c>
      <c r="F1314" t="s">
        <v>2724</v>
      </c>
      <c r="G1314" t="s">
        <v>2952</v>
      </c>
      <c r="H1314" t="n">
        <v>39.8526721202913</v>
      </c>
      <c r="I1314" t="n">
        <v>-105.072256735727</v>
      </c>
      <c r="J1314" t="s">
        <v>4109</v>
      </c>
      <c r="K1314" t="s">
        <v>120</v>
      </c>
      <c r="L1314"/>
      <c r="M1314" t="n">
        <v>1980</v>
      </c>
      <c r="N1314" t="n">
        <v>1980</v>
      </c>
      <c r="O1314" t="s">
        <v>255</v>
      </c>
      <c r="P1314" t="n">
        <v>1</v>
      </c>
      <c r="Q1314" t="n">
        <v>1</v>
      </c>
      <c r="R1314" t="n">
        <v>1</v>
      </c>
      <c r="S1314" t="n">
        <v>1975</v>
      </c>
      <c r="T1314" t="s">
        <v>4711</v>
      </c>
      <c r="U1314" t="s">
        <v>4712</v>
      </c>
      <c r="V1314" t="s">
        <v>74</v>
      </c>
      <c r="W1314"/>
      <c r="X1314"/>
      <c r="Y1314"/>
      <c r="Z1314"/>
      <c r="AA1314"/>
      <c r="AB1314"/>
      <c r="AC1314"/>
      <c r="AD1314"/>
      <c r="AE1314"/>
      <c r="AF1314"/>
      <c r="AG1314"/>
    </row>
    <row r="1315">
      <c r="A1315" t="s">
        <v>4713</v>
      </c>
      <c r="B1315" t="s">
        <v>31</v>
      </c>
      <c r="C1315" t="s">
        <v>24</v>
      </c>
      <c r="D1315" t="s">
        <v>4714</v>
      </c>
      <c r="E1315" t="s">
        <v>2729</v>
      </c>
      <c r="F1315" t="s">
        <v>2724</v>
      </c>
      <c r="G1315" t="s">
        <v>2730</v>
      </c>
      <c r="H1315" t="n">
        <v>39.7655312653061</v>
      </c>
      <c r="I1315" t="n">
        <v>-105.062625938775</v>
      </c>
      <c r="J1315" t="s">
        <v>4109</v>
      </c>
      <c r="K1315" t="s">
        <v>120</v>
      </c>
      <c r="L1315"/>
      <c r="M1315" t="n">
        <v>1980</v>
      </c>
      <c r="N1315" t="n">
        <v>1983</v>
      </c>
      <c r="O1315" t="s">
        <v>264</v>
      </c>
      <c r="P1315" t="n">
        <v>2</v>
      </c>
      <c r="Q1315" t="n">
        <v>2</v>
      </c>
      <c r="R1315" t="n">
        <v>1</v>
      </c>
      <c r="S1315" t="n">
        <v>1931</v>
      </c>
      <c r="T1315" t="s">
        <v>4715</v>
      </c>
      <c r="U1315" t="s">
        <v>4716</v>
      </c>
      <c r="V1315" t="s">
        <v>74</v>
      </c>
      <c r="W1315"/>
      <c r="X1315"/>
      <c r="Y1315"/>
      <c r="Z1315"/>
      <c r="AA1315"/>
      <c r="AB1315"/>
      <c r="AC1315"/>
      <c r="AD1315"/>
      <c r="AE1315"/>
      <c r="AF1315"/>
      <c r="AG1315"/>
    </row>
    <row r="1316">
      <c r="A1316" t="s">
        <v>4717</v>
      </c>
      <c r="B1316" t="s">
        <v>31</v>
      </c>
      <c r="C1316" t="s">
        <v>24</v>
      </c>
      <c r="D1316" t="s">
        <v>4718</v>
      </c>
      <c r="E1316" t="s">
        <v>2729</v>
      </c>
      <c r="F1316" t="s">
        <v>2724</v>
      </c>
      <c r="G1316" t="s">
        <v>2730</v>
      </c>
      <c r="H1316" t="n">
        <v>39.8749859337456</v>
      </c>
      <c r="I1316" t="n">
        <v>-105.037267454721</v>
      </c>
      <c r="J1316" t="s">
        <v>4109</v>
      </c>
      <c r="K1316" t="s">
        <v>141</v>
      </c>
      <c r="L1316"/>
      <c r="M1316" t="n">
        <v>1980</v>
      </c>
      <c r="N1316" t="n">
        <v>1980</v>
      </c>
      <c r="O1316" t="s">
        <v>255</v>
      </c>
      <c r="P1316" t="n">
        <v>1</v>
      </c>
      <c r="Q1316" t="n">
        <v>1</v>
      </c>
      <c r="R1316" t="n">
        <v>1</v>
      </c>
      <c r="S1316" t="n">
        <v>1953</v>
      </c>
      <c r="T1316" t="s">
        <v>4719</v>
      </c>
      <c r="U1316" t="s">
        <v>4720</v>
      </c>
      <c r="V1316" t="s">
        <v>74</v>
      </c>
      <c r="W1316"/>
      <c r="X1316"/>
      <c r="Y1316"/>
      <c r="Z1316"/>
      <c r="AA1316"/>
      <c r="AB1316"/>
      <c r="AC1316"/>
      <c r="AD1316"/>
      <c r="AE1316"/>
      <c r="AF1316"/>
      <c r="AG1316"/>
    </row>
    <row r="1317">
      <c r="A1317" t="s">
        <v>4721</v>
      </c>
      <c r="B1317" t="s">
        <v>31</v>
      </c>
      <c r="C1317" t="s">
        <v>24</v>
      </c>
      <c r="D1317" t="s">
        <v>4722</v>
      </c>
      <c r="E1317" t="s">
        <v>2729</v>
      </c>
      <c r="F1317" t="s">
        <v>2724</v>
      </c>
      <c r="G1317" t="s">
        <v>2730</v>
      </c>
      <c r="H1317" t="n">
        <v>39.867217</v>
      </c>
      <c r="I1317" t="n">
        <v>-105.104954</v>
      </c>
      <c r="J1317" t="s">
        <v>4109</v>
      </c>
      <c r="K1317" t="s">
        <v>70</v>
      </c>
      <c r="L1317"/>
      <c r="M1317" t="n">
        <v>1980</v>
      </c>
      <c r="N1317" t="n">
        <v>1980</v>
      </c>
      <c r="O1317" t="s">
        <v>255</v>
      </c>
      <c r="P1317" t="n">
        <v>1</v>
      </c>
      <c r="Q1317" t="n">
        <v>1</v>
      </c>
      <c r="R1317" t="n">
        <v>1</v>
      </c>
      <c r="S1317" t="n">
        <v>1955</v>
      </c>
      <c r="T1317" t="s">
        <v>4723</v>
      </c>
      <c r="U1317" t="s">
        <v>4724</v>
      </c>
      <c r="V1317" t="s">
        <v>74</v>
      </c>
      <c r="W1317"/>
      <c r="X1317"/>
      <c r="Y1317"/>
      <c r="Z1317"/>
      <c r="AA1317"/>
      <c r="AB1317"/>
      <c r="AC1317"/>
      <c r="AD1317"/>
      <c r="AE1317"/>
      <c r="AF1317"/>
      <c r="AG1317"/>
    </row>
    <row r="1318">
      <c r="A1318" t="s">
        <v>2912</v>
      </c>
      <c r="B1318" t="s">
        <v>31</v>
      </c>
      <c r="C1318" t="s">
        <v>65</v>
      </c>
      <c r="D1318" t="s">
        <v>2913</v>
      </c>
      <c r="E1318" t="s">
        <v>2729</v>
      </c>
      <c r="F1318" t="s">
        <v>2724</v>
      </c>
      <c r="G1318" t="s">
        <v>2914</v>
      </c>
      <c r="H1318" t="n">
        <v>39.8323258613173</v>
      </c>
      <c r="I1318" t="n">
        <v>-105.11600286749</v>
      </c>
      <c r="J1318" t="s">
        <v>35</v>
      </c>
      <c r="K1318" t="s">
        <v>70</v>
      </c>
      <c r="L1318"/>
      <c r="M1318" t="n">
        <v>1980</v>
      </c>
      <c r="N1318" t="n">
        <v>1983</v>
      </c>
      <c r="O1318" t="s">
        <v>528</v>
      </c>
      <c r="P1318" t="n">
        <v>2</v>
      </c>
      <c r="Q1318" t="n">
        <v>1</v>
      </c>
      <c r="R1318" t="n">
        <v>1</v>
      </c>
      <c r="S1318" t="n">
        <v>1969</v>
      </c>
      <c r="T1318" t="s">
        <v>2915</v>
      </c>
      <c r="U1318" t="s">
        <v>2916</v>
      </c>
      <c r="V1318" t="s">
        <v>74</v>
      </c>
      <c r="W1318"/>
      <c r="X1318"/>
      <c r="Y1318"/>
      <c r="Z1318"/>
      <c r="AA1318"/>
      <c r="AB1318"/>
      <c r="AC1318"/>
      <c r="AD1318"/>
      <c r="AE1318"/>
      <c r="AF1318"/>
      <c r="AG1318"/>
    </row>
    <row r="1319">
      <c r="A1319" t="s">
        <v>4725</v>
      </c>
      <c r="B1319" t="s">
        <v>31</v>
      </c>
      <c r="C1319" t="s">
        <v>24</v>
      </c>
      <c r="D1319" t="s">
        <v>4726</v>
      </c>
      <c r="E1319" t="s">
        <v>2729</v>
      </c>
      <c r="F1319" t="s">
        <v>2724</v>
      </c>
      <c r="G1319" t="s">
        <v>2730</v>
      </c>
      <c r="H1319" t="n">
        <v>39.8773337068273</v>
      </c>
      <c r="I1319" t="n">
        <v>-105.067730259694</v>
      </c>
      <c r="J1319" t="s">
        <v>4109</v>
      </c>
      <c r="K1319" t="s">
        <v>89</v>
      </c>
      <c r="L1319"/>
      <c r="M1319" t="n">
        <v>1980</v>
      </c>
      <c r="N1319" t="n">
        <v>1980</v>
      </c>
      <c r="O1319" t="s">
        <v>255</v>
      </c>
      <c r="P1319" t="n">
        <v>1</v>
      </c>
      <c r="Q1319" t="n">
        <v>1</v>
      </c>
      <c r="R1319" t="n">
        <v>1</v>
      </c>
      <c r="S1319" t="n">
        <v>1972</v>
      </c>
      <c r="T1319" t="s">
        <v>4727</v>
      </c>
      <c r="U1319" t="s">
        <v>4728</v>
      </c>
      <c r="V1319" t="s">
        <v>74</v>
      </c>
      <c r="W1319"/>
      <c r="X1319"/>
      <c r="Y1319"/>
      <c r="Z1319"/>
      <c r="AA1319"/>
      <c r="AB1319"/>
      <c r="AC1319"/>
      <c r="AD1319"/>
      <c r="AE1319"/>
      <c r="AF1319"/>
      <c r="AG1319"/>
    </row>
    <row r="1320">
      <c r="A1320" t="s">
        <v>4729</v>
      </c>
      <c r="B1320" t="s">
        <v>31</v>
      </c>
      <c r="C1320" t="s">
        <v>24</v>
      </c>
      <c r="D1320" t="s">
        <v>4730</v>
      </c>
      <c r="E1320" t="s">
        <v>2729</v>
      </c>
      <c r="F1320" t="s">
        <v>2724</v>
      </c>
      <c r="G1320" t="s">
        <v>2730</v>
      </c>
      <c r="H1320" t="n">
        <v>39.869727611359</v>
      </c>
      <c r="I1320" t="n">
        <v>-105.060955889656</v>
      </c>
      <c r="J1320" t="s">
        <v>4109</v>
      </c>
      <c r="K1320" t="s">
        <v>70</v>
      </c>
      <c r="L1320"/>
      <c r="M1320" t="n">
        <v>1980</v>
      </c>
      <c r="N1320" t="n">
        <v>1980</v>
      </c>
      <c r="O1320" t="s">
        <v>255</v>
      </c>
      <c r="P1320" t="n">
        <v>1</v>
      </c>
      <c r="Q1320" t="n">
        <v>1</v>
      </c>
      <c r="R1320" t="n">
        <v>1</v>
      </c>
      <c r="S1320" t="n">
        <v>1976</v>
      </c>
      <c r="T1320" t="s">
        <v>4731</v>
      </c>
      <c r="U1320" t="s">
        <v>4732</v>
      </c>
      <c r="V1320" t="s">
        <v>74</v>
      </c>
      <c r="W1320"/>
      <c r="X1320"/>
      <c r="Y1320"/>
      <c r="Z1320"/>
      <c r="AA1320"/>
      <c r="AB1320"/>
      <c r="AC1320"/>
      <c r="AD1320"/>
      <c r="AE1320"/>
      <c r="AF1320"/>
      <c r="AG1320"/>
    </row>
    <row r="1321">
      <c r="A1321" t="s">
        <v>4733</v>
      </c>
      <c r="B1321" t="s">
        <v>31</v>
      </c>
      <c r="C1321" t="s">
        <v>24</v>
      </c>
      <c r="D1321" t="s">
        <v>4734</v>
      </c>
      <c r="E1321" t="s">
        <v>2729</v>
      </c>
      <c r="F1321" t="s">
        <v>2724</v>
      </c>
      <c r="G1321" t="s">
        <v>2730</v>
      </c>
      <c r="H1321" t="n">
        <v>39.868259</v>
      </c>
      <c r="I1321" t="n">
        <v>-105.064783</v>
      </c>
      <c r="J1321" t="s">
        <v>4109</v>
      </c>
      <c r="K1321" t="s">
        <v>796</v>
      </c>
      <c r="L1321"/>
      <c r="M1321" t="n">
        <v>1980</v>
      </c>
      <c r="N1321" t="n">
        <v>1980</v>
      </c>
      <c r="O1321" t="s">
        <v>255</v>
      </c>
      <c r="P1321" t="n">
        <v>1</v>
      </c>
      <c r="Q1321" t="n">
        <v>1</v>
      </c>
      <c r="R1321" t="n">
        <v>1</v>
      </c>
      <c r="S1321" t="n">
        <v>1921</v>
      </c>
      <c r="T1321" t="s">
        <v>4735</v>
      </c>
      <c r="U1321" t="s">
        <v>4736</v>
      </c>
      <c r="V1321" t="s">
        <v>74</v>
      </c>
      <c r="W1321"/>
      <c r="X1321"/>
      <c r="Y1321"/>
      <c r="Z1321"/>
      <c r="AA1321"/>
      <c r="AB1321"/>
      <c r="AC1321"/>
      <c r="AD1321"/>
      <c r="AE1321"/>
      <c r="AF1321"/>
      <c r="AG1321"/>
    </row>
    <row r="1322">
      <c r="A1322" t="s">
        <v>2917</v>
      </c>
      <c r="B1322" t="s">
        <v>31</v>
      </c>
      <c r="C1322" t="s">
        <v>65</v>
      </c>
      <c r="D1322" t="s">
        <v>2918</v>
      </c>
      <c r="E1322" t="s">
        <v>2729</v>
      </c>
      <c r="F1322" t="s">
        <v>2724</v>
      </c>
      <c r="G1322" t="s">
        <v>2919</v>
      </c>
      <c r="H1322" t="n">
        <v>39.8174568571429</v>
      </c>
      <c r="I1322" t="n">
        <v>-105.068265122449</v>
      </c>
      <c r="J1322" t="s">
        <v>35</v>
      </c>
      <c r="K1322" t="s">
        <v>120</v>
      </c>
      <c r="L1322"/>
      <c r="M1322" t="n">
        <v>1980</v>
      </c>
      <c r="N1322" t="n">
        <v>1980</v>
      </c>
      <c r="O1322" t="s">
        <v>255</v>
      </c>
      <c r="P1322" t="n">
        <v>1</v>
      </c>
      <c r="Q1322" t="n">
        <v>1</v>
      </c>
      <c r="R1322" t="n">
        <v>1</v>
      </c>
      <c r="S1322" t="n">
        <v>1920</v>
      </c>
      <c r="T1322" t="s">
        <v>2920</v>
      </c>
      <c r="U1322" t="s">
        <v>2921</v>
      </c>
      <c r="V1322" t="s">
        <v>74</v>
      </c>
      <c r="W1322"/>
      <c r="X1322"/>
      <c r="Y1322"/>
      <c r="Z1322"/>
      <c r="AA1322"/>
      <c r="AB1322"/>
      <c r="AC1322"/>
      <c r="AD1322"/>
      <c r="AE1322"/>
      <c r="AF1322"/>
      <c r="AG1322"/>
    </row>
    <row r="1323">
      <c r="A1323" t="s">
        <v>4737</v>
      </c>
      <c r="B1323" t="s">
        <v>31</v>
      </c>
      <c r="C1323" t="s">
        <v>24</v>
      </c>
      <c r="D1323" t="s">
        <v>4738</v>
      </c>
      <c r="E1323" t="s">
        <v>2748</v>
      </c>
      <c r="F1323" t="s">
        <v>2724</v>
      </c>
      <c r="G1323" t="s">
        <v>2749</v>
      </c>
      <c r="H1323" t="n">
        <v>39.7811305666667</v>
      </c>
      <c r="I1323" t="n">
        <v>-105.076725288889</v>
      </c>
      <c r="J1323" t="s">
        <v>4109</v>
      </c>
      <c r="K1323" t="s">
        <v>315</v>
      </c>
      <c r="L1323"/>
      <c r="M1323" t="n">
        <v>1980</v>
      </c>
      <c r="N1323" t="n">
        <v>1980</v>
      </c>
      <c r="O1323" t="s">
        <v>255</v>
      </c>
      <c r="P1323" t="n">
        <v>1</v>
      </c>
      <c r="Q1323" t="n">
        <v>1</v>
      </c>
      <c r="R1323" t="n">
        <v>1</v>
      </c>
      <c r="S1323" t="n">
        <v>1965</v>
      </c>
      <c r="T1323" t="s">
        <v>4739</v>
      </c>
      <c r="U1323" t="s">
        <v>4740</v>
      </c>
      <c r="V1323" t="s">
        <v>74</v>
      </c>
      <c r="W1323"/>
      <c r="X1323"/>
      <c r="Y1323"/>
      <c r="Z1323"/>
      <c r="AA1323"/>
      <c r="AB1323"/>
      <c r="AC1323"/>
      <c r="AD1323"/>
      <c r="AE1323"/>
      <c r="AF1323"/>
      <c r="AG1323"/>
    </row>
    <row r="1324">
      <c r="A1324" t="s">
        <v>4741</v>
      </c>
      <c r="B1324" t="s">
        <v>31</v>
      </c>
      <c r="C1324" t="s">
        <v>24</v>
      </c>
      <c r="D1324" t="s">
        <v>4742</v>
      </c>
      <c r="E1324" t="s">
        <v>4743</v>
      </c>
      <c r="F1324" t="s">
        <v>2724</v>
      </c>
      <c r="G1324" t="s">
        <v>4744</v>
      </c>
      <c r="H1324" t="n">
        <v>39.6494610597194</v>
      </c>
      <c r="I1324" t="n">
        <v>-105.362995089211</v>
      </c>
      <c r="J1324" t="s">
        <v>4109</v>
      </c>
      <c r="K1324" t="s">
        <v>120</v>
      </c>
      <c r="L1324"/>
      <c r="M1324" t="n">
        <v>1980</v>
      </c>
      <c r="N1324" t="n">
        <v>1980</v>
      </c>
      <c r="O1324" t="s">
        <v>255</v>
      </c>
      <c r="P1324" t="n">
        <v>1</v>
      </c>
      <c r="Q1324" t="n">
        <v>1</v>
      </c>
      <c r="R1324" t="n">
        <v>1</v>
      </c>
      <c r="S1324" t="n">
        <v>1979</v>
      </c>
      <c r="T1324" t="s">
        <v>4745</v>
      </c>
      <c r="U1324" t="s">
        <v>4746</v>
      </c>
      <c r="V1324" t="s">
        <v>74</v>
      </c>
      <c r="W1324"/>
      <c r="X1324"/>
      <c r="Y1324"/>
      <c r="Z1324"/>
      <c r="AA1324"/>
      <c r="AB1324"/>
      <c r="AC1324"/>
      <c r="AD1324"/>
      <c r="AE1324"/>
      <c r="AF1324"/>
      <c r="AG1324"/>
    </row>
    <row r="1325">
      <c r="A1325" t="s">
        <v>2922</v>
      </c>
      <c r="B1325" t="s">
        <v>31</v>
      </c>
      <c r="C1325" t="s">
        <v>65</v>
      </c>
      <c r="D1325" t="s">
        <v>2923</v>
      </c>
      <c r="E1325" t="s">
        <v>2748</v>
      </c>
      <c r="F1325" t="s">
        <v>2724</v>
      </c>
      <c r="G1325" t="s">
        <v>2924</v>
      </c>
      <c r="H1325" t="n">
        <v>39.7122296936167</v>
      </c>
      <c r="I1325" t="n">
        <v>-105.14433610629</v>
      </c>
      <c r="J1325" t="s">
        <v>35</v>
      </c>
      <c r="K1325" t="s">
        <v>988</v>
      </c>
      <c r="L1325"/>
      <c r="M1325" t="n">
        <v>1980</v>
      </c>
      <c r="N1325" t="n">
        <v>1990</v>
      </c>
      <c r="O1325" t="s">
        <v>540</v>
      </c>
      <c r="P1325" t="n">
        <v>4</v>
      </c>
      <c r="Q1325" t="n">
        <v>2</v>
      </c>
      <c r="R1325" t="n">
        <v>1</v>
      </c>
      <c r="S1325" t="n">
        <v>1971</v>
      </c>
      <c r="T1325" t="s">
        <v>2925</v>
      </c>
      <c r="U1325" t="s">
        <v>2926</v>
      </c>
      <c r="V1325" t="s">
        <v>74</v>
      </c>
      <c r="W1325"/>
      <c r="X1325"/>
      <c r="Y1325"/>
      <c r="Z1325"/>
      <c r="AA1325"/>
      <c r="AB1325" t="s">
        <v>2927</v>
      </c>
      <c r="AC1325" t="n">
        <v>160</v>
      </c>
      <c r="AD1325"/>
      <c r="AE1325"/>
      <c r="AF1325" t="s">
        <v>2928</v>
      </c>
      <c r="AG1325" t="n">
        <v>60</v>
      </c>
    </row>
    <row r="1326">
      <c r="A1326" t="s">
        <v>4747</v>
      </c>
      <c r="B1326" t="s">
        <v>31</v>
      </c>
      <c r="C1326" t="s">
        <v>24</v>
      </c>
      <c r="D1326" t="s">
        <v>4748</v>
      </c>
      <c r="E1326" t="s">
        <v>2748</v>
      </c>
      <c r="F1326" t="s">
        <v>2724</v>
      </c>
      <c r="G1326" t="s">
        <v>2749</v>
      </c>
      <c r="H1326" t="n">
        <v>39.752176</v>
      </c>
      <c r="I1326" t="n">
        <v>-105.090814</v>
      </c>
      <c r="J1326" t="s">
        <v>4109</v>
      </c>
      <c r="K1326" t="s">
        <v>89</v>
      </c>
      <c r="L1326"/>
      <c r="M1326" t="n">
        <v>1980</v>
      </c>
      <c r="N1326" t="n">
        <v>1980</v>
      </c>
      <c r="O1326" t="s">
        <v>255</v>
      </c>
      <c r="P1326" t="n">
        <v>1</v>
      </c>
      <c r="Q1326" t="n">
        <v>1</v>
      </c>
      <c r="R1326" t="n">
        <v>1</v>
      </c>
      <c r="S1326" t="n">
        <v>1977</v>
      </c>
      <c r="T1326" t="s">
        <v>4749</v>
      </c>
      <c r="U1326" t="s">
        <v>4750</v>
      </c>
      <c r="V1326" t="s">
        <v>74</v>
      </c>
      <c r="W1326"/>
      <c r="X1326"/>
      <c r="Y1326"/>
      <c r="Z1326"/>
      <c r="AA1326"/>
      <c r="AB1326" t="s">
        <v>4751</v>
      </c>
      <c r="AC1326" t="n">
        <v>234</v>
      </c>
      <c r="AD1326"/>
      <c r="AE1326"/>
      <c r="AF1326"/>
      <c r="AG1326"/>
    </row>
    <row r="1327">
      <c r="A1327" t="s">
        <v>2929</v>
      </c>
      <c r="B1327" t="s">
        <v>31</v>
      </c>
      <c r="C1327" t="s">
        <v>65</v>
      </c>
      <c r="D1327" t="s">
        <v>2930</v>
      </c>
      <c r="E1327" t="s">
        <v>2748</v>
      </c>
      <c r="F1327" t="s">
        <v>2724</v>
      </c>
      <c r="G1327" t="s">
        <v>2749</v>
      </c>
      <c r="H1327" t="n">
        <v>39.7257069166547</v>
      </c>
      <c r="I1327" t="n">
        <v>-105.118417869969</v>
      </c>
      <c r="J1327" t="s">
        <v>35</v>
      </c>
      <c r="K1327" t="s">
        <v>315</v>
      </c>
      <c r="L1327"/>
      <c r="M1327" t="n">
        <v>1980</v>
      </c>
      <c r="N1327" t="n">
        <v>1983</v>
      </c>
      <c r="O1327" t="s">
        <v>528</v>
      </c>
      <c r="P1327" t="n">
        <v>2</v>
      </c>
      <c r="Q1327" t="n">
        <v>1</v>
      </c>
      <c r="R1327" t="n">
        <v>1</v>
      </c>
      <c r="S1327" t="n">
        <v>1972</v>
      </c>
      <c r="T1327" t="s">
        <v>2931</v>
      </c>
      <c r="U1327" t="s">
        <v>2932</v>
      </c>
      <c r="V1327" t="s">
        <v>74</v>
      </c>
      <c r="W1327"/>
      <c r="X1327"/>
      <c r="Y1327"/>
      <c r="Z1327"/>
      <c r="AA1327"/>
      <c r="AB1327" t="s">
        <v>2933</v>
      </c>
      <c r="AC1327" t="n">
        <v>173</v>
      </c>
      <c r="AD1327"/>
      <c r="AE1327"/>
      <c r="AF1327" t="s">
        <v>2934</v>
      </c>
      <c r="AG1327" t="n">
        <v>68</v>
      </c>
    </row>
    <row r="1328">
      <c r="A1328" t="s">
        <v>2935</v>
      </c>
      <c r="B1328" t="s">
        <v>31</v>
      </c>
      <c r="C1328" t="s">
        <v>65</v>
      </c>
      <c r="D1328" t="s">
        <v>2936</v>
      </c>
      <c r="E1328" t="s">
        <v>2748</v>
      </c>
      <c r="F1328" t="s">
        <v>2724</v>
      </c>
      <c r="G1328" t="s">
        <v>2749</v>
      </c>
      <c r="H1328" t="n">
        <v>39.7384964489796</v>
      </c>
      <c r="I1328" t="n">
        <v>-105.069554693878</v>
      </c>
      <c r="J1328" t="s">
        <v>35</v>
      </c>
      <c r="K1328" t="s">
        <v>89</v>
      </c>
      <c r="L1328"/>
      <c r="M1328" t="n">
        <v>1980</v>
      </c>
      <c r="N1328" t="n">
        <v>1983</v>
      </c>
      <c r="O1328" t="s">
        <v>528</v>
      </c>
      <c r="P1328" t="n">
        <v>2</v>
      </c>
      <c r="Q1328" t="n">
        <v>1</v>
      </c>
      <c r="R1328" t="n">
        <v>1</v>
      </c>
      <c r="S1328" t="n">
        <v>1977</v>
      </c>
      <c r="T1328" t="s">
        <v>2937</v>
      </c>
      <c r="U1328" t="s">
        <v>2938</v>
      </c>
      <c r="V1328" t="s">
        <v>74</v>
      </c>
      <c r="W1328"/>
      <c r="X1328"/>
      <c r="Y1328"/>
      <c r="Z1328"/>
      <c r="AA1328"/>
      <c r="AB1328" t="s">
        <v>2939</v>
      </c>
      <c r="AC1328" t="n">
        <v>215</v>
      </c>
      <c r="AD1328"/>
      <c r="AE1328"/>
      <c r="AF1328" t="s">
        <v>2940</v>
      </c>
      <c r="AG1328" t="n">
        <v>198</v>
      </c>
    </row>
    <row r="1329">
      <c r="A1329" t="s">
        <v>2941</v>
      </c>
      <c r="B1329" t="s">
        <v>31</v>
      </c>
      <c r="C1329" t="s">
        <v>65</v>
      </c>
      <c r="D1329" t="s">
        <v>2942</v>
      </c>
      <c r="E1329" t="s">
        <v>2748</v>
      </c>
      <c r="F1329" t="s">
        <v>2724</v>
      </c>
      <c r="G1329" t="s">
        <v>2749</v>
      </c>
      <c r="H1329" t="n">
        <v>39.7545556242677</v>
      </c>
      <c r="I1329" t="n">
        <v>-105.097337321749</v>
      </c>
      <c r="J1329" t="s">
        <v>35</v>
      </c>
      <c r="K1329" t="s">
        <v>120</v>
      </c>
      <c r="L1329"/>
      <c r="M1329" t="n">
        <v>1980</v>
      </c>
      <c r="N1329" t="n">
        <v>1980</v>
      </c>
      <c r="O1329" t="s">
        <v>255</v>
      </c>
      <c r="P1329" t="n">
        <v>1</v>
      </c>
      <c r="Q1329" t="n">
        <v>1</v>
      </c>
      <c r="R1329" t="n">
        <v>1</v>
      </c>
      <c r="S1329" t="n">
        <v>1977</v>
      </c>
      <c r="T1329" t="s">
        <v>2943</v>
      </c>
      <c r="U1329" t="s">
        <v>2944</v>
      </c>
      <c r="V1329" t="s">
        <v>74</v>
      </c>
      <c r="W1329"/>
      <c r="X1329"/>
      <c r="Y1329"/>
      <c r="Z1329"/>
      <c r="AA1329"/>
      <c r="AB1329"/>
      <c r="AC1329"/>
      <c r="AD1329"/>
      <c r="AE1329"/>
      <c r="AF1329"/>
      <c r="AG1329"/>
    </row>
    <row r="1330">
      <c r="A1330" t="s">
        <v>2945</v>
      </c>
      <c r="B1330" t="s">
        <v>31</v>
      </c>
      <c r="C1330" t="s">
        <v>65</v>
      </c>
      <c r="D1330" t="s">
        <v>2946</v>
      </c>
      <c r="E1330" t="s">
        <v>2836</v>
      </c>
      <c r="F1330" t="s">
        <v>2724</v>
      </c>
      <c r="G1330" t="s">
        <v>2947</v>
      </c>
      <c r="H1330" t="n">
        <v>39.5584598696332</v>
      </c>
      <c r="I1330" t="n">
        <v>-105.22322101295</v>
      </c>
      <c r="J1330" t="s">
        <v>35</v>
      </c>
      <c r="K1330" t="s">
        <v>120</v>
      </c>
      <c r="L1330"/>
      <c r="M1330" t="n">
        <v>1980</v>
      </c>
      <c r="N1330" t="n">
        <v>1983</v>
      </c>
      <c r="O1330" t="s">
        <v>528</v>
      </c>
      <c r="P1330" t="n">
        <v>2</v>
      </c>
      <c r="Q1330" t="n">
        <v>2</v>
      </c>
      <c r="R1330" t="n">
        <v>2</v>
      </c>
      <c r="S1330" t="n">
        <v>1978</v>
      </c>
      <c r="T1330" t="s">
        <v>2948</v>
      </c>
      <c r="U1330" t="s">
        <v>2949</v>
      </c>
      <c r="V1330" t="s">
        <v>74</v>
      </c>
      <c r="W1330"/>
      <c r="X1330"/>
      <c r="Y1330"/>
      <c r="Z1330"/>
      <c r="AA1330"/>
      <c r="AB1330"/>
      <c r="AC1330"/>
      <c r="AD1330"/>
      <c r="AE1330"/>
      <c r="AF1330"/>
      <c r="AG1330"/>
    </row>
    <row r="1331">
      <c r="A1331" t="s">
        <v>2950</v>
      </c>
      <c r="B1331" t="s">
        <v>31</v>
      </c>
      <c r="C1331" t="s">
        <v>65</v>
      </c>
      <c r="D1331" t="s">
        <v>2951</v>
      </c>
      <c r="E1331" t="s">
        <v>2729</v>
      </c>
      <c r="F1331" t="s">
        <v>2724</v>
      </c>
      <c r="G1331" t="s">
        <v>2952</v>
      </c>
      <c r="H1331" t="n">
        <v>39.8146111647167</v>
      </c>
      <c r="I1331" t="n">
        <v>-105.040220323477</v>
      </c>
      <c r="J1331" t="s">
        <v>35</v>
      </c>
      <c r="K1331" t="s">
        <v>70</v>
      </c>
      <c r="L1331"/>
      <c r="M1331" t="n">
        <v>1983</v>
      </c>
      <c r="N1331" t="n">
        <v>1983</v>
      </c>
      <c r="O1331" t="s">
        <v>264</v>
      </c>
      <c r="P1331" t="n">
        <v>1</v>
      </c>
      <c r="Q1331" t="n">
        <v>1</v>
      </c>
      <c r="R1331" t="n">
        <v>1</v>
      </c>
      <c r="S1331" t="n">
        <v>1978</v>
      </c>
      <c r="T1331" t="s">
        <v>2953</v>
      </c>
      <c r="U1331" t="s">
        <v>2954</v>
      </c>
      <c r="V1331" t="s">
        <v>74</v>
      </c>
      <c r="W1331"/>
      <c r="X1331"/>
      <c r="Y1331"/>
      <c r="Z1331"/>
      <c r="AA1331"/>
      <c r="AB1331"/>
      <c r="AC1331"/>
      <c r="AD1331"/>
      <c r="AE1331"/>
      <c r="AF1331"/>
      <c r="AG1331"/>
    </row>
    <row r="1332">
      <c r="A1332" t="s">
        <v>2955</v>
      </c>
      <c r="B1332" t="s">
        <v>31</v>
      </c>
      <c r="C1332" t="s">
        <v>65</v>
      </c>
      <c r="D1332" t="s">
        <v>2956</v>
      </c>
      <c r="E1332" t="s">
        <v>2748</v>
      </c>
      <c r="F1332" t="s">
        <v>2724</v>
      </c>
      <c r="G1332" t="s">
        <v>2851</v>
      </c>
      <c r="H1332" t="n">
        <v>39.6608256808511</v>
      </c>
      <c r="I1332" t="n">
        <v>-105.053237234043</v>
      </c>
      <c r="J1332" t="s">
        <v>35</v>
      </c>
      <c r="K1332" t="s">
        <v>141</v>
      </c>
      <c r="L1332"/>
      <c r="M1332" t="n">
        <v>1983</v>
      </c>
      <c r="N1332" t="n">
        <v>1988</v>
      </c>
      <c r="O1332" t="s">
        <v>283</v>
      </c>
      <c r="P1332" t="n">
        <v>2</v>
      </c>
      <c r="Q1332" t="n">
        <v>2</v>
      </c>
      <c r="R1332" t="n">
        <v>2</v>
      </c>
      <c r="S1332" t="n">
        <v>1972</v>
      </c>
      <c r="T1332" t="s">
        <v>2957</v>
      </c>
      <c r="U1332" t="s">
        <v>2958</v>
      </c>
      <c r="V1332" t="s">
        <v>74</v>
      </c>
      <c r="W1332"/>
      <c r="X1332"/>
      <c r="Y1332"/>
      <c r="Z1332"/>
      <c r="AA1332"/>
      <c r="AB1332"/>
      <c r="AC1332"/>
      <c r="AD1332"/>
      <c r="AE1332"/>
      <c r="AF1332"/>
      <c r="AG1332"/>
    </row>
    <row r="1333">
      <c r="A1333" t="s">
        <v>2959</v>
      </c>
      <c r="B1333" t="s">
        <v>31</v>
      </c>
      <c r="C1333" t="s">
        <v>65</v>
      </c>
      <c r="D1333" t="s">
        <v>2960</v>
      </c>
      <c r="E1333" t="s">
        <v>2748</v>
      </c>
      <c r="F1333" t="s">
        <v>2724</v>
      </c>
      <c r="G1333" t="s">
        <v>2961</v>
      </c>
      <c r="H1333" t="n">
        <v>39.640418</v>
      </c>
      <c r="I1333" t="n">
        <v>-105.053382</v>
      </c>
      <c r="J1333" t="s">
        <v>35</v>
      </c>
      <c r="K1333" t="s">
        <v>70</v>
      </c>
      <c r="L1333"/>
      <c r="M1333" t="n">
        <v>1983</v>
      </c>
      <c r="N1333" t="n">
        <v>1988</v>
      </c>
      <c r="O1333" t="s">
        <v>325</v>
      </c>
      <c r="P1333" t="n">
        <v>2</v>
      </c>
      <c r="Q1333" t="n">
        <v>2</v>
      </c>
      <c r="R1333" t="n">
        <v>1</v>
      </c>
      <c r="S1333" t="n">
        <v>1982</v>
      </c>
      <c r="T1333" t="s">
        <v>2962</v>
      </c>
      <c r="U1333" t="s">
        <v>2963</v>
      </c>
      <c r="V1333" t="s">
        <v>74</v>
      </c>
      <c r="W1333"/>
      <c r="X1333"/>
      <c r="Y1333"/>
      <c r="Z1333"/>
      <c r="AA1333"/>
      <c r="AB1333"/>
      <c r="AC1333"/>
      <c r="AD1333"/>
      <c r="AE1333"/>
      <c r="AF1333"/>
      <c r="AG1333"/>
    </row>
    <row r="1334">
      <c r="A1334" t="s">
        <v>2964</v>
      </c>
      <c r="B1334" t="s">
        <v>31</v>
      </c>
      <c r="C1334" t="s">
        <v>65</v>
      </c>
      <c r="D1334" t="s">
        <v>2965</v>
      </c>
      <c r="E1334" t="s">
        <v>2729</v>
      </c>
      <c r="F1334" t="s">
        <v>2724</v>
      </c>
      <c r="G1334" t="s">
        <v>2914</v>
      </c>
      <c r="H1334" t="n">
        <v>39.8681933032735</v>
      </c>
      <c r="I1334" t="n">
        <v>-105.147773020223</v>
      </c>
      <c r="J1334" t="s">
        <v>35</v>
      </c>
      <c r="K1334" t="s">
        <v>120</v>
      </c>
      <c r="L1334"/>
      <c r="M1334" t="n">
        <v>1983</v>
      </c>
      <c r="N1334" t="n">
        <v>1983</v>
      </c>
      <c r="O1334" t="s">
        <v>264</v>
      </c>
      <c r="P1334" t="n">
        <v>1</v>
      </c>
      <c r="Q1334" t="n">
        <v>1</v>
      </c>
      <c r="R1334" t="n">
        <v>1</v>
      </c>
      <c r="S1334" t="n">
        <v>1978</v>
      </c>
      <c r="T1334" t="s">
        <v>2966</v>
      </c>
      <c r="U1334" t="s">
        <v>2967</v>
      </c>
      <c r="V1334" t="s">
        <v>74</v>
      </c>
      <c r="W1334"/>
      <c r="X1334"/>
      <c r="Y1334"/>
      <c r="Z1334"/>
      <c r="AA1334"/>
      <c r="AB1334"/>
      <c r="AC1334"/>
      <c r="AD1334"/>
      <c r="AE1334"/>
      <c r="AF1334"/>
      <c r="AG1334"/>
    </row>
    <row r="1335">
      <c r="A1335" t="s">
        <v>2968</v>
      </c>
      <c r="B1335" t="s">
        <v>31</v>
      </c>
      <c r="C1335" t="s">
        <v>65</v>
      </c>
      <c r="D1335" t="s">
        <v>2969</v>
      </c>
      <c r="E1335" t="s">
        <v>2729</v>
      </c>
      <c r="F1335" t="s">
        <v>2724</v>
      </c>
      <c r="G1335" t="s">
        <v>2970</v>
      </c>
      <c r="H1335" t="n">
        <v>39.8127283856467</v>
      </c>
      <c r="I1335" t="n">
        <v>-105.133354779195</v>
      </c>
      <c r="J1335" t="s">
        <v>35</v>
      </c>
      <c r="K1335" t="s">
        <v>120</v>
      </c>
      <c r="L1335"/>
      <c r="M1335" t="n">
        <v>1983</v>
      </c>
      <c r="N1335" t="n">
        <v>1983</v>
      </c>
      <c r="O1335" t="s">
        <v>264</v>
      </c>
      <c r="P1335" t="n">
        <v>1</v>
      </c>
      <c r="Q1335" t="n">
        <v>1</v>
      </c>
      <c r="R1335" t="n">
        <v>1</v>
      </c>
      <c r="S1335" t="n">
        <v>1981</v>
      </c>
      <c r="T1335" t="s">
        <v>2971</v>
      </c>
      <c r="U1335" t="s">
        <v>2972</v>
      </c>
      <c r="V1335" t="s">
        <v>74</v>
      </c>
      <c r="W1335"/>
      <c r="X1335"/>
      <c r="Y1335"/>
      <c r="Z1335"/>
      <c r="AA1335"/>
      <c r="AB1335"/>
      <c r="AC1335"/>
      <c r="AD1335"/>
      <c r="AE1335"/>
      <c r="AF1335" t="s">
        <v>2973</v>
      </c>
      <c r="AG1335" t="n">
        <v>70</v>
      </c>
    </row>
    <row r="1336">
      <c r="A1336" t="s">
        <v>2974</v>
      </c>
      <c r="B1336" t="s">
        <v>31</v>
      </c>
      <c r="C1336" t="s">
        <v>65</v>
      </c>
      <c r="D1336" t="s">
        <v>2975</v>
      </c>
      <c r="E1336" t="s">
        <v>2723</v>
      </c>
      <c r="F1336" t="s">
        <v>2724</v>
      </c>
      <c r="G1336" t="s">
        <v>2778</v>
      </c>
      <c r="H1336" t="n">
        <v>39.7584837142857</v>
      </c>
      <c r="I1336" t="n">
        <v>-105.226066163265</v>
      </c>
      <c r="J1336" t="s">
        <v>35</v>
      </c>
      <c r="K1336" t="s">
        <v>70</v>
      </c>
      <c r="L1336"/>
      <c r="M1336" t="n">
        <v>1983</v>
      </c>
      <c r="N1336" t="n">
        <v>1983</v>
      </c>
      <c r="O1336" t="s">
        <v>264</v>
      </c>
      <c r="P1336" t="n">
        <v>1</v>
      </c>
      <c r="Q1336" t="n">
        <v>1</v>
      </c>
      <c r="R1336" t="n">
        <v>1</v>
      </c>
      <c r="S1336" t="n">
        <v>1960</v>
      </c>
      <c r="T1336" t="s">
        <v>2976</v>
      </c>
      <c r="U1336" t="s">
        <v>2977</v>
      </c>
      <c r="V1336" t="s">
        <v>74</v>
      </c>
      <c r="W1336"/>
      <c r="X1336"/>
      <c r="Y1336"/>
      <c r="Z1336"/>
      <c r="AA1336"/>
      <c r="AB1336" t="s">
        <v>2978</v>
      </c>
      <c r="AC1336" t="n">
        <v>248</v>
      </c>
      <c r="AD1336" t="s">
        <v>2978</v>
      </c>
      <c r="AE1336" t="n">
        <v>194</v>
      </c>
      <c r="AF1336" t="s">
        <v>2979</v>
      </c>
      <c r="AG1336" t="n">
        <v>221</v>
      </c>
    </row>
    <row r="1337">
      <c r="A1337" t="s">
        <v>2980</v>
      </c>
      <c r="B1337" t="s">
        <v>31</v>
      </c>
      <c r="C1337" t="s">
        <v>65</v>
      </c>
      <c r="D1337" t="s">
        <v>2981</v>
      </c>
      <c r="E1337" t="s">
        <v>2723</v>
      </c>
      <c r="F1337" t="s">
        <v>2724</v>
      </c>
      <c r="G1337" t="s">
        <v>2778</v>
      </c>
      <c r="H1337" t="n">
        <v>39.721408</v>
      </c>
      <c r="I1337" t="n">
        <v>-105.243267</v>
      </c>
      <c r="J1337" t="s">
        <v>35</v>
      </c>
      <c r="K1337" t="s">
        <v>70</v>
      </c>
      <c r="L1337"/>
      <c r="M1337" t="n">
        <v>1983</v>
      </c>
      <c r="N1337" t="n">
        <v>1990</v>
      </c>
      <c r="O1337" t="s">
        <v>293</v>
      </c>
      <c r="P1337" t="n">
        <v>2</v>
      </c>
      <c r="Q1337" t="n">
        <v>1</v>
      </c>
      <c r="R1337" t="n">
        <v>1</v>
      </c>
      <c r="S1337" t="n">
        <v>1969</v>
      </c>
      <c r="T1337" t="s">
        <v>2982</v>
      </c>
      <c r="U1337" t="s">
        <v>2983</v>
      </c>
      <c r="V1337" t="s">
        <v>74</v>
      </c>
      <c r="W1337"/>
      <c r="X1337"/>
      <c r="Y1337"/>
      <c r="Z1337"/>
      <c r="AA1337"/>
      <c r="AB1337"/>
      <c r="AC1337"/>
      <c r="AD1337"/>
      <c r="AE1337"/>
      <c r="AF1337"/>
      <c r="AG1337"/>
    </row>
    <row r="1338">
      <c r="A1338" t="s">
        <v>2984</v>
      </c>
      <c r="B1338" t="s">
        <v>31</v>
      </c>
      <c r="C1338" t="s">
        <v>65</v>
      </c>
      <c r="D1338" t="s">
        <v>2985</v>
      </c>
      <c r="E1338" t="s">
        <v>2723</v>
      </c>
      <c r="F1338" t="s">
        <v>2724</v>
      </c>
      <c r="G1338" t="s">
        <v>2778</v>
      </c>
      <c r="H1338" t="n">
        <v>39.77545725</v>
      </c>
      <c r="I1338" t="n">
        <v>-105.17214525</v>
      </c>
      <c r="J1338" t="s">
        <v>35</v>
      </c>
      <c r="K1338" t="s">
        <v>141</v>
      </c>
      <c r="L1338"/>
      <c r="M1338" t="n">
        <v>1983</v>
      </c>
      <c r="N1338" t="n">
        <v>1992</v>
      </c>
      <c r="O1338" t="s">
        <v>1003</v>
      </c>
      <c r="P1338" t="n">
        <v>2</v>
      </c>
      <c r="Q1338" t="n">
        <v>2</v>
      </c>
      <c r="R1338" t="n">
        <v>2</v>
      </c>
      <c r="S1338" t="n">
        <v>1962</v>
      </c>
      <c r="T1338" t="s">
        <v>2986</v>
      </c>
      <c r="U1338" t="s">
        <v>2987</v>
      </c>
      <c r="V1338" t="s">
        <v>74</v>
      </c>
      <c r="W1338"/>
      <c r="X1338"/>
      <c r="Y1338"/>
      <c r="Z1338"/>
      <c r="AA1338"/>
      <c r="AB1338" t="s">
        <v>2988</v>
      </c>
      <c r="AC1338" t="n">
        <v>241</v>
      </c>
      <c r="AD1338" t="s">
        <v>2887</v>
      </c>
      <c r="AE1338" t="n">
        <v>214</v>
      </c>
      <c r="AF1338" t="s">
        <v>2888</v>
      </c>
      <c r="AG1338" t="n">
        <v>144</v>
      </c>
    </row>
    <row r="1339">
      <c r="A1339" t="s">
        <v>2989</v>
      </c>
      <c r="B1339" t="s">
        <v>31</v>
      </c>
      <c r="C1339" t="s">
        <v>65</v>
      </c>
      <c r="D1339" t="s">
        <v>2990</v>
      </c>
      <c r="E1339" t="s">
        <v>2748</v>
      </c>
      <c r="F1339" t="s">
        <v>2724</v>
      </c>
      <c r="G1339" t="s">
        <v>2763</v>
      </c>
      <c r="H1339" t="n">
        <v>39.6997522666667</v>
      </c>
      <c r="I1339" t="n">
        <v>-105.053240052083</v>
      </c>
      <c r="J1339" t="s">
        <v>35</v>
      </c>
      <c r="K1339" t="s">
        <v>70</v>
      </c>
      <c r="L1339"/>
      <c r="M1339" t="n">
        <v>1983</v>
      </c>
      <c r="N1339" t="n">
        <v>1992</v>
      </c>
      <c r="O1339" t="s">
        <v>1016</v>
      </c>
      <c r="P1339" t="n">
        <v>2</v>
      </c>
      <c r="Q1339" t="n">
        <v>2</v>
      </c>
      <c r="R1339" t="n">
        <v>1</v>
      </c>
      <c r="S1339" t="n">
        <v>1960</v>
      </c>
      <c r="T1339" t="s">
        <v>2991</v>
      </c>
      <c r="U1339" t="s">
        <v>2992</v>
      </c>
      <c r="V1339" t="s">
        <v>74</v>
      </c>
      <c r="W1339"/>
      <c r="X1339"/>
      <c r="Y1339"/>
      <c r="Z1339"/>
      <c r="AA1339"/>
      <c r="AB1339" t="s">
        <v>2993</v>
      </c>
      <c r="AC1339" t="n">
        <v>241</v>
      </c>
      <c r="AD1339"/>
      <c r="AE1339"/>
      <c r="AF1339"/>
      <c r="AG1339"/>
    </row>
    <row r="1340">
      <c r="A1340" t="s">
        <v>2994</v>
      </c>
      <c r="B1340" t="s">
        <v>31</v>
      </c>
      <c r="C1340" t="s">
        <v>65</v>
      </c>
      <c r="D1340" t="s">
        <v>2995</v>
      </c>
      <c r="E1340" t="s">
        <v>2748</v>
      </c>
      <c r="F1340" t="s">
        <v>2724</v>
      </c>
      <c r="G1340" t="s">
        <v>2856</v>
      </c>
      <c r="H1340" t="n">
        <v>39.7259653881111</v>
      </c>
      <c r="I1340" t="n">
        <v>-105.058020457791</v>
      </c>
      <c r="J1340" t="s">
        <v>35</v>
      </c>
      <c r="K1340" t="s">
        <v>270</v>
      </c>
      <c r="L1340"/>
      <c r="M1340" t="n">
        <v>1983</v>
      </c>
      <c r="N1340" t="n">
        <v>1983</v>
      </c>
      <c r="O1340" t="s">
        <v>264</v>
      </c>
      <c r="P1340" t="n">
        <v>1</v>
      </c>
      <c r="Q1340" t="n">
        <v>2</v>
      </c>
      <c r="R1340" t="n">
        <v>2</v>
      </c>
      <c r="S1340" t="n">
        <v>1970</v>
      </c>
      <c r="T1340" t="s">
        <v>2996</v>
      </c>
      <c r="U1340" t="s">
        <v>2997</v>
      </c>
      <c r="V1340" t="s">
        <v>74</v>
      </c>
      <c r="W1340"/>
      <c r="X1340"/>
      <c r="Y1340"/>
      <c r="Z1340"/>
      <c r="AA1340"/>
      <c r="AB1340" t="s">
        <v>2998</v>
      </c>
      <c r="AC1340" t="n">
        <v>113</v>
      </c>
      <c r="AD1340"/>
      <c r="AE1340"/>
      <c r="AF1340" t="s">
        <v>2999</v>
      </c>
      <c r="AG1340" t="n">
        <v>107</v>
      </c>
    </row>
    <row r="1341">
      <c r="A1341" t="s">
        <v>3000</v>
      </c>
      <c r="B1341" t="s">
        <v>31</v>
      </c>
      <c r="C1341" t="s">
        <v>65</v>
      </c>
      <c r="D1341" t="s">
        <v>3001</v>
      </c>
      <c r="E1341" t="s">
        <v>2748</v>
      </c>
      <c r="F1341" t="s">
        <v>2724</v>
      </c>
      <c r="G1341" t="s">
        <v>2763</v>
      </c>
      <c r="H1341" t="n">
        <v>39.7231201428571</v>
      </c>
      <c r="I1341" t="n">
        <v>-105.054748</v>
      </c>
      <c r="J1341" t="s">
        <v>35</v>
      </c>
      <c r="K1341" t="s">
        <v>315</v>
      </c>
      <c r="L1341"/>
      <c r="M1341" t="n">
        <v>1983</v>
      </c>
      <c r="N1341" t="n">
        <v>1983</v>
      </c>
      <c r="O1341" t="s">
        <v>264</v>
      </c>
      <c r="P1341" t="n">
        <v>1</v>
      </c>
      <c r="Q1341" t="n">
        <v>1</v>
      </c>
      <c r="R1341" t="n">
        <v>1</v>
      </c>
      <c r="S1341" t="n">
        <v>1976</v>
      </c>
      <c r="T1341" t="s">
        <v>3002</v>
      </c>
      <c r="U1341" t="s">
        <v>3003</v>
      </c>
      <c r="V1341" t="s">
        <v>74</v>
      </c>
      <c r="W1341"/>
      <c r="X1341"/>
      <c r="Y1341"/>
      <c r="Z1341"/>
      <c r="AA1341"/>
      <c r="AB1341"/>
      <c r="AC1341"/>
      <c r="AD1341"/>
      <c r="AE1341"/>
      <c r="AF1341" t="s">
        <v>3004</v>
      </c>
      <c r="AG1341" t="n">
        <v>131</v>
      </c>
    </row>
    <row r="1342">
      <c r="A1342" t="s">
        <v>3005</v>
      </c>
      <c r="B1342" t="s">
        <v>31</v>
      </c>
      <c r="C1342" t="s">
        <v>65</v>
      </c>
      <c r="D1342" t="s">
        <v>3006</v>
      </c>
      <c r="E1342" t="s">
        <v>2748</v>
      </c>
      <c r="F1342" t="s">
        <v>2724</v>
      </c>
      <c r="G1342" t="s">
        <v>2763</v>
      </c>
      <c r="H1342" t="n">
        <v>39.724106</v>
      </c>
      <c r="I1342" t="n">
        <v>-105.072159</v>
      </c>
      <c r="J1342" t="s">
        <v>35</v>
      </c>
      <c r="K1342" t="s">
        <v>133</v>
      </c>
      <c r="L1342"/>
      <c r="M1342" t="n">
        <v>1983</v>
      </c>
      <c r="N1342" t="n">
        <v>1983</v>
      </c>
      <c r="O1342" t="s">
        <v>264</v>
      </c>
      <c r="P1342" t="n">
        <v>1</v>
      </c>
      <c r="Q1342" t="n">
        <v>1</v>
      </c>
      <c r="R1342" t="n">
        <v>1</v>
      </c>
      <c r="S1342" t="n">
        <v>1982</v>
      </c>
      <c r="T1342" t="s">
        <v>3007</v>
      </c>
      <c r="U1342" t="s">
        <v>3008</v>
      </c>
      <c r="V1342" t="s">
        <v>74</v>
      </c>
      <c r="W1342"/>
      <c r="X1342"/>
      <c r="Y1342"/>
      <c r="Z1342"/>
      <c r="AA1342"/>
      <c r="AB1342"/>
      <c r="AC1342"/>
      <c r="AD1342"/>
      <c r="AE1342"/>
      <c r="AF1342"/>
      <c r="AG1342"/>
    </row>
    <row r="1343">
      <c r="A1343" t="s">
        <v>3009</v>
      </c>
      <c r="B1343" t="s">
        <v>31</v>
      </c>
      <c r="C1343" t="s">
        <v>65</v>
      </c>
      <c r="D1343" t="s">
        <v>3010</v>
      </c>
      <c r="E1343" t="s">
        <v>386</v>
      </c>
      <c r="F1343" t="s">
        <v>2724</v>
      </c>
      <c r="G1343" t="s">
        <v>3011</v>
      </c>
      <c r="H1343" t="n">
        <v>39.5674983856532</v>
      </c>
      <c r="I1343" t="n">
        <v>-105.117859988232</v>
      </c>
      <c r="J1343" t="s">
        <v>35</v>
      </c>
      <c r="K1343" t="s">
        <v>120</v>
      </c>
      <c r="L1343"/>
      <c r="M1343" t="n">
        <v>1983</v>
      </c>
      <c r="N1343" t="n">
        <v>1992</v>
      </c>
      <c r="O1343" t="s">
        <v>1016</v>
      </c>
      <c r="P1343" t="n">
        <v>3</v>
      </c>
      <c r="Q1343" t="n">
        <v>2</v>
      </c>
      <c r="R1343" t="n">
        <v>1</v>
      </c>
      <c r="S1343" t="n">
        <v>1965</v>
      </c>
      <c r="T1343" t="s">
        <v>3012</v>
      </c>
      <c r="U1343" t="s">
        <v>3013</v>
      </c>
      <c r="V1343" t="s">
        <v>74</v>
      </c>
      <c r="W1343"/>
      <c r="X1343"/>
      <c r="Y1343"/>
      <c r="Z1343"/>
      <c r="AA1343"/>
      <c r="AB1343"/>
      <c r="AC1343"/>
      <c r="AD1343" t="s">
        <v>3014</v>
      </c>
      <c r="AE1343" t="n">
        <v>161</v>
      </c>
      <c r="AF1343" t="s">
        <v>3015</v>
      </c>
      <c r="AG1343" t="n">
        <v>57</v>
      </c>
    </row>
    <row r="1344">
      <c r="A1344" t="s">
        <v>4752</v>
      </c>
      <c r="B1344" t="s">
        <v>31</v>
      </c>
      <c r="C1344" t="s">
        <v>24</v>
      </c>
      <c r="D1344" t="s">
        <v>4753</v>
      </c>
      <c r="E1344" t="s">
        <v>2729</v>
      </c>
      <c r="F1344" t="s">
        <v>2724</v>
      </c>
      <c r="G1344" t="s">
        <v>2730</v>
      </c>
      <c r="H1344" t="n">
        <v>39.8587601</v>
      </c>
      <c r="I1344" t="n">
        <v>-105.03943045</v>
      </c>
      <c r="J1344" t="s">
        <v>4109</v>
      </c>
      <c r="K1344" t="s">
        <v>120</v>
      </c>
      <c r="L1344"/>
      <c r="M1344" t="n">
        <v>1988</v>
      </c>
      <c r="N1344" t="n">
        <v>1988</v>
      </c>
      <c r="O1344" t="s">
        <v>325</v>
      </c>
      <c r="P1344" t="n">
        <v>1</v>
      </c>
      <c r="Q1344" t="n">
        <v>1</v>
      </c>
      <c r="R1344" t="n">
        <v>1</v>
      </c>
      <c r="S1344" t="n">
        <v>1967</v>
      </c>
      <c r="T1344" t="s">
        <v>4754</v>
      </c>
      <c r="U1344" t="s">
        <v>4755</v>
      </c>
      <c r="V1344" t="s">
        <v>74</v>
      </c>
      <c r="W1344"/>
      <c r="X1344"/>
      <c r="Y1344"/>
      <c r="Z1344"/>
      <c r="AA1344"/>
      <c r="AB1344"/>
      <c r="AC1344"/>
      <c r="AD1344"/>
      <c r="AE1344"/>
      <c r="AF1344"/>
      <c r="AG1344"/>
    </row>
    <row r="1345">
      <c r="A1345" t="s">
        <v>3016</v>
      </c>
      <c r="B1345" t="s">
        <v>31</v>
      </c>
      <c r="C1345" t="s">
        <v>65</v>
      </c>
      <c r="D1345" t="s">
        <v>3017</v>
      </c>
      <c r="E1345" t="s">
        <v>2723</v>
      </c>
      <c r="F1345" t="s">
        <v>2724</v>
      </c>
      <c r="G1345" t="s">
        <v>3018</v>
      </c>
      <c r="H1345" t="n">
        <v>39.7531839591837</v>
      </c>
      <c r="I1345" t="n">
        <v>-105.22575122449</v>
      </c>
      <c r="J1345" t="s">
        <v>35</v>
      </c>
      <c r="K1345" t="s">
        <v>70</v>
      </c>
      <c r="L1345"/>
      <c r="M1345" t="n">
        <v>1988</v>
      </c>
      <c r="N1345" t="n">
        <v>1988</v>
      </c>
      <c r="O1345" t="s">
        <v>325</v>
      </c>
      <c r="P1345" t="n">
        <v>1</v>
      </c>
      <c r="Q1345" t="n">
        <v>1</v>
      </c>
      <c r="R1345" t="n">
        <v>1</v>
      </c>
      <c r="S1345" t="n">
        <v>1976</v>
      </c>
      <c r="T1345" t="s">
        <v>3019</v>
      </c>
      <c r="U1345" t="s">
        <v>3020</v>
      </c>
      <c r="V1345" t="s">
        <v>74</v>
      </c>
      <c r="W1345"/>
      <c r="X1345"/>
      <c r="Y1345"/>
      <c r="Z1345"/>
      <c r="AA1345"/>
      <c r="AB1345" t="s">
        <v>3021</v>
      </c>
      <c r="AC1345" t="n">
        <v>219</v>
      </c>
      <c r="AD1345"/>
      <c r="AE1345"/>
      <c r="AF1345" t="s">
        <v>3022</v>
      </c>
      <c r="AG1345" t="n">
        <v>128</v>
      </c>
    </row>
    <row r="1346">
      <c r="A1346" t="s">
        <v>3023</v>
      </c>
      <c r="B1346" t="s">
        <v>31</v>
      </c>
      <c r="C1346" t="s">
        <v>65</v>
      </c>
      <c r="D1346" t="s">
        <v>3024</v>
      </c>
      <c r="E1346" t="s">
        <v>2723</v>
      </c>
      <c r="F1346" t="s">
        <v>2724</v>
      </c>
      <c r="G1346" t="s">
        <v>2778</v>
      </c>
      <c r="H1346" t="n">
        <v>39.7252488643597</v>
      </c>
      <c r="I1346" t="n">
        <v>-105.157729137725</v>
      </c>
      <c r="J1346" t="s">
        <v>35</v>
      </c>
      <c r="K1346" t="s">
        <v>120</v>
      </c>
      <c r="L1346"/>
      <c r="M1346" t="n">
        <v>1988</v>
      </c>
      <c r="N1346" t="n">
        <v>1992</v>
      </c>
      <c r="O1346" t="s">
        <v>310</v>
      </c>
      <c r="P1346" t="n">
        <v>3</v>
      </c>
      <c r="Q1346" t="n">
        <v>2</v>
      </c>
      <c r="R1346" t="n">
        <v>2</v>
      </c>
      <c r="S1346" t="n">
        <v>1986</v>
      </c>
      <c r="T1346" t="s">
        <v>3025</v>
      </c>
      <c r="U1346" t="s">
        <v>3026</v>
      </c>
      <c r="V1346" t="s">
        <v>74</v>
      </c>
      <c r="W1346"/>
      <c r="X1346"/>
      <c r="Y1346"/>
      <c r="Z1346"/>
      <c r="AA1346"/>
      <c r="AB1346"/>
      <c r="AC1346"/>
      <c r="AD1346"/>
      <c r="AE1346"/>
      <c r="AF1346" t="s">
        <v>3027</v>
      </c>
      <c r="AG1346" t="n">
        <v>142</v>
      </c>
    </row>
    <row r="1347">
      <c r="A1347" t="s">
        <v>3028</v>
      </c>
      <c r="B1347" t="s">
        <v>31</v>
      </c>
      <c r="C1347" t="s">
        <v>65</v>
      </c>
      <c r="D1347" t="s">
        <v>3029</v>
      </c>
      <c r="E1347" t="s">
        <v>2723</v>
      </c>
      <c r="F1347" t="s">
        <v>2724</v>
      </c>
      <c r="G1347" t="s">
        <v>3030</v>
      </c>
      <c r="H1347" t="n">
        <v>39.7594138163265</v>
      </c>
      <c r="I1347" t="n">
        <v>-105.22887044898</v>
      </c>
      <c r="J1347" t="s">
        <v>35</v>
      </c>
      <c r="K1347" t="s">
        <v>89</v>
      </c>
      <c r="L1347"/>
      <c r="M1347" t="n">
        <v>1988</v>
      </c>
      <c r="N1347" t="n">
        <v>1990</v>
      </c>
      <c r="O1347" t="s">
        <v>325</v>
      </c>
      <c r="P1347" t="n">
        <v>2</v>
      </c>
      <c r="Q1347" t="n">
        <v>2</v>
      </c>
      <c r="R1347" t="n">
        <v>1</v>
      </c>
      <c r="S1347" t="n">
        <v>1954</v>
      </c>
      <c r="T1347" t="s">
        <v>3031</v>
      </c>
      <c r="U1347" t="s">
        <v>3032</v>
      </c>
      <c r="V1347" t="s">
        <v>74</v>
      </c>
      <c r="W1347"/>
      <c r="X1347"/>
      <c r="Y1347"/>
      <c r="Z1347"/>
      <c r="AA1347"/>
      <c r="AB1347"/>
      <c r="AC1347"/>
      <c r="AD1347"/>
      <c r="AE1347"/>
      <c r="AF1347" t="s">
        <v>3033</v>
      </c>
      <c r="AG1347" t="n">
        <v>138</v>
      </c>
    </row>
    <row r="1348">
      <c r="A1348" t="s">
        <v>3034</v>
      </c>
      <c r="B1348" t="s">
        <v>31</v>
      </c>
      <c r="C1348" t="s">
        <v>65</v>
      </c>
      <c r="D1348" t="s">
        <v>3035</v>
      </c>
      <c r="E1348" t="s">
        <v>2723</v>
      </c>
      <c r="F1348" t="s">
        <v>2724</v>
      </c>
      <c r="G1348" t="s">
        <v>2778</v>
      </c>
      <c r="H1348" t="n">
        <v>39.7174085436769</v>
      </c>
      <c r="I1348" t="n">
        <v>-105.164834044421</v>
      </c>
      <c r="J1348" t="s">
        <v>35</v>
      </c>
      <c r="K1348" t="s">
        <v>133</v>
      </c>
      <c r="L1348"/>
      <c r="M1348" t="n">
        <v>1988</v>
      </c>
      <c r="N1348" t="n">
        <v>1990</v>
      </c>
      <c r="O1348" t="s">
        <v>325</v>
      </c>
      <c r="P1348" t="n">
        <v>2</v>
      </c>
      <c r="Q1348" t="n">
        <v>1</v>
      </c>
      <c r="R1348" t="n">
        <v>1</v>
      </c>
      <c r="S1348" t="n">
        <v>1987</v>
      </c>
      <c r="T1348" t="s">
        <v>3036</v>
      </c>
      <c r="U1348" t="s">
        <v>3037</v>
      </c>
      <c r="V1348" t="s">
        <v>74</v>
      </c>
      <c r="W1348"/>
      <c r="X1348"/>
      <c r="Y1348"/>
      <c r="Z1348"/>
      <c r="AA1348"/>
      <c r="AB1348"/>
      <c r="AC1348"/>
      <c r="AD1348"/>
      <c r="AE1348"/>
      <c r="AF1348" t="s">
        <v>3038</v>
      </c>
      <c r="AG1348" t="n">
        <v>206</v>
      </c>
    </row>
    <row r="1349">
      <c r="A1349" t="s">
        <v>3039</v>
      </c>
      <c r="B1349" t="s">
        <v>31</v>
      </c>
      <c r="C1349" t="s">
        <v>65</v>
      </c>
      <c r="D1349" t="s">
        <v>3040</v>
      </c>
      <c r="E1349" t="s">
        <v>2723</v>
      </c>
      <c r="F1349" t="s">
        <v>2724</v>
      </c>
      <c r="G1349" t="s">
        <v>2778</v>
      </c>
      <c r="H1349" t="n">
        <v>39.7213884549124</v>
      </c>
      <c r="I1349" t="n">
        <v>-105.246777125021</v>
      </c>
      <c r="J1349" t="s">
        <v>35</v>
      </c>
      <c r="K1349" t="s">
        <v>70</v>
      </c>
      <c r="L1349"/>
      <c r="M1349" t="n">
        <v>1988</v>
      </c>
      <c r="N1349" t="n">
        <v>1988</v>
      </c>
      <c r="O1349" t="s">
        <v>325</v>
      </c>
      <c r="P1349" t="n">
        <v>1</v>
      </c>
      <c r="Q1349" t="n">
        <v>1</v>
      </c>
      <c r="R1349" t="n">
        <v>1</v>
      </c>
      <c r="S1349" t="n">
        <v>1969</v>
      </c>
      <c r="T1349" t="s">
        <v>3041</v>
      </c>
      <c r="U1349" t="s">
        <v>3042</v>
      </c>
      <c r="V1349" t="s">
        <v>74</v>
      </c>
      <c r="W1349"/>
      <c r="X1349"/>
      <c r="Y1349"/>
      <c r="Z1349"/>
      <c r="AA1349"/>
      <c r="AB1349"/>
      <c r="AC1349"/>
      <c r="AD1349"/>
      <c r="AE1349"/>
      <c r="AF1349"/>
      <c r="AG1349"/>
    </row>
    <row r="1350">
      <c r="A1350" t="s">
        <v>4756</v>
      </c>
      <c r="B1350" t="s">
        <v>31</v>
      </c>
      <c r="C1350" t="s">
        <v>24</v>
      </c>
      <c r="D1350" t="s">
        <v>4757</v>
      </c>
      <c r="E1350" t="s">
        <v>2748</v>
      </c>
      <c r="F1350" t="s">
        <v>2724</v>
      </c>
      <c r="G1350" t="s">
        <v>2749</v>
      </c>
      <c r="H1350" t="n">
        <v>39.7321311199444</v>
      </c>
      <c r="I1350" t="n">
        <v>-105.10054041484</v>
      </c>
      <c r="J1350" t="s">
        <v>4109</v>
      </c>
      <c r="K1350" t="s">
        <v>315</v>
      </c>
      <c r="L1350"/>
      <c r="M1350" t="n">
        <v>1988</v>
      </c>
      <c r="N1350" t="n">
        <v>1990</v>
      </c>
      <c r="O1350" t="s">
        <v>325</v>
      </c>
      <c r="P1350" t="n">
        <v>2</v>
      </c>
      <c r="Q1350" t="n">
        <v>1</v>
      </c>
      <c r="R1350" t="n">
        <v>1</v>
      </c>
      <c r="S1350" t="n">
        <v>1981</v>
      </c>
      <c r="T1350" t="s">
        <v>4758</v>
      </c>
      <c r="U1350" t="s">
        <v>4759</v>
      </c>
      <c r="V1350" t="s">
        <v>74</v>
      </c>
      <c r="W1350"/>
      <c r="X1350"/>
      <c r="Y1350"/>
      <c r="Z1350"/>
      <c r="AA1350"/>
      <c r="AB1350"/>
      <c r="AC1350"/>
      <c r="AD1350"/>
      <c r="AE1350"/>
      <c r="AF1350"/>
      <c r="AG1350"/>
    </row>
    <row r="1351">
      <c r="A1351" t="s">
        <v>4760</v>
      </c>
      <c r="B1351" t="s">
        <v>31</v>
      </c>
      <c r="C1351" t="s">
        <v>24</v>
      </c>
      <c r="D1351" t="s">
        <v>4761</v>
      </c>
      <c r="E1351" t="s">
        <v>386</v>
      </c>
      <c r="F1351" t="s">
        <v>2724</v>
      </c>
      <c r="G1351" t="s">
        <v>3011</v>
      </c>
      <c r="H1351" t="n">
        <v>39.5687567537689</v>
      </c>
      <c r="I1351" t="n">
        <v>-105.118270080402</v>
      </c>
      <c r="J1351" t="s">
        <v>4109</v>
      </c>
      <c r="K1351" t="s">
        <v>120</v>
      </c>
      <c r="L1351"/>
      <c r="M1351" t="n">
        <v>1988</v>
      </c>
      <c r="N1351" t="n">
        <v>1990</v>
      </c>
      <c r="O1351" t="s">
        <v>310</v>
      </c>
      <c r="P1351" t="n">
        <v>2</v>
      </c>
      <c r="Q1351" t="n">
        <v>2</v>
      </c>
      <c r="R1351" t="n">
        <v>2</v>
      </c>
      <c r="S1351" t="n">
        <v>1981</v>
      </c>
      <c r="T1351" t="s">
        <v>4762</v>
      </c>
      <c r="U1351" t="s">
        <v>4763</v>
      </c>
      <c r="V1351" t="s">
        <v>74</v>
      </c>
      <c r="W1351"/>
      <c r="X1351"/>
      <c r="Y1351"/>
      <c r="Z1351"/>
      <c r="AA1351"/>
      <c r="AB1351"/>
      <c r="AC1351"/>
      <c r="AD1351" t="s">
        <v>3014</v>
      </c>
      <c r="AE1351" t="n">
        <v>116</v>
      </c>
      <c r="AF1351" t="s">
        <v>3014</v>
      </c>
      <c r="AG1351" t="n">
        <v>94</v>
      </c>
    </row>
    <row r="1352">
      <c r="A1352" t="s">
        <v>3043</v>
      </c>
      <c r="B1352" t="s">
        <v>31</v>
      </c>
      <c r="C1352" t="s">
        <v>65</v>
      </c>
      <c r="D1352" t="s">
        <v>3044</v>
      </c>
      <c r="E1352" t="s">
        <v>386</v>
      </c>
      <c r="F1352" t="s">
        <v>2724</v>
      </c>
      <c r="G1352" t="s">
        <v>2809</v>
      </c>
      <c r="H1352" t="n">
        <v>39.5892317273698</v>
      </c>
      <c r="I1352" t="n">
        <v>-105.054722894254</v>
      </c>
      <c r="J1352" t="s">
        <v>35</v>
      </c>
      <c r="K1352" t="s">
        <v>133</v>
      </c>
      <c r="L1352"/>
      <c r="M1352" t="n">
        <v>1988</v>
      </c>
      <c r="N1352" t="n">
        <v>1990</v>
      </c>
      <c r="O1352" t="s">
        <v>325</v>
      </c>
      <c r="P1352" t="n">
        <v>2</v>
      </c>
      <c r="Q1352" t="n">
        <v>1</v>
      </c>
      <c r="R1352" t="n">
        <v>1</v>
      </c>
      <c r="S1352" t="n">
        <v>1976</v>
      </c>
      <c r="T1352" t="s">
        <v>3045</v>
      </c>
      <c r="U1352" t="s">
        <v>3046</v>
      </c>
      <c r="V1352" t="s">
        <v>74</v>
      </c>
      <c r="W1352"/>
      <c r="X1352"/>
      <c r="Y1352"/>
      <c r="Z1352"/>
      <c r="AA1352"/>
      <c r="AB1352"/>
      <c r="AC1352"/>
      <c r="AD1352"/>
      <c r="AE1352"/>
      <c r="AF1352"/>
      <c r="AG1352"/>
    </row>
    <row r="1353">
      <c r="A1353" t="s">
        <v>3047</v>
      </c>
      <c r="B1353" t="s">
        <v>31</v>
      </c>
      <c r="C1353" t="s">
        <v>65</v>
      </c>
      <c r="D1353" t="s">
        <v>3048</v>
      </c>
      <c r="E1353" t="s">
        <v>2729</v>
      </c>
      <c r="F1353" t="s">
        <v>2724</v>
      </c>
      <c r="G1353" t="s">
        <v>2914</v>
      </c>
      <c r="H1353" t="n">
        <v>39.8331094240532</v>
      </c>
      <c r="I1353" t="n">
        <v>-105.110626319552</v>
      </c>
      <c r="J1353" t="s">
        <v>35</v>
      </c>
      <c r="K1353" t="s">
        <v>120</v>
      </c>
      <c r="L1353"/>
      <c r="M1353" t="n">
        <v>1990</v>
      </c>
      <c r="N1353" t="n">
        <v>1990</v>
      </c>
      <c r="O1353" t="s">
        <v>351</v>
      </c>
      <c r="P1353" t="n">
        <v>1</v>
      </c>
      <c r="Q1353" t="n">
        <v>1</v>
      </c>
      <c r="R1353" t="n">
        <v>1</v>
      </c>
      <c r="S1353" t="n">
        <v>1982</v>
      </c>
      <c r="T1353" t="s">
        <v>3049</v>
      </c>
      <c r="U1353" t="s">
        <v>3050</v>
      </c>
      <c r="V1353" t="s">
        <v>74</v>
      </c>
      <c r="W1353"/>
      <c r="X1353"/>
      <c r="Y1353"/>
      <c r="Z1353"/>
      <c r="AA1353"/>
      <c r="AB1353"/>
      <c r="AC1353"/>
      <c r="AD1353"/>
      <c r="AE1353"/>
      <c r="AF1353"/>
      <c r="AG1353"/>
    </row>
    <row r="1354">
      <c r="A1354" t="s">
        <v>3051</v>
      </c>
      <c r="B1354" t="s">
        <v>31</v>
      </c>
      <c r="C1354" t="s">
        <v>65</v>
      </c>
      <c r="D1354" t="s">
        <v>3052</v>
      </c>
      <c r="E1354" t="s">
        <v>2729</v>
      </c>
      <c r="F1354" t="s">
        <v>2724</v>
      </c>
      <c r="G1354" t="s">
        <v>2970</v>
      </c>
      <c r="H1354" t="n">
        <v>39.8205550493706</v>
      </c>
      <c r="I1354" t="n">
        <v>-105.12202228774</v>
      </c>
      <c r="J1354" t="s">
        <v>35</v>
      </c>
      <c r="K1354" t="s">
        <v>133</v>
      </c>
      <c r="L1354"/>
      <c r="M1354" t="n">
        <v>1990</v>
      </c>
      <c r="N1354" t="n">
        <v>1990</v>
      </c>
      <c r="O1354" t="s">
        <v>351</v>
      </c>
      <c r="P1354" t="n">
        <v>1</v>
      </c>
      <c r="Q1354" t="n">
        <v>1</v>
      </c>
      <c r="R1354" t="n">
        <v>1</v>
      </c>
      <c r="S1354" t="n">
        <v>1973</v>
      </c>
      <c r="T1354" t="s">
        <v>3053</v>
      </c>
      <c r="U1354" t="s">
        <v>3054</v>
      </c>
      <c r="V1354" t="s">
        <v>74</v>
      </c>
      <c r="W1354"/>
      <c r="X1354"/>
      <c r="Y1354"/>
      <c r="Z1354"/>
      <c r="AA1354"/>
      <c r="AB1354"/>
      <c r="AC1354"/>
      <c r="AD1354"/>
      <c r="AE1354"/>
      <c r="AF1354"/>
      <c r="AG1354"/>
    </row>
    <row r="1355">
      <c r="A1355" t="s">
        <v>3055</v>
      </c>
      <c r="B1355" t="s">
        <v>31</v>
      </c>
      <c r="C1355" t="s">
        <v>65</v>
      </c>
      <c r="D1355" t="s">
        <v>3056</v>
      </c>
      <c r="E1355" t="s">
        <v>3057</v>
      </c>
      <c r="F1355" t="s">
        <v>2724</v>
      </c>
      <c r="G1355" t="s">
        <v>3058</v>
      </c>
      <c r="H1355" t="n">
        <v>39.516072</v>
      </c>
      <c r="I1355" t="n">
        <v>-105.283183</v>
      </c>
      <c r="J1355" t="s">
        <v>35</v>
      </c>
      <c r="K1355" t="s">
        <v>120</v>
      </c>
      <c r="L1355"/>
      <c r="M1355" t="n">
        <v>1990</v>
      </c>
      <c r="N1355" t="n">
        <v>1990</v>
      </c>
      <c r="O1355" t="s">
        <v>351</v>
      </c>
      <c r="P1355" t="n">
        <v>1</v>
      </c>
      <c r="Q1355" t="n">
        <v>1</v>
      </c>
      <c r="R1355" t="n">
        <v>1</v>
      </c>
      <c r="S1355" t="n">
        <v>1983</v>
      </c>
      <c r="T1355" t="s">
        <v>3059</v>
      </c>
      <c r="U1355" t="s">
        <v>3060</v>
      </c>
      <c r="V1355" t="s">
        <v>74</v>
      </c>
      <c r="W1355"/>
      <c r="X1355"/>
      <c r="Y1355"/>
      <c r="Z1355"/>
      <c r="AA1355"/>
      <c r="AB1355"/>
      <c r="AC1355"/>
      <c r="AD1355"/>
      <c r="AE1355"/>
      <c r="AF1355"/>
      <c r="AG1355"/>
    </row>
    <row r="1356">
      <c r="A1356" t="s">
        <v>3061</v>
      </c>
      <c r="B1356" t="s">
        <v>31</v>
      </c>
      <c r="C1356" t="s">
        <v>65</v>
      </c>
      <c r="D1356" t="s">
        <v>3062</v>
      </c>
      <c r="E1356" t="s">
        <v>2748</v>
      </c>
      <c r="F1356" t="s">
        <v>2724</v>
      </c>
      <c r="G1356" t="s">
        <v>2763</v>
      </c>
      <c r="H1356" t="n">
        <v>39.707618</v>
      </c>
      <c r="I1356" t="n">
        <v>-105.059021</v>
      </c>
      <c r="J1356" t="s">
        <v>35</v>
      </c>
      <c r="K1356" t="s">
        <v>81</v>
      </c>
      <c r="L1356"/>
      <c r="M1356" t="n">
        <v>1990</v>
      </c>
      <c r="N1356" t="n">
        <v>1990</v>
      </c>
      <c r="O1356" t="s">
        <v>351</v>
      </c>
      <c r="P1356" t="n">
        <v>1</v>
      </c>
      <c r="Q1356" t="n">
        <v>1</v>
      </c>
      <c r="R1356" t="n">
        <v>1</v>
      </c>
      <c r="S1356" t="n">
        <v>1960</v>
      </c>
      <c r="T1356" t="s">
        <v>3063</v>
      </c>
      <c r="U1356" t="s">
        <v>3064</v>
      </c>
      <c r="V1356" t="s">
        <v>74</v>
      </c>
      <c r="W1356"/>
      <c r="X1356"/>
      <c r="Y1356"/>
      <c r="Z1356"/>
      <c r="AA1356"/>
      <c r="AB1356"/>
      <c r="AC1356"/>
      <c r="AD1356"/>
      <c r="AE1356"/>
      <c r="AF1356"/>
      <c r="AG1356"/>
    </row>
    <row r="1357">
      <c r="A1357" t="s">
        <v>4764</v>
      </c>
      <c r="B1357" t="s">
        <v>31</v>
      </c>
      <c r="C1357" t="s">
        <v>24</v>
      </c>
      <c r="D1357" t="s">
        <v>4765</v>
      </c>
      <c r="E1357" t="s">
        <v>2748</v>
      </c>
      <c r="F1357" t="s">
        <v>2724</v>
      </c>
      <c r="G1357" t="s">
        <v>2749</v>
      </c>
      <c r="H1357" t="n">
        <v>39.7349542716049</v>
      </c>
      <c r="I1357" t="n">
        <v>-105.062603135803</v>
      </c>
      <c r="J1357" t="s">
        <v>4109</v>
      </c>
      <c r="K1357" t="s">
        <v>120</v>
      </c>
      <c r="L1357"/>
      <c r="M1357" t="n">
        <v>1990</v>
      </c>
      <c r="N1357" t="n">
        <v>1990</v>
      </c>
      <c r="O1357" t="s">
        <v>351</v>
      </c>
      <c r="P1357" t="n">
        <v>1</v>
      </c>
      <c r="Q1357" t="n">
        <v>1</v>
      </c>
      <c r="R1357" t="n">
        <v>1</v>
      </c>
      <c r="S1357" t="n">
        <v>1951</v>
      </c>
      <c r="T1357" t="s">
        <v>4766</v>
      </c>
      <c r="U1357" t="s">
        <v>4767</v>
      </c>
      <c r="V1357" t="s">
        <v>74</v>
      </c>
      <c r="W1357"/>
      <c r="X1357"/>
      <c r="Y1357"/>
      <c r="Z1357"/>
      <c r="AA1357"/>
      <c r="AB1357" t="s">
        <v>2869</v>
      </c>
      <c r="AC1357" t="n">
        <v>109</v>
      </c>
      <c r="AD1357" t="s">
        <v>2870</v>
      </c>
      <c r="AE1357" t="n">
        <v>163</v>
      </c>
      <c r="AF1357" t="s">
        <v>2871</v>
      </c>
      <c r="AG1357" t="n">
        <v>91</v>
      </c>
    </row>
    <row r="1358">
      <c r="A1358" t="s">
        <v>3065</v>
      </c>
      <c r="B1358" t="s">
        <v>31</v>
      </c>
      <c r="C1358" t="s">
        <v>65</v>
      </c>
      <c r="D1358" t="s">
        <v>3066</v>
      </c>
      <c r="E1358" t="s">
        <v>2748</v>
      </c>
      <c r="F1358" t="s">
        <v>2724</v>
      </c>
      <c r="G1358" t="s">
        <v>2763</v>
      </c>
      <c r="H1358" t="n">
        <v>39.7099610204082</v>
      </c>
      <c r="I1358" t="n">
        <v>-105.114343530612</v>
      </c>
      <c r="J1358" t="s">
        <v>35</v>
      </c>
      <c r="K1358" t="s">
        <v>120</v>
      </c>
      <c r="L1358"/>
      <c r="M1358" t="n">
        <v>1990</v>
      </c>
      <c r="N1358" t="n">
        <v>1990</v>
      </c>
      <c r="O1358" t="s">
        <v>351</v>
      </c>
      <c r="P1358" t="n">
        <v>1</v>
      </c>
      <c r="Q1358" t="n">
        <v>1</v>
      </c>
      <c r="R1358" t="n">
        <v>1</v>
      </c>
      <c r="S1358" t="n">
        <v>1962</v>
      </c>
      <c r="T1358" t="s">
        <v>3067</v>
      </c>
      <c r="U1358" t="s">
        <v>3068</v>
      </c>
      <c r="V1358" t="s">
        <v>74</v>
      </c>
      <c r="W1358"/>
      <c r="X1358"/>
      <c r="Y1358"/>
      <c r="Z1358"/>
      <c r="AA1358"/>
      <c r="AB1358"/>
      <c r="AC1358"/>
      <c r="AD1358"/>
      <c r="AE1358"/>
      <c r="AF1358"/>
      <c r="AG1358"/>
    </row>
    <row r="1359">
      <c r="A1359" t="s">
        <v>3069</v>
      </c>
      <c r="B1359" t="s">
        <v>31</v>
      </c>
      <c r="C1359" t="s">
        <v>65</v>
      </c>
      <c r="D1359" t="s">
        <v>3070</v>
      </c>
      <c r="E1359" t="s">
        <v>2748</v>
      </c>
      <c r="F1359" t="s">
        <v>2724</v>
      </c>
      <c r="G1359" t="s">
        <v>2851</v>
      </c>
      <c r="H1359" t="n">
        <v>39.674093</v>
      </c>
      <c r="I1359" t="n">
        <v>-105.10969273913</v>
      </c>
      <c r="J1359" t="s">
        <v>35</v>
      </c>
      <c r="K1359" t="s">
        <v>70</v>
      </c>
      <c r="L1359"/>
      <c r="M1359" t="n">
        <v>1990</v>
      </c>
      <c r="N1359" t="n">
        <v>1990</v>
      </c>
      <c r="O1359" t="s">
        <v>351</v>
      </c>
      <c r="P1359" t="n">
        <v>1</v>
      </c>
      <c r="Q1359" t="n">
        <v>1</v>
      </c>
      <c r="R1359" t="n">
        <v>1</v>
      </c>
      <c r="S1359" t="n">
        <v>1965</v>
      </c>
      <c r="T1359" t="s">
        <v>3071</v>
      </c>
      <c r="U1359" t="s">
        <v>3072</v>
      </c>
      <c r="V1359" t="s">
        <v>74</v>
      </c>
      <c r="W1359"/>
      <c r="X1359"/>
      <c r="Y1359"/>
      <c r="Z1359"/>
      <c r="AA1359"/>
      <c r="AB1359"/>
      <c r="AC1359"/>
      <c r="AD1359"/>
      <c r="AE1359"/>
      <c r="AF1359"/>
      <c r="AG1359"/>
    </row>
    <row r="1360">
      <c r="A1360" t="s">
        <v>3073</v>
      </c>
      <c r="B1360" t="s">
        <v>31</v>
      </c>
      <c r="C1360" t="s">
        <v>65</v>
      </c>
      <c r="D1360" t="s">
        <v>3074</v>
      </c>
      <c r="E1360" t="s">
        <v>2769</v>
      </c>
      <c r="F1360" t="s">
        <v>2724</v>
      </c>
      <c r="G1360" t="s">
        <v>2770</v>
      </c>
      <c r="H1360" t="n">
        <v>39.7856583903542</v>
      </c>
      <c r="I1360" t="n">
        <v>-105.104850884254</v>
      </c>
      <c r="J1360" t="s">
        <v>35</v>
      </c>
      <c r="K1360" t="s">
        <v>120</v>
      </c>
      <c r="L1360"/>
      <c r="M1360" t="n">
        <v>1990</v>
      </c>
      <c r="N1360" t="n">
        <v>1990</v>
      </c>
      <c r="O1360" t="s">
        <v>351</v>
      </c>
      <c r="P1360" t="n">
        <v>1</v>
      </c>
      <c r="Q1360" t="n">
        <v>1</v>
      </c>
      <c r="R1360" t="n">
        <v>1</v>
      </c>
      <c r="S1360" t="n">
        <v>1971</v>
      </c>
      <c r="T1360" t="s">
        <v>3075</v>
      </c>
      <c r="U1360" t="s">
        <v>3076</v>
      </c>
      <c r="V1360" t="s">
        <v>74</v>
      </c>
      <c r="W1360"/>
      <c r="X1360"/>
      <c r="Y1360"/>
      <c r="Z1360"/>
      <c r="AA1360"/>
      <c r="AB1360" t="s">
        <v>3077</v>
      </c>
      <c r="AC1360" t="n">
        <v>220</v>
      </c>
      <c r="AD1360"/>
      <c r="AE1360"/>
      <c r="AF1360" t="s">
        <v>3078</v>
      </c>
      <c r="AG1360" t="n">
        <v>69</v>
      </c>
    </row>
    <row r="1361">
      <c r="A1361" t="s">
        <v>3079</v>
      </c>
      <c r="B1361" t="s">
        <v>31</v>
      </c>
      <c r="C1361" t="s">
        <v>65</v>
      </c>
      <c r="D1361" t="s">
        <v>3080</v>
      </c>
      <c r="E1361" t="s">
        <v>2729</v>
      </c>
      <c r="F1361" t="s">
        <v>2724</v>
      </c>
      <c r="G1361" t="s">
        <v>2730</v>
      </c>
      <c r="H1361" t="n">
        <v>39.8457693619331</v>
      </c>
      <c r="I1361" t="n">
        <v>-105.140991287346</v>
      </c>
      <c r="J1361" t="s">
        <v>35</v>
      </c>
      <c r="K1361" t="s">
        <v>70</v>
      </c>
      <c r="L1361"/>
      <c r="M1361" t="n">
        <v>1992</v>
      </c>
      <c r="N1361" t="n">
        <v>1992</v>
      </c>
      <c r="O1361" t="s">
        <v>1016</v>
      </c>
      <c r="P1361" t="n">
        <v>1</v>
      </c>
      <c r="Q1361" t="n">
        <v>1</v>
      </c>
      <c r="R1361" t="n">
        <v>1</v>
      </c>
      <c r="S1361" t="n">
        <v>1974</v>
      </c>
      <c r="T1361" t="s">
        <v>3081</v>
      </c>
      <c r="U1361" t="s">
        <v>3082</v>
      </c>
      <c r="V1361" t="s">
        <v>74</v>
      </c>
      <c r="W1361"/>
      <c r="X1361"/>
      <c r="Y1361"/>
      <c r="Z1361"/>
      <c r="AA1361"/>
      <c r="AB1361"/>
      <c r="AC1361"/>
      <c r="AD1361"/>
      <c r="AE1361"/>
      <c r="AF1361"/>
      <c r="AG1361"/>
    </row>
    <row r="1362">
      <c r="A1362" t="s">
        <v>4768</v>
      </c>
      <c r="B1362" t="s">
        <v>31</v>
      </c>
      <c r="C1362" t="s">
        <v>24</v>
      </c>
      <c r="D1362" t="s">
        <v>4769</v>
      </c>
      <c r="E1362" t="s">
        <v>3057</v>
      </c>
      <c r="F1362" t="s">
        <v>2724</v>
      </c>
      <c r="G1362" t="s">
        <v>3058</v>
      </c>
      <c r="H1362" t="n">
        <v>39.4898879873919</v>
      </c>
      <c r="I1362" t="n">
        <v>-105.350995887175</v>
      </c>
      <c r="J1362" t="s">
        <v>4109</v>
      </c>
      <c r="K1362" t="s">
        <v>70</v>
      </c>
      <c r="L1362"/>
      <c r="M1362" t="n">
        <v>1992</v>
      </c>
      <c r="N1362" t="n">
        <v>1992</v>
      </c>
      <c r="O1362" t="s">
        <v>1016</v>
      </c>
      <c r="P1362" t="n">
        <v>1</v>
      </c>
      <c r="Q1362" t="n">
        <v>1</v>
      </c>
      <c r="R1362" t="n">
        <v>1</v>
      </c>
      <c r="S1362" t="n">
        <v>1989</v>
      </c>
      <c r="T1362" t="s">
        <v>4770</v>
      </c>
      <c r="U1362" t="s">
        <v>4771</v>
      </c>
      <c r="V1362" t="s">
        <v>74</v>
      </c>
      <c r="W1362"/>
      <c r="X1362"/>
      <c r="Y1362"/>
      <c r="Z1362"/>
      <c r="AA1362"/>
      <c r="AB1362"/>
      <c r="AC1362"/>
      <c r="AD1362"/>
      <c r="AE1362"/>
      <c r="AF1362" t="s">
        <v>4772</v>
      </c>
      <c r="AG1362" t="n">
        <v>52</v>
      </c>
    </row>
    <row r="1363">
      <c r="A1363" t="s">
        <v>4773</v>
      </c>
      <c r="B1363" t="s">
        <v>31</v>
      </c>
      <c r="C1363" t="s">
        <v>24</v>
      </c>
      <c r="D1363" t="s">
        <v>4774</v>
      </c>
      <c r="E1363" t="s">
        <v>4743</v>
      </c>
      <c r="F1363" t="s">
        <v>2724</v>
      </c>
      <c r="G1363" t="s">
        <v>4744</v>
      </c>
      <c r="H1363" t="n">
        <v>39.6276529710238</v>
      </c>
      <c r="I1363" t="n">
        <v>-105.325304767346</v>
      </c>
      <c r="J1363" t="s">
        <v>4109</v>
      </c>
      <c r="K1363" t="s">
        <v>89</v>
      </c>
      <c r="L1363"/>
      <c r="M1363" t="n">
        <v>1992</v>
      </c>
      <c r="N1363" t="n">
        <v>1992</v>
      </c>
      <c r="O1363" t="s">
        <v>1016</v>
      </c>
      <c r="P1363" t="n">
        <v>1</v>
      </c>
      <c r="Q1363" t="n">
        <v>1</v>
      </c>
      <c r="R1363" t="n">
        <v>1</v>
      </c>
      <c r="S1363" t="n">
        <v>1964</v>
      </c>
      <c r="T1363" t="s">
        <v>4775</v>
      </c>
      <c r="U1363" t="s">
        <v>4776</v>
      </c>
      <c r="V1363" t="s">
        <v>74</v>
      </c>
      <c r="W1363"/>
      <c r="X1363"/>
      <c r="Y1363"/>
      <c r="Z1363"/>
      <c r="AA1363"/>
      <c r="AB1363"/>
      <c r="AC1363"/>
      <c r="AD1363"/>
      <c r="AE1363"/>
      <c r="AF1363"/>
      <c r="AG1363"/>
    </row>
    <row r="1364">
      <c r="A1364" t="s">
        <v>4777</v>
      </c>
      <c r="B1364" t="s">
        <v>31</v>
      </c>
      <c r="C1364" t="s">
        <v>24</v>
      </c>
      <c r="D1364" t="s">
        <v>4778</v>
      </c>
      <c r="E1364" t="s">
        <v>4743</v>
      </c>
      <c r="F1364" t="s">
        <v>2724</v>
      </c>
      <c r="G1364" t="s">
        <v>4744</v>
      </c>
      <c r="H1364" t="n">
        <v>39.624645980478</v>
      </c>
      <c r="I1364" t="n">
        <v>-105.321072343045</v>
      </c>
      <c r="J1364" t="s">
        <v>4109</v>
      </c>
      <c r="K1364" t="s">
        <v>120</v>
      </c>
      <c r="L1364"/>
      <c r="M1364" t="n">
        <v>1992</v>
      </c>
      <c r="N1364" t="n">
        <v>1992</v>
      </c>
      <c r="O1364" t="s">
        <v>1016</v>
      </c>
      <c r="P1364" t="n">
        <v>1</v>
      </c>
      <c r="Q1364" t="n">
        <v>1</v>
      </c>
      <c r="R1364" t="n">
        <v>1</v>
      </c>
      <c r="S1364" t="n">
        <v>1986</v>
      </c>
      <c r="T1364" t="s">
        <v>4779</v>
      </c>
      <c r="U1364" t="s">
        <v>4780</v>
      </c>
      <c r="V1364" t="s">
        <v>74</v>
      </c>
      <c r="W1364"/>
      <c r="X1364"/>
      <c r="Y1364"/>
      <c r="Z1364"/>
      <c r="AA1364"/>
      <c r="AB1364"/>
      <c r="AC1364"/>
      <c r="AD1364"/>
      <c r="AE1364"/>
      <c r="AF1364"/>
      <c r="AG1364"/>
    </row>
    <row r="1365">
      <c r="A1365" t="s">
        <v>4781</v>
      </c>
      <c r="B1365" t="s">
        <v>31</v>
      </c>
      <c r="C1365" t="s">
        <v>24</v>
      </c>
      <c r="D1365" t="s">
        <v>4782</v>
      </c>
      <c r="E1365" t="s">
        <v>2723</v>
      </c>
      <c r="F1365" t="s">
        <v>2724</v>
      </c>
      <c r="G1365" t="s">
        <v>3030</v>
      </c>
      <c r="H1365" t="n">
        <v>39.8269710809852</v>
      </c>
      <c r="I1365" t="n">
        <v>-105.18780594479</v>
      </c>
      <c r="J1365" t="s">
        <v>4109</v>
      </c>
      <c r="K1365" t="s">
        <v>133</v>
      </c>
      <c r="L1365"/>
      <c r="M1365" t="n">
        <v>1992</v>
      </c>
      <c r="N1365" t="n">
        <v>1992</v>
      </c>
      <c r="O1365" t="s">
        <v>1016</v>
      </c>
      <c r="P1365" t="n">
        <v>1</v>
      </c>
      <c r="Q1365" t="n">
        <v>1</v>
      </c>
      <c r="R1365" t="n">
        <v>1</v>
      </c>
      <c r="S1365" t="n">
        <v>1970</v>
      </c>
      <c r="T1365" t="s">
        <v>4783</v>
      </c>
      <c r="U1365" t="s">
        <v>4784</v>
      </c>
      <c r="V1365" t="s">
        <v>74</v>
      </c>
      <c r="W1365"/>
      <c r="X1365"/>
      <c r="Y1365"/>
      <c r="Z1365"/>
      <c r="AA1365"/>
      <c r="AB1365"/>
      <c r="AC1365"/>
      <c r="AD1365"/>
      <c r="AE1365"/>
      <c r="AF1365"/>
      <c r="AG1365"/>
    </row>
    <row r="1366">
      <c r="A1366" t="s">
        <v>3083</v>
      </c>
      <c r="B1366" t="s">
        <v>31</v>
      </c>
      <c r="C1366" t="s">
        <v>65</v>
      </c>
      <c r="D1366" t="s">
        <v>3084</v>
      </c>
      <c r="E1366" t="s">
        <v>2748</v>
      </c>
      <c r="F1366" t="s">
        <v>2724</v>
      </c>
      <c r="G1366" t="s">
        <v>2924</v>
      </c>
      <c r="H1366" t="n">
        <v>39.705985271329</v>
      </c>
      <c r="I1366" t="n">
        <v>-105.149591022853</v>
      </c>
      <c r="J1366" t="s">
        <v>35</v>
      </c>
      <c r="K1366" t="s">
        <v>89</v>
      </c>
      <c r="L1366"/>
      <c r="M1366" t="n">
        <v>1992</v>
      </c>
      <c r="N1366" t="n">
        <v>1992</v>
      </c>
      <c r="O1366" t="s">
        <v>1016</v>
      </c>
      <c r="P1366" t="n">
        <v>1</v>
      </c>
      <c r="Q1366" t="n">
        <v>1</v>
      </c>
      <c r="R1366" t="n">
        <v>1</v>
      </c>
      <c r="S1366"/>
      <c r="T1366" t="s">
        <v>3085</v>
      </c>
      <c r="U1366" t="s">
        <v>3086</v>
      </c>
      <c r="V1366" t="s">
        <v>74</v>
      </c>
      <c r="W1366"/>
      <c r="X1366"/>
      <c r="Y1366"/>
      <c r="Z1366"/>
      <c r="AA1366"/>
      <c r="AB1366"/>
      <c r="AC1366"/>
      <c r="AD1366"/>
      <c r="AE1366"/>
      <c r="AF1366"/>
      <c r="AG1366"/>
    </row>
    <row r="1367">
      <c r="A1367" t="s">
        <v>3087</v>
      </c>
      <c r="B1367" t="s">
        <v>31</v>
      </c>
      <c r="C1367" t="s">
        <v>65</v>
      </c>
      <c r="D1367" t="s">
        <v>3088</v>
      </c>
      <c r="E1367" t="s">
        <v>386</v>
      </c>
      <c r="F1367" t="s">
        <v>2724</v>
      </c>
      <c r="G1367" t="s">
        <v>2809</v>
      </c>
      <c r="H1367" t="n">
        <v>39.5883749591837</v>
      </c>
      <c r="I1367" t="n">
        <v>-105.057641387755</v>
      </c>
      <c r="J1367" t="s">
        <v>35</v>
      </c>
      <c r="K1367" t="s">
        <v>527</v>
      </c>
      <c r="L1367"/>
      <c r="M1367" t="n">
        <v>1992</v>
      </c>
      <c r="N1367" t="n">
        <v>1992</v>
      </c>
      <c r="O1367" t="s">
        <v>1016</v>
      </c>
      <c r="P1367" t="n">
        <v>1</v>
      </c>
      <c r="Q1367" t="n">
        <v>1</v>
      </c>
      <c r="R1367" t="n">
        <v>1</v>
      </c>
      <c r="S1367"/>
      <c r="T1367" t="s">
        <v>3089</v>
      </c>
      <c r="U1367" t="s">
        <v>3090</v>
      </c>
      <c r="V1367" t="s">
        <v>74</v>
      </c>
      <c r="W1367"/>
      <c r="X1367"/>
      <c r="Y1367"/>
      <c r="Z1367"/>
      <c r="AA1367"/>
      <c r="AB1367"/>
      <c r="AC1367"/>
      <c r="AD1367"/>
      <c r="AE1367"/>
      <c r="AF1367"/>
      <c r="AG1367"/>
    </row>
    <row r="1368">
      <c r="A1368" t="s">
        <v>3091</v>
      </c>
      <c r="B1368" t="s">
        <v>31</v>
      </c>
      <c r="C1368" t="s">
        <v>65</v>
      </c>
      <c r="D1368" t="s">
        <v>3092</v>
      </c>
      <c r="E1368" t="s">
        <v>386</v>
      </c>
      <c r="F1368" t="s">
        <v>2724</v>
      </c>
      <c r="G1368" t="s">
        <v>2809</v>
      </c>
      <c r="H1368" t="n">
        <v>39.6241576040268</v>
      </c>
      <c r="I1368" t="n">
        <v>-105.022300791946</v>
      </c>
      <c r="J1368" t="s">
        <v>35</v>
      </c>
      <c r="K1368" t="s">
        <v>70</v>
      </c>
      <c r="L1368"/>
      <c r="M1368" t="n">
        <v>1992</v>
      </c>
      <c r="N1368" t="n">
        <v>1992</v>
      </c>
      <c r="O1368" t="s">
        <v>1016</v>
      </c>
      <c r="P1368" t="n">
        <v>1</v>
      </c>
      <c r="Q1368" t="n">
        <v>1</v>
      </c>
      <c r="R1368" t="n">
        <v>1</v>
      </c>
      <c r="S1368"/>
      <c r="T1368" t="s">
        <v>3093</v>
      </c>
      <c r="U1368" t="s">
        <v>3094</v>
      </c>
      <c r="V1368" t="s">
        <v>74</v>
      </c>
      <c r="W1368"/>
      <c r="X1368"/>
      <c r="Y1368"/>
      <c r="Z1368"/>
      <c r="AA1368"/>
      <c r="AB1368"/>
      <c r="AC1368"/>
      <c r="AD1368"/>
      <c r="AE1368"/>
      <c r="AF1368" t="s">
        <v>3095</v>
      </c>
      <c r="AG1368" t="n">
        <v>180</v>
      </c>
    </row>
    <row r="1369">
      <c r="A1369" t="s">
        <v>4785</v>
      </c>
      <c r="B1369" t="s">
        <v>31</v>
      </c>
      <c r="C1369" t="s">
        <v>24</v>
      </c>
      <c r="D1369" t="s">
        <v>4786</v>
      </c>
      <c r="E1369" t="s">
        <v>386</v>
      </c>
      <c r="F1369" t="s">
        <v>2724</v>
      </c>
      <c r="G1369" t="s">
        <v>3011</v>
      </c>
      <c r="H1369" t="n">
        <v>39.6155912241847</v>
      </c>
      <c r="I1369" t="n">
        <v>-105.115055467024</v>
      </c>
      <c r="J1369" t="s">
        <v>4109</v>
      </c>
      <c r="K1369" t="s">
        <v>120</v>
      </c>
      <c r="L1369"/>
      <c r="M1369" t="n">
        <v>1992</v>
      </c>
      <c r="N1369" t="n">
        <v>1992</v>
      </c>
      <c r="O1369" t="s">
        <v>1016</v>
      </c>
      <c r="P1369" t="n">
        <v>1</v>
      </c>
      <c r="Q1369" t="n">
        <v>1</v>
      </c>
      <c r="R1369" t="n">
        <v>1</v>
      </c>
      <c r="S1369"/>
      <c r="T1369" t="s">
        <v>4787</v>
      </c>
      <c r="U1369" t="s">
        <v>4788</v>
      </c>
      <c r="V1369" t="s">
        <v>74</v>
      </c>
      <c r="W1369"/>
      <c r="X1369"/>
      <c r="Y1369"/>
      <c r="Z1369"/>
      <c r="AA1369"/>
      <c r="AB1369"/>
      <c r="AC1369"/>
      <c r="AD1369"/>
      <c r="AE1369"/>
      <c r="AF1369"/>
      <c r="AG1369"/>
    </row>
    <row r="1370">
      <c r="A1370" t="s">
        <v>3096</v>
      </c>
      <c r="B1370" t="s">
        <v>31</v>
      </c>
      <c r="C1370" t="s">
        <v>65</v>
      </c>
      <c r="D1370" t="s">
        <v>3097</v>
      </c>
      <c r="E1370" t="s">
        <v>2769</v>
      </c>
      <c r="F1370" t="s">
        <v>2724</v>
      </c>
      <c r="G1370" t="s">
        <v>2770</v>
      </c>
      <c r="H1370" t="n">
        <v>39.7779379989906</v>
      </c>
      <c r="I1370" t="n">
        <v>-105.097371195761</v>
      </c>
      <c r="J1370" t="s">
        <v>35</v>
      </c>
      <c r="K1370" t="s">
        <v>120</v>
      </c>
      <c r="L1370"/>
      <c r="M1370" t="n">
        <v>1992</v>
      </c>
      <c r="N1370" t="n">
        <v>1992</v>
      </c>
      <c r="O1370" t="s">
        <v>1016</v>
      </c>
      <c r="P1370" t="n">
        <v>1</v>
      </c>
      <c r="Q1370" t="n">
        <v>1</v>
      </c>
      <c r="R1370" t="n">
        <v>1</v>
      </c>
      <c r="S1370"/>
      <c r="T1370" t="s">
        <v>3098</v>
      </c>
      <c r="U1370" t="s">
        <v>3099</v>
      </c>
      <c r="V1370" t="s">
        <v>74</v>
      </c>
      <c r="W1370"/>
      <c r="X1370"/>
      <c r="Y1370"/>
      <c r="Z1370"/>
      <c r="AA1370"/>
      <c r="AB1370"/>
      <c r="AC1370"/>
      <c r="AD1370"/>
      <c r="AE1370"/>
      <c r="AF1370" t="s">
        <v>3100</v>
      </c>
      <c r="AG1370" t="n">
        <v>212</v>
      </c>
    </row>
    <row r="1371">
      <c r="A1371" t="s">
        <v>4789</v>
      </c>
      <c r="B1371" t="s">
        <v>31</v>
      </c>
      <c r="C1371" t="s">
        <v>24</v>
      </c>
      <c r="D1371" t="s">
        <v>4790</v>
      </c>
      <c r="E1371" t="s">
        <v>2769</v>
      </c>
      <c r="F1371" t="s">
        <v>2724</v>
      </c>
      <c r="G1371" t="s">
        <v>2770</v>
      </c>
      <c r="H1371" t="n">
        <v>39.8244532653061</v>
      </c>
      <c r="I1371" t="n">
        <v>-105.125860877551</v>
      </c>
      <c r="J1371" t="s">
        <v>4109</v>
      </c>
      <c r="K1371" t="s">
        <v>89</v>
      </c>
      <c r="L1371"/>
      <c r="M1371" t="n">
        <v>1992</v>
      </c>
      <c r="N1371" t="n">
        <v>1992</v>
      </c>
      <c r="O1371" t="s">
        <v>1016</v>
      </c>
      <c r="P1371" t="n">
        <v>1</v>
      </c>
      <c r="Q1371" t="n">
        <v>1</v>
      </c>
      <c r="R1371" t="n">
        <v>1</v>
      </c>
      <c r="S1371" t="n">
        <v>1986</v>
      </c>
      <c r="T1371" t="s">
        <v>4791</v>
      </c>
      <c r="U1371" t="s">
        <v>4792</v>
      </c>
      <c r="V1371" t="s">
        <v>74</v>
      </c>
      <c r="W1371"/>
      <c r="X1371"/>
      <c r="Y1371"/>
      <c r="Z1371"/>
      <c r="AA1371"/>
      <c r="AB1371"/>
      <c r="AC1371"/>
      <c r="AD1371"/>
      <c r="AE1371"/>
      <c r="AF1371"/>
      <c r="AG1371"/>
    </row>
    <row r="1372">
      <c r="A1372" t="s">
        <v>3101</v>
      </c>
      <c r="B1372" t="s">
        <v>31</v>
      </c>
      <c r="C1372" t="s">
        <v>65</v>
      </c>
      <c r="D1372" t="s">
        <v>3102</v>
      </c>
      <c r="E1372" t="s">
        <v>3103</v>
      </c>
      <c r="F1372" t="s">
        <v>3104</v>
      </c>
      <c r="G1372" t="s">
        <v>3105</v>
      </c>
      <c r="H1372" t="n">
        <v>39.3053541632653</v>
      </c>
      <c r="I1372" t="n">
        <v>-102.266663571429</v>
      </c>
      <c r="J1372" t="s">
        <v>35</v>
      </c>
      <c r="K1372" t="s">
        <v>126</v>
      </c>
      <c r="L1372"/>
      <c r="M1372" t="n">
        <v>1977</v>
      </c>
      <c r="N1372" t="n">
        <v>1990</v>
      </c>
      <c r="O1372" t="s">
        <v>3106</v>
      </c>
      <c r="P1372" t="n">
        <v>4</v>
      </c>
      <c r="Q1372" t="n">
        <v>1</v>
      </c>
      <c r="R1372" t="n">
        <v>1</v>
      </c>
      <c r="S1372" t="n">
        <v>1975</v>
      </c>
      <c r="T1372" t="s">
        <v>3107</v>
      </c>
      <c r="U1372" t="s">
        <v>3108</v>
      </c>
      <c r="V1372" t="s">
        <v>74</v>
      </c>
      <c r="W1372"/>
      <c r="X1372"/>
      <c r="Y1372"/>
      <c r="Z1372"/>
      <c r="AA1372"/>
      <c r="AB1372" t="s">
        <v>3109</v>
      </c>
      <c r="AC1372" t="n">
        <v>140</v>
      </c>
      <c r="AD1372"/>
      <c r="AE1372"/>
      <c r="AF1372" t="s">
        <v>3110</v>
      </c>
      <c r="AG1372" t="n">
        <v>89</v>
      </c>
    </row>
    <row r="1373">
      <c r="A1373" t="s">
        <v>4793</v>
      </c>
      <c r="B1373" t="s">
        <v>31</v>
      </c>
      <c r="C1373" t="s">
        <v>24</v>
      </c>
      <c r="D1373" t="s">
        <v>4794</v>
      </c>
      <c r="E1373" t="s">
        <v>3113</v>
      </c>
      <c r="F1373" t="s">
        <v>3114</v>
      </c>
      <c r="G1373" t="s">
        <v>3115</v>
      </c>
      <c r="H1373" t="n">
        <v>37.2638483265306</v>
      </c>
      <c r="I1373" t="n">
        <v>-107.876476755102</v>
      </c>
      <c r="J1373" t="s">
        <v>35</v>
      </c>
      <c r="K1373" t="s">
        <v>70</v>
      </c>
      <c r="L1373"/>
      <c r="M1373" t="n">
        <v>1966</v>
      </c>
      <c r="N1373" t="n">
        <v>1966</v>
      </c>
      <c r="O1373" t="s">
        <v>4172</v>
      </c>
      <c r="P1373" t="n">
        <v>1</v>
      </c>
      <c r="Q1373" t="n">
        <v>1</v>
      </c>
      <c r="R1373" t="n">
        <v>1</v>
      </c>
      <c r="S1373" t="n">
        <v>1953</v>
      </c>
      <c r="T1373" t="s">
        <v>4795</v>
      </c>
      <c r="U1373" t="s">
        <v>4796</v>
      </c>
      <c r="V1373" t="s">
        <v>4175</v>
      </c>
      <c r="W1373"/>
      <c r="X1373"/>
      <c r="Y1373"/>
      <c r="Z1373"/>
      <c r="AA1373"/>
      <c r="AB1373"/>
      <c r="AC1373"/>
      <c r="AD1373"/>
      <c r="AE1373"/>
      <c r="AF1373"/>
      <c r="AG1373"/>
    </row>
    <row r="1374">
      <c r="A1374" t="s">
        <v>3111</v>
      </c>
      <c r="B1374" t="s">
        <v>31</v>
      </c>
      <c r="C1374" t="s">
        <v>65</v>
      </c>
      <c r="D1374" t="s">
        <v>3112</v>
      </c>
      <c r="E1374" t="s">
        <v>3113</v>
      </c>
      <c r="F1374" t="s">
        <v>3114</v>
      </c>
      <c r="G1374" t="s">
        <v>3115</v>
      </c>
      <c r="H1374" t="n">
        <v>37.2721842623338</v>
      </c>
      <c r="I1374" t="n">
        <v>-107.880432063718</v>
      </c>
      <c r="J1374" t="s">
        <v>35</v>
      </c>
      <c r="K1374" t="s">
        <v>70</v>
      </c>
      <c r="L1374"/>
      <c r="M1374" t="n">
        <v>1968</v>
      </c>
      <c r="N1374" t="n">
        <v>1968</v>
      </c>
      <c r="O1374" t="s">
        <v>1349</v>
      </c>
      <c r="P1374" t="n">
        <v>1</v>
      </c>
      <c r="Q1374" t="n">
        <v>1</v>
      </c>
      <c r="R1374" t="n">
        <v>1</v>
      </c>
      <c r="S1374" t="n">
        <v>1953</v>
      </c>
      <c r="T1374" t="s">
        <v>3116</v>
      </c>
      <c r="U1374" t="s">
        <v>3117</v>
      </c>
      <c r="V1374" t="s">
        <v>74</v>
      </c>
      <c r="W1374"/>
      <c r="X1374"/>
      <c r="Y1374"/>
      <c r="Z1374"/>
      <c r="AA1374"/>
      <c r="AB1374"/>
      <c r="AC1374"/>
      <c r="AD1374"/>
      <c r="AE1374"/>
      <c r="AF1374" t="s">
        <v>3118</v>
      </c>
      <c r="AG1374" t="n">
        <v>61</v>
      </c>
    </row>
    <row r="1375">
      <c r="A1375" t="s">
        <v>3119</v>
      </c>
      <c r="B1375" t="s">
        <v>31</v>
      </c>
      <c r="C1375" t="s">
        <v>65</v>
      </c>
      <c r="D1375" t="s">
        <v>3120</v>
      </c>
      <c r="E1375" t="s">
        <v>3113</v>
      </c>
      <c r="F1375" t="s">
        <v>3114</v>
      </c>
      <c r="G1375" t="s">
        <v>3115</v>
      </c>
      <c r="H1375" t="n">
        <v>37.2797080235026</v>
      </c>
      <c r="I1375" t="n">
        <v>-107.877858182258</v>
      </c>
      <c r="J1375" t="s">
        <v>35</v>
      </c>
      <c r="K1375" t="s">
        <v>70</v>
      </c>
      <c r="L1375"/>
      <c r="M1375" t="n">
        <v>1973</v>
      </c>
      <c r="N1375" t="n">
        <v>1973</v>
      </c>
      <c r="O1375" t="s">
        <v>121</v>
      </c>
      <c r="P1375" t="n">
        <v>1</v>
      </c>
      <c r="Q1375" t="n">
        <v>1</v>
      </c>
      <c r="R1375" t="n">
        <v>1</v>
      </c>
      <c r="S1375"/>
      <c r="T1375" t="s">
        <v>3121</v>
      </c>
      <c r="U1375" t="s">
        <v>3122</v>
      </c>
      <c r="V1375" t="s">
        <v>74</v>
      </c>
      <c r="W1375"/>
      <c r="X1375"/>
      <c r="Y1375"/>
      <c r="Z1375"/>
      <c r="AA1375"/>
      <c r="AB1375" t="s">
        <v>3123</v>
      </c>
      <c r="AC1375" t="n">
        <v>222</v>
      </c>
      <c r="AD1375"/>
      <c r="AE1375"/>
      <c r="AF1375" t="s">
        <v>3124</v>
      </c>
      <c r="AG1375" t="n">
        <v>71</v>
      </c>
    </row>
    <row r="1376">
      <c r="A1376" t="s">
        <v>3125</v>
      </c>
      <c r="B1376" t="s">
        <v>31</v>
      </c>
      <c r="C1376" t="s">
        <v>65</v>
      </c>
      <c r="D1376" t="s">
        <v>3126</v>
      </c>
      <c r="E1376" t="s">
        <v>3113</v>
      </c>
      <c r="F1376" t="s">
        <v>3114</v>
      </c>
      <c r="G1376" t="s">
        <v>3115</v>
      </c>
      <c r="H1376" t="n">
        <v>37.2959493469388</v>
      </c>
      <c r="I1376" t="n">
        <v>-107.866074612245</v>
      </c>
      <c r="J1376" t="s">
        <v>35</v>
      </c>
      <c r="K1376" t="s">
        <v>120</v>
      </c>
      <c r="L1376"/>
      <c r="M1376" t="n">
        <v>1983</v>
      </c>
      <c r="N1376" t="n">
        <v>1983</v>
      </c>
      <c r="O1376" t="s">
        <v>264</v>
      </c>
      <c r="P1376" t="n">
        <v>1</v>
      </c>
      <c r="Q1376" t="n">
        <v>1</v>
      </c>
      <c r="R1376" t="n">
        <v>1</v>
      </c>
      <c r="S1376" t="n">
        <v>1974</v>
      </c>
      <c r="T1376" t="s">
        <v>3127</v>
      </c>
      <c r="U1376" t="s">
        <v>3128</v>
      </c>
      <c r="V1376" t="s">
        <v>74</v>
      </c>
      <c r="W1376"/>
      <c r="X1376"/>
      <c r="Y1376"/>
      <c r="Z1376"/>
      <c r="AA1376"/>
      <c r="AB1376"/>
      <c r="AC1376"/>
      <c r="AD1376"/>
      <c r="AE1376"/>
      <c r="AF1376"/>
      <c r="AG1376"/>
    </row>
    <row r="1377">
      <c r="A1377" t="s">
        <v>3129</v>
      </c>
      <c r="B1377" t="s">
        <v>31</v>
      </c>
      <c r="C1377" t="s">
        <v>65</v>
      </c>
      <c r="D1377" t="s">
        <v>3130</v>
      </c>
      <c r="E1377" t="s">
        <v>3113</v>
      </c>
      <c r="F1377" t="s">
        <v>3114</v>
      </c>
      <c r="G1377" t="s">
        <v>3115</v>
      </c>
      <c r="H1377" t="n">
        <v>37.3055129491036</v>
      </c>
      <c r="I1377" t="n">
        <v>-107.866584802038</v>
      </c>
      <c r="J1377" t="s">
        <v>35</v>
      </c>
      <c r="K1377" t="s">
        <v>70</v>
      </c>
      <c r="L1377"/>
      <c r="M1377" t="n">
        <v>1983</v>
      </c>
      <c r="N1377" t="n">
        <v>1983</v>
      </c>
      <c r="O1377" t="s">
        <v>264</v>
      </c>
      <c r="P1377" t="n">
        <v>1</v>
      </c>
      <c r="Q1377" t="n">
        <v>1</v>
      </c>
      <c r="R1377" t="n">
        <v>1</v>
      </c>
      <c r="S1377" t="n">
        <v>1977</v>
      </c>
      <c r="T1377" t="s">
        <v>3131</v>
      </c>
      <c r="U1377" t="s">
        <v>3132</v>
      </c>
      <c r="V1377" t="s">
        <v>74</v>
      </c>
      <c r="W1377"/>
      <c r="X1377"/>
      <c r="Y1377"/>
      <c r="Z1377"/>
      <c r="AA1377"/>
      <c r="AB1377"/>
      <c r="AC1377"/>
      <c r="AD1377"/>
      <c r="AE1377"/>
      <c r="AF1377"/>
      <c r="AG1377"/>
    </row>
    <row r="1378">
      <c r="A1378" t="s">
        <v>4797</v>
      </c>
      <c r="B1378" t="s">
        <v>31</v>
      </c>
      <c r="C1378" t="s">
        <v>24</v>
      </c>
      <c r="D1378" t="s">
        <v>4798</v>
      </c>
      <c r="E1378" t="s">
        <v>3113</v>
      </c>
      <c r="F1378" t="s">
        <v>3114</v>
      </c>
      <c r="G1378" t="s">
        <v>3115</v>
      </c>
      <c r="H1378" t="n">
        <v>37.287536</v>
      </c>
      <c r="I1378" t="n">
        <v>-107.935407</v>
      </c>
      <c r="J1378" t="s">
        <v>4109</v>
      </c>
      <c r="K1378" t="s">
        <v>70</v>
      </c>
      <c r="L1378"/>
      <c r="M1378" t="n">
        <v>1988</v>
      </c>
      <c r="N1378" t="n">
        <v>1988</v>
      </c>
      <c r="O1378" t="s">
        <v>325</v>
      </c>
      <c r="P1378" t="n">
        <v>1</v>
      </c>
      <c r="Q1378" t="n">
        <v>1</v>
      </c>
      <c r="R1378" t="n">
        <v>1</v>
      </c>
      <c r="S1378" t="n">
        <v>1981</v>
      </c>
      <c r="T1378" t="s">
        <v>4799</v>
      </c>
      <c r="U1378" t="s">
        <v>4800</v>
      </c>
      <c r="V1378" t="s">
        <v>74</v>
      </c>
      <c r="W1378"/>
      <c r="X1378"/>
      <c r="Y1378"/>
      <c r="Z1378"/>
      <c r="AA1378"/>
      <c r="AB1378"/>
      <c r="AC1378"/>
      <c r="AD1378"/>
      <c r="AE1378"/>
      <c r="AF1378"/>
      <c r="AG1378"/>
    </row>
    <row r="1379">
      <c r="A1379" t="s">
        <v>3133</v>
      </c>
      <c r="B1379" t="s">
        <v>31</v>
      </c>
      <c r="C1379" t="s">
        <v>65</v>
      </c>
      <c r="D1379" t="s">
        <v>3134</v>
      </c>
      <c r="E1379" t="s">
        <v>3135</v>
      </c>
      <c r="F1379" t="s">
        <v>3114</v>
      </c>
      <c r="G1379" t="s">
        <v>3136</v>
      </c>
      <c r="H1379" t="n">
        <v>37.2253209052789</v>
      </c>
      <c r="I1379" t="n">
        <v>-107.600288731175</v>
      </c>
      <c r="J1379" t="s">
        <v>35</v>
      </c>
      <c r="K1379" t="s">
        <v>70</v>
      </c>
      <c r="L1379"/>
      <c r="M1379" t="n">
        <v>1990</v>
      </c>
      <c r="N1379" t="n">
        <v>1990</v>
      </c>
      <c r="O1379" t="s">
        <v>351</v>
      </c>
      <c r="P1379" t="n">
        <v>1</v>
      </c>
      <c r="Q1379" t="n">
        <v>1</v>
      </c>
      <c r="R1379" t="n">
        <v>1</v>
      </c>
      <c r="S1379" t="n">
        <v>1932</v>
      </c>
      <c r="T1379" t="s">
        <v>3137</v>
      </c>
      <c r="U1379" t="s">
        <v>3138</v>
      </c>
      <c r="V1379" t="s">
        <v>74</v>
      </c>
      <c r="W1379"/>
      <c r="X1379"/>
      <c r="Y1379"/>
      <c r="Z1379"/>
      <c r="AA1379"/>
      <c r="AB1379" t="s">
        <v>3139</v>
      </c>
      <c r="AC1379" t="n">
        <v>142</v>
      </c>
      <c r="AD1379"/>
      <c r="AE1379"/>
      <c r="AF1379"/>
      <c r="AG1379"/>
    </row>
    <row r="1380">
      <c r="A1380" t="s">
        <v>3140</v>
      </c>
      <c r="B1380" t="s">
        <v>31</v>
      </c>
      <c r="C1380" t="s">
        <v>65</v>
      </c>
      <c r="D1380" t="s">
        <v>3141</v>
      </c>
      <c r="E1380" t="s">
        <v>3113</v>
      </c>
      <c r="F1380" t="s">
        <v>3114</v>
      </c>
      <c r="G1380" t="s">
        <v>3115</v>
      </c>
      <c r="H1380" t="n">
        <v>37.2785132905455</v>
      </c>
      <c r="I1380" t="n">
        <v>-107.877581740235</v>
      </c>
      <c r="J1380" t="s">
        <v>35</v>
      </c>
      <c r="K1380" t="s">
        <v>70</v>
      </c>
      <c r="L1380"/>
      <c r="M1380" t="n">
        <v>1992</v>
      </c>
      <c r="N1380" t="n">
        <v>1992</v>
      </c>
      <c r="O1380" t="s">
        <v>1016</v>
      </c>
      <c r="P1380" t="n">
        <v>1</v>
      </c>
      <c r="Q1380" t="n">
        <v>1</v>
      </c>
      <c r="R1380" t="n">
        <v>1</v>
      </c>
      <c r="S1380" t="n">
        <v>1991</v>
      </c>
      <c r="T1380" t="s">
        <v>3142</v>
      </c>
      <c r="U1380" t="s">
        <v>3143</v>
      </c>
      <c r="V1380" t="s">
        <v>74</v>
      </c>
      <c r="W1380"/>
      <c r="X1380"/>
      <c r="Y1380"/>
      <c r="Z1380"/>
      <c r="AA1380"/>
      <c r="AB1380" t="s">
        <v>3144</v>
      </c>
      <c r="AC1380" t="n">
        <v>194</v>
      </c>
      <c r="AD1380"/>
      <c r="AE1380"/>
      <c r="AF1380" t="s">
        <v>3124</v>
      </c>
      <c r="AG1380" t="n">
        <v>195</v>
      </c>
    </row>
    <row r="1381">
      <c r="A1381" t="s">
        <v>3145</v>
      </c>
      <c r="B1381" t="s">
        <v>31</v>
      </c>
      <c r="C1381" t="s">
        <v>65</v>
      </c>
      <c r="D1381" t="s">
        <v>3146</v>
      </c>
      <c r="E1381" t="s">
        <v>3113</v>
      </c>
      <c r="F1381" t="s">
        <v>3114</v>
      </c>
      <c r="G1381" t="s">
        <v>3115</v>
      </c>
      <c r="H1381" t="n">
        <v>37.2804745539641</v>
      </c>
      <c r="I1381" t="n">
        <v>-107.873096221665</v>
      </c>
      <c r="J1381" t="s">
        <v>35</v>
      </c>
      <c r="K1381" t="s">
        <v>120</v>
      </c>
      <c r="L1381"/>
      <c r="M1381" t="n">
        <v>1992</v>
      </c>
      <c r="N1381" t="n">
        <v>1992</v>
      </c>
      <c r="O1381" t="s">
        <v>1016</v>
      </c>
      <c r="P1381" t="n">
        <v>1</v>
      </c>
      <c r="Q1381" t="n">
        <v>1</v>
      </c>
      <c r="R1381" t="n">
        <v>1</v>
      </c>
      <c r="S1381" t="n">
        <v>1987</v>
      </c>
      <c r="T1381" t="s">
        <v>3147</v>
      </c>
      <c r="U1381" t="s">
        <v>3148</v>
      </c>
      <c r="V1381" t="s">
        <v>74</v>
      </c>
      <c r="W1381"/>
      <c r="X1381"/>
      <c r="Y1381"/>
      <c r="Z1381"/>
      <c r="AA1381"/>
      <c r="AB1381"/>
      <c r="AC1381"/>
      <c r="AD1381"/>
      <c r="AE1381"/>
      <c r="AF1381"/>
      <c r="AG1381"/>
    </row>
    <row r="1382">
      <c r="A1382" t="s">
        <v>3149</v>
      </c>
      <c r="B1382" t="s">
        <v>31</v>
      </c>
      <c r="C1382" t="s">
        <v>65</v>
      </c>
      <c r="D1382" t="s">
        <v>3150</v>
      </c>
      <c r="E1382" t="s">
        <v>3151</v>
      </c>
      <c r="F1382" t="s">
        <v>3152</v>
      </c>
      <c r="G1382"/>
      <c r="H1382" t="n">
        <v>40.3584089166667</v>
      </c>
      <c r="I1382" t="n">
        <v>-105.07371875</v>
      </c>
      <c r="J1382" t="s">
        <v>35</v>
      </c>
      <c r="K1382" t="s">
        <v>141</v>
      </c>
      <c r="L1382"/>
      <c r="M1382" t="n">
        <v>1965</v>
      </c>
      <c r="N1382" t="n">
        <v>1973</v>
      </c>
      <c r="O1382" t="s">
        <v>3153</v>
      </c>
      <c r="P1382" t="n">
        <v>3</v>
      </c>
      <c r="Q1382" t="n">
        <v>2</v>
      </c>
      <c r="R1382" t="n">
        <v>2</v>
      </c>
      <c r="S1382" t="n">
        <v>1964</v>
      </c>
      <c r="T1382" t="s">
        <v>3154</v>
      </c>
      <c r="U1382" t="s">
        <v>3155</v>
      </c>
      <c r="V1382" t="s">
        <v>74</v>
      </c>
      <c r="W1382"/>
      <c r="X1382"/>
      <c r="Y1382"/>
      <c r="Z1382"/>
      <c r="AA1382"/>
      <c r="AB1382"/>
      <c r="AC1382"/>
      <c r="AD1382"/>
      <c r="AE1382"/>
      <c r="AF1382"/>
      <c r="AG1382"/>
    </row>
    <row r="1383">
      <c r="A1383" t="s">
        <v>3156</v>
      </c>
      <c r="B1383" t="s">
        <v>31</v>
      </c>
      <c r="C1383" t="s">
        <v>65</v>
      </c>
      <c r="D1383" t="s">
        <v>3157</v>
      </c>
      <c r="E1383" t="s">
        <v>3151</v>
      </c>
      <c r="F1383" t="s">
        <v>3152</v>
      </c>
      <c r="G1383"/>
      <c r="H1383" t="n">
        <v>40.4063348571429</v>
      </c>
      <c r="I1383" t="n">
        <v>-105.070447142857</v>
      </c>
      <c r="J1383" t="s">
        <v>35</v>
      </c>
      <c r="K1383" t="s">
        <v>120</v>
      </c>
      <c r="L1383"/>
      <c r="M1383" t="n">
        <v>1965</v>
      </c>
      <c r="N1383" t="n">
        <v>1965</v>
      </c>
      <c r="O1383" t="s">
        <v>1275</v>
      </c>
      <c r="P1383" t="n">
        <v>1</v>
      </c>
      <c r="Q1383" t="n">
        <v>1</v>
      </c>
      <c r="R1383" t="n">
        <v>1</v>
      </c>
      <c r="S1383"/>
      <c r="T1383" t="s">
        <v>3158</v>
      </c>
      <c r="U1383" t="s">
        <v>3159</v>
      </c>
      <c r="V1383" t="s">
        <v>74</v>
      </c>
      <c r="W1383"/>
      <c r="X1383"/>
      <c r="Y1383"/>
      <c r="Z1383"/>
      <c r="AA1383"/>
      <c r="AB1383"/>
      <c r="AC1383"/>
      <c r="AD1383"/>
      <c r="AE1383"/>
      <c r="AF1383" t="s">
        <v>3160</v>
      </c>
      <c r="AG1383" t="n">
        <v>187</v>
      </c>
    </row>
    <row r="1384">
      <c r="A1384" t="s">
        <v>3161</v>
      </c>
      <c r="B1384" t="s">
        <v>31</v>
      </c>
      <c r="C1384" t="s">
        <v>65</v>
      </c>
      <c r="D1384" t="s">
        <v>3162</v>
      </c>
      <c r="E1384" t="s">
        <v>3151</v>
      </c>
      <c r="F1384" t="s">
        <v>3152</v>
      </c>
      <c r="G1384" t="s">
        <v>3163</v>
      </c>
      <c r="H1384" t="n">
        <v>40.3945792422844</v>
      </c>
      <c r="I1384" t="n">
        <v>-105.075933574515</v>
      </c>
      <c r="J1384" t="s">
        <v>35</v>
      </c>
      <c r="K1384" t="s">
        <v>141</v>
      </c>
      <c r="L1384"/>
      <c r="M1384" t="n">
        <v>1965</v>
      </c>
      <c r="N1384" t="n">
        <v>1990</v>
      </c>
      <c r="O1384" t="s">
        <v>1283</v>
      </c>
      <c r="P1384" t="n">
        <v>6</v>
      </c>
      <c r="Q1384" t="n">
        <v>2</v>
      </c>
      <c r="R1384" t="n">
        <v>1</v>
      </c>
      <c r="S1384" t="n">
        <v>1946</v>
      </c>
      <c r="T1384" t="s">
        <v>3164</v>
      </c>
      <c r="U1384" t="s">
        <v>3165</v>
      </c>
      <c r="V1384" t="s">
        <v>74</v>
      </c>
      <c r="W1384"/>
      <c r="X1384"/>
      <c r="Y1384"/>
      <c r="Z1384"/>
      <c r="AA1384"/>
      <c r="AB1384" t="s">
        <v>3166</v>
      </c>
      <c r="AC1384" t="n">
        <v>108</v>
      </c>
      <c r="AD1384"/>
      <c r="AE1384"/>
      <c r="AF1384" t="s">
        <v>3167</v>
      </c>
      <c r="AG1384" t="n">
        <v>158</v>
      </c>
    </row>
    <row r="1385">
      <c r="A1385" t="s">
        <v>4801</v>
      </c>
      <c r="B1385" t="s">
        <v>31</v>
      </c>
      <c r="C1385" t="s">
        <v>24</v>
      </c>
      <c r="D1385" t="s">
        <v>4802</v>
      </c>
      <c r="E1385" t="s">
        <v>3170</v>
      </c>
      <c r="F1385" t="s">
        <v>3152</v>
      </c>
      <c r="G1385" t="s">
        <v>3171</v>
      </c>
      <c r="H1385" t="n">
        <v>40.5870372973761</v>
      </c>
      <c r="I1385" t="n">
        <v>-105.079047793003</v>
      </c>
      <c r="J1385" t="s">
        <v>35</v>
      </c>
      <c r="K1385" t="s">
        <v>70</v>
      </c>
      <c r="L1385"/>
      <c r="M1385" t="n">
        <v>1966</v>
      </c>
      <c r="N1385" t="n">
        <v>1973</v>
      </c>
      <c r="O1385" t="s">
        <v>1349</v>
      </c>
      <c r="P1385" t="n">
        <v>5</v>
      </c>
      <c r="Q1385" t="n">
        <v>5</v>
      </c>
      <c r="R1385" t="n">
        <v>1</v>
      </c>
      <c r="S1385" t="n">
        <v>1900</v>
      </c>
      <c r="T1385" t="s">
        <v>4803</v>
      </c>
      <c r="U1385" t="s">
        <v>4804</v>
      </c>
      <c r="V1385" t="s">
        <v>4175</v>
      </c>
      <c r="W1385"/>
      <c r="X1385"/>
      <c r="Y1385"/>
      <c r="Z1385"/>
      <c r="AA1385"/>
      <c r="AB1385"/>
      <c r="AC1385"/>
      <c r="AD1385"/>
      <c r="AE1385"/>
      <c r="AF1385" t="s">
        <v>3377</v>
      </c>
      <c r="AG1385" t="n">
        <v>172</v>
      </c>
    </row>
    <row r="1386">
      <c r="A1386" t="s">
        <v>4805</v>
      </c>
      <c r="B1386" t="s">
        <v>31</v>
      </c>
      <c r="C1386" t="s">
        <v>24</v>
      </c>
      <c r="D1386" t="s">
        <v>4806</v>
      </c>
      <c r="E1386" t="s">
        <v>3170</v>
      </c>
      <c r="F1386" t="s">
        <v>3152</v>
      </c>
      <c r="G1386" t="s">
        <v>3171</v>
      </c>
      <c r="H1386" t="n">
        <v>40.5883662857143</v>
      </c>
      <c r="I1386" t="n">
        <v>-105.078953428571</v>
      </c>
      <c r="J1386" t="s">
        <v>35</v>
      </c>
      <c r="K1386" t="s">
        <v>141</v>
      </c>
      <c r="L1386"/>
      <c r="M1386" t="n">
        <v>1966</v>
      </c>
      <c r="N1386" t="n">
        <v>1967</v>
      </c>
      <c r="O1386" t="s">
        <v>716</v>
      </c>
      <c r="P1386" t="n">
        <v>2</v>
      </c>
      <c r="Q1386" t="n">
        <v>2</v>
      </c>
      <c r="R1386" t="n">
        <v>2</v>
      </c>
      <c r="S1386" t="n">
        <v>1931</v>
      </c>
      <c r="T1386" t="s">
        <v>4807</v>
      </c>
      <c r="U1386" t="s">
        <v>4808</v>
      </c>
      <c r="V1386" t="s">
        <v>4175</v>
      </c>
      <c r="W1386"/>
      <c r="X1386"/>
      <c r="Y1386"/>
      <c r="Z1386"/>
      <c r="AA1386"/>
      <c r="AB1386"/>
      <c r="AC1386"/>
      <c r="AD1386"/>
      <c r="AE1386"/>
      <c r="AF1386" t="s">
        <v>4809</v>
      </c>
      <c r="AG1386" t="n">
        <v>100</v>
      </c>
    </row>
    <row r="1387">
      <c r="A1387" t="s">
        <v>4810</v>
      </c>
      <c r="B1387" t="s">
        <v>31</v>
      </c>
      <c r="C1387" t="s">
        <v>24</v>
      </c>
      <c r="D1387" t="s">
        <v>4811</v>
      </c>
      <c r="E1387" t="s">
        <v>3170</v>
      </c>
      <c r="F1387" t="s">
        <v>3152</v>
      </c>
      <c r="G1387" t="s">
        <v>3171</v>
      </c>
      <c r="H1387" t="n">
        <v>40.58543</v>
      </c>
      <c r="I1387" t="n">
        <v>-105.129044</v>
      </c>
      <c r="J1387" t="s">
        <v>4109</v>
      </c>
      <c r="K1387" t="s">
        <v>988</v>
      </c>
      <c r="L1387"/>
      <c r="M1387" t="n">
        <v>1967</v>
      </c>
      <c r="N1387" t="n">
        <v>1977</v>
      </c>
      <c r="O1387" t="s">
        <v>4812</v>
      </c>
      <c r="P1387" t="n">
        <v>3</v>
      </c>
      <c r="Q1387" t="n">
        <v>3</v>
      </c>
      <c r="R1387" t="n">
        <v>3</v>
      </c>
      <c r="S1387" t="n">
        <v>1963</v>
      </c>
      <c r="T1387" t="s">
        <v>4813</v>
      </c>
      <c r="U1387" t="s">
        <v>4814</v>
      </c>
      <c r="V1387" t="s">
        <v>74</v>
      </c>
      <c r="W1387"/>
      <c r="X1387"/>
      <c r="Y1387"/>
      <c r="Z1387"/>
      <c r="AA1387"/>
      <c r="AB1387"/>
      <c r="AC1387"/>
      <c r="AD1387"/>
      <c r="AE1387"/>
      <c r="AF1387"/>
      <c r="AG1387"/>
    </row>
    <row r="1388">
      <c r="A1388" t="s">
        <v>3168</v>
      </c>
      <c r="B1388" t="s">
        <v>31</v>
      </c>
      <c r="C1388" t="s">
        <v>65</v>
      </c>
      <c r="D1388" t="s">
        <v>3169</v>
      </c>
      <c r="E1388" t="s">
        <v>3170</v>
      </c>
      <c r="F1388" t="s">
        <v>3152</v>
      </c>
      <c r="G1388" t="s">
        <v>3171</v>
      </c>
      <c r="H1388" t="n">
        <v>40.6038620301508</v>
      </c>
      <c r="I1388" t="n">
        <v>-105.088357768844</v>
      </c>
      <c r="J1388" t="s">
        <v>35</v>
      </c>
      <c r="K1388" t="s">
        <v>89</v>
      </c>
      <c r="L1388"/>
      <c r="M1388" t="n">
        <v>1967</v>
      </c>
      <c r="N1388" t="n">
        <v>1968</v>
      </c>
      <c r="O1388" t="s">
        <v>106</v>
      </c>
      <c r="P1388" t="n">
        <v>2</v>
      </c>
      <c r="Q1388" t="n">
        <v>2</v>
      </c>
      <c r="R1388" t="n">
        <v>2</v>
      </c>
      <c r="S1388" t="n">
        <v>1964</v>
      </c>
      <c r="T1388" t="s">
        <v>3172</v>
      </c>
      <c r="U1388" t="s">
        <v>3173</v>
      </c>
      <c r="V1388" t="s">
        <v>74</v>
      </c>
      <c r="W1388"/>
      <c r="X1388"/>
      <c r="Y1388"/>
      <c r="Z1388"/>
      <c r="AA1388"/>
      <c r="AB1388"/>
      <c r="AC1388"/>
      <c r="AD1388"/>
      <c r="AE1388"/>
      <c r="AF1388"/>
      <c r="AG1388"/>
    </row>
    <row r="1389">
      <c r="A1389" t="s">
        <v>3174</v>
      </c>
      <c r="B1389" t="s">
        <v>31</v>
      </c>
      <c r="C1389" t="s">
        <v>65</v>
      </c>
      <c r="D1389" t="s">
        <v>3175</v>
      </c>
      <c r="E1389" t="s">
        <v>3151</v>
      </c>
      <c r="F1389" t="s">
        <v>3152</v>
      </c>
      <c r="G1389" t="s">
        <v>3163</v>
      </c>
      <c r="H1389" t="n">
        <v>40.3829619936082</v>
      </c>
      <c r="I1389" t="n">
        <v>-105.073511099002</v>
      </c>
      <c r="J1389" t="s">
        <v>35</v>
      </c>
      <c r="K1389" t="s">
        <v>70</v>
      </c>
      <c r="L1389"/>
      <c r="M1389" t="n">
        <v>1968</v>
      </c>
      <c r="N1389" t="n">
        <v>1968</v>
      </c>
      <c r="O1389" t="s">
        <v>1349</v>
      </c>
      <c r="P1389" t="n">
        <v>1</v>
      </c>
      <c r="Q1389" t="n">
        <v>1</v>
      </c>
      <c r="R1389" t="n">
        <v>1</v>
      </c>
      <c r="S1389" t="n">
        <v>1966</v>
      </c>
      <c r="T1389" t="s">
        <v>3176</v>
      </c>
      <c r="U1389" t="s">
        <v>3177</v>
      </c>
      <c r="V1389" t="s">
        <v>74</v>
      </c>
      <c r="W1389"/>
      <c r="X1389"/>
      <c r="Y1389"/>
      <c r="Z1389"/>
      <c r="AA1389"/>
      <c r="AB1389" t="s">
        <v>3178</v>
      </c>
      <c r="AC1389" t="n">
        <v>80</v>
      </c>
      <c r="AD1389" t="s">
        <v>3179</v>
      </c>
      <c r="AE1389" t="n">
        <v>220</v>
      </c>
      <c r="AF1389" t="s">
        <v>1259</v>
      </c>
      <c r="AG1389" t="n">
        <v>98</v>
      </c>
    </row>
    <row r="1390">
      <c r="A1390" t="s">
        <v>3180</v>
      </c>
      <c r="B1390" t="s">
        <v>31</v>
      </c>
      <c r="C1390" t="s">
        <v>65</v>
      </c>
      <c r="D1390" t="s">
        <v>3181</v>
      </c>
      <c r="E1390" t="s">
        <v>3170</v>
      </c>
      <c r="F1390" t="s">
        <v>3152</v>
      </c>
      <c r="G1390" t="s">
        <v>3171</v>
      </c>
      <c r="H1390" t="n">
        <v>40.5814596454515</v>
      </c>
      <c r="I1390" t="n">
        <v>-105.055263057089</v>
      </c>
      <c r="J1390" t="s">
        <v>35</v>
      </c>
      <c r="K1390" t="s">
        <v>120</v>
      </c>
      <c r="L1390"/>
      <c r="M1390" t="n">
        <v>1970</v>
      </c>
      <c r="N1390" t="n">
        <v>1970</v>
      </c>
      <c r="O1390" t="s">
        <v>726</v>
      </c>
      <c r="P1390" t="n">
        <v>1</v>
      </c>
      <c r="Q1390" t="n">
        <v>1</v>
      </c>
      <c r="R1390" t="n">
        <v>1</v>
      </c>
      <c r="S1390" t="n">
        <v>1946</v>
      </c>
      <c r="T1390" t="s">
        <v>3182</v>
      </c>
      <c r="U1390" t="s">
        <v>3183</v>
      </c>
      <c r="V1390" t="s">
        <v>74</v>
      </c>
      <c r="W1390"/>
      <c r="X1390"/>
      <c r="Y1390"/>
      <c r="Z1390"/>
      <c r="AA1390"/>
      <c r="AB1390"/>
      <c r="AC1390"/>
      <c r="AD1390"/>
      <c r="AE1390"/>
      <c r="AF1390" t="s">
        <v>3184</v>
      </c>
      <c r="AG1390" t="n">
        <v>87</v>
      </c>
    </row>
    <row r="1391">
      <c r="A1391" t="s">
        <v>3185</v>
      </c>
      <c r="B1391" t="s">
        <v>31</v>
      </c>
      <c r="C1391" t="s">
        <v>65</v>
      </c>
      <c r="D1391" t="s">
        <v>3186</v>
      </c>
      <c r="E1391" t="s">
        <v>3187</v>
      </c>
      <c r="F1391" t="s">
        <v>3152</v>
      </c>
      <c r="G1391" t="s">
        <v>3188</v>
      </c>
      <c r="H1391" t="n">
        <v>40.3761411964531</v>
      </c>
      <c r="I1391" t="n">
        <v>-105.525460477125</v>
      </c>
      <c r="J1391" t="s">
        <v>35</v>
      </c>
      <c r="K1391" t="s">
        <v>70</v>
      </c>
      <c r="L1391"/>
      <c r="M1391" t="n">
        <v>1973</v>
      </c>
      <c r="N1391" t="n">
        <v>1980</v>
      </c>
      <c r="O1391" t="s">
        <v>228</v>
      </c>
      <c r="P1391" t="n">
        <v>4</v>
      </c>
      <c r="Q1391" t="n">
        <v>3</v>
      </c>
      <c r="R1391" t="n">
        <v>1</v>
      </c>
      <c r="S1391" t="n">
        <v>1934</v>
      </c>
      <c r="T1391" t="s">
        <v>3189</v>
      </c>
      <c r="U1391" t="s">
        <v>3190</v>
      </c>
      <c r="V1391" t="s">
        <v>74</v>
      </c>
      <c r="W1391"/>
      <c r="X1391"/>
      <c r="Y1391"/>
      <c r="Z1391"/>
      <c r="AA1391"/>
      <c r="AB1391"/>
      <c r="AC1391"/>
      <c r="AD1391"/>
      <c r="AE1391"/>
      <c r="AF1391"/>
      <c r="AG1391"/>
    </row>
    <row r="1392">
      <c r="A1392" t="s">
        <v>3191</v>
      </c>
      <c r="B1392" t="s">
        <v>31</v>
      </c>
      <c r="C1392" t="s">
        <v>65</v>
      </c>
      <c r="D1392" t="s">
        <v>3192</v>
      </c>
      <c r="E1392" t="s">
        <v>3170</v>
      </c>
      <c r="F1392" t="s">
        <v>3152</v>
      </c>
      <c r="G1392" t="s">
        <v>3171</v>
      </c>
      <c r="H1392" t="n">
        <v>40.5813476148429</v>
      </c>
      <c r="I1392" t="n">
        <v>-105.022866022921</v>
      </c>
      <c r="J1392" t="s">
        <v>35</v>
      </c>
      <c r="K1392" t="s">
        <v>133</v>
      </c>
      <c r="L1392"/>
      <c r="M1392" t="n">
        <v>1973</v>
      </c>
      <c r="N1392" t="n">
        <v>1973</v>
      </c>
      <c r="O1392" t="s">
        <v>121</v>
      </c>
      <c r="P1392" t="n">
        <v>1</v>
      </c>
      <c r="Q1392" t="n">
        <v>1</v>
      </c>
      <c r="R1392" t="n">
        <v>1</v>
      </c>
      <c r="S1392" t="n">
        <v>1966</v>
      </c>
      <c r="T1392" t="s">
        <v>3193</v>
      </c>
      <c r="U1392" t="s">
        <v>3194</v>
      </c>
      <c r="V1392" t="s">
        <v>74</v>
      </c>
      <c r="W1392"/>
      <c r="X1392"/>
      <c r="Y1392"/>
      <c r="Z1392"/>
      <c r="AA1392"/>
      <c r="AB1392"/>
      <c r="AC1392"/>
      <c r="AD1392"/>
      <c r="AE1392"/>
      <c r="AF1392" t="s">
        <v>3195</v>
      </c>
      <c r="AG1392" t="n">
        <v>155</v>
      </c>
    </row>
    <row r="1393">
      <c r="A1393" t="s">
        <v>3196</v>
      </c>
      <c r="B1393" t="s">
        <v>31</v>
      </c>
      <c r="C1393" t="s">
        <v>65</v>
      </c>
      <c r="D1393" t="s">
        <v>3197</v>
      </c>
      <c r="E1393" t="s">
        <v>3151</v>
      </c>
      <c r="F1393" t="s">
        <v>3152</v>
      </c>
      <c r="G1393" t="s">
        <v>3163</v>
      </c>
      <c r="H1393" t="n">
        <v>40.392602020202</v>
      </c>
      <c r="I1393" t="n">
        <v>-105.073246116162</v>
      </c>
      <c r="J1393" t="s">
        <v>35</v>
      </c>
      <c r="K1393" t="s">
        <v>70</v>
      </c>
      <c r="L1393"/>
      <c r="M1393" t="n">
        <v>1973</v>
      </c>
      <c r="N1393" t="n">
        <v>1980</v>
      </c>
      <c r="O1393" t="s">
        <v>255</v>
      </c>
      <c r="P1393" t="n">
        <v>2</v>
      </c>
      <c r="Q1393" t="n">
        <v>2</v>
      </c>
      <c r="R1393" t="n">
        <v>1</v>
      </c>
      <c r="S1393" t="n">
        <v>1966</v>
      </c>
      <c r="T1393" t="s">
        <v>3198</v>
      </c>
      <c r="U1393" t="s">
        <v>3199</v>
      </c>
      <c r="V1393" t="s">
        <v>74</v>
      </c>
      <c r="W1393"/>
      <c r="X1393"/>
      <c r="Y1393"/>
      <c r="Z1393"/>
      <c r="AA1393"/>
      <c r="AB1393" t="s">
        <v>3200</v>
      </c>
      <c r="AC1393" t="n">
        <v>129</v>
      </c>
      <c r="AD1393"/>
      <c r="AE1393"/>
      <c r="AF1393" t="s">
        <v>3201</v>
      </c>
      <c r="AG1393" t="n">
        <v>128</v>
      </c>
    </row>
    <row r="1394">
      <c r="A1394" t="s">
        <v>3202</v>
      </c>
      <c r="B1394" t="s">
        <v>31</v>
      </c>
      <c r="C1394" t="s">
        <v>65</v>
      </c>
      <c r="D1394" t="s">
        <v>3203</v>
      </c>
      <c r="E1394" t="s">
        <v>3151</v>
      </c>
      <c r="F1394" t="s">
        <v>3152</v>
      </c>
      <c r="G1394" t="s">
        <v>3163</v>
      </c>
      <c r="H1394" t="n">
        <v>40.4072192390776</v>
      </c>
      <c r="I1394" t="n">
        <v>-105.126030862547</v>
      </c>
      <c r="J1394" t="s">
        <v>35</v>
      </c>
      <c r="K1394" t="s">
        <v>120</v>
      </c>
      <c r="L1394"/>
      <c r="M1394" t="n">
        <v>1973</v>
      </c>
      <c r="N1394" t="n">
        <v>1992</v>
      </c>
      <c r="O1394" t="s">
        <v>1016</v>
      </c>
      <c r="P1394" t="n">
        <v>6</v>
      </c>
      <c r="Q1394" t="n">
        <v>3</v>
      </c>
      <c r="R1394" t="n">
        <v>1</v>
      </c>
      <c r="S1394" t="n">
        <v>1953</v>
      </c>
      <c r="T1394" t="s">
        <v>3204</v>
      </c>
      <c r="U1394" t="s">
        <v>3205</v>
      </c>
      <c r="V1394" t="s">
        <v>74</v>
      </c>
      <c r="W1394"/>
      <c r="X1394"/>
      <c r="Y1394"/>
      <c r="Z1394"/>
      <c r="AA1394"/>
      <c r="AB1394"/>
      <c r="AC1394"/>
      <c r="AD1394"/>
      <c r="AE1394"/>
      <c r="AF1394" t="s">
        <v>3206</v>
      </c>
      <c r="AG1394" t="n">
        <v>142</v>
      </c>
    </row>
    <row r="1395">
      <c r="A1395" t="s">
        <v>3207</v>
      </c>
      <c r="B1395" t="s">
        <v>31</v>
      </c>
      <c r="C1395" t="s">
        <v>65</v>
      </c>
      <c r="D1395" t="s">
        <v>3208</v>
      </c>
      <c r="E1395" t="s">
        <v>3209</v>
      </c>
      <c r="F1395" t="s">
        <v>3152</v>
      </c>
      <c r="G1395" t="s">
        <v>3210</v>
      </c>
      <c r="H1395" t="n">
        <v>40.531563</v>
      </c>
      <c r="I1395" t="n">
        <v>-104.982292</v>
      </c>
      <c r="J1395" t="s">
        <v>35</v>
      </c>
      <c r="K1395" t="s">
        <v>270</v>
      </c>
      <c r="L1395"/>
      <c r="M1395" t="n">
        <v>1973</v>
      </c>
      <c r="N1395" t="n">
        <v>1990</v>
      </c>
      <c r="O1395" t="s">
        <v>3211</v>
      </c>
      <c r="P1395" t="n">
        <v>6</v>
      </c>
      <c r="Q1395" t="n">
        <v>3</v>
      </c>
      <c r="R1395" t="n">
        <v>2</v>
      </c>
      <c r="S1395" t="n">
        <v>1965</v>
      </c>
      <c r="T1395" t="s">
        <v>3212</v>
      </c>
      <c r="U1395" t="s">
        <v>3213</v>
      </c>
      <c r="V1395" t="s">
        <v>74</v>
      </c>
      <c r="W1395"/>
      <c r="X1395"/>
      <c r="Y1395"/>
      <c r="Z1395"/>
      <c r="AA1395"/>
      <c r="AB1395"/>
      <c r="AC1395"/>
      <c r="AD1395" t="s">
        <v>3214</v>
      </c>
      <c r="AE1395" t="n">
        <v>168</v>
      </c>
      <c r="AF1395"/>
      <c r="AG1395"/>
    </row>
    <row r="1396">
      <c r="A1396" t="s">
        <v>5052</v>
      </c>
      <c r="B1396" t="s">
        <v>31</v>
      </c>
      <c r="C1396" t="s">
        <v>25</v>
      </c>
      <c r="D1396" t="s">
        <v>5053</v>
      </c>
      <c r="E1396" t="s">
        <v>3170</v>
      </c>
      <c r="F1396" t="s">
        <v>3152</v>
      </c>
      <c r="G1396" t="s">
        <v>3171</v>
      </c>
      <c r="H1396" t="n">
        <v>40.639433</v>
      </c>
      <c r="I1396" t="n">
        <v>-105.064791</v>
      </c>
      <c r="J1396" t="s">
        <v>4109</v>
      </c>
      <c r="K1396" t="s">
        <v>70</v>
      </c>
      <c r="L1396"/>
      <c r="M1396" t="n">
        <v>1974</v>
      </c>
      <c r="N1396" t="n">
        <v>1974</v>
      </c>
      <c r="O1396" t="s">
        <v>210</v>
      </c>
      <c r="P1396" t="n">
        <v>1</v>
      </c>
      <c r="Q1396" t="n">
        <v>1</v>
      </c>
      <c r="R1396" t="n">
        <v>1</v>
      </c>
      <c r="S1396" t="n">
        <v>1974</v>
      </c>
      <c r="T1396" t="s">
        <v>5054</v>
      </c>
      <c r="U1396" t="s">
        <v>5055</v>
      </c>
      <c r="V1396" t="s">
        <v>4175</v>
      </c>
      <c r="W1396"/>
      <c r="X1396"/>
      <c r="Y1396"/>
      <c r="Z1396"/>
      <c r="AA1396"/>
      <c r="AB1396"/>
      <c r="AC1396"/>
      <c r="AD1396"/>
      <c r="AE1396"/>
      <c r="AF1396"/>
      <c r="AG1396"/>
    </row>
    <row r="1397">
      <c r="A1397" t="s">
        <v>3215</v>
      </c>
      <c r="B1397" t="s">
        <v>31</v>
      </c>
      <c r="C1397" t="s">
        <v>65</v>
      </c>
      <c r="D1397" t="s">
        <v>3216</v>
      </c>
      <c r="E1397" t="s">
        <v>3151</v>
      </c>
      <c r="F1397" t="s">
        <v>3152</v>
      </c>
      <c r="G1397" t="s">
        <v>3163</v>
      </c>
      <c r="H1397" t="n">
        <v>40.4073294719101</v>
      </c>
      <c r="I1397" t="n">
        <v>-105.138195202247</v>
      </c>
      <c r="J1397" t="s">
        <v>35</v>
      </c>
      <c r="K1397" t="s">
        <v>133</v>
      </c>
      <c r="L1397"/>
      <c r="M1397" t="n">
        <v>1974</v>
      </c>
      <c r="N1397" t="n">
        <v>1983</v>
      </c>
      <c r="O1397" t="s">
        <v>3217</v>
      </c>
      <c r="P1397" t="n">
        <v>3</v>
      </c>
      <c r="Q1397" t="n">
        <v>2</v>
      </c>
      <c r="R1397" t="n">
        <v>1</v>
      </c>
      <c r="S1397" t="n">
        <v>1966</v>
      </c>
      <c r="T1397" t="s">
        <v>3218</v>
      </c>
      <c r="U1397" t="s">
        <v>3219</v>
      </c>
      <c r="V1397" t="s">
        <v>74</v>
      </c>
      <c r="W1397"/>
      <c r="X1397"/>
      <c r="Y1397"/>
      <c r="Z1397"/>
      <c r="AA1397"/>
      <c r="AB1397"/>
      <c r="AC1397"/>
      <c r="AD1397"/>
      <c r="AE1397"/>
      <c r="AF1397"/>
      <c r="AG1397"/>
    </row>
    <row r="1398">
      <c r="A1398" t="s">
        <v>3220</v>
      </c>
      <c r="B1398" t="s">
        <v>31</v>
      </c>
      <c r="C1398" t="s">
        <v>65</v>
      </c>
      <c r="D1398" t="s">
        <v>3221</v>
      </c>
      <c r="E1398" t="s">
        <v>3151</v>
      </c>
      <c r="F1398" t="s">
        <v>3152</v>
      </c>
      <c r="G1398" t="s">
        <v>3163</v>
      </c>
      <c r="H1398" t="n">
        <v>40.3923153080612</v>
      </c>
      <c r="I1398" t="n">
        <v>-105.107771913192</v>
      </c>
      <c r="J1398" t="s">
        <v>35</v>
      </c>
      <c r="K1398" t="s">
        <v>70</v>
      </c>
      <c r="L1398"/>
      <c r="M1398" t="n">
        <v>1974</v>
      </c>
      <c r="N1398" t="n">
        <v>1992</v>
      </c>
      <c r="O1398" t="s">
        <v>1949</v>
      </c>
      <c r="P1398" t="n">
        <v>6</v>
      </c>
      <c r="Q1398" t="n">
        <v>4</v>
      </c>
      <c r="R1398" t="n">
        <v>2</v>
      </c>
      <c r="S1398" t="n">
        <v>1962</v>
      </c>
      <c r="T1398" t="s">
        <v>3222</v>
      </c>
      <c r="U1398" t="s">
        <v>3223</v>
      </c>
      <c r="V1398" t="s">
        <v>74</v>
      </c>
      <c r="W1398"/>
      <c r="X1398"/>
      <c r="Y1398"/>
      <c r="Z1398"/>
      <c r="AA1398"/>
      <c r="AB1398"/>
      <c r="AC1398"/>
      <c r="AD1398"/>
      <c r="AE1398"/>
      <c r="AF1398"/>
      <c r="AG1398"/>
    </row>
    <row r="1399">
      <c r="A1399" t="s">
        <v>3224</v>
      </c>
      <c r="B1399" t="s">
        <v>31</v>
      </c>
      <c r="C1399" t="s">
        <v>65</v>
      </c>
      <c r="D1399" t="s">
        <v>3225</v>
      </c>
      <c r="E1399" t="s">
        <v>3170</v>
      </c>
      <c r="F1399" t="s">
        <v>3152</v>
      </c>
      <c r="G1399" t="s">
        <v>3171</v>
      </c>
      <c r="H1399" t="n">
        <v>40.589936</v>
      </c>
      <c r="I1399" t="n">
        <v>-105.075529</v>
      </c>
      <c r="J1399" t="s">
        <v>35</v>
      </c>
      <c r="K1399" t="s">
        <v>120</v>
      </c>
      <c r="L1399"/>
      <c r="M1399" t="n">
        <v>1977</v>
      </c>
      <c r="N1399" t="n">
        <v>1977</v>
      </c>
      <c r="O1399" t="s">
        <v>228</v>
      </c>
      <c r="P1399" t="n">
        <v>1</v>
      </c>
      <c r="Q1399" t="n">
        <v>1</v>
      </c>
      <c r="R1399" t="n">
        <v>1</v>
      </c>
      <c r="S1399" t="n">
        <v>1976</v>
      </c>
      <c r="T1399" t="s">
        <v>3226</v>
      </c>
      <c r="U1399" t="s">
        <v>3227</v>
      </c>
      <c r="V1399" t="s">
        <v>74</v>
      </c>
      <c r="W1399"/>
      <c r="X1399"/>
      <c r="Y1399"/>
      <c r="Z1399"/>
      <c r="AA1399"/>
      <c r="AB1399" t="s">
        <v>3228</v>
      </c>
      <c r="AC1399" t="n">
        <v>167</v>
      </c>
      <c r="AD1399"/>
      <c r="AE1399"/>
      <c r="AF1399" t="s">
        <v>3229</v>
      </c>
      <c r="AG1399" t="n">
        <v>144</v>
      </c>
    </row>
    <row r="1400">
      <c r="A1400" t="s">
        <v>3230</v>
      </c>
      <c r="B1400" t="s">
        <v>31</v>
      </c>
      <c r="C1400" t="s">
        <v>65</v>
      </c>
      <c r="D1400" t="s">
        <v>3231</v>
      </c>
      <c r="E1400" t="s">
        <v>3170</v>
      </c>
      <c r="F1400" t="s">
        <v>3152</v>
      </c>
      <c r="G1400" t="s">
        <v>3232</v>
      </c>
      <c r="H1400" t="n">
        <v>40.5993356122449</v>
      </c>
      <c r="I1400" t="n">
        <v>-105.090852653061</v>
      </c>
      <c r="J1400" t="s">
        <v>35</v>
      </c>
      <c r="K1400" t="s">
        <v>70</v>
      </c>
      <c r="L1400"/>
      <c r="M1400" t="n">
        <v>1977</v>
      </c>
      <c r="N1400" t="n">
        <v>1980</v>
      </c>
      <c r="O1400" t="s">
        <v>1949</v>
      </c>
      <c r="P1400" t="n">
        <v>2</v>
      </c>
      <c r="Q1400" t="n">
        <v>2</v>
      </c>
      <c r="R1400" t="n">
        <v>2</v>
      </c>
      <c r="S1400" t="n">
        <v>1972</v>
      </c>
      <c r="T1400" t="s">
        <v>3233</v>
      </c>
      <c r="U1400" t="s">
        <v>3234</v>
      </c>
      <c r="V1400" t="s">
        <v>74</v>
      </c>
      <c r="W1400"/>
      <c r="X1400"/>
      <c r="Y1400"/>
      <c r="Z1400"/>
      <c r="AA1400"/>
      <c r="AB1400"/>
      <c r="AC1400"/>
      <c r="AD1400"/>
      <c r="AE1400"/>
      <c r="AF1400" t="s">
        <v>3235</v>
      </c>
      <c r="AG1400" t="n">
        <v>115</v>
      </c>
    </row>
    <row r="1401">
      <c r="A1401" t="s">
        <v>3236</v>
      </c>
      <c r="B1401" t="s">
        <v>31</v>
      </c>
      <c r="C1401" t="s">
        <v>65</v>
      </c>
      <c r="D1401" t="s">
        <v>3237</v>
      </c>
      <c r="E1401" t="s">
        <v>3170</v>
      </c>
      <c r="F1401" t="s">
        <v>3152</v>
      </c>
      <c r="G1401" t="s">
        <v>3171</v>
      </c>
      <c r="H1401" t="n">
        <v>40.5821720508216</v>
      </c>
      <c r="I1401" t="n">
        <v>-105.03957323349</v>
      </c>
      <c r="J1401" t="s">
        <v>35</v>
      </c>
      <c r="K1401" t="s">
        <v>81</v>
      </c>
      <c r="L1401"/>
      <c r="M1401" t="n">
        <v>1977</v>
      </c>
      <c r="N1401" t="n">
        <v>1983</v>
      </c>
      <c r="O1401" t="s">
        <v>829</v>
      </c>
      <c r="P1401" t="n">
        <v>3</v>
      </c>
      <c r="Q1401" t="n">
        <v>4</v>
      </c>
      <c r="R1401" t="n">
        <v>3</v>
      </c>
      <c r="S1401" t="n">
        <v>1961</v>
      </c>
      <c r="T1401" t="s">
        <v>3238</v>
      </c>
      <c r="U1401" t="s">
        <v>3239</v>
      </c>
      <c r="V1401" t="s">
        <v>74</v>
      </c>
      <c r="W1401"/>
      <c r="X1401"/>
      <c r="Y1401"/>
      <c r="Z1401"/>
      <c r="AA1401"/>
      <c r="AB1401"/>
      <c r="AC1401"/>
      <c r="AD1401"/>
      <c r="AE1401"/>
      <c r="AF1401" t="s">
        <v>3240</v>
      </c>
      <c r="AG1401" t="n">
        <v>101</v>
      </c>
    </row>
    <row r="1402">
      <c r="A1402" t="s">
        <v>3241</v>
      </c>
      <c r="B1402" t="s">
        <v>31</v>
      </c>
      <c r="C1402" t="s">
        <v>65</v>
      </c>
      <c r="D1402" t="s">
        <v>3242</v>
      </c>
      <c r="E1402" t="s">
        <v>3170</v>
      </c>
      <c r="F1402" t="s">
        <v>3152</v>
      </c>
      <c r="G1402" t="s">
        <v>3171</v>
      </c>
      <c r="H1402" t="n">
        <v>40.5670541428571</v>
      </c>
      <c r="I1402" t="n">
        <v>-105.060725761905</v>
      </c>
      <c r="J1402" t="s">
        <v>35</v>
      </c>
      <c r="K1402" t="s">
        <v>120</v>
      </c>
      <c r="L1402"/>
      <c r="M1402" t="n">
        <v>1977</v>
      </c>
      <c r="N1402" t="n">
        <v>1980</v>
      </c>
      <c r="O1402" t="s">
        <v>1949</v>
      </c>
      <c r="P1402" t="n">
        <v>2</v>
      </c>
      <c r="Q1402" t="n">
        <v>2</v>
      </c>
      <c r="R1402" t="n">
        <v>2</v>
      </c>
      <c r="S1402" t="n">
        <v>1967</v>
      </c>
      <c r="T1402" t="s">
        <v>3243</v>
      </c>
      <c r="U1402" t="s">
        <v>3244</v>
      </c>
      <c r="V1402" t="s">
        <v>74</v>
      </c>
      <c r="W1402"/>
      <c r="X1402"/>
      <c r="Y1402"/>
      <c r="Z1402"/>
      <c r="AA1402"/>
      <c r="AB1402"/>
      <c r="AC1402"/>
      <c r="AD1402"/>
      <c r="AE1402"/>
      <c r="AF1402" t="s">
        <v>3245</v>
      </c>
      <c r="AG1402" t="n">
        <v>243</v>
      </c>
    </row>
    <row r="1403">
      <c r="A1403" t="s">
        <v>3246</v>
      </c>
      <c r="B1403" t="s">
        <v>31</v>
      </c>
      <c r="C1403" t="s">
        <v>65</v>
      </c>
      <c r="D1403" t="s">
        <v>3247</v>
      </c>
      <c r="E1403" t="s">
        <v>3170</v>
      </c>
      <c r="F1403" t="s">
        <v>3152</v>
      </c>
      <c r="G1403" t="s">
        <v>3171</v>
      </c>
      <c r="H1403" t="n">
        <v>40.5678920180689</v>
      </c>
      <c r="I1403" t="n">
        <v>-105.045035433041</v>
      </c>
      <c r="J1403" t="s">
        <v>35</v>
      </c>
      <c r="K1403" t="s">
        <v>133</v>
      </c>
      <c r="L1403"/>
      <c r="M1403" t="n">
        <v>1977</v>
      </c>
      <c r="N1403" t="n">
        <v>1990</v>
      </c>
      <c r="O1403" t="s">
        <v>3248</v>
      </c>
      <c r="P1403" t="n">
        <v>3</v>
      </c>
      <c r="Q1403" t="n">
        <v>2</v>
      </c>
      <c r="R1403" t="n">
        <v>2</v>
      </c>
      <c r="S1403" t="n">
        <v>1966</v>
      </c>
      <c r="T1403" t="s">
        <v>3249</v>
      </c>
      <c r="U1403" t="s">
        <v>3250</v>
      </c>
      <c r="V1403" t="s">
        <v>74</v>
      </c>
      <c r="W1403"/>
      <c r="X1403"/>
      <c r="Y1403"/>
      <c r="Z1403"/>
      <c r="AA1403"/>
      <c r="AB1403"/>
      <c r="AC1403"/>
      <c r="AD1403"/>
      <c r="AE1403"/>
      <c r="AF1403" t="s">
        <v>3251</v>
      </c>
      <c r="AG1403" t="n">
        <v>110</v>
      </c>
    </row>
    <row r="1404">
      <c r="A1404" t="s">
        <v>3252</v>
      </c>
      <c r="B1404" t="s">
        <v>31</v>
      </c>
      <c r="C1404" t="s">
        <v>65</v>
      </c>
      <c r="D1404" t="s">
        <v>3253</v>
      </c>
      <c r="E1404" t="s">
        <v>3170</v>
      </c>
      <c r="F1404" t="s">
        <v>3152</v>
      </c>
      <c r="G1404" t="s">
        <v>3171</v>
      </c>
      <c r="H1404" t="n">
        <v>40.5870647346939</v>
      </c>
      <c r="I1404" t="n">
        <v>-105.086412918367</v>
      </c>
      <c r="J1404" t="s">
        <v>35</v>
      </c>
      <c r="K1404" t="s">
        <v>133</v>
      </c>
      <c r="L1404"/>
      <c r="M1404" t="n">
        <v>1977</v>
      </c>
      <c r="N1404" t="n">
        <v>1980</v>
      </c>
      <c r="O1404" t="s">
        <v>228</v>
      </c>
      <c r="P1404" t="n">
        <v>2</v>
      </c>
      <c r="Q1404" t="n">
        <v>1</v>
      </c>
      <c r="R1404" t="n">
        <v>1</v>
      </c>
      <c r="S1404" t="n">
        <v>1958</v>
      </c>
      <c r="T1404" t="s">
        <v>3254</v>
      </c>
      <c r="U1404" t="s">
        <v>3255</v>
      </c>
      <c r="V1404" t="s">
        <v>74</v>
      </c>
      <c r="W1404"/>
      <c r="X1404"/>
      <c r="Y1404"/>
      <c r="Z1404"/>
      <c r="AA1404"/>
      <c r="AB1404"/>
      <c r="AC1404"/>
      <c r="AD1404"/>
      <c r="AE1404"/>
      <c r="AF1404"/>
      <c r="AG1404"/>
    </row>
    <row r="1405">
      <c r="A1405" t="s">
        <v>3256</v>
      </c>
      <c r="B1405" t="s">
        <v>31</v>
      </c>
      <c r="C1405" t="s">
        <v>65</v>
      </c>
      <c r="D1405" t="s">
        <v>3257</v>
      </c>
      <c r="E1405" t="s">
        <v>3170</v>
      </c>
      <c r="F1405" t="s">
        <v>3152</v>
      </c>
      <c r="G1405" t="s">
        <v>3171</v>
      </c>
      <c r="H1405" t="n">
        <v>40.5813421439733</v>
      </c>
      <c r="I1405" t="n">
        <v>-105.022451686942</v>
      </c>
      <c r="J1405" t="s">
        <v>35</v>
      </c>
      <c r="K1405" t="s">
        <v>133</v>
      </c>
      <c r="L1405"/>
      <c r="M1405" t="n">
        <v>1977</v>
      </c>
      <c r="N1405" t="n">
        <v>1983</v>
      </c>
      <c r="O1405" t="s">
        <v>829</v>
      </c>
      <c r="P1405" t="n">
        <v>3</v>
      </c>
      <c r="Q1405" t="n">
        <v>2</v>
      </c>
      <c r="R1405" t="n">
        <v>2</v>
      </c>
      <c r="S1405" t="n">
        <v>1976</v>
      </c>
      <c r="T1405" t="s">
        <v>3258</v>
      </c>
      <c r="U1405" t="s">
        <v>3259</v>
      </c>
      <c r="V1405" t="s">
        <v>74</v>
      </c>
      <c r="W1405"/>
      <c r="X1405"/>
      <c r="Y1405"/>
      <c r="Z1405"/>
      <c r="AA1405"/>
      <c r="AB1405"/>
      <c r="AC1405"/>
      <c r="AD1405"/>
      <c r="AE1405"/>
      <c r="AF1405" t="s">
        <v>3195</v>
      </c>
      <c r="AG1405" t="n">
        <v>120</v>
      </c>
    </row>
    <row r="1406">
      <c r="A1406" t="s">
        <v>3260</v>
      </c>
      <c r="B1406" t="s">
        <v>31</v>
      </c>
      <c r="C1406" t="s">
        <v>65</v>
      </c>
      <c r="D1406" t="s">
        <v>3261</v>
      </c>
      <c r="E1406" t="s">
        <v>3170</v>
      </c>
      <c r="F1406" t="s">
        <v>3152</v>
      </c>
      <c r="G1406" t="s">
        <v>3171</v>
      </c>
      <c r="H1406" t="n">
        <v>40.5851175280774</v>
      </c>
      <c r="I1406" t="n">
        <v>-105.03965907402</v>
      </c>
      <c r="J1406" t="s">
        <v>35</v>
      </c>
      <c r="K1406" t="s">
        <v>70</v>
      </c>
      <c r="L1406"/>
      <c r="M1406" t="n">
        <v>1977</v>
      </c>
      <c r="N1406" t="n">
        <v>1980</v>
      </c>
      <c r="O1406" t="s">
        <v>1949</v>
      </c>
      <c r="P1406" t="n">
        <v>2</v>
      </c>
      <c r="Q1406" t="n">
        <v>2</v>
      </c>
      <c r="R1406" t="n">
        <v>2</v>
      </c>
      <c r="S1406" t="n">
        <v>1970</v>
      </c>
      <c r="T1406" t="s">
        <v>3262</v>
      </c>
      <c r="U1406" t="s">
        <v>3263</v>
      </c>
      <c r="V1406" t="s">
        <v>74</v>
      </c>
      <c r="W1406"/>
      <c r="X1406"/>
      <c r="Y1406"/>
      <c r="Z1406"/>
      <c r="AA1406"/>
      <c r="AB1406"/>
      <c r="AC1406"/>
      <c r="AD1406"/>
      <c r="AE1406"/>
      <c r="AF1406" t="s">
        <v>3264</v>
      </c>
      <c r="AG1406" t="n">
        <v>44</v>
      </c>
    </row>
    <row r="1407">
      <c r="A1407" t="s">
        <v>3265</v>
      </c>
      <c r="B1407" t="s">
        <v>31</v>
      </c>
      <c r="C1407" t="s">
        <v>65</v>
      </c>
      <c r="D1407" t="s">
        <v>3266</v>
      </c>
      <c r="E1407" t="s">
        <v>3170</v>
      </c>
      <c r="F1407" t="s">
        <v>3152</v>
      </c>
      <c r="G1407" t="s">
        <v>3171</v>
      </c>
      <c r="H1407" t="n">
        <v>40.6331751855719</v>
      </c>
      <c r="I1407" t="n">
        <v>-105.095130898671</v>
      </c>
      <c r="J1407" t="s">
        <v>35</v>
      </c>
      <c r="K1407" t="s">
        <v>2274</v>
      </c>
      <c r="L1407"/>
      <c r="M1407" t="n">
        <v>1977</v>
      </c>
      <c r="N1407" t="n">
        <v>1988</v>
      </c>
      <c r="O1407" t="s">
        <v>3267</v>
      </c>
      <c r="P1407" t="n">
        <v>2</v>
      </c>
      <c r="Q1407" t="n">
        <v>2</v>
      </c>
      <c r="R1407" t="n">
        <v>2</v>
      </c>
      <c r="S1407" t="n">
        <v>1973</v>
      </c>
      <c r="T1407" t="s">
        <v>3268</v>
      </c>
      <c r="U1407" t="s">
        <v>3269</v>
      </c>
      <c r="V1407" t="s">
        <v>74</v>
      </c>
      <c r="W1407"/>
      <c r="X1407"/>
      <c r="Y1407"/>
      <c r="Z1407"/>
      <c r="AA1407"/>
      <c r="AB1407"/>
      <c r="AC1407"/>
      <c r="AD1407"/>
      <c r="AE1407"/>
      <c r="AF1407"/>
      <c r="AG1407"/>
    </row>
    <row r="1408">
      <c r="A1408" t="s">
        <v>3270</v>
      </c>
      <c r="B1408" t="s">
        <v>31</v>
      </c>
      <c r="C1408" t="s">
        <v>65</v>
      </c>
      <c r="D1408" t="s">
        <v>3271</v>
      </c>
      <c r="E1408" t="s">
        <v>3170</v>
      </c>
      <c r="F1408" t="s">
        <v>3152</v>
      </c>
      <c r="G1408" t="s">
        <v>3171</v>
      </c>
      <c r="H1408" t="n">
        <v>40.523461263958</v>
      </c>
      <c r="I1408" t="n">
        <v>-105.045937142538</v>
      </c>
      <c r="J1408" t="s">
        <v>35</v>
      </c>
      <c r="K1408" t="s">
        <v>120</v>
      </c>
      <c r="L1408"/>
      <c r="M1408" t="n">
        <v>1977</v>
      </c>
      <c r="N1408" t="n">
        <v>1977</v>
      </c>
      <c r="O1408" t="s">
        <v>228</v>
      </c>
      <c r="P1408" t="n">
        <v>1</v>
      </c>
      <c r="Q1408" t="n">
        <v>1</v>
      </c>
      <c r="R1408" t="n">
        <v>1</v>
      </c>
      <c r="S1408" t="n">
        <v>1959</v>
      </c>
      <c r="T1408" t="s">
        <v>3272</v>
      </c>
      <c r="U1408" t="s">
        <v>3273</v>
      </c>
      <c r="V1408" t="s">
        <v>74</v>
      </c>
      <c r="W1408"/>
      <c r="X1408"/>
      <c r="Y1408"/>
      <c r="Z1408"/>
      <c r="AA1408"/>
      <c r="AB1408"/>
      <c r="AC1408"/>
      <c r="AD1408" t="s">
        <v>3274</v>
      </c>
      <c r="AE1408" t="n">
        <v>151</v>
      </c>
      <c r="AF1408" t="s">
        <v>3275</v>
      </c>
      <c r="AG1408" t="n">
        <v>128</v>
      </c>
    </row>
    <row r="1409">
      <c r="A1409" t="s">
        <v>4815</v>
      </c>
      <c r="B1409" t="s">
        <v>31</v>
      </c>
      <c r="C1409" t="s">
        <v>24</v>
      </c>
      <c r="D1409" t="s">
        <v>4816</v>
      </c>
      <c r="E1409" t="s">
        <v>3151</v>
      </c>
      <c r="F1409" t="s">
        <v>3152</v>
      </c>
      <c r="G1409" t="s">
        <v>3163</v>
      </c>
      <c r="H1409" t="n">
        <v>40.31475</v>
      </c>
      <c r="I1409" t="n">
        <v>-105.074293755102</v>
      </c>
      <c r="J1409" t="s">
        <v>4109</v>
      </c>
      <c r="K1409" t="s">
        <v>70</v>
      </c>
      <c r="L1409"/>
      <c r="M1409" t="n">
        <v>1977</v>
      </c>
      <c r="N1409" t="n">
        <v>1983</v>
      </c>
      <c r="O1409" t="s">
        <v>228</v>
      </c>
      <c r="P1409" t="n">
        <v>2</v>
      </c>
      <c r="Q1409" t="n">
        <v>2</v>
      </c>
      <c r="R1409" t="n">
        <v>1</v>
      </c>
      <c r="S1409" t="n">
        <v>1975</v>
      </c>
      <c r="T1409" t="s">
        <v>4817</v>
      </c>
      <c r="U1409" t="s">
        <v>4818</v>
      </c>
      <c r="V1409" t="s">
        <v>74</v>
      </c>
      <c r="W1409"/>
      <c r="X1409"/>
      <c r="Y1409"/>
      <c r="Z1409"/>
      <c r="AA1409"/>
      <c r="AB1409"/>
      <c r="AC1409"/>
      <c r="AD1409"/>
      <c r="AE1409"/>
      <c r="AF1409"/>
      <c r="AG1409"/>
    </row>
    <row r="1410">
      <c r="A1410" t="s">
        <v>3276</v>
      </c>
      <c r="B1410" t="s">
        <v>31</v>
      </c>
      <c r="C1410" t="s">
        <v>65</v>
      </c>
      <c r="D1410" t="s">
        <v>3277</v>
      </c>
      <c r="E1410" t="s">
        <v>3278</v>
      </c>
      <c r="F1410" t="s">
        <v>3152</v>
      </c>
      <c r="G1410" t="s">
        <v>3279</v>
      </c>
      <c r="H1410" t="n">
        <v>40.2851506148614</v>
      </c>
      <c r="I1410" t="n">
        <v>-105.124808640272</v>
      </c>
      <c r="J1410" t="s">
        <v>35</v>
      </c>
      <c r="K1410" t="s">
        <v>120</v>
      </c>
      <c r="L1410"/>
      <c r="M1410" t="n">
        <v>1980</v>
      </c>
      <c r="N1410" t="n">
        <v>1980</v>
      </c>
      <c r="O1410" t="s">
        <v>255</v>
      </c>
      <c r="P1410" t="n">
        <v>1</v>
      </c>
      <c r="Q1410" t="n">
        <v>1</v>
      </c>
      <c r="R1410" t="n">
        <v>1</v>
      </c>
      <c r="S1410" t="n">
        <v>1977</v>
      </c>
      <c r="T1410" t="s">
        <v>3280</v>
      </c>
      <c r="U1410" t="s">
        <v>3281</v>
      </c>
      <c r="V1410" t="s">
        <v>74</v>
      </c>
      <c r="W1410"/>
      <c r="X1410"/>
      <c r="Y1410"/>
      <c r="Z1410"/>
      <c r="AA1410"/>
      <c r="AB1410"/>
      <c r="AC1410"/>
      <c r="AD1410"/>
      <c r="AE1410"/>
      <c r="AF1410"/>
      <c r="AG1410"/>
    </row>
    <row r="1411">
      <c r="A1411" t="s">
        <v>3282</v>
      </c>
      <c r="B1411" t="s">
        <v>31</v>
      </c>
      <c r="C1411" t="s">
        <v>65</v>
      </c>
      <c r="D1411" t="s">
        <v>3283</v>
      </c>
      <c r="E1411" t="s">
        <v>3187</v>
      </c>
      <c r="F1411" t="s">
        <v>3152</v>
      </c>
      <c r="G1411" t="s">
        <v>3188</v>
      </c>
      <c r="H1411" t="n">
        <v>40.386000959335</v>
      </c>
      <c r="I1411" t="n">
        <v>-105.492497119875</v>
      </c>
      <c r="J1411" t="s">
        <v>35</v>
      </c>
      <c r="K1411" t="s">
        <v>70</v>
      </c>
      <c r="L1411"/>
      <c r="M1411" t="n">
        <v>1980</v>
      </c>
      <c r="N1411" t="n">
        <v>1992</v>
      </c>
      <c r="O1411" t="s">
        <v>255</v>
      </c>
      <c r="P1411" t="n">
        <v>4</v>
      </c>
      <c r="Q1411" t="n">
        <v>3</v>
      </c>
      <c r="R1411" t="n">
        <v>1</v>
      </c>
      <c r="S1411" t="n">
        <v>1976</v>
      </c>
      <c r="T1411" t="s">
        <v>3284</v>
      </c>
      <c r="U1411" t="s">
        <v>3285</v>
      </c>
      <c r="V1411" t="s">
        <v>74</v>
      </c>
      <c r="W1411"/>
      <c r="X1411"/>
      <c r="Y1411"/>
      <c r="Z1411"/>
      <c r="AA1411"/>
      <c r="AB1411"/>
      <c r="AC1411"/>
      <c r="AD1411"/>
      <c r="AE1411"/>
      <c r="AF1411"/>
      <c r="AG1411"/>
    </row>
    <row r="1412">
      <c r="A1412" t="s">
        <v>3286</v>
      </c>
      <c r="B1412" t="s">
        <v>31</v>
      </c>
      <c r="C1412" t="s">
        <v>65</v>
      </c>
      <c r="D1412" t="s">
        <v>3287</v>
      </c>
      <c r="E1412" t="s">
        <v>3187</v>
      </c>
      <c r="F1412" t="s">
        <v>3152</v>
      </c>
      <c r="G1412" t="s">
        <v>3188</v>
      </c>
      <c r="H1412" t="n">
        <v>40.3780432174339</v>
      </c>
      <c r="I1412" t="n">
        <v>-105.522014683644</v>
      </c>
      <c r="J1412" t="s">
        <v>35</v>
      </c>
      <c r="K1412" t="s">
        <v>70</v>
      </c>
      <c r="L1412"/>
      <c r="M1412" t="n">
        <v>1980</v>
      </c>
      <c r="N1412" t="n">
        <v>1992</v>
      </c>
      <c r="O1412" t="s">
        <v>255</v>
      </c>
      <c r="P1412" t="n">
        <v>5</v>
      </c>
      <c r="Q1412" t="n">
        <v>4</v>
      </c>
      <c r="R1412" t="n">
        <v>1</v>
      </c>
      <c r="S1412" t="n">
        <v>1978</v>
      </c>
      <c r="T1412" t="s">
        <v>3288</v>
      </c>
      <c r="U1412" t="s">
        <v>3289</v>
      </c>
      <c r="V1412" t="s">
        <v>74</v>
      </c>
      <c r="W1412"/>
      <c r="X1412"/>
      <c r="Y1412"/>
      <c r="Z1412"/>
      <c r="AA1412"/>
      <c r="AB1412"/>
      <c r="AC1412"/>
      <c r="AD1412"/>
      <c r="AE1412"/>
      <c r="AF1412"/>
      <c r="AG1412"/>
    </row>
    <row r="1413">
      <c r="A1413" t="s">
        <v>4819</v>
      </c>
      <c r="B1413" t="s">
        <v>31</v>
      </c>
      <c r="C1413" t="s">
        <v>24</v>
      </c>
      <c r="D1413" t="s">
        <v>4820</v>
      </c>
      <c r="E1413" t="s">
        <v>3170</v>
      </c>
      <c r="F1413" t="s">
        <v>3152</v>
      </c>
      <c r="G1413" t="s">
        <v>3171</v>
      </c>
      <c r="H1413" t="n">
        <v>40.602860984418</v>
      </c>
      <c r="I1413" t="n">
        <v>-105.131704191715</v>
      </c>
      <c r="J1413" t="s">
        <v>4109</v>
      </c>
      <c r="K1413" t="s">
        <v>120</v>
      </c>
      <c r="L1413"/>
      <c r="M1413" t="n">
        <v>1980</v>
      </c>
      <c r="N1413" t="n">
        <v>1983</v>
      </c>
      <c r="O1413" t="s">
        <v>255</v>
      </c>
      <c r="P1413" t="n">
        <v>2</v>
      </c>
      <c r="Q1413" t="n">
        <v>2</v>
      </c>
      <c r="R1413" t="n">
        <v>1</v>
      </c>
      <c r="S1413" t="n">
        <v>1974</v>
      </c>
      <c r="T1413" t="s">
        <v>4821</v>
      </c>
      <c r="U1413" t="s">
        <v>4822</v>
      </c>
      <c r="V1413" t="s">
        <v>74</v>
      </c>
      <c r="W1413"/>
      <c r="X1413"/>
      <c r="Y1413"/>
      <c r="Z1413"/>
      <c r="AA1413"/>
      <c r="AB1413"/>
      <c r="AC1413"/>
      <c r="AD1413"/>
      <c r="AE1413"/>
      <c r="AF1413"/>
      <c r="AG1413"/>
    </row>
    <row r="1414">
      <c r="A1414" t="s">
        <v>4823</v>
      </c>
      <c r="B1414" t="s">
        <v>31</v>
      </c>
      <c r="C1414" t="s">
        <v>24</v>
      </c>
      <c r="D1414" t="s">
        <v>4824</v>
      </c>
      <c r="E1414" t="s">
        <v>3170</v>
      </c>
      <c r="F1414" t="s">
        <v>3152</v>
      </c>
      <c r="G1414" t="s">
        <v>3292</v>
      </c>
      <c r="H1414" t="n">
        <v>40.5788218208966</v>
      </c>
      <c r="I1414" t="n">
        <v>-105.008549101074</v>
      </c>
      <c r="J1414" t="s">
        <v>35</v>
      </c>
      <c r="K1414" t="s">
        <v>70</v>
      </c>
      <c r="L1414"/>
      <c r="M1414" t="n">
        <v>1980</v>
      </c>
      <c r="N1414" t="n">
        <v>1980</v>
      </c>
      <c r="O1414" t="s">
        <v>255</v>
      </c>
      <c r="P1414" t="n">
        <v>1</v>
      </c>
      <c r="Q1414" t="n">
        <v>1</v>
      </c>
      <c r="R1414" t="n">
        <v>1</v>
      </c>
      <c r="S1414" t="n">
        <v>1980</v>
      </c>
      <c r="T1414" t="s">
        <v>4825</v>
      </c>
      <c r="U1414" t="s">
        <v>4826</v>
      </c>
      <c r="V1414" t="s">
        <v>4175</v>
      </c>
      <c r="W1414"/>
      <c r="X1414"/>
      <c r="Y1414"/>
      <c r="Z1414"/>
      <c r="AA1414"/>
      <c r="AB1414"/>
      <c r="AC1414"/>
      <c r="AD1414"/>
      <c r="AE1414"/>
      <c r="AF1414" t="s">
        <v>4827</v>
      </c>
      <c r="AG1414" t="n">
        <v>62</v>
      </c>
    </row>
    <row r="1415">
      <c r="A1415" t="s">
        <v>3290</v>
      </c>
      <c r="B1415" t="s">
        <v>31</v>
      </c>
      <c r="C1415" t="s">
        <v>65</v>
      </c>
      <c r="D1415" t="s">
        <v>3291</v>
      </c>
      <c r="E1415" t="s">
        <v>3170</v>
      </c>
      <c r="F1415" t="s">
        <v>3152</v>
      </c>
      <c r="G1415" t="s">
        <v>3292</v>
      </c>
      <c r="H1415" t="n">
        <v>40.5905024749652</v>
      </c>
      <c r="I1415" t="n">
        <v>-105.048625494993</v>
      </c>
      <c r="J1415" t="s">
        <v>35</v>
      </c>
      <c r="K1415" t="s">
        <v>120</v>
      </c>
      <c r="L1415"/>
      <c r="M1415" t="n">
        <v>1980</v>
      </c>
      <c r="N1415" t="n">
        <v>1980</v>
      </c>
      <c r="O1415" t="s">
        <v>255</v>
      </c>
      <c r="P1415" t="n">
        <v>1</v>
      </c>
      <c r="Q1415" t="n">
        <v>1</v>
      </c>
      <c r="R1415" t="n">
        <v>1</v>
      </c>
      <c r="S1415" t="n">
        <v>1978</v>
      </c>
      <c r="T1415" t="s">
        <v>3293</v>
      </c>
      <c r="U1415" t="s">
        <v>3294</v>
      </c>
      <c r="V1415" t="s">
        <v>74</v>
      </c>
      <c r="W1415"/>
      <c r="X1415"/>
      <c r="Y1415"/>
      <c r="Z1415"/>
      <c r="AA1415"/>
      <c r="AB1415"/>
      <c r="AC1415"/>
      <c r="AD1415"/>
      <c r="AE1415"/>
      <c r="AF1415" t="s">
        <v>3295</v>
      </c>
      <c r="AG1415" t="n">
        <v>70</v>
      </c>
    </row>
    <row r="1416">
      <c r="A1416" t="s">
        <v>3296</v>
      </c>
      <c r="B1416" t="s">
        <v>31</v>
      </c>
      <c r="C1416" t="s">
        <v>65</v>
      </c>
      <c r="D1416" t="s">
        <v>3297</v>
      </c>
      <c r="E1416" t="s">
        <v>3151</v>
      </c>
      <c r="F1416" t="s">
        <v>3152</v>
      </c>
      <c r="G1416" t="s">
        <v>3163</v>
      </c>
      <c r="H1416" t="n">
        <v>40.355212</v>
      </c>
      <c r="I1416" t="n">
        <v>-105.074297</v>
      </c>
      <c r="J1416" t="s">
        <v>35</v>
      </c>
      <c r="K1416" t="s">
        <v>1041</v>
      </c>
      <c r="L1416"/>
      <c r="M1416" t="n">
        <v>1980</v>
      </c>
      <c r="N1416" t="n">
        <v>1983</v>
      </c>
      <c r="O1416" t="s">
        <v>264</v>
      </c>
      <c r="P1416" t="n">
        <v>2</v>
      </c>
      <c r="Q1416" t="n">
        <v>2</v>
      </c>
      <c r="R1416" t="n">
        <v>1</v>
      </c>
      <c r="S1416" t="n">
        <v>1975</v>
      </c>
      <c r="T1416" t="s">
        <v>3298</v>
      </c>
      <c r="U1416" t="s">
        <v>3299</v>
      </c>
      <c r="V1416" t="s">
        <v>74</v>
      </c>
      <c r="W1416"/>
      <c r="X1416"/>
      <c r="Y1416"/>
      <c r="Z1416"/>
      <c r="AA1416"/>
      <c r="AB1416"/>
      <c r="AC1416"/>
      <c r="AD1416"/>
      <c r="AE1416"/>
      <c r="AF1416" t="s">
        <v>3300</v>
      </c>
      <c r="AG1416" t="n">
        <v>79</v>
      </c>
    </row>
    <row r="1417">
      <c r="A1417" t="s">
        <v>3301</v>
      </c>
      <c r="B1417" t="s">
        <v>31</v>
      </c>
      <c r="C1417" t="s">
        <v>65</v>
      </c>
      <c r="D1417" t="s">
        <v>3302</v>
      </c>
      <c r="E1417" t="s">
        <v>3151</v>
      </c>
      <c r="F1417" t="s">
        <v>3152</v>
      </c>
      <c r="G1417" t="s">
        <v>3163</v>
      </c>
      <c r="H1417" t="n">
        <v>40.4035746983543</v>
      </c>
      <c r="I1417" t="n">
        <v>-105.06713853041</v>
      </c>
      <c r="J1417" t="s">
        <v>35</v>
      </c>
      <c r="K1417" t="s">
        <v>133</v>
      </c>
      <c r="L1417"/>
      <c r="M1417" t="n">
        <v>1980</v>
      </c>
      <c r="N1417" t="n">
        <v>1980</v>
      </c>
      <c r="O1417" t="s">
        <v>255</v>
      </c>
      <c r="P1417" t="n">
        <v>1</v>
      </c>
      <c r="Q1417" t="n">
        <v>1</v>
      </c>
      <c r="R1417" t="n">
        <v>1</v>
      </c>
      <c r="S1417" t="n">
        <v>1973</v>
      </c>
      <c r="T1417" t="s">
        <v>3303</v>
      </c>
      <c r="U1417" t="s">
        <v>3304</v>
      </c>
      <c r="V1417" t="s">
        <v>74</v>
      </c>
      <c r="W1417"/>
      <c r="X1417"/>
      <c r="Y1417"/>
      <c r="Z1417"/>
      <c r="AA1417"/>
      <c r="AB1417"/>
      <c r="AC1417"/>
      <c r="AD1417"/>
      <c r="AE1417"/>
      <c r="AF1417" t="s">
        <v>3305</v>
      </c>
      <c r="AG1417" t="n">
        <v>125</v>
      </c>
    </row>
    <row r="1418">
      <c r="A1418" t="s">
        <v>3306</v>
      </c>
      <c r="B1418" t="s">
        <v>31</v>
      </c>
      <c r="C1418" t="s">
        <v>65</v>
      </c>
      <c r="D1418" t="s">
        <v>3307</v>
      </c>
      <c r="E1418" t="s">
        <v>3151</v>
      </c>
      <c r="F1418" t="s">
        <v>3152</v>
      </c>
      <c r="G1418" t="s">
        <v>3163</v>
      </c>
      <c r="H1418" t="n">
        <v>40.395202</v>
      </c>
      <c r="I1418" t="n">
        <v>-105.192585071429</v>
      </c>
      <c r="J1418" t="s">
        <v>35</v>
      </c>
      <c r="K1418" t="s">
        <v>120</v>
      </c>
      <c r="L1418"/>
      <c r="M1418" t="n">
        <v>1980</v>
      </c>
      <c r="N1418" t="n">
        <v>1980</v>
      </c>
      <c r="O1418" t="s">
        <v>255</v>
      </c>
      <c r="P1418" t="n">
        <v>1</v>
      </c>
      <c r="Q1418" t="n">
        <v>1</v>
      </c>
      <c r="R1418" t="n">
        <v>1</v>
      </c>
      <c r="S1418" t="n">
        <v>1975</v>
      </c>
      <c r="T1418" t="s">
        <v>3308</v>
      </c>
      <c r="U1418" t="s">
        <v>3309</v>
      </c>
      <c r="V1418" t="s">
        <v>74</v>
      </c>
      <c r="W1418"/>
      <c r="X1418"/>
      <c r="Y1418"/>
      <c r="Z1418"/>
      <c r="AA1418"/>
      <c r="AB1418"/>
      <c r="AC1418"/>
      <c r="AD1418"/>
      <c r="AE1418"/>
      <c r="AF1418"/>
      <c r="AG1418"/>
    </row>
    <row r="1419">
      <c r="A1419" t="s">
        <v>3310</v>
      </c>
      <c r="B1419" t="s">
        <v>31</v>
      </c>
      <c r="C1419" t="s">
        <v>65</v>
      </c>
      <c r="D1419" t="s">
        <v>3311</v>
      </c>
      <c r="E1419" t="s">
        <v>3151</v>
      </c>
      <c r="F1419" t="s">
        <v>3152</v>
      </c>
      <c r="G1419" t="s">
        <v>3163</v>
      </c>
      <c r="H1419" t="n">
        <v>40.407288</v>
      </c>
      <c r="I1419" t="n">
        <v>-105.054874127517</v>
      </c>
      <c r="J1419" t="s">
        <v>35</v>
      </c>
      <c r="K1419" t="s">
        <v>220</v>
      </c>
      <c r="L1419"/>
      <c r="M1419" t="n">
        <v>1980</v>
      </c>
      <c r="N1419" t="n">
        <v>1990</v>
      </c>
      <c r="O1419" t="s">
        <v>3312</v>
      </c>
      <c r="P1419" t="n">
        <v>3</v>
      </c>
      <c r="Q1419" t="n">
        <v>3</v>
      </c>
      <c r="R1419" t="n">
        <v>2</v>
      </c>
      <c r="S1419" t="n">
        <v>1963</v>
      </c>
      <c r="T1419" t="s">
        <v>3313</v>
      </c>
      <c r="U1419" t="s">
        <v>3314</v>
      </c>
      <c r="V1419" t="s">
        <v>74</v>
      </c>
      <c r="W1419"/>
      <c r="X1419"/>
      <c r="Y1419"/>
      <c r="Z1419"/>
      <c r="AA1419"/>
      <c r="AB1419"/>
      <c r="AC1419"/>
      <c r="AD1419"/>
      <c r="AE1419"/>
      <c r="AF1419" t="s">
        <v>3315</v>
      </c>
      <c r="AG1419" t="n">
        <v>220</v>
      </c>
    </row>
    <row r="1420">
      <c r="A1420" t="s">
        <v>3316</v>
      </c>
      <c r="B1420" t="s">
        <v>31</v>
      </c>
      <c r="C1420" t="s">
        <v>65</v>
      </c>
      <c r="D1420" t="s">
        <v>3317</v>
      </c>
      <c r="E1420" t="s">
        <v>3151</v>
      </c>
      <c r="F1420" t="s">
        <v>3152</v>
      </c>
      <c r="G1420" t="s">
        <v>3163</v>
      </c>
      <c r="H1420" t="n">
        <v>40.3928096717011</v>
      </c>
      <c r="I1420" t="n">
        <v>-105.061978247088</v>
      </c>
      <c r="J1420" t="s">
        <v>35</v>
      </c>
      <c r="K1420" t="s">
        <v>70</v>
      </c>
      <c r="L1420"/>
      <c r="M1420" t="n">
        <v>1980</v>
      </c>
      <c r="N1420" t="n">
        <v>1980</v>
      </c>
      <c r="O1420" t="s">
        <v>255</v>
      </c>
      <c r="P1420" t="n">
        <v>1</v>
      </c>
      <c r="Q1420" t="n">
        <v>1</v>
      </c>
      <c r="R1420" t="n">
        <v>1</v>
      </c>
      <c r="S1420" t="n">
        <v>1975</v>
      </c>
      <c r="T1420" t="s">
        <v>3318</v>
      </c>
      <c r="U1420" t="s">
        <v>3319</v>
      </c>
      <c r="V1420" t="s">
        <v>74</v>
      </c>
      <c r="W1420"/>
      <c r="X1420"/>
      <c r="Y1420"/>
      <c r="Z1420"/>
      <c r="AA1420"/>
      <c r="AB1420"/>
      <c r="AC1420"/>
      <c r="AD1420"/>
      <c r="AE1420"/>
      <c r="AF1420" t="s">
        <v>3320</v>
      </c>
      <c r="AG1420" t="n">
        <v>164</v>
      </c>
    </row>
    <row r="1421">
      <c r="A1421" t="s">
        <v>3321</v>
      </c>
      <c r="B1421" t="s">
        <v>31</v>
      </c>
      <c r="C1421" t="s">
        <v>65</v>
      </c>
      <c r="D1421" t="s">
        <v>3322</v>
      </c>
      <c r="E1421" t="s">
        <v>3151</v>
      </c>
      <c r="F1421" t="s">
        <v>3152</v>
      </c>
      <c r="G1421" t="s">
        <v>3163</v>
      </c>
      <c r="H1421" t="n">
        <v>40.4595901428572</v>
      </c>
      <c r="I1421" t="n">
        <v>-105.086023163265</v>
      </c>
      <c r="J1421" t="s">
        <v>35</v>
      </c>
      <c r="K1421" t="s">
        <v>133</v>
      </c>
      <c r="L1421"/>
      <c r="M1421" t="n">
        <v>1980</v>
      </c>
      <c r="N1421" t="n">
        <v>1980</v>
      </c>
      <c r="O1421" t="s">
        <v>255</v>
      </c>
      <c r="P1421" t="n">
        <v>1</v>
      </c>
      <c r="Q1421" t="n">
        <v>1</v>
      </c>
      <c r="R1421" t="n">
        <v>1</v>
      </c>
      <c r="S1421" t="n">
        <v>1969</v>
      </c>
      <c r="T1421" t="s">
        <v>3323</v>
      </c>
      <c r="U1421" t="s">
        <v>3324</v>
      </c>
      <c r="V1421" t="s">
        <v>74</v>
      </c>
      <c r="W1421"/>
      <c r="X1421"/>
      <c r="Y1421"/>
      <c r="Z1421"/>
      <c r="AA1421"/>
      <c r="AB1421"/>
      <c r="AC1421"/>
      <c r="AD1421" t="s">
        <v>3325</v>
      </c>
      <c r="AE1421" t="n">
        <v>201</v>
      </c>
      <c r="AF1421"/>
      <c r="AG1421"/>
    </row>
    <row r="1422">
      <c r="A1422" t="s">
        <v>3326</v>
      </c>
      <c r="B1422" t="s">
        <v>31</v>
      </c>
      <c r="C1422" t="s">
        <v>65</v>
      </c>
      <c r="D1422" t="s">
        <v>3327</v>
      </c>
      <c r="E1422" t="s">
        <v>3187</v>
      </c>
      <c r="F1422" t="s">
        <v>3152</v>
      </c>
      <c r="G1422" t="s">
        <v>3188</v>
      </c>
      <c r="H1422" t="n">
        <v>40.371877978031</v>
      </c>
      <c r="I1422" t="n">
        <v>-105.503818853991</v>
      </c>
      <c r="J1422" t="s">
        <v>35</v>
      </c>
      <c r="K1422" t="s">
        <v>89</v>
      </c>
      <c r="L1422"/>
      <c r="M1422" t="n">
        <v>1983</v>
      </c>
      <c r="N1422" t="n">
        <v>1990</v>
      </c>
      <c r="O1422" t="s">
        <v>271</v>
      </c>
      <c r="P1422" t="n">
        <v>3</v>
      </c>
      <c r="Q1422" t="n">
        <v>2</v>
      </c>
      <c r="R1422" t="n">
        <v>2</v>
      </c>
      <c r="S1422" t="n">
        <v>1980</v>
      </c>
      <c r="T1422" t="s">
        <v>3328</v>
      </c>
      <c r="U1422" t="s">
        <v>3329</v>
      </c>
      <c r="V1422" t="s">
        <v>74</v>
      </c>
      <c r="W1422"/>
      <c r="X1422"/>
      <c r="Y1422"/>
      <c r="Z1422"/>
      <c r="AA1422"/>
      <c r="AB1422"/>
      <c r="AC1422"/>
      <c r="AD1422"/>
      <c r="AE1422"/>
      <c r="AF1422"/>
      <c r="AG1422"/>
    </row>
    <row r="1423">
      <c r="A1423" t="s">
        <v>3330</v>
      </c>
      <c r="B1423" t="s">
        <v>31</v>
      </c>
      <c r="C1423" t="s">
        <v>65</v>
      </c>
      <c r="D1423" t="s">
        <v>3331</v>
      </c>
      <c r="E1423" t="s">
        <v>3170</v>
      </c>
      <c r="F1423" t="s">
        <v>3152</v>
      </c>
      <c r="G1423" t="s">
        <v>3332</v>
      </c>
      <c r="H1423" t="n">
        <v>40.5143439302011</v>
      </c>
      <c r="I1423" t="n">
        <v>-105.077308042412</v>
      </c>
      <c r="J1423" t="s">
        <v>35</v>
      </c>
      <c r="K1423" t="s">
        <v>133</v>
      </c>
      <c r="L1423"/>
      <c r="M1423" t="n">
        <v>1983</v>
      </c>
      <c r="N1423" t="n">
        <v>1983</v>
      </c>
      <c r="O1423" t="s">
        <v>264</v>
      </c>
      <c r="P1423" t="n">
        <v>1</v>
      </c>
      <c r="Q1423" t="n">
        <v>1</v>
      </c>
      <c r="R1423" t="n">
        <v>1</v>
      </c>
      <c r="S1423" t="n">
        <v>1969</v>
      </c>
      <c r="T1423" t="s">
        <v>3333</v>
      </c>
      <c r="U1423" t="s">
        <v>3334</v>
      </c>
      <c r="V1423" t="s">
        <v>74</v>
      </c>
      <c r="W1423"/>
      <c r="X1423"/>
      <c r="Y1423"/>
      <c r="Z1423"/>
      <c r="AA1423"/>
      <c r="AB1423"/>
      <c r="AC1423"/>
      <c r="AD1423"/>
      <c r="AE1423"/>
      <c r="AF1423"/>
      <c r="AG1423"/>
    </row>
    <row r="1424">
      <c r="A1424" t="s">
        <v>3335</v>
      </c>
      <c r="B1424" t="s">
        <v>31</v>
      </c>
      <c r="C1424" t="s">
        <v>65</v>
      </c>
      <c r="D1424" t="s">
        <v>3336</v>
      </c>
      <c r="E1424" t="s">
        <v>3151</v>
      </c>
      <c r="F1424" t="s">
        <v>3152</v>
      </c>
      <c r="G1424" t="s">
        <v>3163</v>
      </c>
      <c r="H1424" t="n">
        <v>40.407132194022</v>
      </c>
      <c r="I1424" t="n">
        <v>-105.012056342352</v>
      </c>
      <c r="J1424" t="s">
        <v>35</v>
      </c>
      <c r="K1424" t="s">
        <v>133</v>
      </c>
      <c r="L1424"/>
      <c r="M1424" t="n">
        <v>1983</v>
      </c>
      <c r="N1424" t="n">
        <v>1983</v>
      </c>
      <c r="O1424" t="s">
        <v>264</v>
      </c>
      <c r="P1424" t="n">
        <v>1</v>
      </c>
      <c r="Q1424" t="n">
        <v>1</v>
      </c>
      <c r="R1424" t="n">
        <v>1</v>
      </c>
      <c r="S1424" t="n">
        <v>1975</v>
      </c>
      <c r="T1424" t="s">
        <v>3337</v>
      </c>
      <c r="U1424" t="s">
        <v>3338</v>
      </c>
      <c r="V1424" t="s">
        <v>74</v>
      </c>
      <c r="W1424"/>
      <c r="X1424"/>
      <c r="Y1424"/>
      <c r="Z1424"/>
      <c r="AA1424"/>
      <c r="AB1424"/>
      <c r="AC1424"/>
      <c r="AD1424"/>
      <c r="AE1424"/>
      <c r="AF1424"/>
      <c r="AG1424"/>
    </row>
    <row r="1425">
      <c r="A1425" t="s">
        <v>3339</v>
      </c>
      <c r="B1425" t="s">
        <v>31</v>
      </c>
      <c r="C1425" t="s">
        <v>65</v>
      </c>
      <c r="D1425" t="s">
        <v>3340</v>
      </c>
      <c r="E1425" t="s">
        <v>3151</v>
      </c>
      <c r="F1425" t="s">
        <v>3152</v>
      </c>
      <c r="G1425" t="s">
        <v>3163</v>
      </c>
      <c r="H1425" t="n">
        <v>40.3937117119415</v>
      </c>
      <c r="I1425" t="n">
        <v>-105.192571862628</v>
      </c>
      <c r="J1425" t="s">
        <v>35</v>
      </c>
      <c r="K1425" t="s">
        <v>120</v>
      </c>
      <c r="L1425"/>
      <c r="M1425" t="n">
        <v>1983</v>
      </c>
      <c r="N1425" t="n">
        <v>1983</v>
      </c>
      <c r="O1425" t="s">
        <v>264</v>
      </c>
      <c r="P1425" t="n">
        <v>1</v>
      </c>
      <c r="Q1425" t="n">
        <v>1</v>
      </c>
      <c r="R1425" t="n">
        <v>1</v>
      </c>
      <c r="S1425" t="n">
        <v>1962</v>
      </c>
      <c r="T1425" t="s">
        <v>3341</v>
      </c>
      <c r="U1425" t="s">
        <v>3342</v>
      </c>
      <c r="V1425" t="s">
        <v>74</v>
      </c>
      <c r="W1425"/>
      <c r="X1425"/>
      <c r="Y1425"/>
      <c r="Z1425"/>
      <c r="AA1425"/>
      <c r="AB1425"/>
      <c r="AC1425"/>
      <c r="AD1425"/>
      <c r="AE1425"/>
      <c r="AF1425"/>
      <c r="AG1425"/>
    </row>
    <row r="1426">
      <c r="A1426" t="s">
        <v>3343</v>
      </c>
      <c r="B1426" t="s">
        <v>31</v>
      </c>
      <c r="C1426" t="s">
        <v>65</v>
      </c>
      <c r="D1426" t="s">
        <v>3344</v>
      </c>
      <c r="E1426" t="s">
        <v>3151</v>
      </c>
      <c r="F1426" t="s">
        <v>3152</v>
      </c>
      <c r="G1426" t="s">
        <v>3163</v>
      </c>
      <c r="H1426" t="n">
        <v>40.4274260873314</v>
      </c>
      <c r="I1426" t="n">
        <v>-105.093205</v>
      </c>
      <c r="J1426" t="s">
        <v>35</v>
      </c>
      <c r="K1426" t="s">
        <v>70</v>
      </c>
      <c r="L1426"/>
      <c r="M1426" t="n">
        <v>1983</v>
      </c>
      <c r="N1426" t="n">
        <v>1983</v>
      </c>
      <c r="O1426" t="s">
        <v>264</v>
      </c>
      <c r="P1426" t="n">
        <v>1</v>
      </c>
      <c r="Q1426" t="n">
        <v>1</v>
      </c>
      <c r="R1426" t="n">
        <v>1</v>
      </c>
      <c r="S1426" t="n">
        <v>1976</v>
      </c>
      <c r="T1426" t="s">
        <v>3345</v>
      </c>
      <c r="U1426" t="s">
        <v>3346</v>
      </c>
      <c r="V1426" t="s">
        <v>74</v>
      </c>
      <c r="W1426"/>
      <c r="X1426"/>
      <c r="Y1426"/>
      <c r="Z1426"/>
      <c r="AA1426"/>
      <c r="AB1426"/>
      <c r="AC1426"/>
      <c r="AD1426"/>
      <c r="AE1426"/>
      <c r="AF1426" t="s">
        <v>3347</v>
      </c>
      <c r="AG1426" t="n">
        <v>211</v>
      </c>
    </row>
    <row r="1427">
      <c r="A1427" t="s">
        <v>4828</v>
      </c>
      <c r="B1427" t="s">
        <v>31</v>
      </c>
      <c r="C1427" t="s">
        <v>24</v>
      </c>
      <c r="D1427" t="s">
        <v>4829</v>
      </c>
      <c r="E1427" t="s">
        <v>3151</v>
      </c>
      <c r="F1427" t="s">
        <v>3152</v>
      </c>
      <c r="G1427" t="s">
        <v>3163</v>
      </c>
      <c r="H1427" t="n">
        <v>40.3996598</v>
      </c>
      <c r="I1427" t="n">
        <v>-105.0792254</v>
      </c>
      <c r="J1427" t="s">
        <v>4109</v>
      </c>
      <c r="K1427" t="s">
        <v>270</v>
      </c>
      <c r="L1427"/>
      <c r="M1427" t="n">
        <v>1983</v>
      </c>
      <c r="N1427" t="n">
        <v>1992</v>
      </c>
      <c r="O1427" t="s">
        <v>2061</v>
      </c>
      <c r="P1427" t="n">
        <v>4</v>
      </c>
      <c r="Q1427" t="n">
        <v>1</v>
      </c>
      <c r="R1427" t="n">
        <v>1</v>
      </c>
      <c r="S1427" t="n">
        <v>1976</v>
      </c>
      <c r="T1427" t="s">
        <v>4830</v>
      </c>
      <c r="U1427" t="s">
        <v>4831</v>
      </c>
      <c r="V1427" t="s">
        <v>74</v>
      </c>
      <c r="W1427"/>
      <c r="X1427"/>
      <c r="Y1427"/>
      <c r="Z1427"/>
      <c r="AA1427"/>
      <c r="AB1427"/>
      <c r="AC1427"/>
      <c r="AD1427"/>
      <c r="AE1427"/>
      <c r="AF1427" t="s">
        <v>4832</v>
      </c>
      <c r="AG1427" t="n">
        <v>198</v>
      </c>
    </row>
    <row r="1428">
      <c r="A1428" t="s">
        <v>3348</v>
      </c>
      <c r="B1428" t="s">
        <v>31</v>
      </c>
      <c r="C1428" t="s">
        <v>65</v>
      </c>
      <c r="D1428" t="s">
        <v>3349</v>
      </c>
      <c r="E1428" t="s">
        <v>3151</v>
      </c>
      <c r="F1428" t="s">
        <v>3152</v>
      </c>
      <c r="G1428" t="s">
        <v>3163</v>
      </c>
      <c r="H1428" t="n">
        <v>40.4051639201754</v>
      </c>
      <c r="I1428" t="n">
        <v>-105.042184468359</v>
      </c>
      <c r="J1428" t="s">
        <v>35</v>
      </c>
      <c r="K1428" t="s">
        <v>141</v>
      </c>
      <c r="L1428"/>
      <c r="M1428" t="n">
        <v>1983</v>
      </c>
      <c r="N1428" t="n">
        <v>1988</v>
      </c>
      <c r="O1428" t="s">
        <v>283</v>
      </c>
      <c r="P1428" t="n">
        <v>2</v>
      </c>
      <c r="Q1428" t="n">
        <v>2</v>
      </c>
      <c r="R1428" t="n">
        <v>2</v>
      </c>
      <c r="S1428" t="n">
        <v>1959</v>
      </c>
      <c r="T1428" t="s">
        <v>3350</v>
      </c>
      <c r="U1428" t="s">
        <v>3351</v>
      </c>
      <c r="V1428" t="s">
        <v>74</v>
      </c>
      <c r="W1428"/>
      <c r="X1428"/>
      <c r="Y1428"/>
      <c r="Z1428"/>
      <c r="AA1428"/>
      <c r="AB1428" t="s">
        <v>3352</v>
      </c>
      <c r="AC1428" t="n">
        <v>225</v>
      </c>
      <c r="AD1428"/>
      <c r="AE1428"/>
      <c r="AF1428" t="s">
        <v>3353</v>
      </c>
      <c r="AG1428" t="n">
        <v>87</v>
      </c>
    </row>
    <row r="1429">
      <c r="A1429" t="s">
        <v>3354</v>
      </c>
      <c r="B1429" t="s">
        <v>31</v>
      </c>
      <c r="C1429" t="s">
        <v>65</v>
      </c>
      <c r="D1429" t="s">
        <v>3355</v>
      </c>
      <c r="E1429" t="s">
        <v>3278</v>
      </c>
      <c r="F1429" t="s">
        <v>3152</v>
      </c>
      <c r="G1429" t="s">
        <v>3279</v>
      </c>
      <c r="H1429" t="n">
        <v>40.3275139776545</v>
      </c>
      <c r="I1429" t="n">
        <v>-105.07800221135</v>
      </c>
      <c r="J1429" t="s">
        <v>35</v>
      </c>
      <c r="K1429" t="s">
        <v>70</v>
      </c>
      <c r="L1429"/>
      <c r="M1429" t="n">
        <v>1988</v>
      </c>
      <c r="N1429" t="n">
        <v>1990</v>
      </c>
      <c r="O1429" t="s">
        <v>310</v>
      </c>
      <c r="P1429" t="n">
        <v>2</v>
      </c>
      <c r="Q1429" t="n">
        <v>2</v>
      </c>
      <c r="R1429" t="n">
        <v>2</v>
      </c>
      <c r="S1429" t="n">
        <v>1971</v>
      </c>
      <c r="T1429" t="s">
        <v>3356</v>
      </c>
      <c r="U1429" t="s">
        <v>3357</v>
      </c>
      <c r="V1429" t="s">
        <v>74</v>
      </c>
      <c r="W1429"/>
      <c r="X1429"/>
      <c r="Y1429"/>
      <c r="Z1429"/>
      <c r="AA1429"/>
      <c r="AB1429"/>
      <c r="AC1429"/>
      <c r="AD1429"/>
      <c r="AE1429"/>
      <c r="AF1429"/>
      <c r="AG1429"/>
    </row>
    <row r="1430">
      <c r="A1430" t="s">
        <v>3358</v>
      </c>
      <c r="B1430" t="s">
        <v>31</v>
      </c>
      <c r="C1430" t="s">
        <v>65</v>
      </c>
      <c r="D1430" t="s">
        <v>3359</v>
      </c>
      <c r="E1430" t="s">
        <v>3170</v>
      </c>
      <c r="F1430" t="s">
        <v>3152</v>
      </c>
      <c r="G1430" t="s">
        <v>3292</v>
      </c>
      <c r="H1430" t="n">
        <v>40.6138577297495</v>
      </c>
      <c r="I1430" t="n">
        <v>-105.085991141052</v>
      </c>
      <c r="J1430" t="s">
        <v>35</v>
      </c>
      <c r="K1430" t="s">
        <v>220</v>
      </c>
      <c r="L1430"/>
      <c r="M1430" t="n">
        <v>1988</v>
      </c>
      <c r="N1430" t="n">
        <v>1990</v>
      </c>
      <c r="O1430" t="s">
        <v>310</v>
      </c>
      <c r="P1430" t="n">
        <v>2</v>
      </c>
      <c r="Q1430" t="n">
        <v>1</v>
      </c>
      <c r="R1430" t="n">
        <v>1</v>
      </c>
      <c r="S1430" t="n">
        <v>1981</v>
      </c>
      <c r="T1430" t="s">
        <v>3360</v>
      </c>
      <c r="U1430" t="s">
        <v>3361</v>
      </c>
      <c r="V1430" t="s">
        <v>74</v>
      </c>
      <c r="W1430"/>
      <c r="X1430"/>
      <c r="Y1430"/>
      <c r="Z1430"/>
      <c r="AA1430"/>
      <c r="AB1430"/>
      <c r="AC1430"/>
      <c r="AD1430"/>
      <c r="AE1430"/>
      <c r="AF1430"/>
      <c r="AG1430"/>
    </row>
    <row r="1431">
      <c r="A1431" t="s">
        <v>3362</v>
      </c>
      <c r="B1431" t="s">
        <v>31</v>
      </c>
      <c r="C1431" t="s">
        <v>65</v>
      </c>
      <c r="D1431" t="s">
        <v>3363</v>
      </c>
      <c r="E1431" t="s">
        <v>3170</v>
      </c>
      <c r="F1431" t="s">
        <v>3152</v>
      </c>
      <c r="G1431" t="s">
        <v>3364</v>
      </c>
      <c r="H1431" t="n">
        <v>40.523573</v>
      </c>
      <c r="I1431" t="n">
        <v>-105.081587000352</v>
      </c>
      <c r="J1431" t="s">
        <v>35</v>
      </c>
      <c r="K1431" t="s">
        <v>120</v>
      </c>
      <c r="L1431"/>
      <c r="M1431" t="n">
        <v>1988</v>
      </c>
      <c r="N1431" t="n">
        <v>1988</v>
      </c>
      <c r="O1431" t="s">
        <v>325</v>
      </c>
      <c r="P1431" t="n">
        <v>1</v>
      </c>
      <c r="Q1431" t="n">
        <v>1</v>
      </c>
      <c r="R1431" t="n">
        <v>1</v>
      </c>
      <c r="S1431" t="n">
        <v>1979</v>
      </c>
      <c r="T1431" t="s">
        <v>3365</v>
      </c>
      <c r="U1431" t="s">
        <v>3366</v>
      </c>
      <c r="V1431" t="s">
        <v>74</v>
      </c>
      <c r="W1431"/>
      <c r="X1431"/>
      <c r="Y1431"/>
      <c r="Z1431"/>
      <c r="AA1431"/>
      <c r="AB1431"/>
      <c r="AC1431"/>
      <c r="AD1431"/>
      <c r="AE1431"/>
      <c r="AF1431" t="s">
        <v>3367</v>
      </c>
      <c r="AG1431" t="n">
        <v>249</v>
      </c>
    </row>
    <row r="1432">
      <c r="A1432" t="s">
        <v>3368</v>
      </c>
      <c r="B1432" t="s">
        <v>31</v>
      </c>
      <c r="C1432" t="s">
        <v>65</v>
      </c>
      <c r="D1432" t="s">
        <v>3369</v>
      </c>
      <c r="E1432" t="s">
        <v>3170</v>
      </c>
      <c r="F1432" t="s">
        <v>3152</v>
      </c>
      <c r="G1432" t="s">
        <v>3292</v>
      </c>
      <c r="H1432" t="n">
        <v>40.6034939292929</v>
      </c>
      <c r="I1432" t="n">
        <v>-105.082262232323</v>
      </c>
      <c r="J1432" t="s">
        <v>35</v>
      </c>
      <c r="K1432" t="s">
        <v>120</v>
      </c>
      <c r="L1432"/>
      <c r="M1432" t="n">
        <v>1988</v>
      </c>
      <c r="N1432" t="n">
        <v>1992</v>
      </c>
      <c r="O1432" t="s">
        <v>1016</v>
      </c>
      <c r="P1432" t="n">
        <v>3</v>
      </c>
      <c r="Q1432" t="n">
        <v>1</v>
      </c>
      <c r="R1432" t="n">
        <v>1</v>
      </c>
      <c r="S1432" t="n">
        <v>1952</v>
      </c>
      <c r="T1432" t="s">
        <v>3370</v>
      </c>
      <c r="U1432" t="s">
        <v>3371</v>
      </c>
      <c r="V1432" t="s">
        <v>74</v>
      </c>
      <c r="W1432"/>
      <c r="X1432"/>
      <c r="Y1432"/>
      <c r="Z1432"/>
      <c r="AA1432"/>
      <c r="AB1432"/>
      <c r="AC1432"/>
      <c r="AD1432"/>
      <c r="AE1432"/>
      <c r="AF1432" t="s">
        <v>3372</v>
      </c>
      <c r="AG1432" t="n">
        <v>157</v>
      </c>
    </row>
    <row r="1433">
      <c r="A1433" t="s">
        <v>3373</v>
      </c>
      <c r="B1433" t="s">
        <v>31</v>
      </c>
      <c r="C1433" t="s">
        <v>65</v>
      </c>
      <c r="D1433" t="s">
        <v>3374</v>
      </c>
      <c r="E1433" t="s">
        <v>3170</v>
      </c>
      <c r="F1433" t="s">
        <v>3152</v>
      </c>
      <c r="G1433" t="s">
        <v>3292</v>
      </c>
      <c r="H1433" t="n">
        <v>40.5870342857143</v>
      </c>
      <c r="I1433" t="n">
        <v>-105.078317085714</v>
      </c>
      <c r="J1433" t="s">
        <v>35</v>
      </c>
      <c r="K1433" t="s">
        <v>133</v>
      </c>
      <c r="L1433"/>
      <c r="M1433" t="n">
        <v>1988</v>
      </c>
      <c r="N1433" t="n">
        <v>1992</v>
      </c>
      <c r="O1433" t="s">
        <v>310</v>
      </c>
      <c r="P1433" t="n">
        <v>3</v>
      </c>
      <c r="Q1433" t="n">
        <v>3</v>
      </c>
      <c r="R1433" t="n">
        <v>2</v>
      </c>
      <c r="S1433" t="n">
        <v>1974</v>
      </c>
      <c r="T1433" t="s">
        <v>3375</v>
      </c>
      <c r="U1433" t="s">
        <v>3376</v>
      </c>
      <c r="V1433" t="s">
        <v>74</v>
      </c>
      <c r="W1433"/>
      <c r="X1433"/>
      <c r="Y1433"/>
      <c r="Z1433"/>
      <c r="AA1433"/>
      <c r="AB1433"/>
      <c r="AC1433"/>
      <c r="AD1433"/>
      <c r="AE1433"/>
      <c r="AF1433" t="s">
        <v>3377</v>
      </c>
      <c r="AG1433" t="n">
        <v>203</v>
      </c>
    </row>
    <row r="1434">
      <c r="A1434" t="s">
        <v>3378</v>
      </c>
      <c r="B1434" t="s">
        <v>31</v>
      </c>
      <c r="C1434" t="s">
        <v>65</v>
      </c>
      <c r="D1434" t="s">
        <v>3379</v>
      </c>
      <c r="E1434" t="s">
        <v>3151</v>
      </c>
      <c r="F1434" t="s">
        <v>3152</v>
      </c>
      <c r="G1434" t="s">
        <v>3163</v>
      </c>
      <c r="H1434" t="n">
        <v>40.4025742307692</v>
      </c>
      <c r="I1434" t="n">
        <v>-105.077855461539</v>
      </c>
      <c r="J1434" t="s">
        <v>35</v>
      </c>
      <c r="K1434" t="s">
        <v>89</v>
      </c>
      <c r="L1434"/>
      <c r="M1434" t="n">
        <v>1988</v>
      </c>
      <c r="N1434" t="n">
        <v>1990</v>
      </c>
      <c r="O1434" t="s">
        <v>325</v>
      </c>
      <c r="P1434" t="n">
        <v>2</v>
      </c>
      <c r="Q1434" t="n">
        <v>2</v>
      </c>
      <c r="R1434" t="n">
        <v>1</v>
      </c>
      <c r="S1434" t="n">
        <v>1979</v>
      </c>
      <c r="T1434" t="s">
        <v>3380</v>
      </c>
      <c r="U1434" t="s">
        <v>3381</v>
      </c>
      <c r="V1434" t="s">
        <v>74</v>
      </c>
      <c r="W1434"/>
      <c r="X1434"/>
      <c r="Y1434"/>
      <c r="Z1434"/>
      <c r="AA1434"/>
      <c r="AB1434"/>
      <c r="AC1434"/>
      <c r="AD1434"/>
      <c r="AE1434"/>
      <c r="AF1434" t="s">
        <v>3382</v>
      </c>
      <c r="AG1434" t="n">
        <v>234</v>
      </c>
    </row>
    <row r="1435">
      <c r="A1435" t="s">
        <v>3383</v>
      </c>
      <c r="B1435" t="s">
        <v>31</v>
      </c>
      <c r="C1435" t="s">
        <v>65</v>
      </c>
      <c r="D1435" t="s">
        <v>3384</v>
      </c>
      <c r="E1435" t="s">
        <v>3151</v>
      </c>
      <c r="F1435" t="s">
        <v>3152</v>
      </c>
      <c r="G1435" t="s">
        <v>3163</v>
      </c>
      <c r="H1435" t="n">
        <v>40.3927419030717</v>
      </c>
      <c r="I1435" t="n">
        <v>-105.090737612064</v>
      </c>
      <c r="J1435" t="s">
        <v>35</v>
      </c>
      <c r="K1435" t="s">
        <v>282</v>
      </c>
      <c r="L1435" t="s">
        <v>98</v>
      </c>
      <c r="M1435" t="n">
        <v>1988</v>
      </c>
      <c r="N1435" t="n">
        <v>1990</v>
      </c>
      <c r="O1435" t="s">
        <v>310</v>
      </c>
      <c r="P1435" t="n">
        <v>2</v>
      </c>
      <c r="Q1435" t="n">
        <v>1</v>
      </c>
      <c r="R1435" t="n">
        <v>1</v>
      </c>
      <c r="S1435" t="n">
        <v>1984</v>
      </c>
      <c r="T1435" t="s">
        <v>3385</v>
      </c>
      <c r="U1435" t="s">
        <v>3386</v>
      </c>
      <c r="V1435" t="s">
        <v>74</v>
      </c>
      <c r="W1435"/>
      <c r="X1435"/>
      <c r="Y1435"/>
      <c r="Z1435"/>
      <c r="AA1435"/>
      <c r="AB1435"/>
      <c r="AC1435"/>
      <c r="AD1435"/>
      <c r="AE1435"/>
      <c r="AF1435"/>
      <c r="AG1435"/>
    </row>
    <row r="1436">
      <c r="A1436" t="s">
        <v>4833</v>
      </c>
      <c r="B1436" t="s">
        <v>31</v>
      </c>
      <c r="C1436" t="s">
        <v>24</v>
      </c>
      <c r="D1436" t="s">
        <v>4834</v>
      </c>
      <c r="E1436" t="s">
        <v>3278</v>
      </c>
      <c r="F1436" t="s">
        <v>3152</v>
      </c>
      <c r="G1436" t="s">
        <v>3279</v>
      </c>
      <c r="H1436" t="n">
        <v>40.378638</v>
      </c>
      <c r="I1436" t="n">
        <v>-105.173542</v>
      </c>
      <c r="J1436" t="s">
        <v>4109</v>
      </c>
      <c r="K1436" t="s">
        <v>70</v>
      </c>
      <c r="L1436"/>
      <c r="M1436" t="n">
        <v>1988</v>
      </c>
      <c r="N1436" t="n">
        <v>1992</v>
      </c>
      <c r="O1436" t="s">
        <v>320</v>
      </c>
      <c r="P1436" t="n">
        <v>3</v>
      </c>
      <c r="Q1436" t="n">
        <v>2</v>
      </c>
      <c r="R1436" t="n">
        <v>2</v>
      </c>
      <c r="S1436" t="n">
        <v>1982</v>
      </c>
      <c r="T1436" t="s">
        <v>4835</v>
      </c>
      <c r="U1436" t="s">
        <v>4836</v>
      </c>
      <c r="V1436" t="s">
        <v>74</v>
      </c>
      <c r="W1436"/>
      <c r="X1436"/>
      <c r="Y1436"/>
      <c r="Z1436"/>
      <c r="AA1436"/>
      <c r="AB1436"/>
      <c r="AC1436"/>
      <c r="AD1436"/>
      <c r="AE1436"/>
      <c r="AF1436"/>
      <c r="AG1436"/>
    </row>
    <row r="1437">
      <c r="A1437" t="s">
        <v>3387</v>
      </c>
      <c r="B1437" t="s">
        <v>31</v>
      </c>
      <c r="C1437" t="s">
        <v>65</v>
      </c>
      <c r="D1437" t="s">
        <v>3388</v>
      </c>
      <c r="E1437" t="s">
        <v>3151</v>
      </c>
      <c r="F1437" t="s">
        <v>3152</v>
      </c>
      <c r="G1437" t="s">
        <v>3163</v>
      </c>
      <c r="H1437" t="n">
        <v>40.3688970368351</v>
      </c>
      <c r="I1437" t="n">
        <v>-105.072772579267</v>
      </c>
      <c r="J1437" t="s">
        <v>35</v>
      </c>
      <c r="K1437" t="s">
        <v>120</v>
      </c>
      <c r="L1437"/>
      <c r="M1437" t="n">
        <v>1988</v>
      </c>
      <c r="N1437" t="n">
        <v>1988</v>
      </c>
      <c r="O1437" t="s">
        <v>325</v>
      </c>
      <c r="P1437" t="n">
        <v>1</v>
      </c>
      <c r="Q1437" t="n">
        <v>1</v>
      </c>
      <c r="R1437" t="n">
        <v>1</v>
      </c>
      <c r="S1437" t="n">
        <v>1972</v>
      </c>
      <c r="T1437" t="s">
        <v>3389</v>
      </c>
      <c r="U1437" t="s">
        <v>3390</v>
      </c>
      <c r="V1437" t="s">
        <v>74</v>
      </c>
      <c r="W1437"/>
      <c r="X1437"/>
      <c r="Y1437"/>
      <c r="Z1437"/>
      <c r="AA1437"/>
      <c r="AB1437"/>
      <c r="AC1437"/>
      <c r="AD1437"/>
      <c r="AE1437"/>
      <c r="AF1437"/>
      <c r="AG1437"/>
    </row>
    <row r="1438">
      <c r="A1438" t="s">
        <v>3391</v>
      </c>
      <c r="B1438" t="s">
        <v>31</v>
      </c>
      <c r="C1438" t="s">
        <v>65</v>
      </c>
      <c r="D1438" t="s">
        <v>3392</v>
      </c>
      <c r="E1438" t="s">
        <v>3151</v>
      </c>
      <c r="F1438" t="s">
        <v>3152</v>
      </c>
      <c r="G1438" t="s">
        <v>3393</v>
      </c>
      <c r="H1438" t="n">
        <v>40.4072435509613</v>
      </c>
      <c r="I1438" t="n">
        <v>-105.102005152236</v>
      </c>
      <c r="J1438" t="s">
        <v>35</v>
      </c>
      <c r="K1438" t="s">
        <v>70</v>
      </c>
      <c r="L1438"/>
      <c r="M1438" t="n">
        <v>1988</v>
      </c>
      <c r="N1438" t="n">
        <v>1988</v>
      </c>
      <c r="O1438" t="s">
        <v>325</v>
      </c>
      <c r="P1438" t="n">
        <v>1</v>
      </c>
      <c r="Q1438" t="n">
        <v>1</v>
      </c>
      <c r="R1438" t="n">
        <v>1</v>
      </c>
      <c r="S1438" t="n">
        <v>1983</v>
      </c>
      <c r="T1438" t="s">
        <v>3394</v>
      </c>
      <c r="U1438" t="s">
        <v>3395</v>
      </c>
      <c r="V1438" t="s">
        <v>74</v>
      </c>
      <c r="W1438"/>
      <c r="X1438"/>
      <c r="Y1438"/>
      <c r="Z1438"/>
      <c r="AA1438"/>
      <c r="AB1438" t="s">
        <v>3396</v>
      </c>
      <c r="AC1438" t="n">
        <v>96</v>
      </c>
      <c r="AD1438"/>
      <c r="AE1438"/>
      <c r="AF1438" t="s">
        <v>3397</v>
      </c>
      <c r="AG1438" t="n">
        <v>64</v>
      </c>
    </row>
    <row r="1439">
      <c r="A1439" t="s">
        <v>3398</v>
      </c>
      <c r="B1439" t="s">
        <v>31</v>
      </c>
      <c r="C1439" t="s">
        <v>65</v>
      </c>
      <c r="D1439" t="s">
        <v>3399</v>
      </c>
      <c r="E1439" t="s">
        <v>3151</v>
      </c>
      <c r="F1439" t="s">
        <v>3152</v>
      </c>
      <c r="G1439" t="s">
        <v>3163</v>
      </c>
      <c r="H1439" t="n">
        <v>40.4019395145921</v>
      </c>
      <c r="I1439" t="n">
        <v>-105.042734352313</v>
      </c>
      <c r="J1439" t="s">
        <v>35</v>
      </c>
      <c r="K1439" t="s">
        <v>120</v>
      </c>
      <c r="L1439"/>
      <c r="M1439" t="n">
        <v>1988</v>
      </c>
      <c r="N1439" t="n">
        <v>1990</v>
      </c>
      <c r="O1439" t="s">
        <v>310</v>
      </c>
      <c r="P1439" t="n">
        <v>2</v>
      </c>
      <c r="Q1439" t="n">
        <v>2</v>
      </c>
      <c r="R1439" t="n">
        <v>1</v>
      </c>
      <c r="S1439" t="n">
        <v>1963</v>
      </c>
      <c r="T1439" t="s">
        <v>3400</v>
      </c>
      <c r="U1439" t="s">
        <v>3401</v>
      </c>
      <c r="V1439" t="s">
        <v>74</v>
      </c>
      <c r="W1439"/>
      <c r="X1439"/>
      <c r="Y1439"/>
      <c r="Z1439"/>
      <c r="AA1439"/>
      <c r="AB1439"/>
      <c r="AC1439"/>
      <c r="AD1439"/>
      <c r="AE1439"/>
      <c r="AF1439" t="s">
        <v>3402</v>
      </c>
      <c r="AG1439" t="n">
        <v>61</v>
      </c>
    </row>
    <row r="1440">
      <c r="A1440" t="s">
        <v>3403</v>
      </c>
      <c r="B1440" t="s">
        <v>31</v>
      </c>
      <c r="C1440" t="s">
        <v>65</v>
      </c>
      <c r="D1440" t="s">
        <v>3404</v>
      </c>
      <c r="E1440" t="s">
        <v>3278</v>
      </c>
      <c r="F1440" t="s">
        <v>3152</v>
      </c>
      <c r="G1440" t="s">
        <v>3279</v>
      </c>
      <c r="H1440" t="n">
        <v>40.2951676548073</v>
      </c>
      <c r="I1440" t="n">
        <v>-105.062498363158</v>
      </c>
      <c r="J1440" t="s">
        <v>35</v>
      </c>
      <c r="K1440" t="s">
        <v>1639</v>
      </c>
      <c r="L1440"/>
      <c r="M1440" t="n">
        <v>1990</v>
      </c>
      <c r="N1440" t="n">
        <v>1990</v>
      </c>
      <c r="O1440" t="s">
        <v>351</v>
      </c>
      <c r="P1440" t="n">
        <v>1</v>
      </c>
      <c r="Q1440" t="n">
        <v>1</v>
      </c>
      <c r="R1440" t="n">
        <v>1</v>
      </c>
      <c r="S1440" t="n">
        <v>1975</v>
      </c>
      <c r="T1440" t="s">
        <v>3405</v>
      </c>
      <c r="U1440" t="s">
        <v>3406</v>
      </c>
      <c r="V1440" t="s">
        <v>74</v>
      </c>
      <c r="W1440"/>
      <c r="X1440"/>
      <c r="Y1440"/>
      <c r="Z1440"/>
      <c r="AA1440"/>
      <c r="AB1440"/>
      <c r="AC1440"/>
      <c r="AD1440"/>
      <c r="AE1440"/>
      <c r="AF1440"/>
      <c r="AG1440"/>
    </row>
    <row r="1441">
      <c r="A1441" t="s">
        <v>3407</v>
      </c>
      <c r="B1441" t="s">
        <v>31</v>
      </c>
      <c r="C1441" t="s">
        <v>65</v>
      </c>
      <c r="D1441" t="s">
        <v>3408</v>
      </c>
      <c r="E1441" t="s">
        <v>3170</v>
      </c>
      <c r="F1441" t="s">
        <v>3152</v>
      </c>
      <c r="G1441" t="s">
        <v>3292</v>
      </c>
      <c r="H1441" t="n">
        <v>40.5961740448307</v>
      </c>
      <c r="I1441" t="n">
        <v>-105.032264630947</v>
      </c>
      <c r="J1441" t="s">
        <v>35</v>
      </c>
      <c r="K1441" t="s">
        <v>120</v>
      </c>
      <c r="L1441"/>
      <c r="M1441" t="n">
        <v>1990</v>
      </c>
      <c r="N1441" t="n">
        <v>1990</v>
      </c>
      <c r="O1441" t="s">
        <v>351</v>
      </c>
      <c r="P1441" t="n">
        <v>1</v>
      </c>
      <c r="Q1441" t="n">
        <v>1</v>
      </c>
      <c r="R1441" t="n">
        <v>1</v>
      </c>
      <c r="S1441" t="n">
        <v>1972</v>
      </c>
      <c r="T1441" t="s">
        <v>3409</v>
      </c>
      <c r="U1441" t="s">
        <v>3410</v>
      </c>
      <c r="V1441" t="s">
        <v>74</v>
      </c>
      <c r="W1441"/>
      <c r="X1441"/>
      <c r="Y1441"/>
      <c r="Z1441"/>
      <c r="AA1441"/>
      <c r="AB1441"/>
      <c r="AC1441"/>
      <c r="AD1441"/>
      <c r="AE1441"/>
      <c r="AF1441"/>
      <c r="AG1441"/>
    </row>
    <row r="1442">
      <c r="A1442" t="s">
        <v>3411</v>
      </c>
      <c r="B1442" t="s">
        <v>31</v>
      </c>
      <c r="C1442" t="s">
        <v>65</v>
      </c>
      <c r="D1442" t="s">
        <v>3412</v>
      </c>
      <c r="E1442" t="s">
        <v>3170</v>
      </c>
      <c r="F1442" t="s">
        <v>3152</v>
      </c>
      <c r="G1442" t="s">
        <v>3232</v>
      </c>
      <c r="H1442" t="n">
        <v>40.5811674081633</v>
      </c>
      <c r="I1442" t="n">
        <v>-105.070144836735</v>
      </c>
      <c r="J1442" t="s">
        <v>35</v>
      </c>
      <c r="K1442" t="s">
        <v>81</v>
      </c>
      <c r="L1442"/>
      <c r="M1442" t="n">
        <v>1990</v>
      </c>
      <c r="N1442" t="n">
        <v>1992</v>
      </c>
      <c r="O1442" t="s">
        <v>357</v>
      </c>
      <c r="P1442" t="n">
        <v>2</v>
      </c>
      <c r="Q1442" t="n">
        <v>2</v>
      </c>
      <c r="R1442" t="n">
        <v>2</v>
      </c>
      <c r="S1442" t="n">
        <v>1976</v>
      </c>
      <c r="T1442" t="s">
        <v>3413</v>
      </c>
      <c r="U1442" t="s">
        <v>3414</v>
      </c>
      <c r="V1442" t="s">
        <v>74</v>
      </c>
      <c r="W1442"/>
      <c r="X1442"/>
      <c r="Y1442"/>
      <c r="Z1442"/>
      <c r="AA1442"/>
      <c r="AB1442"/>
      <c r="AC1442"/>
      <c r="AD1442"/>
      <c r="AE1442"/>
      <c r="AF1442"/>
      <c r="AG1442"/>
    </row>
    <row r="1443">
      <c r="A1443" t="s">
        <v>3415</v>
      </c>
      <c r="B1443" t="s">
        <v>31</v>
      </c>
      <c r="C1443" t="s">
        <v>65</v>
      </c>
      <c r="D1443" t="s">
        <v>3416</v>
      </c>
      <c r="E1443" t="s">
        <v>3151</v>
      </c>
      <c r="F1443" t="s">
        <v>3152</v>
      </c>
      <c r="G1443" t="s">
        <v>3163</v>
      </c>
      <c r="H1443" t="n">
        <v>40.3496740688162</v>
      </c>
      <c r="I1443" t="n">
        <v>-105.206252624973</v>
      </c>
      <c r="J1443" t="s">
        <v>35</v>
      </c>
      <c r="K1443" t="s">
        <v>120</v>
      </c>
      <c r="L1443"/>
      <c r="M1443" t="n">
        <v>1990</v>
      </c>
      <c r="N1443" t="n">
        <v>1990</v>
      </c>
      <c r="O1443" t="s">
        <v>351</v>
      </c>
      <c r="P1443" t="n">
        <v>1</v>
      </c>
      <c r="Q1443" t="n">
        <v>1</v>
      </c>
      <c r="R1443" t="n">
        <v>1</v>
      </c>
      <c r="S1443" t="n">
        <v>1972</v>
      </c>
      <c r="T1443" t="s">
        <v>3417</v>
      </c>
      <c r="U1443" t="s">
        <v>3418</v>
      </c>
      <c r="V1443" t="s">
        <v>74</v>
      </c>
      <c r="W1443"/>
      <c r="X1443"/>
      <c r="Y1443"/>
      <c r="Z1443"/>
      <c r="AA1443"/>
      <c r="AB1443"/>
      <c r="AC1443"/>
      <c r="AD1443"/>
      <c r="AE1443"/>
      <c r="AF1443"/>
      <c r="AG1443"/>
    </row>
    <row r="1444">
      <c r="A1444" t="s">
        <v>3419</v>
      </c>
      <c r="B1444" t="s">
        <v>31</v>
      </c>
      <c r="C1444" t="s">
        <v>65</v>
      </c>
      <c r="D1444" t="s">
        <v>3420</v>
      </c>
      <c r="E1444" t="s">
        <v>3151</v>
      </c>
      <c r="F1444" t="s">
        <v>3152</v>
      </c>
      <c r="G1444" t="s">
        <v>3163</v>
      </c>
      <c r="H1444" t="n">
        <v>40.4058082422114</v>
      </c>
      <c r="I1444" t="n">
        <v>-105.082469884784</v>
      </c>
      <c r="J1444" t="s">
        <v>35</v>
      </c>
      <c r="K1444" t="s">
        <v>120</v>
      </c>
      <c r="L1444"/>
      <c r="M1444" t="n">
        <v>1990</v>
      </c>
      <c r="N1444" t="n">
        <v>1990</v>
      </c>
      <c r="O1444" t="s">
        <v>351</v>
      </c>
      <c r="P1444" t="n">
        <v>1</v>
      </c>
      <c r="Q1444" t="n">
        <v>1</v>
      </c>
      <c r="R1444" t="n">
        <v>1</v>
      </c>
      <c r="S1444" t="n">
        <v>1982</v>
      </c>
      <c r="T1444" t="s">
        <v>3421</v>
      </c>
      <c r="U1444" t="s">
        <v>3422</v>
      </c>
      <c r="V1444" t="s">
        <v>74</v>
      </c>
      <c r="W1444"/>
      <c r="X1444"/>
      <c r="Y1444"/>
      <c r="Z1444"/>
      <c r="AA1444"/>
      <c r="AB1444"/>
      <c r="AC1444"/>
      <c r="AD1444"/>
      <c r="AE1444"/>
      <c r="AF1444"/>
      <c r="AG1444"/>
    </row>
    <row r="1445">
      <c r="A1445" t="s">
        <v>3423</v>
      </c>
      <c r="B1445" t="s">
        <v>31</v>
      </c>
      <c r="C1445" t="s">
        <v>65</v>
      </c>
      <c r="D1445" t="s">
        <v>3424</v>
      </c>
      <c r="E1445" t="s">
        <v>3151</v>
      </c>
      <c r="F1445" t="s">
        <v>3152</v>
      </c>
      <c r="G1445" t="s">
        <v>3163</v>
      </c>
      <c r="H1445" t="n">
        <v>40.3927833353116</v>
      </c>
      <c r="I1445" t="n">
        <v>-105.053416345058</v>
      </c>
      <c r="J1445" t="s">
        <v>35</v>
      </c>
      <c r="K1445" t="s">
        <v>315</v>
      </c>
      <c r="L1445"/>
      <c r="M1445" t="n">
        <v>1990</v>
      </c>
      <c r="N1445" t="n">
        <v>1990</v>
      </c>
      <c r="O1445" t="s">
        <v>351</v>
      </c>
      <c r="P1445" t="n">
        <v>1</v>
      </c>
      <c r="Q1445" t="n">
        <v>1</v>
      </c>
      <c r="R1445" t="n">
        <v>1</v>
      </c>
      <c r="S1445" t="n">
        <v>1976</v>
      </c>
      <c r="T1445" t="s">
        <v>3425</v>
      </c>
      <c r="U1445" t="s">
        <v>3426</v>
      </c>
      <c r="V1445" t="s">
        <v>74</v>
      </c>
      <c r="W1445"/>
      <c r="X1445"/>
      <c r="Y1445"/>
      <c r="Z1445"/>
      <c r="AA1445"/>
      <c r="AB1445"/>
      <c r="AC1445"/>
      <c r="AD1445"/>
      <c r="AE1445"/>
      <c r="AF1445"/>
      <c r="AG1445"/>
    </row>
    <row r="1446">
      <c r="A1446" t="s">
        <v>3427</v>
      </c>
      <c r="B1446" t="s">
        <v>31</v>
      </c>
      <c r="C1446" t="s">
        <v>65</v>
      </c>
      <c r="D1446" t="s">
        <v>3428</v>
      </c>
      <c r="E1446" t="s">
        <v>3151</v>
      </c>
      <c r="F1446" t="s">
        <v>3152</v>
      </c>
      <c r="G1446" t="s">
        <v>3429</v>
      </c>
      <c r="H1446" t="n">
        <v>40.408177</v>
      </c>
      <c r="I1446" t="n">
        <v>-105.108015</v>
      </c>
      <c r="J1446" t="s">
        <v>35</v>
      </c>
      <c r="K1446" t="s">
        <v>89</v>
      </c>
      <c r="L1446"/>
      <c r="M1446" t="n">
        <v>1990</v>
      </c>
      <c r="N1446" t="n">
        <v>1990</v>
      </c>
      <c r="O1446" t="s">
        <v>351</v>
      </c>
      <c r="P1446" t="n">
        <v>1</v>
      </c>
      <c r="Q1446" t="n">
        <v>1</v>
      </c>
      <c r="R1446" t="n">
        <v>1</v>
      </c>
      <c r="S1446" t="n">
        <v>1965</v>
      </c>
      <c r="T1446" t="s">
        <v>3430</v>
      </c>
      <c r="U1446" t="s">
        <v>3431</v>
      </c>
      <c r="V1446" t="s">
        <v>74</v>
      </c>
      <c r="W1446"/>
      <c r="X1446"/>
      <c r="Y1446"/>
      <c r="Z1446"/>
      <c r="AA1446"/>
      <c r="AB1446"/>
      <c r="AC1446"/>
      <c r="AD1446"/>
      <c r="AE1446"/>
      <c r="AF1446" t="s">
        <v>3432</v>
      </c>
      <c r="AG1446" t="n">
        <v>119</v>
      </c>
    </row>
    <row r="1447">
      <c r="A1447" t="s">
        <v>3433</v>
      </c>
      <c r="B1447" t="s">
        <v>31</v>
      </c>
      <c r="C1447" t="s">
        <v>65</v>
      </c>
      <c r="D1447" t="s">
        <v>3434</v>
      </c>
      <c r="E1447" t="s">
        <v>3151</v>
      </c>
      <c r="F1447" t="s">
        <v>3152</v>
      </c>
      <c r="G1447" t="s">
        <v>3163</v>
      </c>
      <c r="H1447" t="n">
        <v>40.4066087755102</v>
      </c>
      <c r="I1447" t="n">
        <v>-105.113653265306</v>
      </c>
      <c r="J1447" t="s">
        <v>35</v>
      </c>
      <c r="K1447" t="s">
        <v>89</v>
      </c>
      <c r="L1447"/>
      <c r="M1447" t="n">
        <v>1990</v>
      </c>
      <c r="N1447" t="n">
        <v>1992</v>
      </c>
      <c r="O1447" t="s">
        <v>351</v>
      </c>
      <c r="P1447" t="n">
        <v>2</v>
      </c>
      <c r="Q1447" t="n">
        <v>2</v>
      </c>
      <c r="R1447" t="n">
        <v>1</v>
      </c>
      <c r="S1447" t="n">
        <v>1975</v>
      </c>
      <c r="T1447" t="s">
        <v>3435</v>
      </c>
      <c r="U1447" t="s">
        <v>3436</v>
      </c>
      <c r="V1447" t="s">
        <v>74</v>
      </c>
      <c r="W1447"/>
      <c r="X1447"/>
      <c r="Y1447"/>
      <c r="Z1447"/>
      <c r="AA1447"/>
      <c r="AB1447"/>
      <c r="AC1447"/>
      <c r="AD1447"/>
      <c r="AE1447"/>
      <c r="AF1447" t="s">
        <v>3437</v>
      </c>
      <c r="AG1447" t="n">
        <v>175</v>
      </c>
    </row>
    <row r="1448">
      <c r="A1448" t="s">
        <v>3438</v>
      </c>
      <c r="B1448" t="s">
        <v>31</v>
      </c>
      <c r="C1448" t="s">
        <v>65</v>
      </c>
      <c r="D1448" t="s">
        <v>3439</v>
      </c>
      <c r="E1448" t="s">
        <v>3151</v>
      </c>
      <c r="F1448" t="s">
        <v>3152</v>
      </c>
      <c r="G1448" t="s">
        <v>3163</v>
      </c>
      <c r="H1448" t="n">
        <v>40.4001619522954</v>
      </c>
      <c r="I1448" t="n">
        <v>-105.100010220151</v>
      </c>
      <c r="J1448" t="s">
        <v>35</v>
      </c>
      <c r="K1448" t="s">
        <v>120</v>
      </c>
      <c r="L1448"/>
      <c r="M1448" t="n">
        <v>1990</v>
      </c>
      <c r="N1448" t="n">
        <v>1990</v>
      </c>
      <c r="O1448" t="s">
        <v>351</v>
      </c>
      <c r="P1448" t="n">
        <v>1</v>
      </c>
      <c r="Q1448" t="n">
        <v>1</v>
      </c>
      <c r="R1448" t="n">
        <v>1</v>
      </c>
      <c r="S1448" t="n">
        <v>1946</v>
      </c>
      <c r="T1448" t="s">
        <v>3440</v>
      </c>
      <c r="U1448" t="s">
        <v>3441</v>
      </c>
      <c r="V1448" t="s">
        <v>74</v>
      </c>
      <c r="W1448"/>
      <c r="X1448"/>
      <c r="Y1448"/>
      <c r="Z1448"/>
      <c r="AA1448"/>
      <c r="AB1448" t="s">
        <v>3442</v>
      </c>
      <c r="AC1448" t="n">
        <v>245</v>
      </c>
      <c r="AD1448"/>
      <c r="AE1448"/>
      <c r="AF1448"/>
      <c r="AG1448"/>
    </row>
    <row r="1449">
      <c r="A1449" t="s">
        <v>3443</v>
      </c>
      <c r="B1449" t="s">
        <v>31</v>
      </c>
      <c r="C1449" t="s">
        <v>65</v>
      </c>
      <c r="D1449" t="s">
        <v>3444</v>
      </c>
      <c r="E1449" t="s">
        <v>3187</v>
      </c>
      <c r="F1449" t="s">
        <v>3152</v>
      </c>
      <c r="G1449" t="s">
        <v>3188</v>
      </c>
      <c r="H1449" t="n">
        <v>40.3732036666667</v>
      </c>
      <c r="I1449" t="n">
        <v>-105.505732</v>
      </c>
      <c r="J1449" t="s">
        <v>35</v>
      </c>
      <c r="K1449" t="s">
        <v>527</v>
      </c>
      <c r="L1449"/>
      <c r="M1449" t="n">
        <v>1992</v>
      </c>
      <c r="N1449" t="n">
        <v>1992</v>
      </c>
      <c r="O1449" t="s">
        <v>1016</v>
      </c>
      <c r="P1449" t="n">
        <v>1</v>
      </c>
      <c r="Q1449" t="n">
        <v>1</v>
      </c>
      <c r="R1449" t="n">
        <v>1</v>
      </c>
      <c r="S1449" t="n">
        <v>1964</v>
      </c>
      <c r="T1449" t="s">
        <v>3445</v>
      </c>
      <c r="U1449" t="s">
        <v>3446</v>
      </c>
      <c r="V1449" t="s">
        <v>74</v>
      </c>
      <c r="W1449"/>
      <c r="X1449"/>
      <c r="Y1449"/>
      <c r="Z1449"/>
      <c r="AA1449"/>
      <c r="AB1449"/>
      <c r="AC1449"/>
      <c r="AD1449"/>
      <c r="AE1449"/>
      <c r="AF1449" t="s">
        <v>3447</v>
      </c>
      <c r="AG1449" t="n">
        <v>227</v>
      </c>
    </row>
    <row r="1450">
      <c r="A1450" t="s">
        <v>3448</v>
      </c>
      <c r="B1450" t="s">
        <v>31</v>
      </c>
      <c r="C1450" t="s">
        <v>65</v>
      </c>
      <c r="D1450" t="s">
        <v>3449</v>
      </c>
      <c r="E1450" t="s">
        <v>3170</v>
      </c>
      <c r="F1450" t="s">
        <v>3152</v>
      </c>
      <c r="G1450" t="s">
        <v>3232</v>
      </c>
      <c r="H1450" t="n">
        <v>40.552237</v>
      </c>
      <c r="I1450" t="n">
        <v>-105.1051095</v>
      </c>
      <c r="J1450" t="s">
        <v>35</v>
      </c>
      <c r="K1450" t="s">
        <v>70</v>
      </c>
      <c r="L1450"/>
      <c r="M1450" t="n">
        <v>1992</v>
      </c>
      <c r="N1450" t="n">
        <v>1992</v>
      </c>
      <c r="O1450" t="s">
        <v>1016</v>
      </c>
      <c r="P1450" t="n">
        <v>1</v>
      </c>
      <c r="Q1450" t="n">
        <v>1</v>
      </c>
      <c r="R1450" t="n">
        <v>1</v>
      </c>
      <c r="S1450" t="n">
        <v>1964</v>
      </c>
      <c r="T1450" t="s">
        <v>3450</v>
      </c>
      <c r="U1450" t="s">
        <v>3451</v>
      </c>
      <c r="V1450" t="s">
        <v>74</v>
      </c>
      <c r="W1450"/>
      <c r="X1450"/>
      <c r="Y1450"/>
      <c r="Z1450"/>
      <c r="AA1450"/>
      <c r="AB1450"/>
      <c r="AC1450"/>
      <c r="AD1450"/>
      <c r="AE1450"/>
      <c r="AF1450"/>
      <c r="AG1450"/>
    </row>
    <row r="1451">
      <c r="A1451" t="s">
        <v>4837</v>
      </c>
      <c r="B1451" t="s">
        <v>31</v>
      </c>
      <c r="C1451" t="s">
        <v>24</v>
      </c>
      <c r="D1451" t="s">
        <v>4838</v>
      </c>
      <c r="E1451" t="s">
        <v>4839</v>
      </c>
      <c r="F1451" t="s">
        <v>4840</v>
      </c>
      <c r="G1451" t="s">
        <v>4841</v>
      </c>
      <c r="H1451" t="n">
        <v>37.1700459243002</v>
      </c>
      <c r="I1451" t="n">
        <v>-104.497340546492</v>
      </c>
      <c r="J1451" t="s">
        <v>4109</v>
      </c>
      <c r="K1451" t="s">
        <v>315</v>
      </c>
      <c r="L1451"/>
      <c r="M1451" t="n">
        <v>1973</v>
      </c>
      <c r="N1451" t="n">
        <v>1973</v>
      </c>
      <c r="O1451" t="s">
        <v>121</v>
      </c>
      <c r="P1451" t="n">
        <v>1</v>
      </c>
      <c r="Q1451" t="n">
        <v>1</v>
      </c>
      <c r="R1451" t="n">
        <v>1</v>
      </c>
      <c r="S1451" t="n">
        <v>1972</v>
      </c>
      <c r="T1451" t="s">
        <v>4842</v>
      </c>
      <c r="U1451" t="s">
        <v>4843</v>
      </c>
      <c r="V1451" t="s">
        <v>74</v>
      </c>
      <c r="W1451"/>
      <c r="X1451"/>
      <c r="Y1451"/>
      <c r="Z1451"/>
      <c r="AA1451"/>
      <c r="AB1451" t="s">
        <v>4844</v>
      </c>
      <c r="AC1451" t="n">
        <v>132</v>
      </c>
      <c r="AD1451"/>
      <c r="AE1451"/>
      <c r="AF1451"/>
      <c r="AG1451"/>
    </row>
    <row r="1452">
      <c r="A1452" t="s">
        <v>4845</v>
      </c>
      <c r="B1452" t="s">
        <v>31</v>
      </c>
      <c r="C1452" t="s">
        <v>24</v>
      </c>
      <c r="D1452" t="s">
        <v>4846</v>
      </c>
      <c r="E1452" t="s">
        <v>4847</v>
      </c>
      <c r="F1452" t="s">
        <v>4848</v>
      </c>
      <c r="G1452" t="s">
        <v>4849</v>
      </c>
      <c r="H1452" t="n">
        <v>39.2625760331633</v>
      </c>
      <c r="I1452" t="n">
        <v>-103.687923</v>
      </c>
      <c r="J1452" t="s">
        <v>35</v>
      </c>
      <c r="K1452" t="s">
        <v>315</v>
      </c>
      <c r="L1452"/>
      <c r="M1452" t="n">
        <v>1968</v>
      </c>
      <c r="N1452" t="n">
        <v>1990</v>
      </c>
      <c r="O1452" t="s">
        <v>210</v>
      </c>
      <c r="P1452" t="n">
        <v>7</v>
      </c>
      <c r="Q1452" t="n">
        <v>3</v>
      </c>
      <c r="R1452" t="n">
        <v>1</v>
      </c>
      <c r="S1452" t="n">
        <v>1937</v>
      </c>
      <c r="T1452" t="s">
        <v>4850</v>
      </c>
      <c r="U1452" t="s">
        <v>4851</v>
      </c>
      <c r="V1452" t="s">
        <v>4175</v>
      </c>
      <c r="W1452"/>
      <c r="X1452"/>
      <c r="Y1452"/>
      <c r="Z1452"/>
      <c r="AA1452"/>
      <c r="AB1452"/>
      <c r="AC1452"/>
      <c r="AD1452"/>
      <c r="AE1452"/>
      <c r="AF1452" t="s">
        <v>4852</v>
      </c>
      <c r="AG1452" t="n">
        <v>93</v>
      </c>
    </row>
    <row r="1453">
      <c r="A1453" t="s">
        <v>4853</v>
      </c>
      <c r="B1453" t="s">
        <v>31</v>
      </c>
      <c r="C1453" t="s">
        <v>24</v>
      </c>
      <c r="D1453" t="s">
        <v>4854</v>
      </c>
      <c r="E1453" t="s">
        <v>3454</v>
      </c>
      <c r="F1453" t="s">
        <v>3455</v>
      </c>
      <c r="G1453" t="s">
        <v>3456</v>
      </c>
      <c r="H1453" t="n">
        <v>40.6848366114535</v>
      </c>
      <c r="I1453" t="n">
        <v>-103.2631721288</v>
      </c>
      <c r="J1453" t="s">
        <v>4109</v>
      </c>
      <c r="K1453" t="s">
        <v>120</v>
      </c>
      <c r="L1453"/>
      <c r="M1453" t="n">
        <v>1988</v>
      </c>
      <c r="N1453" t="n">
        <v>1992</v>
      </c>
      <c r="O1453" t="s">
        <v>4855</v>
      </c>
      <c r="P1453" t="n">
        <v>3</v>
      </c>
      <c r="Q1453" t="n">
        <v>2</v>
      </c>
      <c r="R1453" t="n">
        <v>2</v>
      </c>
      <c r="S1453" t="n">
        <v>1977</v>
      </c>
      <c r="T1453" t="s">
        <v>4856</v>
      </c>
      <c r="U1453" t="s">
        <v>4857</v>
      </c>
      <c r="V1453" t="s">
        <v>74</v>
      </c>
      <c r="W1453"/>
      <c r="X1453"/>
      <c r="Y1453"/>
      <c r="Z1453"/>
      <c r="AA1453"/>
      <c r="AB1453"/>
      <c r="AC1453"/>
      <c r="AD1453"/>
      <c r="AE1453"/>
      <c r="AF1453"/>
      <c r="AG1453"/>
    </row>
    <row r="1454">
      <c r="A1454" t="s">
        <v>3452</v>
      </c>
      <c r="B1454" t="s">
        <v>31</v>
      </c>
      <c r="C1454" t="s">
        <v>65</v>
      </c>
      <c r="D1454" t="s">
        <v>3453</v>
      </c>
      <c r="E1454" t="s">
        <v>3454</v>
      </c>
      <c r="F1454" t="s">
        <v>3455</v>
      </c>
      <c r="G1454" t="s">
        <v>3456</v>
      </c>
      <c r="H1454" t="n">
        <v>40.6233508138535</v>
      </c>
      <c r="I1454" t="n">
        <v>-103.193367667228</v>
      </c>
      <c r="J1454" t="s">
        <v>35</v>
      </c>
      <c r="K1454" t="s">
        <v>70</v>
      </c>
      <c r="L1454"/>
      <c r="M1454" t="n">
        <v>1990</v>
      </c>
      <c r="N1454" t="n">
        <v>1992</v>
      </c>
      <c r="O1454" t="s">
        <v>357</v>
      </c>
      <c r="P1454" t="n">
        <v>2</v>
      </c>
      <c r="Q1454" t="n">
        <v>2</v>
      </c>
      <c r="R1454" t="n">
        <v>2</v>
      </c>
      <c r="S1454" t="n">
        <v>1973</v>
      </c>
      <c r="T1454" t="s">
        <v>3457</v>
      </c>
      <c r="U1454" t="s">
        <v>3458</v>
      </c>
      <c r="V1454" t="s">
        <v>74</v>
      </c>
      <c r="W1454"/>
      <c r="X1454"/>
      <c r="Y1454"/>
      <c r="Z1454"/>
      <c r="AA1454"/>
      <c r="AB1454"/>
      <c r="AC1454"/>
      <c r="AD1454"/>
      <c r="AE1454"/>
      <c r="AF1454"/>
      <c r="AG1454"/>
    </row>
    <row r="1455">
      <c r="A1455" t="s">
        <v>3459</v>
      </c>
      <c r="B1455" t="s">
        <v>31</v>
      </c>
      <c r="C1455" t="s">
        <v>65</v>
      </c>
      <c r="D1455" t="s">
        <v>3460</v>
      </c>
      <c r="E1455" t="s">
        <v>3461</v>
      </c>
      <c r="F1455" t="s">
        <v>3462</v>
      </c>
      <c r="G1455"/>
      <c r="H1455" t="n">
        <v>39.0816623042949</v>
      </c>
      <c r="I1455" t="n">
        <v>-108.523391697308</v>
      </c>
      <c r="J1455" t="s">
        <v>35</v>
      </c>
      <c r="K1455" t="s">
        <v>70</v>
      </c>
      <c r="L1455"/>
      <c r="M1455" t="n">
        <v>1965</v>
      </c>
      <c r="N1455" t="n">
        <v>1965</v>
      </c>
      <c r="O1455" t="s">
        <v>1275</v>
      </c>
      <c r="P1455" t="n">
        <v>1</v>
      </c>
      <c r="Q1455" t="n">
        <v>1</v>
      </c>
      <c r="R1455" t="n">
        <v>1</v>
      </c>
      <c r="S1455"/>
      <c r="T1455" t="s">
        <v>3463</v>
      </c>
      <c r="U1455" t="s">
        <v>3464</v>
      </c>
      <c r="V1455" t="s">
        <v>74</v>
      </c>
      <c r="W1455"/>
      <c r="X1455"/>
      <c r="Y1455"/>
      <c r="Z1455"/>
      <c r="AA1455"/>
      <c r="AB1455"/>
      <c r="AC1455"/>
      <c r="AD1455"/>
      <c r="AE1455"/>
      <c r="AF1455"/>
      <c r="AG1455"/>
    </row>
    <row r="1456">
      <c r="A1456" t="s">
        <v>3465</v>
      </c>
      <c r="B1456" t="s">
        <v>31</v>
      </c>
      <c r="C1456" t="s">
        <v>65</v>
      </c>
      <c r="D1456" t="s">
        <v>3466</v>
      </c>
      <c r="E1456" t="s">
        <v>3461</v>
      </c>
      <c r="F1456" t="s">
        <v>3462</v>
      </c>
      <c r="G1456"/>
      <c r="H1456" t="n">
        <v>39.0673139591837</v>
      </c>
      <c r="I1456" t="n">
        <v>-108.572203918367</v>
      </c>
      <c r="J1456" t="s">
        <v>35</v>
      </c>
      <c r="K1456" t="s">
        <v>89</v>
      </c>
      <c r="L1456"/>
      <c r="M1456" t="n">
        <v>1965</v>
      </c>
      <c r="N1456" t="n">
        <v>1965</v>
      </c>
      <c r="O1456" t="s">
        <v>1275</v>
      </c>
      <c r="P1456" t="n">
        <v>1</v>
      </c>
      <c r="Q1456" t="n">
        <v>1</v>
      </c>
      <c r="R1456" t="n">
        <v>1</v>
      </c>
      <c r="S1456"/>
      <c r="T1456" t="s">
        <v>3467</v>
      </c>
      <c r="U1456" t="s">
        <v>3468</v>
      </c>
      <c r="V1456" t="s">
        <v>74</v>
      </c>
      <c r="W1456"/>
      <c r="X1456"/>
      <c r="Y1456"/>
      <c r="Z1456"/>
      <c r="AA1456"/>
      <c r="AB1456"/>
      <c r="AC1456"/>
      <c r="AD1456" t="s">
        <v>3469</v>
      </c>
      <c r="AE1456" t="n">
        <v>129</v>
      </c>
      <c r="AF1456" t="s">
        <v>3470</v>
      </c>
      <c r="AG1456" t="n">
        <v>167</v>
      </c>
    </row>
    <row r="1457">
      <c r="A1457" t="s">
        <v>4858</v>
      </c>
      <c r="B1457" t="s">
        <v>31</v>
      </c>
      <c r="C1457" t="s">
        <v>24</v>
      </c>
      <c r="D1457" t="s">
        <v>4859</v>
      </c>
      <c r="E1457" t="s">
        <v>3461</v>
      </c>
      <c r="F1457" t="s">
        <v>3462</v>
      </c>
      <c r="G1457"/>
      <c r="H1457" t="n">
        <v>39.0682985850516</v>
      </c>
      <c r="I1457" t="n">
        <v>-108.55892228708</v>
      </c>
      <c r="J1457" t="s">
        <v>4109</v>
      </c>
      <c r="K1457" t="s">
        <v>120</v>
      </c>
      <c r="L1457"/>
      <c r="M1457" t="n">
        <v>1965</v>
      </c>
      <c r="N1457" t="n">
        <v>1965</v>
      </c>
      <c r="O1457" t="s">
        <v>1275</v>
      </c>
      <c r="P1457" t="n">
        <v>1</v>
      </c>
      <c r="Q1457" t="n">
        <v>1</v>
      </c>
      <c r="R1457" t="n">
        <v>1</v>
      </c>
      <c r="S1457"/>
      <c r="T1457" t="s">
        <v>4860</v>
      </c>
      <c r="U1457" t="s">
        <v>4861</v>
      </c>
      <c r="V1457" t="s">
        <v>74</v>
      </c>
      <c r="W1457"/>
      <c r="X1457"/>
      <c r="Y1457"/>
      <c r="Z1457"/>
      <c r="AA1457"/>
      <c r="AB1457" t="s">
        <v>4862</v>
      </c>
      <c r="AC1457" t="n">
        <v>175</v>
      </c>
      <c r="AD1457"/>
      <c r="AE1457"/>
      <c r="AF1457" t="s">
        <v>3536</v>
      </c>
      <c r="AG1457" t="n">
        <v>115</v>
      </c>
    </row>
    <row r="1458">
      <c r="A1458" t="s">
        <v>3471</v>
      </c>
      <c r="B1458" t="s">
        <v>31</v>
      </c>
      <c r="C1458" t="s">
        <v>65</v>
      </c>
      <c r="D1458" t="s">
        <v>3472</v>
      </c>
      <c r="E1458" t="s">
        <v>3461</v>
      </c>
      <c r="F1458" t="s">
        <v>3462</v>
      </c>
      <c r="G1458"/>
      <c r="H1458" t="n">
        <v>39.0660143061224</v>
      </c>
      <c r="I1458" t="n">
        <v>-108.564436734694</v>
      </c>
      <c r="J1458" t="s">
        <v>35</v>
      </c>
      <c r="K1458" t="s">
        <v>89</v>
      </c>
      <c r="L1458"/>
      <c r="M1458" t="n">
        <v>1965</v>
      </c>
      <c r="N1458" t="n">
        <v>1983</v>
      </c>
      <c r="O1458" t="s">
        <v>3473</v>
      </c>
      <c r="P1458" t="n">
        <v>3</v>
      </c>
      <c r="Q1458" t="n">
        <v>3</v>
      </c>
      <c r="R1458" t="n">
        <v>3</v>
      </c>
      <c r="S1458" t="n">
        <v>1900</v>
      </c>
      <c r="T1458" t="s">
        <v>3474</v>
      </c>
      <c r="U1458" t="s">
        <v>3475</v>
      </c>
      <c r="V1458" t="s">
        <v>74</v>
      </c>
      <c r="W1458"/>
      <c r="X1458"/>
      <c r="Y1458"/>
      <c r="Z1458"/>
      <c r="AA1458"/>
      <c r="AB1458" t="s">
        <v>3476</v>
      </c>
      <c r="AC1458" t="n">
        <v>108</v>
      </c>
      <c r="AD1458"/>
      <c r="AE1458"/>
      <c r="AF1458" t="s">
        <v>3477</v>
      </c>
      <c r="AG1458" t="n">
        <v>58</v>
      </c>
    </row>
    <row r="1459">
      <c r="A1459" t="s">
        <v>4863</v>
      </c>
      <c r="B1459" t="s">
        <v>31</v>
      </c>
      <c r="C1459" t="s">
        <v>24</v>
      </c>
      <c r="D1459" t="s">
        <v>4864</v>
      </c>
      <c r="E1459" t="s">
        <v>3461</v>
      </c>
      <c r="F1459" t="s">
        <v>3462</v>
      </c>
      <c r="G1459"/>
      <c r="H1459" t="n">
        <v>39.059276932438</v>
      </c>
      <c r="I1459" t="n">
        <v>-108.558604514505</v>
      </c>
      <c r="J1459" t="s">
        <v>4109</v>
      </c>
      <c r="K1459" t="s">
        <v>89</v>
      </c>
      <c r="L1459"/>
      <c r="M1459" t="n">
        <v>1965</v>
      </c>
      <c r="N1459" t="n">
        <v>1965</v>
      </c>
      <c r="O1459" t="s">
        <v>1275</v>
      </c>
      <c r="P1459" t="n">
        <v>1</v>
      </c>
      <c r="Q1459" t="n">
        <v>1</v>
      </c>
      <c r="R1459" t="n">
        <v>1</v>
      </c>
      <c r="S1459"/>
      <c r="T1459" t="s">
        <v>4865</v>
      </c>
      <c r="U1459" t="s">
        <v>4866</v>
      </c>
      <c r="V1459" t="s">
        <v>74</v>
      </c>
      <c r="W1459"/>
      <c r="X1459"/>
      <c r="Y1459"/>
      <c r="Z1459"/>
      <c r="AA1459"/>
      <c r="AB1459"/>
      <c r="AC1459"/>
      <c r="AD1459" t="s">
        <v>3469</v>
      </c>
      <c r="AE1459" t="n">
        <v>110</v>
      </c>
      <c r="AF1459" t="s">
        <v>4867</v>
      </c>
      <c r="AG1459" t="n">
        <v>100</v>
      </c>
    </row>
    <row r="1460">
      <c r="A1460" t="s">
        <v>5056</v>
      </c>
      <c r="B1460" t="s">
        <v>31</v>
      </c>
      <c r="C1460" t="s">
        <v>25</v>
      </c>
      <c r="D1460" t="s">
        <v>5057</v>
      </c>
      <c r="E1460" t="s">
        <v>3461</v>
      </c>
      <c r="F1460" t="s">
        <v>3462</v>
      </c>
      <c r="G1460"/>
      <c r="H1460" t="n">
        <v>39.067310958594</v>
      </c>
      <c r="I1460" t="n">
        <v>-108.563680707259</v>
      </c>
      <c r="J1460" t="s">
        <v>4109</v>
      </c>
      <c r="K1460" t="s">
        <v>988</v>
      </c>
      <c r="L1460"/>
      <c r="M1460" t="n">
        <v>1966</v>
      </c>
      <c r="N1460" t="n">
        <v>1973</v>
      </c>
      <c r="O1460" t="s">
        <v>4172</v>
      </c>
      <c r="P1460" t="n">
        <v>3</v>
      </c>
      <c r="Q1460" t="n">
        <v>2</v>
      </c>
      <c r="R1460" t="n">
        <v>2</v>
      </c>
      <c r="S1460" t="n">
        <v>1927</v>
      </c>
      <c r="T1460" t="s">
        <v>5058</v>
      </c>
      <c r="U1460" t="s">
        <v>5059</v>
      </c>
      <c r="V1460" t="s">
        <v>4175</v>
      </c>
      <c r="W1460"/>
      <c r="X1460"/>
      <c r="Y1460"/>
      <c r="Z1460"/>
      <c r="AA1460"/>
      <c r="AB1460" t="s">
        <v>5060</v>
      </c>
      <c r="AC1460" t="n">
        <v>114</v>
      </c>
      <c r="AD1460"/>
      <c r="AE1460"/>
      <c r="AF1460" t="s">
        <v>3477</v>
      </c>
      <c r="AG1460" t="n">
        <v>112</v>
      </c>
    </row>
    <row r="1461">
      <c r="A1461" t="s">
        <v>3478</v>
      </c>
      <c r="B1461" t="s">
        <v>31</v>
      </c>
      <c r="C1461" t="s">
        <v>65</v>
      </c>
      <c r="D1461" t="s">
        <v>3479</v>
      </c>
      <c r="E1461" t="s">
        <v>3461</v>
      </c>
      <c r="F1461" t="s">
        <v>3462</v>
      </c>
      <c r="G1461" t="s">
        <v>3480</v>
      </c>
      <c r="H1461" t="n">
        <v>39.0778427255144</v>
      </c>
      <c r="I1461" t="n">
        <v>-108.566145513359</v>
      </c>
      <c r="J1461" t="s">
        <v>35</v>
      </c>
      <c r="K1461" t="s">
        <v>70</v>
      </c>
      <c r="L1461"/>
      <c r="M1461" t="n">
        <v>1966</v>
      </c>
      <c r="N1461" t="n">
        <v>1973</v>
      </c>
      <c r="O1461" t="s">
        <v>99</v>
      </c>
      <c r="P1461" t="n">
        <v>3</v>
      </c>
      <c r="Q1461" t="n">
        <v>1</v>
      </c>
      <c r="R1461" t="n">
        <v>1</v>
      </c>
      <c r="S1461" t="n">
        <v>1953</v>
      </c>
      <c r="T1461" t="s">
        <v>3481</v>
      </c>
      <c r="U1461" t="s">
        <v>3482</v>
      </c>
      <c r="V1461" t="s">
        <v>74</v>
      </c>
      <c r="W1461"/>
      <c r="X1461"/>
      <c r="Y1461"/>
      <c r="Z1461"/>
      <c r="AA1461"/>
      <c r="AB1461" t="s">
        <v>3483</v>
      </c>
      <c r="AC1461" t="n">
        <v>146</v>
      </c>
      <c r="AD1461"/>
      <c r="AE1461"/>
      <c r="AF1461" t="s">
        <v>3484</v>
      </c>
      <c r="AG1461" t="n">
        <v>80</v>
      </c>
    </row>
    <row r="1462">
      <c r="A1462" t="s">
        <v>3485</v>
      </c>
      <c r="B1462" t="s">
        <v>31</v>
      </c>
      <c r="C1462" t="s">
        <v>65</v>
      </c>
      <c r="D1462" t="s">
        <v>3486</v>
      </c>
      <c r="E1462" t="s">
        <v>3461</v>
      </c>
      <c r="F1462" t="s">
        <v>3462</v>
      </c>
      <c r="G1462" t="s">
        <v>3487</v>
      </c>
      <c r="H1462" t="n">
        <v>39.048388</v>
      </c>
      <c r="I1462" t="n">
        <v>-108.520141</v>
      </c>
      <c r="J1462" t="s">
        <v>35</v>
      </c>
      <c r="K1462" t="s">
        <v>315</v>
      </c>
      <c r="L1462"/>
      <c r="M1462" t="n">
        <v>1966</v>
      </c>
      <c r="N1462" t="n">
        <v>1970</v>
      </c>
      <c r="O1462" t="s">
        <v>2771</v>
      </c>
      <c r="P1462" t="n">
        <v>3</v>
      </c>
      <c r="Q1462" t="n">
        <v>1</v>
      </c>
      <c r="R1462" t="n">
        <v>1</v>
      </c>
      <c r="S1462" t="n">
        <v>1960</v>
      </c>
      <c r="T1462" t="s">
        <v>3488</v>
      </c>
      <c r="U1462" t="s">
        <v>3489</v>
      </c>
      <c r="V1462" t="s">
        <v>74</v>
      </c>
      <c r="W1462"/>
      <c r="X1462"/>
      <c r="Y1462"/>
      <c r="Z1462"/>
      <c r="AA1462"/>
      <c r="AB1462"/>
      <c r="AC1462"/>
      <c r="AD1462"/>
      <c r="AE1462"/>
      <c r="AF1462"/>
      <c r="AG1462"/>
    </row>
    <row r="1463">
      <c r="A1463" t="s">
        <v>5061</v>
      </c>
      <c r="B1463" t="s">
        <v>31</v>
      </c>
      <c r="C1463" t="s">
        <v>25</v>
      </c>
      <c r="D1463" t="s">
        <v>5062</v>
      </c>
      <c r="E1463" t="s">
        <v>3461</v>
      </c>
      <c r="F1463" t="s">
        <v>3462</v>
      </c>
      <c r="G1463" t="s">
        <v>3480</v>
      </c>
      <c r="H1463" t="n">
        <v>39.084613</v>
      </c>
      <c r="I1463" t="n">
        <v>-108.49576</v>
      </c>
      <c r="J1463" t="s">
        <v>4109</v>
      </c>
      <c r="K1463" t="s">
        <v>120</v>
      </c>
      <c r="L1463"/>
      <c r="M1463" t="n">
        <v>1966</v>
      </c>
      <c r="N1463" t="n">
        <v>1983</v>
      </c>
      <c r="O1463" t="s">
        <v>4172</v>
      </c>
      <c r="P1463" t="n">
        <v>3</v>
      </c>
      <c r="Q1463" t="n">
        <v>3</v>
      </c>
      <c r="R1463" t="n">
        <v>1</v>
      </c>
      <c r="S1463" t="n">
        <v>1954</v>
      </c>
      <c r="T1463" t="s">
        <v>5063</v>
      </c>
      <c r="U1463" t="s">
        <v>5064</v>
      </c>
      <c r="V1463" t="s">
        <v>4175</v>
      </c>
      <c r="W1463"/>
      <c r="X1463"/>
      <c r="Y1463"/>
      <c r="Z1463"/>
      <c r="AA1463"/>
      <c r="AB1463"/>
      <c r="AC1463"/>
      <c r="AD1463"/>
      <c r="AE1463"/>
      <c r="AF1463"/>
      <c r="AG1463"/>
    </row>
    <row r="1464">
      <c r="A1464" t="s">
        <v>3490</v>
      </c>
      <c r="B1464" t="s">
        <v>31</v>
      </c>
      <c r="C1464" t="s">
        <v>65</v>
      </c>
      <c r="D1464" t="s">
        <v>3491</v>
      </c>
      <c r="E1464" t="s">
        <v>3492</v>
      </c>
      <c r="F1464" t="s">
        <v>3462</v>
      </c>
      <c r="G1464" t="s">
        <v>3493</v>
      </c>
      <c r="H1464" t="n">
        <v>39.1590181967179</v>
      </c>
      <c r="I1464" t="n">
        <v>-108.732482621003</v>
      </c>
      <c r="J1464" t="s">
        <v>35</v>
      </c>
      <c r="K1464" t="s">
        <v>120</v>
      </c>
      <c r="L1464"/>
      <c r="M1464" t="n">
        <v>1967</v>
      </c>
      <c r="N1464" t="n">
        <v>1970</v>
      </c>
      <c r="O1464" t="s">
        <v>3494</v>
      </c>
      <c r="P1464" t="n">
        <v>3</v>
      </c>
      <c r="Q1464" t="n">
        <v>1</v>
      </c>
      <c r="R1464" t="n">
        <v>1</v>
      </c>
      <c r="S1464" t="n">
        <v>1964</v>
      </c>
      <c r="T1464" t="s">
        <v>3495</v>
      </c>
      <c r="U1464" t="s">
        <v>3496</v>
      </c>
      <c r="V1464" t="s">
        <v>74</v>
      </c>
      <c r="W1464"/>
      <c r="X1464"/>
      <c r="Y1464"/>
      <c r="Z1464"/>
      <c r="AA1464"/>
      <c r="AB1464"/>
      <c r="AC1464"/>
      <c r="AD1464"/>
      <c r="AE1464"/>
      <c r="AF1464" t="s">
        <v>3497</v>
      </c>
      <c r="AG1464" t="n">
        <v>117</v>
      </c>
    </row>
    <row r="1465">
      <c r="A1465" t="s">
        <v>3498</v>
      </c>
      <c r="B1465" t="s">
        <v>31</v>
      </c>
      <c r="C1465" t="s">
        <v>65</v>
      </c>
      <c r="D1465" t="s">
        <v>3499</v>
      </c>
      <c r="E1465" t="s">
        <v>3461</v>
      </c>
      <c r="F1465" t="s">
        <v>3462</v>
      </c>
      <c r="G1465" t="s">
        <v>3487</v>
      </c>
      <c r="H1465" t="n">
        <v>39.0774010515873</v>
      </c>
      <c r="I1465" t="n">
        <v>-108.556855734127</v>
      </c>
      <c r="J1465" t="s">
        <v>35</v>
      </c>
      <c r="K1465" t="s">
        <v>89</v>
      </c>
      <c r="L1465"/>
      <c r="M1465" t="n">
        <v>1967</v>
      </c>
      <c r="N1465" t="n">
        <v>1990</v>
      </c>
      <c r="O1465" t="s">
        <v>388</v>
      </c>
      <c r="P1465" t="n">
        <v>6</v>
      </c>
      <c r="Q1465" t="n">
        <v>4</v>
      </c>
      <c r="R1465" t="n">
        <v>1</v>
      </c>
      <c r="S1465" t="n">
        <v>1948</v>
      </c>
      <c r="T1465" t="s">
        <v>3500</v>
      </c>
      <c r="U1465" t="s">
        <v>3501</v>
      </c>
      <c r="V1465" t="s">
        <v>74</v>
      </c>
      <c r="W1465"/>
      <c r="X1465"/>
      <c r="Y1465"/>
      <c r="Z1465"/>
      <c r="AA1465"/>
      <c r="AB1465"/>
      <c r="AC1465"/>
      <c r="AD1465"/>
      <c r="AE1465"/>
      <c r="AF1465" t="s">
        <v>3502</v>
      </c>
      <c r="AG1465" t="n">
        <v>151</v>
      </c>
    </row>
    <row r="1466">
      <c r="A1466" t="s">
        <v>4868</v>
      </c>
      <c r="B1466" t="s">
        <v>31</v>
      </c>
      <c r="C1466" t="s">
        <v>24</v>
      </c>
      <c r="D1466" t="s">
        <v>4869</v>
      </c>
      <c r="E1466" t="s">
        <v>3461</v>
      </c>
      <c r="F1466" t="s">
        <v>3462</v>
      </c>
      <c r="G1466" t="s">
        <v>3487</v>
      </c>
      <c r="H1466" t="n">
        <v>39.0652052176405</v>
      </c>
      <c r="I1466" t="n">
        <v>-108.593194971248</v>
      </c>
      <c r="J1466" t="s">
        <v>4109</v>
      </c>
      <c r="K1466" t="s">
        <v>4870</v>
      </c>
      <c r="L1466"/>
      <c r="M1466" t="n">
        <v>1968</v>
      </c>
      <c r="N1466" t="n">
        <v>1974</v>
      </c>
      <c r="O1466" t="s">
        <v>4871</v>
      </c>
      <c r="P1466" t="n">
        <v>2</v>
      </c>
      <c r="Q1466" t="n">
        <v>1</v>
      </c>
      <c r="R1466" t="n">
        <v>1</v>
      </c>
      <c r="S1466" t="n">
        <v>1961</v>
      </c>
      <c r="T1466" t="s">
        <v>4872</v>
      </c>
      <c r="U1466" t="s">
        <v>4873</v>
      </c>
      <c r="V1466" t="s">
        <v>74</v>
      </c>
      <c r="W1466"/>
      <c r="X1466"/>
      <c r="Y1466"/>
      <c r="Z1466"/>
      <c r="AA1466"/>
      <c r="AB1466"/>
      <c r="AC1466"/>
      <c r="AD1466"/>
      <c r="AE1466"/>
      <c r="AF1466"/>
      <c r="AG1466"/>
    </row>
    <row r="1467">
      <c r="A1467" t="s">
        <v>3503</v>
      </c>
      <c r="B1467" t="s">
        <v>31</v>
      </c>
      <c r="C1467" t="s">
        <v>65</v>
      </c>
      <c r="D1467" t="s">
        <v>3504</v>
      </c>
      <c r="E1467" t="s">
        <v>3461</v>
      </c>
      <c r="F1467" t="s">
        <v>3462</v>
      </c>
      <c r="G1467" t="s">
        <v>3480</v>
      </c>
      <c r="H1467" t="n">
        <v>39.0734445517752</v>
      </c>
      <c r="I1467" t="n">
        <v>-108.51747</v>
      </c>
      <c r="J1467" t="s">
        <v>35</v>
      </c>
      <c r="K1467" t="s">
        <v>120</v>
      </c>
      <c r="L1467"/>
      <c r="M1467" t="n">
        <v>1968</v>
      </c>
      <c r="N1467" t="n">
        <v>1974</v>
      </c>
      <c r="O1467" t="s">
        <v>90</v>
      </c>
      <c r="P1467" t="n">
        <v>3</v>
      </c>
      <c r="Q1467" t="n">
        <v>1</v>
      </c>
      <c r="R1467" t="n">
        <v>1</v>
      </c>
      <c r="S1467" t="n">
        <v>1954</v>
      </c>
      <c r="T1467" t="s">
        <v>3505</v>
      </c>
      <c r="U1467" t="s">
        <v>3506</v>
      </c>
      <c r="V1467" t="s">
        <v>74</v>
      </c>
      <c r="W1467"/>
      <c r="X1467"/>
      <c r="Y1467"/>
      <c r="Z1467"/>
      <c r="AA1467"/>
      <c r="AB1467"/>
      <c r="AC1467"/>
      <c r="AD1467"/>
      <c r="AE1467"/>
      <c r="AF1467" t="s">
        <v>3507</v>
      </c>
      <c r="AG1467" t="n">
        <v>178</v>
      </c>
    </row>
    <row r="1468">
      <c r="A1468" t="s">
        <v>4874</v>
      </c>
      <c r="B1468" t="s">
        <v>31</v>
      </c>
      <c r="C1468" t="s">
        <v>24</v>
      </c>
      <c r="D1468" t="s">
        <v>4875</v>
      </c>
      <c r="E1468" t="s">
        <v>3461</v>
      </c>
      <c r="F1468" t="s">
        <v>3462</v>
      </c>
      <c r="G1468" t="s">
        <v>3487</v>
      </c>
      <c r="H1468" t="n">
        <v>39.067341</v>
      </c>
      <c r="I1468" t="n">
        <v>-108.603672</v>
      </c>
      <c r="J1468" t="s">
        <v>4109</v>
      </c>
      <c r="K1468" t="s">
        <v>120</v>
      </c>
      <c r="L1468"/>
      <c r="M1468" t="n">
        <v>1968</v>
      </c>
      <c r="N1468" t="n">
        <v>1968</v>
      </c>
      <c r="O1468" t="s">
        <v>1349</v>
      </c>
      <c r="P1468" t="n">
        <v>1</v>
      </c>
      <c r="Q1468" t="n">
        <v>1</v>
      </c>
      <c r="R1468" t="n">
        <v>1</v>
      </c>
      <c r="S1468" t="n">
        <v>1958</v>
      </c>
      <c r="T1468" t="s">
        <v>4876</v>
      </c>
      <c r="U1468" t="s">
        <v>4877</v>
      </c>
      <c r="V1468" t="s">
        <v>74</v>
      </c>
      <c r="W1468"/>
      <c r="X1468"/>
      <c r="Y1468"/>
      <c r="Z1468"/>
      <c r="AA1468"/>
      <c r="AB1468"/>
      <c r="AC1468"/>
      <c r="AD1468"/>
      <c r="AE1468"/>
      <c r="AF1468"/>
      <c r="AG1468"/>
    </row>
    <row r="1469">
      <c r="A1469" t="s">
        <v>3508</v>
      </c>
      <c r="B1469" t="s">
        <v>31</v>
      </c>
      <c r="C1469" t="s">
        <v>65</v>
      </c>
      <c r="D1469" t="s">
        <v>3509</v>
      </c>
      <c r="E1469" t="s">
        <v>3461</v>
      </c>
      <c r="F1469" t="s">
        <v>3462</v>
      </c>
      <c r="G1469" t="s">
        <v>3487</v>
      </c>
      <c r="H1469" t="n">
        <v>39.0652929051295</v>
      </c>
      <c r="I1469" t="n">
        <v>-108.592229261347</v>
      </c>
      <c r="J1469" t="s">
        <v>35</v>
      </c>
      <c r="K1469" t="s">
        <v>70</v>
      </c>
      <c r="L1469"/>
      <c r="M1469" t="n">
        <v>1968</v>
      </c>
      <c r="N1469" t="n">
        <v>1970</v>
      </c>
      <c r="O1469" t="s">
        <v>1349</v>
      </c>
      <c r="P1469" t="n">
        <v>2</v>
      </c>
      <c r="Q1469" t="n">
        <v>1</v>
      </c>
      <c r="R1469" t="n">
        <v>1</v>
      </c>
      <c r="S1469" t="n">
        <v>1963</v>
      </c>
      <c r="T1469" t="s">
        <v>3510</v>
      </c>
      <c r="U1469" t="s">
        <v>3511</v>
      </c>
      <c r="V1469" t="s">
        <v>74</v>
      </c>
      <c r="W1469"/>
      <c r="X1469"/>
      <c r="Y1469"/>
      <c r="Z1469"/>
      <c r="AA1469"/>
      <c r="AB1469"/>
      <c r="AC1469"/>
      <c r="AD1469"/>
      <c r="AE1469"/>
      <c r="AF1469"/>
      <c r="AG1469"/>
    </row>
    <row r="1470">
      <c r="A1470" t="s">
        <v>3512</v>
      </c>
      <c r="B1470" t="s">
        <v>31</v>
      </c>
      <c r="C1470" t="s">
        <v>65</v>
      </c>
      <c r="D1470" t="s">
        <v>3513</v>
      </c>
      <c r="E1470" t="s">
        <v>3461</v>
      </c>
      <c r="F1470" t="s">
        <v>3462</v>
      </c>
      <c r="G1470" t="s">
        <v>3480</v>
      </c>
      <c r="H1470" t="n">
        <v>39.089241</v>
      </c>
      <c r="I1470" t="n">
        <v>-108.562086</v>
      </c>
      <c r="J1470" t="s">
        <v>35</v>
      </c>
      <c r="K1470" t="s">
        <v>89</v>
      </c>
      <c r="L1470"/>
      <c r="M1470" t="n">
        <v>1973</v>
      </c>
      <c r="N1470" t="n">
        <v>1990</v>
      </c>
      <c r="O1470" t="s">
        <v>325</v>
      </c>
      <c r="P1470" t="n">
        <v>7</v>
      </c>
      <c r="Q1470" t="n">
        <v>4</v>
      </c>
      <c r="R1470" t="n">
        <v>1</v>
      </c>
      <c r="S1470" t="n">
        <v>1951</v>
      </c>
      <c r="T1470" t="s">
        <v>3514</v>
      </c>
      <c r="U1470" t="s">
        <v>3515</v>
      </c>
      <c r="V1470" t="s">
        <v>74</v>
      </c>
      <c r="W1470"/>
      <c r="X1470"/>
      <c r="Y1470"/>
      <c r="Z1470"/>
      <c r="AA1470"/>
      <c r="AB1470"/>
      <c r="AC1470"/>
      <c r="AD1470"/>
      <c r="AE1470"/>
      <c r="AF1470" t="s">
        <v>3516</v>
      </c>
      <c r="AG1470" t="n">
        <v>153</v>
      </c>
    </row>
    <row r="1471">
      <c r="A1471" t="s">
        <v>3517</v>
      </c>
      <c r="B1471" t="s">
        <v>31</v>
      </c>
      <c r="C1471" t="s">
        <v>65</v>
      </c>
      <c r="D1471" t="s">
        <v>3518</v>
      </c>
      <c r="E1471" t="s">
        <v>3461</v>
      </c>
      <c r="F1471" t="s">
        <v>3462</v>
      </c>
      <c r="G1471" t="s">
        <v>3487</v>
      </c>
      <c r="H1471" t="n">
        <v>39.0649896298622</v>
      </c>
      <c r="I1471" t="n">
        <v>-108.592234617966</v>
      </c>
      <c r="J1471" t="s">
        <v>35</v>
      </c>
      <c r="K1471" t="s">
        <v>270</v>
      </c>
      <c r="L1471"/>
      <c r="M1471" t="n">
        <v>1973</v>
      </c>
      <c r="N1471" t="n">
        <v>1983</v>
      </c>
      <c r="O1471" t="s">
        <v>3519</v>
      </c>
      <c r="P1471" t="n">
        <v>3</v>
      </c>
      <c r="Q1471" t="n">
        <v>2</v>
      </c>
      <c r="R1471" t="n">
        <v>2</v>
      </c>
      <c r="S1471" t="n">
        <v>1961</v>
      </c>
      <c r="T1471" t="s">
        <v>3520</v>
      </c>
      <c r="U1471" t="s">
        <v>3521</v>
      </c>
      <c r="V1471" t="s">
        <v>74</v>
      </c>
      <c r="W1471"/>
      <c r="X1471"/>
      <c r="Y1471"/>
      <c r="Z1471"/>
      <c r="AA1471"/>
      <c r="AB1471"/>
      <c r="AC1471"/>
      <c r="AD1471"/>
      <c r="AE1471"/>
      <c r="AF1471"/>
      <c r="AG1471"/>
    </row>
    <row r="1472">
      <c r="A1472" t="s">
        <v>3522</v>
      </c>
      <c r="B1472" t="s">
        <v>31</v>
      </c>
      <c r="C1472" t="s">
        <v>65</v>
      </c>
      <c r="D1472" t="s">
        <v>3523</v>
      </c>
      <c r="E1472" t="s">
        <v>3461</v>
      </c>
      <c r="F1472" t="s">
        <v>3462</v>
      </c>
      <c r="G1472" t="s">
        <v>3487</v>
      </c>
      <c r="H1472" t="n">
        <v>39.066004240097</v>
      </c>
      <c r="I1472" t="n">
        <v>-108.557693099309</v>
      </c>
      <c r="J1472" t="s">
        <v>35</v>
      </c>
      <c r="K1472" t="s">
        <v>89</v>
      </c>
      <c r="L1472"/>
      <c r="M1472" t="n">
        <v>1974</v>
      </c>
      <c r="N1472" t="n">
        <v>1974</v>
      </c>
      <c r="O1472" t="s">
        <v>210</v>
      </c>
      <c r="P1472" t="n">
        <v>1</v>
      </c>
      <c r="Q1472" t="n">
        <v>1</v>
      </c>
      <c r="R1472" t="n">
        <v>1</v>
      </c>
      <c r="S1472" t="n">
        <v>1964</v>
      </c>
      <c r="T1472" t="s">
        <v>3524</v>
      </c>
      <c r="U1472" t="s">
        <v>3525</v>
      </c>
      <c r="V1472" t="s">
        <v>74</v>
      </c>
      <c r="W1472"/>
      <c r="X1472"/>
      <c r="Y1472"/>
      <c r="Z1472"/>
      <c r="AA1472"/>
      <c r="AB1472"/>
      <c r="AC1472"/>
      <c r="AD1472"/>
      <c r="AE1472"/>
      <c r="AF1472" t="s">
        <v>3477</v>
      </c>
      <c r="AG1472" t="n">
        <v>128</v>
      </c>
    </row>
    <row r="1473">
      <c r="A1473" t="s">
        <v>3526</v>
      </c>
      <c r="B1473" t="s">
        <v>31</v>
      </c>
      <c r="C1473" t="s">
        <v>65</v>
      </c>
      <c r="D1473" t="s">
        <v>3527</v>
      </c>
      <c r="E1473" t="s">
        <v>3461</v>
      </c>
      <c r="F1473" t="s">
        <v>3462</v>
      </c>
      <c r="G1473" t="s">
        <v>3487</v>
      </c>
      <c r="H1473" t="n">
        <v>39.0891333673469</v>
      </c>
      <c r="I1473" t="n">
        <v>-108.589853346939</v>
      </c>
      <c r="J1473" t="s">
        <v>35</v>
      </c>
      <c r="K1473" t="s">
        <v>141</v>
      </c>
      <c r="L1473"/>
      <c r="M1473" t="n">
        <v>1974</v>
      </c>
      <c r="N1473" t="n">
        <v>1983</v>
      </c>
      <c r="O1473" t="s">
        <v>2439</v>
      </c>
      <c r="P1473" t="n">
        <v>4</v>
      </c>
      <c r="Q1473" t="n">
        <v>2</v>
      </c>
      <c r="R1473" t="n">
        <v>2</v>
      </c>
      <c r="S1473" t="n">
        <v>1972</v>
      </c>
      <c r="T1473" t="s">
        <v>3528</v>
      </c>
      <c r="U1473" t="s">
        <v>3529</v>
      </c>
      <c r="V1473" t="s">
        <v>74</v>
      </c>
      <c r="W1473"/>
      <c r="X1473"/>
      <c r="Y1473"/>
      <c r="Z1473"/>
      <c r="AA1473"/>
      <c r="AB1473" t="s">
        <v>3530</v>
      </c>
      <c r="AC1473" t="n">
        <v>214</v>
      </c>
      <c r="AD1473"/>
      <c r="AE1473"/>
      <c r="AF1473" t="s">
        <v>3531</v>
      </c>
      <c r="AG1473" t="n">
        <v>109</v>
      </c>
    </row>
    <row r="1474">
      <c r="A1474" t="s">
        <v>3532</v>
      </c>
      <c r="B1474" t="s">
        <v>31</v>
      </c>
      <c r="C1474" t="s">
        <v>65</v>
      </c>
      <c r="D1474" t="s">
        <v>3533</v>
      </c>
      <c r="E1474" t="s">
        <v>3461</v>
      </c>
      <c r="F1474" t="s">
        <v>3462</v>
      </c>
      <c r="G1474" t="s">
        <v>3487</v>
      </c>
      <c r="H1474" t="n">
        <v>39.0685648520162</v>
      </c>
      <c r="I1474" t="n">
        <v>-108.557679411294</v>
      </c>
      <c r="J1474" t="s">
        <v>35</v>
      </c>
      <c r="K1474" t="s">
        <v>89</v>
      </c>
      <c r="L1474"/>
      <c r="M1474" t="n">
        <v>1980</v>
      </c>
      <c r="N1474" t="n">
        <v>1980</v>
      </c>
      <c r="O1474" t="s">
        <v>255</v>
      </c>
      <c r="P1474" t="n">
        <v>1</v>
      </c>
      <c r="Q1474" t="n">
        <v>2</v>
      </c>
      <c r="R1474" t="n">
        <v>1</v>
      </c>
      <c r="S1474" t="n">
        <v>1900</v>
      </c>
      <c r="T1474" t="s">
        <v>3534</v>
      </c>
      <c r="U1474" t="s">
        <v>3535</v>
      </c>
      <c r="V1474" t="s">
        <v>74</v>
      </c>
      <c r="W1474"/>
      <c r="X1474"/>
      <c r="Y1474"/>
      <c r="Z1474"/>
      <c r="AA1474"/>
      <c r="AB1474"/>
      <c r="AC1474"/>
      <c r="AD1474"/>
      <c r="AE1474"/>
      <c r="AF1474" t="s">
        <v>3536</v>
      </c>
      <c r="AG1474" t="n">
        <v>155</v>
      </c>
    </row>
    <row r="1475">
      <c r="A1475" t="s">
        <v>3537</v>
      </c>
      <c r="B1475" t="s">
        <v>31</v>
      </c>
      <c r="C1475" t="s">
        <v>65</v>
      </c>
      <c r="D1475" t="s">
        <v>3538</v>
      </c>
      <c r="E1475" t="s">
        <v>3461</v>
      </c>
      <c r="F1475" t="s">
        <v>3462</v>
      </c>
      <c r="G1475" t="s">
        <v>3487</v>
      </c>
      <c r="H1475" t="n">
        <v>39.0653486513454</v>
      </c>
      <c r="I1475" t="n">
        <v>-108.548632669832</v>
      </c>
      <c r="J1475" t="s">
        <v>35</v>
      </c>
      <c r="K1475" t="s">
        <v>120</v>
      </c>
      <c r="L1475"/>
      <c r="M1475" t="n">
        <v>1980</v>
      </c>
      <c r="N1475" t="n">
        <v>1990</v>
      </c>
      <c r="O1475" t="s">
        <v>1668</v>
      </c>
      <c r="P1475" t="n">
        <v>4</v>
      </c>
      <c r="Q1475" t="n">
        <v>1</v>
      </c>
      <c r="R1475" t="n">
        <v>1</v>
      </c>
      <c r="S1475" t="n">
        <v>1949</v>
      </c>
      <c r="T1475" t="s">
        <v>3539</v>
      </c>
      <c r="U1475" t="s">
        <v>3540</v>
      </c>
      <c r="V1475" t="s">
        <v>74</v>
      </c>
      <c r="W1475"/>
      <c r="X1475"/>
      <c r="Y1475"/>
      <c r="Z1475"/>
      <c r="AA1475"/>
      <c r="AB1475"/>
      <c r="AC1475"/>
      <c r="AD1475"/>
      <c r="AE1475"/>
      <c r="AF1475" t="s">
        <v>3541</v>
      </c>
      <c r="AG1475" t="n">
        <v>108</v>
      </c>
    </row>
    <row r="1476">
      <c r="A1476" t="s">
        <v>3542</v>
      </c>
      <c r="B1476" t="s">
        <v>31</v>
      </c>
      <c r="C1476" t="s">
        <v>65</v>
      </c>
      <c r="D1476" t="s">
        <v>3543</v>
      </c>
      <c r="E1476" t="s">
        <v>3461</v>
      </c>
      <c r="F1476" t="s">
        <v>3462</v>
      </c>
      <c r="G1476" t="s">
        <v>3487</v>
      </c>
      <c r="H1476" t="n">
        <v>39.090875867649</v>
      </c>
      <c r="I1476" t="n">
        <v>-108.593016273914</v>
      </c>
      <c r="J1476" t="s">
        <v>35</v>
      </c>
      <c r="K1476" t="s">
        <v>70</v>
      </c>
      <c r="L1476"/>
      <c r="M1476" t="n">
        <v>1980</v>
      </c>
      <c r="N1476" t="n">
        <v>1980</v>
      </c>
      <c r="O1476" t="s">
        <v>255</v>
      </c>
      <c r="P1476" t="n">
        <v>1</v>
      </c>
      <c r="Q1476" t="n">
        <v>1</v>
      </c>
      <c r="R1476" t="n">
        <v>1</v>
      </c>
      <c r="S1476" t="n">
        <v>1976</v>
      </c>
      <c r="T1476" t="s">
        <v>3544</v>
      </c>
      <c r="U1476" t="s">
        <v>3545</v>
      </c>
      <c r="V1476" t="s">
        <v>74</v>
      </c>
      <c r="W1476"/>
      <c r="X1476"/>
      <c r="Y1476"/>
      <c r="Z1476"/>
      <c r="AA1476"/>
      <c r="AB1476" t="s">
        <v>3546</v>
      </c>
      <c r="AC1476" t="n">
        <v>104</v>
      </c>
      <c r="AD1476"/>
      <c r="AE1476"/>
      <c r="AF1476" t="s">
        <v>3547</v>
      </c>
      <c r="AG1476" t="n">
        <v>103</v>
      </c>
    </row>
    <row r="1477">
      <c r="A1477" t="s">
        <v>4878</v>
      </c>
      <c r="B1477" t="s">
        <v>31</v>
      </c>
      <c r="C1477" t="s">
        <v>24</v>
      </c>
      <c r="D1477" t="s">
        <v>4879</v>
      </c>
      <c r="E1477" t="s">
        <v>3461</v>
      </c>
      <c r="F1477" t="s">
        <v>3462</v>
      </c>
      <c r="G1477" t="s">
        <v>3487</v>
      </c>
      <c r="H1477" t="n">
        <v>39.084246</v>
      </c>
      <c r="I1477" t="n">
        <v>-108.522765</v>
      </c>
      <c r="J1477" t="s">
        <v>4109</v>
      </c>
      <c r="K1477" t="s">
        <v>120</v>
      </c>
      <c r="L1477"/>
      <c r="M1477" t="n">
        <v>1983</v>
      </c>
      <c r="N1477" t="n">
        <v>1983</v>
      </c>
      <c r="O1477" t="s">
        <v>264</v>
      </c>
      <c r="P1477" t="n">
        <v>1</v>
      </c>
      <c r="Q1477" t="n">
        <v>1</v>
      </c>
      <c r="R1477" t="n">
        <v>1</v>
      </c>
      <c r="S1477" t="n">
        <v>1974</v>
      </c>
      <c r="T1477" t="s">
        <v>4880</v>
      </c>
      <c r="U1477" t="s">
        <v>4881</v>
      </c>
      <c r="V1477" t="s">
        <v>74</v>
      </c>
      <c r="W1477"/>
      <c r="X1477"/>
      <c r="Y1477"/>
      <c r="Z1477"/>
      <c r="AA1477"/>
      <c r="AB1477"/>
      <c r="AC1477"/>
      <c r="AD1477"/>
      <c r="AE1477"/>
      <c r="AF1477"/>
      <c r="AG1477"/>
    </row>
    <row r="1478">
      <c r="A1478" t="s">
        <v>3548</v>
      </c>
      <c r="B1478" t="s">
        <v>31</v>
      </c>
      <c r="C1478" t="s">
        <v>65</v>
      </c>
      <c r="D1478" t="s">
        <v>3549</v>
      </c>
      <c r="E1478" t="s">
        <v>3550</v>
      </c>
      <c r="F1478" t="s">
        <v>3462</v>
      </c>
      <c r="G1478" t="s">
        <v>3551</v>
      </c>
      <c r="H1478" t="n">
        <v>39.0868959937914</v>
      </c>
      <c r="I1478" t="n">
        <v>-108.450061812694</v>
      </c>
      <c r="J1478" t="s">
        <v>35</v>
      </c>
      <c r="K1478" t="s">
        <v>796</v>
      </c>
      <c r="L1478"/>
      <c r="M1478" t="n">
        <v>1983</v>
      </c>
      <c r="N1478" t="n">
        <v>1988</v>
      </c>
      <c r="O1478" t="s">
        <v>325</v>
      </c>
      <c r="P1478" t="n">
        <v>2</v>
      </c>
      <c r="Q1478" t="n">
        <v>2</v>
      </c>
      <c r="R1478" t="n">
        <v>1</v>
      </c>
      <c r="S1478" t="n">
        <v>1974</v>
      </c>
      <c r="T1478" t="s">
        <v>3552</v>
      </c>
      <c r="U1478" t="s">
        <v>3553</v>
      </c>
      <c r="V1478" t="s">
        <v>74</v>
      </c>
      <c r="W1478"/>
      <c r="X1478"/>
      <c r="Y1478"/>
      <c r="Z1478"/>
      <c r="AA1478"/>
      <c r="AB1478"/>
      <c r="AC1478"/>
      <c r="AD1478"/>
      <c r="AE1478"/>
      <c r="AF1478" t="s">
        <v>3554</v>
      </c>
      <c r="AG1478" t="n">
        <v>216</v>
      </c>
    </row>
    <row r="1479">
      <c r="A1479" t="s">
        <v>3555</v>
      </c>
      <c r="B1479" t="s">
        <v>31</v>
      </c>
      <c r="C1479" t="s">
        <v>65</v>
      </c>
      <c r="D1479" t="s">
        <v>3556</v>
      </c>
      <c r="E1479" t="s">
        <v>3461</v>
      </c>
      <c r="F1479" t="s">
        <v>3462</v>
      </c>
      <c r="G1479" t="s">
        <v>3487</v>
      </c>
      <c r="H1479" t="n">
        <v>39.0577176734404</v>
      </c>
      <c r="I1479" t="n">
        <v>-108.544279515018</v>
      </c>
      <c r="J1479" t="s">
        <v>35</v>
      </c>
      <c r="K1479" t="s">
        <v>120</v>
      </c>
      <c r="L1479"/>
      <c r="M1479" t="n">
        <v>1983</v>
      </c>
      <c r="N1479" t="n">
        <v>1983</v>
      </c>
      <c r="O1479" t="s">
        <v>264</v>
      </c>
      <c r="P1479" t="n">
        <v>1</v>
      </c>
      <c r="Q1479" t="n">
        <v>1</v>
      </c>
      <c r="R1479" t="n">
        <v>1</v>
      </c>
      <c r="S1479" t="n">
        <v>1981</v>
      </c>
      <c r="T1479" t="s">
        <v>3557</v>
      </c>
      <c r="U1479" t="s">
        <v>3558</v>
      </c>
      <c r="V1479" t="s">
        <v>74</v>
      </c>
      <c r="W1479"/>
      <c r="X1479"/>
      <c r="Y1479"/>
      <c r="Z1479"/>
      <c r="AA1479"/>
      <c r="AB1479"/>
      <c r="AC1479"/>
      <c r="AD1479" t="s">
        <v>3559</v>
      </c>
      <c r="AE1479" t="n">
        <v>115</v>
      </c>
      <c r="AF1479" t="s">
        <v>3560</v>
      </c>
      <c r="AG1479" t="n">
        <v>153</v>
      </c>
    </row>
    <row r="1480">
      <c r="A1480" t="s">
        <v>4882</v>
      </c>
      <c r="B1480" t="s">
        <v>31</v>
      </c>
      <c r="C1480" t="s">
        <v>24</v>
      </c>
      <c r="D1480" t="s">
        <v>4883</v>
      </c>
      <c r="E1480" t="s">
        <v>3461</v>
      </c>
      <c r="F1480" t="s">
        <v>3462</v>
      </c>
      <c r="G1480" t="s">
        <v>3487</v>
      </c>
      <c r="H1480" t="n">
        <v>39.0611840114207</v>
      </c>
      <c r="I1480" t="n">
        <v>-108.558283385464</v>
      </c>
      <c r="J1480" t="s">
        <v>4109</v>
      </c>
      <c r="K1480" t="s">
        <v>133</v>
      </c>
      <c r="L1480"/>
      <c r="M1480" t="n">
        <v>1983</v>
      </c>
      <c r="N1480" t="n">
        <v>1983</v>
      </c>
      <c r="O1480" t="s">
        <v>264</v>
      </c>
      <c r="P1480" t="n">
        <v>1</v>
      </c>
      <c r="Q1480" t="n">
        <v>1</v>
      </c>
      <c r="R1480" t="n">
        <v>1</v>
      </c>
      <c r="S1480" t="n">
        <v>1973</v>
      </c>
      <c r="T1480" t="s">
        <v>4884</v>
      </c>
      <c r="U1480" t="s">
        <v>4885</v>
      </c>
      <c r="V1480" t="s">
        <v>74</v>
      </c>
      <c r="W1480"/>
      <c r="X1480"/>
      <c r="Y1480"/>
      <c r="Z1480"/>
      <c r="AA1480"/>
      <c r="AB1480" t="s">
        <v>4886</v>
      </c>
      <c r="AC1480" t="n">
        <v>145</v>
      </c>
      <c r="AD1480" t="s">
        <v>4887</v>
      </c>
      <c r="AE1480" t="n">
        <v>151</v>
      </c>
      <c r="AF1480" t="s">
        <v>4888</v>
      </c>
      <c r="AG1480" t="n">
        <v>66</v>
      </c>
    </row>
    <row r="1481">
      <c r="A1481" t="s">
        <v>3561</v>
      </c>
      <c r="B1481" t="s">
        <v>31</v>
      </c>
      <c r="C1481" t="s">
        <v>65</v>
      </c>
      <c r="D1481" t="s">
        <v>3562</v>
      </c>
      <c r="E1481" t="s">
        <v>3461</v>
      </c>
      <c r="F1481" t="s">
        <v>3462</v>
      </c>
      <c r="G1481" t="s">
        <v>3487</v>
      </c>
      <c r="H1481" t="n">
        <v>39.0583908636358</v>
      </c>
      <c r="I1481" t="n">
        <v>-108.560257136195</v>
      </c>
      <c r="J1481" t="s">
        <v>35</v>
      </c>
      <c r="K1481" t="s">
        <v>120</v>
      </c>
      <c r="L1481"/>
      <c r="M1481" t="n">
        <v>1983</v>
      </c>
      <c r="N1481" t="n">
        <v>1983</v>
      </c>
      <c r="O1481" t="s">
        <v>264</v>
      </c>
      <c r="P1481" t="n">
        <v>1</v>
      </c>
      <c r="Q1481" t="n">
        <v>1</v>
      </c>
      <c r="R1481" t="n">
        <v>1</v>
      </c>
      <c r="S1481" t="n">
        <v>1968</v>
      </c>
      <c r="T1481" t="s">
        <v>3563</v>
      </c>
      <c r="U1481" t="s">
        <v>3564</v>
      </c>
      <c r="V1481" t="s">
        <v>74</v>
      </c>
      <c r="W1481"/>
      <c r="X1481"/>
      <c r="Y1481"/>
      <c r="Z1481"/>
      <c r="AA1481"/>
      <c r="AB1481" t="s">
        <v>3565</v>
      </c>
      <c r="AC1481" t="n">
        <v>142</v>
      </c>
      <c r="AD1481" t="s">
        <v>3469</v>
      </c>
      <c r="AE1481" t="n">
        <v>104</v>
      </c>
      <c r="AF1481" t="s">
        <v>3566</v>
      </c>
      <c r="AG1481" t="n">
        <v>90</v>
      </c>
    </row>
    <row r="1482">
      <c r="A1482" t="s">
        <v>3567</v>
      </c>
      <c r="B1482" t="s">
        <v>31</v>
      </c>
      <c r="C1482" t="s">
        <v>65</v>
      </c>
      <c r="D1482" t="s">
        <v>3568</v>
      </c>
      <c r="E1482" t="s">
        <v>3461</v>
      </c>
      <c r="F1482" t="s">
        <v>3462</v>
      </c>
      <c r="G1482" t="s">
        <v>3569</v>
      </c>
      <c r="H1482" t="n">
        <v>39.11079025</v>
      </c>
      <c r="I1482" t="n">
        <v>-108.626855047422</v>
      </c>
      <c r="J1482" t="s">
        <v>35</v>
      </c>
      <c r="K1482" t="s">
        <v>70</v>
      </c>
      <c r="L1482"/>
      <c r="M1482" t="n">
        <v>1988</v>
      </c>
      <c r="N1482" t="n">
        <v>1992</v>
      </c>
      <c r="O1482" t="s">
        <v>320</v>
      </c>
      <c r="P1482" t="n">
        <v>3</v>
      </c>
      <c r="Q1482" t="n">
        <v>3</v>
      </c>
      <c r="R1482" t="n">
        <v>3</v>
      </c>
      <c r="S1482" t="n">
        <v>1968</v>
      </c>
      <c r="T1482" t="s">
        <v>3570</v>
      </c>
      <c r="U1482" t="s">
        <v>3571</v>
      </c>
      <c r="V1482" t="s">
        <v>74</v>
      </c>
      <c r="W1482"/>
      <c r="X1482"/>
      <c r="Y1482"/>
      <c r="Z1482"/>
      <c r="AA1482"/>
      <c r="AB1482"/>
      <c r="AC1482"/>
      <c r="AD1482"/>
      <c r="AE1482"/>
      <c r="AF1482" t="s">
        <v>3572</v>
      </c>
      <c r="AG1482" t="n">
        <v>199</v>
      </c>
    </row>
    <row r="1483">
      <c r="A1483" t="s">
        <v>3573</v>
      </c>
      <c r="B1483" t="s">
        <v>31</v>
      </c>
      <c r="C1483" t="s">
        <v>65</v>
      </c>
      <c r="D1483" t="s">
        <v>3574</v>
      </c>
      <c r="E1483" t="s">
        <v>3461</v>
      </c>
      <c r="F1483" t="s">
        <v>3462</v>
      </c>
      <c r="G1483" t="s">
        <v>3569</v>
      </c>
      <c r="H1483" t="n">
        <v>39.0819182733495</v>
      </c>
      <c r="I1483" t="n">
        <v>-108.591462238462</v>
      </c>
      <c r="J1483" t="s">
        <v>35</v>
      </c>
      <c r="K1483" t="s">
        <v>120</v>
      </c>
      <c r="L1483"/>
      <c r="M1483" t="n">
        <v>1988</v>
      </c>
      <c r="N1483" t="n">
        <v>1990</v>
      </c>
      <c r="O1483" t="s">
        <v>310</v>
      </c>
      <c r="P1483" t="n">
        <v>2</v>
      </c>
      <c r="Q1483" t="n">
        <v>2</v>
      </c>
      <c r="R1483" t="n">
        <v>1</v>
      </c>
      <c r="S1483" t="n">
        <v>1974</v>
      </c>
      <c r="T1483" t="s">
        <v>3575</v>
      </c>
      <c r="U1483" t="s">
        <v>3576</v>
      </c>
      <c r="V1483" t="s">
        <v>74</v>
      </c>
      <c r="W1483"/>
      <c r="X1483"/>
      <c r="Y1483"/>
      <c r="Z1483"/>
      <c r="AA1483"/>
      <c r="AB1483"/>
      <c r="AC1483"/>
      <c r="AD1483"/>
      <c r="AE1483"/>
      <c r="AF1483" t="s">
        <v>3577</v>
      </c>
      <c r="AG1483" t="n">
        <v>102</v>
      </c>
    </row>
    <row r="1484">
      <c r="A1484" t="s">
        <v>3578</v>
      </c>
      <c r="B1484" t="s">
        <v>31</v>
      </c>
      <c r="C1484" t="s">
        <v>65</v>
      </c>
      <c r="D1484" t="s">
        <v>3579</v>
      </c>
      <c r="E1484" t="s">
        <v>3461</v>
      </c>
      <c r="F1484" t="s">
        <v>3462</v>
      </c>
      <c r="G1484" t="s">
        <v>3580</v>
      </c>
      <c r="H1484" t="n">
        <v>39.028319</v>
      </c>
      <c r="I1484" t="n">
        <v>-108.513743</v>
      </c>
      <c r="J1484" t="s">
        <v>35</v>
      </c>
      <c r="K1484" t="s">
        <v>141</v>
      </c>
      <c r="L1484"/>
      <c r="M1484" t="n">
        <v>1988</v>
      </c>
      <c r="N1484" t="n">
        <v>1990</v>
      </c>
      <c r="O1484" t="s">
        <v>310</v>
      </c>
      <c r="P1484" t="n">
        <v>2</v>
      </c>
      <c r="Q1484" t="n">
        <v>1</v>
      </c>
      <c r="R1484" t="n">
        <v>1</v>
      </c>
      <c r="S1484" t="n">
        <v>1982</v>
      </c>
      <c r="T1484" t="s">
        <v>3581</v>
      </c>
      <c r="U1484" t="s">
        <v>3582</v>
      </c>
      <c r="V1484" t="s">
        <v>74</v>
      </c>
      <c r="W1484"/>
      <c r="X1484"/>
      <c r="Y1484"/>
      <c r="Z1484"/>
      <c r="AA1484"/>
      <c r="AB1484"/>
      <c r="AC1484"/>
      <c r="AD1484"/>
      <c r="AE1484"/>
      <c r="AF1484"/>
      <c r="AG1484"/>
    </row>
    <row r="1485">
      <c r="A1485" t="s">
        <v>4889</v>
      </c>
      <c r="B1485" t="s">
        <v>31</v>
      </c>
      <c r="C1485" t="s">
        <v>24</v>
      </c>
      <c r="D1485" t="s">
        <v>4890</v>
      </c>
      <c r="E1485" t="s">
        <v>3461</v>
      </c>
      <c r="F1485" t="s">
        <v>3462</v>
      </c>
      <c r="G1485" t="s">
        <v>3580</v>
      </c>
      <c r="H1485" t="n">
        <v>39.099287</v>
      </c>
      <c r="I1485" t="n">
        <v>-108.668768</v>
      </c>
      <c r="J1485" t="s">
        <v>4109</v>
      </c>
      <c r="K1485" t="s">
        <v>70</v>
      </c>
      <c r="L1485"/>
      <c r="M1485" t="n">
        <v>1988</v>
      </c>
      <c r="N1485" t="n">
        <v>1988</v>
      </c>
      <c r="O1485" t="s">
        <v>325</v>
      </c>
      <c r="P1485" t="n">
        <v>1</v>
      </c>
      <c r="Q1485" t="n">
        <v>1</v>
      </c>
      <c r="R1485" t="n">
        <v>1</v>
      </c>
      <c r="S1485" t="n">
        <v>1968</v>
      </c>
      <c r="T1485" t="s">
        <v>4891</v>
      </c>
      <c r="U1485" t="s">
        <v>4892</v>
      </c>
      <c r="V1485" t="s">
        <v>74</v>
      </c>
      <c r="W1485"/>
      <c r="X1485"/>
      <c r="Y1485"/>
      <c r="Z1485"/>
      <c r="AA1485"/>
      <c r="AB1485"/>
      <c r="AC1485"/>
      <c r="AD1485"/>
      <c r="AE1485"/>
      <c r="AF1485"/>
      <c r="AG1485"/>
    </row>
    <row r="1486">
      <c r="A1486" t="s">
        <v>3583</v>
      </c>
      <c r="B1486" t="s">
        <v>31</v>
      </c>
      <c r="C1486" t="s">
        <v>65</v>
      </c>
      <c r="D1486" t="s">
        <v>3584</v>
      </c>
      <c r="E1486" t="s">
        <v>3461</v>
      </c>
      <c r="F1486" t="s">
        <v>3462</v>
      </c>
      <c r="G1486" t="s">
        <v>3487</v>
      </c>
      <c r="H1486" t="n">
        <v>39.0673124094149</v>
      </c>
      <c r="I1486" t="n">
        <v>-108.573105146193</v>
      </c>
      <c r="J1486" t="s">
        <v>35</v>
      </c>
      <c r="K1486" t="s">
        <v>133</v>
      </c>
      <c r="L1486"/>
      <c r="M1486" t="n">
        <v>1988</v>
      </c>
      <c r="N1486" t="n">
        <v>1990</v>
      </c>
      <c r="O1486" t="s">
        <v>351</v>
      </c>
      <c r="P1486" t="n">
        <v>2</v>
      </c>
      <c r="Q1486" t="n">
        <v>3</v>
      </c>
      <c r="R1486" t="n">
        <v>1</v>
      </c>
      <c r="S1486" t="n">
        <v>1987</v>
      </c>
      <c r="T1486" t="s">
        <v>3585</v>
      </c>
      <c r="U1486" t="s">
        <v>3586</v>
      </c>
      <c r="V1486" t="s">
        <v>74</v>
      </c>
      <c r="W1486"/>
      <c r="X1486"/>
      <c r="Y1486"/>
      <c r="Z1486"/>
      <c r="AA1486"/>
      <c r="AB1486"/>
      <c r="AC1486"/>
      <c r="AD1486" t="s">
        <v>3469</v>
      </c>
      <c r="AE1486" t="n">
        <v>203</v>
      </c>
      <c r="AF1486" t="s">
        <v>3470</v>
      </c>
      <c r="AG1486" t="n">
        <v>150</v>
      </c>
    </row>
    <row r="1487">
      <c r="A1487" t="s">
        <v>3587</v>
      </c>
      <c r="B1487" t="s">
        <v>31</v>
      </c>
      <c r="C1487" t="s">
        <v>65</v>
      </c>
      <c r="D1487" t="s">
        <v>3588</v>
      </c>
      <c r="E1487" t="s">
        <v>3461</v>
      </c>
      <c r="F1487" t="s">
        <v>3462</v>
      </c>
      <c r="G1487" t="s">
        <v>3487</v>
      </c>
      <c r="H1487" t="n">
        <v>39.0584032017269</v>
      </c>
      <c r="I1487" t="n">
        <v>-108.555770605937</v>
      </c>
      <c r="J1487" t="s">
        <v>35</v>
      </c>
      <c r="K1487" t="s">
        <v>120</v>
      </c>
      <c r="L1487"/>
      <c r="M1487" t="n">
        <v>1988</v>
      </c>
      <c r="N1487" t="n">
        <v>1990</v>
      </c>
      <c r="O1487" t="s">
        <v>310</v>
      </c>
      <c r="P1487" t="n">
        <v>2</v>
      </c>
      <c r="Q1487" t="n">
        <v>2</v>
      </c>
      <c r="R1487" t="n">
        <v>2</v>
      </c>
      <c r="S1487" t="n">
        <v>1967</v>
      </c>
      <c r="T1487" t="s">
        <v>3589</v>
      </c>
      <c r="U1487" t="s">
        <v>3590</v>
      </c>
      <c r="V1487" t="s">
        <v>74</v>
      </c>
      <c r="W1487"/>
      <c r="X1487"/>
      <c r="Y1487"/>
      <c r="Z1487"/>
      <c r="AA1487"/>
      <c r="AB1487"/>
      <c r="AC1487"/>
      <c r="AD1487" t="s">
        <v>3591</v>
      </c>
      <c r="AE1487" t="n">
        <v>231</v>
      </c>
      <c r="AF1487" t="s">
        <v>3592</v>
      </c>
      <c r="AG1487" t="n">
        <v>167</v>
      </c>
    </row>
    <row r="1488">
      <c r="A1488" t="s">
        <v>4893</v>
      </c>
      <c r="B1488" t="s">
        <v>31</v>
      </c>
      <c r="C1488" t="s">
        <v>24</v>
      </c>
      <c r="D1488" t="s">
        <v>4894</v>
      </c>
      <c r="E1488" t="s">
        <v>3461</v>
      </c>
      <c r="F1488" t="s">
        <v>3462</v>
      </c>
      <c r="G1488" t="s">
        <v>3487</v>
      </c>
      <c r="H1488" t="n">
        <v>39.048399</v>
      </c>
      <c r="I1488" t="n">
        <v>-108.5395</v>
      </c>
      <c r="J1488" t="s">
        <v>4109</v>
      </c>
      <c r="K1488" t="s">
        <v>120</v>
      </c>
      <c r="L1488"/>
      <c r="M1488" t="n">
        <v>1990</v>
      </c>
      <c r="N1488" t="n">
        <v>1990</v>
      </c>
      <c r="O1488" t="s">
        <v>351</v>
      </c>
      <c r="P1488" t="n">
        <v>1</v>
      </c>
      <c r="Q1488" t="n">
        <v>1</v>
      </c>
      <c r="R1488" t="n">
        <v>1</v>
      </c>
      <c r="S1488" t="n">
        <v>1968</v>
      </c>
      <c r="T1488" t="s">
        <v>4895</v>
      </c>
      <c r="U1488" t="s">
        <v>4896</v>
      </c>
      <c r="V1488" t="s">
        <v>74</v>
      </c>
      <c r="W1488"/>
      <c r="X1488"/>
      <c r="Y1488"/>
      <c r="Z1488"/>
      <c r="AA1488"/>
      <c r="AB1488"/>
      <c r="AC1488"/>
      <c r="AD1488"/>
      <c r="AE1488"/>
      <c r="AF1488"/>
      <c r="AG1488"/>
    </row>
    <row r="1489">
      <c r="A1489" t="s">
        <v>3593</v>
      </c>
      <c r="B1489" t="s">
        <v>31</v>
      </c>
      <c r="C1489" t="s">
        <v>65</v>
      </c>
      <c r="D1489" t="s">
        <v>3594</v>
      </c>
      <c r="E1489" t="s">
        <v>3492</v>
      </c>
      <c r="F1489" t="s">
        <v>3462</v>
      </c>
      <c r="G1489" t="s">
        <v>3493</v>
      </c>
      <c r="H1489" t="n">
        <v>39.1534826053602</v>
      </c>
      <c r="I1489" t="n">
        <v>-108.727216088774</v>
      </c>
      <c r="J1489" t="s">
        <v>35</v>
      </c>
      <c r="K1489" t="s">
        <v>120</v>
      </c>
      <c r="L1489"/>
      <c r="M1489" t="n">
        <v>1992</v>
      </c>
      <c r="N1489" t="n">
        <v>1992</v>
      </c>
      <c r="O1489" t="s">
        <v>1016</v>
      </c>
      <c r="P1489" t="n">
        <v>1</v>
      </c>
      <c r="Q1489" t="n">
        <v>1</v>
      </c>
      <c r="R1489" t="n">
        <v>1</v>
      </c>
      <c r="S1489" t="n">
        <v>1989</v>
      </c>
      <c r="T1489" t="s">
        <v>3595</v>
      </c>
      <c r="U1489" t="s">
        <v>3596</v>
      </c>
      <c r="V1489" t="s">
        <v>74</v>
      </c>
      <c r="W1489"/>
      <c r="X1489"/>
      <c r="Y1489"/>
      <c r="Z1489"/>
      <c r="AA1489"/>
      <c r="AB1489" t="s">
        <v>3597</v>
      </c>
      <c r="AC1489" t="n">
        <v>205</v>
      </c>
      <c r="AD1489"/>
      <c r="AE1489"/>
      <c r="AF1489" t="s">
        <v>3598</v>
      </c>
      <c r="AG1489" t="n">
        <v>118</v>
      </c>
    </row>
    <row r="1490">
      <c r="A1490" t="s">
        <v>3599</v>
      </c>
      <c r="B1490" t="s">
        <v>31</v>
      </c>
      <c r="C1490" t="s">
        <v>65</v>
      </c>
      <c r="D1490" t="s">
        <v>3600</v>
      </c>
      <c r="E1490" t="s">
        <v>3461</v>
      </c>
      <c r="F1490" t="s">
        <v>3462</v>
      </c>
      <c r="G1490" t="s">
        <v>3487</v>
      </c>
      <c r="H1490" t="n">
        <v>39.087724</v>
      </c>
      <c r="I1490" t="n">
        <v>-108.570891</v>
      </c>
      <c r="J1490" t="s">
        <v>35</v>
      </c>
      <c r="K1490" t="s">
        <v>120</v>
      </c>
      <c r="L1490"/>
      <c r="M1490" t="n">
        <v>1992</v>
      </c>
      <c r="N1490" t="n">
        <v>1992</v>
      </c>
      <c r="O1490" t="s">
        <v>1016</v>
      </c>
      <c r="P1490" t="n">
        <v>1</v>
      </c>
      <c r="Q1490" t="n">
        <v>1</v>
      </c>
      <c r="R1490" t="n">
        <v>1</v>
      </c>
      <c r="S1490" t="n">
        <v>1976</v>
      </c>
      <c r="T1490" t="s">
        <v>3601</v>
      </c>
      <c r="U1490" t="s">
        <v>3602</v>
      </c>
      <c r="V1490" t="s">
        <v>74</v>
      </c>
      <c r="W1490"/>
      <c r="X1490"/>
      <c r="Y1490"/>
      <c r="Z1490"/>
      <c r="AA1490"/>
      <c r="AB1490"/>
      <c r="AC1490"/>
      <c r="AD1490"/>
      <c r="AE1490"/>
      <c r="AF1490"/>
      <c r="AG1490"/>
    </row>
    <row r="1491">
      <c r="A1491" t="s">
        <v>3603</v>
      </c>
      <c r="B1491" t="s">
        <v>31</v>
      </c>
      <c r="C1491" t="s">
        <v>65</v>
      </c>
      <c r="D1491" t="s">
        <v>3604</v>
      </c>
      <c r="E1491" t="s">
        <v>3605</v>
      </c>
      <c r="F1491" t="s">
        <v>3606</v>
      </c>
      <c r="G1491" t="s">
        <v>3607</v>
      </c>
      <c r="H1491" t="n">
        <v>40.512314939332</v>
      </c>
      <c r="I1491" t="n">
        <v>-107.548468778364</v>
      </c>
      <c r="J1491" t="s">
        <v>35</v>
      </c>
      <c r="K1491" t="s">
        <v>120</v>
      </c>
      <c r="L1491"/>
      <c r="M1491" t="n">
        <v>1967</v>
      </c>
      <c r="N1491" t="n">
        <v>1968</v>
      </c>
      <c r="O1491" t="s">
        <v>106</v>
      </c>
      <c r="P1491" t="n">
        <v>2</v>
      </c>
      <c r="Q1491" t="n">
        <v>1</v>
      </c>
      <c r="R1491" t="n">
        <v>1</v>
      </c>
      <c r="S1491" t="n">
        <v>1963</v>
      </c>
      <c r="T1491" t="s">
        <v>3608</v>
      </c>
      <c r="U1491" t="s">
        <v>3609</v>
      </c>
      <c r="V1491" t="s">
        <v>74</v>
      </c>
      <c r="W1491"/>
      <c r="X1491"/>
      <c r="Y1491"/>
      <c r="Z1491"/>
      <c r="AA1491"/>
      <c r="AB1491" t="s">
        <v>3610</v>
      </c>
      <c r="AC1491" t="n">
        <v>106</v>
      </c>
      <c r="AD1491"/>
      <c r="AE1491"/>
      <c r="AF1491" t="s">
        <v>3611</v>
      </c>
      <c r="AG1491" t="n">
        <v>88</v>
      </c>
    </row>
    <row r="1492">
      <c r="A1492" t="s">
        <v>3612</v>
      </c>
      <c r="B1492" t="s">
        <v>31</v>
      </c>
      <c r="C1492" t="s">
        <v>65</v>
      </c>
      <c r="D1492" t="s">
        <v>3613</v>
      </c>
      <c r="E1492" t="s">
        <v>3605</v>
      </c>
      <c r="F1492" t="s">
        <v>3606</v>
      </c>
      <c r="G1492" t="s">
        <v>3607</v>
      </c>
      <c r="H1492" t="n">
        <v>40.5184879572434</v>
      </c>
      <c r="I1492" t="n">
        <v>-107.554484533987</v>
      </c>
      <c r="J1492" t="s">
        <v>35</v>
      </c>
      <c r="K1492" t="s">
        <v>89</v>
      </c>
      <c r="L1492"/>
      <c r="M1492" t="n">
        <v>1980</v>
      </c>
      <c r="N1492" t="n">
        <v>1992</v>
      </c>
      <c r="O1492" t="s">
        <v>3614</v>
      </c>
      <c r="P1492" t="n">
        <v>5</v>
      </c>
      <c r="Q1492" t="n">
        <v>2</v>
      </c>
      <c r="R1492" t="n">
        <v>2</v>
      </c>
      <c r="S1492" t="n">
        <v>1965</v>
      </c>
      <c r="T1492" t="s">
        <v>3615</v>
      </c>
      <c r="U1492" t="s">
        <v>3616</v>
      </c>
      <c r="V1492" t="s">
        <v>74</v>
      </c>
      <c r="W1492"/>
      <c r="X1492"/>
      <c r="Y1492"/>
      <c r="Z1492"/>
      <c r="AA1492"/>
      <c r="AB1492"/>
      <c r="AC1492"/>
      <c r="AD1492"/>
      <c r="AE1492"/>
      <c r="AF1492"/>
      <c r="AG1492"/>
    </row>
    <row r="1493">
      <c r="A1493" t="s">
        <v>3617</v>
      </c>
      <c r="B1493" t="s">
        <v>31</v>
      </c>
      <c r="C1493" t="s">
        <v>65</v>
      </c>
      <c r="D1493" t="s">
        <v>3618</v>
      </c>
      <c r="E1493" t="s">
        <v>3605</v>
      </c>
      <c r="F1493" t="s">
        <v>3606</v>
      </c>
      <c r="G1493" t="s">
        <v>3619</v>
      </c>
      <c r="H1493" t="n">
        <v>40.51047</v>
      </c>
      <c r="I1493" t="n">
        <v>-107.575414768669</v>
      </c>
      <c r="J1493" t="s">
        <v>35</v>
      </c>
      <c r="K1493" t="s">
        <v>120</v>
      </c>
      <c r="L1493"/>
      <c r="M1493" t="n">
        <v>1990</v>
      </c>
      <c r="N1493" t="n">
        <v>1990</v>
      </c>
      <c r="O1493" t="s">
        <v>351</v>
      </c>
      <c r="P1493" t="n">
        <v>1</v>
      </c>
      <c r="Q1493" t="n">
        <v>1</v>
      </c>
      <c r="R1493" t="n">
        <v>1</v>
      </c>
      <c r="S1493" t="n">
        <v>1987</v>
      </c>
      <c r="T1493" t="s">
        <v>3620</v>
      </c>
      <c r="U1493" t="s">
        <v>3621</v>
      </c>
      <c r="V1493" t="s">
        <v>74</v>
      </c>
      <c r="W1493"/>
      <c r="X1493"/>
      <c r="Y1493"/>
      <c r="Z1493"/>
      <c r="AA1493"/>
      <c r="AB1493"/>
      <c r="AC1493"/>
      <c r="AD1493"/>
      <c r="AE1493"/>
      <c r="AF1493" t="s">
        <v>3622</v>
      </c>
      <c r="AG1493" t="n">
        <v>242</v>
      </c>
    </row>
    <row r="1494">
      <c r="A1494" t="s">
        <v>3623</v>
      </c>
      <c r="B1494" t="s">
        <v>31</v>
      </c>
      <c r="C1494" t="s">
        <v>65</v>
      </c>
      <c r="D1494" t="s">
        <v>3624</v>
      </c>
      <c r="E1494" t="s">
        <v>3625</v>
      </c>
      <c r="F1494" t="s">
        <v>3626</v>
      </c>
      <c r="G1494" t="s">
        <v>3627</v>
      </c>
      <c r="H1494" t="n">
        <v>37.348857</v>
      </c>
      <c r="I1494" t="n">
        <v>-108.5704325</v>
      </c>
      <c r="J1494" t="s">
        <v>35</v>
      </c>
      <c r="K1494" t="s">
        <v>89</v>
      </c>
      <c r="L1494"/>
      <c r="M1494" t="n">
        <v>1967</v>
      </c>
      <c r="N1494" t="n">
        <v>1973</v>
      </c>
      <c r="O1494" t="s">
        <v>755</v>
      </c>
      <c r="P1494" t="n">
        <v>3</v>
      </c>
      <c r="Q1494" t="n">
        <v>2</v>
      </c>
      <c r="R1494" t="n">
        <v>2</v>
      </c>
      <c r="S1494" t="n">
        <v>1949</v>
      </c>
      <c r="T1494" t="s">
        <v>3628</v>
      </c>
      <c r="U1494" t="s">
        <v>3629</v>
      </c>
      <c r="V1494" t="s">
        <v>74</v>
      </c>
      <c r="W1494"/>
      <c r="X1494"/>
      <c r="Y1494"/>
      <c r="Z1494"/>
      <c r="AA1494"/>
      <c r="AB1494"/>
      <c r="AC1494"/>
      <c r="AD1494"/>
      <c r="AE1494"/>
      <c r="AF1494" t="s">
        <v>3630</v>
      </c>
      <c r="AG1494" t="n">
        <v>74</v>
      </c>
    </row>
    <row r="1495">
      <c r="A1495" t="s">
        <v>3631</v>
      </c>
      <c r="B1495" t="s">
        <v>31</v>
      </c>
      <c r="C1495" t="s">
        <v>65</v>
      </c>
      <c r="D1495" t="s">
        <v>3632</v>
      </c>
      <c r="E1495" t="s">
        <v>3625</v>
      </c>
      <c r="F1495" t="s">
        <v>3626</v>
      </c>
      <c r="G1495" t="s">
        <v>3627</v>
      </c>
      <c r="H1495" t="n">
        <v>37.343388</v>
      </c>
      <c r="I1495" t="n">
        <v>-108.585072</v>
      </c>
      <c r="J1495" t="s">
        <v>35</v>
      </c>
      <c r="K1495" t="s">
        <v>120</v>
      </c>
      <c r="L1495"/>
      <c r="M1495" t="n">
        <v>1967</v>
      </c>
      <c r="N1495" t="n">
        <v>1967</v>
      </c>
      <c r="O1495" t="s">
        <v>388</v>
      </c>
      <c r="P1495" t="n">
        <v>1</v>
      </c>
      <c r="Q1495" t="n">
        <v>1</v>
      </c>
      <c r="R1495" t="n">
        <v>1</v>
      </c>
      <c r="S1495" t="n">
        <v>1948</v>
      </c>
      <c r="T1495" t="s">
        <v>3633</v>
      </c>
      <c r="U1495" t="s">
        <v>3634</v>
      </c>
      <c r="V1495" t="s">
        <v>74</v>
      </c>
      <c r="W1495"/>
      <c r="X1495"/>
      <c r="Y1495"/>
      <c r="Z1495"/>
      <c r="AA1495"/>
      <c r="AB1495"/>
      <c r="AC1495"/>
      <c r="AD1495"/>
      <c r="AE1495"/>
      <c r="AF1495"/>
      <c r="AG1495"/>
    </row>
    <row r="1496">
      <c r="A1496" t="s">
        <v>3635</v>
      </c>
      <c r="B1496" t="s">
        <v>31</v>
      </c>
      <c r="C1496" t="s">
        <v>65</v>
      </c>
      <c r="D1496" t="s">
        <v>3636</v>
      </c>
      <c r="E1496" t="s">
        <v>3625</v>
      </c>
      <c r="F1496" t="s">
        <v>3626</v>
      </c>
      <c r="G1496" t="s">
        <v>3627</v>
      </c>
      <c r="H1496" t="n">
        <v>37.339242</v>
      </c>
      <c r="I1496" t="n">
        <v>-108.584636</v>
      </c>
      <c r="J1496" t="s">
        <v>35</v>
      </c>
      <c r="K1496" t="s">
        <v>120</v>
      </c>
      <c r="L1496"/>
      <c r="M1496" t="n">
        <v>1968</v>
      </c>
      <c r="N1496" t="n">
        <v>1968</v>
      </c>
      <c r="O1496" t="s">
        <v>1349</v>
      </c>
      <c r="P1496" t="n">
        <v>1</v>
      </c>
      <c r="Q1496" t="n">
        <v>1</v>
      </c>
      <c r="R1496" t="n">
        <v>1</v>
      </c>
      <c r="S1496" t="n">
        <v>1948</v>
      </c>
      <c r="T1496" t="s">
        <v>3637</v>
      </c>
      <c r="U1496" t="s">
        <v>3638</v>
      </c>
      <c r="V1496" t="s">
        <v>74</v>
      </c>
      <c r="W1496"/>
      <c r="X1496"/>
      <c r="Y1496"/>
      <c r="Z1496"/>
      <c r="AA1496"/>
      <c r="AB1496"/>
      <c r="AC1496"/>
      <c r="AD1496"/>
      <c r="AE1496"/>
      <c r="AF1496"/>
      <c r="AG1496"/>
    </row>
    <row r="1497">
      <c r="A1497" t="s">
        <v>3639</v>
      </c>
      <c r="B1497" t="s">
        <v>31</v>
      </c>
      <c r="C1497" t="s">
        <v>65</v>
      </c>
      <c r="D1497" t="s">
        <v>3640</v>
      </c>
      <c r="E1497" t="s">
        <v>3625</v>
      </c>
      <c r="F1497" t="s">
        <v>3626</v>
      </c>
      <c r="G1497" t="s">
        <v>3627</v>
      </c>
      <c r="H1497" t="n">
        <v>37.3539172430966</v>
      </c>
      <c r="I1497" t="n">
        <v>-108.589644097406</v>
      </c>
      <c r="J1497" t="s">
        <v>35</v>
      </c>
      <c r="K1497" t="s">
        <v>120</v>
      </c>
      <c r="L1497"/>
      <c r="M1497" t="n">
        <v>1973</v>
      </c>
      <c r="N1497" t="n">
        <v>1973</v>
      </c>
      <c r="O1497" t="s">
        <v>121</v>
      </c>
      <c r="P1497" t="n">
        <v>1</v>
      </c>
      <c r="Q1497" t="n">
        <v>1</v>
      </c>
      <c r="R1497" t="n">
        <v>1</v>
      </c>
      <c r="S1497" t="n">
        <v>1955</v>
      </c>
      <c r="T1497" t="s">
        <v>3641</v>
      </c>
      <c r="U1497" t="s">
        <v>3642</v>
      </c>
      <c r="V1497" t="s">
        <v>74</v>
      </c>
      <c r="W1497"/>
      <c r="X1497"/>
      <c r="Y1497"/>
      <c r="Z1497"/>
      <c r="AA1497"/>
      <c r="AB1497"/>
      <c r="AC1497"/>
      <c r="AD1497"/>
      <c r="AE1497"/>
      <c r="AF1497" t="s">
        <v>3643</v>
      </c>
      <c r="AG1497" t="n">
        <v>75</v>
      </c>
    </row>
    <row r="1498">
      <c r="A1498" t="s">
        <v>3644</v>
      </c>
      <c r="B1498" t="s">
        <v>31</v>
      </c>
      <c r="C1498" t="s">
        <v>65</v>
      </c>
      <c r="D1498" t="s">
        <v>3645</v>
      </c>
      <c r="E1498" t="s">
        <v>3625</v>
      </c>
      <c r="F1498" t="s">
        <v>3626</v>
      </c>
      <c r="G1498" t="s">
        <v>3627</v>
      </c>
      <c r="H1498" t="n">
        <v>37.3608507249389</v>
      </c>
      <c r="I1498" t="n">
        <v>-108.557827197739</v>
      </c>
      <c r="J1498" t="s">
        <v>35</v>
      </c>
      <c r="K1498" t="s">
        <v>133</v>
      </c>
      <c r="L1498"/>
      <c r="M1498" t="n">
        <v>1988</v>
      </c>
      <c r="N1498" t="n">
        <v>1988</v>
      </c>
      <c r="O1498" t="s">
        <v>325</v>
      </c>
      <c r="P1498" t="n">
        <v>1</v>
      </c>
      <c r="Q1498" t="n">
        <v>1</v>
      </c>
      <c r="R1498" t="n">
        <v>1</v>
      </c>
      <c r="S1498" t="n">
        <v>1981</v>
      </c>
      <c r="T1498" t="s">
        <v>3646</v>
      </c>
      <c r="U1498" t="s">
        <v>3647</v>
      </c>
      <c r="V1498" t="s">
        <v>74</v>
      </c>
      <c r="W1498"/>
      <c r="X1498"/>
      <c r="Y1498"/>
      <c r="Z1498"/>
      <c r="AA1498"/>
      <c r="AB1498"/>
      <c r="AC1498"/>
      <c r="AD1498"/>
      <c r="AE1498"/>
      <c r="AF1498"/>
      <c r="AG1498"/>
    </row>
    <row r="1499">
      <c r="A1499" t="s">
        <v>4897</v>
      </c>
      <c r="B1499" t="s">
        <v>31</v>
      </c>
      <c r="C1499" t="s">
        <v>24</v>
      </c>
      <c r="D1499" t="s">
        <v>4898</v>
      </c>
      <c r="E1499" t="s">
        <v>3650</v>
      </c>
      <c r="F1499" t="s">
        <v>3626</v>
      </c>
      <c r="G1499" t="s">
        <v>3651</v>
      </c>
      <c r="H1499" t="n">
        <v>37.3449984081633</v>
      </c>
      <c r="I1499" t="n">
        <v>-108.297763816326</v>
      </c>
      <c r="J1499" t="s">
        <v>4109</v>
      </c>
      <c r="K1499" t="s">
        <v>70</v>
      </c>
      <c r="L1499"/>
      <c r="M1499" t="n">
        <v>1990</v>
      </c>
      <c r="N1499" t="n">
        <v>1990</v>
      </c>
      <c r="O1499" t="s">
        <v>351</v>
      </c>
      <c r="P1499" t="n">
        <v>1</v>
      </c>
      <c r="Q1499" t="n">
        <v>1</v>
      </c>
      <c r="R1499" t="n">
        <v>1</v>
      </c>
      <c r="S1499" t="n">
        <v>1988</v>
      </c>
      <c r="T1499" t="s">
        <v>4899</v>
      </c>
      <c r="U1499" t="s">
        <v>4900</v>
      </c>
      <c r="V1499" t="s">
        <v>74</v>
      </c>
      <c r="W1499"/>
      <c r="X1499"/>
      <c r="Y1499"/>
      <c r="Z1499"/>
      <c r="AA1499"/>
      <c r="AB1499"/>
      <c r="AC1499"/>
      <c r="AD1499"/>
      <c r="AE1499"/>
      <c r="AF1499"/>
      <c r="AG1499"/>
    </row>
    <row r="1500">
      <c r="A1500" t="s">
        <v>3648</v>
      </c>
      <c r="B1500" t="s">
        <v>31</v>
      </c>
      <c r="C1500" t="s">
        <v>65</v>
      </c>
      <c r="D1500" t="s">
        <v>3649</v>
      </c>
      <c r="E1500" t="s">
        <v>3650</v>
      </c>
      <c r="F1500" t="s">
        <v>3626</v>
      </c>
      <c r="G1500" t="s">
        <v>3651</v>
      </c>
      <c r="H1500" t="n">
        <v>37.3461488282435</v>
      </c>
      <c r="I1500" t="n">
        <v>-108.292211434477</v>
      </c>
      <c r="J1500" t="s">
        <v>35</v>
      </c>
      <c r="K1500" t="s">
        <v>70</v>
      </c>
      <c r="L1500"/>
      <c r="M1500" t="n">
        <v>1990</v>
      </c>
      <c r="N1500" t="n">
        <v>1990</v>
      </c>
      <c r="O1500" t="s">
        <v>351</v>
      </c>
      <c r="P1500" t="n">
        <v>1</v>
      </c>
      <c r="Q1500" t="n">
        <v>1</v>
      </c>
      <c r="R1500" t="n">
        <v>1</v>
      </c>
      <c r="S1500" t="n">
        <v>1988</v>
      </c>
      <c r="T1500" t="s">
        <v>3652</v>
      </c>
      <c r="U1500" t="s">
        <v>3653</v>
      </c>
      <c r="V1500" t="s">
        <v>74</v>
      </c>
      <c r="W1500"/>
      <c r="X1500"/>
      <c r="Y1500"/>
      <c r="Z1500"/>
      <c r="AA1500"/>
      <c r="AB1500" t="s">
        <v>3654</v>
      </c>
      <c r="AC1500" t="n">
        <v>174</v>
      </c>
      <c r="AD1500"/>
      <c r="AE1500"/>
      <c r="AF1500" t="s">
        <v>3655</v>
      </c>
      <c r="AG1500" t="n">
        <v>142</v>
      </c>
    </row>
    <row r="1501">
      <c r="A1501" t="s">
        <v>3656</v>
      </c>
      <c r="B1501" t="s">
        <v>31</v>
      </c>
      <c r="C1501" t="s">
        <v>65</v>
      </c>
      <c r="D1501" t="s">
        <v>3657</v>
      </c>
      <c r="E1501" t="s">
        <v>3658</v>
      </c>
      <c r="F1501" t="s">
        <v>3659</v>
      </c>
      <c r="G1501" t="s">
        <v>3660</v>
      </c>
      <c r="H1501" t="n">
        <v>38.479612165051</v>
      </c>
      <c r="I1501" t="n">
        <v>-107.878456125946</v>
      </c>
      <c r="J1501" t="s">
        <v>35</v>
      </c>
      <c r="K1501" t="s">
        <v>120</v>
      </c>
      <c r="L1501"/>
      <c r="M1501" t="n">
        <v>1966</v>
      </c>
      <c r="N1501" t="n">
        <v>1974</v>
      </c>
      <c r="O1501" t="s">
        <v>1541</v>
      </c>
      <c r="P1501" t="n">
        <v>5</v>
      </c>
      <c r="Q1501" t="n">
        <v>2</v>
      </c>
      <c r="R1501" t="n">
        <v>2</v>
      </c>
      <c r="S1501" t="n">
        <v>1947</v>
      </c>
      <c r="T1501" t="s">
        <v>3661</v>
      </c>
      <c r="U1501" t="s">
        <v>3662</v>
      </c>
      <c r="V1501" t="s">
        <v>74</v>
      </c>
      <c r="W1501"/>
      <c r="X1501"/>
      <c r="Y1501"/>
      <c r="Z1501"/>
      <c r="AA1501"/>
      <c r="AB1501" t="s">
        <v>3663</v>
      </c>
      <c r="AC1501" t="n">
        <v>247</v>
      </c>
      <c r="AD1501"/>
      <c r="AE1501"/>
      <c r="AF1501" t="s">
        <v>3664</v>
      </c>
      <c r="AG1501" t="n">
        <v>136</v>
      </c>
    </row>
    <row r="1502">
      <c r="A1502" t="s">
        <v>4901</v>
      </c>
      <c r="B1502" t="s">
        <v>31</v>
      </c>
      <c r="C1502" t="s">
        <v>24</v>
      </c>
      <c r="D1502" t="s">
        <v>4902</v>
      </c>
      <c r="E1502" t="s">
        <v>3658</v>
      </c>
      <c r="F1502" t="s">
        <v>3659</v>
      </c>
      <c r="G1502" t="s">
        <v>3660</v>
      </c>
      <c r="H1502" t="n">
        <v>38.4810308571428</v>
      </c>
      <c r="I1502" t="n">
        <v>-107.868551714286</v>
      </c>
      <c r="J1502" t="s">
        <v>35</v>
      </c>
      <c r="K1502" t="s">
        <v>70</v>
      </c>
      <c r="L1502"/>
      <c r="M1502" t="n">
        <v>1966</v>
      </c>
      <c r="N1502" t="n">
        <v>1968</v>
      </c>
      <c r="O1502" t="s">
        <v>4172</v>
      </c>
      <c r="P1502" t="n">
        <v>2</v>
      </c>
      <c r="Q1502" t="n">
        <v>1</v>
      </c>
      <c r="R1502" t="n">
        <v>1</v>
      </c>
      <c r="S1502" t="n">
        <v>1951</v>
      </c>
      <c r="T1502" t="s">
        <v>4903</v>
      </c>
      <c r="U1502" t="s">
        <v>4904</v>
      </c>
      <c r="V1502" t="s">
        <v>4175</v>
      </c>
      <c r="W1502"/>
      <c r="X1502"/>
      <c r="Y1502"/>
      <c r="Z1502"/>
      <c r="AA1502"/>
      <c r="AB1502"/>
      <c r="AC1502"/>
      <c r="AD1502"/>
      <c r="AE1502"/>
      <c r="AF1502" t="s">
        <v>4905</v>
      </c>
      <c r="AG1502" t="n">
        <v>71</v>
      </c>
    </row>
    <row r="1503">
      <c r="A1503" t="s">
        <v>3665</v>
      </c>
      <c r="B1503" t="s">
        <v>31</v>
      </c>
      <c r="C1503" t="s">
        <v>65</v>
      </c>
      <c r="D1503" t="s">
        <v>3666</v>
      </c>
      <c r="E1503" t="s">
        <v>3658</v>
      </c>
      <c r="F1503" t="s">
        <v>3659</v>
      </c>
      <c r="G1503" t="s">
        <v>3660</v>
      </c>
      <c r="H1503" t="n">
        <v>38.4882995440692</v>
      </c>
      <c r="I1503" t="n">
        <v>-107.882793514493</v>
      </c>
      <c r="J1503" t="s">
        <v>35</v>
      </c>
      <c r="K1503" t="s">
        <v>120</v>
      </c>
      <c r="L1503"/>
      <c r="M1503" t="n">
        <v>1973</v>
      </c>
      <c r="N1503" t="n">
        <v>1992</v>
      </c>
      <c r="O1503" t="s">
        <v>121</v>
      </c>
      <c r="P1503" t="n">
        <v>7</v>
      </c>
      <c r="Q1503" t="n">
        <v>1</v>
      </c>
      <c r="R1503" t="n">
        <v>1</v>
      </c>
      <c r="S1503" t="n">
        <v>1959</v>
      </c>
      <c r="T1503" t="s">
        <v>3667</v>
      </c>
      <c r="U1503" t="s">
        <v>3668</v>
      </c>
      <c r="V1503" t="s">
        <v>74</v>
      </c>
      <c r="W1503"/>
      <c r="X1503"/>
      <c r="Y1503"/>
      <c r="Z1503"/>
      <c r="AA1503"/>
      <c r="AB1503"/>
      <c r="AC1503"/>
      <c r="AD1503"/>
      <c r="AE1503"/>
      <c r="AF1503"/>
      <c r="AG1503"/>
    </row>
    <row r="1504">
      <c r="A1504" t="s">
        <v>3669</v>
      </c>
      <c r="B1504" t="s">
        <v>31</v>
      </c>
      <c r="C1504" t="s">
        <v>65</v>
      </c>
      <c r="D1504" t="s">
        <v>3670</v>
      </c>
      <c r="E1504" t="s">
        <v>3658</v>
      </c>
      <c r="F1504" t="s">
        <v>3659</v>
      </c>
      <c r="G1504" t="s">
        <v>3660</v>
      </c>
      <c r="H1504" t="n">
        <v>38.4764072232509</v>
      </c>
      <c r="I1504" t="n">
        <v>-107.882309084737</v>
      </c>
      <c r="J1504" t="s">
        <v>35</v>
      </c>
      <c r="K1504" t="s">
        <v>70</v>
      </c>
      <c r="L1504"/>
      <c r="M1504" t="n">
        <v>1974</v>
      </c>
      <c r="N1504" t="n">
        <v>1990</v>
      </c>
      <c r="O1504" t="s">
        <v>2874</v>
      </c>
      <c r="P1504" t="n">
        <v>4</v>
      </c>
      <c r="Q1504" t="n">
        <v>2</v>
      </c>
      <c r="R1504" t="n">
        <v>2</v>
      </c>
      <c r="S1504" t="n">
        <v>1979</v>
      </c>
      <c r="T1504" t="s">
        <v>3671</v>
      </c>
      <c r="U1504" t="s">
        <v>3672</v>
      </c>
      <c r="V1504" t="s">
        <v>74</v>
      </c>
      <c r="W1504"/>
      <c r="X1504"/>
      <c r="Y1504"/>
      <c r="Z1504"/>
      <c r="AA1504"/>
      <c r="AB1504" t="s">
        <v>3673</v>
      </c>
      <c r="AC1504" t="n">
        <v>127</v>
      </c>
      <c r="AD1504"/>
      <c r="AE1504"/>
      <c r="AF1504" t="s">
        <v>3674</v>
      </c>
      <c r="AG1504" t="n">
        <v>226</v>
      </c>
    </row>
    <row r="1505">
      <c r="A1505" t="s">
        <v>3675</v>
      </c>
      <c r="B1505" t="s">
        <v>31</v>
      </c>
      <c r="C1505" t="s">
        <v>65</v>
      </c>
      <c r="D1505" t="s">
        <v>3676</v>
      </c>
      <c r="E1505" t="s">
        <v>3658</v>
      </c>
      <c r="F1505" t="s">
        <v>3659</v>
      </c>
      <c r="G1505" t="s">
        <v>3660</v>
      </c>
      <c r="H1505" t="n">
        <v>38.4969124953329</v>
      </c>
      <c r="I1505" t="n">
        <v>-107.897681402552</v>
      </c>
      <c r="J1505" t="s">
        <v>35</v>
      </c>
      <c r="K1505" t="s">
        <v>315</v>
      </c>
      <c r="L1505"/>
      <c r="M1505" t="n">
        <v>1980</v>
      </c>
      <c r="N1505" t="n">
        <v>1990</v>
      </c>
      <c r="O1505" t="s">
        <v>582</v>
      </c>
      <c r="P1505" t="n">
        <v>3</v>
      </c>
      <c r="Q1505" t="n">
        <v>1</v>
      </c>
      <c r="R1505" t="n">
        <v>1</v>
      </c>
      <c r="S1505" t="n">
        <v>1970</v>
      </c>
      <c r="T1505" t="s">
        <v>3677</v>
      </c>
      <c r="U1505" t="s">
        <v>3678</v>
      </c>
      <c r="V1505" t="s">
        <v>74</v>
      </c>
      <c r="W1505"/>
      <c r="X1505"/>
      <c r="Y1505"/>
      <c r="Z1505"/>
      <c r="AA1505"/>
      <c r="AB1505"/>
      <c r="AC1505"/>
      <c r="AD1505"/>
      <c r="AE1505"/>
      <c r="AF1505" t="s">
        <v>3679</v>
      </c>
      <c r="AG1505" t="n">
        <v>212</v>
      </c>
    </row>
    <row r="1506">
      <c r="A1506" t="s">
        <v>3680</v>
      </c>
      <c r="B1506" t="s">
        <v>31</v>
      </c>
      <c r="C1506" t="s">
        <v>65</v>
      </c>
      <c r="D1506" t="s">
        <v>3681</v>
      </c>
      <c r="E1506" t="s">
        <v>3682</v>
      </c>
      <c r="F1506" t="s">
        <v>3659</v>
      </c>
      <c r="G1506" t="s">
        <v>3683</v>
      </c>
      <c r="H1506" t="n">
        <v>38.2179359943966</v>
      </c>
      <c r="I1506" t="n">
        <v>-108.574694250379</v>
      </c>
      <c r="J1506" t="s">
        <v>35</v>
      </c>
      <c r="K1506" t="s">
        <v>70</v>
      </c>
      <c r="L1506"/>
      <c r="M1506" t="n">
        <v>1983</v>
      </c>
      <c r="N1506" t="n">
        <v>1990</v>
      </c>
      <c r="O1506" t="s">
        <v>271</v>
      </c>
      <c r="P1506" t="n">
        <v>3</v>
      </c>
      <c r="Q1506" t="n">
        <v>3</v>
      </c>
      <c r="R1506" t="n">
        <v>3</v>
      </c>
      <c r="S1506" t="n">
        <v>1980</v>
      </c>
      <c r="T1506" t="s">
        <v>3684</v>
      </c>
      <c r="U1506" t="s">
        <v>3685</v>
      </c>
      <c r="V1506" t="s">
        <v>74</v>
      </c>
      <c r="W1506"/>
      <c r="X1506"/>
      <c r="Y1506"/>
      <c r="Z1506"/>
      <c r="AA1506"/>
      <c r="AB1506" t="s">
        <v>3686</v>
      </c>
      <c r="AC1506" t="n">
        <v>124</v>
      </c>
      <c r="AD1506"/>
      <c r="AE1506"/>
      <c r="AF1506"/>
      <c r="AG1506"/>
    </row>
    <row r="1507">
      <c r="A1507" t="s">
        <v>3687</v>
      </c>
      <c r="B1507" t="s">
        <v>31</v>
      </c>
      <c r="C1507" t="s">
        <v>65</v>
      </c>
      <c r="D1507" t="s">
        <v>3688</v>
      </c>
      <c r="E1507" t="s">
        <v>3689</v>
      </c>
      <c r="F1507" t="s">
        <v>3659</v>
      </c>
      <c r="G1507" t="s">
        <v>3690</v>
      </c>
      <c r="H1507" t="n">
        <v>38.6121155905571</v>
      </c>
      <c r="I1507" t="n">
        <v>-107.982140682405</v>
      </c>
      <c r="J1507" t="s">
        <v>35</v>
      </c>
      <c r="K1507" t="s">
        <v>315</v>
      </c>
      <c r="L1507"/>
      <c r="M1507" t="n">
        <v>1988</v>
      </c>
      <c r="N1507" t="n">
        <v>1990</v>
      </c>
      <c r="O1507" t="s">
        <v>310</v>
      </c>
      <c r="P1507" t="n">
        <v>2</v>
      </c>
      <c r="Q1507" t="n">
        <v>2</v>
      </c>
      <c r="R1507" t="n">
        <v>1</v>
      </c>
      <c r="S1507" t="n">
        <v>1980</v>
      </c>
      <c r="T1507" t="s">
        <v>3691</v>
      </c>
      <c r="U1507" t="s">
        <v>3692</v>
      </c>
      <c r="V1507" t="s">
        <v>74</v>
      </c>
      <c r="W1507"/>
      <c r="X1507"/>
      <c r="Y1507"/>
      <c r="Z1507"/>
      <c r="AA1507"/>
      <c r="AB1507"/>
      <c r="AC1507"/>
      <c r="AD1507"/>
      <c r="AE1507"/>
      <c r="AF1507" t="s">
        <v>3693</v>
      </c>
      <c r="AG1507" t="n">
        <v>114</v>
      </c>
    </row>
    <row r="1508">
      <c r="A1508" t="s">
        <v>3694</v>
      </c>
      <c r="B1508" t="s">
        <v>31</v>
      </c>
      <c r="C1508" t="s">
        <v>65</v>
      </c>
      <c r="D1508" t="s">
        <v>3695</v>
      </c>
      <c r="E1508" t="s">
        <v>3682</v>
      </c>
      <c r="F1508" t="s">
        <v>3659</v>
      </c>
      <c r="G1508" t="s">
        <v>3683</v>
      </c>
      <c r="H1508" t="n">
        <v>38.2184596253933</v>
      </c>
      <c r="I1508" t="n">
        <v>-108.572317224705</v>
      </c>
      <c r="J1508" t="s">
        <v>35</v>
      </c>
      <c r="K1508" t="s">
        <v>141</v>
      </c>
      <c r="L1508"/>
      <c r="M1508" t="n">
        <v>1990</v>
      </c>
      <c r="N1508" t="n">
        <v>1990</v>
      </c>
      <c r="O1508" t="s">
        <v>351</v>
      </c>
      <c r="P1508" t="n">
        <v>1</v>
      </c>
      <c r="Q1508" t="n">
        <v>1</v>
      </c>
      <c r="R1508" t="n">
        <v>1</v>
      </c>
      <c r="S1508" t="n">
        <v>1968</v>
      </c>
      <c r="T1508" t="s">
        <v>3696</v>
      </c>
      <c r="U1508" t="s">
        <v>3697</v>
      </c>
      <c r="V1508" t="s">
        <v>74</v>
      </c>
      <c r="W1508"/>
      <c r="X1508"/>
      <c r="Y1508"/>
      <c r="Z1508"/>
      <c r="AA1508"/>
      <c r="AB1508"/>
      <c r="AC1508"/>
      <c r="AD1508"/>
      <c r="AE1508"/>
      <c r="AF1508"/>
      <c r="AG1508"/>
    </row>
    <row r="1509">
      <c r="A1509" t="s">
        <v>3698</v>
      </c>
      <c r="B1509" t="s">
        <v>31</v>
      </c>
      <c r="C1509" t="s">
        <v>65</v>
      </c>
      <c r="D1509" t="s">
        <v>3699</v>
      </c>
      <c r="E1509" t="s">
        <v>3658</v>
      </c>
      <c r="F1509" t="s">
        <v>3659</v>
      </c>
      <c r="G1509" t="s">
        <v>3660</v>
      </c>
      <c r="H1509" t="n">
        <v>38.493048</v>
      </c>
      <c r="I1509" t="n">
        <v>-107.884775</v>
      </c>
      <c r="J1509" t="s">
        <v>35</v>
      </c>
      <c r="K1509" t="s">
        <v>1041</v>
      </c>
      <c r="L1509"/>
      <c r="M1509" t="n">
        <v>1992</v>
      </c>
      <c r="N1509" t="n">
        <v>1992</v>
      </c>
      <c r="O1509" t="s">
        <v>1016</v>
      </c>
      <c r="P1509" t="n">
        <v>1</v>
      </c>
      <c r="Q1509" t="n">
        <v>1</v>
      </c>
      <c r="R1509" t="n">
        <v>1</v>
      </c>
      <c r="S1509" t="n">
        <v>1986</v>
      </c>
      <c r="T1509" t="s">
        <v>3700</v>
      </c>
      <c r="U1509" t="s">
        <v>3701</v>
      </c>
      <c r="V1509" t="s">
        <v>74</v>
      </c>
      <c r="W1509"/>
      <c r="X1509"/>
      <c r="Y1509"/>
      <c r="Z1509"/>
      <c r="AA1509"/>
      <c r="AB1509"/>
      <c r="AC1509"/>
      <c r="AD1509"/>
      <c r="AE1509"/>
      <c r="AF1509" t="s">
        <v>3702</v>
      </c>
      <c r="AG1509" t="n">
        <v>94</v>
      </c>
    </row>
    <row r="1510">
      <c r="A1510" t="s">
        <v>3703</v>
      </c>
      <c r="B1510" t="s">
        <v>31</v>
      </c>
      <c r="C1510" t="s">
        <v>65</v>
      </c>
      <c r="D1510" t="s">
        <v>3704</v>
      </c>
      <c r="E1510" t="s">
        <v>3705</v>
      </c>
      <c r="F1510" t="s">
        <v>3706</v>
      </c>
      <c r="G1510" t="s">
        <v>3707</v>
      </c>
      <c r="H1510" t="n">
        <v>40.2531331959184</v>
      </c>
      <c r="I1510" t="n">
        <v>-103.623173338776</v>
      </c>
      <c r="J1510" t="s">
        <v>35</v>
      </c>
      <c r="K1510" t="s">
        <v>315</v>
      </c>
      <c r="L1510"/>
      <c r="M1510" t="n">
        <v>1966</v>
      </c>
      <c r="N1510" t="n">
        <v>1990</v>
      </c>
      <c r="O1510" t="s">
        <v>325</v>
      </c>
      <c r="P1510" t="n">
        <v>5</v>
      </c>
      <c r="Q1510" t="n">
        <v>2</v>
      </c>
      <c r="R1510" t="n">
        <v>1</v>
      </c>
      <c r="S1510" t="n">
        <v>1964</v>
      </c>
      <c r="T1510" t="s">
        <v>3708</v>
      </c>
      <c r="U1510" t="s">
        <v>3709</v>
      </c>
      <c r="V1510" t="s">
        <v>74</v>
      </c>
      <c r="W1510"/>
      <c r="X1510"/>
      <c r="Y1510"/>
      <c r="Z1510"/>
      <c r="AA1510"/>
      <c r="AB1510"/>
      <c r="AC1510"/>
      <c r="AD1510"/>
      <c r="AE1510"/>
      <c r="AF1510" t="s">
        <v>3710</v>
      </c>
      <c r="AG1510" t="n">
        <v>210</v>
      </c>
    </row>
    <row r="1511">
      <c r="A1511" t="s">
        <v>4906</v>
      </c>
      <c r="B1511" t="s">
        <v>31</v>
      </c>
      <c r="C1511" t="s">
        <v>24</v>
      </c>
      <c r="D1511" t="s">
        <v>4907</v>
      </c>
      <c r="E1511" t="s">
        <v>3722</v>
      </c>
      <c r="F1511" t="s">
        <v>3706</v>
      </c>
      <c r="G1511" t="s">
        <v>3723</v>
      </c>
      <c r="H1511" t="n">
        <v>40.2581264883721</v>
      </c>
      <c r="I1511" t="n">
        <v>-103.805537511628</v>
      </c>
      <c r="J1511" t="s">
        <v>4109</v>
      </c>
      <c r="K1511" t="s">
        <v>120</v>
      </c>
      <c r="L1511"/>
      <c r="M1511" t="n">
        <v>1968</v>
      </c>
      <c r="N1511" t="n">
        <v>1968</v>
      </c>
      <c r="O1511" t="s">
        <v>1349</v>
      </c>
      <c r="P1511" t="n">
        <v>1</v>
      </c>
      <c r="Q1511" t="n">
        <v>1</v>
      </c>
      <c r="R1511" t="n">
        <v>1</v>
      </c>
      <c r="S1511" t="n">
        <v>1954</v>
      </c>
      <c r="T1511" t="s">
        <v>4908</v>
      </c>
      <c r="U1511" t="s">
        <v>4909</v>
      </c>
      <c r="V1511" t="s">
        <v>74</v>
      </c>
      <c r="W1511"/>
      <c r="X1511"/>
      <c r="Y1511"/>
      <c r="Z1511"/>
      <c r="AA1511"/>
      <c r="AB1511"/>
      <c r="AC1511"/>
      <c r="AD1511"/>
      <c r="AE1511"/>
      <c r="AF1511"/>
      <c r="AG1511"/>
    </row>
    <row r="1512">
      <c r="A1512" t="s">
        <v>3711</v>
      </c>
      <c r="B1512" t="s">
        <v>31</v>
      </c>
      <c r="C1512" t="s">
        <v>65</v>
      </c>
      <c r="D1512" t="s">
        <v>3712</v>
      </c>
      <c r="E1512" t="s">
        <v>3705</v>
      </c>
      <c r="F1512" t="s">
        <v>3706</v>
      </c>
      <c r="G1512" t="s">
        <v>3707</v>
      </c>
      <c r="H1512" t="n">
        <v>40.271688154534</v>
      </c>
      <c r="I1512" t="n">
        <v>-103.628035660269</v>
      </c>
      <c r="J1512" t="s">
        <v>35</v>
      </c>
      <c r="K1512" t="s">
        <v>796</v>
      </c>
      <c r="L1512"/>
      <c r="M1512" t="n">
        <v>1977</v>
      </c>
      <c r="N1512" t="n">
        <v>1990</v>
      </c>
      <c r="O1512" t="s">
        <v>2446</v>
      </c>
      <c r="P1512" t="n">
        <v>4</v>
      </c>
      <c r="Q1512" t="n">
        <v>2</v>
      </c>
      <c r="R1512" t="n">
        <v>2</v>
      </c>
      <c r="S1512" t="n">
        <v>1957</v>
      </c>
      <c r="T1512" t="s">
        <v>3713</v>
      </c>
      <c r="U1512" t="s">
        <v>3714</v>
      </c>
      <c r="V1512" t="s">
        <v>74</v>
      </c>
      <c r="W1512"/>
      <c r="X1512"/>
      <c r="Y1512"/>
      <c r="Z1512"/>
      <c r="AA1512"/>
      <c r="AB1512"/>
      <c r="AC1512"/>
      <c r="AD1512"/>
      <c r="AE1512"/>
      <c r="AF1512" t="s">
        <v>3715</v>
      </c>
      <c r="AG1512" t="n">
        <v>130</v>
      </c>
    </row>
    <row r="1513">
      <c r="A1513" t="s">
        <v>3716</v>
      </c>
      <c r="B1513" t="s">
        <v>31</v>
      </c>
      <c r="C1513" t="s">
        <v>65</v>
      </c>
      <c r="D1513" t="s">
        <v>3717</v>
      </c>
      <c r="E1513" t="s">
        <v>3705</v>
      </c>
      <c r="F1513" t="s">
        <v>3706</v>
      </c>
      <c r="G1513" t="s">
        <v>3707</v>
      </c>
      <c r="H1513" t="n">
        <v>40.2550717986577</v>
      </c>
      <c r="I1513" t="n">
        <v>-103.631962214765</v>
      </c>
      <c r="J1513" t="s">
        <v>35</v>
      </c>
      <c r="K1513" t="s">
        <v>89</v>
      </c>
      <c r="L1513"/>
      <c r="M1513" t="n">
        <v>1980</v>
      </c>
      <c r="N1513" t="n">
        <v>1988</v>
      </c>
      <c r="O1513" t="s">
        <v>3312</v>
      </c>
      <c r="P1513" t="n">
        <v>2</v>
      </c>
      <c r="Q1513" t="n">
        <v>2</v>
      </c>
      <c r="R1513" t="n">
        <v>2</v>
      </c>
      <c r="S1513" t="n">
        <v>1973</v>
      </c>
      <c r="T1513" t="s">
        <v>3718</v>
      </c>
      <c r="U1513" t="s">
        <v>3719</v>
      </c>
      <c r="V1513" t="s">
        <v>74</v>
      </c>
      <c r="W1513"/>
      <c r="X1513"/>
      <c r="Y1513"/>
      <c r="Z1513"/>
      <c r="AA1513"/>
      <c r="AB1513"/>
      <c r="AC1513"/>
      <c r="AD1513"/>
      <c r="AE1513"/>
      <c r="AF1513"/>
      <c r="AG1513"/>
    </row>
    <row r="1514">
      <c r="A1514" t="s">
        <v>3720</v>
      </c>
      <c r="B1514" t="s">
        <v>31</v>
      </c>
      <c r="C1514" t="s">
        <v>65</v>
      </c>
      <c r="D1514" t="s">
        <v>3721</v>
      </c>
      <c r="E1514" t="s">
        <v>3722</v>
      </c>
      <c r="F1514" t="s">
        <v>3706</v>
      </c>
      <c r="G1514" t="s">
        <v>3723</v>
      </c>
      <c r="H1514" t="n">
        <v>40.2466747686905</v>
      </c>
      <c r="I1514" t="n">
        <v>-103.800493063889</v>
      </c>
      <c r="J1514" t="s">
        <v>35</v>
      </c>
      <c r="K1514" t="s">
        <v>70</v>
      </c>
      <c r="L1514"/>
      <c r="M1514" t="n">
        <v>1990</v>
      </c>
      <c r="N1514" t="n">
        <v>1990</v>
      </c>
      <c r="O1514" t="s">
        <v>351</v>
      </c>
      <c r="P1514" t="n">
        <v>1</v>
      </c>
      <c r="Q1514" t="n">
        <v>1</v>
      </c>
      <c r="R1514" t="n">
        <v>1</v>
      </c>
      <c r="S1514" t="n">
        <v>1978</v>
      </c>
      <c r="T1514" t="s">
        <v>3724</v>
      </c>
      <c r="U1514" t="s">
        <v>3725</v>
      </c>
      <c r="V1514" t="s">
        <v>74</v>
      </c>
      <c r="W1514"/>
      <c r="X1514"/>
      <c r="Y1514"/>
      <c r="Z1514"/>
      <c r="AA1514"/>
      <c r="AB1514"/>
      <c r="AC1514"/>
      <c r="AD1514"/>
      <c r="AE1514"/>
      <c r="AF1514" t="s">
        <v>3726</v>
      </c>
      <c r="AG1514" t="n">
        <v>99</v>
      </c>
    </row>
    <row r="1515">
      <c r="A1515" t="s">
        <v>3727</v>
      </c>
      <c r="B1515" t="s">
        <v>31</v>
      </c>
      <c r="C1515" t="s">
        <v>65</v>
      </c>
      <c r="D1515" t="s">
        <v>3728</v>
      </c>
      <c r="E1515" t="s">
        <v>3729</v>
      </c>
      <c r="F1515" t="s">
        <v>3730</v>
      </c>
      <c r="G1515" t="s">
        <v>3731</v>
      </c>
      <c r="H1515" t="n">
        <v>38.1316393819242</v>
      </c>
      <c r="I1515" t="n">
        <v>-104.022028620991</v>
      </c>
      <c r="J1515" t="s">
        <v>35</v>
      </c>
      <c r="K1515" t="s">
        <v>126</v>
      </c>
      <c r="L1515"/>
      <c r="M1515" t="n">
        <v>1966</v>
      </c>
      <c r="N1515" t="n">
        <v>1990</v>
      </c>
      <c r="O1515" t="s">
        <v>293</v>
      </c>
      <c r="P1515" t="n">
        <v>7</v>
      </c>
      <c r="Q1515" t="n">
        <v>3</v>
      </c>
      <c r="R1515" t="n">
        <v>1</v>
      </c>
      <c r="S1515" t="n">
        <v>1914</v>
      </c>
      <c r="T1515" t="s">
        <v>3732</v>
      </c>
      <c r="U1515" t="s">
        <v>3733</v>
      </c>
      <c r="V1515" t="s">
        <v>74</v>
      </c>
      <c r="W1515"/>
      <c r="X1515"/>
      <c r="Y1515"/>
      <c r="Z1515"/>
      <c r="AA1515"/>
      <c r="AB1515"/>
      <c r="AC1515"/>
      <c r="AD1515"/>
      <c r="AE1515"/>
      <c r="AF1515"/>
      <c r="AG1515"/>
    </row>
    <row r="1516">
      <c r="A1516" t="s">
        <v>4910</v>
      </c>
      <c r="B1516" t="s">
        <v>31</v>
      </c>
      <c r="C1516" t="s">
        <v>24</v>
      </c>
      <c r="D1516" t="s">
        <v>4911</v>
      </c>
      <c r="E1516" t="s">
        <v>4912</v>
      </c>
      <c r="F1516" t="s">
        <v>3730</v>
      </c>
      <c r="G1516" t="s">
        <v>4913</v>
      </c>
      <c r="H1516" t="n">
        <v>38.0492</v>
      </c>
      <c r="I1516" t="n">
        <v>-103.71043</v>
      </c>
      <c r="J1516" t="s">
        <v>4109</v>
      </c>
      <c r="K1516" t="s">
        <v>120</v>
      </c>
      <c r="L1516"/>
      <c r="M1516" t="n">
        <v>1977</v>
      </c>
      <c r="N1516" t="n">
        <v>1983</v>
      </c>
      <c r="O1516" t="s">
        <v>3217</v>
      </c>
      <c r="P1516" t="n">
        <v>2</v>
      </c>
      <c r="Q1516" t="n">
        <v>2</v>
      </c>
      <c r="R1516" t="n">
        <v>2</v>
      </c>
      <c r="S1516" t="n">
        <v>1939</v>
      </c>
      <c r="T1516" t="s">
        <v>4914</v>
      </c>
      <c r="U1516" t="s">
        <v>4915</v>
      </c>
      <c r="V1516" t="s">
        <v>74</v>
      </c>
      <c r="W1516"/>
      <c r="X1516"/>
      <c r="Y1516"/>
      <c r="Z1516"/>
      <c r="AA1516"/>
      <c r="AB1516"/>
      <c r="AC1516"/>
      <c r="AD1516"/>
      <c r="AE1516"/>
      <c r="AF1516"/>
      <c r="AG1516"/>
    </row>
    <row r="1517">
      <c r="A1517" t="s">
        <v>3734</v>
      </c>
      <c r="B1517" t="s">
        <v>31</v>
      </c>
      <c r="C1517" t="s">
        <v>65</v>
      </c>
      <c r="D1517" t="s">
        <v>3735</v>
      </c>
      <c r="E1517" t="s">
        <v>3736</v>
      </c>
      <c r="F1517" t="s">
        <v>3730</v>
      </c>
      <c r="G1517" t="s">
        <v>3737</v>
      </c>
      <c r="H1517" t="n">
        <v>37.9745521973856</v>
      </c>
      <c r="I1517" t="n">
        <v>-103.532547657427</v>
      </c>
      <c r="J1517" t="s">
        <v>35</v>
      </c>
      <c r="K1517" t="s">
        <v>70</v>
      </c>
      <c r="L1517"/>
      <c r="M1517" t="n">
        <v>1983</v>
      </c>
      <c r="N1517" t="n">
        <v>1983</v>
      </c>
      <c r="O1517" t="s">
        <v>264</v>
      </c>
      <c r="P1517" t="n">
        <v>1</v>
      </c>
      <c r="Q1517" t="n">
        <v>1</v>
      </c>
      <c r="R1517" t="n">
        <v>1</v>
      </c>
      <c r="S1517" t="n">
        <v>1974</v>
      </c>
      <c r="T1517" t="s">
        <v>3738</v>
      </c>
      <c r="U1517" t="s">
        <v>3739</v>
      </c>
      <c r="V1517" t="s">
        <v>74</v>
      </c>
      <c r="W1517"/>
      <c r="X1517"/>
      <c r="Y1517"/>
      <c r="Z1517"/>
      <c r="AA1517"/>
      <c r="AB1517" t="s">
        <v>3740</v>
      </c>
      <c r="AC1517" t="n">
        <v>210</v>
      </c>
      <c r="AD1517"/>
      <c r="AE1517"/>
      <c r="AF1517"/>
      <c r="AG1517"/>
    </row>
    <row r="1518">
      <c r="A1518" t="s">
        <v>4916</v>
      </c>
      <c r="B1518" t="s">
        <v>31</v>
      </c>
      <c r="C1518" t="s">
        <v>24</v>
      </c>
      <c r="D1518" t="s">
        <v>4917</v>
      </c>
      <c r="E1518" t="s">
        <v>3736</v>
      </c>
      <c r="F1518" t="s">
        <v>3730</v>
      </c>
      <c r="G1518" t="s">
        <v>3737</v>
      </c>
      <c r="H1518" t="n">
        <v>38.0374970218425</v>
      </c>
      <c r="I1518" t="n">
        <v>-103.519989533131</v>
      </c>
      <c r="J1518" t="s">
        <v>4109</v>
      </c>
      <c r="K1518" t="s">
        <v>70</v>
      </c>
      <c r="L1518"/>
      <c r="M1518" t="n">
        <v>1988</v>
      </c>
      <c r="N1518" t="n">
        <v>1990</v>
      </c>
      <c r="O1518" t="s">
        <v>310</v>
      </c>
      <c r="P1518" t="n">
        <v>2</v>
      </c>
      <c r="Q1518" t="n">
        <v>3</v>
      </c>
      <c r="R1518" t="n">
        <v>2</v>
      </c>
      <c r="S1518" t="n">
        <v>1980</v>
      </c>
      <c r="T1518" t="s">
        <v>4918</v>
      </c>
      <c r="U1518" t="s">
        <v>4919</v>
      </c>
      <c r="V1518" t="s">
        <v>74</v>
      </c>
      <c r="W1518"/>
      <c r="X1518"/>
      <c r="Y1518"/>
      <c r="Z1518"/>
      <c r="AA1518"/>
      <c r="AB1518"/>
      <c r="AC1518"/>
      <c r="AD1518"/>
      <c r="AE1518"/>
      <c r="AF1518"/>
      <c r="AG1518"/>
    </row>
    <row r="1519">
      <c r="A1519" t="s">
        <v>3741</v>
      </c>
      <c r="B1519" t="s">
        <v>31</v>
      </c>
      <c r="C1519" t="s">
        <v>65</v>
      </c>
      <c r="D1519" t="s">
        <v>3742</v>
      </c>
      <c r="E1519" t="s">
        <v>3736</v>
      </c>
      <c r="F1519" t="s">
        <v>3730</v>
      </c>
      <c r="G1519" t="s">
        <v>3737</v>
      </c>
      <c r="H1519" t="n">
        <v>37.9847775714286</v>
      </c>
      <c r="I1519" t="n">
        <v>-103.545727428571</v>
      </c>
      <c r="J1519" t="s">
        <v>35</v>
      </c>
      <c r="K1519" t="s">
        <v>141</v>
      </c>
      <c r="L1519"/>
      <c r="M1519" t="n">
        <v>1990</v>
      </c>
      <c r="N1519" t="n">
        <v>1990</v>
      </c>
      <c r="O1519" t="s">
        <v>351</v>
      </c>
      <c r="P1519" t="n">
        <v>1</v>
      </c>
      <c r="Q1519" t="n">
        <v>1</v>
      </c>
      <c r="R1519" t="n">
        <v>1</v>
      </c>
      <c r="S1519" t="n">
        <v>1956</v>
      </c>
      <c r="T1519" t="s">
        <v>3743</v>
      </c>
      <c r="U1519" t="s">
        <v>3744</v>
      </c>
      <c r="V1519" t="s">
        <v>74</v>
      </c>
      <c r="W1519"/>
      <c r="X1519"/>
      <c r="Y1519"/>
      <c r="Z1519"/>
      <c r="AA1519"/>
      <c r="AB1519"/>
      <c r="AC1519"/>
      <c r="AD1519"/>
      <c r="AE1519"/>
      <c r="AF1519" t="s">
        <v>3745</v>
      </c>
      <c r="AG1519" t="n">
        <v>129</v>
      </c>
    </row>
    <row r="1520">
      <c r="A1520" t="s">
        <v>3746</v>
      </c>
      <c r="B1520" t="s">
        <v>31</v>
      </c>
      <c r="C1520" t="s">
        <v>65</v>
      </c>
      <c r="D1520" t="s">
        <v>3747</v>
      </c>
      <c r="E1520" t="s">
        <v>3748</v>
      </c>
      <c r="F1520" t="s">
        <v>3749</v>
      </c>
      <c r="G1520" t="s">
        <v>3750</v>
      </c>
      <c r="H1520" t="n">
        <v>39.5033682347018</v>
      </c>
      <c r="I1520" t="n">
        <v>-105.534224312841</v>
      </c>
      <c r="J1520" t="s">
        <v>35</v>
      </c>
      <c r="K1520" t="s">
        <v>1282</v>
      </c>
      <c r="L1520"/>
      <c r="M1520" t="n">
        <v>1983</v>
      </c>
      <c r="N1520" t="n">
        <v>1983</v>
      </c>
      <c r="O1520" t="s">
        <v>264</v>
      </c>
      <c r="P1520" t="n">
        <v>1</v>
      </c>
      <c r="Q1520" t="n">
        <v>1</v>
      </c>
      <c r="R1520" t="n">
        <v>1</v>
      </c>
      <c r="S1520" t="n">
        <v>1983</v>
      </c>
      <c r="T1520" t="s">
        <v>3751</v>
      </c>
      <c r="U1520" t="s">
        <v>3752</v>
      </c>
      <c r="V1520" t="s">
        <v>74</v>
      </c>
      <c r="W1520"/>
      <c r="X1520"/>
      <c r="Y1520"/>
      <c r="Z1520"/>
      <c r="AA1520"/>
      <c r="AB1520"/>
      <c r="AC1520"/>
      <c r="AD1520"/>
      <c r="AE1520"/>
      <c r="AF1520"/>
      <c r="AG1520"/>
    </row>
    <row r="1521">
      <c r="A1521" t="s">
        <v>3753</v>
      </c>
      <c r="B1521" t="s">
        <v>31</v>
      </c>
      <c r="C1521" t="s">
        <v>65</v>
      </c>
      <c r="D1521" t="s">
        <v>3754</v>
      </c>
      <c r="E1521" t="s">
        <v>3755</v>
      </c>
      <c r="F1521" t="s">
        <v>3749</v>
      </c>
      <c r="G1521" t="s">
        <v>3756</v>
      </c>
      <c r="H1521" t="n">
        <v>39.4187205511798</v>
      </c>
      <c r="I1521" t="n">
        <v>-105.545817768397</v>
      </c>
      <c r="J1521" t="s">
        <v>35</v>
      </c>
      <c r="K1521" t="s">
        <v>70</v>
      </c>
      <c r="L1521"/>
      <c r="M1521" t="n">
        <v>1983</v>
      </c>
      <c r="N1521" t="n">
        <v>1990</v>
      </c>
      <c r="O1521" t="s">
        <v>310</v>
      </c>
      <c r="P1521" t="n">
        <v>3</v>
      </c>
      <c r="Q1521" t="n">
        <v>3</v>
      </c>
      <c r="R1521" t="n">
        <v>2</v>
      </c>
      <c r="S1521" t="n">
        <v>1978</v>
      </c>
      <c r="T1521" t="s">
        <v>3757</v>
      </c>
      <c r="U1521" t="s">
        <v>3758</v>
      </c>
      <c r="V1521" t="s">
        <v>74</v>
      </c>
      <c r="W1521"/>
      <c r="X1521"/>
      <c r="Y1521"/>
      <c r="Z1521"/>
      <c r="AA1521"/>
      <c r="AB1521"/>
      <c r="AC1521"/>
      <c r="AD1521"/>
      <c r="AE1521"/>
      <c r="AF1521"/>
      <c r="AG1521"/>
    </row>
    <row r="1522">
      <c r="A1522" t="s">
        <v>3759</v>
      </c>
      <c r="B1522" t="s">
        <v>31</v>
      </c>
      <c r="C1522" t="s">
        <v>65</v>
      </c>
      <c r="D1522" t="s">
        <v>3760</v>
      </c>
      <c r="E1522" t="s">
        <v>3748</v>
      </c>
      <c r="F1522" t="s">
        <v>3749</v>
      </c>
      <c r="G1522" t="s">
        <v>3750</v>
      </c>
      <c r="H1522" t="n">
        <v>39.4500285204705</v>
      </c>
      <c r="I1522" t="n">
        <v>-105.487316823389</v>
      </c>
      <c r="J1522" t="s">
        <v>35</v>
      </c>
      <c r="K1522" t="s">
        <v>796</v>
      </c>
      <c r="L1522"/>
      <c r="M1522" t="n">
        <v>1990</v>
      </c>
      <c r="N1522" t="n">
        <v>1992</v>
      </c>
      <c r="O1522" t="s">
        <v>357</v>
      </c>
      <c r="P1522" t="n">
        <v>2</v>
      </c>
      <c r="Q1522" t="n">
        <v>2</v>
      </c>
      <c r="R1522" t="n">
        <v>2</v>
      </c>
      <c r="S1522" t="n">
        <v>1976</v>
      </c>
      <c r="T1522" t="s">
        <v>3761</v>
      </c>
      <c r="U1522" t="s">
        <v>3762</v>
      </c>
      <c r="V1522" t="s">
        <v>74</v>
      </c>
      <c r="W1522"/>
      <c r="X1522"/>
      <c r="Y1522"/>
      <c r="Z1522"/>
      <c r="AA1522"/>
      <c r="AB1522"/>
      <c r="AC1522"/>
      <c r="AD1522"/>
      <c r="AE1522"/>
      <c r="AF1522"/>
      <c r="AG1522"/>
    </row>
    <row r="1523">
      <c r="A1523" t="s">
        <v>3763</v>
      </c>
      <c r="B1523" t="s">
        <v>31</v>
      </c>
      <c r="C1523" t="s">
        <v>65</v>
      </c>
      <c r="D1523" t="s">
        <v>3764</v>
      </c>
      <c r="E1523" t="s">
        <v>3765</v>
      </c>
      <c r="F1523" t="s">
        <v>3766</v>
      </c>
      <c r="G1523" t="s">
        <v>3767</v>
      </c>
      <c r="H1523" t="n">
        <v>40.6412692113703</v>
      </c>
      <c r="I1523" t="n">
        <v>-102.628582783528</v>
      </c>
      <c r="J1523" t="s">
        <v>35</v>
      </c>
      <c r="K1523" t="s">
        <v>120</v>
      </c>
      <c r="L1523"/>
      <c r="M1523" t="n">
        <v>1966</v>
      </c>
      <c r="N1523" t="n">
        <v>1990</v>
      </c>
      <c r="O1523" t="s">
        <v>1587</v>
      </c>
      <c r="P1523" t="n">
        <v>7</v>
      </c>
      <c r="Q1523" t="n">
        <v>4</v>
      </c>
      <c r="R1523" t="n">
        <v>1</v>
      </c>
      <c r="S1523" t="n">
        <v>1919</v>
      </c>
      <c r="T1523" t="s">
        <v>3768</v>
      </c>
      <c r="U1523" t="s">
        <v>3769</v>
      </c>
      <c r="V1523" t="s">
        <v>74</v>
      </c>
      <c r="W1523"/>
      <c r="X1523"/>
      <c r="Y1523"/>
      <c r="Z1523"/>
      <c r="AA1523"/>
      <c r="AB1523"/>
      <c r="AC1523"/>
      <c r="AD1523"/>
      <c r="AE1523"/>
      <c r="AF1523" t="s">
        <v>3770</v>
      </c>
      <c r="AG1523" t="n">
        <v>182</v>
      </c>
    </row>
    <row r="1524">
      <c r="A1524" t="s">
        <v>3771</v>
      </c>
      <c r="B1524" t="s">
        <v>31</v>
      </c>
      <c r="C1524" t="s">
        <v>65</v>
      </c>
      <c r="D1524" t="s">
        <v>3772</v>
      </c>
      <c r="E1524" t="s">
        <v>3773</v>
      </c>
      <c r="F1524" t="s">
        <v>3774</v>
      </c>
      <c r="G1524" t="s">
        <v>3775</v>
      </c>
      <c r="H1524" t="n">
        <v>39.1969836659429</v>
      </c>
      <c r="I1524" t="n">
        <v>-106.825413507844</v>
      </c>
      <c r="J1524" t="s">
        <v>35</v>
      </c>
      <c r="K1524" t="s">
        <v>70</v>
      </c>
      <c r="L1524"/>
      <c r="M1524" t="n">
        <v>1967</v>
      </c>
      <c r="N1524" t="n">
        <v>1973</v>
      </c>
      <c r="O1524" t="s">
        <v>3776</v>
      </c>
      <c r="P1524" t="n">
        <v>4</v>
      </c>
      <c r="Q1524" t="n">
        <v>1</v>
      </c>
      <c r="R1524" t="n">
        <v>1</v>
      </c>
      <c r="S1524" t="n">
        <v>1946</v>
      </c>
      <c r="T1524" t="s">
        <v>3777</v>
      </c>
      <c r="U1524" t="s">
        <v>3778</v>
      </c>
      <c r="V1524" t="s">
        <v>74</v>
      </c>
      <c r="W1524"/>
      <c r="X1524"/>
      <c r="Y1524"/>
      <c r="Z1524"/>
      <c r="AA1524"/>
      <c r="AB1524"/>
      <c r="AC1524"/>
      <c r="AD1524"/>
      <c r="AE1524"/>
      <c r="AF1524"/>
      <c r="AG1524"/>
    </row>
    <row r="1525">
      <c r="A1525" t="s">
        <v>3779</v>
      </c>
      <c r="B1525" t="s">
        <v>31</v>
      </c>
      <c r="C1525" t="s">
        <v>65</v>
      </c>
      <c r="D1525" t="s">
        <v>3780</v>
      </c>
      <c r="E1525" t="s">
        <v>2729</v>
      </c>
      <c r="F1525" t="s">
        <v>3781</v>
      </c>
      <c r="G1525"/>
      <c r="H1525" t="n">
        <v>39.796268</v>
      </c>
      <c r="I1525" t="n">
        <v>-105.059176</v>
      </c>
      <c r="J1525" t="s">
        <v>35</v>
      </c>
      <c r="K1525" t="s">
        <v>141</v>
      </c>
      <c r="L1525"/>
      <c r="M1525" t="n">
        <v>1965</v>
      </c>
      <c r="N1525" t="n">
        <v>1990</v>
      </c>
      <c r="O1525" t="s">
        <v>1349</v>
      </c>
      <c r="P1525" t="n">
        <v>7</v>
      </c>
      <c r="Q1525" t="n">
        <v>1</v>
      </c>
      <c r="R1525" t="n">
        <v>1</v>
      </c>
      <c r="S1525" t="n">
        <v>1951</v>
      </c>
      <c r="T1525" t="s">
        <v>3782</v>
      </c>
      <c r="U1525" t="s">
        <v>3783</v>
      </c>
      <c r="V1525" t="s">
        <v>74</v>
      </c>
      <c r="W1525"/>
      <c r="X1525"/>
      <c r="Y1525"/>
      <c r="Z1525"/>
      <c r="AA1525"/>
      <c r="AB1525" t="s">
        <v>3784</v>
      </c>
      <c r="AC1525" t="n">
        <v>126</v>
      </c>
      <c r="AD1525" t="s">
        <v>3785</v>
      </c>
      <c r="AE1525" t="n">
        <v>225</v>
      </c>
      <c r="AF1525" t="s">
        <v>3786</v>
      </c>
      <c r="AG1525" t="n">
        <v>97</v>
      </c>
    </row>
    <row r="1526">
      <c r="A1526" t="s">
        <v>3787</v>
      </c>
      <c r="B1526" t="s">
        <v>31</v>
      </c>
      <c r="C1526" t="s">
        <v>65</v>
      </c>
      <c r="D1526" t="s">
        <v>3788</v>
      </c>
      <c r="E1526" t="s">
        <v>3789</v>
      </c>
      <c r="F1526" t="s">
        <v>3790</v>
      </c>
      <c r="G1526"/>
      <c r="H1526" t="n">
        <v>38.0944735714286</v>
      </c>
      <c r="I1526" t="n">
        <v>-102.619606535714</v>
      </c>
      <c r="J1526" t="s">
        <v>35</v>
      </c>
      <c r="K1526" t="s">
        <v>120</v>
      </c>
      <c r="L1526"/>
      <c r="M1526" t="n">
        <v>1965</v>
      </c>
      <c r="N1526" t="n">
        <v>1988</v>
      </c>
      <c r="O1526" t="s">
        <v>755</v>
      </c>
      <c r="P1526" t="n">
        <v>9</v>
      </c>
      <c r="Q1526" t="n">
        <v>5</v>
      </c>
      <c r="R1526" t="n">
        <v>2</v>
      </c>
      <c r="S1526" t="n">
        <v>1919</v>
      </c>
      <c r="T1526" t="s">
        <v>3791</v>
      </c>
      <c r="U1526" t="s">
        <v>3792</v>
      </c>
      <c r="V1526" t="s">
        <v>74</v>
      </c>
      <c r="W1526"/>
      <c r="X1526"/>
      <c r="Y1526"/>
      <c r="Z1526"/>
      <c r="AA1526"/>
      <c r="AB1526" t="s">
        <v>3793</v>
      </c>
      <c r="AC1526" t="n">
        <v>217</v>
      </c>
      <c r="AD1526"/>
      <c r="AE1526"/>
      <c r="AF1526" t="s">
        <v>3794</v>
      </c>
      <c r="AG1526" t="n">
        <v>128</v>
      </c>
    </row>
    <row r="1527">
      <c r="A1527" t="s">
        <v>5065</v>
      </c>
      <c r="B1527" t="s">
        <v>31</v>
      </c>
      <c r="C1527" t="s">
        <v>25</v>
      </c>
      <c r="D1527" t="s">
        <v>5066</v>
      </c>
      <c r="E1527" t="s">
        <v>3789</v>
      </c>
      <c r="F1527" t="s">
        <v>3790</v>
      </c>
      <c r="G1527" t="s">
        <v>3797</v>
      </c>
      <c r="H1527" t="n">
        <v>38.0952963367347</v>
      </c>
      <c r="I1527" t="n">
        <v>-102.621135602041</v>
      </c>
      <c r="J1527" t="s">
        <v>4109</v>
      </c>
      <c r="K1527" t="s">
        <v>315</v>
      </c>
      <c r="L1527"/>
      <c r="M1527" t="n">
        <v>1966</v>
      </c>
      <c r="N1527" t="n">
        <v>1977</v>
      </c>
      <c r="O1527" t="s">
        <v>4172</v>
      </c>
      <c r="P1527" t="n">
        <v>2</v>
      </c>
      <c r="Q1527" t="n">
        <v>1</v>
      </c>
      <c r="R1527" t="n">
        <v>1</v>
      </c>
      <c r="S1527" t="n">
        <v>1948</v>
      </c>
      <c r="T1527" t="s">
        <v>5067</v>
      </c>
      <c r="U1527" t="s">
        <v>5068</v>
      </c>
      <c r="V1527" t="s">
        <v>4175</v>
      </c>
      <c r="W1527"/>
      <c r="X1527"/>
      <c r="Y1527"/>
      <c r="Z1527"/>
      <c r="AA1527"/>
      <c r="AB1527"/>
      <c r="AC1527"/>
      <c r="AD1527"/>
      <c r="AE1527"/>
      <c r="AF1527"/>
      <c r="AG1527"/>
    </row>
    <row r="1528">
      <c r="A1528" t="s">
        <v>3795</v>
      </c>
      <c r="B1528" t="s">
        <v>31</v>
      </c>
      <c r="C1528" t="s">
        <v>65</v>
      </c>
      <c r="D1528" t="s">
        <v>3796</v>
      </c>
      <c r="E1528" t="s">
        <v>3789</v>
      </c>
      <c r="F1528" t="s">
        <v>3790</v>
      </c>
      <c r="G1528" t="s">
        <v>3797</v>
      </c>
      <c r="H1528" t="n">
        <v>38.088607057279</v>
      </c>
      <c r="I1528" t="n">
        <v>-102.629853087999</v>
      </c>
      <c r="J1528" t="s">
        <v>35</v>
      </c>
      <c r="K1528" t="s">
        <v>70</v>
      </c>
      <c r="L1528"/>
      <c r="M1528" t="n">
        <v>1967</v>
      </c>
      <c r="N1528" t="n">
        <v>1967</v>
      </c>
      <c r="O1528" t="s">
        <v>388</v>
      </c>
      <c r="P1528" t="n">
        <v>1</v>
      </c>
      <c r="Q1528" t="n">
        <v>1</v>
      </c>
      <c r="R1528" t="n">
        <v>1</v>
      </c>
      <c r="S1528" t="n">
        <v>1941</v>
      </c>
      <c r="T1528" t="s">
        <v>3798</v>
      </c>
      <c r="U1528" t="s">
        <v>3799</v>
      </c>
      <c r="V1528" t="s">
        <v>74</v>
      </c>
      <c r="W1528"/>
      <c r="X1528"/>
      <c r="Y1528"/>
      <c r="Z1528"/>
      <c r="AA1528"/>
      <c r="AB1528"/>
      <c r="AC1528"/>
      <c r="AD1528"/>
      <c r="AE1528"/>
      <c r="AF1528" t="s">
        <v>3800</v>
      </c>
      <c r="AG1528" t="n">
        <v>139</v>
      </c>
    </row>
    <row r="1529">
      <c r="A1529" t="s">
        <v>4920</v>
      </c>
      <c r="B1529" t="s">
        <v>31</v>
      </c>
      <c r="C1529" t="s">
        <v>24</v>
      </c>
      <c r="D1529" t="s">
        <v>4921</v>
      </c>
      <c r="E1529" t="s">
        <v>3789</v>
      </c>
      <c r="F1529" t="s">
        <v>3790</v>
      </c>
      <c r="G1529" t="s">
        <v>3797</v>
      </c>
      <c r="H1529" t="n">
        <v>38.0793662222222</v>
      </c>
      <c r="I1529" t="n">
        <v>-102.617132</v>
      </c>
      <c r="J1529" t="s">
        <v>35</v>
      </c>
      <c r="K1529" t="s">
        <v>120</v>
      </c>
      <c r="L1529"/>
      <c r="M1529" t="n">
        <v>1983</v>
      </c>
      <c r="N1529" t="n">
        <v>1992</v>
      </c>
      <c r="O1529" t="s">
        <v>264</v>
      </c>
      <c r="P1529" t="n">
        <v>4</v>
      </c>
      <c r="Q1529" t="n">
        <v>1</v>
      </c>
      <c r="R1529" t="n">
        <v>1</v>
      </c>
      <c r="S1529" t="n">
        <v>1964</v>
      </c>
      <c r="T1529" t="s">
        <v>4922</v>
      </c>
      <c r="U1529" t="s">
        <v>4923</v>
      </c>
      <c r="V1529" t="s">
        <v>4175</v>
      </c>
      <c r="W1529"/>
      <c r="X1529"/>
      <c r="Y1529"/>
      <c r="Z1529"/>
      <c r="AA1529"/>
      <c r="AB1529" t="s">
        <v>4924</v>
      </c>
      <c r="AC1529" t="n">
        <v>149</v>
      </c>
      <c r="AD1529"/>
      <c r="AE1529"/>
      <c r="AF1529"/>
      <c r="AG1529"/>
    </row>
    <row r="1530">
      <c r="A1530" t="s">
        <v>3801</v>
      </c>
      <c r="B1530" t="s">
        <v>31</v>
      </c>
      <c r="C1530" t="s">
        <v>65</v>
      </c>
      <c r="D1530" t="s">
        <v>3802</v>
      </c>
      <c r="E1530" t="s">
        <v>3803</v>
      </c>
      <c r="F1530" t="s">
        <v>3804</v>
      </c>
      <c r="G1530" t="s">
        <v>3805</v>
      </c>
      <c r="H1530" t="n">
        <v>38.273347744898</v>
      </c>
      <c r="I1530" t="n">
        <v>-104.614727622449</v>
      </c>
      <c r="J1530" t="s">
        <v>35</v>
      </c>
      <c r="K1530" t="s">
        <v>70</v>
      </c>
      <c r="L1530"/>
      <c r="M1530" t="n">
        <v>1965</v>
      </c>
      <c r="N1530" t="n">
        <v>1990</v>
      </c>
      <c r="O1530" t="s">
        <v>3806</v>
      </c>
      <c r="P1530" t="n">
        <v>6</v>
      </c>
      <c r="Q1530" t="n">
        <v>4</v>
      </c>
      <c r="R1530" t="n">
        <v>3</v>
      </c>
      <c r="S1530" t="n">
        <v>1932</v>
      </c>
      <c r="T1530" t="s">
        <v>3807</v>
      </c>
      <c r="U1530" t="s">
        <v>3808</v>
      </c>
      <c r="V1530" t="s">
        <v>74</v>
      </c>
      <c r="W1530"/>
      <c r="X1530"/>
      <c r="Y1530"/>
      <c r="Z1530"/>
      <c r="AA1530"/>
      <c r="AB1530" t="s">
        <v>3809</v>
      </c>
      <c r="AC1530" t="n">
        <v>112</v>
      </c>
      <c r="AD1530"/>
      <c r="AE1530"/>
      <c r="AF1530" t="s">
        <v>3810</v>
      </c>
      <c r="AG1530" t="n">
        <v>105</v>
      </c>
    </row>
    <row r="1531">
      <c r="A1531" t="s">
        <v>3811</v>
      </c>
      <c r="B1531" t="s">
        <v>31</v>
      </c>
      <c r="C1531" t="s">
        <v>65</v>
      </c>
      <c r="D1531" t="s">
        <v>3812</v>
      </c>
      <c r="E1531" t="s">
        <v>3803</v>
      </c>
      <c r="F1531" t="s">
        <v>3804</v>
      </c>
      <c r="G1531"/>
      <c r="H1531" t="n">
        <v>38.2561904081633</v>
      </c>
      <c r="I1531" t="n">
        <v>-104.618342653061</v>
      </c>
      <c r="J1531" t="s">
        <v>35</v>
      </c>
      <c r="K1531" t="s">
        <v>2274</v>
      </c>
      <c r="L1531" t="s">
        <v>2476</v>
      </c>
      <c r="M1531" t="n">
        <v>1965</v>
      </c>
      <c r="N1531" t="n">
        <v>1990</v>
      </c>
      <c r="O1531" t="s">
        <v>3813</v>
      </c>
      <c r="P1531" t="n">
        <v>8</v>
      </c>
      <c r="Q1531" t="n">
        <v>5</v>
      </c>
      <c r="R1531" t="n">
        <v>5</v>
      </c>
      <c r="S1531" t="n">
        <v>1956</v>
      </c>
      <c r="T1531" t="s">
        <v>3814</v>
      </c>
      <c r="U1531" t="s">
        <v>3815</v>
      </c>
      <c r="V1531" t="s">
        <v>74</v>
      </c>
      <c r="W1531"/>
      <c r="X1531"/>
      <c r="Y1531"/>
      <c r="Z1531"/>
      <c r="AA1531"/>
      <c r="AB1531" t="s">
        <v>3816</v>
      </c>
      <c r="AC1531" t="n">
        <v>183</v>
      </c>
      <c r="AD1531"/>
      <c r="AE1531"/>
      <c r="AF1531"/>
      <c r="AG1531"/>
    </row>
    <row r="1532">
      <c r="A1532" t="s">
        <v>3817</v>
      </c>
      <c r="B1532" t="s">
        <v>31</v>
      </c>
      <c r="C1532" t="s">
        <v>65</v>
      </c>
      <c r="D1532" t="s">
        <v>3818</v>
      </c>
      <c r="E1532" t="s">
        <v>3803</v>
      </c>
      <c r="F1532" t="s">
        <v>3804</v>
      </c>
      <c r="G1532"/>
      <c r="H1532" t="n">
        <v>38.2788974285714</v>
      </c>
      <c r="I1532" t="n">
        <v>-104.616478428571</v>
      </c>
      <c r="J1532" t="s">
        <v>35</v>
      </c>
      <c r="K1532" t="s">
        <v>70</v>
      </c>
      <c r="L1532"/>
      <c r="M1532" t="n">
        <v>1965</v>
      </c>
      <c r="N1532" t="n">
        <v>1970</v>
      </c>
      <c r="O1532" t="s">
        <v>3819</v>
      </c>
      <c r="P1532" t="n">
        <v>4</v>
      </c>
      <c r="Q1532" t="n">
        <v>2</v>
      </c>
      <c r="R1532" t="n">
        <v>2</v>
      </c>
      <c r="S1532" t="n">
        <v>1952</v>
      </c>
      <c r="T1532" t="s">
        <v>3820</v>
      </c>
      <c r="U1532" t="s">
        <v>3821</v>
      </c>
      <c r="V1532" t="s">
        <v>74</v>
      </c>
      <c r="W1532"/>
      <c r="X1532"/>
      <c r="Y1532"/>
      <c r="Z1532"/>
      <c r="AA1532"/>
      <c r="AB1532"/>
      <c r="AC1532"/>
      <c r="AD1532"/>
      <c r="AE1532"/>
      <c r="AF1532" t="s">
        <v>3822</v>
      </c>
      <c r="AG1532" t="n">
        <v>222</v>
      </c>
    </row>
    <row r="1533">
      <c r="A1533" t="s">
        <v>3823</v>
      </c>
      <c r="B1533" t="s">
        <v>31</v>
      </c>
      <c r="C1533" t="s">
        <v>65</v>
      </c>
      <c r="D1533" t="s">
        <v>3824</v>
      </c>
      <c r="E1533" t="s">
        <v>3803</v>
      </c>
      <c r="F1533" t="s">
        <v>3804</v>
      </c>
      <c r="G1533"/>
      <c r="H1533" t="n">
        <v>38.2761346919564</v>
      </c>
      <c r="I1533" t="n">
        <v>-104.618193717284</v>
      </c>
      <c r="J1533" t="s">
        <v>35</v>
      </c>
      <c r="K1533" t="s">
        <v>70</v>
      </c>
      <c r="L1533"/>
      <c r="M1533" t="n">
        <v>1965</v>
      </c>
      <c r="N1533" t="n">
        <v>1990</v>
      </c>
      <c r="O1533" t="s">
        <v>3825</v>
      </c>
      <c r="P1533" t="n">
        <v>5</v>
      </c>
      <c r="Q1533" t="n">
        <v>2</v>
      </c>
      <c r="R1533" t="n">
        <v>2</v>
      </c>
      <c r="S1533" t="n">
        <v>1959</v>
      </c>
      <c r="T1533" t="s">
        <v>3826</v>
      </c>
      <c r="U1533" t="s">
        <v>3827</v>
      </c>
      <c r="V1533" t="s">
        <v>74</v>
      </c>
      <c r="W1533"/>
      <c r="X1533"/>
      <c r="Y1533"/>
      <c r="Z1533"/>
      <c r="AA1533"/>
      <c r="AB1533"/>
      <c r="AC1533"/>
      <c r="AD1533"/>
      <c r="AE1533"/>
      <c r="AF1533" t="s">
        <v>3828</v>
      </c>
      <c r="AG1533" t="n">
        <v>215</v>
      </c>
    </row>
    <row r="1534">
      <c r="A1534" t="s">
        <v>4925</v>
      </c>
      <c r="B1534" t="s">
        <v>31</v>
      </c>
      <c r="C1534" t="s">
        <v>24</v>
      </c>
      <c r="D1534" t="s">
        <v>4926</v>
      </c>
      <c r="E1534" t="s">
        <v>3803</v>
      </c>
      <c r="F1534" t="s">
        <v>3804</v>
      </c>
      <c r="G1534"/>
      <c r="H1534" t="n">
        <v>38.2708026479217</v>
      </c>
      <c r="I1534" t="n">
        <v>-104.602659610262</v>
      </c>
      <c r="J1534" t="s">
        <v>35</v>
      </c>
      <c r="K1534" t="s">
        <v>141</v>
      </c>
      <c r="L1534"/>
      <c r="M1534" t="n">
        <v>1965</v>
      </c>
      <c r="N1534" t="n">
        <v>1990</v>
      </c>
      <c r="O1534" t="s">
        <v>4172</v>
      </c>
      <c r="P1534" t="n">
        <v>4</v>
      </c>
      <c r="Q1534" t="n">
        <v>3</v>
      </c>
      <c r="R1534" t="n">
        <v>2</v>
      </c>
      <c r="S1534" t="n">
        <v>1964</v>
      </c>
      <c r="T1534" t="s">
        <v>4927</v>
      </c>
      <c r="U1534" t="s">
        <v>4928</v>
      </c>
      <c r="V1534" t="s">
        <v>4175</v>
      </c>
      <c r="W1534"/>
      <c r="X1534"/>
      <c r="Y1534"/>
      <c r="Z1534"/>
      <c r="AA1534"/>
      <c r="AB1534"/>
      <c r="AC1534"/>
      <c r="AD1534"/>
      <c r="AE1534"/>
      <c r="AF1534" t="s">
        <v>4929</v>
      </c>
      <c r="AG1534" t="n">
        <v>83</v>
      </c>
    </row>
    <row r="1535">
      <c r="A1535" t="s">
        <v>3829</v>
      </c>
      <c r="B1535" t="s">
        <v>31</v>
      </c>
      <c r="C1535" t="s">
        <v>65</v>
      </c>
      <c r="D1535" t="s">
        <v>3830</v>
      </c>
      <c r="E1535" t="s">
        <v>3803</v>
      </c>
      <c r="F1535" t="s">
        <v>3804</v>
      </c>
      <c r="G1535" t="s">
        <v>3831</v>
      </c>
      <c r="H1535" t="n">
        <v>38.2524657185843</v>
      </c>
      <c r="I1535" t="n">
        <v>-104.61948652491</v>
      </c>
      <c r="J1535" t="s">
        <v>35</v>
      </c>
      <c r="K1535" t="s">
        <v>70</v>
      </c>
      <c r="L1535"/>
      <c r="M1535" t="n">
        <v>1966</v>
      </c>
      <c r="N1535" t="n">
        <v>1970</v>
      </c>
      <c r="O1535" t="s">
        <v>2771</v>
      </c>
      <c r="P1535" t="n">
        <v>3</v>
      </c>
      <c r="Q1535" t="n">
        <v>1</v>
      </c>
      <c r="R1535" t="n">
        <v>1</v>
      </c>
      <c r="S1535" t="n">
        <v>1963</v>
      </c>
      <c r="T1535" t="s">
        <v>3832</v>
      </c>
      <c r="U1535" t="s">
        <v>3833</v>
      </c>
      <c r="V1535" t="s">
        <v>74</v>
      </c>
      <c r="W1535"/>
      <c r="X1535"/>
      <c r="Y1535"/>
      <c r="Z1535"/>
      <c r="AA1535"/>
      <c r="AB1535"/>
      <c r="AC1535"/>
      <c r="AD1535"/>
      <c r="AE1535"/>
      <c r="AF1535"/>
      <c r="AG1535"/>
    </row>
    <row r="1536">
      <c r="A1536" t="s">
        <v>3834</v>
      </c>
      <c r="B1536" t="s">
        <v>31</v>
      </c>
      <c r="C1536" t="s">
        <v>65</v>
      </c>
      <c r="D1536" t="s">
        <v>3835</v>
      </c>
      <c r="E1536" t="s">
        <v>3803</v>
      </c>
      <c r="F1536" t="s">
        <v>3804</v>
      </c>
      <c r="G1536" t="s">
        <v>3836</v>
      </c>
      <c r="H1536" t="n">
        <v>38.2473085306122</v>
      </c>
      <c r="I1536" t="n">
        <v>-104.631150346939</v>
      </c>
      <c r="J1536" t="s">
        <v>35</v>
      </c>
      <c r="K1536" t="s">
        <v>70</v>
      </c>
      <c r="L1536"/>
      <c r="M1536" t="n">
        <v>1966</v>
      </c>
      <c r="N1536" t="n">
        <v>1973</v>
      </c>
      <c r="O1536" t="s">
        <v>1349</v>
      </c>
      <c r="P1536" t="n">
        <v>3</v>
      </c>
      <c r="Q1536" t="n">
        <v>1</v>
      </c>
      <c r="R1536" t="n">
        <v>1</v>
      </c>
      <c r="S1536" t="n">
        <v>1954</v>
      </c>
      <c r="T1536" t="s">
        <v>3837</v>
      </c>
      <c r="U1536" t="s">
        <v>3838</v>
      </c>
      <c r="V1536" t="s">
        <v>74</v>
      </c>
      <c r="W1536"/>
      <c r="X1536"/>
      <c r="Y1536"/>
      <c r="Z1536"/>
      <c r="AA1536"/>
      <c r="AB1536"/>
      <c r="AC1536"/>
      <c r="AD1536"/>
      <c r="AE1536"/>
      <c r="AF1536"/>
      <c r="AG1536"/>
    </row>
    <row r="1537">
      <c r="A1537" t="s">
        <v>4930</v>
      </c>
      <c r="B1537" t="s">
        <v>31</v>
      </c>
      <c r="C1537" t="s">
        <v>24</v>
      </c>
      <c r="D1537" t="s">
        <v>4931</v>
      </c>
      <c r="E1537" t="s">
        <v>3803</v>
      </c>
      <c r="F1537" t="s">
        <v>3804</v>
      </c>
      <c r="G1537" t="s">
        <v>3805</v>
      </c>
      <c r="H1537" t="n">
        <v>38.2751887130527</v>
      </c>
      <c r="I1537" t="n">
        <v>-104.616218913011</v>
      </c>
      <c r="J1537" t="s">
        <v>35</v>
      </c>
      <c r="K1537" t="s">
        <v>1041</v>
      </c>
      <c r="L1537"/>
      <c r="M1537" t="n">
        <v>1966</v>
      </c>
      <c r="N1537" t="n">
        <v>1990</v>
      </c>
      <c r="O1537" t="s">
        <v>4172</v>
      </c>
      <c r="P1537" t="n">
        <v>5</v>
      </c>
      <c r="Q1537" t="n">
        <v>2</v>
      </c>
      <c r="R1537" t="n">
        <v>1</v>
      </c>
      <c r="S1537" t="n">
        <v>1889</v>
      </c>
      <c r="T1537" t="s">
        <v>4932</v>
      </c>
      <c r="U1537" t="s">
        <v>4933</v>
      </c>
      <c r="V1537" t="s">
        <v>4175</v>
      </c>
      <c r="W1537"/>
      <c r="X1537"/>
      <c r="Y1537"/>
      <c r="Z1537"/>
      <c r="AA1537"/>
      <c r="AB1537"/>
      <c r="AC1537"/>
      <c r="AD1537"/>
      <c r="AE1537"/>
      <c r="AF1537" t="s">
        <v>4934</v>
      </c>
      <c r="AG1537" t="n">
        <v>110</v>
      </c>
    </row>
    <row r="1538">
      <c r="A1538" t="s">
        <v>3839</v>
      </c>
      <c r="B1538" t="s">
        <v>31</v>
      </c>
      <c r="C1538" t="s">
        <v>65</v>
      </c>
      <c r="D1538" t="s">
        <v>3840</v>
      </c>
      <c r="E1538" t="s">
        <v>3803</v>
      </c>
      <c r="F1538" t="s">
        <v>3804</v>
      </c>
      <c r="G1538" t="s">
        <v>3841</v>
      </c>
      <c r="H1538" t="n">
        <v>38.2653906268206</v>
      </c>
      <c r="I1538" t="n">
        <v>-104.610481674122</v>
      </c>
      <c r="J1538" t="s">
        <v>35</v>
      </c>
      <c r="K1538" t="s">
        <v>89</v>
      </c>
      <c r="L1538"/>
      <c r="M1538" t="n">
        <v>1967</v>
      </c>
      <c r="N1538" t="n">
        <v>1967</v>
      </c>
      <c r="O1538" t="s">
        <v>388</v>
      </c>
      <c r="P1538" t="n">
        <v>1</v>
      </c>
      <c r="Q1538" t="n">
        <v>1</v>
      </c>
      <c r="R1538" t="n">
        <v>1</v>
      </c>
      <c r="S1538"/>
      <c r="T1538" t="s">
        <v>3842</v>
      </c>
      <c r="U1538" t="s">
        <v>3843</v>
      </c>
      <c r="V1538" t="s">
        <v>74</v>
      </c>
      <c r="W1538"/>
      <c r="X1538"/>
      <c r="Y1538"/>
      <c r="Z1538"/>
      <c r="AA1538"/>
      <c r="AB1538" t="s">
        <v>3844</v>
      </c>
      <c r="AC1538" t="n">
        <v>85</v>
      </c>
      <c r="AD1538"/>
      <c r="AE1538"/>
      <c r="AF1538" t="s">
        <v>3845</v>
      </c>
      <c r="AG1538" t="n">
        <v>58</v>
      </c>
    </row>
    <row r="1539">
      <c r="A1539" t="s">
        <v>3846</v>
      </c>
      <c r="B1539" t="s">
        <v>31</v>
      </c>
      <c r="C1539" t="s">
        <v>65</v>
      </c>
      <c r="D1539" t="s">
        <v>3847</v>
      </c>
      <c r="E1539" t="s">
        <v>3803</v>
      </c>
      <c r="F1539" t="s">
        <v>3804</v>
      </c>
      <c r="G1539" t="s">
        <v>3805</v>
      </c>
      <c r="H1539" t="n">
        <v>38.2724800022676</v>
      </c>
      <c r="I1539" t="n">
        <v>-104.611626845805</v>
      </c>
      <c r="J1539" t="s">
        <v>35</v>
      </c>
      <c r="K1539" t="s">
        <v>70</v>
      </c>
      <c r="L1539"/>
      <c r="M1539" t="n">
        <v>1967</v>
      </c>
      <c r="N1539" t="n">
        <v>1992</v>
      </c>
      <c r="O1539" t="s">
        <v>228</v>
      </c>
      <c r="P1539" t="n">
        <v>9</v>
      </c>
      <c r="Q1539" t="n">
        <v>6</v>
      </c>
      <c r="R1539" t="n">
        <v>1</v>
      </c>
      <c r="S1539" t="n">
        <v>1940</v>
      </c>
      <c r="T1539" t="s">
        <v>3848</v>
      </c>
      <c r="U1539" t="s">
        <v>3849</v>
      </c>
      <c r="V1539" t="s">
        <v>74</v>
      </c>
      <c r="W1539"/>
      <c r="X1539"/>
      <c r="Y1539"/>
      <c r="Z1539"/>
      <c r="AA1539"/>
      <c r="AB1539"/>
      <c r="AC1539"/>
      <c r="AD1539"/>
      <c r="AE1539"/>
      <c r="AF1539" t="s">
        <v>3850</v>
      </c>
      <c r="AG1539" t="n">
        <v>143</v>
      </c>
    </row>
    <row r="1540">
      <c r="A1540" t="s">
        <v>3851</v>
      </c>
      <c r="B1540" t="s">
        <v>31</v>
      </c>
      <c r="C1540" t="s">
        <v>65</v>
      </c>
      <c r="D1540" t="s">
        <v>3852</v>
      </c>
      <c r="E1540" t="s">
        <v>3803</v>
      </c>
      <c r="F1540" t="s">
        <v>3804</v>
      </c>
      <c r="G1540" t="s">
        <v>3841</v>
      </c>
      <c r="H1540" t="n">
        <v>38.2660360238131</v>
      </c>
      <c r="I1540" t="n">
        <v>-104.606969677249</v>
      </c>
      <c r="J1540" t="s">
        <v>35</v>
      </c>
      <c r="K1540" t="s">
        <v>89</v>
      </c>
      <c r="L1540"/>
      <c r="M1540" t="n">
        <v>1973</v>
      </c>
      <c r="N1540" t="n">
        <v>1980</v>
      </c>
      <c r="O1540" t="s">
        <v>112</v>
      </c>
      <c r="P1540" t="n">
        <v>4</v>
      </c>
      <c r="Q1540" t="n">
        <v>2</v>
      </c>
      <c r="R1540" t="n">
        <v>2</v>
      </c>
      <c r="S1540" t="n">
        <v>1966</v>
      </c>
      <c r="T1540" t="s">
        <v>3853</v>
      </c>
      <c r="U1540" t="s">
        <v>3854</v>
      </c>
      <c r="V1540" t="s">
        <v>74</v>
      </c>
      <c r="W1540"/>
      <c r="X1540"/>
      <c r="Y1540"/>
      <c r="Z1540"/>
      <c r="AA1540"/>
      <c r="AB1540" t="s">
        <v>3855</v>
      </c>
      <c r="AC1540" t="n">
        <v>136</v>
      </c>
      <c r="AD1540"/>
      <c r="AE1540"/>
      <c r="AF1540" t="s">
        <v>3856</v>
      </c>
      <c r="AG1540" t="n">
        <v>151</v>
      </c>
    </row>
    <row r="1541">
      <c r="A1541" t="s">
        <v>3857</v>
      </c>
      <c r="B1541" t="s">
        <v>31</v>
      </c>
      <c r="C1541" t="s">
        <v>65</v>
      </c>
      <c r="D1541" t="s">
        <v>3858</v>
      </c>
      <c r="E1541" t="s">
        <v>3803</v>
      </c>
      <c r="F1541" t="s">
        <v>3804</v>
      </c>
      <c r="G1541" t="s">
        <v>3859</v>
      </c>
      <c r="H1541" t="n">
        <v>38.24554</v>
      </c>
      <c r="I1541" t="n">
        <v>-104.569473</v>
      </c>
      <c r="J1541" t="s">
        <v>35</v>
      </c>
      <c r="K1541" t="s">
        <v>70</v>
      </c>
      <c r="L1541"/>
      <c r="M1541" t="n">
        <v>1974</v>
      </c>
      <c r="N1541" t="n">
        <v>1983</v>
      </c>
      <c r="O1541" t="s">
        <v>3860</v>
      </c>
      <c r="P1541" t="n">
        <v>3</v>
      </c>
      <c r="Q1541" t="n">
        <v>1</v>
      </c>
      <c r="R1541" t="n">
        <v>1</v>
      </c>
      <c r="S1541" t="n">
        <v>1952</v>
      </c>
      <c r="T1541" t="s">
        <v>3861</v>
      </c>
      <c r="U1541" t="s">
        <v>3862</v>
      </c>
      <c r="V1541" t="s">
        <v>74</v>
      </c>
      <c r="W1541"/>
      <c r="X1541"/>
      <c r="Y1541"/>
      <c r="Z1541"/>
      <c r="AA1541"/>
      <c r="AB1541"/>
      <c r="AC1541"/>
      <c r="AD1541" t="s">
        <v>3863</v>
      </c>
      <c r="AE1541" t="n">
        <v>240</v>
      </c>
      <c r="AF1541" t="s">
        <v>3864</v>
      </c>
      <c r="AG1541" t="n">
        <v>91</v>
      </c>
    </row>
    <row r="1542">
      <c r="A1542" t="s">
        <v>4935</v>
      </c>
      <c r="B1542" t="s">
        <v>31</v>
      </c>
      <c r="C1542" t="s">
        <v>24</v>
      </c>
      <c r="D1542" t="s">
        <v>4936</v>
      </c>
      <c r="E1542" t="s">
        <v>3803</v>
      </c>
      <c r="F1542" t="s">
        <v>3804</v>
      </c>
      <c r="G1542" t="s">
        <v>3831</v>
      </c>
      <c r="H1542" t="n">
        <v>38.2650399183673</v>
      </c>
      <c r="I1542" t="n">
        <v>-104.672496877551</v>
      </c>
      <c r="J1542" t="s">
        <v>35</v>
      </c>
      <c r="K1542" t="s">
        <v>70</v>
      </c>
      <c r="L1542"/>
      <c r="M1542" t="n">
        <v>1974</v>
      </c>
      <c r="N1542" t="n">
        <v>1974</v>
      </c>
      <c r="O1542" t="s">
        <v>210</v>
      </c>
      <c r="P1542" t="n">
        <v>1</v>
      </c>
      <c r="Q1542" t="n">
        <v>1</v>
      </c>
      <c r="R1542" t="n">
        <v>1</v>
      </c>
      <c r="S1542" t="n">
        <v>1963</v>
      </c>
      <c r="T1542" t="s">
        <v>4937</v>
      </c>
      <c r="U1542" t="s">
        <v>4938</v>
      </c>
      <c r="V1542" t="s">
        <v>4175</v>
      </c>
      <c r="W1542"/>
      <c r="X1542"/>
      <c r="Y1542"/>
      <c r="Z1542"/>
      <c r="AA1542"/>
      <c r="AB1542"/>
      <c r="AC1542"/>
      <c r="AD1542"/>
      <c r="AE1542"/>
      <c r="AF1542"/>
      <c r="AG1542"/>
    </row>
    <row r="1543">
      <c r="A1543" t="s">
        <v>3865</v>
      </c>
      <c r="B1543" t="s">
        <v>31</v>
      </c>
      <c r="C1543" t="s">
        <v>65</v>
      </c>
      <c r="D1543" t="s">
        <v>3866</v>
      </c>
      <c r="E1543" t="s">
        <v>3803</v>
      </c>
      <c r="F1543" t="s">
        <v>3804</v>
      </c>
      <c r="G1543" t="s">
        <v>3841</v>
      </c>
      <c r="H1543" t="n">
        <v>38.2586896153419</v>
      </c>
      <c r="I1543" t="n">
        <v>-104.57798175421</v>
      </c>
      <c r="J1543" t="s">
        <v>35</v>
      </c>
      <c r="K1543" t="s">
        <v>70</v>
      </c>
      <c r="L1543"/>
      <c r="M1543" t="n">
        <v>1974</v>
      </c>
      <c r="N1543" t="n">
        <v>1974</v>
      </c>
      <c r="O1543" t="s">
        <v>210</v>
      </c>
      <c r="P1543" t="n">
        <v>1</v>
      </c>
      <c r="Q1543" t="n">
        <v>1</v>
      </c>
      <c r="R1543" t="n">
        <v>1</v>
      </c>
      <c r="S1543" t="n">
        <v>1954</v>
      </c>
      <c r="T1543" t="s">
        <v>3867</v>
      </c>
      <c r="U1543" t="s">
        <v>3868</v>
      </c>
      <c r="V1543" t="s">
        <v>74</v>
      </c>
      <c r="W1543"/>
      <c r="X1543"/>
      <c r="Y1543"/>
      <c r="Z1543"/>
      <c r="AA1543"/>
      <c r="AB1543" t="s">
        <v>3869</v>
      </c>
      <c r="AC1543" t="n">
        <v>114</v>
      </c>
      <c r="AD1543"/>
      <c r="AE1543"/>
      <c r="AF1543"/>
      <c r="AG1543"/>
    </row>
    <row r="1544">
      <c r="A1544" t="s">
        <v>3870</v>
      </c>
      <c r="B1544" t="s">
        <v>31</v>
      </c>
      <c r="C1544" t="s">
        <v>65</v>
      </c>
      <c r="D1544" t="s">
        <v>3871</v>
      </c>
      <c r="E1544" t="s">
        <v>3803</v>
      </c>
      <c r="F1544" t="s">
        <v>3804</v>
      </c>
      <c r="G1544" t="s">
        <v>3872</v>
      </c>
      <c r="H1544" t="n">
        <v>38.3185715918367</v>
      </c>
      <c r="I1544" t="n">
        <v>-104.629436571429</v>
      </c>
      <c r="J1544" t="s">
        <v>35</v>
      </c>
      <c r="K1544" t="s">
        <v>70</v>
      </c>
      <c r="L1544"/>
      <c r="M1544" t="n">
        <v>1977</v>
      </c>
      <c r="N1544" t="n">
        <v>1977</v>
      </c>
      <c r="O1544" t="s">
        <v>228</v>
      </c>
      <c r="P1544" t="n">
        <v>1</v>
      </c>
      <c r="Q1544" t="n">
        <v>1</v>
      </c>
      <c r="R1544" t="n">
        <v>1</v>
      </c>
      <c r="S1544"/>
      <c r="T1544" t="s">
        <v>3873</v>
      </c>
      <c r="U1544" t="s">
        <v>3874</v>
      </c>
      <c r="V1544" t="s">
        <v>74</v>
      </c>
      <c r="W1544"/>
      <c r="X1544"/>
      <c r="Y1544"/>
      <c r="Z1544"/>
      <c r="AA1544"/>
      <c r="AB1544"/>
      <c r="AC1544"/>
      <c r="AD1544"/>
      <c r="AE1544"/>
      <c r="AF1544"/>
      <c r="AG1544"/>
    </row>
    <row r="1545">
      <c r="A1545" t="s">
        <v>3875</v>
      </c>
      <c r="B1545" t="s">
        <v>31</v>
      </c>
      <c r="C1545" t="s">
        <v>65</v>
      </c>
      <c r="D1545" t="s">
        <v>3876</v>
      </c>
      <c r="E1545" t="s">
        <v>3803</v>
      </c>
      <c r="F1545" t="s">
        <v>3804</v>
      </c>
      <c r="G1545" t="s">
        <v>3836</v>
      </c>
      <c r="H1545" t="n">
        <v>38.2325602244898</v>
      </c>
      <c r="I1545" t="n">
        <v>-104.619452346939</v>
      </c>
      <c r="J1545" t="s">
        <v>35</v>
      </c>
      <c r="K1545" t="s">
        <v>70</v>
      </c>
      <c r="L1545"/>
      <c r="M1545" t="n">
        <v>1977</v>
      </c>
      <c r="N1545" t="n">
        <v>1990</v>
      </c>
      <c r="O1545" t="s">
        <v>228</v>
      </c>
      <c r="P1545" t="n">
        <v>4</v>
      </c>
      <c r="Q1545" t="n">
        <v>1</v>
      </c>
      <c r="R1545" t="n">
        <v>1</v>
      </c>
      <c r="S1545" t="n">
        <v>1977</v>
      </c>
      <c r="T1545" t="s">
        <v>3877</v>
      </c>
      <c r="U1545" t="s">
        <v>3878</v>
      </c>
      <c r="V1545" t="s">
        <v>74</v>
      </c>
      <c r="W1545"/>
      <c r="X1545"/>
      <c r="Y1545"/>
      <c r="Z1545"/>
      <c r="AA1545"/>
      <c r="AB1545"/>
      <c r="AC1545"/>
      <c r="AD1545"/>
      <c r="AE1545"/>
      <c r="AF1545"/>
      <c r="AG1545"/>
    </row>
    <row r="1546">
      <c r="A1546" t="s">
        <v>3879</v>
      </c>
      <c r="B1546" t="s">
        <v>31</v>
      </c>
      <c r="C1546" t="s">
        <v>65</v>
      </c>
      <c r="D1546" t="s">
        <v>3880</v>
      </c>
      <c r="E1546" t="s">
        <v>3803</v>
      </c>
      <c r="F1546" t="s">
        <v>3804</v>
      </c>
      <c r="G1546" t="s">
        <v>3836</v>
      </c>
      <c r="H1546" t="n">
        <v>38.2583908104107</v>
      </c>
      <c r="I1546" t="n">
        <v>-104.620466992543</v>
      </c>
      <c r="J1546" t="s">
        <v>35</v>
      </c>
      <c r="K1546" t="s">
        <v>133</v>
      </c>
      <c r="L1546"/>
      <c r="M1546" t="n">
        <v>1980</v>
      </c>
      <c r="N1546" t="n">
        <v>1992</v>
      </c>
      <c r="O1546" t="s">
        <v>3881</v>
      </c>
      <c r="P1546" t="n">
        <v>4</v>
      </c>
      <c r="Q1546" t="n">
        <v>1</v>
      </c>
      <c r="R1546" t="n">
        <v>1</v>
      </c>
      <c r="S1546" t="n">
        <v>1950</v>
      </c>
      <c r="T1546" t="s">
        <v>3882</v>
      </c>
      <c r="U1546" t="s">
        <v>3883</v>
      </c>
      <c r="V1546" t="s">
        <v>74</v>
      </c>
      <c r="W1546"/>
      <c r="X1546"/>
      <c r="Y1546"/>
      <c r="Z1546"/>
      <c r="AA1546"/>
      <c r="AB1546" t="s">
        <v>3816</v>
      </c>
      <c r="AC1546" t="n">
        <v>211</v>
      </c>
      <c r="AD1546"/>
      <c r="AE1546"/>
      <c r="AF1546" t="s">
        <v>3884</v>
      </c>
      <c r="AG1546" t="n">
        <v>68</v>
      </c>
    </row>
    <row r="1547">
      <c r="A1547" t="s">
        <v>3885</v>
      </c>
      <c r="B1547" t="s">
        <v>31</v>
      </c>
      <c r="C1547" t="s">
        <v>65</v>
      </c>
      <c r="D1547" t="s">
        <v>3886</v>
      </c>
      <c r="E1547" t="s">
        <v>3803</v>
      </c>
      <c r="F1547" t="s">
        <v>3804</v>
      </c>
      <c r="G1547" t="s">
        <v>3887</v>
      </c>
      <c r="H1547" t="n">
        <v>38.2779985102041</v>
      </c>
      <c r="I1547" t="n">
        <v>-104.574475673469</v>
      </c>
      <c r="J1547" t="s">
        <v>35</v>
      </c>
      <c r="K1547" t="s">
        <v>70</v>
      </c>
      <c r="L1547"/>
      <c r="M1547" t="n">
        <v>1980</v>
      </c>
      <c r="N1547" t="n">
        <v>1980</v>
      </c>
      <c r="O1547" t="s">
        <v>255</v>
      </c>
      <c r="P1547" t="n">
        <v>1</v>
      </c>
      <c r="Q1547" t="n">
        <v>1</v>
      </c>
      <c r="R1547" t="n">
        <v>1</v>
      </c>
      <c r="S1547"/>
      <c r="T1547" t="s">
        <v>3888</v>
      </c>
      <c r="U1547" t="s">
        <v>3889</v>
      </c>
      <c r="V1547" t="s">
        <v>74</v>
      </c>
      <c r="W1547"/>
      <c r="X1547"/>
      <c r="Y1547"/>
      <c r="Z1547"/>
      <c r="AA1547"/>
      <c r="AB1547"/>
      <c r="AC1547"/>
      <c r="AD1547"/>
      <c r="AE1547"/>
      <c r="AF1547"/>
      <c r="AG1547"/>
    </row>
    <row r="1548">
      <c r="A1548" t="s">
        <v>3890</v>
      </c>
      <c r="B1548" t="s">
        <v>31</v>
      </c>
      <c r="C1548" t="s">
        <v>65</v>
      </c>
      <c r="D1548" t="s">
        <v>3891</v>
      </c>
      <c r="E1548" t="s">
        <v>3803</v>
      </c>
      <c r="F1548" t="s">
        <v>3804</v>
      </c>
      <c r="G1548" t="s">
        <v>3887</v>
      </c>
      <c r="H1548" t="n">
        <v>38.2730455352936</v>
      </c>
      <c r="I1548" t="n">
        <v>-104.530061848828</v>
      </c>
      <c r="J1548" t="s">
        <v>35</v>
      </c>
      <c r="K1548" t="s">
        <v>70</v>
      </c>
      <c r="L1548"/>
      <c r="M1548" t="n">
        <v>1980</v>
      </c>
      <c r="N1548" t="n">
        <v>1988</v>
      </c>
      <c r="O1548" t="s">
        <v>1668</v>
      </c>
      <c r="P1548" t="n">
        <v>3</v>
      </c>
      <c r="Q1548" t="n">
        <v>1</v>
      </c>
      <c r="R1548" t="n">
        <v>1</v>
      </c>
      <c r="S1548" t="n">
        <v>1966</v>
      </c>
      <c r="T1548" t="s">
        <v>3892</v>
      </c>
      <c r="U1548" t="s">
        <v>3893</v>
      </c>
      <c r="V1548" t="s">
        <v>74</v>
      </c>
      <c r="W1548"/>
      <c r="X1548"/>
      <c r="Y1548"/>
      <c r="Z1548"/>
      <c r="AA1548"/>
      <c r="AB1548"/>
      <c r="AC1548"/>
      <c r="AD1548"/>
      <c r="AE1548"/>
      <c r="AF1548"/>
      <c r="AG1548"/>
    </row>
    <row r="1549">
      <c r="A1549" t="s">
        <v>3894</v>
      </c>
      <c r="B1549" t="s">
        <v>31</v>
      </c>
      <c r="C1549" t="s">
        <v>65</v>
      </c>
      <c r="D1549" t="s">
        <v>3895</v>
      </c>
      <c r="E1549" t="s">
        <v>3896</v>
      </c>
      <c r="F1549" t="s">
        <v>3804</v>
      </c>
      <c r="G1549" t="s">
        <v>3897</v>
      </c>
      <c r="H1549" t="n">
        <v>38.0747627616916</v>
      </c>
      <c r="I1549" t="n">
        <v>-104.99374917036</v>
      </c>
      <c r="J1549" t="s">
        <v>35</v>
      </c>
      <c r="K1549" t="s">
        <v>70</v>
      </c>
      <c r="L1549"/>
      <c r="M1549" t="n">
        <v>1983</v>
      </c>
      <c r="N1549" t="n">
        <v>1990</v>
      </c>
      <c r="O1549" t="s">
        <v>271</v>
      </c>
      <c r="P1549" t="n">
        <v>3</v>
      </c>
      <c r="Q1549" t="n">
        <v>2</v>
      </c>
      <c r="R1549" t="n">
        <v>2</v>
      </c>
      <c r="S1549" t="n">
        <v>1979</v>
      </c>
      <c r="T1549" t="s">
        <v>3898</v>
      </c>
      <c r="U1549" t="s">
        <v>3899</v>
      </c>
      <c r="V1549" t="s">
        <v>74</v>
      </c>
      <c r="W1549"/>
      <c r="X1549"/>
      <c r="Y1549"/>
      <c r="Z1549"/>
      <c r="AA1549"/>
      <c r="AB1549"/>
      <c r="AC1549"/>
      <c r="AD1549"/>
      <c r="AE1549"/>
      <c r="AF1549"/>
      <c r="AG1549"/>
    </row>
    <row r="1550">
      <c r="A1550" t="s">
        <v>3900</v>
      </c>
      <c r="B1550" t="s">
        <v>31</v>
      </c>
      <c r="C1550" t="s">
        <v>65</v>
      </c>
      <c r="D1550" t="s">
        <v>3901</v>
      </c>
      <c r="E1550" t="s">
        <v>3902</v>
      </c>
      <c r="F1550" t="s">
        <v>3804</v>
      </c>
      <c r="G1550" t="s">
        <v>3903</v>
      </c>
      <c r="H1550" t="n">
        <v>38.3383008</v>
      </c>
      <c r="I1550" t="n">
        <v>-104.73603128</v>
      </c>
      <c r="J1550" t="s">
        <v>35</v>
      </c>
      <c r="K1550" t="s">
        <v>1041</v>
      </c>
      <c r="L1550"/>
      <c r="M1550" t="n">
        <v>1983</v>
      </c>
      <c r="N1550" t="n">
        <v>1992</v>
      </c>
      <c r="O1550" t="s">
        <v>3904</v>
      </c>
      <c r="P1550" t="n">
        <v>3</v>
      </c>
      <c r="Q1550" t="n">
        <v>1</v>
      </c>
      <c r="R1550" t="n">
        <v>1</v>
      </c>
      <c r="S1550" t="n">
        <v>1979</v>
      </c>
      <c r="T1550" t="s">
        <v>3905</v>
      </c>
      <c r="U1550" t="s">
        <v>3906</v>
      </c>
      <c r="V1550" t="s">
        <v>74</v>
      </c>
      <c r="W1550"/>
      <c r="X1550"/>
      <c r="Y1550"/>
      <c r="Z1550"/>
      <c r="AA1550"/>
      <c r="AB1550"/>
      <c r="AC1550"/>
      <c r="AD1550"/>
      <c r="AE1550"/>
      <c r="AF1550"/>
      <c r="AG1550"/>
    </row>
    <row r="1551">
      <c r="A1551" t="s">
        <v>3907</v>
      </c>
      <c r="B1551" t="s">
        <v>31</v>
      </c>
      <c r="C1551" t="s">
        <v>65</v>
      </c>
      <c r="D1551" t="s">
        <v>3908</v>
      </c>
      <c r="E1551" t="s">
        <v>3803</v>
      </c>
      <c r="F1551" t="s">
        <v>3804</v>
      </c>
      <c r="G1551" t="s">
        <v>3887</v>
      </c>
      <c r="H1551" t="n">
        <v>38.2758845932609</v>
      </c>
      <c r="I1551" t="n">
        <v>-104.552108019353</v>
      </c>
      <c r="J1551" t="s">
        <v>35</v>
      </c>
      <c r="K1551" t="s">
        <v>315</v>
      </c>
      <c r="L1551"/>
      <c r="M1551" t="n">
        <v>1988</v>
      </c>
      <c r="N1551" t="n">
        <v>1990</v>
      </c>
      <c r="O1551" t="s">
        <v>310</v>
      </c>
      <c r="P1551" t="n">
        <v>2</v>
      </c>
      <c r="Q1551" t="n">
        <v>1</v>
      </c>
      <c r="R1551" t="n">
        <v>1</v>
      </c>
      <c r="S1551" t="n">
        <v>1963</v>
      </c>
      <c r="T1551" t="s">
        <v>3909</v>
      </c>
      <c r="U1551" t="s">
        <v>3910</v>
      </c>
      <c r="V1551" t="s">
        <v>74</v>
      </c>
      <c r="W1551"/>
      <c r="X1551"/>
      <c r="Y1551"/>
      <c r="Z1551"/>
      <c r="AA1551"/>
      <c r="AB1551"/>
      <c r="AC1551"/>
      <c r="AD1551"/>
      <c r="AE1551"/>
      <c r="AF1551"/>
      <c r="AG1551"/>
    </row>
    <row r="1552">
      <c r="A1552" t="s">
        <v>3911</v>
      </c>
      <c r="B1552" t="s">
        <v>31</v>
      </c>
      <c r="C1552" t="s">
        <v>65</v>
      </c>
      <c r="D1552" t="s">
        <v>3912</v>
      </c>
      <c r="E1552" t="s">
        <v>3803</v>
      </c>
      <c r="F1552" t="s">
        <v>3804</v>
      </c>
      <c r="G1552" t="s">
        <v>3836</v>
      </c>
      <c r="H1552" t="n">
        <v>38.2308543673469</v>
      </c>
      <c r="I1552" t="n">
        <v>-104.614848367347</v>
      </c>
      <c r="J1552" t="s">
        <v>35</v>
      </c>
      <c r="K1552" t="s">
        <v>70</v>
      </c>
      <c r="L1552"/>
      <c r="M1552" t="n">
        <v>1988</v>
      </c>
      <c r="N1552" t="n">
        <v>1990</v>
      </c>
      <c r="O1552" t="s">
        <v>310</v>
      </c>
      <c r="P1552" t="n">
        <v>2</v>
      </c>
      <c r="Q1552" t="n">
        <v>1</v>
      </c>
      <c r="R1552" t="n">
        <v>1</v>
      </c>
      <c r="S1552" t="n">
        <v>1955</v>
      </c>
      <c r="T1552" t="s">
        <v>3913</v>
      </c>
      <c r="U1552" t="s">
        <v>3914</v>
      </c>
      <c r="V1552" t="s">
        <v>74</v>
      </c>
      <c r="W1552"/>
      <c r="X1552"/>
      <c r="Y1552"/>
      <c r="Z1552"/>
      <c r="AA1552"/>
      <c r="AB1552"/>
      <c r="AC1552"/>
      <c r="AD1552" t="s">
        <v>3915</v>
      </c>
      <c r="AE1552" t="n">
        <v>195</v>
      </c>
      <c r="AF1552" t="s">
        <v>3916</v>
      </c>
      <c r="AG1552" t="n">
        <v>187</v>
      </c>
    </row>
    <row r="1553">
      <c r="A1553" t="s">
        <v>3917</v>
      </c>
      <c r="B1553" t="s">
        <v>31</v>
      </c>
      <c r="C1553" t="s">
        <v>65</v>
      </c>
      <c r="D1553" t="s">
        <v>3918</v>
      </c>
      <c r="E1553" t="s">
        <v>3902</v>
      </c>
      <c r="F1553" t="s">
        <v>3804</v>
      </c>
      <c r="G1553" t="s">
        <v>3903</v>
      </c>
      <c r="H1553" t="n">
        <v>38.3270941739635</v>
      </c>
      <c r="I1553" t="n">
        <v>-104.706648318292</v>
      </c>
      <c r="J1553" t="s">
        <v>35</v>
      </c>
      <c r="K1553" t="s">
        <v>70</v>
      </c>
      <c r="L1553"/>
      <c r="M1553" t="n">
        <v>1988</v>
      </c>
      <c r="N1553" t="n">
        <v>1990</v>
      </c>
      <c r="O1553" t="s">
        <v>310</v>
      </c>
      <c r="P1553" t="n">
        <v>2</v>
      </c>
      <c r="Q1553" t="n">
        <v>1</v>
      </c>
      <c r="R1553" t="n">
        <v>1</v>
      </c>
      <c r="S1553" t="n">
        <v>1932</v>
      </c>
      <c r="T1553" t="s">
        <v>3919</v>
      </c>
      <c r="U1553" t="s">
        <v>3920</v>
      </c>
      <c r="V1553" t="s">
        <v>74</v>
      </c>
      <c r="W1553"/>
      <c r="X1553"/>
      <c r="Y1553"/>
      <c r="Z1553"/>
      <c r="AA1553"/>
      <c r="AB1553"/>
      <c r="AC1553"/>
      <c r="AD1553"/>
      <c r="AE1553"/>
      <c r="AF1553"/>
      <c r="AG1553"/>
    </row>
    <row r="1554">
      <c r="A1554" t="s">
        <v>4939</v>
      </c>
      <c r="B1554" t="s">
        <v>31</v>
      </c>
      <c r="C1554" t="s">
        <v>24</v>
      </c>
      <c r="D1554" t="s">
        <v>4940</v>
      </c>
      <c r="E1554" t="s">
        <v>3902</v>
      </c>
      <c r="F1554" t="s">
        <v>3804</v>
      </c>
      <c r="G1554" t="s">
        <v>3903</v>
      </c>
      <c r="H1554" t="n">
        <v>38.324126</v>
      </c>
      <c r="I1554" t="n">
        <v>-104.688652</v>
      </c>
      <c r="J1554" t="s">
        <v>4109</v>
      </c>
      <c r="K1554" t="s">
        <v>70</v>
      </c>
      <c r="L1554"/>
      <c r="M1554" t="n">
        <v>1988</v>
      </c>
      <c r="N1554" t="n">
        <v>1988</v>
      </c>
      <c r="O1554" t="s">
        <v>325</v>
      </c>
      <c r="P1554" t="n">
        <v>1</v>
      </c>
      <c r="Q1554" t="n">
        <v>1</v>
      </c>
      <c r="R1554" t="n">
        <v>1</v>
      </c>
      <c r="S1554" t="n">
        <v>1951</v>
      </c>
      <c r="T1554" t="s">
        <v>4941</v>
      </c>
      <c r="U1554" t="s">
        <v>4942</v>
      </c>
      <c r="V1554" t="s">
        <v>74</v>
      </c>
      <c r="W1554"/>
      <c r="X1554"/>
      <c r="Y1554"/>
      <c r="Z1554"/>
      <c r="AA1554"/>
      <c r="AB1554"/>
      <c r="AC1554"/>
      <c r="AD1554"/>
      <c r="AE1554"/>
      <c r="AF1554"/>
      <c r="AG1554"/>
    </row>
    <row r="1555">
      <c r="A1555" t="s">
        <v>3921</v>
      </c>
      <c r="B1555" t="s">
        <v>31</v>
      </c>
      <c r="C1555" t="s">
        <v>65</v>
      </c>
      <c r="D1555" t="s">
        <v>3922</v>
      </c>
      <c r="E1555" t="s">
        <v>3803</v>
      </c>
      <c r="F1555" t="s">
        <v>3804</v>
      </c>
      <c r="G1555" t="s">
        <v>3887</v>
      </c>
      <c r="H1555" t="n">
        <v>38.279392</v>
      </c>
      <c r="I1555" t="n">
        <v>-104.513577</v>
      </c>
      <c r="J1555" t="s">
        <v>35</v>
      </c>
      <c r="K1555" t="s">
        <v>120</v>
      </c>
      <c r="L1555"/>
      <c r="M1555" t="n">
        <v>1990</v>
      </c>
      <c r="N1555" t="n">
        <v>1990</v>
      </c>
      <c r="O1555" t="s">
        <v>351</v>
      </c>
      <c r="P1555" t="n">
        <v>1</v>
      </c>
      <c r="Q1555" t="n">
        <v>1</v>
      </c>
      <c r="R1555" t="n">
        <v>1</v>
      </c>
      <c r="S1555" t="n">
        <v>1987</v>
      </c>
      <c r="T1555" t="s">
        <v>3923</v>
      </c>
      <c r="U1555" t="s">
        <v>3924</v>
      </c>
      <c r="V1555" t="s">
        <v>74</v>
      </c>
      <c r="W1555"/>
      <c r="X1555"/>
      <c r="Y1555"/>
      <c r="Z1555"/>
      <c r="AA1555"/>
      <c r="AB1555"/>
      <c r="AC1555"/>
      <c r="AD1555" t="s">
        <v>3925</v>
      </c>
      <c r="AE1555" t="n">
        <v>136</v>
      </c>
      <c r="AF1555"/>
      <c r="AG1555"/>
    </row>
    <row r="1556">
      <c r="A1556" t="s">
        <v>3926</v>
      </c>
      <c r="B1556" t="s">
        <v>31</v>
      </c>
      <c r="C1556" t="s">
        <v>65</v>
      </c>
      <c r="D1556" t="s">
        <v>3927</v>
      </c>
      <c r="E1556" t="s">
        <v>3902</v>
      </c>
      <c r="F1556" t="s">
        <v>3804</v>
      </c>
      <c r="G1556" t="s">
        <v>3903</v>
      </c>
      <c r="H1556" t="n">
        <v>38.3368323571429</v>
      </c>
      <c r="I1556" t="n">
        <v>-104.726331428571</v>
      </c>
      <c r="J1556" t="s">
        <v>35</v>
      </c>
      <c r="K1556" t="s">
        <v>70</v>
      </c>
      <c r="L1556"/>
      <c r="M1556" t="n">
        <v>1990</v>
      </c>
      <c r="N1556" t="n">
        <v>1992</v>
      </c>
      <c r="O1556" t="s">
        <v>357</v>
      </c>
      <c r="P1556" t="n">
        <v>2</v>
      </c>
      <c r="Q1556" t="n">
        <v>1</v>
      </c>
      <c r="R1556" t="n">
        <v>1</v>
      </c>
      <c r="S1556" t="n">
        <v>1951</v>
      </c>
      <c r="T1556" t="s">
        <v>3928</v>
      </c>
      <c r="U1556" t="s">
        <v>3929</v>
      </c>
      <c r="V1556" t="s">
        <v>74</v>
      </c>
      <c r="W1556"/>
      <c r="X1556"/>
      <c r="Y1556"/>
      <c r="Z1556"/>
      <c r="AA1556"/>
      <c r="AB1556"/>
      <c r="AC1556"/>
      <c r="AD1556"/>
      <c r="AE1556"/>
      <c r="AF1556"/>
      <c r="AG1556"/>
    </row>
    <row r="1557">
      <c r="A1557" t="s">
        <v>3930</v>
      </c>
      <c r="B1557" t="s">
        <v>31</v>
      </c>
      <c r="C1557" t="s">
        <v>65</v>
      </c>
      <c r="D1557" t="s">
        <v>3931</v>
      </c>
      <c r="E1557" t="s">
        <v>3932</v>
      </c>
      <c r="F1557" t="s">
        <v>3933</v>
      </c>
      <c r="G1557" t="s">
        <v>3934</v>
      </c>
      <c r="H1557" t="n">
        <v>40.4648543594804</v>
      </c>
      <c r="I1557" t="n">
        <v>-106.822015364383</v>
      </c>
      <c r="J1557" t="s">
        <v>35</v>
      </c>
      <c r="K1557" t="s">
        <v>120</v>
      </c>
      <c r="L1557"/>
      <c r="M1557" t="n">
        <v>1983</v>
      </c>
      <c r="N1557" t="n">
        <v>1990</v>
      </c>
      <c r="O1557" t="s">
        <v>264</v>
      </c>
      <c r="P1557" t="n">
        <v>3</v>
      </c>
      <c r="Q1557" t="n">
        <v>1</v>
      </c>
      <c r="R1557" t="n">
        <v>1</v>
      </c>
      <c r="S1557" t="n">
        <v>1969</v>
      </c>
      <c r="T1557" t="s">
        <v>3935</v>
      </c>
      <c r="U1557" t="s">
        <v>3936</v>
      </c>
      <c r="V1557" t="s">
        <v>74</v>
      </c>
      <c r="W1557"/>
      <c r="X1557"/>
      <c r="Y1557"/>
      <c r="Z1557"/>
      <c r="AA1557"/>
      <c r="AB1557"/>
      <c r="AC1557"/>
      <c r="AD1557"/>
      <c r="AE1557"/>
      <c r="AF1557"/>
      <c r="AG1557"/>
    </row>
    <row r="1558">
      <c r="A1558" t="s">
        <v>4943</v>
      </c>
      <c r="B1558" t="s">
        <v>31</v>
      </c>
      <c r="C1558" t="s">
        <v>24</v>
      </c>
      <c r="D1558" t="s">
        <v>4944</v>
      </c>
      <c r="E1558" t="s">
        <v>4945</v>
      </c>
      <c r="F1558" t="s">
        <v>4946</v>
      </c>
      <c r="G1558" t="s">
        <v>4947</v>
      </c>
      <c r="H1558" t="n">
        <v>39.5752309394211</v>
      </c>
      <c r="I1558" t="n">
        <v>-106.105430003138</v>
      </c>
      <c r="J1558" t="s">
        <v>4109</v>
      </c>
      <c r="K1558" t="s">
        <v>70</v>
      </c>
      <c r="L1558"/>
      <c r="M1558" t="n">
        <v>1988</v>
      </c>
      <c r="N1558" t="n">
        <v>1992</v>
      </c>
      <c r="O1558" t="s">
        <v>310</v>
      </c>
      <c r="P1558" t="n">
        <v>3</v>
      </c>
      <c r="Q1558" t="n">
        <v>4</v>
      </c>
      <c r="R1558" t="n">
        <v>2</v>
      </c>
      <c r="S1558" t="n">
        <v>1967</v>
      </c>
      <c r="T1558" t="s">
        <v>4948</v>
      </c>
      <c r="U1558" t="s">
        <v>4949</v>
      </c>
      <c r="V1558" t="s">
        <v>74</v>
      </c>
      <c r="W1558"/>
      <c r="X1558"/>
      <c r="Y1558"/>
      <c r="Z1558"/>
      <c r="AA1558"/>
      <c r="AB1558"/>
      <c r="AC1558"/>
      <c r="AD1558"/>
      <c r="AE1558"/>
      <c r="AF1558"/>
      <c r="AG1558"/>
    </row>
    <row r="1559">
      <c r="A1559" t="s">
        <v>3937</v>
      </c>
      <c r="B1559" t="s">
        <v>31</v>
      </c>
      <c r="C1559" t="s">
        <v>65</v>
      </c>
      <c r="D1559" t="s">
        <v>3938</v>
      </c>
      <c r="E1559" t="s">
        <v>3939</v>
      </c>
      <c r="F1559" t="s">
        <v>3940</v>
      </c>
      <c r="G1559" t="s">
        <v>3941</v>
      </c>
      <c r="H1559" t="n">
        <v>40.159111</v>
      </c>
      <c r="I1559" t="n">
        <v>-103.214193</v>
      </c>
      <c r="J1559" t="s">
        <v>35</v>
      </c>
      <c r="K1559" t="s">
        <v>3942</v>
      </c>
      <c r="L1559"/>
      <c r="M1559" t="n">
        <v>1973</v>
      </c>
      <c r="N1559" t="n">
        <v>1990</v>
      </c>
      <c r="O1559" t="s">
        <v>3943</v>
      </c>
      <c r="P1559" t="n">
        <v>2</v>
      </c>
      <c r="Q1559" t="n">
        <v>1</v>
      </c>
      <c r="R1559" t="n">
        <v>1</v>
      </c>
      <c r="S1559" t="n">
        <v>1969</v>
      </c>
      <c r="T1559" t="s">
        <v>3944</v>
      </c>
      <c r="U1559" t="s">
        <v>3945</v>
      </c>
      <c r="V1559" t="s">
        <v>74</v>
      </c>
      <c r="W1559"/>
      <c r="X1559"/>
      <c r="Y1559"/>
      <c r="Z1559"/>
      <c r="AA1559"/>
      <c r="AB1559"/>
      <c r="AC1559"/>
      <c r="AD1559"/>
      <c r="AE1559"/>
      <c r="AF1559" t="s">
        <v>3946</v>
      </c>
      <c r="AG1559" t="n">
        <v>185</v>
      </c>
    </row>
    <row r="1560">
      <c r="A1560" t="s">
        <v>3947</v>
      </c>
      <c r="B1560" t="s">
        <v>31</v>
      </c>
      <c r="C1560" t="s">
        <v>65</v>
      </c>
      <c r="D1560" t="s">
        <v>3948</v>
      </c>
      <c r="E1560" t="s">
        <v>3949</v>
      </c>
      <c r="F1560" t="s">
        <v>3950</v>
      </c>
      <c r="G1560"/>
      <c r="H1560" t="n">
        <v>40.3864744392459</v>
      </c>
      <c r="I1560" t="n">
        <v>-104.563185262729</v>
      </c>
      <c r="J1560" t="s">
        <v>35</v>
      </c>
      <c r="K1560" t="s">
        <v>315</v>
      </c>
      <c r="L1560"/>
      <c r="M1560" t="n">
        <v>1965</v>
      </c>
      <c r="N1560" t="n">
        <v>1965</v>
      </c>
      <c r="O1560" t="s">
        <v>1275</v>
      </c>
      <c r="P1560" t="n">
        <v>1</v>
      </c>
      <c r="Q1560" t="n">
        <v>1</v>
      </c>
      <c r="R1560" t="n">
        <v>1</v>
      </c>
      <c r="S1560"/>
      <c r="T1560" t="s">
        <v>3951</v>
      </c>
      <c r="U1560" t="s">
        <v>3952</v>
      </c>
      <c r="V1560" t="s">
        <v>74</v>
      </c>
      <c r="W1560"/>
      <c r="X1560"/>
      <c r="Y1560"/>
      <c r="Z1560"/>
      <c r="AA1560"/>
      <c r="AB1560" t="s">
        <v>3953</v>
      </c>
      <c r="AC1560" t="n">
        <v>171</v>
      </c>
      <c r="AD1560" t="s">
        <v>3954</v>
      </c>
      <c r="AE1560" t="n">
        <v>164</v>
      </c>
      <c r="AF1560" t="s">
        <v>3955</v>
      </c>
      <c r="AG1560" t="n">
        <v>155</v>
      </c>
    </row>
    <row r="1561">
      <c r="A1561" t="s">
        <v>3956</v>
      </c>
      <c r="B1561" t="s">
        <v>31</v>
      </c>
      <c r="C1561" t="s">
        <v>65</v>
      </c>
      <c r="D1561" t="s">
        <v>3957</v>
      </c>
      <c r="E1561" t="s">
        <v>3958</v>
      </c>
      <c r="F1561" t="s">
        <v>3950</v>
      </c>
      <c r="G1561" t="s">
        <v>3959</v>
      </c>
      <c r="H1561" t="n">
        <v>40.5336305144318</v>
      </c>
      <c r="I1561" t="n">
        <v>-104.713084318404</v>
      </c>
      <c r="J1561" t="s">
        <v>35</v>
      </c>
      <c r="K1561" t="s">
        <v>3960</v>
      </c>
      <c r="L1561"/>
      <c r="M1561" t="n">
        <v>1966</v>
      </c>
      <c r="N1561" t="n">
        <v>1990</v>
      </c>
      <c r="O1561" t="s">
        <v>3961</v>
      </c>
      <c r="P1561" t="n">
        <v>7</v>
      </c>
      <c r="Q1561" t="n">
        <v>2</v>
      </c>
      <c r="R1561" t="n">
        <v>2</v>
      </c>
      <c r="S1561" t="n">
        <v>1943</v>
      </c>
      <c r="T1561" t="s">
        <v>3962</v>
      </c>
      <c r="U1561" t="s">
        <v>3963</v>
      </c>
      <c r="V1561" t="s">
        <v>74</v>
      </c>
      <c r="W1561"/>
      <c r="X1561"/>
      <c r="Y1561"/>
      <c r="Z1561"/>
      <c r="AA1561"/>
      <c r="AB1561"/>
      <c r="AC1561"/>
      <c r="AD1561"/>
      <c r="AE1561"/>
      <c r="AF1561" t="s">
        <v>3964</v>
      </c>
      <c r="AG1561" t="n">
        <v>141</v>
      </c>
    </row>
    <row r="1562">
      <c r="A1562" t="s">
        <v>3965</v>
      </c>
      <c r="B1562" t="s">
        <v>31</v>
      </c>
      <c r="C1562" t="s">
        <v>65</v>
      </c>
      <c r="D1562" t="s">
        <v>3966</v>
      </c>
      <c r="E1562" t="s">
        <v>3967</v>
      </c>
      <c r="F1562" t="s">
        <v>3950</v>
      </c>
      <c r="G1562" t="s">
        <v>3968</v>
      </c>
      <c r="H1562" t="n">
        <v>40.4238525632653</v>
      </c>
      <c r="I1562" t="n">
        <v>-104.687271261224</v>
      </c>
      <c r="J1562" t="s">
        <v>35</v>
      </c>
      <c r="K1562" t="s">
        <v>1639</v>
      </c>
      <c r="L1562"/>
      <c r="M1562" t="n">
        <v>1966</v>
      </c>
      <c r="N1562" t="n">
        <v>1980</v>
      </c>
      <c r="O1562" t="s">
        <v>3969</v>
      </c>
      <c r="P1562" t="n">
        <v>3</v>
      </c>
      <c r="Q1562" t="n">
        <v>4</v>
      </c>
      <c r="R1562" t="n">
        <v>2</v>
      </c>
      <c r="S1562" t="n">
        <v>1937</v>
      </c>
      <c r="T1562" t="s">
        <v>3970</v>
      </c>
      <c r="U1562" t="s">
        <v>3971</v>
      </c>
      <c r="V1562" t="s">
        <v>74</v>
      </c>
      <c r="W1562"/>
      <c r="X1562"/>
      <c r="Y1562"/>
      <c r="Z1562"/>
      <c r="AA1562"/>
      <c r="AB1562" t="s">
        <v>3972</v>
      </c>
      <c r="AC1562" t="n">
        <v>185</v>
      </c>
      <c r="AD1562"/>
      <c r="AE1562"/>
      <c r="AF1562" t="s">
        <v>3973</v>
      </c>
      <c r="AG1562" t="n">
        <v>125</v>
      </c>
    </row>
    <row r="1563">
      <c r="A1563" t="s">
        <v>4950</v>
      </c>
      <c r="B1563" t="s">
        <v>31</v>
      </c>
      <c r="C1563" t="s">
        <v>24</v>
      </c>
      <c r="D1563" t="s">
        <v>4951</v>
      </c>
      <c r="E1563" t="s">
        <v>3967</v>
      </c>
      <c r="F1563" t="s">
        <v>3950</v>
      </c>
      <c r="G1563" t="s">
        <v>3968</v>
      </c>
      <c r="H1563" t="n">
        <v>40.4196482857143</v>
      </c>
      <c r="I1563" t="n">
        <v>-104.690877122449</v>
      </c>
      <c r="J1563" t="s">
        <v>4109</v>
      </c>
      <c r="K1563" t="s">
        <v>120</v>
      </c>
      <c r="L1563"/>
      <c r="M1563" t="n">
        <v>1966</v>
      </c>
      <c r="N1563" t="n">
        <v>1968</v>
      </c>
      <c r="O1563" t="s">
        <v>1556</v>
      </c>
      <c r="P1563" t="n">
        <v>2</v>
      </c>
      <c r="Q1563" t="n">
        <v>2</v>
      </c>
      <c r="R1563" t="n">
        <v>2</v>
      </c>
      <c r="S1563" t="n">
        <v>1917</v>
      </c>
      <c r="T1563" t="s">
        <v>4952</v>
      </c>
      <c r="U1563" t="s">
        <v>4953</v>
      </c>
      <c r="V1563" t="s">
        <v>74</v>
      </c>
      <c r="W1563"/>
      <c r="X1563"/>
      <c r="Y1563"/>
      <c r="Z1563"/>
      <c r="AA1563"/>
      <c r="AB1563" t="s">
        <v>4954</v>
      </c>
      <c r="AC1563" t="n">
        <v>191</v>
      </c>
      <c r="AD1563"/>
      <c r="AE1563"/>
      <c r="AF1563" t="s">
        <v>4955</v>
      </c>
      <c r="AG1563" t="n">
        <v>50</v>
      </c>
    </row>
    <row r="1564">
      <c r="A1564" t="s">
        <v>4956</v>
      </c>
      <c r="B1564" t="s">
        <v>31</v>
      </c>
      <c r="C1564" t="s">
        <v>24</v>
      </c>
      <c r="D1564" t="s">
        <v>4957</v>
      </c>
      <c r="E1564" t="s">
        <v>3967</v>
      </c>
      <c r="F1564" t="s">
        <v>3950</v>
      </c>
      <c r="G1564" t="s">
        <v>3976</v>
      </c>
      <c r="H1564" t="n">
        <v>40.4248516122449</v>
      </c>
      <c r="I1564" t="n">
        <v>-104.687306586735</v>
      </c>
      <c r="J1564" t="s">
        <v>4109</v>
      </c>
      <c r="K1564" t="s">
        <v>120</v>
      </c>
      <c r="L1564"/>
      <c r="M1564" t="n">
        <v>1966</v>
      </c>
      <c r="N1564" t="n">
        <v>1992</v>
      </c>
      <c r="O1564" t="s">
        <v>1556</v>
      </c>
      <c r="P1564" t="n">
        <v>4</v>
      </c>
      <c r="Q1564" t="n">
        <v>3</v>
      </c>
      <c r="R1564" t="n">
        <v>1</v>
      </c>
      <c r="S1564" t="n">
        <v>1935</v>
      </c>
      <c r="T1564" t="s">
        <v>4958</v>
      </c>
      <c r="U1564" t="s">
        <v>4959</v>
      </c>
      <c r="V1564" t="s">
        <v>74</v>
      </c>
      <c r="W1564"/>
      <c r="X1564"/>
      <c r="Y1564"/>
      <c r="Z1564"/>
      <c r="AA1564"/>
      <c r="AB1564"/>
      <c r="AC1564"/>
      <c r="AD1564"/>
      <c r="AE1564"/>
      <c r="AF1564" t="s">
        <v>3973</v>
      </c>
      <c r="AG1564" t="n">
        <v>59</v>
      </c>
    </row>
    <row r="1565">
      <c r="A1565" t="s">
        <v>3974</v>
      </c>
      <c r="B1565" t="s">
        <v>31</v>
      </c>
      <c r="C1565" t="s">
        <v>65</v>
      </c>
      <c r="D1565" t="s">
        <v>3975</v>
      </c>
      <c r="E1565" t="s">
        <v>3967</v>
      </c>
      <c r="F1565" t="s">
        <v>3950</v>
      </c>
      <c r="G1565" t="s">
        <v>3976</v>
      </c>
      <c r="H1565" t="n">
        <v>40.4080063488372</v>
      </c>
      <c r="I1565" t="n">
        <v>-104.691962046512</v>
      </c>
      <c r="J1565" t="s">
        <v>35</v>
      </c>
      <c r="K1565" t="s">
        <v>270</v>
      </c>
      <c r="L1565"/>
      <c r="M1565" t="n">
        <v>1967</v>
      </c>
      <c r="N1565" t="n">
        <v>1967</v>
      </c>
      <c r="O1565" t="s">
        <v>388</v>
      </c>
      <c r="P1565" t="n">
        <v>1</v>
      </c>
      <c r="Q1565" t="n">
        <v>1</v>
      </c>
      <c r="R1565" t="n">
        <v>1</v>
      </c>
      <c r="S1565" t="n">
        <v>1948</v>
      </c>
      <c r="T1565" t="s">
        <v>3977</v>
      </c>
      <c r="U1565" t="s">
        <v>3978</v>
      </c>
      <c r="V1565" t="s">
        <v>74</v>
      </c>
      <c r="W1565"/>
      <c r="X1565"/>
      <c r="Y1565"/>
      <c r="Z1565"/>
      <c r="AA1565"/>
      <c r="AB1565"/>
      <c r="AC1565"/>
      <c r="AD1565"/>
      <c r="AE1565"/>
      <c r="AF1565" t="s">
        <v>3979</v>
      </c>
      <c r="AG1565" t="n">
        <v>148</v>
      </c>
    </row>
    <row r="1566">
      <c r="A1566" t="s">
        <v>4960</v>
      </c>
      <c r="B1566" t="s">
        <v>31</v>
      </c>
      <c r="C1566" t="s">
        <v>24</v>
      </c>
      <c r="D1566" t="s">
        <v>4961</v>
      </c>
      <c r="E1566" t="s">
        <v>118</v>
      </c>
      <c r="F1566" t="s">
        <v>3950</v>
      </c>
      <c r="G1566" t="s">
        <v>3968</v>
      </c>
      <c r="H1566" t="n">
        <v>39.995831</v>
      </c>
      <c r="I1566" t="n">
        <v>-104.815434</v>
      </c>
      <c r="J1566" t="s">
        <v>4109</v>
      </c>
      <c r="K1566" t="s">
        <v>120</v>
      </c>
      <c r="L1566"/>
      <c r="M1566" t="n">
        <v>1968</v>
      </c>
      <c r="N1566" t="n">
        <v>1968</v>
      </c>
      <c r="O1566" t="s">
        <v>1349</v>
      </c>
      <c r="P1566" t="n">
        <v>1</v>
      </c>
      <c r="Q1566" t="n">
        <v>1</v>
      </c>
      <c r="R1566" t="n">
        <v>1</v>
      </c>
      <c r="S1566" t="n">
        <v>1925</v>
      </c>
      <c r="T1566" t="s">
        <v>4962</v>
      </c>
      <c r="U1566" t="s">
        <v>4963</v>
      </c>
      <c r="V1566" t="s">
        <v>74</v>
      </c>
      <c r="W1566"/>
      <c r="X1566"/>
      <c r="Y1566"/>
      <c r="Z1566"/>
      <c r="AA1566"/>
      <c r="AB1566"/>
      <c r="AC1566"/>
      <c r="AD1566"/>
      <c r="AE1566"/>
      <c r="AF1566"/>
      <c r="AG1566"/>
    </row>
    <row r="1567">
      <c r="A1567" t="s">
        <v>3980</v>
      </c>
      <c r="B1567" t="s">
        <v>31</v>
      </c>
      <c r="C1567" t="s">
        <v>65</v>
      </c>
      <c r="D1567" t="s">
        <v>3981</v>
      </c>
      <c r="E1567" t="s">
        <v>3982</v>
      </c>
      <c r="F1567" t="s">
        <v>3950</v>
      </c>
      <c r="G1567" t="s">
        <v>3983</v>
      </c>
      <c r="H1567" t="n">
        <v>40.6354500204082</v>
      </c>
      <c r="I1567" t="n">
        <v>-104.755535755102</v>
      </c>
      <c r="J1567" t="s">
        <v>35</v>
      </c>
      <c r="K1567" t="s">
        <v>201</v>
      </c>
      <c r="L1567"/>
      <c r="M1567" t="n">
        <v>1970</v>
      </c>
      <c r="N1567" t="n">
        <v>1977</v>
      </c>
      <c r="O1567" t="s">
        <v>3984</v>
      </c>
      <c r="P1567" t="n">
        <v>4</v>
      </c>
      <c r="Q1567" t="n">
        <v>3</v>
      </c>
      <c r="R1567" t="n">
        <v>3</v>
      </c>
      <c r="S1567" t="n">
        <v>1969</v>
      </c>
      <c r="T1567" t="s">
        <v>3985</v>
      </c>
      <c r="U1567" t="s">
        <v>3986</v>
      </c>
      <c r="V1567" t="s">
        <v>74</v>
      </c>
      <c r="W1567"/>
      <c r="X1567"/>
      <c r="Y1567"/>
      <c r="Z1567"/>
      <c r="AA1567"/>
      <c r="AB1567"/>
      <c r="AC1567"/>
      <c r="AD1567"/>
      <c r="AE1567"/>
      <c r="AF1567"/>
      <c r="AG1567"/>
    </row>
    <row r="1568">
      <c r="A1568" t="s">
        <v>3987</v>
      </c>
      <c r="B1568" t="s">
        <v>31</v>
      </c>
      <c r="C1568" t="s">
        <v>65</v>
      </c>
      <c r="D1568" t="s">
        <v>3988</v>
      </c>
      <c r="E1568" t="s">
        <v>3967</v>
      </c>
      <c r="F1568" t="s">
        <v>3950</v>
      </c>
      <c r="G1568" t="s">
        <v>3976</v>
      </c>
      <c r="H1568" t="n">
        <v>40.4183488367347</v>
      </c>
      <c r="I1568" t="n">
        <v>-104.682207795918</v>
      </c>
      <c r="J1568" t="s">
        <v>35</v>
      </c>
      <c r="K1568" t="s">
        <v>120</v>
      </c>
      <c r="L1568"/>
      <c r="M1568" t="n">
        <v>1973</v>
      </c>
      <c r="N1568" t="n">
        <v>1983</v>
      </c>
      <c r="O1568" t="s">
        <v>121</v>
      </c>
      <c r="P1568" t="n">
        <v>3</v>
      </c>
      <c r="Q1568" t="n">
        <v>3</v>
      </c>
      <c r="R1568" t="n">
        <v>1</v>
      </c>
      <c r="S1568" t="n">
        <v>1948</v>
      </c>
      <c r="T1568" t="s">
        <v>3989</v>
      </c>
      <c r="U1568" t="s">
        <v>3990</v>
      </c>
      <c r="V1568" t="s">
        <v>74</v>
      </c>
      <c r="W1568"/>
      <c r="X1568"/>
      <c r="Y1568"/>
      <c r="Z1568"/>
      <c r="AA1568"/>
      <c r="AB1568"/>
      <c r="AC1568"/>
      <c r="AD1568"/>
      <c r="AE1568"/>
      <c r="AF1568"/>
      <c r="AG1568"/>
    </row>
    <row r="1569">
      <c r="A1569" t="s">
        <v>3991</v>
      </c>
      <c r="B1569" t="s">
        <v>31</v>
      </c>
      <c r="C1569" t="s">
        <v>65</v>
      </c>
      <c r="D1569" t="s">
        <v>3992</v>
      </c>
      <c r="E1569" t="s">
        <v>3967</v>
      </c>
      <c r="F1569" t="s">
        <v>3950</v>
      </c>
      <c r="G1569" t="s">
        <v>3976</v>
      </c>
      <c r="H1569" t="n">
        <v>40.399383847778</v>
      </c>
      <c r="I1569" t="n">
        <v>-104.680236291457</v>
      </c>
      <c r="J1569" t="s">
        <v>35</v>
      </c>
      <c r="K1569" t="s">
        <v>81</v>
      </c>
      <c r="L1569"/>
      <c r="M1569" t="n">
        <v>1973</v>
      </c>
      <c r="N1569" t="n">
        <v>1983</v>
      </c>
      <c r="O1569" t="s">
        <v>3993</v>
      </c>
      <c r="P1569" t="n">
        <v>2</v>
      </c>
      <c r="Q1569" t="n">
        <v>2</v>
      </c>
      <c r="R1569" t="n">
        <v>2</v>
      </c>
      <c r="S1569" t="n">
        <v>1941</v>
      </c>
      <c r="T1569" t="s">
        <v>3994</v>
      </c>
      <c r="U1569" t="s">
        <v>3995</v>
      </c>
      <c r="V1569" t="s">
        <v>74</v>
      </c>
      <c r="W1569"/>
      <c r="X1569"/>
      <c r="Y1569"/>
      <c r="Z1569"/>
      <c r="AA1569"/>
      <c r="AB1569"/>
      <c r="AC1569"/>
      <c r="AD1569"/>
      <c r="AE1569"/>
      <c r="AF1569" t="s">
        <v>3996</v>
      </c>
      <c r="AG1569" t="n">
        <v>111</v>
      </c>
    </row>
    <row r="1570">
      <c r="A1570" t="s">
        <v>4964</v>
      </c>
      <c r="B1570" t="s">
        <v>31</v>
      </c>
      <c r="C1570" t="s">
        <v>24</v>
      </c>
      <c r="D1570" t="s">
        <v>4965</v>
      </c>
      <c r="E1570" t="s">
        <v>3967</v>
      </c>
      <c r="F1570" t="s">
        <v>3950</v>
      </c>
      <c r="G1570" t="s">
        <v>3976</v>
      </c>
      <c r="H1570" t="n">
        <v>40.421165</v>
      </c>
      <c r="I1570" t="n">
        <v>-104.690864</v>
      </c>
      <c r="J1570" t="s">
        <v>4109</v>
      </c>
      <c r="K1570" t="s">
        <v>126</v>
      </c>
      <c r="L1570"/>
      <c r="M1570" t="n">
        <v>1973</v>
      </c>
      <c r="N1570" t="n">
        <v>1990</v>
      </c>
      <c r="O1570" t="s">
        <v>121</v>
      </c>
      <c r="P1570" t="n">
        <v>2</v>
      </c>
      <c r="Q1570" t="n">
        <v>2</v>
      </c>
      <c r="R1570" t="n">
        <v>1</v>
      </c>
      <c r="S1570" t="n">
        <v>1870</v>
      </c>
      <c r="T1570" t="s">
        <v>4966</v>
      </c>
      <c r="U1570" t="s">
        <v>4967</v>
      </c>
      <c r="V1570" t="s">
        <v>74</v>
      </c>
      <c r="W1570"/>
      <c r="X1570"/>
      <c r="Y1570"/>
      <c r="Z1570"/>
      <c r="AA1570"/>
      <c r="AB1570" t="s">
        <v>4954</v>
      </c>
      <c r="AC1570" t="n">
        <v>147</v>
      </c>
      <c r="AD1570"/>
      <c r="AE1570"/>
      <c r="AF1570" t="s">
        <v>4968</v>
      </c>
      <c r="AG1570" t="n">
        <v>43</v>
      </c>
    </row>
    <row r="1571">
      <c r="A1571" t="s">
        <v>3997</v>
      </c>
      <c r="B1571" t="s">
        <v>31</v>
      </c>
      <c r="C1571" t="s">
        <v>65</v>
      </c>
      <c r="D1571" t="s">
        <v>3998</v>
      </c>
      <c r="E1571" t="s">
        <v>3967</v>
      </c>
      <c r="F1571" t="s">
        <v>3950</v>
      </c>
      <c r="G1571" t="s">
        <v>3976</v>
      </c>
      <c r="H1571" t="n">
        <v>40.411524</v>
      </c>
      <c r="I1571" t="n">
        <v>-104.668458121212</v>
      </c>
      <c r="J1571" t="s">
        <v>35</v>
      </c>
      <c r="K1571" t="s">
        <v>89</v>
      </c>
      <c r="L1571"/>
      <c r="M1571" t="n">
        <v>1973</v>
      </c>
      <c r="N1571" t="n">
        <v>1973</v>
      </c>
      <c r="O1571" t="s">
        <v>121</v>
      </c>
      <c r="P1571" t="n">
        <v>1</v>
      </c>
      <c r="Q1571" t="n">
        <v>1</v>
      </c>
      <c r="R1571" t="n">
        <v>1</v>
      </c>
      <c r="S1571" t="n">
        <v>1972</v>
      </c>
      <c r="T1571" t="s">
        <v>3999</v>
      </c>
      <c r="U1571" t="s">
        <v>4000</v>
      </c>
      <c r="V1571" t="s">
        <v>74</v>
      </c>
      <c r="W1571"/>
      <c r="X1571"/>
      <c r="Y1571"/>
      <c r="Z1571"/>
      <c r="AA1571"/>
      <c r="AB1571"/>
      <c r="AC1571"/>
      <c r="AD1571"/>
      <c r="AE1571"/>
      <c r="AF1571" t="s">
        <v>4001</v>
      </c>
      <c r="AG1571" t="n">
        <v>210</v>
      </c>
    </row>
    <row r="1572">
      <c r="A1572" t="s">
        <v>4002</v>
      </c>
      <c r="B1572" t="s">
        <v>31</v>
      </c>
      <c r="C1572" t="s">
        <v>65</v>
      </c>
      <c r="D1572" t="s">
        <v>4003</v>
      </c>
      <c r="E1572" t="s">
        <v>4004</v>
      </c>
      <c r="F1572" t="s">
        <v>3950</v>
      </c>
      <c r="G1572" t="s">
        <v>4005</v>
      </c>
      <c r="H1572" t="n">
        <v>40.3482358081633</v>
      </c>
      <c r="I1572" t="n">
        <v>-104.701594032653</v>
      </c>
      <c r="J1572" t="s">
        <v>35</v>
      </c>
      <c r="K1572" t="s">
        <v>141</v>
      </c>
      <c r="L1572"/>
      <c r="M1572" t="n">
        <v>1973</v>
      </c>
      <c r="N1572" t="n">
        <v>1990</v>
      </c>
      <c r="O1572" t="s">
        <v>4006</v>
      </c>
      <c r="P1572" t="n">
        <v>4</v>
      </c>
      <c r="Q1572" t="n">
        <v>5</v>
      </c>
      <c r="R1572" t="n">
        <v>4</v>
      </c>
      <c r="S1572" t="n">
        <v>1948</v>
      </c>
      <c r="T1572" t="s">
        <v>4007</v>
      </c>
      <c r="U1572" t="s">
        <v>4008</v>
      </c>
      <c r="V1572" t="s">
        <v>74</v>
      </c>
      <c r="W1572"/>
      <c r="X1572"/>
      <c r="Y1572"/>
      <c r="Z1572"/>
      <c r="AA1572"/>
      <c r="AB1572"/>
      <c r="AC1572"/>
      <c r="AD1572"/>
      <c r="AE1572"/>
      <c r="AF1572" t="s">
        <v>4009</v>
      </c>
      <c r="AG1572" t="n">
        <v>64</v>
      </c>
    </row>
    <row r="1573">
      <c r="A1573" t="s">
        <v>4010</v>
      </c>
      <c r="B1573" t="s">
        <v>31</v>
      </c>
      <c r="C1573" t="s">
        <v>65</v>
      </c>
      <c r="D1573" t="s">
        <v>4011</v>
      </c>
      <c r="E1573" t="s">
        <v>4012</v>
      </c>
      <c r="F1573" t="s">
        <v>3950</v>
      </c>
      <c r="G1573" t="s">
        <v>4013</v>
      </c>
      <c r="H1573" t="n">
        <v>40.090075</v>
      </c>
      <c r="I1573" t="n">
        <v>-104.810537</v>
      </c>
      <c r="J1573" t="s">
        <v>35</v>
      </c>
      <c r="K1573" t="s">
        <v>315</v>
      </c>
      <c r="L1573"/>
      <c r="M1573" t="n">
        <v>1974</v>
      </c>
      <c r="N1573" t="n">
        <v>1977</v>
      </c>
      <c r="O1573" t="s">
        <v>1830</v>
      </c>
      <c r="P1573" t="n">
        <v>2</v>
      </c>
      <c r="Q1573" t="n">
        <v>1</v>
      </c>
      <c r="R1573" t="n">
        <v>1</v>
      </c>
      <c r="S1573" t="n">
        <v>1964</v>
      </c>
      <c r="T1573" t="s">
        <v>4014</v>
      </c>
      <c r="U1573" t="s">
        <v>4015</v>
      </c>
      <c r="V1573" t="s">
        <v>74</v>
      </c>
      <c r="W1573"/>
      <c r="X1573"/>
      <c r="Y1573"/>
      <c r="Z1573"/>
      <c r="AA1573"/>
      <c r="AB1573"/>
      <c r="AC1573"/>
      <c r="AD1573"/>
      <c r="AE1573"/>
      <c r="AF1573" t="s">
        <v>4016</v>
      </c>
      <c r="AG1573" t="n">
        <v>160</v>
      </c>
    </row>
    <row r="1574">
      <c r="A1574" t="s">
        <v>4017</v>
      </c>
      <c r="B1574" t="s">
        <v>31</v>
      </c>
      <c r="C1574" t="s">
        <v>65</v>
      </c>
      <c r="D1574" t="s">
        <v>4018</v>
      </c>
      <c r="E1574" t="s">
        <v>3967</v>
      </c>
      <c r="F1574" t="s">
        <v>3950</v>
      </c>
      <c r="G1574" t="s">
        <v>3976</v>
      </c>
      <c r="H1574" t="n">
        <v>40.4060695110633</v>
      </c>
      <c r="I1574" t="n">
        <v>-104.680325542556</v>
      </c>
      <c r="J1574" t="s">
        <v>35</v>
      </c>
      <c r="K1574" t="s">
        <v>120</v>
      </c>
      <c r="L1574"/>
      <c r="M1574" t="n">
        <v>1974</v>
      </c>
      <c r="N1574" t="n">
        <v>1990</v>
      </c>
      <c r="O1574" t="s">
        <v>4019</v>
      </c>
      <c r="P1574" t="n">
        <v>5</v>
      </c>
      <c r="Q1574" t="n">
        <v>5</v>
      </c>
      <c r="R1574" t="n">
        <v>2</v>
      </c>
      <c r="S1574" t="n">
        <v>1972</v>
      </c>
      <c r="T1574" t="s">
        <v>4020</v>
      </c>
      <c r="U1574" t="s">
        <v>4021</v>
      </c>
      <c r="V1574" t="s">
        <v>74</v>
      </c>
      <c r="W1574"/>
      <c r="X1574"/>
      <c r="Y1574"/>
      <c r="Z1574"/>
      <c r="AA1574"/>
      <c r="AB1574"/>
      <c r="AC1574"/>
      <c r="AD1574" t="s">
        <v>4022</v>
      </c>
      <c r="AE1574" t="n">
        <v>100</v>
      </c>
      <c r="AF1574" t="s">
        <v>4023</v>
      </c>
      <c r="AG1574" t="n">
        <v>185</v>
      </c>
    </row>
    <row r="1575">
      <c r="A1575" t="s">
        <v>4024</v>
      </c>
      <c r="B1575" t="s">
        <v>31</v>
      </c>
      <c r="C1575" t="s">
        <v>65</v>
      </c>
      <c r="D1575" t="s">
        <v>4025</v>
      </c>
      <c r="E1575" t="s">
        <v>3967</v>
      </c>
      <c r="F1575" t="s">
        <v>3950</v>
      </c>
      <c r="G1575" t="s">
        <v>3976</v>
      </c>
      <c r="H1575" t="n">
        <v>40.437984</v>
      </c>
      <c r="I1575" t="n">
        <v>-104.693963423516</v>
      </c>
      <c r="J1575" t="s">
        <v>35</v>
      </c>
      <c r="K1575" t="s">
        <v>120</v>
      </c>
      <c r="L1575"/>
      <c r="M1575" t="n">
        <v>1974</v>
      </c>
      <c r="N1575" t="n">
        <v>1983</v>
      </c>
      <c r="O1575" t="s">
        <v>4026</v>
      </c>
      <c r="P1575" t="n">
        <v>2</v>
      </c>
      <c r="Q1575" t="n">
        <v>2</v>
      </c>
      <c r="R1575" t="n">
        <v>2</v>
      </c>
      <c r="S1575" t="n">
        <v>1945</v>
      </c>
      <c r="T1575" t="s">
        <v>4027</v>
      </c>
      <c r="U1575" t="s">
        <v>4028</v>
      </c>
      <c r="V1575" t="s">
        <v>74</v>
      </c>
      <c r="W1575"/>
      <c r="X1575"/>
      <c r="Y1575"/>
      <c r="Z1575"/>
      <c r="AA1575"/>
      <c r="AB1575"/>
      <c r="AC1575"/>
      <c r="AD1575" t="s">
        <v>4029</v>
      </c>
      <c r="AE1575" t="n">
        <v>202</v>
      </c>
      <c r="AF1575" t="s">
        <v>4030</v>
      </c>
      <c r="AG1575" t="n">
        <v>63</v>
      </c>
    </row>
    <row r="1576">
      <c r="A1576" t="s">
        <v>4969</v>
      </c>
      <c r="B1576" t="s">
        <v>31</v>
      </c>
      <c r="C1576" t="s">
        <v>24</v>
      </c>
      <c r="D1576" t="s">
        <v>4970</v>
      </c>
      <c r="E1576" t="s">
        <v>3967</v>
      </c>
      <c r="F1576" t="s">
        <v>3950</v>
      </c>
      <c r="G1576" t="s">
        <v>3976</v>
      </c>
      <c r="H1576" t="n">
        <v>40.4098988571429</v>
      </c>
      <c r="I1576" t="n">
        <v>-104.687755938775</v>
      </c>
      <c r="J1576" t="s">
        <v>4109</v>
      </c>
      <c r="K1576" t="s">
        <v>120</v>
      </c>
      <c r="L1576"/>
      <c r="M1576" t="n">
        <v>1974</v>
      </c>
      <c r="N1576" t="n">
        <v>1974</v>
      </c>
      <c r="O1576" t="s">
        <v>210</v>
      </c>
      <c r="P1576" t="n">
        <v>1</v>
      </c>
      <c r="Q1576" t="n">
        <v>1</v>
      </c>
      <c r="R1576" t="n">
        <v>1</v>
      </c>
      <c r="S1576" t="n">
        <v>1965</v>
      </c>
      <c r="T1576" t="s">
        <v>4971</v>
      </c>
      <c r="U1576" t="s">
        <v>4972</v>
      </c>
      <c r="V1576" t="s">
        <v>74</v>
      </c>
      <c r="W1576"/>
      <c r="X1576"/>
      <c r="Y1576"/>
      <c r="Z1576"/>
      <c r="AA1576"/>
      <c r="AB1576"/>
      <c r="AC1576"/>
      <c r="AD1576"/>
      <c r="AE1576"/>
      <c r="AF1576"/>
      <c r="AG1576"/>
    </row>
    <row r="1577">
      <c r="A1577" t="s">
        <v>4031</v>
      </c>
      <c r="B1577" t="s">
        <v>31</v>
      </c>
      <c r="C1577" t="s">
        <v>65</v>
      </c>
      <c r="D1577" t="s">
        <v>4032</v>
      </c>
      <c r="E1577" t="s">
        <v>3967</v>
      </c>
      <c r="F1577" t="s">
        <v>3950</v>
      </c>
      <c r="G1577" t="s">
        <v>3976</v>
      </c>
      <c r="H1577" t="n">
        <v>40.395450995845</v>
      </c>
      <c r="I1577" t="n">
        <v>-104.689886497039</v>
      </c>
      <c r="J1577" t="s">
        <v>35</v>
      </c>
      <c r="K1577" t="s">
        <v>70</v>
      </c>
      <c r="L1577"/>
      <c r="M1577" t="n">
        <v>1980</v>
      </c>
      <c r="N1577" t="n">
        <v>1980</v>
      </c>
      <c r="O1577" t="s">
        <v>255</v>
      </c>
      <c r="P1577" t="n">
        <v>1</v>
      </c>
      <c r="Q1577" t="n">
        <v>1</v>
      </c>
      <c r="R1577" t="n">
        <v>1</v>
      </c>
      <c r="S1577" t="n">
        <v>1975</v>
      </c>
      <c r="T1577" t="s">
        <v>4033</v>
      </c>
      <c r="U1577" t="s">
        <v>4034</v>
      </c>
      <c r="V1577" t="s">
        <v>74</v>
      </c>
      <c r="W1577"/>
      <c r="X1577"/>
      <c r="Y1577"/>
      <c r="Z1577"/>
      <c r="AA1577"/>
      <c r="AB1577"/>
      <c r="AC1577"/>
      <c r="AD1577" t="s">
        <v>4035</v>
      </c>
      <c r="AE1577" t="n">
        <v>108</v>
      </c>
      <c r="AF1577" t="s">
        <v>4036</v>
      </c>
      <c r="AG1577" t="n">
        <v>112</v>
      </c>
    </row>
    <row r="1578">
      <c r="A1578" t="s">
        <v>4037</v>
      </c>
      <c r="B1578" t="s">
        <v>31</v>
      </c>
      <c r="C1578" t="s">
        <v>65</v>
      </c>
      <c r="D1578" t="s">
        <v>4038</v>
      </c>
      <c r="E1578" t="s">
        <v>3967</v>
      </c>
      <c r="F1578" t="s">
        <v>3950</v>
      </c>
      <c r="G1578" t="s">
        <v>3976</v>
      </c>
      <c r="H1578" t="n">
        <v>40.4100860915033</v>
      </c>
      <c r="I1578" t="n">
        <v>-104.664624568627</v>
      </c>
      <c r="J1578" t="s">
        <v>35</v>
      </c>
      <c r="K1578" t="s">
        <v>120</v>
      </c>
      <c r="L1578"/>
      <c r="M1578" t="n">
        <v>1980</v>
      </c>
      <c r="N1578" t="n">
        <v>1980</v>
      </c>
      <c r="O1578" t="s">
        <v>255</v>
      </c>
      <c r="P1578" t="n">
        <v>1</v>
      </c>
      <c r="Q1578" t="n">
        <v>1</v>
      </c>
      <c r="R1578" t="n">
        <v>1</v>
      </c>
      <c r="S1578" t="n">
        <v>1965</v>
      </c>
      <c r="T1578" t="s">
        <v>4039</v>
      </c>
      <c r="U1578" t="s">
        <v>4040</v>
      </c>
      <c r="V1578" t="s">
        <v>74</v>
      </c>
      <c r="W1578"/>
      <c r="X1578"/>
      <c r="Y1578"/>
      <c r="Z1578"/>
      <c r="AA1578"/>
      <c r="AB1578"/>
      <c r="AC1578"/>
      <c r="AD1578"/>
      <c r="AE1578"/>
      <c r="AF1578" t="s">
        <v>4041</v>
      </c>
      <c r="AG1578" t="n">
        <v>68</v>
      </c>
    </row>
    <row r="1579">
      <c r="A1579" t="s">
        <v>4042</v>
      </c>
      <c r="B1579" t="s">
        <v>31</v>
      </c>
      <c r="C1579" t="s">
        <v>65</v>
      </c>
      <c r="D1579" t="s">
        <v>4043</v>
      </c>
      <c r="E1579" t="s">
        <v>4044</v>
      </c>
      <c r="F1579" t="s">
        <v>3950</v>
      </c>
      <c r="G1579" t="s">
        <v>4045</v>
      </c>
      <c r="H1579" t="n">
        <v>40.2137018652465</v>
      </c>
      <c r="I1579" t="n">
        <v>-104.823367201053</v>
      </c>
      <c r="J1579" t="s">
        <v>35</v>
      </c>
      <c r="K1579" t="s">
        <v>70</v>
      </c>
      <c r="L1579"/>
      <c r="M1579" t="n">
        <v>1980</v>
      </c>
      <c r="N1579" t="n">
        <v>1992</v>
      </c>
      <c r="O1579" t="s">
        <v>3614</v>
      </c>
      <c r="P1579" t="n">
        <v>5</v>
      </c>
      <c r="Q1579" t="n">
        <v>4</v>
      </c>
      <c r="R1579" t="n">
        <v>3</v>
      </c>
      <c r="S1579" t="n">
        <v>1949</v>
      </c>
      <c r="T1579" t="s">
        <v>4046</v>
      </c>
      <c r="U1579" t="s">
        <v>4047</v>
      </c>
      <c r="V1579" t="s">
        <v>74</v>
      </c>
      <c r="W1579"/>
      <c r="X1579"/>
      <c r="Y1579"/>
      <c r="Z1579"/>
      <c r="AA1579"/>
      <c r="AB1579"/>
      <c r="AC1579"/>
      <c r="AD1579"/>
      <c r="AE1579"/>
      <c r="AF1579"/>
      <c r="AG1579"/>
    </row>
    <row r="1580">
      <c r="A1580" t="s">
        <v>4048</v>
      </c>
      <c r="B1580" t="s">
        <v>31</v>
      </c>
      <c r="C1580" t="s">
        <v>65</v>
      </c>
      <c r="D1580" t="s">
        <v>4049</v>
      </c>
      <c r="E1580" t="s">
        <v>4050</v>
      </c>
      <c r="F1580" t="s">
        <v>3950</v>
      </c>
      <c r="G1580" t="s">
        <v>4051</v>
      </c>
      <c r="H1580" t="n">
        <v>40.3772559126404</v>
      </c>
      <c r="I1580" t="n">
        <v>-104.699335822426</v>
      </c>
      <c r="J1580" t="s">
        <v>35</v>
      </c>
      <c r="K1580" t="s">
        <v>70</v>
      </c>
      <c r="L1580" t="s">
        <v>202</v>
      </c>
      <c r="M1580" t="n">
        <v>1983</v>
      </c>
      <c r="N1580" t="n">
        <v>1983</v>
      </c>
      <c r="O1580" t="s">
        <v>264</v>
      </c>
      <c r="P1580" t="n">
        <v>1</v>
      </c>
      <c r="Q1580" t="n">
        <v>1</v>
      </c>
      <c r="R1580" t="n">
        <v>1</v>
      </c>
      <c r="S1580" t="n">
        <v>1981</v>
      </c>
      <c r="T1580" t="s">
        <v>4052</v>
      </c>
      <c r="U1580" t="s">
        <v>4053</v>
      </c>
      <c r="V1580" t="s">
        <v>74</v>
      </c>
      <c r="W1580"/>
      <c r="X1580"/>
      <c r="Y1580"/>
      <c r="Z1580"/>
      <c r="AA1580"/>
      <c r="AB1580"/>
      <c r="AC1580"/>
      <c r="AD1580"/>
      <c r="AE1580"/>
      <c r="AF1580" t="s">
        <v>4054</v>
      </c>
      <c r="AG1580" t="n">
        <v>83</v>
      </c>
    </row>
    <row r="1581">
      <c r="A1581" t="s">
        <v>4055</v>
      </c>
      <c r="B1581" t="s">
        <v>31</v>
      </c>
      <c r="C1581" t="s">
        <v>65</v>
      </c>
      <c r="D1581" t="s">
        <v>4056</v>
      </c>
      <c r="E1581" t="s">
        <v>4012</v>
      </c>
      <c r="F1581" t="s">
        <v>3950</v>
      </c>
      <c r="G1581" t="s">
        <v>4013</v>
      </c>
      <c r="H1581" t="n">
        <v>40.0900757407407</v>
      </c>
      <c r="I1581" t="n">
        <v>-104.811583703704</v>
      </c>
      <c r="J1581" t="s">
        <v>35</v>
      </c>
      <c r="K1581" t="s">
        <v>70</v>
      </c>
      <c r="L1581"/>
      <c r="M1581" t="n">
        <v>1983</v>
      </c>
      <c r="N1581" t="n">
        <v>1983</v>
      </c>
      <c r="O1581" t="s">
        <v>264</v>
      </c>
      <c r="P1581" t="n">
        <v>1</v>
      </c>
      <c r="Q1581" t="n">
        <v>1</v>
      </c>
      <c r="R1581" t="n">
        <v>1</v>
      </c>
      <c r="S1581" t="n">
        <v>1980</v>
      </c>
      <c r="T1581" t="s">
        <v>4057</v>
      </c>
      <c r="U1581" t="s">
        <v>4058</v>
      </c>
      <c r="V1581" t="s">
        <v>74</v>
      </c>
      <c r="W1581"/>
      <c r="X1581"/>
      <c r="Y1581"/>
      <c r="Z1581"/>
      <c r="AA1581"/>
      <c r="AB1581"/>
      <c r="AC1581"/>
      <c r="AD1581"/>
      <c r="AE1581"/>
      <c r="AF1581" t="s">
        <v>4016</v>
      </c>
      <c r="AG1581" t="n">
        <v>227</v>
      </c>
    </row>
    <row r="1582">
      <c r="A1582" t="s">
        <v>4973</v>
      </c>
      <c r="B1582" t="s">
        <v>31</v>
      </c>
      <c r="C1582" t="s">
        <v>24</v>
      </c>
      <c r="D1582" t="s">
        <v>4974</v>
      </c>
      <c r="E1582" t="s">
        <v>3967</v>
      </c>
      <c r="F1582" t="s">
        <v>3950</v>
      </c>
      <c r="G1582" t="s">
        <v>3976</v>
      </c>
      <c r="H1582" t="n">
        <v>40.4271811163127</v>
      </c>
      <c r="I1582" t="n">
        <v>-104.683152956075</v>
      </c>
      <c r="J1582" t="s">
        <v>4109</v>
      </c>
      <c r="K1582" t="s">
        <v>141</v>
      </c>
      <c r="L1582"/>
      <c r="M1582" t="n">
        <v>1983</v>
      </c>
      <c r="N1582" t="n">
        <v>1983</v>
      </c>
      <c r="O1582" t="s">
        <v>264</v>
      </c>
      <c r="P1582" t="n">
        <v>1</v>
      </c>
      <c r="Q1582" t="n">
        <v>1</v>
      </c>
      <c r="R1582" t="n">
        <v>1</v>
      </c>
      <c r="S1582" t="n">
        <v>1970</v>
      </c>
      <c r="T1582" t="s">
        <v>4975</v>
      </c>
      <c r="U1582" t="s">
        <v>4976</v>
      </c>
      <c r="V1582" t="s">
        <v>74</v>
      </c>
      <c r="W1582"/>
      <c r="X1582"/>
      <c r="Y1582"/>
      <c r="Z1582"/>
      <c r="AA1582"/>
      <c r="AB1582"/>
      <c r="AC1582"/>
      <c r="AD1582"/>
      <c r="AE1582"/>
      <c r="AF1582" t="s">
        <v>4977</v>
      </c>
      <c r="AG1582" t="n">
        <v>193</v>
      </c>
    </row>
    <row r="1583">
      <c r="A1583" t="s">
        <v>4978</v>
      </c>
      <c r="B1583" t="s">
        <v>31</v>
      </c>
      <c r="C1583" t="s">
        <v>24</v>
      </c>
      <c r="D1583" t="s">
        <v>4979</v>
      </c>
      <c r="E1583" t="s">
        <v>3967</v>
      </c>
      <c r="F1583" t="s">
        <v>3950</v>
      </c>
      <c r="G1583" t="s">
        <v>4082</v>
      </c>
      <c r="H1583" t="n">
        <v>40.4292698787879</v>
      </c>
      <c r="I1583" t="n">
        <v>-104.780107858586</v>
      </c>
      <c r="J1583" t="s">
        <v>4109</v>
      </c>
      <c r="K1583" t="s">
        <v>796</v>
      </c>
      <c r="L1583"/>
      <c r="M1583" t="n">
        <v>1983</v>
      </c>
      <c r="N1583" t="n">
        <v>1983</v>
      </c>
      <c r="O1583" t="s">
        <v>264</v>
      </c>
      <c r="P1583" t="n">
        <v>1</v>
      </c>
      <c r="Q1583" t="n">
        <v>1</v>
      </c>
      <c r="R1583" t="n">
        <v>1</v>
      </c>
      <c r="S1583" t="n">
        <v>1977</v>
      </c>
      <c r="T1583" t="s">
        <v>4980</v>
      </c>
      <c r="U1583" t="s">
        <v>4981</v>
      </c>
      <c r="V1583" t="s">
        <v>74</v>
      </c>
      <c r="W1583"/>
      <c r="X1583"/>
      <c r="Y1583"/>
      <c r="Z1583"/>
      <c r="AA1583"/>
      <c r="AB1583"/>
      <c r="AC1583"/>
      <c r="AD1583"/>
      <c r="AE1583"/>
      <c r="AF1583"/>
      <c r="AG1583"/>
    </row>
    <row r="1584">
      <c r="A1584" t="s">
        <v>4982</v>
      </c>
      <c r="B1584" t="s">
        <v>31</v>
      </c>
      <c r="C1584" t="s">
        <v>24</v>
      </c>
      <c r="D1584" t="s">
        <v>4983</v>
      </c>
      <c r="E1584" t="s">
        <v>3967</v>
      </c>
      <c r="F1584" t="s">
        <v>3950</v>
      </c>
      <c r="G1584" t="s">
        <v>3976</v>
      </c>
      <c r="H1584" t="n">
        <v>40.4284271084005</v>
      </c>
      <c r="I1584" t="n">
        <v>-104.678385926879</v>
      </c>
      <c r="J1584" t="s">
        <v>4109</v>
      </c>
      <c r="K1584" t="s">
        <v>70</v>
      </c>
      <c r="L1584"/>
      <c r="M1584" t="n">
        <v>1983</v>
      </c>
      <c r="N1584" t="n">
        <v>1992</v>
      </c>
      <c r="O1584" t="s">
        <v>264</v>
      </c>
      <c r="P1584" t="n">
        <v>3</v>
      </c>
      <c r="Q1584" t="n">
        <v>3</v>
      </c>
      <c r="R1584" t="n">
        <v>1</v>
      </c>
      <c r="S1584" t="n">
        <v>1976</v>
      </c>
      <c r="T1584" t="s">
        <v>4984</v>
      </c>
      <c r="U1584" t="s">
        <v>4985</v>
      </c>
      <c r="V1584" t="s">
        <v>74</v>
      </c>
      <c r="W1584"/>
      <c r="X1584"/>
      <c r="Y1584"/>
      <c r="Z1584"/>
      <c r="AA1584"/>
      <c r="AB1584"/>
      <c r="AC1584"/>
      <c r="AD1584" t="s">
        <v>4986</v>
      </c>
      <c r="AE1584" t="n">
        <v>201</v>
      </c>
      <c r="AF1584" t="s">
        <v>4987</v>
      </c>
      <c r="AG1584" t="n">
        <v>143</v>
      </c>
    </row>
    <row r="1585">
      <c r="A1585" t="s">
        <v>4059</v>
      </c>
      <c r="B1585" t="s">
        <v>31</v>
      </c>
      <c r="C1585" t="s">
        <v>65</v>
      </c>
      <c r="D1585" t="s">
        <v>4060</v>
      </c>
      <c r="E1585" t="s">
        <v>3967</v>
      </c>
      <c r="F1585" t="s">
        <v>3950</v>
      </c>
      <c r="G1585" t="s">
        <v>3976</v>
      </c>
      <c r="H1585" t="n">
        <v>40.4175868367347</v>
      </c>
      <c r="I1585" t="n">
        <v>-104.708146653061</v>
      </c>
      <c r="J1585" t="s">
        <v>35</v>
      </c>
      <c r="K1585" t="s">
        <v>527</v>
      </c>
      <c r="L1585"/>
      <c r="M1585" t="n">
        <v>1983</v>
      </c>
      <c r="N1585" t="n">
        <v>1983</v>
      </c>
      <c r="O1585" t="s">
        <v>264</v>
      </c>
      <c r="P1585" t="n">
        <v>1</v>
      </c>
      <c r="Q1585" t="n">
        <v>1</v>
      </c>
      <c r="R1585" t="n">
        <v>1</v>
      </c>
      <c r="S1585" t="n">
        <v>1969</v>
      </c>
      <c r="T1585" t="s">
        <v>4061</v>
      </c>
      <c r="U1585" t="s">
        <v>4062</v>
      </c>
      <c r="V1585" t="s">
        <v>74</v>
      </c>
      <c r="W1585"/>
      <c r="X1585"/>
      <c r="Y1585"/>
      <c r="Z1585"/>
      <c r="AA1585"/>
      <c r="AB1585"/>
      <c r="AC1585"/>
      <c r="AD1585"/>
      <c r="AE1585"/>
      <c r="AF1585" t="s">
        <v>4063</v>
      </c>
      <c r="AG1585" t="n">
        <v>249</v>
      </c>
    </row>
    <row r="1586">
      <c r="A1586" t="s">
        <v>4988</v>
      </c>
      <c r="B1586" t="s">
        <v>31</v>
      </c>
      <c r="C1586" t="s">
        <v>24</v>
      </c>
      <c r="D1586" t="s">
        <v>4989</v>
      </c>
      <c r="E1586" t="s">
        <v>3967</v>
      </c>
      <c r="F1586" t="s">
        <v>3950</v>
      </c>
      <c r="G1586" t="s">
        <v>3976</v>
      </c>
      <c r="H1586" t="n">
        <v>40.391920539392</v>
      </c>
      <c r="I1586" t="n">
        <v>-104.689744802968</v>
      </c>
      <c r="J1586" t="s">
        <v>4109</v>
      </c>
      <c r="K1586" t="s">
        <v>120</v>
      </c>
      <c r="L1586"/>
      <c r="M1586" t="n">
        <v>1983</v>
      </c>
      <c r="N1586" t="n">
        <v>1983</v>
      </c>
      <c r="O1586" t="s">
        <v>264</v>
      </c>
      <c r="P1586" t="n">
        <v>1</v>
      </c>
      <c r="Q1586" t="n">
        <v>1</v>
      </c>
      <c r="R1586" t="n">
        <v>1</v>
      </c>
      <c r="S1586" t="n">
        <v>1960</v>
      </c>
      <c r="T1586" t="s">
        <v>4990</v>
      </c>
      <c r="U1586" t="s">
        <v>4991</v>
      </c>
      <c r="V1586" t="s">
        <v>74</v>
      </c>
      <c r="W1586"/>
      <c r="X1586"/>
      <c r="Y1586"/>
      <c r="Z1586"/>
      <c r="AA1586"/>
      <c r="AB1586"/>
      <c r="AC1586"/>
      <c r="AD1586"/>
      <c r="AE1586"/>
      <c r="AF1586" t="s">
        <v>4992</v>
      </c>
      <c r="AG1586" t="n">
        <v>149</v>
      </c>
    </row>
    <row r="1587">
      <c r="A1587" t="s">
        <v>4993</v>
      </c>
      <c r="B1587" t="s">
        <v>31</v>
      </c>
      <c r="C1587" t="s">
        <v>24</v>
      </c>
      <c r="D1587" t="s">
        <v>4994</v>
      </c>
      <c r="E1587" t="s">
        <v>3967</v>
      </c>
      <c r="F1587" t="s">
        <v>3950</v>
      </c>
      <c r="G1587" t="s">
        <v>3976</v>
      </c>
      <c r="H1587" t="n">
        <v>40.4110549183673</v>
      </c>
      <c r="I1587" t="n">
        <v>-104.698654755102</v>
      </c>
      <c r="J1587" t="s">
        <v>4109</v>
      </c>
      <c r="K1587" t="s">
        <v>796</v>
      </c>
      <c r="L1587"/>
      <c r="M1587" t="n">
        <v>1983</v>
      </c>
      <c r="N1587" t="n">
        <v>1983</v>
      </c>
      <c r="O1587" t="s">
        <v>264</v>
      </c>
      <c r="P1587" t="n">
        <v>1</v>
      </c>
      <c r="Q1587" t="n">
        <v>1</v>
      </c>
      <c r="R1587" t="n">
        <v>1</v>
      </c>
      <c r="S1587" t="n">
        <v>1970</v>
      </c>
      <c r="T1587" t="s">
        <v>4995</v>
      </c>
      <c r="U1587" t="s">
        <v>4996</v>
      </c>
      <c r="V1587" t="s">
        <v>74</v>
      </c>
      <c r="W1587"/>
      <c r="X1587"/>
      <c r="Y1587"/>
      <c r="Z1587"/>
      <c r="AA1587"/>
      <c r="AB1587"/>
      <c r="AC1587"/>
      <c r="AD1587"/>
      <c r="AE1587"/>
      <c r="AF1587"/>
      <c r="AG1587"/>
    </row>
    <row r="1588">
      <c r="A1588" t="s">
        <v>4064</v>
      </c>
      <c r="B1588" t="s">
        <v>31</v>
      </c>
      <c r="C1588" t="s">
        <v>65</v>
      </c>
      <c r="D1588" t="s">
        <v>4065</v>
      </c>
      <c r="E1588" t="s">
        <v>3967</v>
      </c>
      <c r="F1588" t="s">
        <v>3950</v>
      </c>
      <c r="G1588" t="s">
        <v>3976</v>
      </c>
      <c r="H1588" t="n">
        <v>40.3934015248478</v>
      </c>
      <c r="I1588" t="n">
        <v>-104.707928436879</v>
      </c>
      <c r="J1588" t="s">
        <v>35</v>
      </c>
      <c r="K1588" t="s">
        <v>133</v>
      </c>
      <c r="L1588"/>
      <c r="M1588" t="n">
        <v>1983</v>
      </c>
      <c r="N1588" t="n">
        <v>1990</v>
      </c>
      <c r="O1588" t="s">
        <v>283</v>
      </c>
      <c r="P1588" t="n">
        <v>3</v>
      </c>
      <c r="Q1588" t="n">
        <v>1</v>
      </c>
      <c r="R1588" t="n">
        <v>1</v>
      </c>
      <c r="S1588" t="n">
        <v>1976</v>
      </c>
      <c r="T1588" t="s">
        <v>4066</v>
      </c>
      <c r="U1588" t="s">
        <v>4067</v>
      </c>
      <c r="V1588" t="s">
        <v>74</v>
      </c>
      <c r="W1588"/>
      <c r="X1588"/>
      <c r="Y1588"/>
      <c r="Z1588"/>
      <c r="AA1588"/>
      <c r="AB1588"/>
      <c r="AC1588"/>
      <c r="AD1588"/>
      <c r="AE1588"/>
      <c r="AF1588" t="s">
        <v>4068</v>
      </c>
      <c r="AG1588" t="n">
        <v>185</v>
      </c>
    </row>
    <row r="1589">
      <c r="A1589" t="s">
        <v>4069</v>
      </c>
      <c r="B1589" t="s">
        <v>31</v>
      </c>
      <c r="C1589" t="s">
        <v>65</v>
      </c>
      <c r="D1589" t="s">
        <v>4070</v>
      </c>
      <c r="E1589" t="s">
        <v>3967</v>
      </c>
      <c r="F1589" t="s">
        <v>3950</v>
      </c>
      <c r="G1589" t="s">
        <v>3976</v>
      </c>
      <c r="H1589" t="n">
        <v>40.4100905752424</v>
      </c>
      <c r="I1589" t="n">
        <v>-104.670034857465</v>
      </c>
      <c r="J1589" t="s">
        <v>35</v>
      </c>
      <c r="K1589" t="s">
        <v>120</v>
      </c>
      <c r="L1589"/>
      <c r="M1589" t="n">
        <v>1983</v>
      </c>
      <c r="N1589" t="n">
        <v>1983</v>
      </c>
      <c r="O1589" t="s">
        <v>264</v>
      </c>
      <c r="P1589" t="n">
        <v>1</v>
      </c>
      <c r="Q1589" t="n">
        <v>1</v>
      </c>
      <c r="R1589" t="n">
        <v>1</v>
      </c>
      <c r="S1589" t="n">
        <v>1965</v>
      </c>
      <c r="T1589" t="s">
        <v>4071</v>
      </c>
      <c r="U1589" t="s">
        <v>4072</v>
      </c>
      <c r="V1589" t="s">
        <v>74</v>
      </c>
      <c r="W1589"/>
      <c r="X1589"/>
      <c r="Y1589"/>
      <c r="Z1589"/>
      <c r="AA1589"/>
      <c r="AB1589"/>
      <c r="AC1589"/>
      <c r="AD1589"/>
      <c r="AE1589"/>
      <c r="AF1589" t="s">
        <v>4073</v>
      </c>
      <c r="AG1589" t="n">
        <v>202</v>
      </c>
    </row>
    <row r="1590">
      <c r="A1590" t="s">
        <v>4074</v>
      </c>
      <c r="B1590" t="s">
        <v>31</v>
      </c>
      <c r="C1590" t="s">
        <v>65</v>
      </c>
      <c r="D1590" t="s">
        <v>4075</v>
      </c>
      <c r="E1590" t="s">
        <v>3967</v>
      </c>
      <c r="F1590" t="s">
        <v>3950</v>
      </c>
      <c r="G1590" t="s">
        <v>4076</v>
      </c>
      <c r="H1590" t="n">
        <v>40.4327083673469</v>
      </c>
      <c r="I1590" t="n">
        <v>-104.689071653061</v>
      </c>
      <c r="J1590" t="s">
        <v>35</v>
      </c>
      <c r="K1590" t="s">
        <v>70</v>
      </c>
      <c r="L1590"/>
      <c r="M1590" t="n">
        <v>1988</v>
      </c>
      <c r="N1590" t="n">
        <v>1988</v>
      </c>
      <c r="O1590" t="s">
        <v>325</v>
      </c>
      <c r="P1590" t="n">
        <v>1</v>
      </c>
      <c r="Q1590" t="n">
        <v>1</v>
      </c>
      <c r="R1590" t="n">
        <v>1</v>
      </c>
      <c r="S1590" t="n">
        <v>1978</v>
      </c>
      <c r="T1590" t="s">
        <v>4077</v>
      </c>
      <c r="U1590" t="s">
        <v>4078</v>
      </c>
      <c r="V1590" t="s">
        <v>74</v>
      </c>
      <c r="W1590"/>
      <c r="X1590"/>
      <c r="Y1590"/>
      <c r="Z1590"/>
      <c r="AA1590"/>
      <c r="AB1590"/>
      <c r="AC1590"/>
      <c r="AD1590"/>
      <c r="AE1590"/>
      <c r="AF1590" t="s">
        <v>4079</v>
      </c>
      <c r="AG1590" t="n">
        <v>167</v>
      </c>
    </row>
    <row r="1591">
      <c r="A1591" t="s">
        <v>4997</v>
      </c>
      <c r="B1591" t="s">
        <v>31</v>
      </c>
      <c r="C1591" t="s">
        <v>24</v>
      </c>
      <c r="D1591" t="s">
        <v>4998</v>
      </c>
      <c r="E1591" t="s">
        <v>4012</v>
      </c>
      <c r="F1591" t="s">
        <v>3950</v>
      </c>
      <c r="G1591" t="s">
        <v>4013</v>
      </c>
      <c r="H1591" t="n">
        <v>40.094537</v>
      </c>
      <c r="I1591" t="n">
        <v>-104.828657</v>
      </c>
      <c r="J1591" t="s">
        <v>4109</v>
      </c>
      <c r="K1591" t="s">
        <v>141</v>
      </c>
      <c r="L1591"/>
      <c r="M1591" t="n">
        <v>1988</v>
      </c>
      <c r="N1591" t="n">
        <v>1988</v>
      </c>
      <c r="O1591" t="s">
        <v>325</v>
      </c>
      <c r="P1591" t="n">
        <v>1</v>
      </c>
      <c r="Q1591" t="n">
        <v>1</v>
      </c>
      <c r="R1591" t="n">
        <v>1</v>
      </c>
      <c r="S1591" t="n">
        <v>1979</v>
      </c>
      <c r="T1591" t="s">
        <v>4999</v>
      </c>
      <c r="U1591" t="s">
        <v>5000</v>
      </c>
      <c r="V1591" t="s">
        <v>74</v>
      </c>
      <c r="W1591"/>
      <c r="X1591"/>
      <c r="Y1591"/>
      <c r="Z1591"/>
      <c r="AA1591"/>
      <c r="AB1591"/>
      <c r="AC1591"/>
      <c r="AD1591"/>
      <c r="AE1591"/>
      <c r="AF1591"/>
      <c r="AG1591"/>
    </row>
    <row r="1592">
      <c r="A1592" t="s">
        <v>4080</v>
      </c>
      <c r="B1592" t="s">
        <v>31</v>
      </c>
      <c r="C1592" t="s">
        <v>65</v>
      </c>
      <c r="D1592" t="s">
        <v>4081</v>
      </c>
      <c r="E1592" t="s">
        <v>3967</v>
      </c>
      <c r="F1592" t="s">
        <v>3950</v>
      </c>
      <c r="G1592" t="s">
        <v>4082</v>
      </c>
      <c r="H1592" t="n">
        <v>40.4213437305359</v>
      </c>
      <c r="I1592" t="n">
        <v>-104.781343477218</v>
      </c>
      <c r="J1592" t="s">
        <v>35</v>
      </c>
      <c r="K1592" t="s">
        <v>141</v>
      </c>
      <c r="L1592" t="s">
        <v>1808</v>
      </c>
      <c r="M1592" t="n">
        <v>1988</v>
      </c>
      <c r="N1592" t="n">
        <v>1990</v>
      </c>
      <c r="O1592" t="s">
        <v>310</v>
      </c>
      <c r="P1592" t="n">
        <v>2</v>
      </c>
      <c r="Q1592" t="n">
        <v>5</v>
      </c>
      <c r="R1592" t="n">
        <v>5</v>
      </c>
      <c r="S1592" t="n">
        <v>1973</v>
      </c>
      <c r="T1592" t="s">
        <v>4083</v>
      </c>
      <c r="U1592" t="s">
        <v>4084</v>
      </c>
      <c r="V1592" t="s">
        <v>74</v>
      </c>
      <c r="W1592"/>
      <c r="X1592"/>
      <c r="Y1592"/>
      <c r="Z1592"/>
      <c r="AA1592"/>
      <c r="AB1592" t="s">
        <v>4085</v>
      </c>
      <c r="AC1592" t="n">
        <v>170</v>
      </c>
      <c r="AD1592"/>
      <c r="AE1592"/>
      <c r="AF1592" t="s">
        <v>4086</v>
      </c>
      <c r="AG1592" t="n">
        <v>123</v>
      </c>
    </row>
    <row r="1593">
      <c r="A1593" t="s">
        <v>5001</v>
      </c>
      <c r="B1593" t="s">
        <v>31</v>
      </c>
      <c r="C1593" t="s">
        <v>24</v>
      </c>
      <c r="D1593" t="s">
        <v>5002</v>
      </c>
      <c r="E1593" t="s">
        <v>3967</v>
      </c>
      <c r="F1593" t="s">
        <v>3950</v>
      </c>
      <c r="G1593" t="s">
        <v>3976</v>
      </c>
      <c r="H1593" t="n">
        <v>40.4126138125</v>
      </c>
      <c r="I1593" t="n">
        <v>-104.6909496875</v>
      </c>
      <c r="J1593" t="s">
        <v>4109</v>
      </c>
      <c r="K1593" t="s">
        <v>70</v>
      </c>
      <c r="L1593"/>
      <c r="M1593" t="n">
        <v>1988</v>
      </c>
      <c r="N1593" t="n">
        <v>1990</v>
      </c>
      <c r="O1593" t="s">
        <v>325</v>
      </c>
      <c r="P1593" t="n">
        <v>2</v>
      </c>
      <c r="Q1593" t="n">
        <v>1</v>
      </c>
      <c r="R1593" t="n">
        <v>1</v>
      </c>
      <c r="S1593" t="n">
        <v>1967</v>
      </c>
      <c r="T1593" t="s">
        <v>5003</v>
      </c>
      <c r="U1593" t="s">
        <v>5004</v>
      </c>
      <c r="V1593" t="s">
        <v>74</v>
      </c>
      <c r="W1593"/>
      <c r="X1593"/>
      <c r="Y1593"/>
      <c r="Z1593"/>
      <c r="AA1593"/>
      <c r="AB1593"/>
      <c r="AC1593"/>
      <c r="AD1593"/>
      <c r="AE1593"/>
      <c r="AF1593"/>
      <c r="AG1593"/>
    </row>
    <row r="1594">
      <c r="A1594" t="s">
        <v>4087</v>
      </c>
      <c r="B1594" t="s">
        <v>31</v>
      </c>
      <c r="C1594" t="s">
        <v>65</v>
      </c>
      <c r="D1594" t="s">
        <v>4088</v>
      </c>
      <c r="E1594" t="s">
        <v>3967</v>
      </c>
      <c r="F1594" t="s">
        <v>3950</v>
      </c>
      <c r="G1594" t="s">
        <v>4089</v>
      </c>
      <c r="H1594" t="n">
        <v>40.415448021305</v>
      </c>
      <c r="I1594" t="n">
        <v>-104.677975263453</v>
      </c>
      <c r="J1594" t="s">
        <v>35</v>
      </c>
      <c r="K1594" t="s">
        <v>120</v>
      </c>
      <c r="L1594"/>
      <c r="M1594" t="n">
        <v>1988</v>
      </c>
      <c r="N1594" t="n">
        <v>1990</v>
      </c>
      <c r="O1594" t="s">
        <v>310</v>
      </c>
      <c r="P1594" t="n">
        <v>2</v>
      </c>
      <c r="Q1594" t="n">
        <v>2</v>
      </c>
      <c r="R1594" t="n">
        <v>2</v>
      </c>
      <c r="S1594" t="n">
        <v>1969</v>
      </c>
      <c r="T1594" t="s">
        <v>4090</v>
      </c>
      <c r="U1594" t="s">
        <v>4091</v>
      </c>
      <c r="V1594" t="s">
        <v>74</v>
      </c>
      <c r="W1594"/>
      <c r="X1594"/>
      <c r="Y1594"/>
      <c r="Z1594"/>
      <c r="AA1594"/>
      <c r="AB1594"/>
      <c r="AC1594"/>
      <c r="AD1594" t="s">
        <v>4092</v>
      </c>
      <c r="AE1594" t="n">
        <v>245</v>
      </c>
      <c r="AF1594" t="s">
        <v>4093</v>
      </c>
      <c r="AG1594" t="n">
        <v>74</v>
      </c>
    </row>
    <row r="1595">
      <c r="A1595" t="s">
        <v>5005</v>
      </c>
      <c r="B1595" t="s">
        <v>31</v>
      </c>
      <c r="C1595" t="s">
        <v>24</v>
      </c>
      <c r="D1595" t="s">
        <v>5006</v>
      </c>
      <c r="E1595" t="s">
        <v>4044</v>
      </c>
      <c r="F1595" t="s">
        <v>3950</v>
      </c>
      <c r="G1595" t="s">
        <v>4045</v>
      </c>
      <c r="H1595" t="n">
        <v>40.23188</v>
      </c>
      <c r="I1595" t="n">
        <v>-104.819491</v>
      </c>
      <c r="J1595" t="s">
        <v>4109</v>
      </c>
      <c r="K1595" t="s">
        <v>126</v>
      </c>
      <c r="L1595"/>
      <c r="M1595" t="n">
        <v>1988</v>
      </c>
      <c r="N1595" t="n">
        <v>1990</v>
      </c>
      <c r="O1595" t="s">
        <v>310</v>
      </c>
      <c r="P1595" t="n">
        <v>2</v>
      </c>
      <c r="Q1595" t="n">
        <v>3</v>
      </c>
      <c r="R1595" t="n">
        <v>3</v>
      </c>
      <c r="S1595" t="n">
        <v>1976</v>
      </c>
      <c r="T1595" t="s">
        <v>5007</v>
      </c>
      <c r="U1595" t="s">
        <v>5008</v>
      </c>
      <c r="V1595" t="s">
        <v>74</v>
      </c>
      <c r="W1595"/>
      <c r="X1595"/>
      <c r="Y1595"/>
      <c r="Z1595"/>
      <c r="AA1595"/>
      <c r="AB1595"/>
      <c r="AC1595"/>
      <c r="AD1595"/>
      <c r="AE1595"/>
      <c r="AF1595"/>
      <c r="AG1595"/>
    </row>
    <row r="1596">
      <c r="A1596" t="s">
        <v>4094</v>
      </c>
      <c r="B1596" t="s">
        <v>31</v>
      </c>
      <c r="C1596" t="s">
        <v>65</v>
      </c>
      <c r="D1596" t="s">
        <v>4095</v>
      </c>
      <c r="E1596" t="s">
        <v>3967</v>
      </c>
      <c r="F1596" t="s">
        <v>3950</v>
      </c>
      <c r="G1596" t="s">
        <v>4082</v>
      </c>
      <c r="H1596" t="n">
        <v>40.4213451176403</v>
      </c>
      <c r="I1596" t="n">
        <v>-104.782275326009</v>
      </c>
      <c r="J1596" t="s">
        <v>35</v>
      </c>
      <c r="K1596" t="s">
        <v>315</v>
      </c>
      <c r="L1596"/>
      <c r="M1596" t="n">
        <v>1990</v>
      </c>
      <c r="N1596" t="n">
        <v>1990</v>
      </c>
      <c r="O1596" t="s">
        <v>351</v>
      </c>
      <c r="P1596" t="n">
        <v>1</v>
      </c>
      <c r="Q1596" t="n">
        <v>1</v>
      </c>
      <c r="R1596" t="n">
        <v>1</v>
      </c>
      <c r="S1596" t="n">
        <v>1979</v>
      </c>
      <c r="T1596" t="s">
        <v>4096</v>
      </c>
      <c r="U1596" t="s">
        <v>4097</v>
      </c>
      <c r="V1596" t="s">
        <v>74</v>
      </c>
      <c r="W1596"/>
      <c r="X1596"/>
      <c r="Y1596"/>
      <c r="Z1596"/>
      <c r="AA1596"/>
      <c r="AB1596" t="s">
        <v>4085</v>
      </c>
      <c r="AC1596" t="n">
        <v>248</v>
      </c>
      <c r="AD1596"/>
      <c r="AE1596"/>
      <c r="AF1596" t="s">
        <v>4086</v>
      </c>
      <c r="AG1596" t="n">
        <v>202</v>
      </c>
    </row>
    <row r="1597">
      <c r="A1597" t="s">
        <v>4098</v>
      </c>
      <c r="B1597" t="s">
        <v>31</v>
      </c>
      <c r="C1597" t="s">
        <v>65</v>
      </c>
      <c r="D1597" t="s">
        <v>4099</v>
      </c>
      <c r="E1597" t="s">
        <v>3967</v>
      </c>
      <c r="F1597" t="s">
        <v>3950</v>
      </c>
      <c r="G1597" t="s">
        <v>3976</v>
      </c>
      <c r="H1597" t="n">
        <v>40.410077</v>
      </c>
      <c r="I1597" t="n">
        <v>-104.674398</v>
      </c>
      <c r="J1597" t="s">
        <v>35</v>
      </c>
      <c r="K1597" t="s">
        <v>2274</v>
      </c>
      <c r="L1597"/>
      <c r="M1597" t="n">
        <v>1990</v>
      </c>
      <c r="N1597" t="n">
        <v>1990</v>
      </c>
      <c r="O1597" t="s">
        <v>351</v>
      </c>
      <c r="P1597" t="n">
        <v>1</v>
      </c>
      <c r="Q1597" t="n">
        <v>1</v>
      </c>
      <c r="R1597" t="n">
        <v>1</v>
      </c>
      <c r="S1597" t="n">
        <v>1980</v>
      </c>
      <c r="T1597" t="s">
        <v>4100</v>
      </c>
      <c r="U1597" t="s">
        <v>4101</v>
      </c>
      <c r="V1597" t="s">
        <v>74</v>
      </c>
      <c r="W1597"/>
      <c r="X1597"/>
      <c r="Y1597"/>
      <c r="Z1597"/>
      <c r="AA1597"/>
      <c r="AB1597"/>
      <c r="AC1597"/>
      <c r="AD1597"/>
      <c r="AE1597"/>
      <c r="AF1597"/>
      <c r="AG1597"/>
    </row>
    <row r="1598">
      <c r="A1598" t="s">
        <v>4102</v>
      </c>
      <c r="B1598" t="s">
        <v>31</v>
      </c>
      <c r="C1598" t="s">
        <v>65</v>
      </c>
      <c r="D1598" t="s">
        <v>4103</v>
      </c>
      <c r="E1598" t="s">
        <v>3967</v>
      </c>
      <c r="F1598" t="s">
        <v>3950</v>
      </c>
      <c r="G1598" t="s">
        <v>3976</v>
      </c>
      <c r="H1598" t="n">
        <v>40.4150345714286</v>
      </c>
      <c r="I1598" t="n">
        <v>-104.683713102041</v>
      </c>
      <c r="J1598" t="s">
        <v>35</v>
      </c>
      <c r="K1598" t="s">
        <v>70</v>
      </c>
      <c r="L1598"/>
      <c r="M1598" t="n">
        <v>1990</v>
      </c>
      <c r="N1598" t="n">
        <v>1990</v>
      </c>
      <c r="O1598" t="s">
        <v>351</v>
      </c>
      <c r="P1598" t="n">
        <v>1</v>
      </c>
      <c r="Q1598" t="n">
        <v>1</v>
      </c>
      <c r="R1598" t="n">
        <v>1</v>
      </c>
      <c r="S1598" t="n">
        <v>1978</v>
      </c>
      <c r="T1598" t="s">
        <v>4104</v>
      </c>
      <c r="U1598" t="s">
        <v>4105</v>
      </c>
      <c r="V1598" t="s">
        <v>74</v>
      </c>
      <c r="W1598"/>
      <c r="X1598"/>
      <c r="Y1598"/>
      <c r="Z1598"/>
      <c r="AA1598"/>
      <c r="AB1598"/>
      <c r="AC1598"/>
      <c r="AD1598"/>
      <c r="AE1598"/>
      <c r="AF1598" t="s">
        <v>4106</v>
      </c>
      <c r="AG1598" t="n">
        <v>157</v>
      </c>
    </row>
    <row r="1599">
      <c r="A1599" t="s">
        <v>5009</v>
      </c>
      <c r="B1599" t="s">
        <v>31</v>
      </c>
      <c r="C1599" t="s">
        <v>24</v>
      </c>
      <c r="D1599" t="s">
        <v>5010</v>
      </c>
      <c r="E1599" t="s">
        <v>3967</v>
      </c>
      <c r="F1599" t="s">
        <v>3950</v>
      </c>
      <c r="G1599" t="s">
        <v>3976</v>
      </c>
      <c r="H1599" t="n">
        <v>40.3988602132753</v>
      </c>
      <c r="I1599" t="n">
        <v>-104.677887794655</v>
      </c>
      <c r="J1599" t="s">
        <v>4109</v>
      </c>
      <c r="K1599" t="s">
        <v>220</v>
      </c>
      <c r="L1599"/>
      <c r="M1599" t="n">
        <v>1990</v>
      </c>
      <c r="N1599" t="n">
        <v>1990</v>
      </c>
      <c r="O1599" t="s">
        <v>351</v>
      </c>
      <c r="P1599" t="n">
        <v>1</v>
      </c>
      <c r="Q1599" t="n">
        <v>1</v>
      </c>
      <c r="R1599" t="n">
        <v>1</v>
      </c>
      <c r="S1599" t="n">
        <v>1981</v>
      </c>
      <c r="T1599" t="s">
        <v>5011</v>
      </c>
      <c r="U1599" t="s">
        <v>5012</v>
      </c>
      <c r="V1599" t="s">
        <v>74</v>
      </c>
      <c r="W1599"/>
      <c r="X1599"/>
      <c r="Y1599"/>
      <c r="Z1599"/>
      <c r="AA1599"/>
      <c r="AB1599"/>
      <c r="AC1599"/>
      <c r="AD1599"/>
      <c r="AE1599"/>
      <c r="AF1599"/>
      <c r="AG1599"/>
    </row>
    <row r="1600">
      <c r="A1600" t="s">
        <v>5013</v>
      </c>
      <c r="B1600" t="s">
        <v>31</v>
      </c>
      <c r="C1600" t="s">
        <v>24</v>
      </c>
      <c r="D1600" t="s">
        <v>5014</v>
      </c>
      <c r="E1600" t="s">
        <v>3967</v>
      </c>
      <c r="F1600" t="s">
        <v>3950</v>
      </c>
      <c r="G1600" t="s">
        <v>3976</v>
      </c>
      <c r="H1600" t="n">
        <v>40.427138959677</v>
      </c>
      <c r="I1600" t="n">
        <v>-104.683579517931</v>
      </c>
      <c r="J1600" t="s">
        <v>4109</v>
      </c>
      <c r="K1600" t="s">
        <v>70</v>
      </c>
      <c r="L1600"/>
      <c r="M1600" t="n">
        <v>1992</v>
      </c>
      <c r="N1600" t="n">
        <v>1992</v>
      </c>
      <c r="O1600" t="s">
        <v>1016</v>
      </c>
      <c r="P1600" t="n">
        <v>1</v>
      </c>
      <c r="Q1600" t="n">
        <v>1</v>
      </c>
      <c r="R1600" t="n">
        <v>1</v>
      </c>
      <c r="S1600" t="n">
        <v>1970</v>
      </c>
      <c r="T1600" t="s">
        <v>5015</v>
      </c>
      <c r="U1600" t="s">
        <v>5016</v>
      </c>
      <c r="V1600" t="s">
        <v>74</v>
      </c>
      <c r="W1600"/>
      <c r="X1600"/>
      <c r="Y1600"/>
      <c r="Z1600"/>
      <c r="AA1600"/>
      <c r="AB1600"/>
      <c r="AC1600"/>
      <c r="AD1600"/>
      <c r="AE1600"/>
      <c r="AF1600" t="s">
        <v>4977</v>
      </c>
      <c r="AG1600" t="n">
        <v>156</v>
      </c>
    </row>
    <row r="1601">
      <c r="A1601" t="s">
        <v>5017</v>
      </c>
      <c r="B1601" t="s">
        <v>31</v>
      </c>
      <c r="C1601" t="s">
        <v>24</v>
      </c>
      <c r="D1601" t="s">
        <v>5018</v>
      </c>
      <c r="E1601" t="s">
        <v>3967</v>
      </c>
      <c r="F1601" t="s">
        <v>3950</v>
      </c>
      <c r="G1601" t="s">
        <v>3976</v>
      </c>
      <c r="H1601" t="n">
        <v>40.4292203877551</v>
      </c>
      <c r="I1601" t="n">
        <v>-104.692562469388</v>
      </c>
      <c r="J1601" t="s">
        <v>4109</v>
      </c>
      <c r="K1601" t="s">
        <v>70</v>
      </c>
      <c r="L1601"/>
      <c r="M1601" t="n">
        <v>1992</v>
      </c>
      <c r="N1601" t="n">
        <v>1992</v>
      </c>
      <c r="O1601" t="s">
        <v>1016</v>
      </c>
      <c r="P1601" t="n">
        <v>1</v>
      </c>
      <c r="Q1601" t="n">
        <v>1</v>
      </c>
      <c r="R1601" t="n">
        <v>1</v>
      </c>
      <c r="S1601" t="n">
        <v>1973</v>
      </c>
      <c r="T1601" t="s">
        <v>5019</v>
      </c>
      <c r="U1601" t="s">
        <v>5020</v>
      </c>
      <c r="V1601" t="s">
        <v>74</v>
      </c>
      <c r="W1601"/>
      <c r="X1601"/>
      <c r="Y1601"/>
      <c r="Z1601"/>
      <c r="AA1601"/>
      <c r="AB1601"/>
      <c r="AC1601"/>
      <c r="AD1601"/>
      <c r="AE1601"/>
      <c r="AF1601" t="s">
        <v>5021</v>
      </c>
      <c r="AG1601" t="n">
        <v>154</v>
      </c>
    </row>
    <row r="1602">
      <c r="A1602" t="s">
        <v>5022</v>
      </c>
      <c r="B1602" t="s">
        <v>31</v>
      </c>
      <c r="C1602" t="s">
        <v>24</v>
      </c>
      <c r="D1602" t="s">
        <v>5023</v>
      </c>
      <c r="E1602" t="s">
        <v>5024</v>
      </c>
      <c r="F1602" t="s">
        <v>5025</v>
      </c>
      <c r="G1602" t="s">
        <v>5026</v>
      </c>
      <c r="H1602" t="n">
        <v>40.080878</v>
      </c>
      <c r="I1602" t="n">
        <v>-102.22209</v>
      </c>
      <c r="J1602" t="s">
        <v>4109</v>
      </c>
      <c r="K1602" t="s">
        <v>126</v>
      </c>
      <c r="L1602"/>
      <c r="M1602" t="n">
        <v>1992</v>
      </c>
      <c r="N1602" t="n">
        <v>1992</v>
      </c>
      <c r="O1602" t="s">
        <v>1016</v>
      </c>
      <c r="P1602" t="n">
        <v>1</v>
      </c>
      <c r="Q1602" t="n">
        <v>1</v>
      </c>
      <c r="R1602" t="n">
        <v>1</v>
      </c>
      <c r="S1602"/>
      <c r="T1602" t="s">
        <v>5027</v>
      </c>
      <c r="U1602" t="s">
        <v>5028</v>
      </c>
      <c r="V1602" t="s">
        <v>74</v>
      </c>
      <c r="W1602"/>
      <c r="X1602"/>
      <c r="Y1602"/>
      <c r="Z1602"/>
      <c r="AA1602"/>
      <c r="AB1602"/>
      <c r="AC1602"/>
      <c r="AD1602"/>
      <c r="AE1602"/>
      <c r="AF1602" t="s">
        <v>5029</v>
      </c>
      <c r="AG1602" t="n">
        <v>233</v>
      </c>
    </row>
    <row r="1603">
      <c r="A1603" t="s">
        <v>10648</v>
      </c>
      <c r="B1603" t="s">
        <v>30</v>
      </c>
      <c r="C1603" t="s">
        <v>65</v>
      </c>
      <c r="D1603" t="s">
        <v>10649</v>
      </c>
      <c r="E1603" t="s">
        <v>79</v>
      </c>
      <c r="F1603" t="s">
        <v>68</v>
      </c>
      <c r="G1603" t="s">
        <v>80</v>
      </c>
      <c r="H1603" t="n">
        <v>39.797683</v>
      </c>
      <c r="I1603" t="n">
        <v>-105.025378</v>
      </c>
      <c r="J1603" t="s">
        <v>35</v>
      </c>
      <c r="K1603" t="s">
        <v>270</v>
      </c>
      <c r="L1603"/>
      <c r="M1603" t="n">
        <v>1966</v>
      </c>
      <c r="N1603" t="n">
        <v>1990</v>
      </c>
      <c r="O1603" t="s">
        <v>740</v>
      </c>
      <c r="P1603" t="n">
        <v>6</v>
      </c>
      <c r="Q1603" t="n">
        <v>3</v>
      </c>
      <c r="R1603" t="n">
        <v>2</v>
      </c>
      <c r="S1603" t="n">
        <v>1960</v>
      </c>
      <c r="T1603" t="s">
        <v>10650</v>
      </c>
      <c r="U1603" t="s">
        <v>10651</v>
      </c>
      <c r="V1603" t="s">
        <v>74</v>
      </c>
      <c r="W1603"/>
      <c r="X1603"/>
      <c r="Y1603"/>
      <c r="Z1603"/>
      <c r="AA1603" t="s">
        <v>10652</v>
      </c>
      <c r="AB1603"/>
      <c r="AC1603"/>
      <c r="AD1603"/>
      <c r="AE1603"/>
      <c r="AF1603" t="s">
        <v>10653</v>
      </c>
      <c r="AG1603" t="n">
        <v>154</v>
      </c>
    </row>
    <row r="1604">
      <c r="A1604" t="s">
        <v>10654</v>
      </c>
      <c r="B1604" t="s">
        <v>30</v>
      </c>
      <c r="C1604" t="s">
        <v>24</v>
      </c>
      <c r="D1604" t="s">
        <v>10655</v>
      </c>
      <c r="E1604" t="s">
        <v>95</v>
      </c>
      <c r="F1604" t="s">
        <v>68</v>
      </c>
      <c r="G1604"/>
      <c r="H1604" t="n">
        <v>39.7513625681537</v>
      </c>
      <c r="I1604" t="n">
        <v>-104.875223705735</v>
      </c>
      <c r="J1604" t="s">
        <v>4109</v>
      </c>
      <c r="K1604" t="s">
        <v>126</v>
      </c>
      <c r="L1604"/>
      <c r="M1604" t="n">
        <v>1968</v>
      </c>
      <c r="N1604" t="n">
        <v>1977</v>
      </c>
      <c r="O1604" t="s">
        <v>90</v>
      </c>
      <c r="P1604" t="n">
        <v>5</v>
      </c>
      <c r="Q1604" t="n">
        <v>3</v>
      </c>
      <c r="R1604" t="n">
        <v>2</v>
      </c>
      <c r="S1604" t="n">
        <v>1964</v>
      </c>
      <c r="T1604" t="s">
        <v>10656</v>
      </c>
      <c r="U1604" t="s">
        <v>10657</v>
      </c>
      <c r="V1604" t="s">
        <v>74</v>
      </c>
      <c r="W1604"/>
      <c r="X1604"/>
      <c r="Y1604"/>
      <c r="Z1604"/>
      <c r="AA1604" t="s">
        <v>10658</v>
      </c>
      <c r="AB1604" t="s">
        <v>5562</v>
      </c>
      <c r="AC1604" t="n">
        <v>181</v>
      </c>
      <c r="AD1604"/>
      <c r="AE1604"/>
      <c r="AF1604" t="s">
        <v>5563</v>
      </c>
      <c r="AG1604" t="n">
        <v>84</v>
      </c>
    </row>
    <row r="1605">
      <c r="A1605" t="s">
        <v>10659</v>
      </c>
      <c r="B1605" t="s">
        <v>30</v>
      </c>
      <c r="C1605" t="s">
        <v>65</v>
      </c>
      <c r="D1605" t="s">
        <v>10660</v>
      </c>
      <c r="E1605" t="s">
        <v>79</v>
      </c>
      <c r="F1605" t="s">
        <v>68</v>
      </c>
      <c r="G1605" t="s">
        <v>80</v>
      </c>
      <c r="H1605" t="n">
        <v>39.795885</v>
      </c>
      <c r="I1605" t="n">
        <v>-105.025324</v>
      </c>
      <c r="J1605" t="s">
        <v>35</v>
      </c>
      <c r="K1605" t="s">
        <v>282</v>
      </c>
      <c r="L1605"/>
      <c r="M1605" t="n">
        <v>1968</v>
      </c>
      <c r="N1605" t="n">
        <v>1968</v>
      </c>
      <c r="O1605" t="s">
        <v>1349</v>
      </c>
      <c r="P1605" t="n">
        <v>1</v>
      </c>
      <c r="Q1605" t="n">
        <v>1</v>
      </c>
      <c r="R1605" t="n">
        <v>1</v>
      </c>
      <c r="S1605" t="n">
        <v>1933</v>
      </c>
      <c r="T1605" t="s">
        <v>10661</v>
      </c>
      <c r="U1605" t="s">
        <v>10662</v>
      </c>
      <c r="V1605" t="s">
        <v>74</v>
      </c>
      <c r="W1605"/>
      <c r="X1605"/>
      <c r="Y1605"/>
      <c r="Z1605"/>
      <c r="AA1605" t="s">
        <v>10663</v>
      </c>
      <c r="AB1605"/>
      <c r="AC1605"/>
      <c r="AD1605"/>
      <c r="AE1605"/>
      <c r="AF1605" t="s">
        <v>10653</v>
      </c>
      <c r="AG1605" t="n">
        <v>46</v>
      </c>
    </row>
    <row r="1606">
      <c r="A1606" t="s">
        <v>10664</v>
      </c>
      <c r="B1606" t="s">
        <v>30</v>
      </c>
      <c r="C1606" t="s">
        <v>65</v>
      </c>
      <c r="D1606" t="s">
        <v>10665</v>
      </c>
      <c r="E1606" t="s">
        <v>67</v>
      </c>
      <c r="F1606" t="s">
        <v>68</v>
      </c>
      <c r="G1606" t="s">
        <v>69</v>
      </c>
      <c r="H1606" t="n">
        <v>39.7861889013606</v>
      </c>
      <c r="I1606" t="n">
        <v>-104.90822572449</v>
      </c>
      <c r="J1606" t="s">
        <v>35</v>
      </c>
      <c r="K1606" t="s">
        <v>527</v>
      </c>
      <c r="L1606"/>
      <c r="M1606" t="n">
        <v>1970</v>
      </c>
      <c r="N1606" t="n">
        <v>1983</v>
      </c>
      <c r="O1606" t="s">
        <v>4587</v>
      </c>
      <c r="P1606" t="n">
        <v>5</v>
      </c>
      <c r="Q1606" t="n">
        <v>3</v>
      </c>
      <c r="R1606" t="n">
        <v>3</v>
      </c>
      <c r="S1606" t="n">
        <v>1969</v>
      </c>
      <c r="T1606" t="s">
        <v>10666</v>
      </c>
      <c r="U1606" t="s">
        <v>10667</v>
      </c>
      <c r="V1606" t="s">
        <v>74</v>
      </c>
      <c r="W1606"/>
      <c r="X1606"/>
      <c r="Y1606"/>
      <c r="Z1606"/>
      <c r="AA1606" t="s">
        <v>10668</v>
      </c>
      <c r="AB1606"/>
      <c r="AC1606"/>
      <c r="AD1606"/>
      <c r="AE1606"/>
      <c r="AF1606" t="s">
        <v>10669</v>
      </c>
      <c r="AG1606" t="n">
        <v>77</v>
      </c>
    </row>
    <row r="1607">
      <c r="A1607" t="s">
        <v>10670</v>
      </c>
      <c r="B1607" t="s">
        <v>30</v>
      </c>
      <c r="C1607" t="s">
        <v>65</v>
      </c>
      <c r="D1607" t="s">
        <v>10671</v>
      </c>
      <c r="E1607" t="s">
        <v>161</v>
      </c>
      <c r="F1607" t="s">
        <v>68</v>
      </c>
      <c r="G1607" t="s">
        <v>162</v>
      </c>
      <c r="H1607" t="n">
        <v>39.8603443368467</v>
      </c>
      <c r="I1607" t="n">
        <v>-104.949866899661</v>
      </c>
      <c r="J1607" t="s">
        <v>35</v>
      </c>
      <c r="K1607" t="s">
        <v>120</v>
      </c>
      <c r="L1607"/>
      <c r="M1607" t="n">
        <v>1970</v>
      </c>
      <c r="N1607" t="n">
        <v>1990</v>
      </c>
      <c r="O1607" t="s">
        <v>10672</v>
      </c>
      <c r="P1607" t="n">
        <v>3</v>
      </c>
      <c r="Q1607" t="n">
        <v>4</v>
      </c>
      <c r="R1607" t="n">
        <v>3</v>
      </c>
      <c r="S1607" t="n">
        <v>1945</v>
      </c>
      <c r="T1607" t="s">
        <v>10673</v>
      </c>
      <c r="U1607" t="s">
        <v>10674</v>
      </c>
      <c r="V1607" t="s">
        <v>74</v>
      </c>
      <c r="W1607"/>
      <c r="X1607"/>
      <c r="Y1607"/>
      <c r="Z1607"/>
      <c r="AA1607" t="s">
        <v>10675</v>
      </c>
      <c r="AB1607"/>
      <c r="AC1607"/>
      <c r="AD1607"/>
      <c r="AE1607"/>
      <c r="AF1607"/>
      <c r="AG1607"/>
    </row>
    <row r="1608">
      <c r="A1608" t="s">
        <v>10676</v>
      </c>
      <c r="B1608" t="s">
        <v>30</v>
      </c>
      <c r="C1608" t="s">
        <v>24</v>
      </c>
      <c r="D1608" t="s">
        <v>10677</v>
      </c>
      <c r="E1608" t="s">
        <v>67</v>
      </c>
      <c r="F1608" t="s">
        <v>68</v>
      </c>
      <c r="G1608" t="s">
        <v>69</v>
      </c>
      <c r="H1608" t="n">
        <v>39.871715</v>
      </c>
      <c r="I1608" t="n">
        <v>-104.955464</v>
      </c>
      <c r="J1608" t="s">
        <v>4109</v>
      </c>
      <c r="K1608" t="s">
        <v>89</v>
      </c>
      <c r="L1608"/>
      <c r="M1608" t="n">
        <v>1973</v>
      </c>
      <c r="N1608" t="n">
        <v>1973</v>
      </c>
      <c r="O1608" t="s">
        <v>121</v>
      </c>
      <c r="P1608" t="n">
        <v>1</v>
      </c>
      <c r="Q1608" t="n">
        <v>1</v>
      </c>
      <c r="R1608" t="n">
        <v>1</v>
      </c>
      <c r="S1608" t="n">
        <v>1969</v>
      </c>
      <c r="T1608" t="s">
        <v>10678</v>
      </c>
      <c r="U1608" t="s">
        <v>10679</v>
      </c>
      <c r="V1608" t="s">
        <v>74</v>
      </c>
      <c r="W1608"/>
      <c r="X1608"/>
      <c r="Y1608"/>
      <c r="Z1608"/>
      <c r="AA1608" t="s">
        <v>10680</v>
      </c>
      <c r="AB1608"/>
      <c r="AC1608"/>
      <c r="AD1608"/>
      <c r="AE1608"/>
      <c r="AF1608"/>
      <c r="AG1608"/>
    </row>
    <row r="1609">
      <c r="A1609" t="s">
        <v>10681</v>
      </c>
      <c r="B1609" t="s">
        <v>30</v>
      </c>
      <c r="C1609" t="s">
        <v>65</v>
      </c>
      <c r="D1609" t="s">
        <v>10682</v>
      </c>
      <c r="E1609" t="s">
        <v>177</v>
      </c>
      <c r="F1609" t="s">
        <v>68</v>
      </c>
      <c r="G1609" t="s">
        <v>178</v>
      </c>
      <c r="H1609" t="n">
        <v>39.8245690872483</v>
      </c>
      <c r="I1609" t="n">
        <v>-105.041435375839</v>
      </c>
      <c r="J1609" t="s">
        <v>35</v>
      </c>
      <c r="K1609" t="s">
        <v>201</v>
      </c>
      <c r="L1609"/>
      <c r="M1609" t="n">
        <v>1973</v>
      </c>
      <c r="N1609" t="n">
        <v>1990</v>
      </c>
      <c r="O1609" t="s">
        <v>10683</v>
      </c>
      <c r="P1609" t="n">
        <v>5</v>
      </c>
      <c r="Q1609" t="n">
        <v>3</v>
      </c>
      <c r="R1609" t="n">
        <v>3</v>
      </c>
      <c r="S1609" t="n">
        <v>1967</v>
      </c>
      <c r="T1609" t="s">
        <v>10684</v>
      </c>
      <c r="U1609" t="s">
        <v>10685</v>
      </c>
      <c r="V1609" t="s">
        <v>74</v>
      </c>
      <c r="W1609"/>
      <c r="X1609"/>
      <c r="Y1609"/>
      <c r="Z1609"/>
      <c r="AA1609" t="s">
        <v>10686</v>
      </c>
      <c r="AB1609"/>
      <c r="AC1609"/>
      <c r="AD1609"/>
      <c r="AE1609"/>
      <c r="AF1609" t="s">
        <v>10687</v>
      </c>
      <c r="AG1609" t="n">
        <v>49</v>
      </c>
    </row>
    <row r="1610">
      <c r="A1610" t="s">
        <v>10688</v>
      </c>
      <c r="B1610" t="s">
        <v>30</v>
      </c>
      <c r="C1610" t="s">
        <v>65</v>
      </c>
      <c r="D1610" t="s">
        <v>10689</v>
      </c>
      <c r="E1610" t="s">
        <v>79</v>
      </c>
      <c r="F1610" t="s">
        <v>68</v>
      </c>
      <c r="G1610" t="s">
        <v>80</v>
      </c>
      <c r="H1610" t="n">
        <v>39.824532</v>
      </c>
      <c r="I1610" t="n">
        <v>-104.9874</v>
      </c>
      <c r="J1610" t="s">
        <v>35</v>
      </c>
      <c r="K1610" t="s">
        <v>9190</v>
      </c>
      <c r="L1610"/>
      <c r="M1610" t="n">
        <v>1977</v>
      </c>
      <c r="N1610" t="n">
        <v>1990</v>
      </c>
      <c r="O1610" t="s">
        <v>1949</v>
      </c>
      <c r="P1610" t="n">
        <v>5</v>
      </c>
      <c r="Q1610" t="n">
        <v>11</v>
      </c>
      <c r="R1610" t="n">
        <v>7</v>
      </c>
      <c r="S1610" t="n">
        <v>1967</v>
      </c>
      <c r="T1610" t="s">
        <v>10690</v>
      </c>
      <c r="U1610" t="s">
        <v>10691</v>
      </c>
      <c r="V1610" t="s">
        <v>74</v>
      </c>
      <c r="W1610"/>
      <c r="X1610"/>
      <c r="Y1610"/>
      <c r="Z1610"/>
      <c r="AA1610" t="s">
        <v>10692</v>
      </c>
      <c r="AB1610"/>
      <c r="AC1610"/>
      <c r="AD1610"/>
      <c r="AE1610"/>
      <c r="AF1610" t="s">
        <v>10693</v>
      </c>
      <c r="AG1610" t="n">
        <v>60</v>
      </c>
    </row>
    <row r="1611">
      <c r="A1611" t="s">
        <v>10694</v>
      </c>
      <c r="B1611" t="s">
        <v>30</v>
      </c>
      <c r="C1611" t="s">
        <v>65</v>
      </c>
      <c r="D1611" t="s">
        <v>10695</v>
      </c>
      <c r="E1611" t="s">
        <v>118</v>
      </c>
      <c r="F1611" t="s">
        <v>68</v>
      </c>
      <c r="G1611" t="s">
        <v>119</v>
      </c>
      <c r="H1611" t="n">
        <v>39.9795964459459</v>
      </c>
      <c r="I1611" t="n">
        <v>-104.824501256757</v>
      </c>
      <c r="J1611" t="s">
        <v>35</v>
      </c>
      <c r="K1611" t="s">
        <v>141</v>
      </c>
      <c r="L1611"/>
      <c r="M1611" t="n">
        <v>1980</v>
      </c>
      <c r="N1611" t="n">
        <v>1988</v>
      </c>
      <c r="O1611" t="s">
        <v>3312</v>
      </c>
      <c r="P1611" t="n">
        <v>2</v>
      </c>
      <c r="Q1611" t="n">
        <v>2</v>
      </c>
      <c r="R1611" t="n">
        <v>2</v>
      </c>
      <c r="S1611" t="n">
        <v>1976</v>
      </c>
      <c r="T1611" t="s">
        <v>10696</v>
      </c>
      <c r="U1611" t="s">
        <v>10697</v>
      </c>
      <c r="V1611" t="s">
        <v>74</v>
      </c>
      <c r="W1611"/>
      <c r="X1611"/>
      <c r="Y1611"/>
      <c r="Z1611"/>
      <c r="AA1611" t="s">
        <v>10698</v>
      </c>
      <c r="AB1611"/>
      <c r="AC1611"/>
      <c r="AD1611"/>
      <c r="AE1611"/>
      <c r="AF1611" t="s">
        <v>10699</v>
      </c>
      <c r="AG1611" t="n">
        <v>46</v>
      </c>
    </row>
    <row r="1612">
      <c r="A1612" t="s">
        <v>10700</v>
      </c>
      <c r="B1612" t="s">
        <v>30</v>
      </c>
      <c r="C1612" t="s">
        <v>65</v>
      </c>
      <c r="D1612" t="s">
        <v>10701</v>
      </c>
      <c r="E1612" t="s">
        <v>79</v>
      </c>
      <c r="F1612" t="s">
        <v>68</v>
      </c>
      <c r="G1612" t="s">
        <v>80</v>
      </c>
      <c r="H1612" t="n">
        <v>39.804576</v>
      </c>
      <c r="I1612" t="n">
        <v>-105.006317</v>
      </c>
      <c r="J1612" t="s">
        <v>35</v>
      </c>
      <c r="K1612" t="s">
        <v>282</v>
      </c>
      <c r="L1612" t="s">
        <v>98</v>
      </c>
      <c r="M1612" t="n">
        <v>1988</v>
      </c>
      <c r="N1612" t="n">
        <v>1990</v>
      </c>
      <c r="O1612" t="s">
        <v>310</v>
      </c>
      <c r="P1612" t="n">
        <v>2</v>
      </c>
      <c r="Q1612" t="n">
        <v>2</v>
      </c>
      <c r="R1612" t="n">
        <v>2</v>
      </c>
      <c r="S1612" t="n">
        <v>1982</v>
      </c>
      <c r="T1612" t="s">
        <v>10702</v>
      </c>
      <c r="U1612" t="s">
        <v>10703</v>
      </c>
      <c r="V1612" t="s">
        <v>74</v>
      </c>
      <c r="W1612"/>
      <c r="X1612"/>
      <c r="Y1612"/>
      <c r="Z1612"/>
      <c r="AA1612" t="s">
        <v>10704</v>
      </c>
      <c r="AB1612"/>
      <c r="AC1612"/>
      <c r="AD1612" t="s">
        <v>10705</v>
      </c>
      <c r="AE1612" t="n">
        <v>248</v>
      </c>
      <c r="AF1612" t="s">
        <v>10706</v>
      </c>
      <c r="AG1612" t="n">
        <v>97</v>
      </c>
    </row>
    <row r="1613">
      <c r="A1613" t="s">
        <v>10707</v>
      </c>
      <c r="B1613" t="s">
        <v>30</v>
      </c>
      <c r="C1613" t="s">
        <v>65</v>
      </c>
      <c r="D1613" t="s">
        <v>10708</v>
      </c>
      <c r="E1613" t="s">
        <v>95</v>
      </c>
      <c r="F1613" t="s">
        <v>68</v>
      </c>
      <c r="G1613" t="s">
        <v>96</v>
      </c>
      <c r="H1613" t="n">
        <v>39.7225536923077</v>
      </c>
      <c r="I1613" t="n">
        <v>-104.800574076923</v>
      </c>
      <c r="J1613" t="s">
        <v>35</v>
      </c>
      <c r="K1613" t="s">
        <v>89</v>
      </c>
      <c r="L1613"/>
      <c r="M1613" t="n">
        <v>1990</v>
      </c>
      <c r="N1613" t="n">
        <v>1990</v>
      </c>
      <c r="O1613" t="s">
        <v>351</v>
      </c>
      <c r="P1613" t="n">
        <v>1</v>
      </c>
      <c r="Q1613" t="n">
        <v>1</v>
      </c>
      <c r="R1613" t="n">
        <v>1</v>
      </c>
      <c r="S1613" t="n">
        <v>1985</v>
      </c>
      <c r="T1613" t="s">
        <v>10709</v>
      </c>
      <c r="U1613" t="s">
        <v>10710</v>
      </c>
      <c r="V1613" t="s">
        <v>74</v>
      </c>
      <c r="W1613"/>
      <c r="X1613"/>
      <c r="Y1613"/>
      <c r="Z1613"/>
      <c r="AA1613" t="s">
        <v>10711</v>
      </c>
      <c r="AB1613"/>
      <c r="AC1613"/>
      <c r="AD1613"/>
      <c r="AE1613"/>
      <c r="AF1613" t="s">
        <v>10712</v>
      </c>
      <c r="AG1613" t="n">
        <v>62</v>
      </c>
    </row>
    <row r="1614">
      <c r="A1614" t="s">
        <v>10713</v>
      </c>
      <c r="B1614" t="s">
        <v>30</v>
      </c>
      <c r="C1614" t="s">
        <v>65</v>
      </c>
      <c r="D1614" t="s">
        <v>10714</v>
      </c>
      <c r="E1614" t="s">
        <v>118</v>
      </c>
      <c r="F1614" t="s">
        <v>68</v>
      </c>
      <c r="G1614" t="s">
        <v>119</v>
      </c>
      <c r="H1614" t="n">
        <v>40.001206</v>
      </c>
      <c r="I1614" t="n">
        <v>-104.820383</v>
      </c>
      <c r="J1614" t="s">
        <v>35</v>
      </c>
      <c r="K1614" t="s">
        <v>70</v>
      </c>
      <c r="L1614"/>
      <c r="M1614" t="n">
        <v>1990</v>
      </c>
      <c r="N1614" t="n">
        <v>1990</v>
      </c>
      <c r="O1614" t="s">
        <v>351</v>
      </c>
      <c r="P1614" t="n">
        <v>1</v>
      </c>
      <c r="Q1614" t="n">
        <v>1</v>
      </c>
      <c r="R1614" t="n">
        <v>1</v>
      </c>
      <c r="S1614" t="n">
        <v>1983</v>
      </c>
      <c r="T1614" t="s">
        <v>10715</v>
      </c>
      <c r="U1614" t="s">
        <v>10716</v>
      </c>
      <c r="V1614" t="s">
        <v>74</v>
      </c>
      <c r="W1614"/>
      <c r="X1614"/>
      <c r="Y1614"/>
      <c r="Z1614"/>
      <c r="AA1614" t="s">
        <v>10717</v>
      </c>
      <c r="AB1614" t="s">
        <v>10718</v>
      </c>
      <c r="AC1614" t="n">
        <v>153</v>
      </c>
      <c r="AD1614"/>
      <c r="AE1614"/>
      <c r="AF1614" t="s">
        <v>10719</v>
      </c>
      <c r="AG1614" t="n">
        <v>167</v>
      </c>
    </row>
    <row r="1615">
      <c r="A1615" t="s">
        <v>10720</v>
      </c>
      <c r="B1615" t="s">
        <v>30</v>
      </c>
      <c r="C1615" t="s">
        <v>65</v>
      </c>
      <c r="D1615" t="s">
        <v>10721</v>
      </c>
      <c r="E1615" t="s">
        <v>67</v>
      </c>
      <c r="F1615" t="s">
        <v>68</v>
      </c>
      <c r="G1615" t="s">
        <v>69</v>
      </c>
      <c r="H1615" t="n">
        <v>39.8380882692646</v>
      </c>
      <c r="I1615" t="n">
        <v>-104.930825353124</v>
      </c>
      <c r="J1615" t="s">
        <v>35</v>
      </c>
      <c r="K1615" t="s">
        <v>282</v>
      </c>
      <c r="L1615" t="s">
        <v>98</v>
      </c>
      <c r="M1615" t="n">
        <v>1990</v>
      </c>
      <c r="N1615" t="n">
        <v>1990</v>
      </c>
      <c r="O1615" t="s">
        <v>351</v>
      </c>
      <c r="P1615" t="n">
        <v>1</v>
      </c>
      <c r="Q1615" t="n">
        <v>1</v>
      </c>
      <c r="R1615" t="n">
        <v>1</v>
      </c>
      <c r="S1615" t="n">
        <v>1983</v>
      </c>
      <c r="T1615" t="s">
        <v>10722</v>
      </c>
      <c r="U1615" t="s">
        <v>10723</v>
      </c>
      <c r="V1615" t="s">
        <v>74</v>
      </c>
      <c r="W1615"/>
      <c r="X1615"/>
      <c r="Y1615"/>
      <c r="Z1615"/>
      <c r="AA1615" t="s">
        <v>10724</v>
      </c>
      <c r="AB1615"/>
      <c r="AC1615"/>
      <c r="AD1615" t="s">
        <v>10725</v>
      </c>
      <c r="AE1615" t="n">
        <v>225</v>
      </c>
      <c r="AF1615" t="s">
        <v>10726</v>
      </c>
      <c r="AG1615" t="n">
        <v>159</v>
      </c>
    </row>
    <row r="1616">
      <c r="A1616" t="s">
        <v>10727</v>
      </c>
      <c r="B1616" t="s">
        <v>30</v>
      </c>
      <c r="C1616" t="s">
        <v>65</v>
      </c>
      <c r="D1616" t="s">
        <v>10728</v>
      </c>
      <c r="E1616" t="s">
        <v>67</v>
      </c>
      <c r="F1616" t="s">
        <v>68</v>
      </c>
      <c r="G1616" t="s">
        <v>69</v>
      </c>
      <c r="H1616" t="n">
        <v>39.8219045100671</v>
      </c>
      <c r="I1616" t="n">
        <v>-104.923427872483</v>
      </c>
      <c r="J1616" t="s">
        <v>35</v>
      </c>
      <c r="K1616" t="s">
        <v>70</v>
      </c>
      <c r="L1616"/>
      <c r="M1616" t="n">
        <v>1990</v>
      </c>
      <c r="N1616" t="n">
        <v>1990</v>
      </c>
      <c r="O1616" t="s">
        <v>351</v>
      </c>
      <c r="P1616" t="n">
        <v>1</v>
      </c>
      <c r="Q1616" t="n">
        <v>1</v>
      </c>
      <c r="R1616" t="n">
        <v>1</v>
      </c>
      <c r="S1616" t="n">
        <v>1968</v>
      </c>
      <c r="T1616" t="s">
        <v>10729</v>
      </c>
      <c r="U1616" t="s">
        <v>10730</v>
      </c>
      <c r="V1616" t="s">
        <v>74</v>
      </c>
      <c r="W1616"/>
      <c r="X1616"/>
      <c r="Y1616"/>
      <c r="Z1616"/>
      <c r="AA1616" t="s">
        <v>10731</v>
      </c>
      <c r="AB1616"/>
      <c r="AC1616"/>
      <c r="AD1616"/>
      <c r="AE1616"/>
      <c r="AF1616" t="s">
        <v>10732</v>
      </c>
      <c r="AG1616" t="n">
        <v>47</v>
      </c>
    </row>
    <row r="1617">
      <c r="A1617" t="s">
        <v>10733</v>
      </c>
      <c r="B1617" t="s">
        <v>30</v>
      </c>
      <c r="C1617" t="s">
        <v>65</v>
      </c>
      <c r="D1617" t="s">
        <v>10734</v>
      </c>
      <c r="E1617" t="s">
        <v>161</v>
      </c>
      <c r="F1617" t="s">
        <v>68</v>
      </c>
      <c r="G1617" t="s">
        <v>162</v>
      </c>
      <c r="H1617" t="n">
        <v>39.8135867373737</v>
      </c>
      <c r="I1617" t="n">
        <v>-104.968639767677</v>
      </c>
      <c r="J1617" t="s">
        <v>35</v>
      </c>
      <c r="K1617" t="s">
        <v>796</v>
      </c>
      <c r="L1617" t="s">
        <v>2204</v>
      </c>
      <c r="M1617" t="n">
        <v>1990</v>
      </c>
      <c r="N1617" t="n">
        <v>1990</v>
      </c>
      <c r="O1617" t="s">
        <v>351</v>
      </c>
      <c r="P1617" t="n">
        <v>1</v>
      </c>
      <c r="Q1617" t="n">
        <v>1</v>
      </c>
      <c r="R1617" t="n">
        <v>1</v>
      </c>
      <c r="S1617" t="n">
        <v>1888</v>
      </c>
      <c r="T1617" t="s">
        <v>10735</v>
      </c>
      <c r="U1617" t="s">
        <v>10736</v>
      </c>
      <c r="V1617" t="s">
        <v>74</v>
      </c>
      <c r="W1617"/>
      <c r="X1617"/>
      <c r="Y1617"/>
      <c r="Z1617"/>
      <c r="AA1617" t="s">
        <v>10737</v>
      </c>
      <c r="AB1617"/>
      <c r="AC1617"/>
      <c r="AD1617"/>
      <c r="AE1617"/>
      <c r="AF1617"/>
      <c r="AG1617"/>
    </row>
    <row r="1618">
      <c r="A1618" t="s">
        <v>10738</v>
      </c>
      <c r="B1618" t="s">
        <v>30</v>
      </c>
      <c r="C1618" t="s">
        <v>65</v>
      </c>
      <c r="D1618" t="s">
        <v>10739</v>
      </c>
      <c r="E1618" t="s">
        <v>161</v>
      </c>
      <c r="F1618" t="s">
        <v>68</v>
      </c>
      <c r="G1618" t="s">
        <v>162</v>
      </c>
      <c r="H1618" t="n">
        <v>39.8163609206349</v>
      </c>
      <c r="I1618" t="n">
        <v>-104.966950968254</v>
      </c>
      <c r="J1618" t="s">
        <v>35</v>
      </c>
      <c r="K1618" t="s">
        <v>70</v>
      </c>
      <c r="L1618"/>
      <c r="M1618" t="n">
        <v>1990</v>
      </c>
      <c r="N1618" t="n">
        <v>1990</v>
      </c>
      <c r="O1618" t="s">
        <v>351</v>
      </c>
      <c r="P1618" t="n">
        <v>1</v>
      </c>
      <c r="Q1618" t="n">
        <v>1</v>
      </c>
      <c r="R1618" t="n">
        <v>1</v>
      </c>
      <c r="S1618" t="n">
        <v>1970</v>
      </c>
      <c r="T1618" t="s">
        <v>10740</v>
      </c>
      <c r="U1618" t="s">
        <v>10741</v>
      </c>
      <c r="V1618" t="s">
        <v>74</v>
      </c>
      <c r="W1618"/>
      <c r="X1618"/>
      <c r="Y1618"/>
      <c r="Z1618"/>
      <c r="AA1618" t="s">
        <v>10742</v>
      </c>
      <c r="AB1618"/>
      <c r="AC1618"/>
      <c r="AD1618" t="s">
        <v>10743</v>
      </c>
      <c r="AE1618" t="n">
        <v>233</v>
      </c>
      <c r="AF1618" t="s">
        <v>10744</v>
      </c>
      <c r="AG1618" t="n">
        <v>187</v>
      </c>
    </row>
    <row r="1619">
      <c r="A1619" t="s">
        <v>10745</v>
      </c>
      <c r="B1619" t="s">
        <v>30</v>
      </c>
      <c r="C1619" t="s">
        <v>65</v>
      </c>
      <c r="D1619" t="s">
        <v>10746</v>
      </c>
      <c r="E1619" t="s">
        <v>170</v>
      </c>
      <c r="F1619" t="s">
        <v>68</v>
      </c>
      <c r="G1619" t="s">
        <v>171</v>
      </c>
      <c r="H1619" t="n">
        <v>39.8937859253683</v>
      </c>
      <c r="I1619" t="n">
        <v>-104.966416019701</v>
      </c>
      <c r="J1619" t="s">
        <v>35</v>
      </c>
      <c r="K1619" t="s">
        <v>70</v>
      </c>
      <c r="L1619"/>
      <c r="M1619" t="n">
        <v>1990</v>
      </c>
      <c r="N1619" t="n">
        <v>1990</v>
      </c>
      <c r="O1619" t="s">
        <v>351</v>
      </c>
      <c r="P1619" t="n">
        <v>1</v>
      </c>
      <c r="Q1619" t="n">
        <v>1</v>
      </c>
      <c r="R1619" t="n">
        <v>1</v>
      </c>
      <c r="S1619" t="n">
        <v>1982</v>
      </c>
      <c r="T1619" t="s">
        <v>10747</v>
      </c>
      <c r="U1619" t="s">
        <v>10748</v>
      </c>
      <c r="V1619" t="s">
        <v>74</v>
      </c>
      <c r="W1619"/>
      <c r="X1619"/>
      <c r="Y1619"/>
      <c r="Z1619"/>
      <c r="AA1619" t="s">
        <v>10749</v>
      </c>
      <c r="AB1619"/>
      <c r="AC1619"/>
      <c r="AD1619"/>
      <c r="AE1619"/>
      <c r="AF1619" t="s">
        <v>10750</v>
      </c>
      <c r="AG1619" t="n">
        <v>46</v>
      </c>
    </row>
    <row r="1620">
      <c r="A1620" t="s">
        <v>10751</v>
      </c>
      <c r="B1620" t="s">
        <v>30</v>
      </c>
      <c r="C1620" t="s">
        <v>65</v>
      </c>
      <c r="D1620" t="s">
        <v>10752</v>
      </c>
      <c r="E1620" t="s">
        <v>394</v>
      </c>
      <c r="F1620" t="s">
        <v>387</v>
      </c>
      <c r="G1620" t="s">
        <v>395</v>
      </c>
      <c r="H1620" t="n">
        <v>39.6605081939394</v>
      </c>
      <c r="I1620" t="n">
        <v>-105.015780848485</v>
      </c>
      <c r="J1620" t="s">
        <v>35</v>
      </c>
      <c r="K1620" t="s">
        <v>141</v>
      </c>
      <c r="L1620"/>
      <c r="M1620" t="n">
        <v>1965</v>
      </c>
      <c r="N1620" t="n">
        <v>1983</v>
      </c>
      <c r="O1620" t="s">
        <v>528</v>
      </c>
      <c r="P1620" t="n">
        <v>5</v>
      </c>
      <c r="Q1620" t="n">
        <v>3</v>
      </c>
      <c r="R1620" t="n">
        <v>1</v>
      </c>
      <c r="S1620" t="n">
        <v>1953</v>
      </c>
      <c r="T1620" t="s">
        <v>10753</v>
      </c>
      <c r="U1620" t="s">
        <v>10754</v>
      </c>
      <c r="V1620" t="s">
        <v>74</v>
      </c>
      <c r="W1620"/>
      <c r="X1620"/>
      <c r="Y1620"/>
      <c r="Z1620"/>
      <c r="AA1620" t="s">
        <v>10755</v>
      </c>
      <c r="AB1620"/>
      <c r="AC1620"/>
      <c r="AD1620"/>
      <c r="AE1620"/>
      <c r="AF1620" t="s">
        <v>10756</v>
      </c>
      <c r="AG1620" t="n">
        <v>73</v>
      </c>
    </row>
    <row r="1621">
      <c r="A1621" t="s">
        <v>10757</v>
      </c>
      <c r="B1621" t="s">
        <v>30</v>
      </c>
      <c r="C1621" t="s">
        <v>65</v>
      </c>
      <c r="D1621" t="s">
        <v>10758</v>
      </c>
      <c r="E1621" t="s">
        <v>394</v>
      </c>
      <c r="F1621" t="s">
        <v>387</v>
      </c>
      <c r="G1621" t="s">
        <v>395</v>
      </c>
      <c r="H1621" t="n">
        <v>39.660701003663</v>
      </c>
      <c r="I1621" t="n">
        <v>-104.987606377289</v>
      </c>
      <c r="J1621" t="s">
        <v>35</v>
      </c>
      <c r="K1621" t="s">
        <v>120</v>
      </c>
      <c r="L1621"/>
      <c r="M1621" t="n">
        <v>1966</v>
      </c>
      <c r="N1621" t="n">
        <v>1988</v>
      </c>
      <c r="O1621" t="s">
        <v>325</v>
      </c>
      <c r="P1621" t="n">
        <v>8</v>
      </c>
      <c r="Q1621" t="n">
        <v>2</v>
      </c>
      <c r="R1621" t="n">
        <v>1</v>
      </c>
      <c r="S1621" t="n">
        <v>1947</v>
      </c>
      <c r="T1621" t="s">
        <v>10759</v>
      </c>
      <c r="U1621" t="s">
        <v>10760</v>
      </c>
      <c r="V1621" t="s">
        <v>74</v>
      </c>
      <c r="W1621"/>
      <c r="X1621"/>
      <c r="Y1621"/>
      <c r="Z1621"/>
      <c r="AA1621" t="s">
        <v>10761</v>
      </c>
      <c r="AB1621"/>
      <c r="AC1621"/>
      <c r="AD1621"/>
      <c r="AE1621"/>
      <c r="AF1621" t="s">
        <v>10762</v>
      </c>
      <c r="AG1621" t="n">
        <v>71</v>
      </c>
    </row>
    <row r="1622">
      <c r="A1622" t="s">
        <v>10763</v>
      </c>
      <c r="B1622" t="s">
        <v>30</v>
      </c>
      <c r="C1622" t="s">
        <v>65</v>
      </c>
      <c r="D1622" t="s">
        <v>10764</v>
      </c>
      <c r="E1622" t="s">
        <v>394</v>
      </c>
      <c r="F1622" t="s">
        <v>387</v>
      </c>
      <c r="G1622" t="s">
        <v>395</v>
      </c>
      <c r="H1622" t="n">
        <v>39.6523480179793</v>
      </c>
      <c r="I1622" t="n">
        <v>-104.97704908868</v>
      </c>
      <c r="J1622" t="s">
        <v>35</v>
      </c>
      <c r="K1622" t="s">
        <v>120</v>
      </c>
      <c r="L1622"/>
      <c r="M1622" t="n">
        <v>1966</v>
      </c>
      <c r="N1622" t="n">
        <v>1970</v>
      </c>
      <c r="O1622" t="s">
        <v>726</v>
      </c>
      <c r="P1622" t="n">
        <v>2</v>
      </c>
      <c r="Q1622" t="n">
        <v>2</v>
      </c>
      <c r="R1622" t="n">
        <v>1</v>
      </c>
      <c r="S1622" t="n">
        <v>1947</v>
      </c>
      <c r="T1622" t="s">
        <v>10765</v>
      </c>
      <c r="U1622" t="s">
        <v>10766</v>
      </c>
      <c r="V1622" t="s">
        <v>74</v>
      </c>
      <c r="W1622"/>
      <c r="X1622"/>
      <c r="Y1622"/>
      <c r="Z1622"/>
      <c r="AA1622" t="s">
        <v>10767</v>
      </c>
      <c r="AB1622" t="s">
        <v>10768</v>
      </c>
      <c r="AC1622" t="n">
        <v>215</v>
      </c>
      <c r="AD1622"/>
      <c r="AE1622"/>
      <c r="AF1622" t="s">
        <v>10769</v>
      </c>
      <c r="AG1622" t="n">
        <v>201</v>
      </c>
    </row>
    <row r="1623">
      <c r="A1623" t="s">
        <v>10770</v>
      </c>
      <c r="B1623" t="s">
        <v>30</v>
      </c>
      <c r="C1623" t="s">
        <v>65</v>
      </c>
      <c r="D1623" t="s">
        <v>10771</v>
      </c>
      <c r="E1623" t="s">
        <v>394</v>
      </c>
      <c r="F1623" t="s">
        <v>387</v>
      </c>
      <c r="G1623" t="s">
        <v>395</v>
      </c>
      <c r="H1623" t="n">
        <v>39.640376462384</v>
      </c>
      <c r="I1623" t="n">
        <v>-105.004260874037</v>
      </c>
      <c r="J1623" t="s">
        <v>35</v>
      </c>
      <c r="K1623" t="s">
        <v>70</v>
      </c>
      <c r="L1623"/>
      <c r="M1623" t="n">
        <v>1966</v>
      </c>
      <c r="N1623" t="n">
        <v>1974</v>
      </c>
      <c r="O1623" t="s">
        <v>10772</v>
      </c>
      <c r="P1623" t="n">
        <v>5</v>
      </c>
      <c r="Q1623" t="n">
        <v>2</v>
      </c>
      <c r="R1623" t="n">
        <v>2</v>
      </c>
      <c r="S1623" t="n">
        <v>1952</v>
      </c>
      <c r="T1623" t="s">
        <v>10773</v>
      </c>
      <c r="U1623" t="s">
        <v>10774</v>
      </c>
      <c r="V1623" t="s">
        <v>74</v>
      </c>
      <c r="W1623"/>
      <c r="X1623"/>
      <c r="Y1623"/>
      <c r="Z1623"/>
      <c r="AA1623" t="s">
        <v>10775</v>
      </c>
      <c r="AB1623"/>
      <c r="AC1623"/>
      <c r="AD1623" t="s">
        <v>10776</v>
      </c>
      <c r="AE1623" t="n">
        <v>242</v>
      </c>
      <c r="AF1623" t="s">
        <v>10777</v>
      </c>
      <c r="AG1623" t="n">
        <v>139</v>
      </c>
    </row>
    <row r="1624">
      <c r="A1624" t="s">
        <v>10778</v>
      </c>
      <c r="B1624" t="s">
        <v>30</v>
      </c>
      <c r="C1624" t="s">
        <v>65</v>
      </c>
      <c r="D1624" t="s">
        <v>10779</v>
      </c>
      <c r="E1624" t="s">
        <v>386</v>
      </c>
      <c r="F1624" t="s">
        <v>387</v>
      </c>
      <c r="G1624" t="s">
        <v>428</v>
      </c>
      <c r="H1624" t="n">
        <v>39.6141105714286</v>
      </c>
      <c r="I1624" t="n">
        <v>-105.018398714286</v>
      </c>
      <c r="J1624" t="s">
        <v>35</v>
      </c>
      <c r="K1624" t="s">
        <v>120</v>
      </c>
      <c r="L1624"/>
      <c r="M1624" t="n">
        <v>1967</v>
      </c>
      <c r="N1624" t="n">
        <v>1973</v>
      </c>
      <c r="O1624" t="s">
        <v>726</v>
      </c>
      <c r="P1624" t="n">
        <v>3</v>
      </c>
      <c r="Q1624" t="n">
        <v>2</v>
      </c>
      <c r="R1624" t="n">
        <v>1</v>
      </c>
      <c r="S1624" t="n">
        <v>1961</v>
      </c>
      <c r="T1624" t="s">
        <v>10780</v>
      </c>
      <c r="U1624" t="s">
        <v>10781</v>
      </c>
      <c r="V1624" t="s">
        <v>74</v>
      </c>
      <c r="W1624"/>
      <c r="X1624"/>
      <c r="Y1624"/>
      <c r="Z1624"/>
      <c r="AA1624" t="s">
        <v>10782</v>
      </c>
      <c r="AB1624"/>
      <c r="AC1624"/>
      <c r="AD1624"/>
      <c r="AE1624"/>
      <c r="AF1624" t="s">
        <v>10783</v>
      </c>
      <c r="AG1624" t="n">
        <v>87</v>
      </c>
    </row>
    <row r="1625">
      <c r="A1625" t="s">
        <v>10784</v>
      </c>
      <c r="B1625" t="s">
        <v>30</v>
      </c>
      <c r="C1625" t="s">
        <v>65</v>
      </c>
      <c r="D1625" t="s">
        <v>10785</v>
      </c>
      <c r="E1625" t="s">
        <v>394</v>
      </c>
      <c r="F1625" t="s">
        <v>387</v>
      </c>
      <c r="G1625" t="s">
        <v>395</v>
      </c>
      <c r="H1625" t="n">
        <v>39.671382</v>
      </c>
      <c r="I1625" t="n">
        <v>-105.011059</v>
      </c>
      <c r="J1625" t="s">
        <v>35</v>
      </c>
      <c r="K1625" t="s">
        <v>201</v>
      </c>
      <c r="L1625"/>
      <c r="M1625" t="n">
        <v>1970</v>
      </c>
      <c r="N1625" t="n">
        <v>1990</v>
      </c>
      <c r="O1625" t="s">
        <v>10786</v>
      </c>
      <c r="P1625" t="n">
        <v>5</v>
      </c>
      <c r="Q1625" t="n">
        <v>2</v>
      </c>
      <c r="R1625" t="n">
        <v>2</v>
      </c>
      <c r="S1625" t="n">
        <v>1963</v>
      </c>
      <c r="T1625" t="s">
        <v>10787</v>
      </c>
      <c r="U1625" t="s">
        <v>10788</v>
      </c>
      <c r="V1625" t="s">
        <v>74</v>
      </c>
      <c r="W1625"/>
      <c r="X1625"/>
      <c r="Y1625"/>
      <c r="Z1625"/>
      <c r="AA1625" t="s">
        <v>10789</v>
      </c>
      <c r="AB1625"/>
      <c r="AC1625"/>
      <c r="AD1625"/>
      <c r="AE1625"/>
      <c r="AF1625" t="s">
        <v>10790</v>
      </c>
      <c r="AG1625" t="n">
        <v>141</v>
      </c>
    </row>
    <row r="1626">
      <c r="A1626" t="s">
        <v>10791</v>
      </c>
      <c r="B1626" t="s">
        <v>30</v>
      </c>
      <c r="C1626" t="s">
        <v>65</v>
      </c>
      <c r="D1626" t="s">
        <v>10792</v>
      </c>
      <c r="E1626" t="s">
        <v>394</v>
      </c>
      <c r="F1626" t="s">
        <v>387</v>
      </c>
      <c r="G1626" t="s">
        <v>395</v>
      </c>
      <c r="H1626" t="n">
        <v>39.6585300052565</v>
      </c>
      <c r="I1626" t="n">
        <v>-105.002327539539</v>
      </c>
      <c r="J1626" t="s">
        <v>35</v>
      </c>
      <c r="K1626" t="s">
        <v>533</v>
      </c>
      <c r="L1626"/>
      <c r="M1626" t="n">
        <v>1973</v>
      </c>
      <c r="N1626" t="n">
        <v>1980</v>
      </c>
      <c r="O1626" t="s">
        <v>8406</v>
      </c>
      <c r="P1626" t="n">
        <v>4</v>
      </c>
      <c r="Q1626" t="n">
        <v>3</v>
      </c>
      <c r="R1626" t="n">
        <v>2</v>
      </c>
      <c r="S1626" t="n">
        <v>1955</v>
      </c>
      <c r="T1626" t="s">
        <v>10793</v>
      </c>
      <c r="U1626" t="s">
        <v>10794</v>
      </c>
      <c r="V1626" t="s">
        <v>74</v>
      </c>
      <c r="W1626"/>
      <c r="X1626"/>
      <c r="Y1626"/>
      <c r="Z1626"/>
      <c r="AA1626" t="s">
        <v>10795</v>
      </c>
      <c r="AB1626" t="s">
        <v>5978</v>
      </c>
      <c r="AC1626" t="n">
        <v>242</v>
      </c>
      <c r="AD1626"/>
      <c r="AE1626"/>
      <c r="AF1626" t="s">
        <v>10796</v>
      </c>
      <c r="AG1626" t="n">
        <v>114</v>
      </c>
    </row>
    <row r="1627">
      <c r="A1627" t="s">
        <v>10797</v>
      </c>
      <c r="B1627" t="s">
        <v>30</v>
      </c>
      <c r="C1627" t="s">
        <v>65</v>
      </c>
      <c r="D1627" t="s">
        <v>10798</v>
      </c>
      <c r="E1627" t="s">
        <v>394</v>
      </c>
      <c r="F1627" t="s">
        <v>387</v>
      </c>
      <c r="G1627" t="s">
        <v>395</v>
      </c>
      <c r="H1627" t="n">
        <v>39.6370200733333</v>
      </c>
      <c r="I1627" t="n">
        <v>-105.00640886</v>
      </c>
      <c r="J1627" t="s">
        <v>35</v>
      </c>
      <c r="K1627" t="s">
        <v>527</v>
      </c>
      <c r="L1627"/>
      <c r="M1627" t="n">
        <v>1973</v>
      </c>
      <c r="N1627" t="n">
        <v>1988</v>
      </c>
      <c r="O1627" t="s">
        <v>2779</v>
      </c>
      <c r="P1627" t="n">
        <v>3</v>
      </c>
      <c r="Q1627" t="n">
        <v>3</v>
      </c>
      <c r="R1627" t="n">
        <v>2</v>
      </c>
      <c r="S1627" t="n">
        <v>1952</v>
      </c>
      <c r="T1627" t="s">
        <v>10799</v>
      </c>
      <c r="U1627" t="s">
        <v>10800</v>
      </c>
      <c r="V1627" t="s">
        <v>74</v>
      </c>
      <c r="W1627"/>
      <c r="X1627"/>
      <c r="Y1627"/>
      <c r="Z1627"/>
      <c r="AA1627" t="s">
        <v>10801</v>
      </c>
      <c r="AB1627"/>
      <c r="AC1627"/>
      <c r="AD1627"/>
      <c r="AE1627"/>
      <c r="AF1627" t="s">
        <v>6210</v>
      </c>
      <c r="AG1627" t="n">
        <v>64</v>
      </c>
    </row>
    <row r="1628">
      <c r="A1628" t="s">
        <v>10802</v>
      </c>
      <c r="B1628" t="s">
        <v>30</v>
      </c>
      <c r="C1628" t="s">
        <v>65</v>
      </c>
      <c r="D1628" t="s">
        <v>10803</v>
      </c>
      <c r="E1628" t="s">
        <v>394</v>
      </c>
      <c r="F1628" t="s">
        <v>387</v>
      </c>
      <c r="G1628" t="s">
        <v>395</v>
      </c>
      <c r="H1628" t="n">
        <v>39.6305386216838</v>
      </c>
      <c r="I1628" t="n">
        <v>-105.006673897509</v>
      </c>
      <c r="J1628" t="s">
        <v>35</v>
      </c>
      <c r="K1628" t="s">
        <v>120</v>
      </c>
      <c r="L1628"/>
      <c r="M1628" t="n">
        <v>1973</v>
      </c>
      <c r="N1628" t="n">
        <v>1990</v>
      </c>
      <c r="O1628" t="s">
        <v>416</v>
      </c>
      <c r="P1628" t="n">
        <v>5</v>
      </c>
      <c r="Q1628" t="n">
        <v>1</v>
      </c>
      <c r="R1628" t="n">
        <v>1</v>
      </c>
      <c r="S1628" t="n">
        <v>1969</v>
      </c>
      <c r="T1628" t="s">
        <v>10804</v>
      </c>
      <c r="U1628" t="s">
        <v>10805</v>
      </c>
      <c r="V1628" t="s">
        <v>74</v>
      </c>
      <c r="W1628"/>
      <c r="X1628"/>
      <c r="Y1628"/>
      <c r="Z1628"/>
      <c r="AA1628" t="s">
        <v>10806</v>
      </c>
      <c r="AB1628" t="s">
        <v>10807</v>
      </c>
      <c r="AC1628" t="n">
        <v>101</v>
      </c>
      <c r="AD1628" t="s">
        <v>5953</v>
      </c>
      <c r="AE1628" t="n">
        <v>108</v>
      </c>
      <c r="AF1628" t="s">
        <v>6038</v>
      </c>
      <c r="AG1628" t="n">
        <v>93</v>
      </c>
    </row>
    <row r="1629">
      <c r="A1629" t="s">
        <v>10808</v>
      </c>
      <c r="B1629" t="s">
        <v>30</v>
      </c>
      <c r="C1629" t="s">
        <v>65</v>
      </c>
      <c r="D1629" t="s">
        <v>10809</v>
      </c>
      <c r="E1629" t="s">
        <v>394</v>
      </c>
      <c r="F1629" t="s">
        <v>387</v>
      </c>
      <c r="G1629" t="s">
        <v>395</v>
      </c>
      <c r="H1629" t="n">
        <v>39.6532724877301</v>
      </c>
      <c r="I1629" t="n">
        <v>-105.019931134901</v>
      </c>
      <c r="J1629" t="s">
        <v>35</v>
      </c>
      <c r="K1629" t="s">
        <v>141</v>
      </c>
      <c r="L1629"/>
      <c r="M1629" t="n">
        <v>1973</v>
      </c>
      <c r="N1629" t="n">
        <v>1990</v>
      </c>
      <c r="O1629" t="s">
        <v>416</v>
      </c>
      <c r="P1629" t="n">
        <v>5</v>
      </c>
      <c r="Q1629" t="n">
        <v>2</v>
      </c>
      <c r="R1629" t="n">
        <v>2</v>
      </c>
      <c r="S1629" t="n">
        <v>1962</v>
      </c>
      <c r="T1629" t="s">
        <v>10810</v>
      </c>
      <c r="U1629" t="s">
        <v>10811</v>
      </c>
      <c r="V1629" t="s">
        <v>74</v>
      </c>
      <c r="W1629"/>
      <c r="X1629"/>
      <c r="Y1629"/>
      <c r="Z1629"/>
      <c r="AA1629" t="s">
        <v>10812</v>
      </c>
      <c r="AB1629"/>
      <c r="AC1629"/>
      <c r="AD1629"/>
      <c r="AE1629"/>
      <c r="AF1629" t="s">
        <v>10813</v>
      </c>
      <c r="AG1629" t="n">
        <v>121</v>
      </c>
    </row>
    <row r="1630">
      <c r="A1630" t="s">
        <v>10814</v>
      </c>
      <c r="B1630" t="s">
        <v>30</v>
      </c>
      <c r="C1630" t="s">
        <v>65</v>
      </c>
      <c r="D1630" t="s">
        <v>10815</v>
      </c>
      <c r="E1630" t="s">
        <v>394</v>
      </c>
      <c r="F1630" t="s">
        <v>387</v>
      </c>
      <c r="G1630" t="s">
        <v>395</v>
      </c>
      <c r="H1630" t="n">
        <v>39.6499032708333</v>
      </c>
      <c r="I1630" t="n">
        <v>-104.9993706875</v>
      </c>
      <c r="J1630" t="s">
        <v>35</v>
      </c>
      <c r="K1630" t="s">
        <v>120</v>
      </c>
      <c r="L1630"/>
      <c r="M1630" t="n">
        <v>1974</v>
      </c>
      <c r="N1630" t="n">
        <v>1983</v>
      </c>
      <c r="O1630" t="s">
        <v>210</v>
      </c>
      <c r="P1630" t="n">
        <v>2</v>
      </c>
      <c r="Q1630" t="n">
        <v>2</v>
      </c>
      <c r="R1630" t="n">
        <v>1</v>
      </c>
      <c r="S1630" t="n">
        <v>1970</v>
      </c>
      <c r="T1630" t="s">
        <v>10816</v>
      </c>
      <c r="U1630" t="s">
        <v>10817</v>
      </c>
      <c r="V1630" t="s">
        <v>74</v>
      </c>
      <c r="W1630"/>
      <c r="X1630"/>
      <c r="Y1630"/>
      <c r="Z1630"/>
      <c r="AA1630" t="s">
        <v>10818</v>
      </c>
      <c r="AB1630"/>
      <c r="AC1630"/>
      <c r="AD1630" t="s">
        <v>5792</v>
      </c>
      <c r="AE1630" t="n">
        <v>162</v>
      </c>
      <c r="AF1630" t="s">
        <v>10819</v>
      </c>
      <c r="AG1630" t="n">
        <v>82</v>
      </c>
    </row>
    <row r="1631">
      <c r="A1631" t="s">
        <v>10820</v>
      </c>
      <c r="B1631" t="s">
        <v>30</v>
      </c>
      <c r="C1631" t="s">
        <v>65</v>
      </c>
      <c r="D1631" t="s">
        <v>10821</v>
      </c>
      <c r="E1631" t="s">
        <v>394</v>
      </c>
      <c r="F1631" t="s">
        <v>387</v>
      </c>
      <c r="G1631" t="s">
        <v>395</v>
      </c>
      <c r="H1631" t="n">
        <v>39.6697819684601</v>
      </c>
      <c r="I1631" t="n">
        <v>-105.015740641929</v>
      </c>
      <c r="J1631" t="s">
        <v>35</v>
      </c>
      <c r="K1631" t="s">
        <v>527</v>
      </c>
      <c r="L1631"/>
      <c r="M1631" t="n">
        <v>1977</v>
      </c>
      <c r="N1631" t="n">
        <v>1992</v>
      </c>
      <c r="O1631" t="s">
        <v>528</v>
      </c>
      <c r="P1631" t="n">
        <v>6</v>
      </c>
      <c r="Q1631" t="n">
        <v>10</v>
      </c>
      <c r="R1631" t="n">
        <v>2</v>
      </c>
      <c r="S1631" t="n">
        <v>1962</v>
      </c>
      <c r="T1631" t="s">
        <v>10822</v>
      </c>
      <c r="U1631" t="s">
        <v>10823</v>
      </c>
      <c r="V1631" t="s">
        <v>74</v>
      </c>
      <c r="W1631"/>
      <c r="X1631"/>
      <c r="Y1631"/>
      <c r="Z1631"/>
      <c r="AA1631" t="s">
        <v>10824</v>
      </c>
      <c r="AB1631" t="s">
        <v>589</v>
      </c>
      <c r="AC1631" t="n">
        <v>235</v>
      </c>
      <c r="AD1631"/>
      <c r="AE1631"/>
      <c r="AF1631" t="s">
        <v>590</v>
      </c>
      <c r="AG1631" t="n">
        <v>76</v>
      </c>
    </row>
    <row r="1632">
      <c r="A1632" t="s">
        <v>10825</v>
      </c>
      <c r="B1632" t="s">
        <v>30</v>
      </c>
      <c r="C1632" t="s">
        <v>65</v>
      </c>
      <c r="D1632" t="s">
        <v>10826</v>
      </c>
      <c r="E1632" t="s">
        <v>394</v>
      </c>
      <c r="F1632" t="s">
        <v>387</v>
      </c>
      <c r="G1632" t="s">
        <v>395</v>
      </c>
      <c r="H1632" t="n">
        <v>39.6333427383198</v>
      </c>
      <c r="I1632" t="n">
        <v>-105.007411609191</v>
      </c>
      <c r="J1632" t="s">
        <v>35</v>
      </c>
      <c r="K1632" t="s">
        <v>70</v>
      </c>
      <c r="L1632"/>
      <c r="M1632" t="n">
        <v>1977</v>
      </c>
      <c r="N1632" t="n">
        <v>1990</v>
      </c>
      <c r="O1632" t="s">
        <v>1487</v>
      </c>
      <c r="P1632" t="n">
        <v>5</v>
      </c>
      <c r="Q1632" t="n">
        <v>5</v>
      </c>
      <c r="R1632" t="n">
        <v>5</v>
      </c>
      <c r="S1632" t="n">
        <v>1970</v>
      </c>
      <c r="T1632" t="s">
        <v>10827</v>
      </c>
      <c r="U1632" t="s">
        <v>10828</v>
      </c>
      <c r="V1632" t="s">
        <v>74</v>
      </c>
      <c r="W1632"/>
      <c r="X1632"/>
      <c r="Y1632"/>
      <c r="Z1632"/>
      <c r="AA1632" t="s">
        <v>10829</v>
      </c>
      <c r="AB1632" t="s">
        <v>5897</v>
      </c>
      <c r="AC1632" t="n">
        <v>110</v>
      </c>
      <c r="AD1632" t="s">
        <v>5898</v>
      </c>
      <c r="AE1632" t="n">
        <v>108</v>
      </c>
      <c r="AF1632" t="s">
        <v>5899</v>
      </c>
      <c r="AG1632" t="n">
        <v>83</v>
      </c>
    </row>
    <row r="1633">
      <c r="A1633" t="s">
        <v>10830</v>
      </c>
      <c r="B1633" t="s">
        <v>30</v>
      </c>
      <c r="C1633" t="s">
        <v>65</v>
      </c>
      <c r="D1633" t="s">
        <v>10831</v>
      </c>
      <c r="E1633" t="s">
        <v>394</v>
      </c>
      <c r="F1633" t="s">
        <v>387</v>
      </c>
      <c r="G1633" t="s">
        <v>395</v>
      </c>
      <c r="H1633" t="n">
        <v>39.670646</v>
      </c>
      <c r="I1633" t="n">
        <v>-105.011064</v>
      </c>
      <c r="J1633" t="s">
        <v>35</v>
      </c>
      <c r="K1633" t="s">
        <v>141</v>
      </c>
      <c r="L1633"/>
      <c r="M1633" t="n">
        <v>1980</v>
      </c>
      <c r="N1633" t="n">
        <v>1990</v>
      </c>
      <c r="O1633" t="s">
        <v>582</v>
      </c>
      <c r="P1633" t="n">
        <v>3</v>
      </c>
      <c r="Q1633" t="n">
        <v>1</v>
      </c>
      <c r="R1633" t="n">
        <v>1</v>
      </c>
      <c r="S1633" t="n">
        <v>1951</v>
      </c>
      <c r="T1633" t="s">
        <v>10832</v>
      </c>
      <c r="U1633" t="s">
        <v>10833</v>
      </c>
      <c r="V1633" t="s">
        <v>74</v>
      </c>
      <c r="W1633"/>
      <c r="X1633"/>
      <c r="Y1633"/>
      <c r="Z1633"/>
      <c r="AA1633" t="s">
        <v>10834</v>
      </c>
      <c r="AB1633"/>
      <c r="AC1633"/>
      <c r="AD1633"/>
      <c r="AE1633"/>
      <c r="AF1633" t="s">
        <v>10790</v>
      </c>
      <c r="AG1633" t="n">
        <v>60</v>
      </c>
    </row>
    <row r="1634">
      <c r="A1634" t="s">
        <v>10835</v>
      </c>
      <c r="B1634" t="s">
        <v>30</v>
      </c>
      <c r="C1634" t="s">
        <v>65</v>
      </c>
      <c r="D1634" t="s">
        <v>10836</v>
      </c>
      <c r="E1634" t="s">
        <v>394</v>
      </c>
      <c r="F1634" t="s">
        <v>387</v>
      </c>
      <c r="G1634" t="s">
        <v>395</v>
      </c>
      <c r="H1634" t="n">
        <v>39.6545276836735</v>
      </c>
      <c r="I1634" t="n">
        <v>-105.012112734694</v>
      </c>
      <c r="J1634" t="s">
        <v>35</v>
      </c>
      <c r="K1634" t="s">
        <v>533</v>
      </c>
      <c r="L1634"/>
      <c r="M1634" t="n">
        <v>1980</v>
      </c>
      <c r="N1634" t="n">
        <v>1990</v>
      </c>
      <c r="O1634" t="s">
        <v>555</v>
      </c>
      <c r="P1634" t="n">
        <v>3</v>
      </c>
      <c r="Q1634" t="n">
        <v>3</v>
      </c>
      <c r="R1634" t="n">
        <v>2</v>
      </c>
      <c r="S1634" t="n">
        <v>1964</v>
      </c>
      <c r="T1634" t="s">
        <v>10837</v>
      </c>
      <c r="U1634" t="s">
        <v>10838</v>
      </c>
      <c r="V1634" t="s">
        <v>74</v>
      </c>
      <c r="W1634"/>
      <c r="X1634"/>
      <c r="Y1634"/>
      <c r="Z1634"/>
      <c r="AA1634" t="s">
        <v>10839</v>
      </c>
      <c r="AB1634"/>
      <c r="AC1634"/>
      <c r="AD1634"/>
      <c r="AE1634"/>
      <c r="AF1634" t="s">
        <v>10840</v>
      </c>
      <c r="AG1634" t="n">
        <v>62</v>
      </c>
    </row>
    <row r="1635">
      <c r="A1635" t="s">
        <v>10841</v>
      </c>
      <c r="B1635" t="s">
        <v>30</v>
      </c>
      <c r="C1635" t="s">
        <v>65</v>
      </c>
      <c r="D1635" t="s">
        <v>10842</v>
      </c>
      <c r="E1635" t="s">
        <v>394</v>
      </c>
      <c r="F1635" t="s">
        <v>387</v>
      </c>
      <c r="G1635" t="s">
        <v>395</v>
      </c>
      <c r="H1635" t="n">
        <v>39.6343821632653</v>
      </c>
      <c r="I1635" t="n">
        <v>-104.987892979592</v>
      </c>
      <c r="J1635" t="s">
        <v>35</v>
      </c>
      <c r="K1635" t="s">
        <v>70</v>
      </c>
      <c r="L1635"/>
      <c r="M1635" t="n">
        <v>1980</v>
      </c>
      <c r="N1635" t="n">
        <v>1983</v>
      </c>
      <c r="O1635" t="s">
        <v>264</v>
      </c>
      <c r="P1635" t="n">
        <v>2</v>
      </c>
      <c r="Q1635" t="n">
        <v>1</v>
      </c>
      <c r="R1635" t="n">
        <v>1</v>
      </c>
      <c r="S1635" t="n">
        <v>1958</v>
      </c>
      <c r="T1635" t="s">
        <v>10843</v>
      </c>
      <c r="U1635" t="s">
        <v>10844</v>
      </c>
      <c r="V1635" t="s">
        <v>74</v>
      </c>
      <c r="W1635"/>
      <c r="X1635"/>
      <c r="Y1635"/>
      <c r="Z1635"/>
      <c r="AA1635" t="s">
        <v>10845</v>
      </c>
      <c r="AB1635"/>
      <c r="AC1635"/>
      <c r="AD1635"/>
      <c r="AE1635"/>
      <c r="AF1635" t="s">
        <v>10846</v>
      </c>
      <c r="AG1635" t="n">
        <v>110</v>
      </c>
    </row>
    <row r="1636">
      <c r="A1636" t="s">
        <v>10847</v>
      </c>
      <c r="B1636" t="s">
        <v>30</v>
      </c>
      <c r="C1636" t="s">
        <v>24</v>
      </c>
      <c r="D1636" t="s">
        <v>10848</v>
      </c>
      <c r="E1636" t="s">
        <v>394</v>
      </c>
      <c r="F1636" t="s">
        <v>387</v>
      </c>
      <c r="G1636" t="s">
        <v>553</v>
      </c>
      <c r="H1636" t="n">
        <v>39.5951654902391</v>
      </c>
      <c r="I1636" t="n">
        <v>-104.9483676011</v>
      </c>
      <c r="J1636" t="s">
        <v>4109</v>
      </c>
      <c r="K1636" t="s">
        <v>796</v>
      </c>
      <c r="L1636"/>
      <c r="M1636" t="n">
        <v>1983</v>
      </c>
      <c r="N1636" t="n">
        <v>1983</v>
      </c>
      <c r="O1636" t="s">
        <v>264</v>
      </c>
      <c r="P1636" t="n">
        <v>1</v>
      </c>
      <c r="Q1636" t="n">
        <v>1</v>
      </c>
      <c r="R1636" t="n">
        <v>1</v>
      </c>
      <c r="S1636" t="n">
        <v>1981</v>
      </c>
      <c r="T1636" t="s">
        <v>10849</v>
      </c>
      <c r="U1636" t="s">
        <v>10850</v>
      </c>
      <c r="V1636" t="s">
        <v>74</v>
      </c>
      <c r="W1636"/>
      <c r="X1636"/>
      <c r="Y1636"/>
      <c r="Z1636"/>
      <c r="AA1636" t="s">
        <v>10851</v>
      </c>
      <c r="AB1636"/>
      <c r="AC1636"/>
      <c r="AD1636"/>
      <c r="AE1636"/>
      <c r="AF1636"/>
      <c r="AG1636"/>
    </row>
    <row r="1637">
      <c r="A1637" t="s">
        <v>10852</v>
      </c>
      <c r="B1637" t="s">
        <v>30</v>
      </c>
      <c r="C1637" t="s">
        <v>65</v>
      </c>
      <c r="D1637" t="s">
        <v>10853</v>
      </c>
      <c r="E1637" t="s">
        <v>668</v>
      </c>
      <c r="F1637" t="s">
        <v>387</v>
      </c>
      <c r="G1637" t="s">
        <v>669</v>
      </c>
      <c r="H1637" t="n">
        <v>39.6213786080402</v>
      </c>
      <c r="I1637" t="n">
        <v>-104.903724045226</v>
      </c>
      <c r="J1637" t="s">
        <v>35</v>
      </c>
      <c r="K1637" t="s">
        <v>120</v>
      </c>
      <c r="L1637"/>
      <c r="M1637" t="n">
        <v>1983</v>
      </c>
      <c r="N1637" t="n">
        <v>1992</v>
      </c>
      <c r="O1637" t="s">
        <v>293</v>
      </c>
      <c r="P1637" t="n">
        <v>3</v>
      </c>
      <c r="Q1637" t="n">
        <v>2</v>
      </c>
      <c r="R1637" t="n">
        <v>1</v>
      </c>
      <c r="S1637" t="n">
        <v>1920</v>
      </c>
      <c r="T1637" t="s">
        <v>10854</v>
      </c>
      <c r="U1637" t="s">
        <v>10855</v>
      </c>
      <c r="V1637" t="s">
        <v>74</v>
      </c>
      <c r="W1637"/>
      <c r="X1637"/>
      <c r="Y1637"/>
      <c r="Z1637"/>
      <c r="AA1637" t="s">
        <v>10856</v>
      </c>
      <c r="AB1637"/>
      <c r="AC1637"/>
      <c r="AD1637"/>
      <c r="AE1637"/>
      <c r="AF1637" t="s">
        <v>10857</v>
      </c>
      <c r="AG1637" t="n">
        <v>154</v>
      </c>
    </row>
    <row r="1638">
      <c r="A1638" t="s">
        <v>10858</v>
      </c>
      <c r="B1638" t="s">
        <v>30</v>
      </c>
      <c r="C1638" t="s">
        <v>65</v>
      </c>
      <c r="D1638" t="s">
        <v>10859</v>
      </c>
      <c r="E1638" t="s">
        <v>394</v>
      </c>
      <c r="F1638" t="s">
        <v>387</v>
      </c>
      <c r="G1638" t="s">
        <v>395</v>
      </c>
      <c r="H1638" t="n">
        <v>39.6532851260552</v>
      </c>
      <c r="I1638" t="n">
        <v>-105.026488512759</v>
      </c>
      <c r="J1638" t="s">
        <v>35</v>
      </c>
      <c r="K1638" t="s">
        <v>133</v>
      </c>
      <c r="L1638"/>
      <c r="M1638" t="n">
        <v>1988</v>
      </c>
      <c r="N1638" t="n">
        <v>1990</v>
      </c>
      <c r="O1638" t="s">
        <v>351</v>
      </c>
      <c r="P1638" t="n">
        <v>2</v>
      </c>
      <c r="Q1638" t="n">
        <v>2</v>
      </c>
      <c r="R1638" t="n">
        <v>1</v>
      </c>
      <c r="S1638" t="n">
        <v>1982</v>
      </c>
      <c r="T1638" t="s">
        <v>10860</v>
      </c>
      <c r="U1638" t="s">
        <v>10861</v>
      </c>
      <c r="V1638" t="s">
        <v>74</v>
      </c>
      <c r="W1638"/>
      <c r="X1638"/>
      <c r="Y1638"/>
      <c r="Z1638"/>
      <c r="AA1638" t="s">
        <v>10862</v>
      </c>
      <c r="AB1638" t="s">
        <v>5985</v>
      </c>
      <c r="AC1638" t="n">
        <v>231</v>
      </c>
      <c r="AD1638" t="s">
        <v>10863</v>
      </c>
      <c r="AE1638" t="n">
        <v>242</v>
      </c>
      <c r="AF1638" t="s">
        <v>10864</v>
      </c>
      <c r="AG1638" t="n">
        <v>41</v>
      </c>
    </row>
    <row r="1639">
      <c r="A1639" t="s">
        <v>10865</v>
      </c>
      <c r="B1639" t="s">
        <v>30</v>
      </c>
      <c r="C1639" t="s">
        <v>65</v>
      </c>
      <c r="D1639" t="s">
        <v>10866</v>
      </c>
      <c r="E1639" t="s">
        <v>394</v>
      </c>
      <c r="F1639" t="s">
        <v>387</v>
      </c>
      <c r="G1639" t="s">
        <v>395</v>
      </c>
      <c r="H1639" t="n">
        <v>39.5895543414115</v>
      </c>
      <c r="I1639" t="n">
        <v>-104.835563342286</v>
      </c>
      <c r="J1639" t="s">
        <v>35</v>
      </c>
      <c r="K1639" t="s">
        <v>120</v>
      </c>
      <c r="L1639"/>
      <c r="M1639" t="n">
        <v>1988</v>
      </c>
      <c r="N1639" t="n">
        <v>1990</v>
      </c>
      <c r="O1639" t="s">
        <v>351</v>
      </c>
      <c r="P1639" t="n">
        <v>2</v>
      </c>
      <c r="Q1639" t="n">
        <v>1</v>
      </c>
      <c r="R1639" t="n">
        <v>1</v>
      </c>
      <c r="S1639" t="n">
        <v>1978</v>
      </c>
      <c r="T1639" t="s">
        <v>10867</v>
      </c>
      <c r="U1639" t="s">
        <v>10868</v>
      </c>
      <c r="V1639" t="s">
        <v>74</v>
      </c>
      <c r="W1639"/>
      <c r="X1639"/>
      <c r="Y1639"/>
      <c r="Z1639"/>
      <c r="AA1639" t="s">
        <v>10869</v>
      </c>
      <c r="AB1639"/>
      <c r="AC1639"/>
      <c r="AD1639"/>
      <c r="AE1639"/>
      <c r="AF1639" t="s">
        <v>10870</v>
      </c>
      <c r="AG1639" t="n">
        <v>93</v>
      </c>
    </row>
    <row r="1640">
      <c r="A1640" t="s">
        <v>10871</v>
      </c>
      <c r="B1640" t="s">
        <v>30</v>
      </c>
      <c r="C1640" t="s">
        <v>24</v>
      </c>
      <c r="D1640" t="s">
        <v>10872</v>
      </c>
      <c r="E1640" t="s">
        <v>386</v>
      </c>
      <c r="F1640" t="s">
        <v>387</v>
      </c>
      <c r="G1640" t="s">
        <v>428</v>
      </c>
      <c r="H1640" t="n">
        <v>39.6203522653061</v>
      </c>
      <c r="I1640" t="n">
        <v>-105.001971877551</v>
      </c>
      <c r="J1640" t="s">
        <v>4109</v>
      </c>
      <c r="K1640" t="s">
        <v>141</v>
      </c>
      <c r="L1640"/>
      <c r="M1640" t="n">
        <v>1988</v>
      </c>
      <c r="N1640" t="n">
        <v>1988</v>
      </c>
      <c r="O1640" t="s">
        <v>325</v>
      </c>
      <c r="P1640" t="n">
        <v>1</v>
      </c>
      <c r="Q1640" t="n">
        <v>1</v>
      </c>
      <c r="R1640" t="n">
        <v>1</v>
      </c>
      <c r="S1640" t="n">
        <v>1982</v>
      </c>
      <c r="T1640" t="s">
        <v>10873</v>
      </c>
      <c r="U1640" t="s">
        <v>10874</v>
      </c>
      <c r="V1640" t="s">
        <v>74</v>
      </c>
      <c r="W1640"/>
      <c r="X1640"/>
      <c r="Y1640"/>
      <c r="Z1640"/>
      <c r="AA1640" t="s">
        <v>10875</v>
      </c>
      <c r="AB1640"/>
      <c r="AC1640"/>
      <c r="AD1640"/>
      <c r="AE1640"/>
      <c r="AF1640"/>
      <c r="AG1640"/>
    </row>
    <row r="1641">
      <c r="A1641" t="s">
        <v>10876</v>
      </c>
      <c r="B1641" t="s">
        <v>30</v>
      </c>
      <c r="C1641" t="s">
        <v>65</v>
      </c>
      <c r="D1641" t="s">
        <v>10877</v>
      </c>
      <c r="E1641" t="s">
        <v>668</v>
      </c>
      <c r="F1641" t="s">
        <v>387</v>
      </c>
      <c r="G1641" t="s">
        <v>669</v>
      </c>
      <c r="H1641" t="n">
        <v>39.600038978956</v>
      </c>
      <c r="I1641" t="n">
        <v>-104.890263638639</v>
      </c>
      <c r="J1641" t="s">
        <v>35</v>
      </c>
      <c r="K1641" t="s">
        <v>89</v>
      </c>
      <c r="L1641"/>
      <c r="M1641" t="n">
        <v>1990</v>
      </c>
      <c r="N1641" t="n">
        <v>1990</v>
      </c>
      <c r="O1641" t="s">
        <v>351</v>
      </c>
      <c r="P1641" t="n">
        <v>1</v>
      </c>
      <c r="Q1641" t="n">
        <v>1</v>
      </c>
      <c r="R1641" t="n">
        <v>1</v>
      </c>
      <c r="S1641" t="n">
        <v>1984</v>
      </c>
      <c r="T1641" t="s">
        <v>10878</v>
      </c>
      <c r="U1641" t="s">
        <v>10879</v>
      </c>
      <c r="V1641" t="s">
        <v>74</v>
      </c>
      <c r="W1641"/>
      <c r="X1641"/>
      <c r="Y1641"/>
      <c r="Z1641"/>
      <c r="AA1641" t="s">
        <v>10880</v>
      </c>
      <c r="AB1641"/>
      <c r="AC1641"/>
      <c r="AD1641"/>
      <c r="AE1641"/>
      <c r="AF1641" t="s">
        <v>10881</v>
      </c>
      <c r="AG1641" t="n">
        <v>149</v>
      </c>
    </row>
    <row r="1642">
      <c r="A1642" t="s">
        <v>10882</v>
      </c>
      <c r="B1642" t="s">
        <v>30</v>
      </c>
      <c r="C1642" t="s">
        <v>65</v>
      </c>
      <c r="D1642" t="s">
        <v>10883</v>
      </c>
      <c r="E1642" t="s">
        <v>723</v>
      </c>
      <c r="F1642" t="s">
        <v>724</v>
      </c>
      <c r="G1642" t="s">
        <v>725</v>
      </c>
      <c r="H1642" t="n">
        <v>40.0162345510204</v>
      </c>
      <c r="I1642" t="n">
        <v>-105.282768469388</v>
      </c>
      <c r="J1642" t="s">
        <v>35</v>
      </c>
      <c r="K1642" t="s">
        <v>141</v>
      </c>
      <c r="L1642"/>
      <c r="M1642" t="n">
        <v>1966</v>
      </c>
      <c r="N1642" t="n">
        <v>1992</v>
      </c>
      <c r="O1642" t="s">
        <v>10884</v>
      </c>
      <c r="P1642" t="n">
        <v>6</v>
      </c>
      <c r="Q1642" t="n">
        <v>3</v>
      </c>
      <c r="R1642" t="n">
        <v>2</v>
      </c>
      <c r="S1642" t="n">
        <v>1945</v>
      </c>
      <c r="T1642" t="s">
        <v>10885</v>
      </c>
      <c r="U1642" t="s">
        <v>10886</v>
      </c>
      <c r="V1642" t="s">
        <v>74</v>
      </c>
      <c r="W1642"/>
      <c r="X1642"/>
      <c r="Y1642"/>
      <c r="Z1642"/>
      <c r="AA1642" t="s">
        <v>10887</v>
      </c>
      <c r="AB1642"/>
      <c r="AC1642"/>
      <c r="AD1642"/>
      <c r="AE1642"/>
      <c r="AF1642" t="s">
        <v>10888</v>
      </c>
      <c r="AG1642" t="n">
        <v>52</v>
      </c>
    </row>
    <row r="1643">
      <c r="A1643" t="s">
        <v>10889</v>
      </c>
      <c r="B1643" t="s">
        <v>30</v>
      </c>
      <c r="C1643" t="s">
        <v>65</v>
      </c>
      <c r="D1643" t="s">
        <v>10890</v>
      </c>
      <c r="E1643" t="s">
        <v>738</v>
      </c>
      <c r="F1643" t="s">
        <v>724</v>
      </c>
      <c r="G1643" t="s">
        <v>739</v>
      </c>
      <c r="H1643" t="n">
        <v>40.1642523078314</v>
      </c>
      <c r="I1643" t="n">
        <v>-105.101187119657</v>
      </c>
      <c r="J1643" t="s">
        <v>35</v>
      </c>
      <c r="K1643" t="s">
        <v>141</v>
      </c>
      <c r="L1643"/>
      <c r="M1643" t="n">
        <v>1966</v>
      </c>
      <c r="N1643" t="n">
        <v>1967</v>
      </c>
      <c r="O1643" t="s">
        <v>716</v>
      </c>
      <c r="P1643" t="n">
        <v>2</v>
      </c>
      <c r="Q1643" t="n">
        <v>2</v>
      </c>
      <c r="R1643" t="n">
        <v>1</v>
      </c>
      <c r="S1643" t="n">
        <v>1952</v>
      </c>
      <c r="T1643" t="s">
        <v>10891</v>
      </c>
      <c r="U1643" t="s">
        <v>10892</v>
      </c>
      <c r="V1643" t="s">
        <v>74</v>
      </c>
      <c r="W1643"/>
      <c r="X1643"/>
      <c r="Y1643"/>
      <c r="Z1643"/>
      <c r="AA1643" t="s">
        <v>10893</v>
      </c>
      <c r="AB1643"/>
      <c r="AC1643"/>
      <c r="AD1643"/>
      <c r="AE1643"/>
      <c r="AF1643" t="s">
        <v>898</v>
      </c>
      <c r="AG1643" t="n">
        <v>86</v>
      </c>
    </row>
    <row r="1644">
      <c r="A1644" t="s">
        <v>10894</v>
      </c>
      <c r="B1644" t="s">
        <v>30</v>
      </c>
      <c r="C1644" t="s">
        <v>65</v>
      </c>
      <c r="D1644" t="s">
        <v>10895</v>
      </c>
      <c r="E1644" t="s">
        <v>1010</v>
      </c>
      <c r="F1644" t="s">
        <v>724</v>
      </c>
      <c r="G1644" t="s">
        <v>1011</v>
      </c>
      <c r="H1644" t="n">
        <v>39.9788367469388</v>
      </c>
      <c r="I1644" t="n">
        <v>-105.132147269388</v>
      </c>
      <c r="J1644" t="s">
        <v>35</v>
      </c>
      <c r="K1644" t="s">
        <v>70</v>
      </c>
      <c r="L1644"/>
      <c r="M1644" t="n">
        <v>1966</v>
      </c>
      <c r="N1644" t="n">
        <v>1992</v>
      </c>
      <c r="O1644" t="s">
        <v>325</v>
      </c>
      <c r="P1644" t="n">
        <v>9</v>
      </c>
      <c r="Q1644" t="n">
        <v>3</v>
      </c>
      <c r="R1644" t="n">
        <v>1</v>
      </c>
      <c r="S1644" t="n">
        <v>1913</v>
      </c>
      <c r="T1644" t="s">
        <v>10896</v>
      </c>
      <c r="U1644" t="s">
        <v>10897</v>
      </c>
      <c r="V1644" t="s">
        <v>74</v>
      </c>
      <c r="W1644"/>
      <c r="X1644"/>
      <c r="Y1644"/>
      <c r="Z1644"/>
      <c r="AA1644" t="s">
        <v>10898</v>
      </c>
      <c r="AB1644" t="s">
        <v>10899</v>
      </c>
      <c r="AC1644" t="n">
        <v>172</v>
      </c>
      <c r="AD1644"/>
      <c r="AE1644"/>
      <c r="AF1644"/>
      <c r="AG1644"/>
    </row>
    <row r="1645">
      <c r="A1645" t="s">
        <v>10900</v>
      </c>
      <c r="B1645" t="s">
        <v>30</v>
      </c>
      <c r="C1645" t="s">
        <v>65</v>
      </c>
      <c r="D1645" t="s">
        <v>10901</v>
      </c>
      <c r="E1645" t="s">
        <v>723</v>
      </c>
      <c r="F1645" t="s">
        <v>724</v>
      </c>
      <c r="G1645" t="s">
        <v>725</v>
      </c>
      <c r="H1645" t="n">
        <v>40.0224868979592</v>
      </c>
      <c r="I1645" t="n">
        <v>-105.26293844898</v>
      </c>
      <c r="J1645" t="s">
        <v>35</v>
      </c>
      <c r="K1645" t="s">
        <v>315</v>
      </c>
      <c r="L1645"/>
      <c r="M1645" t="n">
        <v>1967</v>
      </c>
      <c r="N1645" t="n">
        <v>1968</v>
      </c>
      <c r="O1645" t="s">
        <v>106</v>
      </c>
      <c r="P1645" t="n">
        <v>2</v>
      </c>
      <c r="Q1645" t="n">
        <v>1</v>
      </c>
      <c r="R1645" t="n">
        <v>1</v>
      </c>
      <c r="S1645" t="n">
        <v>1965</v>
      </c>
      <c r="T1645" t="s">
        <v>10902</v>
      </c>
      <c r="U1645" t="s">
        <v>10903</v>
      </c>
      <c r="V1645" t="s">
        <v>74</v>
      </c>
      <c r="W1645"/>
      <c r="X1645"/>
      <c r="Y1645"/>
      <c r="Z1645"/>
      <c r="AA1645" t="s">
        <v>10904</v>
      </c>
      <c r="AB1645"/>
      <c r="AC1645"/>
      <c r="AD1645"/>
      <c r="AE1645"/>
      <c r="AF1645" t="s">
        <v>758</v>
      </c>
      <c r="AG1645" t="n">
        <v>198</v>
      </c>
    </row>
    <row r="1646">
      <c r="A1646" t="s">
        <v>10905</v>
      </c>
      <c r="B1646" t="s">
        <v>30</v>
      </c>
      <c r="C1646" t="s">
        <v>65</v>
      </c>
      <c r="D1646" t="s">
        <v>10906</v>
      </c>
      <c r="E1646" t="s">
        <v>723</v>
      </c>
      <c r="F1646" t="s">
        <v>724</v>
      </c>
      <c r="G1646" t="s">
        <v>725</v>
      </c>
      <c r="H1646" t="n">
        <v>40.015851</v>
      </c>
      <c r="I1646" t="n">
        <v>-105.289864836735</v>
      </c>
      <c r="J1646" t="s">
        <v>35</v>
      </c>
      <c r="K1646" t="s">
        <v>89</v>
      </c>
      <c r="L1646"/>
      <c r="M1646" t="n">
        <v>1967</v>
      </c>
      <c r="N1646" t="n">
        <v>1970</v>
      </c>
      <c r="O1646" t="s">
        <v>409</v>
      </c>
      <c r="P1646" t="n">
        <v>2</v>
      </c>
      <c r="Q1646" t="n">
        <v>1</v>
      </c>
      <c r="R1646" t="n">
        <v>1</v>
      </c>
      <c r="S1646" t="n">
        <v>1958</v>
      </c>
      <c r="T1646" t="s">
        <v>10907</v>
      </c>
      <c r="U1646" t="s">
        <v>10908</v>
      </c>
      <c r="V1646" t="s">
        <v>74</v>
      </c>
      <c r="W1646"/>
      <c r="X1646"/>
      <c r="Y1646"/>
      <c r="Z1646"/>
      <c r="AA1646" t="s">
        <v>10909</v>
      </c>
      <c r="AB1646"/>
      <c r="AC1646"/>
      <c r="AD1646"/>
      <c r="AE1646"/>
      <c r="AF1646" t="s">
        <v>10910</v>
      </c>
      <c r="AG1646" t="n">
        <v>172</v>
      </c>
    </row>
    <row r="1647">
      <c r="A1647" t="s">
        <v>10911</v>
      </c>
      <c r="B1647" t="s">
        <v>30</v>
      </c>
      <c r="C1647" t="s">
        <v>65</v>
      </c>
      <c r="D1647" t="s">
        <v>10912</v>
      </c>
      <c r="E1647" t="s">
        <v>723</v>
      </c>
      <c r="F1647" t="s">
        <v>724</v>
      </c>
      <c r="G1647" t="s">
        <v>725</v>
      </c>
      <c r="H1647" t="n">
        <v>40.0153445654762</v>
      </c>
      <c r="I1647" t="n">
        <v>-105.291962452381</v>
      </c>
      <c r="J1647" t="s">
        <v>35</v>
      </c>
      <c r="K1647" t="s">
        <v>1639</v>
      </c>
      <c r="L1647"/>
      <c r="M1647" t="n">
        <v>1968</v>
      </c>
      <c r="N1647" t="n">
        <v>1980</v>
      </c>
      <c r="O1647" t="s">
        <v>10913</v>
      </c>
      <c r="P1647" t="n">
        <v>5</v>
      </c>
      <c r="Q1647" t="n">
        <v>3</v>
      </c>
      <c r="R1647" t="n">
        <v>3</v>
      </c>
      <c r="S1647" t="n">
        <v>1959</v>
      </c>
      <c r="T1647" t="s">
        <v>10914</v>
      </c>
      <c r="U1647" t="s">
        <v>10915</v>
      </c>
      <c r="V1647" t="s">
        <v>74</v>
      </c>
      <c r="W1647"/>
      <c r="X1647"/>
      <c r="Y1647"/>
      <c r="Z1647"/>
      <c r="AA1647" t="s">
        <v>10916</v>
      </c>
      <c r="AB1647" t="s">
        <v>10917</v>
      </c>
      <c r="AC1647" t="n">
        <v>197</v>
      </c>
      <c r="AD1647"/>
      <c r="AE1647"/>
      <c r="AF1647" t="s">
        <v>10910</v>
      </c>
      <c r="AG1647" t="n">
        <v>117</v>
      </c>
    </row>
    <row r="1648">
      <c r="A1648" t="s">
        <v>10918</v>
      </c>
      <c r="B1648" t="s">
        <v>30</v>
      </c>
      <c r="C1648" t="s">
        <v>65</v>
      </c>
      <c r="D1648" t="s">
        <v>10919</v>
      </c>
      <c r="E1648" t="s">
        <v>723</v>
      </c>
      <c r="F1648" t="s">
        <v>724</v>
      </c>
      <c r="G1648" t="s">
        <v>725</v>
      </c>
      <c r="H1648" t="n">
        <v>40.0184565563657</v>
      </c>
      <c r="I1648" t="n">
        <v>-105.263033157551</v>
      </c>
      <c r="J1648" t="s">
        <v>35</v>
      </c>
      <c r="K1648" t="s">
        <v>133</v>
      </c>
      <c r="L1648"/>
      <c r="M1648" t="n">
        <v>1973</v>
      </c>
      <c r="N1648" t="n">
        <v>1992</v>
      </c>
      <c r="O1648" t="s">
        <v>1016</v>
      </c>
      <c r="P1648" t="n">
        <v>7</v>
      </c>
      <c r="Q1648" t="n">
        <v>3</v>
      </c>
      <c r="R1648" t="n">
        <v>1</v>
      </c>
      <c r="S1648" t="n">
        <v>1956</v>
      </c>
      <c r="T1648" t="s">
        <v>10920</v>
      </c>
      <c r="U1648" t="s">
        <v>10921</v>
      </c>
      <c r="V1648" t="s">
        <v>74</v>
      </c>
      <c r="W1648"/>
      <c r="X1648"/>
      <c r="Y1648"/>
      <c r="Z1648"/>
      <c r="AA1648" t="s">
        <v>10922</v>
      </c>
      <c r="AB1648"/>
      <c r="AC1648"/>
      <c r="AD1648"/>
      <c r="AE1648"/>
      <c r="AF1648" t="s">
        <v>10923</v>
      </c>
      <c r="AG1648" t="n">
        <v>121</v>
      </c>
    </row>
    <row r="1649">
      <c r="A1649" t="s">
        <v>10924</v>
      </c>
      <c r="B1649" t="s">
        <v>30</v>
      </c>
      <c r="C1649" t="s">
        <v>65</v>
      </c>
      <c r="D1649" t="s">
        <v>10925</v>
      </c>
      <c r="E1649" t="s">
        <v>723</v>
      </c>
      <c r="F1649" t="s">
        <v>724</v>
      </c>
      <c r="G1649" t="s">
        <v>817</v>
      </c>
      <c r="H1649" t="n">
        <v>40.0212837878788</v>
      </c>
      <c r="I1649" t="n">
        <v>-105.247269636364</v>
      </c>
      <c r="J1649" t="s">
        <v>35</v>
      </c>
      <c r="K1649" t="s">
        <v>120</v>
      </c>
      <c r="L1649"/>
      <c r="M1649" t="n">
        <v>1973</v>
      </c>
      <c r="N1649" t="n">
        <v>1973</v>
      </c>
      <c r="O1649" t="s">
        <v>121</v>
      </c>
      <c r="P1649" t="n">
        <v>1</v>
      </c>
      <c r="Q1649" t="n">
        <v>1</v>
      </c>
      <c r="R1649" t="n">
        <v>1</v>
      </c>
      <c r="S1649" t="n">
        <v>1970</v>
      </c>
      <c r="T1649" t="s">
        <v>10926</v>
      </c>
      <c r="U1649" t="s">
        <v>10927</v>
      </c>
      <c r="V1649" t="s">
        <v>74</v>
      </c>
      <c r="W1649"/>
      <c r="X1649"/>
      <c r="Y1649"/>
      <c r="Z1649"/>
      <c r="AA1649" t="s">
        <v>10928</v>
      </c>
      <c r="AB1649" t="s">
        <v>6306</v>
      </c>
      <c r="AC1649" t="n">
        <v>219</v>
      </c>
      <c r="AD1649" t="s">
        <v>6307</v>
      </c>
      <c r="AE1649" t="n">
        <v>213</v>
      </c>
      <c r="AF1649" t="s">
        <v>10929</v>
      </c>
      <c r="AG1649" t="n">
        <v>92</v>
      </c>
    </row>
    <row r="1650">
      <c r="A1650" t="s">
        <v>10930</v>
      </c>
      <c r="B1650" t="s">
        <v>30</v>
      </c>
      <c r="C1650" t="s">
        <v>65</v>
      </c>
      <c r="D1650" t="s">
        <v>6288</v>
      </c>
      <c r="E1650" t="s">
        <v>723</v>
      </c>
      <c r="F1650" t="s">
        <v>724</v>
      </c>
      <c r="G1650" t="s">
        <v>863</v>
      </c>
      <c r="H1650" t="n">
        <v>40.023715</v>
      </c>
      <c r="I1650" t="n">
        <v>-105.252033</v>
      </c>
      <c r="J1650" t="s">
        <v>35</v>
      </c>
      <c r="K1650" t="s">
        <v>120</v>
      </c>
      <c r="L1650"/>
      <c r="M1650" t="n">
        <v>1977</v>
      </c>
      <c r="N1650" t="n">
        <v>1990</v>
      </c>
      <c r="O1650" t="s">
        <v>255</v>
      </c>
      <c r="P1650" t="n">
        <v>3</v>
      </c>
      <c r="Q1650" t="n">
        <v>3</v>
      </c>
      <c r="R1650" t="n">
        <v>1</v>
      </c>
      <c r="S1650" t="n">
        <v>1972</v>
      </c>
      <c r="T1650" t="s">
        <v>10931</v>
      </c>
      <c r="U1650" t="s">
        <v>10932</v>
      </c>
      <c r="V1650" t="s">
        <v>74</v>
      </c>
      <c r="W1650"/>
      <c r="X1650"/>
      <c r="Y1650"/>
      <c r="Z1650"/>
      <c r="AA1650" t="s">
        <v>10933</v>
      </c>
      <c r="AB1650" t="s">
        <v>6294</v>
      </c>
      <c r="AC1650" t="n">
        <v>131</v>
      </c>
      <c r="AD1650"/>
      <c r="AE1650"/>
      <c r="AF1650" t="s">
        <v>10934</v>
      </c>
      <c r="AG1650" t="n">
        <v>82</v>
      </c>
    </row>
    <row r="1651">
      <c r="A1651" t="s">
        <v>10935</v>
      </c>
      <c r="B1651" t="s">
        <v>30</v>
      </c>
      <c r="C1651" t="s">
        <v>65</v>
      </c>
      <c r="D1651" t="s">
        <v>10936</v>
      </c>
      <c r="E1651" t="s">
        <v>723</v>
      </c>
      <c r="F1651" t="s">
        <v>724</v>
      </c>
      <c r="G1651" t="s">
        <v>817</v>
      </c>
      <c r="H1651" t="n">
        <v>40.0647069795918</v>
      </c>
      <c r="I1651" t="n">
        <v>-105.215475877551</v>
      </c>
      <c r="J1651" t="s">
        <v>35</v>
      </c>
      <c r="K1651" t="s">
        <v>89</v>
      </c>
      <c r="L1651"/>
      <c r="M1651" t="n">
        <v>1977</v>
      </c>
      <c r="N1651" t="n">
        <v>1990</v>
      </c>
      <c r="O1651" t="s">
        <v>325</v>
      </c>
      <c r="P1651" t="n">
        <v>4</v>
      </c>
      <c r="Q1651" t="n">
        <v>1</v>
      </c>
      <c r="R1651" t="n">
        <v>1</v>
      </c>
      <c r="S1651" t="n">
        <v>1967</v>
      </c>
      <c r="T1651" t="s">
        <v>10937</v>
      </c>
      <c r="U1651" t="s">
        <v>10938</v>
      </c>
      <c r="V1651" t="s">
        <v>74</v>
      </c>
      <c r="W1651"/>
      <c r="X1651"/>
      <c r="Y1651"/>
      <c r="Z1651"/>
      <c r="AA1651" t="s">
        <v>10939</v>
      </c>
      <c r="AB1651"/>
      <c r="AC1651"/>
      <c r="AD1651" t="s">
        <v>10940</v>
      </c>
      <c r="AE1651" t="n">
        <v>179</v>
      </c>
      <c r="AF1651"/>
      <c r="AG1651"/>
    </row>
    <row r="1652">
      <c r="A1652" t="s">
        <v>10941</v>
      </c>
      <c r="B1652" t="s">
        <v>30</v>
      </c>
      <c r="C1652" t="s">
        <v>65</v>
      </c>
      <c r="D1652" t="s">
        <v>10942</v>
      </c>
      <c r="E1652" t="s">
        <v>883</v>
      </c>
      <c r="F1652" t="s">
        <v>724</v>
      </c>
      <c r="G1652" t="s">
        <v>884</v>
      </c>
      <c r="H1652" t="n">
        <v>39.9724149133336</v>
      </c>
      <c r="I1652" t="n">
        <v>-105.102844398234</v>
      </c>
      <c r="J1652" t="s">
        <v>35</v>
      </c>
      <c r="K1652" t="s">
        <v>796</v>
      </c>
      <c r="L1652"/>
      <c r="M1652" t="n">
        <v>1977</v>
      </c>
      <c r="N1652" t="n">
        <v>1990</v>
      </c>
      <c r="O1652" t="s">
        <v>10943</v>
      </c>
      <c r="P1652" t="n">
        <v>3</v>
      </c>
      <c r="Q1652" t="n">
        <v>2</v>
      </c>
      <c r="R1652" t="n">
        <v>2</v>
      </c>
      <c r="S1652" t="n">
        <v>1969</v>
      </c>
      <c r="T1652" t="s">
        <v>10944</v>
      </c>
      <c r="U1652" t="s">
        <v>10945</v>
      </c>
      <c r="V1652" t="s">
        <v>74</v>
      </c>
      <c r="W1652"/>
      <c r="X1652"/>
      <c r="Y1652"/>
      <c r="Z1652"/>
      <c r="AA1652" t="s">
        <v>10946</v>
      </c>
      <c r="AB1652"/>
      <c r="AC1652"/>
      <c r="AD1652"/>
      <c r="AE1652"/>
      <c r="AF1652"/>
      <c r="AG1652"/>
    </row>
    <row r="1653">
      <c r="A1653" t="s">
        <v>10947</v>
      </c>
      <c r="B1653" t="s">
        <v>30</v>
      </c>
      <c r="C1653" t="s">
        <v>65</v>
      </c>
      <c r="D1653" t="s">
        <v>10948</v>
      </c>
      <c r="E1653" t="s">
        <v>723</v>
      </c>
      <c r="F1653" t="s">
        <v>724</v>
      </c>
      <c r="G1653" t="s">
        <v>725</v>
      </c>
      <c r="H1653" t="n">
        <v>40.0229056122449</v>
      </c>
      <c r="I1653" t="n">
        <v>-105.260924397959</v>
      </c>
      <c r="J1653" t="s">
        <v>35</v>
      </c>
      <c r="K1653" t="s">
        <v>133</v>
      </c>
      <c r="L1653"/>
      <c r="M1653" t="n">
        <v>1980</v>
      </c>
      <c r="N1653" t="n">
        <v>1988</v>
      </c>
      <c r="O1653" t="s">
        <v>264</v>
      </c>
      <c r="P1653" t="n">
        <v>3</v>
      </c>
      <c r="Q1653" t="n">
        <v>2</v>
      </c>
      <c r="R1653" t="n">
        <v>1</v>
      </c>
      <c r="S1653" t="n">
        <v>1976</v>
      </c>
      <c r="T1653" t="s">
        <v>10949</v>
      </c>
      <c r="U1653" t="s">
        <v>10950</v>
      </c>
      <c r="V1653" t="s">
        <v>74</v>
      </c>
      <c r="W1653"/>
      <c r="X1653"/>
      <c r="Y1653"/>
      <c r="Z1653"/>
      <c r="AA1653" t="s">
        <v>10951</v>
      </c>
      <c r="AB1653"/>
      <c r="AC1653"/>
      <c r="AD1653"/>
      <c r="AE1653"/>
      <c r="AF1653" t="s">
        <v>10952</v>
      </c>
      <c r="AG1653" t="n">
        <v>115</v>
      </c>
    </row>
    <row r="1654">
      <c r="A1654" t="s">
        <v>10953</v>
      </c>
      <c r="B1654" t="s">
        <v>30</v>
      </c>
      <c r="C1654" t="s">
        <v>65</v>
      </c>
      <c r="D1654" t="s">
        <v>10954</v>
      </c>
      <c r="E1654" t="s">
        <v>723</v>
      </c>
      <c r="F1654" t="s">
        <v>724</v>
      </c>
      <c r="G1654" t="s">
        <v>725</v>
      </c>
      <c r="H1654" t="n">
        <v>40.0209344285714</v>
      </c>
      <c r="I1654" t="n">
        <v>-105.265132346939</v>
      </c>
      <c r="J1654" t="s">
        <v>35</v>
      </c>
      <c r="K1654" t="s">
        <v>120</v>
      </c>
      <c r="L1654"/>
      <c r="M1654" t="n">
        <v>1980</v>
      </c>
      <c r="N1654" t="n">
        <v>1980</v>
      </c>
      <c r="O1654" t="s">
        <v>255</v>
      </c>
      <c r="P1654" t="n">
        <v>1</v>
      </c>
      <c r="Q1654" t="n">
        <v>1</v>
      </c>
      <c r="R1654" t="n">
        <v>1</v>
      </c>
      <c r="S1654" t="n">
        <v>1975</v>
      </c>
      <c r="T1654" t="s">
        <v>10955</v>
      </c>
      <c r="U1654" t="s">
        <v>10956</v>
      </c>
      <c r="V1654" t="s">
        <v>74</v>
      </c>
      <c r="W1654"/>
      <c r="X1654"/>
      <c r="Y1654"/>
      <c r="Z1654"/>
      <c r="AA1654" t="s">
        <v>10957</v>
      </c>
      <c r="AB1654"/>
      <c r="AC1654"/>
      <c r="AD1654"/>
      <c r="AE1654"/>
      <c r="AF1654" t="s">
        <v>10958</v>
      </c>
      <c r="AG1654" t="n">
        <v>62</v>
      </c>
    </row>
    <row r="1655">
      <c r="A1655" t="s">
        <v>10959</v>
      </c>
      <c r="B1655" t="s">
        <v>30</v>
      </c>
      <c r="C1655" t="s">
        <v>65</v>
      </c>
      <c r="D1655" t="s">
        <v>10960</v>
      </c>
      <c r="E1655" t="s">
        <v>723</v>
      </c>
      <c r="F1655" t="s">
        <v>724</v>
      </c>
      <c r="G1655" t="s">
        <v>725</v>
      </c>
      <c r="H1655" t="n">
        <v>40.0157158738118</v>
      </c>
      <c r="I1655" t="n">
        <v>-105.262993075538</v>
      </c>
      <c r="J1655" t="s">
        <v>35</v>
      </c>
      <c r="K1655" t="s">
        <v>133</v>
      </c>
      <c r="L1655"/>
      <c r="M1655" t="n">
        <v>1980</v>
      </c>
      <c r="N1655" t="n">
        <v>1990</v>
      </c>
      <c r="O1655" t="s">
        <v>325</v>
      </c>
      <c r="P1655" t="n">
        <v>4</v>
      </c>
      <c r="Q1655" t="n">
        <v>2</v>
      </c>
      <c r="R1655" t="n">
        <v>1</v>
      </c>
      <c r="S1655" t="n">
        <v>1974</v>
      </c>
      <c r="T1655" t="s">
        <v>10961</v>
      </c>
      <c r="U1655" t="s">
        <v>10962</v>
      </c>
      <c r="V1655" t="s">
        <v>74</v>
      </c>
      <c r="W1655"/>
      <c r="X1655"/>
      <c r="Y1655"/>
      <c r="Z1655"/>
      <c r="AA1655" t="s">
        <v>10963</v>
      </c>
      <c r="AB1655" t="s">
        <v>10964</v>
      </c>
      <c r="AC1655" t="n">
        <v>137</v>
      </c>
      <c r="AD1655"/>
      <c r="AE1655"/>
      <c r="AF1655" t="s">
        <v>10965</v>
      </c>
      <c r="AG1655" t="n">
        <v>129</v>
      </c>
    </row>
    <row r="1656">
      <c r="A1656" t="s">
        <v>10966</v>
      </c>
      <c r="B1656" t="s">
        <v>30</v>
      </c>
      <c r="C1656" t="s">
        <v>24</v>
      </c>
      <c r="D1656" t="s">
        <v>10967</v>
      </c>
      <c r="E1656" t="s">
        <v>723</v>
      </c>
      <c r="F1656" t="s">
        <v>724</v>
      </c>
      <c r="G1656" t="s">
        <v>725</v>
      </c>
      <c r="H1656" t="n">
        <v>40.06701</v>
      </c>
      <c r="I1656" t="n">
        <v>-105.282536</v>
      </c>
      <c r="J1656" t="s">
        <v>4109</v>
      </c>
      <c r="K1656" t="s">
        <v>141</v>
      </c>
      <c r="L1656" t="s">
        <v>202</v>
      </c>
      <c r="M1656" t="n">
        <v>1980</v>
      </c>
      <c r="N1656" t="n">
        <v>1992</v>
      </c>
      <c r="O1656" t="s">
        <v>582</v>
      </c>
      <c r="P1656" t="n">
        <v>5</v>
      </c>
      <c r="Q1656" t="n">
        <v>9</v>
      </c>
      <c r="R1656" t="n">
        <v>3</v>
      </c>
      <c r="S1656" t="n">
        <v>1971</v>
      </c>
      <c r="T1656" t="s">
        <v>10968</v>
      </c>
      <c r="U1656" t="s">
        <v>10969</v>
      </c>
      <c r="V1656" t="s">
        <v>74</v>
      </c>
      <c r="W1656"/>
      <c r="X1656"/>
      <c r="Y1656"/>
      <c r="Z1656"/>
      <c r="AA1656" t="s">
        <v>10970</v>
      </c>
      <c r="AB1656"/>
      <c r="AC1656"/>
      <c r="AD1656"/>
      <c r="AE1656"/>
      <c r="AF1656"/>
      <c r="AG1656"/>
    </row>
    <row r="1657">
      <c r="A1657" t="s">
        <v>10971</v>
      </c>
      <c r="B1657" t="s">
        <v>30</v>
      </c>
      <c r="C1657" t="s">
        <v>65</v>
      </c>
      <c r="D1657" t="s">
        <v>10972</v>
      </c>
      <c r="E1657" t="s">
        <v>738</v>
      </c>
      <c r="F1657" t="s">
        <v>724</v>
      </c>
      <c r="G1657" t="s">
        <v>739</v>
      </c>
      <c r="H1657" t="n">
        <v>40.1400063397478</v>
      </c>
      <c r="I1657" t="n">
        <v>-105.125068250246</v>
      </c>
      <c r="J1657" t="s">
        <v>35</v>
      </c>
      <c r="K1657" t="s">
        <v>81</v>
      </c>
      <c r="L1657"/>
      <c r="M1657" t="n">
        <v>1980</v>
      </c>
      <c r="N1657" t="n">
        <v>1992</v>
      </c>
      <c r="O1657" t="s">
        <v>3881</v>
      </c>
      <c r="P1657" t="n">
        <v>4</v>
      </c>
      <c r="Q1657" t="n">
        <v>1</v>
      </c>
      <c r="R1657" t="n">
        <v>1</v>
      </c>
      <c r="S1657" t="n">
        <v>1972</v>
      </c>
      <c r="T1657" t="s">
        <v>10973</v>
      </c>
      <c r="U1657" t="s">
        <v>10974</v>
      </c>
      <c r="V1657" t="s">
        <v>74</v>
      </c>
      <c r="W1657"/>
      <c r="X1657"/>
      <c r="Y1657"/>
      <c r="Z1657"/>
      <c r="AA1657" t="s">
        <v>10975</v>
      </c>
      <c r="AB1657"/>
      <c r="AC1657"/>
      <c r="AD1657" t="s">
        <v>10976</v>
      </c>
      <c r="AE1657" t="n">
        <v>108</v>
      </c>
      <c r="AF1657" t="s">
        <v>10977</v>
      </c>
      <c r="AG1657" t="n">
        <v>124</v>
      </c>
    </row>
    <row r="1658">
      <c r="A1658" t="s">
        <v>10978</v>
      </c>
      <c r="B1658" t="s">
        <v>30</v>
      </c>
      <c r="C1658" t="s">
        <v>65</v>
      </c>
      <c r="D1658" t="s">
        <v>10979</v>
      </c>
      <c r="E1658" t="s">
        <v>723</v>
      </c>
      <c r="F1658" t="s">
        <v>724</v>
      </c>
      <c r="G1658" t="s">
        <v>817</v>
      </c>
      <c r="H1658" t="n">
        <v>40.018497611975</v>
      </c>
      <c r="I1658" t="n">
        <v>-105.231978190361</v>
      </c>
      <c r="J1658" t="s">
        <v>35</v>
      </c>
      <c r="K1658" t="s">
        <v>126</v>
      </c>
      <c r="L1658"/>
      <c r="M1658" t="n">
        <v>1983</v>
      </c>
      <c r="N1658" t="n">
        <v>1992</v>
      </c>
      <c r="O1658" t="s">
        <v>271</v>
      </c>
      <c r="P1658" t="n">
        <v>4</v>
      </c>
      <c r="Q1658" t="n">
        <v>8</v>
      </c>
      <c r="R1658" t="n">
        <v>4</v>
      </c>
      <c r="S1658" t="n">
        <v>1980</v>
      </c>
      <c r="T1658" t="s">
        <v>10980</v>
      </c>
      <c r="U1658" t="s">
        <v>10981</v>
      </c>
      <c r="V1658" t="s">
        <v>74</v>
      </c>
      <c r="W1658"/>
      <c r="X1658"/>
      <c r="Y1658"/>
      <c r="Z1658"/>
      <c r="AA1658" t="s">
        <v>10982</v>
      </c>
      <c r="AB1658"/>
      <c r="AC1658"/>
      <c r="AD1658"/>
      <c r="AE1658"/>
      <c r="AF1658" t="s">
        <v>10983</v>
      </c>
      <c r="AG1658" t="n">
        <v>96</v>
      </c>
    </row>
    <row r="1659">
      <c r="A1659" t="s">
        <v>10984</v>
      </c>
      <c r="B1659" t="s">
        <v>30</v>
      </c>
      <c r="C1659" t="s">
        <v>65</v>
      </c>
      <c r="D1659" t="s">
        <v>10985</v>
      </c>
      <c r="E1659" t="s">
        <v>723</v>
      </c>
      <c r="F1659" t="s">
        <v>724</v>
      </c>
      <c r="G1659" t="s">
        <v>863</v>
      </c>
      <c r="H1659" t="n">
        <v>39.997877455507</v>
      </c>
      <c r="I1659" t="n">
        <v>-105.181226475377</v>
      </c>
      <c r="J1659" t="s">
        <v>35</v>
      </c>
      <c r="K1659" t="s">
        <v>120</v>
      </c>
      <c r="L1659"/>
      <c r="M1659" t="n">
        <v>1983</v>
      </c>
      <c r="N1659" t="n">
        <v>1992</v>
      </c>
      <c r="O1659" t="s">
        <v>2061</v>
      </c>
      <c r="P1659" t="n">
        <v>4</v>
      </c>
      <c r="Q1659" t="n">
        <v>1</v>
      </c>
      <c r="R1659" t="n">
        <v>1</v>
      </c>
      <c r="S1659" t="n">
        <v>1970</v>
      </c>
      <c r="T1659" t="s">
        <v>10986</v>
      </c>
      <c r="U1659" t="s">
        <v>10987</v>
      </c>
      <c r="V1659" t="s">
        <v>74</v>
      </c>
      <c r="W1659"/>
      <c r="X1659"/>
      <c r="Y1659"/>
      <c r="Z1659"/>
      <c r="AA1659" t="s">
        <v>10988</v>
      </c>
      <c r="AB1659"/>
      <c r="AC1659"/>
      <c r="AD1659"/>
      <c r="AE1659"/>
      <c r="AF1659"/>
      <c r="AG1659"/>
    </row>
    <row r="1660">
      <c r="A1660" t="s">
        <v>10989</v>
      </c>
      <c r="B1660" t="s">
        <v>30</v>
      </c>
      <c r="C1660" t="s">
        <v>65</v>
      </c>
      <c r="D1660" t="s">
        <v>10990</v>
      </c>
      <c r="E1660" t="s">
        <v>738</v>
      </c>
      <c r="F1660" t="s">
        <v>724</v>
      </c>
      <c r="G1660" t="s">
        <v>739</v>
      </c>
      <c r="H1660" t="n">
        <v>40.1497004545455</v>
      </c>
      <c r="I1660" t="n">
        <v>-105.111975818182</v>
      </c>
      <c r="J1660" t="s">
        <v>35</v>
      </c>
      <c r="K1660" t="s">
        <v>988</v>
      </c>
      <c r="L1660"/>
      <c r="M1660" t="n">
        <v>1983</v>
      </c>
      <c r="N1660" t="n">
        <v>1990</v>
      </c>
      <c r="O1660" t="s">
        <v>271</v>
      </c>
      <c r="P1660" t="n">
        <v>3</v>
      </c>
      <c r="Q1660" t="n">
        <v>2</v>
      </c>
      <c r="R1660" t="n">
        <v>2</v>
      </c>
      <c r="S1660" t="n">
        <v>1965</v>
      </c>
      <c r="T1660" t="s">
        <v>10991</v>
      </c>
      <c r="U1660" t="s">
        <v>10992</v>
      </c>
      <c r="V1660" t="s">
        <v>74</v>
      </c>
      <c r="W1660"/>
      <c r="X1660"/>
      <c r="Y1660"/>
      <c r="Z1660"/>
      <c r="AA1660" t="s">
        <v>10993</v>
      </c>
      <c r="AB1660"/>
      <c r="AC1660"/>
      <c r="AD1660" t="s">
        <v>905</v>
      </c>
      <c r="AE1660" t="n">
        <v>146</v>
      </c>
      <c r="AF1660" t="s">
        <v>6440</v>
      </c>
      <c r="AG1660" t="n">
        <v>64</v>
      </c>
    </row>
    <row r="1661">
      <c r="A1661" t="s">
        <v>10994</v>
      </c>
      <c r="B1661" t="s">
        <v>30</v>
      </c>
      <c r="C1661" t="s">
        <v>65</v>
      </c>
      <c r="D1661" t="s">
        <v>10995</v>
      </c>
      <c r="E1661" t="s">
        <v>738</v>
      </c>
      <c r="F1661" t="s">
        <v>724</v>
      </c>
      <c r="G1661" t="s">
        <v>739</v>
      </c>
      <c r="H1661" t="n">
        <v>40.1563342422695</v>
      </c>
      <c r="I1661" t="n">
        <v>-105.102535276714</v>
      </c>
      <c r="J1661" t="s">
        <v>35</v>
      </c>
      <c r="K1661" t="s">
        <v>120</v>
      </c>
      <c r="L1661"/>
      <c r="M1661" t="n">
        <v>1983</v>
      </c>
      <c r="N1661" t="n">
        <v>1983</v>
      </c>
      <c r="O1661" t="s">
        <v>264</v>
      </c>
      <c r="P1661" t="n">
        <v>1</v>
      </c>
      <c r="Q1661" t="n">
        <v>1</v>
      </c>
      <c r="R1661" t="n">
        <v>1</v>
      </c>
      <c r="S1661" t="n">
        <v>1981</v>
      </c>
      <c r="T1661" t="s">
        <v>10996</v>
      </c>
      <c r="U1661" t="s">
        <v>10997</v>
      </c>
      <c r="V1661" t="s">
        <v>74</v>
      </c>
      <c r="W1661"/>
      <c r="X1661"/>
      <c r="Y1661"/>
      <c r="Z1661"/>
      <c r="AA1661" t="s">
        <v>10998</v>
      </c>
      <c r="AB1661" t="s">
        <v>10999</v>
      </c>
      <c r="AC1661" t="n">
        <v>135</v>
      </c>
      <c r="AD1661"/>
      <c r="AE1661"/>
      <c r="AF1661" t="s">
        <v>11000</v>
      </c>
      <c r="AG1661" t="n">
        <v>151</v>
      </c>
    </row>
    <row r="1662">
      <c r="A1662" t="s">
        <v>11001</v>
      </c>
      <c r="B1662" t="s">
        <v>30</v>
      </c>
      <c r="C1662" t="s">
        <v>24</v>
      </c>
      <c r="D1662" t="s">
        <v>11002</v>
      </c>
      <c r="E1662" t="s">
        <v>1010</v>
      </c>
      <c r="F1662" t="s">
        <v>724</v>
      </c>
      <c r="G1662" t="s">
        <v>1011</v>
      </c>
      <c r="H1662" t="n">
        <v>39.986158103439</v>
      </c>
      <c r="I1662" t="n">
        <v>-105.229151636729</v>
      </c>
      <c r="J1662" t="s">
        <v>4109</v>
      </c>
      <c r="K1662" t="s">
        <v>120</v>
      </c>
      <c r="L1662"/>
      <c r="M1662" t="n">
        <v>1983</v>
      </c>
      <c r="N1662" t="n">
        <v>1992</v>
      </c>
      <c r="O1662" t="s">
        <v>264</v>
      </c>
      <c r="P1662" t="n">
        <v>3</v>
      </c>
      <c r="Q1662" t="n">
        <v>4</v>
      </c>
      <c r="R1662" t="n">
        <v>1</v>
      </c>
      <c r="S1662" t="n">
        <v>1983</v>
      </c>
      <c r="T1662" t="s">
        <v>11003</v>
      </c>
      <c r="U1662" t="s">
        <v>11004</v>
      </c>
      <c r="V1662" t="s">
        <v>74</v>
      </c>
      <c r="W1662"/>
      <c r="X1662"/>
      <c r="Y1662"/>
      <c r="Z1662"/>
      <c r="AA1662" t="s">
        <v>11005</v>
      </c>
      <c r="AB1662"/>
      <c r="AC1662"/>
      <c r="AD1662"/>
      <c r="AE1662"/>
      <c r="AF1662"/>
      <c r="AG1662"/>
    </row>
    <row r="1663">
      <c r="A1663" t="s">
        <v>11006</v>
      </c>
      <c r="B1663" t="s">
        <v>30</v>
      </c>
      <c r="C1663" t="s">
        <v>65</v>
      </c>
      <c r="D1663" t="s">
        <v>11007</v>
      </c>
      <c r="E1663" t="s">
        <v>723</v>
      </c>
      <c r="F1663" t="s">
        <v>724</v>
      </c>
      <c r="G1663" t="s">
        <v>725</v>
      </c>
      <c r="H1663" t="n">
        <v>40.0158936530612</v>
      </c>
      <c r="I1663" t="n">
        <v>-105.283507571429</v>
      </c>
      <c r="J1663" t="s">
        <v>35</v>
      </c>
      <c r="K1663" t="s">
        <v>133</v>
      </c>
      <c r="L1663"/>
      <c r="M1663" t="n">
        <v>1988</v>
      </c>
      <c r="N1663" t="n">
        <v>1990</v>
      </c>
      <c r="O1663" t="s">
        <v>325</v>
      </c>
      <c r="P1663" t="n">
        <v>2</v>
      </c>
      <c r="Q1663" t="n">
        <v>1</v>
      </c>
      <c r="R1663" t="n">
        <v>1</v>
      </c>
      <c r="S1663" t="n">
        <v>1980</v>
      </c>
      <c r="T1663" t="s">
        <v>11008</v>
      </c>
      <c r="U1663" t="s">
        <v>11009</v>
      </c>
      <c r="V1663" t="s">
        <v>74</v>
      </c>
      <c r="W1663"/>
      <c r="X1663"/>
      <c r="Y1663"/>
      <c r="Z1663"/>
      <c r="AA1663" t="s">
        <v>11010</v>
      </c>
      <c r="AB1663"/>
      <c r="AC1663"/>
      <c r="AD1663"/>
      <c r="AE1663"/>
      <c r="AF1663" t="s">
        <v>10888</v>
      </c>
      <c r="AG1663" t="n">
        <v>124</v>
      </c>
    </row>
    <row r="1664">
      <c r="A1664" t="s">
        <v>11011</v>
      </c>
      <c r="B1664" t="s">
        <v>30</v>
      </c>
      <c r="C1664" t="s">
        <v>65</v>
      </c>
      <c r="D1664" t="s">
        <v>11012</v>
      </c>
      <c r="E1664" t="s">
        <v>723</v>
      </c>
      <c r="F1664" t="s">
        <v>724</v>
      </c>
      <c r="G1664" t="s">
        <v>725</v>
      </c>
      <c r="H1664" t="n">
        <v>40.0077501919992</v>
      </c>
      <c r="I1664" t="n">
        <v>-105.276248722145</v>
      </c>
      <c r="J1664" t="s">
        <v>35</v>
      </c>
      <c r="K1664" t="s">
        <v>1041</v>
      </c>
      <c r="L1664"/>
      <c r="M1664" t="n">
        <v>1988</v>
      </c>
      <c r="N1664" t="n">
        <v>1990</v>
      </c>
      <c r="O1664" t="s">
        <v>310</v>
      </c>
      <c r="P1664" t="n">
        <v>2</v>
      </c>
      <c r="Q1664" t="n">
        <v>2</v>
      </c>
      <c r="R1664" t="n">
        <v>2</v>
      </c>
      <c r="S1664" t="n">
        <v>1980</v>
      </c>
      <c r="T1664" t="s">
        <v>11013</v>
      </c>
      <c r="U1664" t="s">
        <v>11014</v>
      </c>
      <c r="V1664" t="s">
        <v>74</v>
      </c>
      <c r="W1664"/>
      <c r="X1664"/>
      <c r="Y1664"/>
      <c r="Z1664"/>
      <c r="AA1664" t="s">
        <v>11015</v>
      </c>
      <c r="AB1664" t="s">
        <v>11016</v>
      </c>
      <c r="AC1664" t="n">
        <v>85</v>
      </c>
      <c r="AD1664"/>
      <c r="AE1664"/>
      <c r="AF1664" t="s">
        <v>11017</v>
      </c>
      <c r="AG1664" t="n">
        <v>103</v>
      </c>
    </row>
    <row r="1665">
      <c r="A1665" t="s">
        <v>11018</v>
      </c>
      <c r="B1665" t="s">
        <v>30</v>
      </c>
      <c r="C1665" t="s">
        <v>65</v>
      </c>
      <c r="D1665" t="s">
        <v>11019</v>
      </c>
      <c r="E1665" t="s">
        <v>883</v>
      </c>
      <c r="F1665" t="s">
        <v>724</v>
      </c>
      <c r="G1665" t="s">
        <v>884</v>
      </c>
      <c r="H1665" t="n">
        <v>40.0053446060606</v>
      </c>
      <c r="I1665" t="n">
        <v>-105.106399676768</v>
      </c>
      <c r="J1665" t="s">
        <v>35</v>
      </c>
      <c r="K1665" t="s">
        <v>70</v>
      </c>
      <c r="L1665"/>
      <c r="M1665" t="n">
        <v>1988</v>
      </c>
      <c r="N1665" t="n">
        <v>1990</v>
      </c>
      <c r="O1665" t="s">
        <v>310</v>
      </c>
      <c r="P1665" t="n">
        <v>2</v>
      </c>
      <c r="Q1665" t="n">
        <v>2</v>
      </c>
      <c r="R1665" t="n">
        <v>2</v>
      </c>
      <c r="S1665" t="n">
        <v>1968</v>
      </c>
      <c r="T1665" t="s">
        <v>11020</v>
      </c>
      <c r="U1665" t="s">
        <v>11021</v>
      </c>
      <c r="V1665" t="s">
        <v>74</v>
      </c>
      <c r="W1665"/>
      <c r="X1665"/>
      <c r="Y1665"/>
      <c r="Z1665"/>
      <c r="AA1665" t="s">
        <v>11022</v>
      </c>
      <c r="AB1665"/>
      <c r="AC1665"/>
      <c r="AD1665"/>
      <c r="AE1665"/>
      <c r="AF1665"/>
      <c r="AG1665"/>
    </row>
    <row r="1666">
      <c r="A1666" t="s">
        <v>11023</v>
      </c>
      <c r="B1666" t="s">
        <v>30</v>
      </c>
      <c r="C1666" t="s">
        <v>65</v>
      </c>
      <c r="D1666" t="s">
        <v>11024</v>
      </c>
      <c r="E1666" t="s">
        <v>738</v>
      </c>
      <c r="F1666" t="s">
        <v>724</v>
      </c>
      <c r="G1666" t="s">
        <v>739</v>
      </c>
      <c r="H1666" t="n">
        <v>40.1623679397893</v>
      </c>
      <c r="I1666" t="n">
        <v>-105.07943390436</v>
      </c>
      <c r="J1666" t="s">
        <v>35</v>
      </c>
      <c r="K1666" t="s">
        <v>70</v>
      </c>
      <c r="L1666"/>
      <c r="M1666" t="n">
        <v>1988</v>
      </c>
      <c r="N1666" t="n">
        <v>1992</v>
      </c>
      <c r="O1666" t="s">
        <v>320</v>
      </c>
      <c r="P1666" t="n">
        <v>3</v>
      </c>
      <c r="Q1666" t="n">
        <v>2</v>
      </c>
      <c r="R1666" t="n">
        <v>2</v>
      </c>
      <c r="S1666" t="n">
        <v>1976</v>
      </c>
      <c r="T1666" t="s">
        <v>11025</v>
      </c>
      <c r="U1666" t="s">
        <v>11026</v>
      </c>
      <c r="V1666" t="s">
        <v>74</v>
      </c>
      <c r="W1666"/>
      <c r="X1666"/>
      <c r="Y1666"/>
      <c r="Z1666"/>
      <c r="AA1666" t="s">
        <v>11027</v>
      </c>
      <c r="AB1666"/>
      <c r="AC1666"/>
      <c r="AD1666"/>
      <c r="AE1666"/>
      <c r="AF1666" t="s">
        <v>11028</v>
      </c>
      <c r="AG1666" t="n">
        <v>85</v>
      </c>
    </row>
    <row r="1667">
      <c r="A1667" t="s">
        <v>11029</v>
      </c>
      <c r="B1667" t="s">
        <v>30</v>
      </c>
      <c r="C1667" t="s">
        <v>24</v>
      </c>
      <c r="D1667" t="s">
        <v>11030</v>
      </c>
      <c r="E1667" t="s">
        <v>738</v>
      </c>
      <c r="F1667" t="s">
        <v>724</v>
      </c>
      <c r="G1667" t="s">
        <v>739</v>
      </c>
      <c r="H1667" t="n">
        <v>40.134315</v>
      </c>
      <c r="I1667" t="n">
        <v>-105.130951</v>
      </c>
      <c r="J1667" t="s">
        <v>4109</v>
      </c>
      <c r="K1667" t="s">
        <v>141</v>
      </c>
      <c r="L1667"/>
      <c r="M1667" t="n">
        <v>1988</v>
      </c>
      <c r="N1667" t="n">
        <v>1990</v>
      </c>
      <c r="O1667" t="s">
        <v>310</v>
      </c>
      <c r="P1667" t="n">
        <v>2</v>
      </c>
      <c r="Q1667" t="n">
        <v>3</v>
      </c>
      <c r="R1667" t="n">
        <v>3</v>
      </c>
      <c r="S1667" t="n">
        <v>1980</v>
      </c>
      <c r="T1667" t="s">
        <v>11031</v>
      </c>
      <c r="U1667" t="s">
        <v>11032</v>
      </c>
      <c r="V1667" t="s">
        <v>74</v>
      </c>
      <c r="W1667"/>
      <c r="X1667"/>
      <c r="Y1667"/>
      <c r="Z1667"/>
      <c r="AA1667" t="s">
        <v>11033</v>
      </c>
      <c r="AB1667"/>
      <c r="AC1667"/>
      <c r="AD1667"/>
      <c r="AE1667"/>
      <c r="AF1667"/>
      <c r="AG1667"/>
    </row>
    <row r="1668">
      <c r="A1668" t="s">
        <v>11034</v>
      </c>
      <c r="B1668" t="s">
        <v>30</v>
      </c>
      <c r="C1668" t="s">
        <v>65</v>
      </c>
      <c r="D1668" t="s">
        <v>11035</v>
      </c>
      <c r="E1668" t="s">
        <v>723</v>
      </c>
      <c r="F1668" t="s">
        <v>724</v>
      </c>
      <c r="G1668" t="s">
        <v>863</v>
      </c>
      <c r="H1668" t="n">
        <v>39.9865555254241</v>
      </c>
      <c r="I1668" t="n">
        <v>-105.192804603374</v>
      </c>
      <c r="J1668" t="s">
        <v>35</v>
      </c>
      <c r="K1668" t="s">
        <v>796</v>
      </c>
      <c r="L1668"/>
      <c r="M1668" t="n">
        <v>1990</v>
      </c>
      <c r="N1668" t="n">
        <v>1990</v>
      </c>
      <c r="O1668" t="s">
        <v>351</v>
      </c>
      <c r="P1668" t="n">
        <v>1</v>
      </c>
      <c r="Q1668" t="n">
        <v>1</v>
      </c>
      <c r="R1668" t="n">
        <v>1</v>
      </c>
      <c r="S1668" t="n">
        <v>1986</v>
      </c>
      <c r="T1668" t="s">
        <v>11036</v>
      </c>
      <c r="U1668" t="s">
        <v>11037</v>
      </c>
      <c r="V1668" t="s">
        <v>74</v>
      </c>
      <c r="W1668"/>
      <c r="X1668"/>
      <c r="Y1668"/>
      <c r="Z1668"/>
      <c r="AA1668" t="s">
        <v>11038</v>
      </c>
      <c r="AB1668"/>
      <c r="AC1668"/>
      <c r="AD1668"/>
      <c r="AE1668"/>
      <c r="AF1668"/>
      <c r="AG1668"/>
    </row>
    <row r="1669">
      <c r="A1669" t="s">
        <v>11039</v>
      </c>
      <c r="B1669" t="s">
        <v>30</v>
      </c>
      <c r="C1669" t="s">
        <v>65</v>
      </c>
      <c r="D1669" t="s">
        <v>11040</v>
      </c>
      <c r="E1669" t="s">
        <v>723</v>
      </c>
      <c r="F1669" t="s">
        <v>724</v>
      </c>
      <c r="G1669" t="s">
        <v>817</v>
      </c>
      <c r="H1669" t="n">
        <v>40.0313988967525</v>
      </c>
      <c r="I1669" t="n">
        <v>-105.214996590253</v>
      </c>
      <c r="J1669" t="s">
        <v>35</v>
      </c>
      <c r="K1669" t="s">
        <v>783</v>
      </c>
      <c r="L1669"/>
      <c r="M1669" t="n">
        <v>1992</v>
      </c>
      <c r="N1669" t="n">
        <v>1992</v>
      </c>
      <c r="O1669" t="s">
        <v>1016</v>
      </c>
      <c r="P1669" t="n">
        <v>1</v>
      </c>
      <c r="Q1669" t="n">
        <v>1</v>
      </c>
      <c r="R1669" t="n">
        <v>1</v>
      </c>
      <c r="S1669"/>
      <c r="T1669" t="s">
        <v>11041</v>
      </c>
      <c r="U1669" t="s">
        <v>11042</v>
      </c>
      <c r="V1669" t="s">
        <v>74</v>
      </c>
      <c r="W1669"/>
      <c r="X1669"/>
      <c r="Y1669"/>
      <c r="Z1669"/>
      <c r="AA1669" t="s">
        <v>11043</v>
      </c>
      <c r="AB1669"/>
      <c r="AC1669"/>
      <c r="AD1669"/>
      <c r="AE1669"/>
      <c r="AF1669" t="s">
        <v>11044</v>
      </c>
      <c r="AG1669" t="n">
        <v>53</v>
      </c>
    </row>
    <row r="1670">
      <c r="A1670" t="s">
        <v>11045</v>
      </c>
      <c r="B1670" t="s">
        <v>30</v>
      </c>
      <c r="C1670" t="s">
        <v>65</v>
      </c>
      <c r="D1670" t="s">
        <v>11046</v>
      </c>
      <c r="E1670" t="s">
        <v>1164</v>
      </c>
      <c r="F1670" t="s">
        <v>1165</v>
      </c>
      <c r="G1670" t="s">
        <v>1166</v>
      </c>
      <c r="H1670" t="n">
        <v>39.892732</v>
      </c>
      <c r="I1670" t="n">
        <v>-105.103149</v>
      </c>
      <c r="J1670" t="s">
        <v>35</v>
      </c>
      <c r="K1670" t="s">
        <v>126</v>
      </c>
      <c r="L1670"/>
      <c r="M1670" t="n">
        <v>1983</v>
      </c>
      <c r="N1670" t="n">
        <v>1992</v>
      </c>
      <c r="O1670" t="s">
        <v>4537</v>
      </c>
      <c r="P1670" t="n">
        <v>4</v>
      </c>
      <c r="Q1670" t="n">
        <v>2</v>
      </c>
      <c r="R1670" t="n">
        <v>2</v>
      </c>
      <c r="S1670" t="n">
        <v>1975</v>
      </c>
      <c r="T1670" t="s">
        <v>11047</v>
      </c>
      <c r="U1670" t="s">
        <v>11048</v>
      </c>
      <c r="V1670" t="s">
        <v>74</v>
      </c>
      <c r="W1670"/>
      <c r="X1670"/>
      <c r="Y1670"/>
      <c r="Z1670"/>
      <c r="AA1670" t="s">
        <v>11049</v>
      </c>
      <c r="AB1670"/>
      <c r="AC1670"/>
      <c r="AD1670"/>
      <c r="AE1670"/>
      <c r="AF1670"/>
      <c r="AG1670"/>
    </row>
    <row r="1671">
      <c r="A1671" t="s">
        <v>11050</v>
      </c>
      <c r="B1671" t="s">
        <v>30</v>
      </c>
      <c r="C1671" t="s">
        <v>65</v>
      </c>
      <c r="D1671" t="s">
        <v>11051</v>
      </c>
      <c r="E1671" t="s">
        <v>1164</v>
      </c>
      <c r="F1671" t="s">
        <v>1165</v>
      </c>
      <c r="G1671" t="s">
        <v>1166</v>
      </c>
      <c r="H1671" t="n">
        <v>39.909885</v>
      </c>
      <c r="I1671" t="n">
        <v>-105.071786</v>
      </c>
      <c r="J1671" t="s">
        <v>35</v>
      </c>
      <c r="K1671" t="s">
        <v>141</v>
      </c>
      <c r="L1671" t="s">
        <v>1002</v>
      </c>
      <c r="M1671" t="n">
        <v>1983</v>
      </c>
      <c r="N1671" t="n">
        <v>1990</v>
      </c>
      <c r="O1671" t="s">
        <v>271</v>
      </c>
      <c r="P1671" t="n">
        <v>3</v>
      </c>
      <c r="Q1671" t="n">
        <v>4</v>
      </c>
      <c r="R1671" t="n">
        <v>3</v>
      </c>
      <c r="S1671" t="n">
        <v>1966</v>
      </c>
      <c r="T1671" t="s">
        <v>11052</v>
      </c>
      <c r="U1671" t="s">
        <v>11053</v>
      </c>
      <c r="V1671" t="s">
        <v>74</v>
      </c>
      <c r="W1671"/>
      <c r="X1671"/>
      <c r="Y1671"/>
      <c r="Z1671"/>
      <c r="AA1671" t="s">
        <v>11054</v>
      </c>
      <c r="AB1671"/>
      <c r="AC1671"/>
      <c r="AD1671"/>
      <c r="AE1671"/>
      <c r="AF1671" t="s">
        <v>11055</v>
      </c>
      <c r="AG1671" t="n">
        <v>123</v>
      </c>
    </row>
    <row r="1672">
      <c r="A1672" t="s">
        <v>11056</v>
      </c>
      <c r="B1672" t="s">
        <v>30</v>
      </c>
      <c r="C1672" t="s">
        <v>24</v>
      </c>
      <c r="D1672" t="s">
        <v>11057</v>
      </c>
      <c r="E1672" t="s">
        <v>1164</v>
      </c>
      <c r="F1672" t="s">
        <v>1165</v>
      </c>
      <c r="G1672" t="s">
        <v>1166</v>
      </c>
      <c r="H1672" t="n">
        <v>39.928875</v>
      </c>
      <c r="I1672" t="n">
        <v>-105.124046</v>
      </c>
      <c r="J1672" t="s">
        <v>4109</v>
      </c>
      <c r="K1672" t="s">
        <v>89</v>
      </c>
      <c r="L1672"/>
      <c r="M1672" t="n">
        <v>1990</v>
      </c>
      <c r="N1672" t="n">
        <v>1990</v>
      </c>
      <c r="O1672" t="s">
        <v>351</v>
      </c>
      <c r="P1672" t="n">
        <v>1</v>
      </c>
      <c r="Q1672" t="n">
        <v>2</v>
      </c>
      <c r="R1672" t="n">
        <v>1</v>
      </c>
      <c r="S1672" t="n">
        <v>1978</v>
      </c>
      <c r="T1672" t="s">
        <v>11058</v>
      </c>
      <c r="U1672" t="s">
        <v>11059</v>
      </c>
      <c r="V1672" t="s">
        <v>74</v>
      </c>
      <c r="W1672"/>
      <c r="X1672"/>
      <c r="Y1672"/>
      <c r="Z1672"/>
      <c r="AA1672" t="s">
        <v>11060</v>
      </c>
      <c r="AB1672"/>
      <c r="AC1672"/>
      <c r="AD1672"/>
      <c r="AE1672"/>
      <c r="AF1672"/>
      <c r="AG1672"/>
    </row>
    <row r="1673">
      <c r="A1673" t="s">
        <v>11061</v>
      </c>
      <c r="B1673" t="s">
        <v>30</v>
      </c>
      <c r="C1673" t="s">
        <v>65</v>
      </c>
      <c r="D1673" t="s">
        <v>11062</v>
      </c>
      <c r="E1673" t="s">
        <v>1164</v>
      </c>
      <c r="F1673" t="s">
        <v>1165</v>
      </c>
      <c r="G1673" t="s">
        <v>1166</v>
      </c>
      <c r="H1673" t="n">
        <v>39.9142464413195</v>
      </c>
      <c r="I1673" t="n">
        <v>-105.07477728611</v>
      </c>
      <c r="J1673" t="s">
        <v>35</v>
      </c>
      <c r="K1673" t="s">
        <v>120</v>
      </c>
      <c r="L1673"/>
      <c r="M1673" t="n">
        <v>1990</v>
      </c>
      <c r="N1673" t="n">
        <v>1990</v>
      </c>
      <c r="O1673" t="s">
        <v>351</v>
      </c>
      <c r="P1673" t="n">
        <v>1</v>
      </c>
      <c r="Q1673" t="n">
        <v>1</v>
      </c>
      <c r="R1673" t="n">
        <v>1</v>
      </c>
      <c r="S1673" t="n">
        <v>1984</v>
      </c>
      <c r="T1673" t="s">
        <v>11063</v>
      </c>
      <c r="U1673" t="s">
        <v>11064</v>
      </c>
      <c r="V1673" t="s">
        <v>74</v>
      </c>
      <c r="W1673"/>
      <c r="X1673"/>
      <c r="Y1673"/>
      <c r="Z1673"/>
      <c r="AA1673" t="s">
        <v>11065</v>
      </c>
      <c r="AB1673"/>
      <c r="AC1673"/>
      <c r="AD1673"/>
      <c r="AE1673"/>
      <c r="AF1673" t="s">
        <v>6499</v>
      </c>
      <c r="AG1673" t="n">
        <v>148</v>
      </c>
    </row>
    <row r="1674">
      <c r="A1674" t="s">
        <v>11066</v>
      </c>
      <c r="B1674" t="s">
        <v>30</v>
      </c>
      <c r="C1674" t="s">
        <v>24</v>
      </c>
      <c r="D1674" t="s">
        <v>11067</v>
      </c>
      <c r="E1674" t="s">
        <v>79</v>
      </c>
      <c r="F1674" t="s">
        <v>1274</v>
      </c>
      <c r="G1674" t="s">
        <v>8810</v>
      </c>
      <c r="H1674" t="n">
        <v>39.7591141217522</v>
      </c>
      <c r="I1674" t="n">
        <v>-104.995408344594</v>
      </c>
      <c r="J1674" t="s">
        <v>4109</v>
      </c>
      <c r="K1674" t="s">
        <v>120</v>
      </c>
      <c r="L1674" t="s">
        <v>8810</v>
      </c>
      <c r="M1674" t="n">
        <v>1965</v>
      </c>
      <c r="N1674" t="n">
        <v>1965</v>
      </c>
      <c r="O1674" t="s">
        <v>1275</v>
      </c>
      <c r="P1674" t="n">
        <v>1</v>
      </c>
      <c r="Q1674" t="n">
        <v>1</v>
      </c>
      <c r="R1674" t="n">
        <v>1</v>
      </c>
      <c r="S1674"/>
      <c r="T1674" t="s">
        <v>11068</v>
      </c>
      <c r="U1674" t="s">
        <v>11069</v>
      </c>
      <c r="V1674" t="s">
        <v>74</v>
      </c>
      <c r="W1674"/>
      <c r="X1674"/>
      <c r="Y1674"/>
      <c r="Z1674"/>
      <c r="AA1674" t="s">
        <v>11070</v>
      </c>
      <c r="AB1674" t="s">
        <v>11071</v>
      </c>
      <c r="AC1674" t="n">
        <v>150</v>
      </c>
      <c r="AD1674"/>
      <c r="AE1674"/>
      <c r="AF1674" t="s">
        <v>6850</v>
      </c>
      <c r="AG1674" t="n">
        <v>121</v>
      </c>
    </row>
    <row r="1675">
      <c r="A1675" t="s">
        <v>11072</v>
      </c>
      <c r="B1675" t="s">
        <v>30</v>
      </c>
      <c r="C1675" t="s">
        <v>65</v>
      </c>
      <c r="D1675" t="s">
        <v>11073</v>
      </c>
      <c r="E1675" t="s">
        <v>79</v>
      </c>
      <c r="F1675" t="s">
        <v>1274</v>
      </c>
      <c r="G1675" t="s">
        <v>1440</v>
      </c>
      <c r="H1675" t="n">
        <v>39.7694609595095</v>
      </c>
      <c r="I1675" t="n">
        <v>-104.999408</v>
      </c>
      <c r="J1675" t="s">
        <v>35</v>
      </c>
      <c r="K1675" t="s">
        <v>126</v>
      </c>
      <c r="L1675" t="s">
        <v>8810</v>
      </c>
      <c r="M1675" t="n">
        <v>1967</v>
      </c>
      <c r="N1675" t="n">
        <v>1990</v>
      </c>
      <c r="O1675" t="s">
        <v>11074</v>
      </c>
      <c r="P1675" t="n">
        <v>5</v>
      </c>
      <c r="Q1675" t="n">
        <v>4</v>
      </c>
      <c r="R1675" t="n">
        <v>2</v>
      </c>
      <c r="S1675" t="n">
        <v>1952</v>
      </c>
      <c r="T1675" t="s">
        <v>11075</v>
      </c>
      <c r="U1675" t="s">
        <v>11076</v>
      </c>
      <c r="V1675" t="s">
        <v>74</v>
      </c>
      <c r="W1675"/>
      <c r="X1675"/>
      <c r="Y1675"/>
      <c r="Z1675"/>
      <c r="AA1675" t="s">
        <v>11077</v>
      </c>
      <c r="AB1675" t="s">
        <v>8972</v>
      </c>
      <c r="AC1675" t="n">
        <v>248</v>
      </c>
      <c r="AD1675"/>
      <c r="AE1675"/>
      <c r="AF1675" t="s">
        <v>8973</v>
      </c>
      <c r="AG1675" t="n">
        <v>89</v>
      </c>
    </row>
    <row r="1676">
      <c r="A1676" t="s">
        <v>11078</v>
      </c>
      <c r="B1676" t="s">
        <v>30</v>
      </c>
      <c r="C1676" t="s">
        <v>65</v>
      </c>
      <c r="D1676" t="s">
        <v>11079</v>
      </c>
      <c r="E1676" t="s">
        <v>79</v>
      </c>
      <c r="F1676" t="s">
        <v>1274</v>
      </c>
      <c r="G1676" t="s">
        <v>1440</v>
      </c>
      <c r="H1676" t="n">
        <v>39.7692859546096</v>
      </c>
      <c r="I1676" t="n">
        <v>-105.000598621359</v>
      </c>
      <c r="J1676" t="s">
        <v>35</v>
      </c>
      <c r="K1676" t="s">
        <v>70</v>
      </c>
      <c r="L1676" t="s">
        <v>8810</v>
      </c>
      <c r="M1676" t="n">
        <v>1973</v>
      </c>
      <c r="N1676" t="n">
        <v>1992</v>
      </c>
      <c r="O1676" t="s">
        <v>310</v>
      </c>
      <c r="P1676" t="n">
        <v>8</v>
      </c>
      <c r="Q1676" t="n">
        <v>4</v>
      </c>
      <c r="R1676" t="n">
        <v>1</v>
      </c>
      <c r="S1676" t="n">
        <v>1970</v>
      </c>
      <c r="T1676" t="s">
        <v>11080</v>
      </c>
      <c r="U1676" t="s">
        <v>11081</v>
      </c>
      <c r="V1676" t="s">
        <v>74</v>
      </c>
      <c r="W1676"/>
      <c r="X1676"/>
      <c r="Y1676"/>
      <c r="Z1676"/>
      <c r="AA1676" t="s">
        <v>11082</v>
      </c>
      <c r="AB1676"/>
      <c r="AC1676"/>
      <c r="AD1676"/>
      <c r="AE1676"/>
      <c r="AF1676" t="s">
        <v>11083</v>
      </c>
      <c r="AG1676" t="n">
        <v>151</v>
      </c>
    </row>
    <row r="1677">
      <c r="A1677" t="s">
        <v>11084</v>
      </c>
      <c r="B1677" t="s">
        <v>30</v>
      </c>
      <c r="C1677" t="s">
        <v>65</v>
      </c>
      <c r="D1677" t="s">
        <v>11085</v>
      </c>
      <c r="E1677" t="s">
        <v>386</v>
      </c>
      <c r="F1677" t="s">
        <v>1274</v>
      </c>
      <c r="G1677"/>
      <c r="H1677" t="n">
        <v>39.6158576646399</v>
      </c>
      <c r="I1677" t="n">
        <v>-105.01333666754</v>
      </c>
      <c r="J1677" t="s">
        <v>35</v>
      </c>
      <c r="K1677" t="s">
        <v>70</v>
      </c>
      <c r="L1677"/>
      <c r="M1677" t="n">
        <v>1965</v>
      </c>
      <c r="N1677" t="n">
        <v>1965</v>
      </c>
      <c r="O1677" t="s">
        <v>1275</v>
      </c>
      <c r="P1677" t="n">
        <v>1</v>
      </c>
      <c r="Q1677" t="n">
        <v>1</v>
      </c>
      <c r="R1677" t="n">
        <v>1</v>
      </c>
      <c r="S1677"/>
      <c r="T1677" t="s">
        <v>11086</v>
      </c>
      <c r="U1677" t="s">
        <v>11087</v>
      </c>
      <c r="V1677" t="s">
        <v>74</v>
      </c>
      <c r="W1677"/>
      <c r="X1677"/>
      <c r="Y1677"/>
      <c r="Z1677"/>
      <c r="AA1677" t="s">
        <v>11088</v>
      </c>
      <c r="AB1677"/>
      <c r="AC1677"/>
      <c r="AD1677"/>
      <c r="AE1677"/>
      <c r="AF1677"/>
      <c r="AG1677"/>
    </row>
    <row r="1678">
      <c r="A1678" t="s">
        <v>11089</v>
      </c>
      <c r="B1678" t="s">
        <v>30</v>
      </c>
      <c r="C1678" t="s">
        <v>65</v>
      </c>
      <c r="D1678" t="s">
        <v>11090</v>
      </c>
      <c r="E1678" t="s">
        <v>386</v>
      </c>
      <c r="F1678" t="s">
        <v>1274</v>
      </c>
      <c r="G1678"/>
      <c r="H1678" t="n">
        <v>39.6137821372913</v>
      </c>
      <c r="I1678" t="n">
        <v>-105.015134203154</v>
      </c>
      <c r="J1678" t="s">
        <v>35</v>
      </c>
      <c r="K1678" t="s">
        <v>1639</v>
      </c>
      <c r="L1678"/>
      <c r="M1678" t="n">
        <v>1965</v>
      </c>
      <c r="N1678" t="n">
        <v>1983</v>
      </c>
      <c r="O1678" t="s">
        <v>11091</v>
      </c>
      <c r="P1678" t="n">
        <v>9</v>
      </c>
      <c r="Q1678" t="n">
        <v>10</v>
      </c>
      <c r="R1678" t="n">
        <v>4</v>
      </c>
      <c r="S1678" t="n">
        <v>1931</v>
      </c>
      <c r="T1678" t="s">
        <v>11092</v>
      </c>
      <c r="U1678" t="s">
        <v>11093</v>
      </c>
      <c r="V1678" t="s">
        <v>74</v>
      </c>
      <c r="W1678"/>
      <c r="X1678"/>
      <c r="Y1678"/>
      <c r="Z1678"/>
      <c r="AA1678" t="s">
        <v>11094</v>
      </c>
      <c r="AB1678"/>
      <c r="AC1678"/>
      <c r="AD1678"/>
      <c r="AE1678"/>
      <c r="AF1678" t="s">
        <v>602</v>
      </c>
      <c r="AG1678" t="n">
        <v>101</v>
      </c>
    </row>
    <row r="1679">
      <c r="A1679" t="s">
        <v>11095</v>
      </c>
      <c r="B1679" t="s">
        <v>30</v>
      </c>
      <c r="C1679" t="s">
        <v>24</v>
      </c>
      <c r="D1679" t="s">
        <v>11096</v>
      </c>
      <c r="E1679" t="s">
        <v>79</v>
      </c>
      <c r="F1679" t="s">
        <v>1274</v>
      </c>
      <c r="G1679"/>
      <c r="H1679" t="n">
        <v>39.7568410203894</v>
      </c>
      <c r="I1679" t="n">
        <v>-105.015832044428</v>
      </c>
      <c r="J1679" t="s">
        <v>4109</v>
      </c>
      <c r="K1679" t="s">
        <v>1041</v>
      </c>
      <c r="L1679"/>
      <c r="M1679" t="n">
        <v>1965</v>
      </c>
      <c r="N1679" t="n">
        <v>1973</v>
      </c>
      <c r="O1679" t="s">
        <v>11097</v>
      </c>
      <c r="P1679" t="n">
        <v>5</v>
      </c>
      <c r="Q1679" t="n">
        <v>2</v>
      </c>
      <c r="R1679" t="n">
        <v>2</v>
      </c>
      <c r="S1679" t="n">
        <v>1947</v>
      </c>
      <c r="T1679" t="s">
        <v>11098</v>
      </c>
      <c r="U1679" t="s">
        <v>11099</v>
      </c>
      <c r="V1679" t="s">
        <v>74</v>
      </c>
      <c r="W1679"/>
      <c r="X1679"/>
      <c r="Y1679"/>
      <c r="Z1679"/>
      <c r="AA1679" t="s">
        <v>11100</v>
      </c>
      <c r="AB1679"/>
      <c r="AC1679"/>
      <c r="AD1679"/>
      <c r="AE1679"/>
      <c r="AF1679" t="s">
        <v>4282</v>
      </c>
      <c r="AG1679" t="n">
        <v>187</v>
      </c>
    </row>
    <row r="1680">
      <c r="A1680" t="s">
        <v>11101</v>
      </c>
      <c r="B1680" t="s">
        <v>30</v>
      </c>
      <c r="C1680" t="s">
        <v>65</v>
      </c>
      <c r="D1680" t="s">
        <v>11102</v>
      </c>
      <c r="E1680" t="s">
        <v>79</v>
      </c>
      <c r="F1680" t="s">
        <v>1274</v>
      </c>
      <c r="G1680"/>
      <c r="H1680" t="n">
        <v>39.7594760711802</v>
      </c>
      <c r="I1680" t="n">
        <v>-104.985896278562</v>
      </c>
      <c r="J1680" t="s">
        <v>35</v>
      </c>
      <c r="K1680" t="s">
        <v>1282</v>
      </c>
      <c r="L1680"/>
      <c r="M1680" t="n">
        <v>1965</v>
      </c>
      <c r="N1680" t="n">
        <v>1990</v>
      </c>
      <c r="O1680" t="s">
        <v>11103</v>
      </c>
      <c r="P1680" t="n">
        <v>2</v>
      </c>
      <c r="Q1680" t="n">
        <v>2</v>
      </c>
      <c r="R1680" t="n">
        <v>2</v>
      </c>
      <c r="S1680" t="n">
        <v>1981</v>
      </c>
      <c r="T1680" t="s">
        <v>11104</v>
      </c>
      <c r="U1680" t="s">
        <v>11105</v>
      </c>
      <c r="V1680" t="s">
        <v>74</v>
      </c>
      <c r="W1680"/>
      <c r="X1680"/>
      <c r="Y1680"/>
      <c r="Z1680"/>
      <c r="AA1680" t="s">
        <v>11106</v>
      </c>
      <c r="AB1680" t="s">
        <v>1378</v>
      </c>
      <c r="AC1680" t="n">
        <v>83</v>
      </c>
      <c r="AD1680"/>
      <c r="AE1680"/>
      <c r="AF1680" t="s">
        <v>1379</v>
      </c>
      <c r="AG1680" t="n">
        <v>102</v>
      </c>
    </row>
    <row r="1681">
      <c r="A1681" t="s">
        <v>11107</v>
      </c>
      <c r="B1681" t="s">
        <v>30</v>
      </c>
      <c r="C1681" t="s">
        <v>65</v>
      </c>
      <c r="D1681" t="s">
        <v>11108</v>
      </c>
      <c r="E1681" t="s">
        <v>79</v>
      </c>
      <c r="F1681" t="s">
        <v>1274</v>
      </c>
      <c r="G1681" t="s">
        <v>1824</v>
      </c>
      <c r="H1681" t="n">
        <v>39.7140497142857</v>
      </c>
      <c r="I1681" t="n">
        <v>-104.941343397959</v>
      </c>
      <c r="J1681" t="s">
        <v>35</v>
      </c>
      <c r="K1681" t="s">
        <v>120</v>
      </c>
      <c r="L1681"/>
      <c r="M1681" t="n">
        <v>1965</v>
      </c>
      <c r="N1681" t="n">
        <v>1992</v>
      </c>
      <c r="O1681" t="s">
        <v>1275</v>
      </c>
      <c r="P1681" t="n">
        <v>2</v>
      </c>
      <c r="Q1681" t="n">
        <v>2</v>
      </c>
      <c r="R1681" t="n">
        <v>1</v>
      </c>
      <c r="S1681" t="n">
        <v>1976</v>
      </c>
      <c r="T1681" t="s">
        <v>11109</v>
      </c>
      <c r="U1681" t="s">
        <v>11110</v>
      </c>
      <c r="V1681" t="s">
        <v>74</v>
      </c>
      <c r="W1681"/>
      <c r="X1681"/>
      <c r="Y1681"/>
      <c r="Z1681"/>
      <c r="AA1681" t="s">
        <v>11111</v>
      </c>
      <c r="AB1681"/>
      <c r="AC1681"/>
      <c r="AD1681"/>
      <c r="AE1681"/>
      <c r="AF1681" t="s">
        <v>11112</v>
      </c>
      <c r="AG1681" t="n">
        <v>151</v>
      </c>
    </row>
    <row r="1682">
      <c r="A1682" t="s">
        <v>11113</v>
      </c>
      <c r="B1682" t="s">
        <v>30</v>
      </c>
      <c r="C1682" t="s">
        <v>24</v>
      </c>
      <c r="D1682" t="s">
        <v>11114</v>
      </c>
      <c r="E1682" t="s">
        <v>79</v>
      </c>
      <c r="F1682" t="s">
        <v>1274</v>
      </c>
      <c r="G1682"/>
      <c r="H1682" t="n">
        <v>39.7264651054026</v>
      </c>
      <c r="I1682" t="n">
        <v>-105.018685353597</v>
      </c>
      <c r="J1682" t="s">
        <v>4109</v>
      </c>
      <c r="K1682" t="s">
        <v>120</v>
      </c>
      <c r="L1682"/>
      <c r="M1682" t="n">
        <v>1965</v>
      </c>
      <c r="N1682" t="n">
        <v>1990</v>
      </c>
      <c r="O1682" t="s">
        <v>1275</v>
      </c>
      <c r="P1682" t="n">
        <v>2</v>
      </c>
      <c r="Q1682" t="n">
        <v>2</v>
      </c>
      <c r="R1682" t="n">
        <v>1</v>
      </c>
      <c r="S1682" t="n">
        <v>1987</v>
      </c>
      <c r="T1682" t="s">
        <v>11115</v>
      </c>
      <c r="U1682" t="s">
        <v>11116</v>
      </c>
      <c r="V1682" t="s">
        <v>74</v>
      </c>
      <c r="W1682"/>
      <c r="X1682"/>
      <c r="Y1682"/>
      <c r="Z1682"/>
      <c r="AA1682" t="s">
        <v>11117</v>
      </c>
      <c r="AB1682"/>
      <c r="AC1682"/>
      <c r="AD1682" t="s">
        <v>11118</v>
      </c>
      <c r="AE1682" t="n">
        <v>124</v>
      </c>
      <c r="AF1682" t="s">
        <v>11119</v>
      </c>
      <c r="AG1682" t="n">
        <v>106</v>
      </c>
    </row>
    <row r="1683">
      <c r="A1683" t="s">
        <v>11120</v>
      </c>
      <c r="B1683" t="s">
        <v>30</v>
      </c>
      <c r="C1683" t="s">
        <v>65</v>
      </c>
      <c r="D1683" t="s">
        <v>11121</v>
      </c>
      <c r="E1683" t="s">
        <v>79</v>
      </c>
      <c r="F1683" t="s">
        <v>1274</v>
      </c>
      <c r="G1683" t="s">
        <v>1638</v>
      </c>
      <c r="H1683" t="n">
        <v>39.77282</v>
      </c>
      <c r="I1683" t="n">
        <v>-104.894441731061</v>
      </c>
      <c r="J1683" t="s">
        <v>35</v>
      </c>
      <c r="K1683" t="s">
        <v>133</v>
      </c>
      <c r="L1683"/>
      <c r="M1683" t="n">
        <v>1965</v>
      </c>
      <c r="N1683" t="n">
        <v>1974</v>
      </c>
      <c r="O1683" t="s">
        <v>127</v>
      </c>
      <c r="P1683" t="n">
        <v>3</v>
      </c>
      <c r="Q1683" t="n">
        <v>2</v>
      </c>
      <c r="R1683" t="n">
        <v>1</v>
      </c>
      <c r="S1683" t="n">
        <v>1969</v>
      </c>
      <c r="T1683" t="s">
        <v>11122</v>
      </c>
      <c r="U1683" t="s">
        <v>11123</v>
      </c>
      <c r="V1683" t="s">
        <v>74</v>
      </c>
      <c r="W1683"/>
      <c r="X1683"/>
      <c r="Y1683"/>
      <c r="Z1683"/>
      <c r="AA1683" t="s">
        <v>11124</v>
      </c>
      <c r="AB1683" t="s">
        <v>8294</v>
      </c>
      <c r="AC1683" t="n">
        <v>122</v>
      </c>
      <c r="AD1683" t="s">
        <v>1884</v>
      </c>
      <c r="AE1683" t="n">
        <v>193</v>
      </c>
      <c r="AF1683" t="s">
        <v>7507</v>
      </c>
      <c r="AG1683" t="n">
        <v>86</v>
      </c>
    </row>
    <row r="1684">
      <c r="A1684" t="s">
        <v>11125</v>
      </c>
      <c r="B1684" t="s">
        <v>30</v>
      </c>
      <c r="C1684" t="s">
        <v>65</v>
      </c>
      <c r="D1684" t="s">
        <v>11126</v>
      </c>
      <c r="E1684" t="s">
        <v>79</v>
      </c>
      <c r="F1684" t="s">
        <v>1274</v>
      </c>
      <c r="G1684"/>
      <c r="H1684" t="n">
        <v>39.7297751849885</v>
      </c>
      <c r="I1684" t="n">
        <v>-105.004084309111</v>
      </c>
      <c r="J1684" t="s">
        <v>35</v>
      </c>
      <c r="K1684" t="s">
        <v>141</v>
      </c>
      <c r="L1684"/>
      <c r="M1684" t="n">
        <v>1965</v>
      </c>
      <c r="N1684" t="n">
        <v>1990</v>
      </c>
      <c r="O1684" t="s">
        <v>1818</v>
      </c>
      <c r="P1684" t="n">
        <v>9</v>
      </c>
      <c r="Q1684" t="n">
        <v>4</v>
      </c>
      <c r="R1684" t="n">
        <v>3</v>
      </c>
      <c r="S1684" t="n">
        <v>1904</v>
      </c>
      <c r="T1684" t="s">
        <v>11127</v>
      </c>
      <c r="U1684" t="s">
        <v>11128</v>
      </c>
      <c r="V1684" t="s">
        <v>74</v>
      </c>
      <c r="W1684"/>
      <c r="X1684"/>
      <c r="Y1684"/>
      <c r="Z1684"/>
      <c r="AA1684" t="s">
        <v>11129</v>
      </c>
      <c r="AB1684"/>
      <c r="AC1684"/>
      <c r="AD1684"/>
      <c r="AE1684"/>
      <c r="AF1684" t="s">
        <v>11130</v>
      </c>
      <c r="AG1684" t="n">
        <v>93</v>
      </c>
    </row>
    <row r="1685">
      <c r="A1685" t="s">
        <v>11131</v>
      </c>
      <c r="B1685" t="s">
        <v>30</v>
      </c>
      <c r="C1685" t="s">
        <v>24</v>
      </c>
      <c r="D1685" t="s">
        <v>11132</v>
      </c>
      <c r="E1685" t="s">
        <v>79</v>
      </c>
      <c r="F1685" t="s">
        <v>1274</v>
      </c>
      <c r="G1685"/>
      <c r="H1685" t="n">
        <v>39.707555</v>
      </c>
      <c r="I1685" t="n">
        <v>-105.001506</v>
      </c>
      <c r="J1685" t="s">
        <v>35</v>
      </c>
      <c r="K1685" t="s">
        <v>1041</v>
      </c>
      <c r="L1685"/>
      <c r="M1685" t="n">
        <v>1965</v>
      </c>
      <c r="N1685" t="n">
        <v>1966</v>
      </c>
      <c r="O1685" t="s">
        <v>4172</v>
      </c>
      <c r="P1685" t="n">
        <v>2</v>
      </c>
      <c r="Q1685" t="n">
        <v>1</v>
      </c>
      <c r="R1685" t="n">
        <v>1</v>
      </c>
      <c r="S1685" t="n">
        <v>1946</v>
      </c>
      <c r="T1685" t="s">
        <v>11133</v>
      </c>
      <c r="U1685" t="s">
        <v>11134</v>
      </c>
      <c r="V1685" t="s">
        <v>4175</v>
      </c>
      <c r="W1685"/>
      <c r="X1685"/>
      <c r="Y1685"/>
      <c r="Z1685"/>
      <c r="AA1685" t="s">
        <v>11135</v>
      </c>
      <c r="AB1685" t="s">
        <v>1959</v>
      </c>
      <c r="AC1685" t="n">
        <v>243</v>
      </c>
      <c r="AD1685"/>
      <c r="AE1685"/>
      <c r="AF1685" t="s">
        <v>1960</v>
      </c>
      <c r="AG1685" t="n">
        <v>51</v>
      </c>
    </row>
    <row r="1686">
      <c r="A1686" t="s">
        <v>11136</v>
      </c>
      <c r="B1686" t="s">
        <v>30</v>
      </c>
      <c r="C1686" t="s">
        <v>65</v>
      </c>
      <c r="D1686" t="s">
        <v>11137</v>
      </c>
      <c r="E1686" t="s">
        <v>79</v>
      </c>
      <c r="F1686" t="s">
        <v>1274</v>
      </c>
      <c r="G1686"/>
      <c r="H1686" t="n">
        <v>39.736857</v>
      </c>
      <c r="I1686" t="n">
        <v>-104.995307</v>
      </c>
      <c r="J1686" t="s">
        <v>35</v>
      </c>
      <c r="K1686" t="s">
        <v>533</v>
      </c>
      <c r="L1686"/>
      <c r="M1686" t="n">
        <v>1965</v>
      </c>
      <c r="N1686" t="n">
        <v>1980</v>
      </c>
      <c r="O1686" t="s">
        <v>11138</v>
      </c>
      <c r="P1686" t="n">
        <v>8</v>
      </c>
      <c r="Q1686" t="n">
        <v>3</v>
      </c>
      <c r="R1686" t="n">
        <v>3</v>
      </c>
      <c r="S1686" t="n">
        <v>1933</v>
      </c>
      <c r="T1686" t="s">
        <v>11139</v>
      </c>
      <c r="U1686" t="s">
        <v>11140</v>
      </c>
      <c r="V1686" t="s">
        <v>74</v>
      </c>
      <c r="W1686"/>
      <c r="X1686"/>
      <c r="Y1686"/>
      <c r="Z1686"/>
      <c r="AA1686" t="s">
        <v>11141</v>
      </c>
      <c r="AB1686"/>
      <c r="AC1686"/>
      <c r="AD1686"/>
      <c r="AE1686"/>
      <c r="AF1686" t="s">
        <v>1833</v>
      </c>
      <c r="AG1686" t="n">
        <v>71</v>
      </c>
    </row>
    <row r="1687">
      <c r="A1687" t="s">
        <v>11142</v>
      </c>
      <c r="B1687" t="s">
        <v>30</v>
      </c>
      <c r="C1687" t="s">
        <v>65</v>
      </c>
      <c r="D1687" t="s">
        <v>11143</v>
      </c>
      <c r="E1687" t="s">
        <v>79</v>
      </c>
      <c r="F1687" t="s">
        <v>1274</v>
      </c>
      <c r="G1687"/>
      <c r="H1687" t="n">
        <v>39.7568344008707</v>
      </c>
      <c r="I1687" t="n">
        <v>-105.008803567887</v>
      </c>
      <c r="J1687" t="s">
        <v>35</v>
      </c>
      <c r="K1687" t="s">
        <v>120</v>
      </c>
      <c r="L1687"/>
      <c r="M1687" t="n">
        <v>1965</v>
      </c>
      <c r="N1687" t="n">
        <v>1992</v>
      </c>
      <c r="O1687" t="s">
        <v>106</v>
      </c>
      <c r="P1687" t="n">
        <v>8</v>
      </c>
      <c r="Q1687" t="n">
        <v>4</v>
      </c>
      <c r="R1687" t="n">
        <v>1</v>
      </c>
      <c r="S1687" t="n">
        <v>1934</v>
      </c>
      <c r="T1687" t="s">
        <v>11144</v>
      </c>
      <c r="U1687" t="s">
        <v>11145</v>
      </c>
      <c r="V1687" t="s">
        <v>74</v>
      </c>
      <c r="W1687"/>
      <c r="X1687"/>
      <c r="Y1687"/>
      <c r="Z1687"/>
      <c r="AA1687" t="s">
        <v>11146</v>
      </c>
      <c r="AB1687" t="s">
        <v>1300</v>
      </c>
      <c r="AC1687" t="n">
        <v>172</v>
      </c>
      <c r="AD1687"/>
      <c r="AE1687"/>
      <c r="AF1687" t="s">
        <v>11147</v>
      </c>
      <c r="AG1687" t="n">
        <v>67</v>
      </c>
    </row>
    <row r="1688">
      <c r="A1688" t="s">
        <v>11148</v>
      </c>
      <c r="B1688" t="s">
        <v>30</v>
      </c>
      <c r="C1688" t="s">
        <v>24</v>
      </c>
      <c r="D1688" t="s">
        <v>7565</v>
      </c>
      <c r="E1688" t="s">
        <v>79</v>
      </c>
      <c r="F1688" t="s">
        <v>1274</v>
      </c>
      <c r="G1688"/>
      <c r="H1688" t="n">
        <v>39.7603706571621</v>
      </c>
      <c r="I1688" t="n">
        <v>-104.99541794074</v>
      </c>
      <c r="J1688" t="s">
        <v>4109</v>
      </c>
      <c r="K1688" t="s">
        <v>89</v>
      </c>
      <c r="L1688"/>
      <c r="M1688" t="n">
        <v>1965</v>
      </c>
      <c r="N1688" t="n">
        <v>1965</v>
      </c>
      <c r="O1688" t="s">
        <v>1275</v>
      </c>
      <c r="P1688" t="n">
        <v>1</v>
      </c>
      <c r="Q1688" t="n">
        <v>1</v>
      </c>
      <c r="R1688" t="n">
        <v>1</v>
      </c>
      <c r="S1688"/>
      <c r="T1688" t="s">
        <v>11149</v>
      </c>
      <c r="U1688" t="s">
        <v>11150</v>
      </c>
      <c r="V1688" t="s">
        <v>74</v>
      </c>
      <c r="W1688"/>
      <c r="X1688"/>
      <c r="Y1688"/>
      <c r="Z1688"/>
      <c r="AA1688" t="s">
        <v>11151</v>
      </c>
      <c r="AB1688" t="s">
        <v>11152</v>
      </c>
      <c r="AC1688" t="n">
        <v>151</v>
      </c>
      <c r="AD1688"/>
      <c r="AE1688"/>
      <c r="AF1688" t="s">
        <v>11153</v>
      </c>
      <c r="AG1688" t="n">
        <v>46</v>
      </c>
    </row>
    <row r="1689">
      <c r="A1689" t="s">
        <v>11154</v>
      </c>
      <c r="B1689" t="s">
        <v>30</v>
      </c>
      <c r="C1689" t="s">
        <v>65</v>
      </c>
      <c r="D1689" t="s">
        <v>11155</v>
      </c>
      <c r="E1689" t="s">
        <v>79</v>
      </c>
      <c r="F1689" t="s">
        <v>1274</v>
      </c>
      <c r="G1689" t="s">
        <v>11156</v>
      </c>
      <c r="H1689" t="n">
        <v>39.71941</v>
      </c>
      <c r="I1689" t="n">
        <v>-104.953419</v>
      </c>
      <c r="J1689" t="s">
        <v>35</v>
      </c>
      <c r="K1689" t="s">
        <v>133</v>
      </c>
      <c r="L1689"/>
      <c r="M1689" t="n">
        <v>1965</v>
      </c>
      <c r="N1689" t="n">
        <v>1988</v>
      </c>
      <c r="O1689" t="s">
        <v>1275</v>
      </c>
      <c r="P1689" t="n">
        <v>5</v>
      </c>
      <c r="Q1689" t="n">
        <v>4</v>
      </c>
      <c r="R1689" t="n">
        <v>1</v>
      </c>
      <c r="S1689" t="n">
        <v>1972</v>
      </c>
      <c r="T1689" t="s">
        <v>11157</v>
      </c>
      <c r="U1689" t="s">
        <v>11158</v>
      </c>
      <c r="V1689" t="s">
        <v>74</v>
      </c>
      <c r="W1689"/>
      <c r="X1689"/>
      <c r="Y1689"/>
      <c r="Z1689"/>
      <c r="AA1689" t="s">
        <v>11159</v>
      </c>
      <c r="AB1689" t="s">
        <v>11160</v>
      </c>
      <c r="AC1689" t="n">
        <v>247</v>
      </c>
      <c r="AD1689"/>
      <c r="AE1689"/>
      <c r="AF1689" t="s">
        <v>6876</v>
      </c>
      <c r="AG1689" t="n">
        <v>116</v>
      </c>
    </row>
    <row r="1690">
      <c r="A1690" t="s">
        <v>11161</v>
      </c>
      <c r="B1690" t="s">
        <v>30</v>
      </c>
      <c r="C1690" t="s">
        <v>65</v>
      </c>
      <c r="D1690" t="s">
        <v>11162</v>
      </c>
      <c r="E1690" t="s">
        <v>79</v>
      </c>
      <c r="F1690" t="s">
        <v>1274</v>
      </c>
      <c r="G1690"/>
      <c r="H1690" t="n">
        <v>39.7460728187526</v>
      </c>
      <c r="I1690" t="n">
        <v>-104.999729539756</v>
      </c>
      <c r="J1690" t="s">
        <v>35</v>
      </c>
      <c r="K1690" t="s">
        <v>1639</v>
      </c>
      <c r="L1690"/>
      <c r="M1690" t="n">
        <v>1965</v>
      </c>
      <c r="N1690" t="n">
        <v>1970</v>
      </c>
      <c r="O1690" t="s">
        <v>11163</v>
      </c>
      <c r="P1690" t="n">
        <v>5</v>
      </c>
      <c r="Q1690" t="n">
        <v>10</v>
      </c>
      <c r="R1690" t="n">
        <v>4</v>
      </c>
      <c r="S1690" t="n">
        <v>1916</v>
      </c>
      <c r="T1690" t="s">
        <v>11164</v>
      </c>
      <c r="U1690" t="s">
        <v>11165</v>
      </c>
      <c r="V1690" t="s">
        <v>74</v>
      </c>
      <c r="W1690"/>
      <c r="X1690"/>
      <c r="Y1690"/>
      <c r="Z1690"/>
      <c r="AA1690" t="s">
        <v>11166</v>
      </c>
      <c r="AB1690" t="s">
        <v>1332</v>
      </c>
      <c r="AC1690" t="n">
        <v>102</v>
      </c>
      <c r="AD1690"/>
      <c r="AE1690"/>
      <c r="AF1690" t="s">
        <v>1320</v>
      </c>
      <c r="AG1690" t="n">
        <v>103</v>
      </c>
    </row>
    <row r="1691">
      <c r="A1691" t="s">
        <v>11167</v>
      </c>
      <c r="B1691" t="s">
        <v>30</v>
      </c>
      <c r="C1691" t="s">
        <v>24</v>
      </c>
      <c r="D1691" t="s">
        <v>11168</v>
      </c>
      <c r="E1691" t="s">
        <v>79</v>
      </c>
      <c r="F1691" t="s">
        <v>1274</v>
      </c>
      <c r="G1691"/>
      <c r="H1691" t="n">
        <v>39.719347</v>
      </c>
      <c r="I1691" t="n">
        <v>-104.99399</v>
      </c>
      <c r="J1691" t="s">
        <v>4109</v>
      </c>
      <c r="K1691" t="s">
        <v>120</v>
      </c>
      <c r="L1691"/>
      <c r="M1691" t="n">
        <v>1965</v>
      </c>
      <c r="N1691" t="n">
        <v>1973</v>
      </c>
      <c r="O1691" t="s">
        <v>11169</v>
      </c>
      <c r="P1691" t="n">
        <v>4</v>
      </c>
      <c r="Q1691" t="n">
        <v>3</v>
      </c>
      <c r="R1691" t="n">
        <v>2</v>
      </c>
      <c r="S1691" t="n">
        <v>1950</v>
      </c>
      <c r="T1691" t="s">
        <v>11170</v>
      </c>
      <c r="U1691" t="s">
        <v>11171</v>
      </c>
      <c r="V1691" t="s">
        <v>74</v>
      </c>
      <c r="W1691"/>
      <c r="X1691"/>
      <c r="Y1691"/>
      <c r="Z1691"/>
      <c r="AA1691" t="s">
        <v>11172</v>
      </c>
      <c r="AB1691"/>
      <c r="AC1691"/>
      <c r="AD1691"/>
      <c r="AE1691"/>
      <c r="AF1691"/>
      <c r="AG1691"/>
    </row>
    <row r="1692">
      <c r="A1692" t="s">
        <v>11173</v>
      </c>
      <c r="B1692" t="s">
        <v>30</v>
      </c>
      <c r="C1692" t="s">
        <v>65</v>
      </c>
      <c r="D1692" t="s">
        <v>11174</v>
      </c>
      <c r="E1692" t="s">
        <v>79</v>
      </c>
      <c r="F1692" t="s">
        <v>1274</v>
      </c>
      <c r="G1692"/>
      <c r="H1692" t="n">
        <v>39.6806561830708</v>
      </c>
      <c r="I1692" t="n">
        <v>-104.988793079605</v>
      </c>
      <c r="J1692" t="s">
        <v>35</v>
      </c>
      <c r="K1692" t="s">
        <v>796</v>
      </c>
      <c r="L1692"/>
      <c r="M1692" t="n">
        <v>1965</v>
      </c>
      <c r="N1692" t="n">
        <v>1970</v>
      </c>
      <c r="O1692" t="s">
        <v>11175</v>
      </c>
      <c r="P1692" t="n">
        <v>4</v>
      </c>
      <c r="Q1692" t="n">
        <v>1</v>
      </c>
      <c r="R1692" t="n">
        <v>1</v>
      </c>
      <c r="S1692" t="n">
        <v>1964</v>
      </c>
      <c r="T1692" t="s">
        <v>11176</v>
      </c>
      <c r="U1692" t="s">
        <v>11177</v>
      </c>
      <c r="V1692" t="s">
        <v>74</v>
      </c>
      <c r="W1692"/>
      <c r="X1692"/>
      <c r="Y1692"/>
      <c r="Z1692"/>
      <c r="AA1692" t="s">
        <v>11178</v>
      </c>
      <c r="AB1692"/>
      <c r="AC1692"/>
      <c r="AD1692" t="s">
        <v>1431</v>
      </c>
      <c r="AE1692" t="n">
        <v>228</v>
      </c>
      <c r="AF1692" t="s">
        <v>11179</v>
      </c>
      <c r="AG1692" t="n">
        <v>106</v>
      </c>
    </row>
    <row r="1693">
      <c r="A1693" t="s">
        <v>11180</v>
      </c>
      <c r="B1693" t="s">
        <v>30</v>
      </c>
      <c r="C1693" t="s">
        <v>65</v>
      </c>
      <c r="D1693" t="s">
        <v>11181</v>
      </c>
      <c r="E1693" t="s">
        <v>79</v>
      </c>
      <c r="F1693" t="s">
        <v>1274</v>
      </c>
      <c r="G1693"/>
      <c r="H1693" t="n">
        <v>39.707573</v>
      </c>
      <c r="I1693" t="n">
        <v>-105.010409911381</v>
      </c>
      <c r="J1693" t="s">
        <v>35</v>
      </c>
      <c r="K1693" t="s">
        <v>70</v>
      </c>
      <c r="L1693"/>
      <c r="M1693" t="n">
        <v>1965</v>
      </c>
      <c r="N1693" t="n">
        <v>1973</v>
      </c>
      <c r="O1693" t="s">
        <v>11182</v>
      </c>
      <c r="P1693" t="n">
        <v>4</v>
      </c>
      <c r="Q1693" t="n">
        <v>1</v>
      </c>
      <c r="R1693" t="n">
        <v>1</v>
      </c>
      <c r="S1693" t="n">
        <v>1946</v>
      </c>
      <c r="T1693" t="s">
        <v>11183</v>
      </c>
      <c r="U1693" t="s">
        <v>11184</v>
      </c>
      <c r="V1693" t="s">
        <v>74</v>
      </c>
      <c r="W1693"/>
      <c r="X1693"/>
      <c r="Y1693"/>
      <c r="Z1693"/>
      <c r="AA1693" t="s">
        <v>11185</v>
      </c>
      <c r="AB1693"/>
      <c r="AC1693"/>
      <c r="AD1693"/>
      <c r="AE1693"/>
      <c r="AF1693" t="s">
        <v>11186</v>
      </c>
      <c r="AG1693" t="n">
        <v>110</v>
      </c>
    </row>
    <row r="1694">
      <c r="A1694" t="s">
        <v>11187</v>
      </c>
      <c r="B1694" t="s">
        <v>30</v>
      </c>
      <c r="C1694" t="s">
        <v>65</v>
      </c>
      <c r="D1694" t="s">
        <v>11188</v>
      </c>
      <c r="E1694" t="s">
        <v>79</v>
      </c>
      <c r="F1694" t="s">
        <v>1274</v>
      </c>
      <c r="G1694"/>
      <c r="H1694" t="n">
        <v>39.7486802780149</v>
      </c>
      <c r="I1694" t="n">
        <v>-104.998120438698</v>
      </c>
      <c r="J1694" t="s">
        <v>35</v>
      </c>
      <c r="K1694" t="s">
        <v>141</v>
      </c>
      <c r="L1694"/>
      <c r="M1694" t="n">
        <v>1965</v>
      </c>
      <c r="N1694" t="n">
        <v>1970</v>
      </c>
      <c r="O1694" t="s">
        <v>11163</v>
      </c>
      <c r="P1694" t="n">
        <v>4</v>
      </c>
      <c r="Q1694" t="n">
        <v>2</v>
      </c>
      <c r="R1694" t="n">
        <v>2</v>
      </c>
      <c r="S1694" t="n">
        <v>1881</v>
      </c>
      <c r="T1694" t="s">
        <v>11189</v>
      </c>
      <c r="U1694" t="s">
        <v>11190</v>
      </c>
      <c r="V1694" t="s">
        <v>74</v>
      </c>
      <c r="W1694"/>
      <c r="X1694"/>
      <c r="Y1694"/>
      <c r="Z1694"/>
      <c r="AA1694" t="s">
        <v>11191</v>
      </c>
      <c r="AB1694" t="s">
        <v>11192</v>
      </c>
      <c r="AC1694" t="n">
        <v>216</v>
      </c>
      <c r="AD1694" t="s">
        <v>5328</v>
      </c>
      <c r="AE1694" t="n">
        <v>218</v>
      </c>
      <c r="AF1694" t="s">
        <v>11193</v>
      </c>
      <c r="AG1694" t="n">
        <v>73</v>
      </c>
    </row>
    <row r="1695">
      <c r="A1695" t="s">
        <v>11194</v>
      </c>
      <c r="B1695" t="s">
        <v>30</v>
      </c>
      <c r="C1695" t="s">
        <v>65</v>
      </c>
      <c r="D1695" t="s">
        <v>11195</v>
      </c>
      <c r="E1695" t="s">
        <v>79</v>
      </c>
      <c r="F1695" t="s">
        <v>1274</v>
      </c>
      <c r="G1695"/>
      <c r="H1695" t="n">
        <v>39.7017318963615</v>
      </c>
      <c r="I1695" t="n">
        <v>-104.999168090779</v>
      </c>
      <c r="J1695" t="s">
        <v>35</v>
      </c>
      <c r="K1695" t="s">
        <v>1282</v>
      </c>
      <c r="L1695"/>
      <c r="M1695" t="n">
        <v>1965</v>
      </c>
      <c r="N1695" t="n">
        <v>1990</v>
      </c>
      <c r="O1695" t="s">
        <v>11196</v>
      </c>
      <c r="P1695" t="n">
        <v>4</v>
      </c>
      <c r="Q1695" t="n">
        <v>4</v>
      </c>
      <c r="R1695" t="n">
        <v>3</v>
      </c>
      <c r="S1695" t="n">
        <v>1974</v>
      </c>
      <c r="T1695" t="s">
        <v>11197</v>
      </c>
      <c r="U1695" t="s">
        <v>11198</v>
      </c>
      <c r="V1695" t="s">
        <v>74</v>
      </c>
      <c r="W1695"/>
      <c r="X1695"/>
      <c r="Y1695"/>
      <c r="Z1695"/>
      <c r="AA1695" t="s">
        <v>11199</v>
      </c>
      <c r="AB1695" t="s">
        <v>11200</v>
      </c>
      <c r="AC1695" t="n">
        <v>211</v>
      </c>
      <c r="AD1695"/>
      <c r="AE1695"/>
      <c r="AF1695" t="s">
        <v>11201</v>
      </c>
      <c r="AG1695" t="n">
        <v>82</v>
      </c>
    </row>
    <row r="1696">
      <c r="A1696" t="s">
        <v>11202</v>
      </c>
      <c r="B1696" t="s">
        <v>30</v>
      </c>
      <c r="C1696" t="s">
        <v>24</v>
      </c>
      <c r="D1696" t="s">
        <v>11203</v>
      </c>
      <c r="E1696" t="s">
        <v>79</v>
      </c>
      <c r="F1696" t="s">
        <v>1274</v>
      </c>
      <c r="G1696"/>
      <c r="H1696" t="n">
        <v>39.7508309330203</v>
      </c>
      <c r="I1696" t="n">
        <v>-104.993579989651</v>
      </c>
      <c r="J1696" t="s">
        <v>35</v>
      </c>
      <c r="K1696" t="s">
        <v>120</v>
      </c>
      <c r="L1696"/>
      <c r="M1696" t="n">
        <v>1965</v>
      </c>
      <c r="N1696" t="n">
        <v>1968</v>
      </c>
      <c r="O1696" t="s">
        <v>4172</v>
      </c>
      <c r="P1696" t="n">
        <v>3</v>
      </c>
      <c r="Q1696" t="n">
        <v>2</v>
      </c>
      <c r="R1696" t="n">
        <v>1</v>
      </c>
      <c r="S1696" t="n">
        <v>1887</v>
      </c>
      <c r="T1696" t="s">
        <v>11204</v>
      </c>
      <c r="U1696" t="s">
        <v>11205</v>
      </c>
      <c r="V1696" t="s">
        <v>4175</v>
      </c>
      <c r="W1696"/>
      <c r="X1696"/>
      <c r="Y1696"/>
      <c r="Z1696"/>
      <c r="AA1696" t="s">
        <v>11206</v>
      </c>
      <c r="AB1696" t="s">
        <v>1852</v>
      </c>
      <c r="AC1696" t="n">
        <v>107</v>
      </c>
      <c r="AD1696" t="s">
        <v>1853</v>
      </c>
      <c r="AE1696" t="n">
        <v>220</v>
      </c>
      <c r="AF1696" t="s">
        <v>1854</v>
      </c>
      <c r="AG1696" t="n">
        <v>58</v>
      </c>
    </row>
    <row r="1697">
      <c r="A1697" t="s">
        <v>11207</v>
      </c>
      <c r="B1697" t="s">
        <v>30</v>
      </c>
      <c r="C1697" t="s">
        <v>65</v>
      </c>
      <c r="D1697" t="s">
        <v>11208</v>
      </c>
      <c r="E1697" t="s">
        <v>79</v>
      </c>
      <c r="F1697" t="s">
        <v>1274</v>
      </c>
      <c r="G1697" t="s">
        <v>1555</v>
      </c>
      <c r="H1697" t="n">
        <v>39.735844387412</v>
      </c>
      <c r="I1697" t="n">
        <v>-104.992940161289</v>
      </c>
      <c r="J1697" t="s">
        <v>35</v>
      </c>
      <c r="K1697" t="s">
        <v>70</v>
      </c>
      <c r="L1697"/>
      <c r="M1697" t="n">
        <v>1965</v>
      </c>
      <c r="N1697" t="n">
        <v>1970</v>
      </c>
      <c r="O1697" t="s">
        <v>6892</v>
      </c>
      <c r="P1697" t="n">
        <v>5</v>
      </c>
      <c r="Q1697" t="n">
        <v>3</v>
      </c>
      <c r="R1697" t="n">
        <v>2</v>
      </c>
      <c r="S1697" t="n">
        <v>1935</v>
      </c>
      <c r="T1697" t="s">
        <v>11209</v>
      </c>
      <c r="U1697" t="s">
        <v>11210</v>
      </c>
      <c r="V1697" t="s">
        <v>74</v>
      </c>
      <c r="W1697"/>
      <c r="X1697"/>
      <c r="Y1697"/>
      <c r="Z1697"/>
      <c r="AA1697" t="s">
        <v>11211</v>
      </c>
      <c r="AB1697" t="s">
        <v>1465</v>
      </c>
      <c r="AC1697" t="n">
        <v>233</v>
      </c>
      <c r="AD1697"/>
      <c r="AE1697"/>
      <c r="AF1697" t="s">
        <v>4554</v>
      </c>
      <c r="AG1697" t="n">
        <v>61</v>
      </c>
    </row>
    <row r="1698">
      <c r="A1698" t="s">
        <v>11212</v>
      </c>
      <c r="B1698" t="s">
        <v>30</v>
      </c>
      <c r="C1698" t="s">
        <v>65</v>
      </c>
      <c r="D1698" t="s">
        <v>11213</v>
      </c>
      <c r="E1698" t="s">
        <v>79</v>
      </c>
      <c r="F1698" t="s">
        <v>1274</v>
      </c>
      <c r="G1698"/>
      <c r="H1698" t="n">
        <v>39.7150266926225</v>
      </c>
      <c r="I1698" t="n">
        <v>-104.992169</v>
      </c>
      <c r="J1698" t="s">
        <v>35</v>
      </c>
      <c r="K1698" t="s">
        <v>70</v>
      </c>
      <c r="L1698"/>
      <c r="M1698" t="n">
        <v>1965</v>
      </c>
      <c r="N1698" t="n">
        <v>1974</v>
      </c>
      <c r="O1698" t="s">
        <v>11214</v>
      </c>
      <c r="P1698" t="n">
        <v>5</v>
      </c>
      <c r="Q1698" t="n">
        <v>1</v>
      </c>
      <c r="R1698" t="n">
        <v>1</v>
      </c>
      <c r="S1698" t="n">
        <v>1947</v>
      </c>
      <c r="T1698" t="s">
        <v>11215</v>
      </c>
      <c r="U1698" t="s">
        <v>11216</v>
      </c>
      <c r="V1698" t="s">
        <v>74</v>
      </c>
      <c r="W1698"/>
      <c r="X1698"/>
      <c r="Y1698"/>
      <c r="Z1698"/>
      <c r="AA1698" t="s">
        <v>11217</v>
      </c>
      <c r="AB1698" t="s">
        <v>1687</v>
      </c>
      <c r="AC1698" t="n">
        <v>102</v>
      </c>
      <c r="AD1698"/>
      <c r="AE1698"/>
      <c r="AF1698" t="s">
        <v>1688</v>
      </c>
      <c r="AG1698" t="n">
        <v>121</v>
      </c>
    </row>
    <row r="1699">
      <c r="A1699" t="s">
        <v>11218</v>
      </c>
      <c r="B1699" t="s">
        <v>30</v>
      </c>
      <c r="C1699" t="s">
        <v>65</v>
      </c>
      <c r="D1699" t="s">
        <v>11219</v>
      </c>
      <c r="E1699" t="s">
        <v>79</v>
      </c>
      <c r="F1699" t="s">
        <v>1274</v>
      </c>
      <c r="G1699"/>
      <c r="H1699" t="n">
        <v>39.7574</v>
      </c>
      <c r="I1699" t="n">
        <v>-105.01051</v>
      </c>
      <c r="J1699" t="s">
        <v>35</v>
      </c>
      <c r="K1699" t="s">
        <v>70</v>
      </c>
      <c r="L1699"/>
      <c r="M1699" t="n">
        <v>1965</v>
      </c>
      <c r="N1699" t="n">
        <v>1965</v>
      </c>
      <c r="O1699" t="s">
        <v>1275</v>
      </c>
      <c r="P1699" t="n">
        <v>1</v>
      </c>
      <c r="Q1699" t="n">
        <v>1</v>
      </c>
      <c r="R1699" t="n">
        <v>1</v>
      </c>
      <c r="S1699"/>
      <c r="T1699" t="s">
        <v>11220</v>
      </c>
      <c r="U1699" t="s">
        <v>11221</v>
      </c>
      <c r="V1699" t="s">
        <v>74</v>
      </c>
      <c r="W1699"/>
      <c r="X1699"/>
      <c r="Y1699"/>
      <c r="Z1699"/>
      <c r="AA1699" t="s">
        <v>11222</v>
      </c>
      <c r="AB1699"/>
      <c r="AC1699"/>
      <c r="AD1699"/>
      <c r="AE1699"/>
      <c r="AF1699" t="s">
        <v>11147</v>
      </c>
      <c r="AG1699" t="n">
        <v>176</v>
      </c>
    </row>
    <row r="1700">
      <c r="A1700" t="s">
        <v>11223</v>
      </c>
      <c r="B1700" t="s">
        <v>30</v>
      </c>
      <c r="C1700" t="s">
        <v>65</v>
      </c>
      <c r="D1700" t="s">
        <v>11224</v>
      </c>
      <c r="E1700" t="s">
        <v>79</v>
      </c>
      <c r="F1700" t="s">
        <v>1274</v>
      </c>
      <c r="G1700"/>
      <c r="H1700" t="n">
        <v>39.7302969032345</v>
      </c>
      <c r="I1700" t="n">
        <v>-105.018369672383</v>
      </c>
      <c r="J1700" t="s">
        <v>35</v>
      </c>
      <c r="K1700" t="s">
        <v>120</v>
      </c>
      <c r="L1700"/>
      <c r="M1700" t="n">
        <v>1965</v>
      </c>
      <c r="N1700" t="n">
        <v>1990</v>
      </c>
      <c r="O1700" t="s">
        <v>228</v>
      </c>
      <c r="P1700" t="n">
        <v>9</v>
      </c>
      <c r="Q1700" t="n">
        <v>9</v>
      </c>
      <c r="R1700" t="n">
        <v>2</v>
      </c>
      <c r="S1700" t="n">
        <v>1962</v>
      </c>
      <c r="T1700" t="s">
        <v>11225</v>
      </c>
      <c r="U1700" t="s">
        <v>11226</v>
      </c>
      <c r="V1700" t="s">
        <v>74</v>
      </c>
      <c r="W1700"/>
      <c r="X1700"/>
      <c r="Y1700"/>
      <c r="Z1700"/>
      <c r="AA1700" t="s">
        <v>11227</v>
      </c>
      <c r="AB1700"/>
      <c r="AC1700"/>
      <c r="AD1700"/>
      <c r="AE1700"/>
      <c r="AF1700" t="s">
        <v>11228</v>
      </c>
      <c r="AG1700" t="n">
        <v>102</v>
      </c>
    </row>
    <row r="1701">
      <c r="A1701" t="s">
        <v>11229</v>
      </c>
      <c r="B1701" t="s">
        <v>30</v>
      </c>
      <c r="C1701" t="s">
        <v>65</v>
      </c>
      <c r="D1701" t="s">
        <v>11230</v>
      </c>
      <c r="E1701" t="s">
        <v>79</v>
      </c>
      <c r="F1701" t="s">
        <v>1274</v>
      </c>
      <c r="G1701" t="s">
        <v>1516</v>
      </c>
      <c r="H1701" t="n">
        <v>39.6773047970619</v>
      </c>
      <c r="I1701" t="n">
        <v>-104.998274893673</v>
      </c>
      <c r="J1701" t="s">
        <v>35</v>
      </c>
      <c r="K1701" t="s">
        <v>1282</v>
      </c>
      <c r="L1701" t="s">
        <v>202</v>
      </c>
      <c r="M1701" t="n">
        <v>1966</v>
      </c>
      <c r="N1701" t="n">
        <v>1990</v>
      </c>
      <c r="O1701" t="s">
        <v>11231</v>
      </c>
      <c r="P1701" t="n">
        <v>7</v>
      </c>
      <c r="Q1701" t="n">
        <v>3</v>
      </c>
      <c r="R1701" t="n">
        <v>3</v>
      </c>
      <c r="S1701" t="n">
        <v>1963</v>
      </c>
      <c r="T1701" t="s">
        <v>11232</v>
      </c>
      <c r="U1701" t="s">
        <v>11233</v>
      </c>
      <c r="V1701" t="s">
        <v>74</v>
      </c>
      <c r="W1701"/>
      <c r="X1701"/>
      <c r="Y1701"/>
      <c r="Z1701"/>
      <c r="AA1701" t="s">
        <v>11234</v>
      </c>
      <c r="AB1701" t="s">
        <v>6780</v>
      </c>
      <c r="AC1701" t="n">
        <v>160</v>
      </c>
      <c r="AD1701" t="s">
        <v>8989</v>
      </c>
      <c r="AE1701" t="n">
        <v>145</v>
      </c>
      <c r="AF1701" t="s">
        <v>8990</v>
      </c>
      <c r="AG1701" t="n">
        <v>50</v>
      </c>
    </row>
    <row r="1702">
      <c r="A1702" t="s">
        <v>11235</v>
      </c>
      <c r="B1702" t="s">
        <v>30</v>
      </c>
      <c r="C1702" t="s">
        <v>24</v>
      </c>
      <c r="D1702" t="s">
        <v>11236</v>
      </c>
      <c r="E1702" t="s">
        <v>79</v>
      </c>
      <c r="F1702" t="s">
        <v>1274</v>
      </c>
      <c r="G1702" t="s">
        <v>1653</v>
      </c>
      <c r="H1702" t="n">
        <v>39.7770272498086</v>
      </c>
      <c r="I1702" t="n">
        <v>-104.924642494304</v>
      </c>
      <c r="J1702" t="s">
        <v>35</v>
      </c>
      <c r="K1702" t="s">
        <v>89</v>
      </c>
      <c r="L1702"/>
      <c r="M1702" t="n">
        <v>1966</v>
      </c>
      <c r="N1702" t="n">
        <v>1967</v>
      </c>
      <c r="O1702" t="s">
        <v>4172</v>
      </c>
      <c r="P1702" t="n">
        <v>2</v>
      </c>
      <c r="Q1702" t="n">
        <v>2</v>
      </c>
      <c r="R1702" t="n">
        <v>1</v>
      </c>
      <c r="S1702" t="n">
        <v>1904</v>
      </c>
      <c r="T1702" t="s">
        <v>11237</v>
      </c>
      <c r="U1702" t="s">
        <v>11238</v>
      </c>
      <c r="V1702" t="s">
        <v>4175</v>
      </c>
      <c r="W1702"/>
      <c r="X1702"/>
      <c r="Y1702"/>
      <c r="Z1702"/>
      <c r="AA1702" t="s">
        <v>11239</v>
      </c>
      <c r="AB1702" t="s">
        <v>11240</v>
      </c>
      <c r="AC1702" t="n">
        <v>207</v>
      </c>
      <c r="AD1702" t="s">
        <v>8073</v>
      </c>
      <c r="AE1702" t="n">
        <v>204</v>
      </c>
      <c r="AF1702" t="s">
        <v>11241</v>
      </c>
      <c r="AG1702" t="n">
        <v>87</v>
      </c>
    </row>
    <row r="1703">
      <c r="A1703" t="s">
        <v>11242</v>
      </c>
      <c r="B1703" t="s">
        <v>30</v>
      </c>
      <c r="C1703" t="s">
        <v>65</v>
      </c>
      <c r="D1703" t="s">
        <v>11243</v>
      </c>
      <c r="E1703" t="s">
        <v>79</v>
      </c>
      <c r="F1703" t="s">
        <v>1274</v>
      </c>
      <c r="G1703" t="s">
        <v>1509</v>
      </c>
      <c r="H1703" t="n">
        <v>39.7508217201859</v>
      </c>
      <c r="I1703" t="n">
        <v>-104.992240131687</v>
      </c>
      <c r="J1703" t="s">
        <v>35</v>
      </c>
      <c r="K1703" t="s">
        <v>120</v>
      </c>
      <c r="L1703" t="s">
        <v>554</v>
      </c>
      <c r="M1703" t="n">
        <v>1966</v>
      </c>
      <c r="N1703" t="n">
        <v>1968</v>
      </c>
      <c r="O1703" t="s">
        <v>2764</v>
      </c>
      <c r="P1703" t="n">
        <v>3</v>
      </c>
      <c r="Q1703" t="n">
        <v>3</v>
      </c>
      <c r="R1703" t="n">
        <v>1</v>
      </c>
      <c r="S1703" t="n">
        <v>1929</v>
      </c>
      <c r="T1703" t="s">
        <v>11244</v>
      </c>
      <c r="U1703" t="s">
        <v>11245</v>
      </c>
      <c r="V1703" t="s">
        <v>74</v>
      </c>
      <c r="W1703"/>
      <c r="X1703"/>
      <c r="Y1703"/>
      <c r="Z1703"/>
      <c r="AA1703" t="s">
        <v>11246</v>
      </c>
      <c r="AB1703" t="s">
        <v>1852</v>
      </c>
      <c r="AC1703" t="n">
        <v>203</v>
      </c>
      <c r="AD1703"/>
      <c r="AE1703"/>
      <c r="AF1703" t="s">
        <v>11247</v>
      </c>
      <c r="AG1703" t="n">
        <v>55</v>
      </c>
    </row>
    <row r="1704">
      <c r="A1704" t="s">
        <v>11248</v>
      </c>
      <c r="B1704" t="s">
        <v>30</v>
      </c>
      <c r="C1704" t="s">
        <v>65</v>
      </c>
      <c r="D1704" t="s">
        <v>11249</v>
      </c>
      <c r="E1704" t="s">
        <v>79</v>
      </c>
      <c r="F1704" t="s">
        <v>1274</v>
      </c>
      <c r="G1704" t="s">
        <v>1574</v>
      </c>
      <c r="H1704" t="n">
        <v>39.754937</v>
      </c>
      <c r="I1704" t="n">
        <v>-104.983057</v>
      </c>
      <c r="J1704" t="s">
        <v>35</v>
      </c>
      <c r="K1704" t="s">
        <v>70</v>
      </c>
      <c r="L1704"/>
      <c r="M1704" t="n">
        <v>1966</v>
      </c>
      <c r="N1704" t="n">
        <v>1968</v>
      </c>
      <c r="O1704" t="s">
        <v>2764</v>
      </c>
      <c r="P1704" t="n">
        <v>3</v>
      </c>
      <c r="Q1704" t="n">
        <v>1</v>
      </c>
      <c r="R1704" t="n">
        <v>1</v>
      </c>
      <c r="S1704" t="n">
        <v>1955</v>
      </c>
      <c r="T1704" t="s">
        <v>11250</v>
      </c>
      <c r="U1704" t="s">
        <v>11251</v>
      </c>
      <c r="V1704" t="s">
        <v>74</v>
      </c>
      <c r="W1704"/>
      <c r="X1704"/>
      <c r="Y1704"/>
      <c r="Z1704"/>
      <c r="AA1704" t="s">
        <v>11252</v>
      </c>
      <c r="AB1704" t="s">
        <v>6687</v>
      </c>
      <c r="AC1704" t="n">
        <v>161</v>
      </c>
      <c r="AD1704"/>
      <c r="AE1704"/>
      <c r="AF1704" t="s">
        <v>6688</v>
      </c>
      <c r="AG1704" t="n">
        <v>116</v>
      </c>
    </row>
    <row r="1705">
      <c r="A1705" t="s">
        <v>11253</v>
      </c>
      <c r="B1705" t="s">
        <v>30</v>
      </c>
      <c r="C1705" t="s">
        <v>65</v>
      </c>
      <c r="D1705" t="s">
        <v>11254</v>
      </c>
      <c r="E1705" t="s">
        <v>79</v>
      </c>
      <c r="F1705" t="s">
        <v>1274</v>
      </c>
      <c r="G1705" t="s">
        <v>1509</v>
      </c>
      <c r="H1705" t="n">
        <v>39.7500341288364</v>
      </c>
      <c r="I1705" t="n">
        <v>-104.998107870933</v>
      </c>
      <c r="J1705" t="s">
        <v>35</v>
      </c>
      <c r="K1705" t="s">
        <v>89</v>
      </c>
      <c r="L1705" t="s">
        <v>2204</v>
      </c>
      <c r="M1705" t="n">
        <v>1966</v>
      </c>
      <c r="N1705" t="n">
        <v>1974</v>
      </c>
      <c r="O1705" t="s">
        <v>4342</v>
      </c>
      <c r="P1705" t="n">
        <v>6</v>
      </c>
      <c r="Q1705" t="n">
        <v>5</v>
      </c>
      <c r="R1705" t="n">
        <v>2</v>
      </c>
      <c r="S1705" t="n">
        <v>1906</v>
      </c>
      <c r="T1705" t="s">
        <v>11255</v>
      </c>
      <c r="U1705" t="s">
        <v>11256</v>
      </c>
      <c r="V1705" t="s">
        <v>74</v>
      </c>
      <c r="W1705"/>
      <c r="X1705"/>
      <c r="Y1705"/>
      <c r="Z1705"/>
      <c r="AA1705" t="s">
        <v>11257</v>
      </c>
      <c r="AB1705" t="s">
        <v>11258</v>
      </c>
      <c r="AC1705" t="n">
        <v>171</v>
      </c>
      <c r="AD1705" t="s">
        <v>5328</v>
      </c>
      <c r="AE1705" t="n">
        <v>162</v>
      </c>
      <c r="AF1705" t="s">
        <v>7826</v>
      </c>
      <c r="AG1705" t="n">
        <v>113</v>
      </c>
    </row>
    <row r="1706">
      <c r="A1706" t="s">
        <v>11259</v>
      </c>
      <c r="B1706" t="s">
        <v>30</v>
      </c>
      <c r="C1706" t="s">
        <v>65</v>
      </c>
      <c r="D1706" t="s">
        <v>11260</v>
      </c>
      <c r="E1706" t="s">
        <v>79</v>
      </c>
      <c r="F1706" t="s">
        <v>1274</v>
      </c>
      <c r="G1706" t="s">
        <v>1525</v>
      </c>
      <c r="H1706" t="n">
        <v>39.7636913125824</v>
      </c>
      <c r="I1706" t="n">
        <v>-104.978696478917</v>
      </c>
      <c r="J1706" t="s">
        <v>35</v>
      </c>
      <c r="K1706" t="s">
        <v>1282</v>
      </c>
      <c r="L1706"/>
      <c r="M1706" t="n">
        <v>1966</v>
      </c>
      <c r="N1706" t="n">
        <v>1990</v>
      </c>
      <c r="O1706" t="s">
        <v>11261</v>
      </c>
      <c r="P1706" t="n">
        <v>10</v>
      </c>
      <c r="Q1706" t="n">
        <v>4</v>
      </c>
      <c r="R1706" t="n">
        <v>4</v>
      </c>
      <c r="S1706" t="n">
        <v>1902</v>
      </c>
      <c r="T1706" t="s">
        <v>11262</v>
      </c>
      <c r="U1706" t="s">
        <v>11263</v>
      </c>
      <c r="V1706" t="s">
        <v>74</v>
      </c>
      <c r="W1706"/>
      <c r="X1706"/>
      <c r="Y1706"/>
      <c r="Z1706"/>
      <c r="AA1706" t="s">
        <v>11264</v>
      </c>
      <c r="AB1706" t="s">
        <v>1983</v>
      </c>
      <c r="AC1706" t="n">
        <v>127</v>
      </c>
      <c r="AD1706" t="s">
        <v>1712</v>
      </c>
      <c r="AE1706" t="n">
        <v>119</v>
      </c>
      <c r="AF1706" t="s">
        <v>8263</v>
      </c>
      <c r="AG1706" t="n">
        <v>116</v>
      </c>
    </row>
    <row r="1707">
      <c r="A1707" t="s">
        <v>11265</v>
      </c>
      <c r="B1707" t="s">
        <v>30</v>
      </c>
      <c r="C1707" t="s">
        <v>24</v>
      </c>
      <c r="D1707" t="s">
        <v>11266</v>
      </c>
      <c r="E1707" t="s">
        <v>79</v>
      </c>
      <c r="F1707" t="s">
        <v>1274</v>
      </c>
      <c r="G1707" t="s">
        <v>1516</v>
      </c>
      <c r="H1707" t="n">
        <v>39.7794655871201</v>
      </c>
      <c r="I1707" t="n">
        <v>-105.043962687143</v>
      </c>
      <c r="J1707" t="s">
        <v>4109</v>
      </c>
      <c r="K1707" t="s">
        <v>70</v>
      </c>
      <c r="L1707"/>
      <c r="M1707" t="n">
        <v>1966</v>
      </c>
      <c r="N1707" t="n">
        <v>1992</v>
      </c>
      <c r="O1707" t="s">
        <v>255</v>
      </c>
      <c r="P1707" t="n">
        <v>8</v>
      </c>
      <c r="Q1707" t="n">
        <v>5</v>
      </c>
      <c r="R1707" t="n">
        <v>1</v>
      </c>
      <c r="S1707" t="n">
        <v>1946</v>
      </c>
      <c r="T1707" t="s">
        <v>11267</v>
      </c>
      <c r="U1707" t="s">
        <v>11268</v>
      </c>
      <c r="V1707" t="s">
        <v>74</v>
      </c>
      <c r="W1707"/>
      <c r="X1707"/>
      <c r="Y1707"/>
      <c r="Z1707"/>
      <c r="AA1707" t="s">
        <v>11269</v>
      </c>
      <c r="AB1707"/>
      <c r="AC1707"/>
      <c r="AD1707"/>
      <c r="AE1707"/>
      <c r="AF1707"/>
      <c r="AG1707"/>
    </row>
    <row r="1708">
      <c r="A1708" t="s">
        <v>11270</v>
      </c>
      <c r="B1708" t="s">
        <v>30</v>
      </c>
      <c r="C1708" t="s">
        <v>65</v>
      </c>
      <c r="D1708" t="s">
        <v>11271</v>
      </c>
      <c r="E1708" t="s">
        <v>79</v>
      </c>
      <c r="F1708" t="s">
        <v>1274</v>
      </c>
      <c r="G1708" t="s">
        <v>1574</v>
      </c>
      <c r="H1708" t="n">
        <v>39.7506397083333</v>
      </c>
      <c r="I1708" t="n">
        <v>-104.987181152778</v>
      </c>
      <c r="J1708" t="s">
        <v>35</v>
      </c>
      <c r="K1708" t="s">
        <v>70</v>
      </c>
      <c r="L1708"/>
      <c r="M1708" t="n">
        <v>1966</v>
      </c>
      <c r="N1708" t="n">
        <v>1990</v>
      </c>
      <c r="O1708" t="s">
        <v>255</v>
      </c>
      <c r="P1708" t="n">
        <v>6</v>
      </c>
      <c r="Q1708" t="n">
        <v>3</v>
      </c>
      <c r="R1708" t="n">
        <v>1</v>
      </c>
      <c r="S1708" t="n">
        <v>1939</v>
      </c>
      <c r="T1708" t="s">
        <v>11272</v>
      </c>
      <c r="U1708" t="s">
        <v>11273</v>
      </c>
      <c r="V1708" t="s">
        <v>74</v>
      </c>
      <c r="W1708"/>
      <c r="X1708"/>
      <c r="Y1708"/>
      <c r="Z1708"/>
      <c r="AA1708" t="s">
        <v>11274</v>
      </c>
      <c r="AB1708" t="s">
        <v>1363</v>
      </c>
      <c r="AC1708" t="n">
        <v>110</v>
      </c>
      <c r="AD1708"/>
      <c r="AE1708"/>
      <c r="AF1708" t="s">
        <v>1364</v>
      </c>
      <c r="AG1708" t="n">
        <v>139</v>
      </c>
    </row>
    <row r="1709">
      <c r="A1709" t="s">
        <v>11275</v>
      </c>
      <c r="B1709" t="s">
        <v>30</v>
      </c>
      <c r="C1709" t="s">
        <v>65</v>
      </c>
      <c r="D1709" t="s">
        <v>11276</v>
      </c>
      <c r="E1709" t="s">
        <v>79</v>
      </c>
      <c r="F1709" t="s">
        <v>1274</v>
      </c>
      <c r="G1709" t="s">
        <v>1516</v>
      </c>
      <c r="H1709" t="n">
        <v>39.7198419386545</v>
      </c>
      <c r="I1709" t="n">
        <v>-105.013180036072</v>
      </c>
      <c r="J1709" t="s">
        <v>35</v>
      </c>
      <c r="K1709" t="s">
        <v>767</v>
      </c>
      <c r="L1709" t="s">
        <v>554</v>
      </c>
      <c r="M1709" t="n">
        <v>1966</v>
      </c>
      <c r="N1709" t="n">
        <v>1992</v>
      </c>
      <c r="O1709" t="s">
        <v>11277</v>
      </c>
      <c r="P1709" t="n">
        <v>9</v>
      </c>
      <c r="Q1709" t="n">
        <v>7</v>
      </c>
      <c r="R1709" t="n">
        <v>7</v>
      </c>
      <c r="S1709" t="n">
        <v>1931</v>
      </c>
      <c r="T1709" t="s">
        <v>11278</v>
      </c>
      <c r="U1709" t="s">
        <v>11279</v>
      </c>
      <c r="V1709" t="s">
        <v>74</v>
      </c>
      <c r="W1709"/>
      <c r="X1709"/>
      <c r="Y1709"/>
      <c r="Z1709"/>
      <c r="AA1709" t="s">
        <v>11280</v>
      </c>
      <c r="AB1709" t="s">
        <v>7220</v>
      </c>
      <c r="AC1709" t="n">
        <v>166</v>
      </c>
      <c r="AD1709" t="s">
        <v>7231</v>
      </c>
      <c r="AE1709" t="n">
        <v>238</v>
      </c>
      <c r="AF1709" t="s">
        <v>11281</v>
      </c>
      <c r="AG1709" t="n">
        <v>87</v>
      </c>
    </row>
    <row r="1710">
      <c r="A1710" t="s">
        <v>11282</v>
      </c>
      <c r="B1710" t="s">
        <v>30</v>
      </c>
      <c r="C1710" t="s">
        <v>65</v>
      </c>
      <c r="D1710" t="s">
        <v>11283</v>
      </c>
      <c r="E1710" t="s">
        <v>79</v>
      </c>
      <c r="F1710" t="s">
        <v>1274</v>
      </c>
      <c r="G1710" t="s">
        <v>1516</v>
      </c>
      <c r="H1710" t="n">
        <v>39.680323</v>
      </c>
      <c r="I1710" t="n">
        <v>-104.988794</v>
      </c>
      <c r="J1710" t="s">
        <v>35</v>
      </c>
      <c r="K1710" t="s">
        <v>120</v>
      </c>
      <c r="L1710"/>
      <c r="M1710" t="n">
        <v>1966</v>
      </c>
      <c r="N1710" t="n">
        <v>1970</v>
      </c>
      <c r="O1710" t="s">
        <v>2771</v>
      </c>
      <c r="P1710" t="n">
        <v>3</v>
      </c>
      <c r="Q1710" t="n">
        <v>1</v>
      </c>
      <c r="R1710" t="n">
        <v>1</v>
      </c>
      <c r="S1710" t="n">
        <v>1945</v>
      </c>
      <c r="T1710" t="s">
        <v>11284</v>
      </c>
      <c r="U1710" t="s">
        <v>11285</v>
      </c>
      <c r="V1710" t="s">
        <v>74</v>
      </c>
      <c r="W1710"/>
      <c r="X1710"/>
      <c r="Y1710"/>
      <c r="Z1710"/>
      <c r="AA1710" t="s">
        <v>11286</v>
      </c>
      <c r="AB1710"/>
      <c r="AC1710"/>
      <c r="AD1710" t="s">
        <v>1431</v>
      </c>
      <c r="AE1710" t="n">
        <v>191</v>
      </c>
      <c r="AF1710" t="s">
        <v>11179</v>
      </c>
      <c r="AG1710" t="n">
        <v>105</v>
      </c>
    </row>
    <row r="1711">
      <c r="A1711" t="s">
        <v>11287</v>
      </c>
      <c r="B1711" t="s">
        <v>30</v>
      </c>
      <c r="C1711" t="s">
        <v>65</v>
      </c>
      <c r="D1711" t="s">
        <v>11288</v>
      </c>
      <c r="E1711" t="s">
        <v>79</v>
      </c>
      <c r="F1711" t="s">
        <v>1274</v>
      </c>
      <c r="G1711" t="s">
        <v>1516</v>
      </c>
      <c r="H1711" t="n">
        <v>39.7098125918271</v>
      </c>
      <c r="I1711" t="n">
        <v>-105.003876612245</v>
      </c>
      <c r="J1711" t="s">
        <v>35</v>
      </c>
      <c r="K1711" t="s">
        <v>193</v>
      </c>
      <c r="L1711"/>
      <c r="M1711" t="n">
        <v>1966</v>
      </c>
      <c r="N1711" t="n">
        <v>1990</v>
      </c>
      <c r="O1711" t="s">
        <v>11289</v>
      </c>
      <c r="P1711" t="n">
        <v>9</v>
      </c>
      <c r="Q1711" t="n">
        <v>4</v>
      </c>
      <c r="R1711" t="n">
        <v>4</v>
      </c>
      <c r="S1711" t="n">
        <v>1893</v>
      </c>
      <c r="T1711" t="s">
        <v>11290</v>
      </c>
      <c r="U1711" t="s">
        <v>11291</v>
      </c>
      <c r="V1711" t="s">
        <v>74</v>
      </c>
      <c r="W1711"/>
      <c r="X1711"/>
      <c r="Y1711"/>
      <c r="Z1711"/>
      <c r="AA1711" t="s">
        <v>11292</v>
      </c>
      <c r="AB1711" t="s">
        <v>1959</v>
      </c>
      <c r="AC1711" t="n">
        <v>207</v>
      </c>
      <c r="AD1711"/>
      <c r="AE1711"/>
      <c r="AF1711" t="s">
        <v>11293</v>
      </c>
      <c r="AG1711" t="n">
        <v>67</v>
      </c>
    </row>
    <row r="1712">
      <c r="A1712" t="s">
        <v>11294</v>
      </c>
      <c r="B1712" t="s">
        <v>30</v>
      </c>
      <c r="C1712" t="s">
        <v>65</v>
      </c>
      <c r="D1712" t="s">
        <v>11295</v>
      </c>
      <c r="E1712" t="s">
        <v>79</v>
      </c>
      <c r="F1712" t="s">
        <v>1274</v>
      </c>
      <c r="G1712" t="s">
        <v>1516</v>
      </c>
      <c r="H1712" t="n">
        <v>39.6940679138618</v>
      </c>
      <c r="I1712" t="n">
        <v>-104.990172238076</v>
      </c>
      <c r="J1712" t="s">
        <v>35</v>
      </c>
      <c r="K1712" t="s">
        <v>70</v>
      </c>
      <c r="L1712"/>
      <c r="M1712" t="n">
        <v>1966</v>
      </c>
      <c r="N1712" t="n">
        <v>1990</v>
      </c>
      <c r="O1712" t="s">
        <v>11296</v>
      </c>
      <c r="P1712" t="n">
        <v>8</v>
      </c>
      <c r="Q1712" t="n">
        <v>3</v>
      </c>
      <c r="R1712" t="n">
        <v>2</v>
      </c>
      <c r="S1712" t="n">
        <v>1916</v>
      </c>
      <c r="T1712" t="s">
        <v>11297</v>
      </c>
      <c r="U1712" t="s">
        <v>11298</v>
      </c>
      <c r="V1712" t="s">
        <v>74</v>
      </c>
      <c r="W1712"/>
      <c r="X1712"/>
      <c r="Y1712"/>
      <c r="Z1712"/>
      <c r="AA1712" t="s">
        <v>11299</v>
      </c>
      <c r="AB1712" t="s">
        <v>1490</v>
      </c>
      <c r="AC1712" t="n">
        <v>223</v>
      </c>
      <c r="AD1712"/>
      <c r="AE1712"/>
      <c r="AF1712" t="s">
        <v>10344</v>
      </c>
      <c r="AG1712" t="n">
        <v>66</v>
      </c>
    </row>
    <row r="1713">
      <c r="A1713" t="s">
        <v>11300</v>
      </c>
      <c r="B1713" t="s">
        <v>30</v>
      </c>
      <c r="C1713" t="s">
        <v>65</v>
      </c>
      <c r="D1713" t="s">
        <v>11301</v>
      </c>
      <c r="E1713" t="s">
        <v>79</v>
      </c>
      <c r="F1713" t="s">
        <v>1274</v>
      </c>
      <c r="G1713" t="s">
        <v>1653</v>
      </c>
      <c r="H1713" t="n">
        <v>39.766259997408</v>
      </c>
      <c r="I1713" t="n">
        <v>-104.984003493594</v>
      </c>
      <c r="J1713" t="s">
        <v>35</v>
      </c>
      <c r="K1713" t="s">
        <v>89</v>
      </c>
      <c r="L1713"/>
      <c r="M1713" t="n">
        <v>1966</v>
      </c>
      <c r="N1713" t="n">
        <v>1967</v>
      </c>
      <c r="O1713" t="s">
        <v>716</v>
      </c>
      <c r="P1713" t="n">
        <v>2</v>
      </c>
      <c r="Q1713" t="n">
        <v>2</v>
      </c>
      <c r="R1713" t="n">
        <v>2</v>
      </c>
      <c r="S1713" t="n">
        <v>1889</v>
      </c>
      <c r="T1713" t="s">
        <v>11302</v>
      </c>
      <c r="U1713" t="s">
        <v>11303</v>
      </c>
      <c r="V1713" t="s">
        <v>74</v>
      </c>
      <c r="W1713"/>
      <c r="X1713"/>
      <c r="Y1713"/>
      <c r="Z1713"/>
      <c r="AA1713" t="s">
        <v>11304</v>
      </c>
      <c r="AB1713" t="s">
        <v>11305</v>
      </c>
      <c r="AC1713" t="n">
        <v>90</v>
      </c>
      <c r="AD1713"/>
      <c r="AE1713"/>
      <c r="AF1713" t="s">
        <v>9042</v>
      </c>
      <c r="AG1713" t="n">
        <v>78</v>
      </c>
    </row>
    <row r="1714">
      <c r="A1714" t="s">
        <v>11306</v>
      </c>
      <c r="B1714" t="s">
        <v>30</v>
      </c>
      <c r="C1714" t="s">
        <v>65</v>
      </c>
      <c r="D1714" t="s">
        <v>11307</v>
      </c>
      <c r="E1714" t="s">
        <v>79</v>
      </c>
      <c r="F1714" t="s">
        <v>1274</v>
      </c>
      <c r="G1714" t="s">
        <v>1555</v>
      </c>
      <c r="H1714" t="n">
        <v>39.7293166148202</v>
      </c>
      <c r="I1714" t="n">
        <v>-105.01731957668</v>
      </c>
      <c r="J1714" t="s">
        <v>35</v>
      </c>
      <c r="K1714" t="s">
        <v>89</v>
      </c>
      <c r="L1714"/>
      <c r="M1714" t="n">
        <v>1966</v>
      </c>
      <c r="N1714" t="n">
        <v>1967</v>
      </c>
      <c r="O1714" t="s">
        <v>716</v>
      </c>
      <c r="P1714" t="n">
        <v>2</v>
      </c>
      <c r="Q1714" t="n">
        <v>1</v>
      </c>
      <c r="R1714" t="n">
        <v>1</v>
      </c>
      <c r="S1714" t="n">
        <v>1962</v>
      </c>
      <c r="T1714" t="s">
        <v>11308</v>
      </c>
      <c r="U1714" t="s">
        <v>11309</v>
      </c>
      <c r="V1714" t="s">
        <v>74</v>
      </c>
      <c r="W1714"/>
      <c r="X1714"/>
      <c r="Y1714"/>
      <c r="Z1714"/>
      <c r="AA1714" t="s">
        <v>11310</v>
      </c>
      <c r="AB1714"/>
      <c r="AC1714"/>
      <c r="AD1714"/>
      <c r="AE1714"/>
      <c r="AF1714" t="s">
        <v>11311</v>
      </c>
      <c r="AG1714" t="n">
        <v>62</v>
      </c>
    </row>
    <row r="1715">
      <c r="A1715" t="s">
        <v>11312</v>
      </c>
      <c r="B1715" t="s">
        <v>30</v>
      </c>
      <c r="C1715" t="s">
        <v>24</v>
      </c>
      <c r="D1715" t="s">
        <v>11313</v>
      </c>
      <c r="E1715" t="s">
        <v>79</v>
      </c>
      <c r="F1715" t="s">
        <v>1274</v>
      </c>
      <c r="G1715" t="s">
        <v>1440</v>
      </c>
      <c r="H1715" t="n">
        <v>39.7482989355512</v>
      </c>
      <c r="I1715" t="n">
        <v>-105.020522663924</v>
      </c>
      <c r="J1715" t="s">
        <v>4109</v>
      </c>
      <c r="K1715" t="s">
        <v>527</v>
      </c>
      <c r="L1715"/>
      <c r="M1715" t="n">
        <v>1966</v>
      </c>
      <c r="N1715" t="n">
        <v>1992</v>
      </c>
      <c r="O1715" t="s">
        <v>11314</v>
      </c>
      <c r="P1715" t="n">
        <v>9</v>
      </c>
      <c r="Q1715" t="n">
        <v>5</v>
      </c>
      <c r="R1715" t="n">
        <v>3</v>
      </c>
      <c r="S1715" t="n">
        <v>1950</v>
      </c>
      <c r="T1715" t="s">
        <v>11315</v>
      </c>
      <c r="U1715" t="s">
        <v>11316</v>
      </c>
      <c r="V1715" t="s">
        <v>74</v>
      </c>
      <c r="W1715"/>
      <c r="X1715"/>
      <c r="Y1715"/>
      <c r="Z1715"/>
      <c r="AA1715" t="s">
        <v>11317</v>
      </c>
      <c r="AB1715" t="s">
        <v>6929</v>
      </c>
      <c r="AC1715" t="n">
        <v>132</v>
      </c>
      <c r="AD1715"/>
      <c r="AE1715"/>
      <c r="AF1715" t="s">
        <v>11318</v>
      </c>
      <c r="AG1715" t="n">
        <v>74</v>
      </c>
    </row>
    <row r="1716">
      <c r="A1716" t="s">
        <v>11319</v>
      </c>
      <c r="B1716" t="s">
        <v>30</v>
      </c>
      <c r="C1716" t="s">
        <v>65</v>
      </c>
      <c r="D1716" t="s">
        <v>11320</v>
      </c>
      <c r="E1716" t="s">
        <v>79</v>
      </c>
      <c r="F1716" t="s">
        <v>1274</v>
      </c>
      <c r="G1716" t="s">
        <v>1516</v>
      </c>
      <c r="H1716" t="n">
        <v>39.7041505708514</v>
      </c>
      <c r="I1716" t="n">
        <v>-104.999193246332</v>
      </c>
      <c r="J1716" t="s">
        <v>35</v>
      </c>
      <c r="K1716" t="s">
        <v>70</v>
      </c>
      <c r="L1716"/>
      <c r="M1716" t="n">
        <v>1966</v>
      </c>
      <c r="N1716" t="n">
        <v>1977</v>
      </c>
      <c r="O1716" t="s">
        <v>1830</v>
      </c>
      <c r="P1716" t="n">
        <v>4</v>
      </c>
      <c r="Q1716" t="n">
        <v>3</v>
      </c>
      <c r="R1716" t="n">
        <v>1</v>
      </c>
      <c r="S1716" t="n">
        <v>1930</v>
      </c>
      <c r="T1716" t="s">
        <v>11321</v>
      </c>
      <c r="U1716" t="s">
        <v>11322</v>
      </c>
      <c r="V1716" t="s">
        <v>74</v>
      </c>
      <c r="W1716"/>
      <c r="X1716"/>
      <c r="Y1716"/>
      <c r="Z1716"/>
      <c r="AA1716" t="s">
        <v>11323</v>
      </c>
      <c r="AB1716" t="s">
        <v>11200</v>
      </c>
      <c r="AC1716" t="n">
        <v>135</v>
      </c>
      <c r="AD1716"/>
      <c r="AE1716"/>
      <c r="AF1716" t="s">
        <v>11324</v>
      </c>
      <c r="AG1716" t="n">
        <v>72</v>
      </c>
    </row>
    <row r="1717">
      <c r="A1717" t="s">
        <v>11325</v>
      </c>
      <c r="B1717" t="s">
        <v>30</v>
      </c>
      <c r="C1717" t="s">
        <v>65</v>
      </c>
      <c r="D1717" t="s">
        <v>11326</v>
      </c>
      <c r="E1717" t="s">
        <v>79</v>
      </c>
      <c r="F1717" t="s">
        <v>1274</v>
      </c>
      <c r="G1717" t="s">
        <v>1653</v>
      </c>
      <c r="H1717" t="n">
        <v>39.7837776975878</v>
      </c>
      <c r="I1717" t="n">
        <v>-104.942469902783</v>
      </c>
      <c r="J1717" t="s">
        <v>35</v>
      </c>
      <c r="K1717" t="s">
        <v>133</v>
      </c>
      <c r="L1717"/>
      <c r="M1717" t="n">
        <v>1966</v>
      </c>
      <c r="N1717" t="n">
        <v>1990</v>
      </c>
      <c r="O1717" t="s">
        <v>351</v>
      </c>
      <c r="P1717" t="n">
        <v>6</v>
      </c>
      <c r="Q1717" t="n">
        <v>4</v>
      </c>
      <c r="R1717" t="n">
        <v>1</v>
      </c>
      <c r="S1717" t="n">
        <v>1935</v>
      </c>
      <c r="T1717" t="s">
        <v>11327</v>
      </c>
      <c r="U1717" t="s">
        <v>11328</v>
      </c>
      <c r="V1717" t="s">
        <v>74</v>
      </c>
      <c r="W1717"/>
      <c r="X1717"/>
      <c r="Y1717"/>
      <c r="Z1717"/>
      <c r="AA1717" t="s">
        <v>11329</v>
      </c>
      <c r="AB1717"/>
      <c r="AC1717"/>
      <c r="AD1717"/>
      <c r="AE1717"/>
      <c r="AF1717" t="s">
        <v>11330</v>
      </c>
      <c r="AG1717" t="n">
        <v>62</v>
      </c>
    </row>
    <row r="1718">
      <c r="A1718" t="s">
        <v>11331</v>
      </c>
      <c r="B1718" t="s">
        <v>30</v>
      </c>
      <c r="C1718" t="s">
        <v>24</v>
      </c>
      <c r="D1718" t="s">
        <v>11332</v>
      </c>
      <c r="E1718" t="s">
        <v>79</v>
      </c>
      <c r="F1718" t="s">
        <v>1274</v>
      </c>
      <c r="G1718"/>
      <c r="H1718" t="n">
        <v>39.7261564667928</v>
      </c>
      <c r="I1718" t="n">
        <v>-104.987431478316</v>
      </c>
      <c r="J1718" t="s">
        <v>4109</v>
      </c>
      <c r="K1718" t="s">
        <v>5547</v>
      </c>
      <c r="L1718"/>
      <c r="M1718" t="n">
        <v>1966</v>
      </c>
      <c r="N1718" t="n">
        <v>1980</v>
      </c>
      <c r="O1718" t="s">
        <v>1556</v>
      </c>
      <c r="P1718" t="n">
        <v>3</v>
      </c>
      <c r="Q1718" t="n">
        <v>2</v>
      </c>
      <c r="R1718" t="n">
        <v>1</v>
      </c>
      <c r="S1718" t="n">
        <v>1918</v>
      </c>
      <c r="T1718" t="s">
        <v>11333</v>
      </c>
      <c r="U1718" t="s">
        <v>11334</v>
      </c>
      <c r="V1718" t="s">
        <v>74</v>
      </c>
      <c r="W1718"/>
      <c r="X1718"/>
      <c r="Y1718"/>
      <c r="Z1718"/>
      <c r="AA1718" t="s">
        <v>11335</v>
      </c>
      <c r="AB1718" t="s">
        <v>11336</v>
      </c>
      <c r="AC1718" t="n">
        <v>124</v>
      </c>
      <c r="AD1718"/>
      <c r="AE1718"/>
      <c r="AF1718" t="s">
        <v>11337</v>
      </c>
      <c r="AG1718" t="n">
        <v>113</v>
      </c>
    </row>
    <row r="1719">
      <c r="A1719" t="s">
        <v>11338</v>
      </c>
      <c r="B1719" t="s">
        <v>30</v>
      </c>
      <c r="C1719" t="s">
        <v>65</v>
      </c>
      <c r="D1719" t="s">
        <v>11339</v>
      </c>
      <c r="E1719" t="s">
        <v>79</v>
      </c>
      <c r="F1719" t="s">
        <v>1274</v>
      </c>
      <c r="G1719" t="s">
        <v>1653</v>
      </c>
      <c r="H1719" t="n">
        <v>39.7732165804918</v>
      </c>
      <c r="I1719" t="n">
        <v>-104.924613825662</v>
      </c>
      <c r="J1719" t="s">
        <v>35</v>
      </c>
      <c r="K1719" t="s">
        <v>89</v>
      </c>
      <c r="L1719"/>
      <c r="M1719" t="n">
        <v>1966</v>
      </c>
      <c r="N1719" t="n">
        <v>1992</v>
      </c>
      <c r="O1719" t="s">
        <v>1016</v>
      </c>
      <c r="P1719" t="n">
        <v>9</v>
      </c>
      <c r="Q1719" t="n">
        <v>7</v>
      </c>
      <c r="R1719" t="n">
        <v>1</v>
      </c>
      <c r="S1719" t="n">
        <v>1890</v>
      </c>
      <c r="T1719" t="s">
        <v>11340</v>
      </c>
      <c r="U1719" t="s">
        <v>11341</v>
      </c>
      <c r="V1719" t="s">
        <v>74</v>
      </c>
      <c r="W1719"/>
      <c r="X1719"/>
      <c r="Y1719"/>
      <c r="Z1719"/>
      <c r="AA1719" t="s">
        <v>11342</v>
      </c>
      <c r="AB1719"/>
      <c r="AC1719"/>
      <c r="AD1719" t="s">
        <v>11343</v>
      </c>
      <c r="AE1719" t="n">
        <v>202</v>
      </c>
      <c r="AF1719" t="s">
        <v>11344</v>
      </c>
      <c r="AG1719" t="n">
        <v>69</v>
      </c>
    </row>
    <row r="1720">
      <c r="A1720" t="s">
        <v>11345</v>
      </c>
      <c r="B1720" t="s">
        <v>30</v>
      </c>
      <c r="C1720" t="s">
        <v>24</v>
      </c>
      <c r="D1720" t="s">
        <v>11346</v>
      </c>
      <c r="E1720" t="s">
        <v>79</v>
      </c>
      <c r="F1720" t="s">
        <v>1274</v>
      </c>
      <c r="G1720" t="s">
        <v>1653</v>
      </c>
      <c r="H1720" t="n">
        <v>39.711113</v>
      </c>
      <c r="I1720" t="n">
        <v>-104.960553</v>
      </c>
      <c r="J1720" t="s">
        <v>4109</v>
      </c>
      <c r="K1720" t="s">
        <v>89</v>
      </c>
      <c r="L1720"/>
      <c r="M1720" t="n">
        <v>1967</v>
      </c>
      <c r="N1720" t="n">
        <v>1967</v>
      </c>
      <c r="O1720" t="s">
        <v>388</v>
      </c>
      <c r="P1720" t="n">
        <v>1</v>
      </c>
      <c r="Q1720" t="n">
        <v>1</v>
      </c>
      <c r="R1720" t="n">
        <v>1</v>
      </c>
      <c r="S1720" t="n">
        <v>1923</v>
      </c>
      <c r="T1720" t="s">
        <v>11347</v>
      </c>
      <c r="U1720" t="s">
        <v>11348</v>
      </c>
      <c r="V1720" t="s">
        <v>74</v>
      </c>
      <c r="W1720"/>
      <c r="X1720"/>
      <c r="Y1720"/>
      <c r="Z1720"/>
      <c r="AA1720" t="s">
        <v>11349</v>
      </c>
      <c r="AB1720"/>
      <c r="AC1720"/>
      <c r="AD1720"/>
      <c r="AE1720"/>
      <c r="AF1720"/>
      <c r="AG1720"/>
    </row>
    <row r="1721">
      <c r="A1721" t="s">
        <v>11350</v>
      </c>
      <c r="B1721" t="s">
        <v>30</v>
      </c>
      <c r="C1721" t="s">
        <v>65</v>
      </c>
      <c r="D1721" t="s">
        <v>11351</v>
      </c>
      <c r="E1721" t="s">
        <v>79</v>
      </c>
      <c r="F1721" t="s">
        <v>1274</v>
      </c>
      <c r="G1721" t="s">
        <v>1509</v>
      </c>
      <c r="H1721" t="n">
        <v>39.7546076580717</v>
      </c>
      <c r="I1721" t="n">
        <v>-105.010142785667</v>
      </c>
      <c r="J1721" t="s">
        <v>35</v>
      </c>
      <c r="K1721" t="s">
        <v>89</v>
      </c>
      <c r="L1721"/>
      <c r="M1721" t="n">
        <v>1967</v>
      </c>
      <c r="N1721" t="n">
        <v>1983</v>
      </c>
      <c r="O1721" t="s">
        <v>7821</v>
      </c>
      <c r="P1721" t="n">
        <v>6</v>
      </c>
      <c r="Q1721" t="n">
        <v>1</v>
      </c>
      <c r="R1721" t="n">
        <v>1</v>
      </c>
      <c r="S1721" t="n">
        <v>1957</v>
      </c>
      <c r="T1721" t="s">
        <v>11352</v>
      </c>
      <c r="U1721" t="s">
        <v>11353</v>
      </c>
      <c r="V1721" t="s">
        <v>74</v>
      </c>
      <c r="W1721"/>
      <c r="X1721"/>
      <c r="Y1721"/>
      <c r="Z1721"/>
      <c r="AA1721" t="s">
        <v>11354</v>
      </c>
      <c r="AB1721" t="s">
        <v>11355</v>
      </c>
      <c r="AC1721" t="n">
        <v>249</v>
      </c>
      <c r="AD1721"/>
      <c r="AE1721"/>
      <c r="AF1721" t="s">
        <v>7408</v>
      </c>
      <c r="AG1721" t="n">
        <v>133</v>
      </c>
    </row>
    <row r="1722">
      <c r="A1722" t="s">
        <v>11356</v>
      </c>
      <c r="B1722" t="s">
        <v>30</v>
      </c>
      <c r="C1722" t="s">
        <v>65</v>
      </c>
      <c r="D1722" t="s">
        <v>11357</v>
      </c>
      <c r="E1722" t="s">
        <v>79</v>
      </c>
      <c r="F1722" t="s">
        <v>1274</v>
      </c>
      <c r="G1722" t="s">
        <v>1691</v>
      </c>
      <c r="H1722" t="n">
        <v>39.6792776588404</v>
      </c>
      <c r="I1722" t="n">
        <v>-104.922269016418</v>
      </c>
      <c r="J1722" t="s">
        <v>35</v>
      </c>
      <c r="K1722" t="s">
        <v>70</v>
      </c>
      <c r="L1722"/>
      <c r="M1722" t="n">
        <v>1967</v>
      </c>
      <c r="N1722" t="n">
        <v>1990</v>
      </c>
      <c r="O1722" t="s">
        <v>8389</v>
      </c>
      <c r="P1722" t="n">
        <v>6</v>
      </c>
      <c r="Q1722" t="n">
        <v>2</v>
      </c>
      <c r="R1722" t="n">
        <v>1</v>
      </c>
      <c r="S1722" t="n">
        <v>1954</v>
      </c>
      <c r="T1722" t="s">
        <v>11358</v>
      </c>
      <c r="U1722" t="s">
        <v>11359</v>
      </c>
      <c r="V1722" t="s">
        <v>74</v>
      </c>
      <c r="W1722"/>
      <c r="X1722"/>
      <c r="Y1722"/>
      <c r="Z1722"/>
      <c r="AA1722" t="s">
        <v>11360</v>
      </c>
      <c r="AB1722" t="s">
        <v>8164</v>
      </c>
      <c r="AC1722" t="n">
        <v>210</v>
      </c>
      <c r="AD1722"/>
      <c r="AE1722"/>
      <c r="AF1722" t="s">
        <v>11361</v>
      </c>
      <c r="AG1722" t="n">
        <v>85</v>
      </c>
    </row>
    <row r="1723">
      <c r="A1723" t="s">
        <v>11362</v>
      </c>
      <c r="B1723" t="s">
        <v>30</v>
      </c>
      <c r="C1723" t="s">
        <v>24</v>
      </c>
      <c r="D1723" t="s">
        <v>11363</v>
      </c>
      <c r="E1723" t="s">
        <v>79</v>
      </c>
      <c r="F1723" t="s">
        <v>1274</v>
      </c>
      <c r="G1723"/>
      <c r="H1723" t="n">
        <v>39.7718573194684</v>
      </c>
      <c r="I1723" t="n">
        <v>-104.907679680296</v>
      </c>
      <c r="J1723" t="s">
        <v>4109</v>
      </c>
      <c r="K1723" t="s">
        <v>133</v>
      </c>
      <c r="L1723"/>
      <c r="M1723" t="n">
        <v>1967</v>
      </c>
      <c r="N1723" t="n">
        <v>1980</v>
      </c>
      <c r="O1723" t="s">
        <v>2779</v>
      </c>
      <c r="P1723" t="n">
        <v>5</v>
      </c>
      <c r="Q1723" t="n">
        <v>4</v>
      </c>
      <c r="R1723" t="n">
        <v>1</v>
      </c>
      <c r="S1723" t="n">
        <v>1956</v>
      </c>
      <c r="T1723" t="s">
        <v>11364</v>
      </c>
      <c r="U1723" t="s">
        <v>11365</v>
      </c>
      <c r="V1723" t="s">
        <v>74</v>
      </c>
      <c r="W1723"/>
      <c r="X1723"/>
      <c r="Y1723"/>
      <c r="Z1723"/>
      <c r="AA1723" t="s">
        <v>11366</v>
      </c>
      <c r="AB1723" t="s">
        <v>5039</v>
      </c>
      <c r="AC1723" t="n">
        <v>207</v>
      </c>
      <c r="AD1723" t="s">
        <v>5040</v>
      </c>
      <c r="AE1723" t="n">
        <v>178</v>
      </c>
      <c r="AF1723" t="s">
        <v>5041</v>
      </c>
      <c r="AG1723" t="n">
        <v>64</v>
      </c>
    </row>
    <row r="1724">
      <c r="A1724" t="s">
        <v>11367</v>
      </c>
      <c r="B1724" t="s">
        <v>30</v>
      </c>
      <c r="C1724" t="s">
        <v>65</v>
      </c>
      <c r="D1724" t="s">
        <v>11368</v>
      </c>
      <c r="E1724" t="s">
        <v>79</v>
      </c>
      <c r="F1724" t="s">
        <v>1274</v>
      </c>
      <c r="G1724" t="s">
        <v>1881</v>
      </c>
      <c r="H1724" t="n">
        <v>39.7725861073668</v>
      </c>
      <c r="I1724" t="n">
        <v>-104.894099056884</v>
      </c>
      <c r="J1724" t="s">
        <v>35</v>
      </c>
      <c r="K1724" t="s">
        <v>201</v>
      </c>
      <c r="L1724"/>
      <c r="M1724" t="n">
        <v>1967</v>
      </c>
      <c r="N1724" t="n">
        <v>1970</v>
      </c>
      <c r="O1724" t="s">
        <v>3494</v>
      </c>
      <c r="P1724" t="n">
        <v>3</v>
      </c>
      <c r="Q1724" t="n">
        <v>3</v>
      </c>
      <c r="R1724" t="n">
        <v>3</v>
      </c>
      <c r="S1724" t="n">
        <v>1949</v>
      </c>
      <c r="T1724" t="s">
        <v>11369</v>
      </c>
      <c r="U1724" t="s">
        <v>11370</v>
      </c>
      <c r="V1724" t="s">
        <v>74</v>
      </c>
      <c r="W1724"/>
      <c r="X1724"/>
      <c r="Y1724"/>
      <c r="Z1724"/>
      <c r="AA1724" t="s">
        <v>11371</v>
      </c>
      <c r="AB1724" t="s">
        <v>8294</v>
      </c>
      <c r="AC1724" t="n">
        <v>142</v>
      </c>
      <c r="AD1724" t="s">
        <v>1884</v>
      </c>
      <c r="AE1724" t="n">
        <v>161</v>
      </c>
      <c r="AF1724" t="s">
        <v>7507</v>
      </c>
      <c r="AG1724" t="n">
        <v>55</v>
      </c>
    </row>
    <row r="1725">
      <c r="A1725" t="s">
        <v>11372</v>
      </c>
      <c r="B1725" t="s">
        <v>30</v>
      </c>
      <c r="C1725" t="s">
        <v>24</v>
      </c>
      <c r="D1725" t="s">
        <v>11373</v>
      </c>
      <c r="E1725" t="s">
        <v>79</v>
      </c>
      <c r="F1725" t="s">
        <v>1274</v>
      </c>
      <c r="G1725" t="s">
        <v>1555</v>
      </c>
      <c r="H1725" t="n">
        <v>39.7274403887021</v>
      </c>
      <c r="I1725" t="n">
        <v>-105.019849184143</v>
      </c>
      <c r="J1725" t="s">
        <v>4109</v>
      </c>
      <c r="K1725" t="s">
        <v>527</v>
      </c>
      <c r="L1725" t="s">
        <v>2814</v>
      </c>
      <c r="M1725" t="n">
        <v>1967</v>
      </c>
      <c r="N1725" t="n">
        <v>1983</v>
      </c>
      <c r="O1725" t="s">
        <v>11374</v>
      </c>
      <c r="P1725" t="n">
        <v>6</v>
      </c>
      <c r="Q1725" t="n">
        <v>3</v>
      </c>
      <c r="R1725" t="n">
        <v>2</v>
      </c>
      <c r="S1725" t="n">
        <v>1954</v>
      </c>
      <c r="T1725" t="s">
        <v>11375</v>
      </c>
      <c r="U1725" t="s">
        <v>11376</v>
      </c>
      <c r="V1725" t="s">
        <v>74</v>
      </c>
      <c r="W1725"/>
      <c r="X1725"/>
      <c r="Y1725"/>
      <c r="Z1725"/>
      <c r="AA1725" t="s">
        <v>11377</v>
      </c>
      <c r="AB1725"/>
      <c r="AC1725"/>
      <c r="AD1725"/>
      <c r="AE1725"/>
      <c r="AF1725" t="s">
        <v>11378</v>
      </c>
      <c r="AG1725" t="n">
        <v>72</v>
      </c>
    </row>
    <row r="1726">
      <c r="A1726" t="s">
        <v>11379</v>
      </c>
      <c r="B1726" t="s">
        <v>30</v>
      </c>
      <c r="C1726" t="s">
        <v>24</v>
      </c>
      <c r="D1726" t="s">
        <v>11380</v>
      </c>
      <c r="E1726" t="s">
        <v>79</v>
      </c>
      <c r="F1726" t="s">
        <v>1274</v>
      </c>
      <c r="G1726" t="s">
        <v>1555</v>
      </c>
      <c r="H1726" t="n">
        <v>39.7268373112058</v>
      </c>
      <c r="I1726" t="n">
        <v>-105.001600730582</v>
      </c>
      <c r="J1726" t="s">
        <v>4109</v>
      </c>
      <c r="K1726" t="s">
        <v>1639</v>
      </c>
      <c r="L1726"/>
      <c r="M1726" t="n">
        <v>1967</v>
      </c>
      <c r="N1726" t="n">
        <v>1988</v>
      </c>
      <c r="O1726" t="s">
        <v>11381</v>
      </c>
      <c r="P1726" t="n">
        <v>4</v>
      </c>
      <c r="Q1726" t="n">
        <v>3</v>
      </c>
      <c r="R1726" t="n">
        <v>3</v>
      </c>
      <c r="S1726" t="n">
        <v>1963</v>
      </c>
      <c r="T1726" t="s">
        <v>11382</v>
      </c>
      <c r="U1726" t="s">
        <v>11383</v>
      </c>
      <c r="V1726" t="s">
        <v>74</v>
      </c>
      <c r="W1726"/>
      <c r="X1726"/>
      <c r="Y1726"/>
      <c r="Z1726"/>
      <c r="AA1726" t="s">
        <v>11384</v>
      </c>
      <c r="AB1726" t="s">
        <v>2075</v>
      </c>
      <c r="AC1726" t="n">
        <v>237</v>
      </c>
      <c r="AD1726"/>
      <c r="AE1726"/>
      <c r="AF1726" t="s">
        <v>11385</v>
      </c>
      <c r="AG1726" t="n">
        <v>107</v>
      </c>
    </row>
    <row r="1727">
      <c r="A1727" t="s">
        <v>11386</v>
      </c>
      <c r="B1727" t="s">
        <v>30</v>
      </c>
      <c r="C1727" t="s">
        <v>65</v>
      </c>
      <c r="D1727" t="s">
        <v>11387</v>
      </c>
      <c r="E1727" t="s">
        <v>79</v>
      </c>
      <c r="F1727" t="s">
        <v>1274</v>
      </c>
      <c r="G1727" t="s">
        <v>1691</v>
      </c>
      <c r="H1727" t="n">
        <v>39.6748691446541</v>
      </c>
      <c r="I1727" t="n">
        <v>-104.896999459119</v>
      </c>
      <c r="J1727" t="s">
        <v>35</v>
      </c>
      <c r="K1727" t="s">
        <v>120</v>
      </c>
      <c r="L1727"/>
      <c r="M1727" t="n">
        <v>1968</v>
      </c>
      <c r="N1727" t="n">
        <v>1970</v>
      </c>
      <c r="O1727" t="s">
        <v>1349</v>
      </c>
      <c r="P1727" t="n">
        <v>2</v>
      </c>
      <c r="Q1727" t="n">
        <v>1</v>
      </c>
      <c r="R1727" t="n">
        <v>1</v>
      </c>
      <c r="S1727" t="n">
        <v>1951</v>
      </c>
      <c r="T1727" t="s">
        <v>11388</v>
      </c>
      <c r="U1727" t="s">
        <v>11389</v>
      </c>
      <c r="V1727" t="s">
        <v>74</v>
      </c>
      <c r="W1727"/>
      <c r="X1727"/>
      <c r="Y1727"/>
      <c r="Z1727"/>
      <c r="AA1727" t="s">
        <v>11390</v>
      </c>
      <c r="AB1727"/>
      <c r="AC1727"/>
      <c r="AD1727"/>
      <c r="AE1727"/>
      <c r="AF1727" t="s">
        <v>2044</v>
      </c>
      <c r="AG1727" t="n">
        <v>102</v>
      </c>
    </row>
    <row r="1728">
      <c r="A1728" t="s">
        <v>11391</v>
      </c>
      <c r="B1728" t="s">
        <v>30</v>
      </c>
      <c r="C1728" t="s">
        <v>65</v>
      </c>
      <c r="D1728" t="s">
        <v>11392</v>
      </c>
      <c r="E1728" t="s">
        <v>79</v>
      </c>
      <c r="F1728" t="s">
        <v>1274</v>
      </c>
      <c r="G1728" t="s">
        <v>1516</v>
      </c>
      <c r="H1728" t="n">
        <v>39.6949372232145</v>
      </c>
      <c r="I1728" t="n">
        <v>-105.001528182356</v>
      </c>
      <c r="J1728" t="s">
        <v>35</v>
      </c>
      <c r="K1728" t="s">
        <v>120</v>
      </c>
      <c r="L1728"/>
      <c r="M1728" t="n">
        <v>1968</v>
      </c>
      <c r="N1728" t="n">
        <v>1970</v>
      </c>
      <c r="O1728" t="s">
        <v>1587</v>
      </c>
      <c r="P1728" t="n">
        <v>2</v>
      </c>
      <c r="Q1728" t="n">
        <v>1</v>
      </c>
      <c r="R1728" t="n">
        <v>1</v>
      </c>
      <c r="S1728" t="n">
        <v>1967</v>
      </c>
      <c r="T1728" t="s">
        <v>11393</v>
      </c>
      <c r="U1728" t="s">
        <v>11394</v>
      </c>
      <c r="V1728" t="s">
        <v>74</v>
      </c>
      <c r="W1728"/>
      <c r="X1728"/>
      <c r="Y1728"/>
      <c r="Z1728"/>
      <c r="AA1728" t="s">
        <v>11395</v>
      </c>
      <c r="AB1728"/>
      <c r="AC1728"/>
      <c r="AD1728" t="s">
        <v>1565</v>
      </c>
      <c r="AE1728" t="n">
        <v>172</v>
      </c>
      <c r="AF1728" t="s">
        <v>11396</v>
      </c>
      <c r="AG1728" t="n">
        <v>73</v>
      </c>
    </row>
    <row r="1729">
      <c r="A1729" t="s">
        <v>11397</v>
      </c>
      <c r="B1729" t="s">
        <v>30</v>
      </c>
      <c r="C1729" t="s">
        <v>24</v>
      </c>
      <c r="D1729" t="s">
        <v>11398</v>
      </c>
      <c r="E1729" t="s">
        <v>79</v>
      </c>
      <c r="F1729" t="s">
        <v>1274</v>
      </c>
      <c r="G1729" t="s">
        <v>1509</v>
      </c>
      <c r="H1729" t="n">
        <v>39.7212780797828</v>
      </c>
      <c r="I1729" t="n">
        <v>-104.959435155686</v>
      </c>
      <c r="J1729" t="s">
        <v>4109</v>
      </c>
      <c r="K1729" t="s">
        <v>315</v>
      </c>
      <c r="L1729"/>
      <c r="M1729" t="n">
        <v>1968</v>
      </c>
      <c r="N1729" t="n">
        <v>1992</v>
      </c>
      <c r="O1729" t="s">
        <v>121</v>
      </c>
      <c r="P1729" t="n">
        <v>10</v>
      </c>
      <c r="Q1729" t="n">
        <v>6</v>
      </c>
      <c r="R1729" t="n">
        <v>1</v>
      </c>
      <c r="S1729" t="n">
        <v>1906</v>
      </c>
      <c r="T1729" t="s">
        <v>11399</v>
      </c>
      <c r="U1729" t="s">
        <v>11400</v>
      </c>
      <c r="V1729" t="s">
        <v>74</v>
      </c>
      <c r="W1729"/>
      <c r="X1729"/>
      <c r="Y1729"/>
      <c r="Z1729"/>
      <c r="AA1729" t="s">
        <v>11401</v>
      </c>
      <c r="AB1729"/>
      <c r="AC1729"/>
      <c r="AD1729"/>
      <c r="AE1729"/>
      <c r="AF1729" t="s">
        <v>11402</v>
      </c>
      <c r="AG1729" t="n">
        <v>131</v>
      </c>
    </row>
    <row r="1730">
      <c r="A1730" t="s">
        <v>11403</v>
      </c>
      <c r="B1730" t="s">
        <v>30</v>
      </c>
      <c r="C1730" t="s">
        <v>65</v>
      </c>
      <c r="D1730" t="s">
        <v>11404</v>
      </c>
      <c r="E1730" t="s">
        <v>79</v>
      </c>
      <c r="F1730" t="s">
        <v>1274</v>
      </c>
      <c r="G1730" t="s">
        <v>1881</v>
      </c>
      <c r="H1730" t="n">
        <v>39.7714235222412</v>
      </c>
      <c r="I1730" t="n">
        <v>-104.924760760924</v>
      </c>
      <c r="J1730" t="s">
        <v>35</v>
      </c>
      <c r="K1730" t="s">
        <v>70</v>
      </c>
      <c r="L1730"/>
      <c r="M1730" t="n">
        <v>1968</v>
      </c>
      <c r="N1730" t="n">
        <v>1990</v>
      </c>
      <c r="O1730" t="s">
        <v>2874</v>
      </c>
      <c r="P1730" t="n">
        <v>8</v>
      </c>
      <c r="Q1730" t="n">
        <v>4</v>
      </c>
      <c r="R1730" t="n">
        <v>3</v>
      </c>
      <c r="S1730" t="n">
        <v>1953</v>
      </c>
      <c r="T1730" t="s">
        <v>11405</v>
      </c>
      <c r="U1730" t="s">
        <v>11406</v>
      </c>
      <c r="V1730" t="s">
        <v>74</v>
      </c>
      <c r="W1730"/>
      <c r="X1730"/>
      <c r="Y1730"/>
      <c r="Z1730"/>
      <c r="AA1730" t="s">
        <v>11407</v>
      </c>
      <c r="AB1730" t="s">
        <v>8072</v>
      </c>
      <c r="AC1730" t="n">
        <v>237</v>
      </c>
      <c r="AD1730" t="s">
        <v>11408</v>
      </c>
      <c r="AE1730" t="n">
        <v>233</v>
      </c>
      <c r="AF1730" t="s">
        <v>11409</v>
      </c>
      <c r="AG1730" t="n">
        <v>45</v>
      </c>
    </row>
    <row r="1731">
      <c r="A1731" t="s">
        <v>11410</v>
      </c>
      <c r="B1731" t="s">
        <v>30</v>
      </c>
      <c r="C1731" t="s">
        <v>65</v>
      </c>
      <c r="D1731" t="s">
        <v>11411</v>
      </c>
      <c r="E1731" t="s">
        <v>79</v>
      </c>
      <c r="F1731" t="s">
        <v>1274</v>
      </c>
      <c r="G1731" t="s">
        <v>1691</v>
      </c>
      <c r="H1731" t="n">
        <v>39.67924</v>
      </c>
      <c r="I1731" t="n">
        <v>-104.923895</v>
      </c>
      <c r="J1731" t="s">
        <v>35</v>
      </c>
      <c r="K1731" t="s">
        <v>81</v>
      </c>
      <c r="L1731"/>
      <c r="M1731" t="n">
        <v>1968</v>
      </c>
      <c r="N1731" t="n">
        <v>1990</v>
      </c>
      <c r="O1731" t="s">
        <v>11412</v>
      </c>
      <c r="P1731" t="n">
        <v>7</v>
      </c>
      <c r="Q1731" t="n">
        <v>3</v>
      </c>
      <c r="R1731" t="n">
        <v>2</v>
      </c>
      <c r="S1731" t="n">
        <v>1957</v>
      </c>
      <c r="T1731" t="s">
        <v>11413</v>
      </c>
      <c r="U1731" t="s">
        <v>11414</v>
      </c>
      <c r="V1731" t="s">
        <v>74</v>
      </c>
      <c r="W1731"/>
      <c r="X1731"/>
      <c r="Y1731"/>
      <c r="Z1731"/>
      <c r="AA1731" t="s">
        <v>11415</v>
      </c>
      <c r="AB1731"/>
      <c r="AC1731"/>
      <c r="AD1731"/>
      <c r="AE1731"/>
      <c r="AF1731" t="s">
        <v>11361</v>
      </c>
      <c r="AG1731" t="n">
        <v>54</v>
      </c>
    </row>
    <row r="1732">
      <c r="A1732" t="s">
        <v>11416</v>
      </c>
      <c r="B1732" t="s">
        <v>30</v>
      </c>
      <c r="C1732" t="s">
        <v>65</v>
      </c>
      <c r="D1732" t="s">
        <v>11417</v>
      </c>
      <c r="E1732" t="s">
        <v>79</v>
      </c>
      <c r="F1732" t="s">
        <v>1274</v>
      </c>
      <c r="G1732" t="s">
        <v>1516</v>
      </c>
      <c r="H1732" t="n">
        <v>39.718396</v>
      </c>
      <c r="I1732" t="n">
        <v>-104.999289571429</v>
      </c>
      <c r="J1732" t="s">
        <v>35</v>
      </c>
      <c r="K1732" t="s">
        <v>70</v>
      </c>
      <c r="L1732"/>
      <c r="M1732" t="n">
        <v>1970</v>
      </c>
      <c r="N1732" t="n">
        <v>1970</v>
      </c>
      <c r="O1732" t="s">
        <v>726</v>
      </c>
      <c r="P1732" t="n">
        <v>1</v>
      </c>
      <c r="Q1732" t="n">
        <v>1</v>
      </c>
      <c r="R1732" t="n">
        <v>1</v>
      </c>
      <c r="S1732" t="n">
        <v>1953</v>
      </c>
      <c r="T1732" t="s">
        <v>11418</v>
      </c>
      <c r="U1732" t="s">
        <v>11419</v>
      </c>
      <c r="V1732" t="s">
        <v>74</v>
      </c>
      <c r="W1732"/>
      <c r="X1732"/>
      <c r="Y1732"/>
      <c r="Z1732"/>
      <c r="AA1732" t="s">
        <v>11420</v>
      </c>
      <c r="AB1732"/>
      <c r="AC1732"/>
      <c r="AD1732"/>
      <c r="AE1732"/>
      <c r="AF1732" t="s">
        <v>11421</v>
      </c>
      <c r="AG1732" t="n">
        <v>89</v>
      </c>
    </row>
    <row r="1733">
      <c r="A1733" t="s">
        <v>11422</v>
      </c>
      <c r="B1733" t="s">
        <v>30</v>
      </c>
      <c r="C1733" t="s">
        <v>65</v>
      </c>
      <c r="D1733" t="s">
        <v>11423</v>
      </c>
      <c r="E1733" t="s">
        <v>79</v>
      </c>
      <c r="F1733" t="s">
        <v>1274</v>
      </c>
      <c r="G1733" t="s">
        <v>1653</v>
      </c>
      <c r="H1733" t="n">
        <v>39.7928718161919</v>
      </c>
      <c r="I1733" t="n">
        <v>-104.949870795748</v>
      </c>
      <c r="J1733" t="s">
        <v>35</v>
      </c>
      <c r="K1733" t="s">
        <v>141</v>
      </c>
      <c r="L1733"/>
      <c r="M1733" t="n">
        <v>1970</v>
      </c>
      <c r="N1733" t="n">
        <v>1990</v>
      </c>
      <c r="O1733" t="s">
        <v>7675</v>
      </c>
      <c r="P1733" t="n">
        <v>3</v>
      </c>
      <c r="Q1733" t="n">
        <v>3</v>
      </c>
      <c r="R1733" t="n">
        <v>3</v>
      </c>
      <c r="S1733" t="n">
        <v>1954</v>
      </c>
      <c r="T1733" t="s">
        <v>11424</v>
      </c>
      <c r="U1733" t="s">
        <v>11425</v>
      </c>
      <c r="V1733" t="s">
        <v>74</v>
      </c>
      <c r="W1733"/>
      <c r="X1733"/>
      <c r="Y1733"/>
      <c r="Z1733"/>
      <c r="AA1733" t="s">
        <v>11426</v>
      </c>
      <c r="AB1733"/>
      <c r="AC1733"/>
      <c r="AD1733"/>
      <c r="AE1733"/>
      <c r="AF1733" t="s">
        <v>3184</v>
      </c>
      <c r="AG1733" t="n">
        <v>99</v>
      </c>
    </row>
    <row r="1734">
      <c r="A1734" t="s">
        <v>11427</v>
      </c>
      <c r="B1734" t="s">
        <v>30</v>
      </c>
      <c r="C1734" t="s">
        <v>65</v>
      </c>
      <c r="D1734" t="s">
        <v>11428</v>
      </c>
      <c r="E1734" t="s">
        <v>79</v>
      </c>
      <c r="F1734" t="s">
        <v>1274</v>
      </c>
      <c r="G1734" t="s">
        <v>1691</v>
      </c>
      <c r="H1734" t="n">
        <v>39.6778559986563</v>
      </c>
      <c r="I1734" t="n">
        <v>-104.937417262875</v>
      </c>
      <c r="J1734" t="s">
        <v>35</v>
      </c>
      <c r="K1734" t="s">
        <v>141</v>
      </c>
      <c r="L1734"/>
      <c r="M1734" t="n">
        <v>1970</v>
      </c>
      <c r="N1734" t="n">
        <v>1974</v>
      </c>
      <c r="O1734" t="s">
        <v>726</v>
      </c>
      <c r="P1734" t="n">
        <v>2</v>
      </c>
      <c r="Q1734" t="n">
        <v>2</v>
      </c>
      <c r="R1734" t="n">
        <v>1</v>
      </c>
      <c r="S1734" t="n">
        <v>1958</v>
      </c>
      <c r="T1734" t="s">
        <v>11429</v>
      </c>
      <c r="U1734" t="s">
        <v>11430</v>
      </c>
      <c r="V1734" t="s">
        <v>74</v>
      </c>
      <c r="W1734"/>
      <c r="X1734"/>
      <c r="Y1734"/>
      <c r="Z1734"/>
      <c r="AA1734" t="s">
        <v>11431</v>
      </c>
      <c r="AB1734" t="s">
        <v>11432</v>
      </c>
      <c r="AC1734" t="n">
        <v>236</v>
      </c>
      <c r="AD1734"/>
      <c r="AE1734"/>
      <c r="AF1734" t="s">
        <v>11433</v>
      </c>
      <c r="AG1734" t="n">
        <v>82</v>
      </c>
    </row>
    <row r="1735">
      <c r="A1735" t="s">
        <v>11434</v>
      </c>
      <c r="B1735" t="s">
        <v>30</v>
      </c>
      <c r="C1735" t="s">
        <v>65</v>
      </c>
      <c r="D1735" t="s">
        <v>11435</v>
      </c>
      <c r="E1735" t="s">
        <v>79</v>
      </c>
      <c r="F1735" t="s">
        <v>1274</v>
      </c>
      <c r="G1735" t="s">
        <v>1691</v>
      </c>
      <c r="H1735" t="n">
        <v>39.6859791787934</v>
      </c>
      <c r="I1735" t="n">
        <v>-104.928689222951</v>
      </c>
      <c r="J1735" t="s">
        <v>35</v>
      </c>
      <c r="K1735" t="s">
        <v>89</v>
      </c>
      <c r="L1735"/>
      <c r="M1735" t="n">
        <v>1973</v>
      </c>
      <c r="N1735" t="n">
        <v>1990</v>
      </c>
      <c r="O1735" t="s">
        <v>351</v>
      </c>
      <c r="P1735" t="n">
        <v>2</v>
      </c>
      <c r="Q1735" t="n">
        <v>2</v>
      </c>
      <c r="R1735" t="n">
        <v>1</v>
      </c>
      <c r="S1735" t="n">
        <v>1969</v>
      </c>
      <c r="T1735" t="s">
        <v>11436</v>
      </c>
      <c r="U1735" t="s">
        <v>11437</v>
      </c>
      <c r="V1735" t="s">
        <v>74</v>
      </c>
      <c r="W1735"/>
      <c r="X1735"/>
      <c r="Y1735"/>
      <c r="Z1735"/>
      <c r="AA1735" t="s">
        <v>11438</v>
      </c>
      <c r="AB1735"/>
      <c r="AC1735"/>
      <c r="AD1735"/>
      <c r="AE1735"/>
      <c r="AF1735"/>
      <c r="AG1735"/>
    </row>
    <row r="1736">
      <c r="A1736" t="s">
        <v>11439</v>
      </c>
      <c r="B1736" t="s">
        <v>30</v>
      </c>
      <c r="C1736" t="s">
        <v>65</v>
      </c>
      <c r="D1736" t="s">
        <v>11440</v>
      </c>
      <c r="E1736" t="s">
        <v>79</v>
      </c>
      <c r="F1736" t="s">
        <v>1274</v>
      </c>
      <c r="G1736" t="s">
        <v>1516</v>
      </c>
      <c r="H1736" t="n">
        <v>39.6791073440233</v>
      </c>
      <c r="I1736" t="n">
        <v>-104.989958</v>
      </c>
      <c r="J1736" t="s">
        <v>35</v>
      </c>
      <c r="K1736" t="s">
        <v>120</v>
      </c>
      <c r="L1736"/>
      <c r="M1736" t="n">
        <v>1973</v>
      </c>
      <c r="N1736" t="n">
        <v>1990</v>
      </c>
      <c r="O1736" t="s">
        <v>3519</v>
      </c>
      <c r="P1736" t="n">
        <v>5</v>
      </c>
      <c r="Q1736" t="n">
        <v>3</v>
      </c>
      <c r="R1736" t="n">
        <v>1</v>
      </c>
      <c r="S1736" t="n">
        <v>1967</v>
      </c>
      <c r="T1736" t="s">
        <v>11441</v>
      </c>
      <c r="U1736" t="s">
        <v>11442</v>
      </c>
      <c r="V1736" t="s">
        <v>74</v>
      </c>
      <c r="W1736"/>
      <c r="X1736"/>
      <c r="Y1736"/>
      <c r="Z1736"/>
      <c r="AA1736" t="s">
        <v>11443</v>
      </c>
      <c r="AB1736" t="s">
        <v>11444</v>
      </c>
      <c r="AC1736" t="n">
        <v>208</v>
      </c>
      <c r="AD1736" t="s">
        <v>1431</v>
      </c>
      <c r="AE1736" t="n">
        <v>128</v>
      </c>
      <c r="AF1736" t="s">
        <v>11445</v>
      </c>
      <c r="AG1736" t="n">
        <v>101</v>
      </c>
    </row>
    <row r="1737">
      <c r="A1737" t="s">
        <v>11446</v>
      </c>
      <c r="B1737" t="s">
        <v>30</v>
      </c>
      <c r="C1737" t="s">
        <v>65</v>
      </c>
      <c r="D1737" t="s">
        <v>11447</v>
      </c>
      <c r="E1737" t="s">
        <v>79</v>
      </c>
      <c r="F1737" t="s">
        <v>1274</v>
      </c>
      <c r="G1737" t="s">
        <v>1516</v>
      </c>
      <c r="H1737" t="n">
        <v>39.68061</v>
      </c>
      <c r="I1737" t="n">
        <v>-105.004089</v>
      </c>
      <c r="J1737" t="s">
        <v>35</v>
      </c>
      <c r="K1737" t="s">
        <v>120</v>
      </c>
      <c r="L1737"/>
      <c r="M1737" t="n">
        <v>1973</v>
      </c>
      <c r="N1737" t="n">
        <v>1983</v>
      </c>
      <c r="O1737" t="s">
        <v>3993</v>
      </c>
      <c r="P1737" t="n">
        <v>2</v>
      </c>
      <c r="Q1737" t="n">
        <v>1</v>
      </c>
      <c r="R1737" t="n">
        <v>1</v>
      </c>
      <c r="S1737" t="n">
        <v>1971</v>
      </c>
      <c r="T1737" t="s">
        <v>11448</v>
      </c>
      <c r="U1737" t="s">
        <v>11449</v>
      </c>
      <c r="V1737" t="s">
        <v>74</v>
      </c>
      <c r="W1737"/>
      <c r="X1737"/>
      <c r="Y1737"/>
      <c r="Z1737"/>
      <c r="AA1737" t="s">
        <v>11450</v>
      </c>
      <c r="AB1737" t="s">
        <v>11451</v>
      </c>
      <c r="AC1737" t="n">
        <v>142</v>
      </c>
      <c r="AD1737"/>
      <c r="AE1737"/>
      <c r="AF1737" t="s">
        <v>8722</v>
      </c>
      <c r="AG1737" t="n">
        <v>111</v>
      </c>
    </row>
    <row r="1738">
      <c r="A1738" t="s">
        <v>11452</v>
      </c>
      <c r="B1738" t="s">
        <v>30</v>
      </c>
      <c r="C1738" t="s">
        <v>65</v>
      </c>
      <c r="D1738" t="s">
        <v>11453</v>
      </c>
      <c r="E1738" t="s">
        <v>79</v>
      </c>
      <c r="F1738" t="s">
        <v>1274</v>
      </c>
      <c r="G1738" t="s">
        <v>2041</v>
      </c>
      <c r="H1738" t="n">
        <v>39.6823670193194</v>
      </c>
      <c r="I1738" t="n">
        <v>-104.880286634414</v>
      </c>
      <c r="J1738" t="s">
        <v>35</v>
      </c>
      <c r="K1738" t="s">
        <v>315</v>
      </c>
      <c r="L1738"/>
      <c r="M1738" t="n">
        <v>1973</v>
      </c>
      <c r="N1738" t="n">
        <v>1974</v>
      </c>
      <c r="O1738" t="s">
        <v>127</v>
      </c>
      <c r="P1738" t="n">
        <v>2</v>
      </c>
      <c r="Q1738" t="n">
        <v>1</v>
      </c>
      <c r="R1738" t="n">
        <v>1</v>
      </c>
      <c r="S1738" t="n">
        <v>1963</v>
      </c>
      <c r="T1738" t="s">
        <v>11454</v>
      </c>
      <c r="U1738" t="s">
        <v>11455</v>
      </c>
      <c r="V1738" t="s">
        <v>74</v>
      </c>
      <c r="W1738"/>
      <c r="X1738"/>
      <c r="Y1738"/>
      <c r="Z1738"/>
      <c r="AA1738" t="s">
        <v>11456</v>
      </c>
      <c r="AB1738"/>
      <c r="AC1738"/>
      <c r="AD1738"/>
      <c r="AE1738"/>
      <c r="AF1738" t="s">
        <v>11457</v>
      </c>
      <c r="AG1738" t="n">
        <v>191</v>
      </c>
    </row>
    <row r="1739">
      <c r="A1739" t="s">
        <v>11458</v>
      </c>
      <c r="B1739" t="s">
        <v>30</v>
      </c>
      <c r="C1739" t="s">
        <v>24</v>
      </c>
      <c r="D1739" t="s">
        <v>11459</v>
      </c>
      <c r="E1739" t="s">
        <v>79</v>
      </c>
      <c r="F1739" t="s">
        <v>1274</v>
      </c>
      <c r="G1739" t="s">
        <v>1540</v>
      </c>
      <c r="H1739" t="n">
        <v>39.7768505003715</v>
      </c>
      <c r="I1739" t="n">
        <v>-105.043972766576</v>
      </c>
      <c r="J1739" t="s">
        <v>4109</v>
      </c>
      <c r="K1739" t="s">
        <v>89</v>
      </c>
      <c r="L1739"/>
      <c r="M1739" t="n">
        <v>1973</v>
      </c>
      <c r="N1739" t="n">
        <v>1980</v>
      </c>
      <c r="O1739" t="s">
        <v>255</v>
      </c>
      <c r="P1739" t="n">
        <v>2</v>
      </c>
      <c r="Q1739" t="n">
        <v>2</v>
      </c>
      <c r="R1739" t="n">
        <v>1</v>
      </c>
      <c r="S1739" t="n">
        <v>1969</v>
      </c>
      <c r="T1739" t="s">
        <v>11460</v>
      </c>
      <c r="U1739" t="s">
        <v>11461</v>
      </c>
      <c r="V1739" t="s">
        <v>74</v>
      </c>
      <c r="W1739"/>
      <c r="X1739"/>
      <c r="Y1739"/>
      <c r="Z1739"/>
      <c r="AA1739" t="s">
        <v>11462</v>
      </c>
      <c r="AB1739"/>
      <c r="AC1739"/>
      <c r="AD1739"/>
      <c r="AE1739"/>
      <c r="AF1739" t="s">
        <v>11463</v>
      </c>
      <c r="AG1739" t="n">
        <v>148</v>
      </c>
    </row>
    <row r="1740">
      <c r="A1740" t="s">
        <v>11464</v>
      </c>
      <c r="B1740" t="s">
        <v>30</v>
      </c>
      <c r="C1740" t="s">
        <v>24</v>
      </c>
      <c r="D1740" t="s">
        <v>11465</v>
      </c>
      <c r="E1740" t="s">
        <v>79</v>
      </c>
      <c r="F1740" t="s">
        <v>1274</v>
      </c>
      <c r="G1740" t="s">
        <v>1509</v>
      </c>
      <c r="H1740" t="n">
        <v>39.7311222936441</v>
      </c>
      <c r="I1740" t="n">
        <v>-104.979827132796</v>
      </c>
      <c r="J1740" t="s">
        <v>4109</v>
      </c>
      <c r="K1740" t="s">
        <v>70</v>
      </c>
      <c r="L1740"/>
      <c r="M1740" t="n">
        <v>1974</v>
      </c>
      <c r="N1740" t="n">
        <v>1974</v>
      </c>
      <c r="O1740" t="s">
        <v>210</v>
      </c>
      <c r="P1740" t="n">
        <v>1</v>
      </c>
      <c r="Q1740" t="n">
        <v>1</v>
      </c>
      <c r="R1740" t="n">
        <v>1</v>
      </c>
      <c r="S1740" t="n">
        <v>1942</v>
      </c>
      <c r="T1740" t="s">
        <v>11466</v>
      </c>
      <c r="U1740" t="s">
        <v>11467</v>
      </c>
      <c r="V1740" t="s">
        <v>74</v>
      </c>
      <c r="W1740"/>
      <c r="X1740"/>
      <c r="Y1740"/>
      <c r="Z1740"/>
      <c r="AA1740" t="s">
        <v>11468</v>
      </c>
      <c r="AB1740"/>
      <c r="AC1740"/>
      <c r="AD1740"/>
      <c r="AE1740"/>
      <c r="AF1740" t="s">
        <v>11469</v>
      </c>
      <c r="AG1740" t="n">
        <v>57</v>
      </c>
    </row>
    <row r="1741">
      <c r="A1741" t="s">
        <v>11470</v>
      </c>
      <c r="B1741" t="s">
        <v>30</v>
      </c>
      <c r="C1741" t="s">
        <v>65</v>
      </c>
      <c r="D1741" t="s">
        <v>11471</v>
      </c>
      <c r="E1741" t="s">
        <v>79</v>
      </c>
      <c r="F1741" t="s">
        <v>1274</v>
      </c>
      <c r="G1741" t="s">
        <v>1555</v>
      </c>
      <c r="H1741" t="n">
        <v>39.7584605181908</v>
      </c>
      <c r="I1741" t="n">
        <v>-105.021726676515</v>
      </c>
      <c r="J1741" t="s">
        <v>35</v>
      </c>
      <c r="K1741" t="s">
        <v>126</v>
      </c>
      <c r="L1741"/>
      <c r="M1741" t="n">
        <v>1974</v>
      </c>
      <c r="N1741" t="n">
        <v>1980</v>
      </c>
      <c r="O1741" t="s">
        <v>221</v>
      </c>
      <c r="P1741" t="n">
        <v>2</v>
      </c>
      <c r="Q1741" t="n">
        <v>2</v>
      </c>
      <c r="R1741" t="n">
        <v>2</v>
      </c>
      <c r="S1741"/>
      <c r="T1741" t="s">
        <v>11472</v>
      </c>
      <c r="U1741" t="s">
        <v>11473</v>
      </c>
      <c r="V1741" t="s">
        <v>74</v>
      </c>
      <c r="W1741"/>
      <c r="X1741"/>
      <c r="Y1741"/>
      <c r="Z1741"/>
      <c r="AA1741" t="s">
        <v>11474</v>
      </c>
      <c r="AB1741"/>
      <c r="AC1741"/>
      <c r="AD1741"/>
      <c r="AE1741"/>
      <c r="AF1741" t="s">
        <v>11475</v>
      </c>
      <c r="AG1741" t="n">
        <v>171</v>
      </c>
    </row>
    <row r="1742">
      <c r="A1742" t="s">
        <v>11476</v>
      </c>
      <c r="B1742" t="s">
        <v>30</v>
      </c>
      <c r="C1742" t="s">
        <v>24</v>
      </c>
      <c r="D1742" t="s">
        <v>11477</v>
      </c>
      <c r="E1742" t="s">
        <v>79</v>
      </c>
      <c r="F1742" t="s">
        <v>1274</v>
      </c>
      <c r="G1742" t="s">
        <v>1555</v>
      </c>
      <c r="H1742" t="n">
        <v>39.7325077259313</v>
      </c>
      <c r="I1742" t="n">
        <v>-104.992531116535</v>
      </c>
      <c r="J1742" t="s">
        <v>4109</v>
      </c>
      <c r="K1742" t="s">
        <v>70</v>
      </c>
      <c r="L1742"/>
      <c r="M1742" t="n">
        <v>1974</v>
      </c>
      <c r="N1742" t="n">
        <v>1977</v>
      </c>
      <c r="O1742" t="s">
        <v>210</v>
      </c>
      <c r="P1742" t="n">
        <v>2</v>
      </c>
      <c r="Q1742" t="n">
        <v>1</v>
      </c>
      <c r="R1742" t="n">
        <v>1</v>
      </c>
      <c r="S1742" t="n">
        <v>1925</v>
      </c>
      <c r="T1742" t="s">
        <v>11478</v>
      </c>
      <c r="U1742" t="s">
        <v>11479</v>
      </c>
      <c r="V1742" t="s">
        <v>74</v>
      </c>
      <c r="W1742"/>
      <c r="X1742"/>
      <c r="Y1742"/>
      <c r="Z1742"/>
      <c r="AA1742" t="s">
        <v>11480</v>
      </c>
      <c r="AB1742" t="s">
        <v>11481</v>
      </c>
      <c r="AC1742" t="n">
        <v>101</v>
      </c>
      <c r="AD1742"/>
      <c r="AE1742"/>
      <c r="AF1742" t="s">
        <v>11482</v>
      </c>
      <c r="AG1742" t="n">
        <v>188</v>
      </c>
    </row>
    <row r="1743">
      <c r="A1743" t="s">
        <v>11483</v>
      </c>
      <c r="B1743" t="s">
        <v>30</v>
      </c>
      <c r="C1743" t="s">
        <v>65</v>
      </c>
      <c r="D1743" t="s">
        <v>11484</v>
      </c>
      <c r="E1743" t="s">
        <v>79</v>
      </c>
      <c r="F1743" t="s">
        <v>1274</v>
      </c>
      <c r="G1743" t="s">
        <v>1881</v>
      </c>
      <c r="H1743" t="n">
        <v>39.7710813345037</v>
      </c>
      <c r="I1743" t="n">
        <v>-104.913854715998</v>
      </c>
      <c r="J1743" t="s">
        <v>35</v>
      </c>
      <c r="K1743" t="s">
        <v>133</v>
      </c>
      <c r="L1743"/>
      <c r="M1743" t="n">
        <v>1974</v>
      </c>
      <c r="N1743" t="n">
        <v>1992</v>
      </c>
      <c r="O1743" t="s">
        <v>8636</v>
      </c>
      <c r="P1743" t="n">
        <v>5</v>
      </c>
      <c r="Q1743" t="n">
        <v>1</v>
      </c>
      <c r="R1743" t="n">
        <v>1</v>
      </c>
      <c r="S1743" t="n">
        <v>1955</v>
      </c>
      <c r="T1743" t="s">
        <v>11485</v>
      </c>
      <c r="U1743" t="s">
        <v>11486</v>
      </c>
      <c r="V1743" t="s">
        <v>74</v>
      </c>
      <c r="W1743"/>
      <c r="X1743"/>
      <c r="Y1743"/>
      <c r="Z1743"/>
      <c r="AA1743" t="s">
        <v>11487</v>
      </c>
      <c r="AB1743"/>
      <c r="AC1743"/>
      <c r="AD1743"/>
      <c r="AE1743"/>
      <c r="AF1743" t="s">
        <v>11488</v>
      </c>
      <c r="AG1743" t="n">
        <v>132</v>
      </c>
    </row>
    <row r="1744">
      <c r="A1744" t="s">
        <v>11489</v>
      </c>
      <c r="B1744" t="s">
        <v>30</v>
      </c>
      <c r="C1744" t="s">
        <v>24</v>
      </c>
      <c r="D1744" t="s">
        <v>11490</v>
      </c>
      <c r="E1744" t="s">
        <v>79</v>
      </c>
      <c r="F1744" t="s">
        <v>1274</v>
      </c>
      <c r="G1744" t="s">
        <v>11156</v>
      </c>
      <c r="H1744" t="n">
        <v>39.7208481631882</v>
      </c>
      <c r="I1744" t="n">
        <v>-104.953418</v>
      </c>
      <c r="J1744" t="s">
        <v>35</v>
      </c>
      <c r="K1744" t="s">
        <v>89</v>
      </c>
      <c r="L1744"/>
      <c r="M1744" t="n">
        <v>1974</v>
      </c>
      <c r="N1744" t="n">
        <v>1977</v>
      </c>
      <c r="O1744" t="s">
        <v>228</v>
      </c>
      <c r="P1744" t="n">
        <v>2</v>
      </c>
      <c r="Q1744" t="n">
        <v>3</v>
      </c>
      <c r="R1744" t="n">
        <v>1</v>
      </c>
      <c r="S1744" t="n">
        <v>1947</v>
      </c>
      <c r="T1744" t="s">
        <v>11491</v>
      </c>
      <c r="U1744" t="s">
        <v>11492</v>
      </c>
      <c r="V1744" t="s">
        <v>4175</v>
      </c>
      <c r="W1744"/>
      <c r="X1744"/>
      <c r="Y1744"/>
      <c r="Z1744"/>
      <c r="AA1744" t="s">
        <v>11493</v>
      </c>
      <c r="AB1744"/>
      <c r="AC1744"/>
      <c r="AD1744"/>
      <c r="AE1744"/>
      <c r="AF1744" t="s">
        <v>6876</v>
      </c>
      <c r="AG1744" t="n">
        <v>198</v>
      </c>
    </row>
    <row r="1745">
      <c r="A1745" t="s">
        <v>11494</v>
      </c>
      <c r="B1745" t="s">
        <v>30</v>
      </c>
      <c r="C1745" t="s">
        <v>65</v>
      </c>
      <c r="D1745" t="s">
        <v>11495</v>
      </c>
      <c r="E1745" t="s">
        <v>79</v>
      </c>
      <c r="F1745" t="s">
        <v>1274</v>
      </c>
      <c r="G1745" t="s">
        <v>1653</v>
      </c>
      <c r="H1745" t="n">
        <v>39.7728473090881</v>
      </c>
      <c r="I1745" t="n">
        <v>-104.922314030202</v>
      </c>
      <c r="J1745" t="s">
        <v>35</v>
      </c>
      <c r="K1745" t="s">
        <v>796</v>
      </c>
      <c r="L1745"/>
      <c r="M1745" t="n">
        <v>1974</v>
      </c>
      <c r="N1745" t="n">
        <v>1992</v>
      </c>
      <c r="O1745" t="s">
        <v>1949</v>
      </c>
      <c r="P1745" t="n">
        <v>5</v>
      </c>
      <c r="Q1745" t="n">
        <v>3</v>
      </c>
      <c r="R1745" t="n">
        <v>1</v>
      </c>
      <c r="S1745" t="n">
        <v>1962</v>
      </c>
      <c r="T1745" t="s">
        <v>11496</v>
      </c>
      <c r="U1745" t="s">
        <v>11497</v>
      </c>
      <c r="V1745" t="s">
        <v>74</v>
      </c>
      <c r="W1745"/>
      <c r="X1745"/>
      <c r="Y1745"/>
      <c r="Z1745"/>
      <c r="AA1745" t="s">
        <v>11498</v>
      </c>
      <c r="AB1745"/>
      <c r="AC1745"/>
      <c r="AD1745"/>
      <c r="AE1745"/>
      <c r="AF1745" t="s">
        <v>11499</v>
      </c>
      <c r="AG1745" t="n">
        <v>49</v>
      </c>
    </row>
    <row r="1746">
      <c r="A1746" t="s">
        <v>11500</v>
      </c>
      <c r="B1746" t="s">
        <v>30</v>
      </c>
      <c r="C1746" t="s">
        <v>24</v>
      </c>
      <c r="D1746" t="s">
        <v>11501</v>
      </c>
      <c r="E1746" t="s">
        <v>79</v>
      </c>
      <c r="F1746" t="s">
        <v>1274</v>
      </c>
      <c r="G1746" t="s">
        <v>1653</v>
      </c>
      <c r="H1746" t="n">
        <v>39.862887</v>
      </c>
      <c r="I1746" t="n">
        <v>-104.977171</v>
      </c>
      <c r="J1746" t="s">
        <v>4109</v>
      </c>
      <c r="K1746" t="s">
        <v>1041</v>
      </c>
      <c r="L1746"/>
      <c r="M1746" t="n">
        <v>1977</v>
      </c>
      <c r="N1746" t="n">
        <v>1977</v>
      </c>
      <c r="O1746" t="s">
        <v>228</v>
      </c>
      <c r="P1746" t="n">
        <v>1</v>
      </c>
      <c r="Q1746" t="n">
        <v>1</v>
      </c>
      <c r="R1746" t="n">
        <v>1</v>
      </c>
      <c r="S1746" t="n">
        <v>1899</v>
      </c>
      <c r="T1746" t="s">
        <v>11502</v>
      </c>
      <c r="U1746" t="s">
        <v>11503</v>
      </c>
      <c r="V1746" t="s">
        <v>74</v>
      </c>
      <c r="W1746"/>
      <c r="X1746"/>
      <c r="Y1746"/>
      <c r="Z1746"/>
      <c r="AA1746" t="s">
        <v>11504</v>
      </c>
      <c r="AB1746"/>
      <c r="AC1746"/>
      <c r="AD1746"/>
      <c r="AE1746"/>
      <c r="AF1746"/>
      <c r="AG1746"/>
    </row>
    <row r="1747">
      <c r="A1747" t="s">
        <v>11505</v>
      </c>
      <c r="B1747" t="s">
        <v>30</v>
      </c>
      <c r="C1747" t="s">
        <v>65</v>
      </c>
      <c r="D1747" t="s">
        <v>11506</v>
      </c>
      <c r="E1747" t="s">
        <v>79</v>
      </c>
      <c r="F1747" t="s">
        <v>1274</v>
      </c>
      <c r="G1747" t="s">
        <v>1574</v>
      </c>
      <c r="H1747" t="n">
        <v>39.7586911312104</v>
      </c>
      <c r="I1747" t="n">
        <v>-104.988648078905</v>
      </c>
      <c r="J1747" t="s">
        <v>35</v>
      </c>
      <c r="K1747" t="s">
        <v>1548</v>
      </c>
      <c r="L1747"/>
      <c r="M1747" t="n">
        <v>1977</v>
      </c>
      <c r="N1747" t="n">
        <v>1990</v>
      </c>
      <c r="O1747" t="s">
        <v>1487</v>
      </c>
      <c r="P1747" t="n">
        <v>5</v>
      </c>
      <c r="Q1747" t="n">
        <v>6</v>
      </c>
      <c r="R1747" t="n">
        <v>4</v>
      </c>
      <c r="S1747" t="n">
        <v>1970</v>
      </c>
      <c r="T1747" t="s">
        <v>11507</v>
      </c>
      <c r="U1747" t="s">
        <v>11508</v>
      </c>
      <c r="V1747" t="s">
        <v>74</v>
      </c>
      <c r="W1747"/>
      <c r="X1747"/>
      <c r="Y1747"/>
      <c r="Z1747"/>
      <c r="AA1747" t="s">
        <v>11509</v>
      </c>
      <c r="AB1747" t="s">
        <v>11510</v>
      </c>
      <c r="AC1747" t="n">
        <v>108</v>
      </c>
      <c r="AD1747"/>
      <c r="AE1747"/>
      <c r="AF1747" t="s">
        <v>11511</v>
      </c>
      <c r="AG1747" t="n">
        <v>87</v>
      </c>
    </row>
    <row r="1748">
      <c r="A1748" t="s">
        <v>11512</v>
      </c>
      <c r="B1748" t="s">
        <v>30</v>
      </c>
      <c r="C1748" t="s">
        <v>24</v>
      </c>
      <c r="D1748" t="s">
        <v>11513</v>
      </c>
      <c r="E1748" t="s">
        <v>79</v>
      </c>
      <c r="F1748" t="s">
        <v>1274</v>
      </c>
      <c r="G1748" t="s">
        <v>1881</v>
      </c>
      <c r="H1748" t="n">
        <v>39.771088</v>
      </c>
      <c r="I1748" t="n">
        <v>-104.911908</v>
      </c>
      <c r="J1748" t="s">
        <v>4109</v>
      </c>
      <c r="K1748" t="s">
        <v>81</v>
      </c>
      <c r="L1748" t="s">
        <v>202</v>
      </c>
      <c r="M1748" t="n">
        <v>1977</v>
      </c>
      <c r="N1748" t="n">
        <v>1990</v>
      </c>
      <c r="O1748" t="s">
        <v>11514</v>
      </c>
      <c r="P1748" t="n">
        <v>4</v>
      </c>
      <c r="Q1748" t="n">
        <v>4</v>
      </c>
      <c r="R1748" t="n">
        <v>4</v>
      </c>
      <c r="S1748" t="n">
        <v>1973</v>
      </c>
      <c r="T1748" t="s">
        <v>11515</v>
      </c>
      <c r="U1748" t="s">
        <v>11516</v>
      </c>
      <c r="V1748" t="s">
        <v>74</v>
      </c>
      <c r="W1748"/>
      <c r="X1748"/>
      <c r="Y1748"/>
      <c r="Z1748"/>
      <c r="AA1748" t="s">
        <v>11517</v>
      </c>
      <c r="AB1748" t="s">
        <v>8729</v>
      </c>
      <c r="AC1748" t="n">
        <v>156</v>
      </c>
      <c r="AD1748"/>
      <c r="AE1748"/>
      <c r="AF1748" t="s">
        <v>8730</v>
      </c>
      <c r="AG1748" t="n">
        <v>118</v>
      </c>
    </row>
    <row r="1749">
      <c r="A1749" t="s">
        <v>11518</v>
      </c>
      <c r="B1749" t="s">
        <v>30</v>
      </c>
      <c r="C1749" t="s">
        <v>65</v>
      </c>
      <c r="D1749" t="s">
        <v>11519</v>
      </c>
      <c r="E1749" t="s">
        <v>79</v>
      </c>
      <c r="F1749" t="s">
        <v>1274</v>
      </c>
      <c r="G1749" t="s">
        <v>1702</v>
      </c>
      <c r="H1749" t="n">
        <v>39.770958</v>
      </c>
      <c r="I1749" t="n">
        <v>-104.833065</v>
      </c>
      <c r="J1749" t="s">
        <v>35</v>
      </c>
      <c r="K1749" t="s">
        <v>133</v>
      </c>
      <c r="L1749"/>
      <c r="M1749" t="n">
        <v>1977</v>
      </c>
      <c r="N1749" t="n">
        <v>1990</v>
      </c>
      <c r="O1749" t="s">
        <v>1487</v>
      </c>
      <c r="P1749" t="n">
        <v>5</v>
      </c>
      <c r="Q1749" t="n">
        <v>1</v>
      </c>
      <c r="R1749" t="n">
        <v>1</v>
      </c>
      <c r="S1749" t="n">
        <v>1965</v>
      </c>
      <c r="T1749" t="s">
        <v>11520</v>
      </c>
      <c r="U1749" t="s">
        <v>11521</v>
      </c>
      <c r="V1749" t="s">
        <v>74</v>
      </c>
      <c r="W1749"/>
      <c r="X1749"/>
      <c r="Y1749"/>
      <c r="Z1749"/>
      <c r="AA1749" t="s">
        <v>11522</v>
      </c>
      <c r="AB1749" t="s">
        <v>11523</v>
      </c>
      <c r="AC1749" t="n">
        <v>241</v>
      </c>
      <c r="AD1749"/>
      <c r="AE1749"/>
      <c r="AF1749" t="s">
        <v>11524</v>
      </c>
      <c r="AG1749" t="n">
        <v>219</v>
      </c>
    </row>
    <row r="1750">
      <c r="A1750" t="s">
        <v>11525</v>
      </c>
      <c r="B1750" t="s">
        <v>30</v>
      </c>
      <c r="C1750" t="s">
        <v>65</v>
      </c>
      <c r="D1750" t="s">
        <v>11526</v>
      </c>
      <c r="E1750" t="s">
        <v>79</v>
      </c>
      <c r="F1750" t="s">
        <v>1274</v>
      </c>
      <c r="G1750" t="s">
        <v>1702</v>
      </c>
      <c r="H1750" t="n">
        <v>39.772907</v>
      </c>
      <c r="I1750" t="n">
        <v>-104.848820656161</v>
      </c>
      <c r="J1750" t="s">
        <v>35</v>
      </c>
      <c r="K1750" t="s">
        <v>120</v>
      </c>
      <c r="L1750"/>
      <c r="M1750" t="n">
        <v>1977</v>
      </c>
      <c r="N1750" t="n">
        <v>1983</v>
      </c>
      <c r="O1750" t="s">
        <v>255</v>
      </c>
      <c r="P1750" t="n">
        <v>3</v>
      </c>
      <c r="Q1750" t="n">
        <v>1</v>
      </c>
      <c r="R1750" t="n">
        <v>1</v>
      </c>
      <c r="S1750" t="n">
        <v>1951</v>
      </c>
      <c r="T1750" t="s">
        <v>11527</v>
      </c>
      <c r="U1750" t="s">
        <v>11528</v>
      </c>
      <c r="V1750" t="s">
        <v>74</v>
      </c>
      <c r="W1750"/>
      <c r="X1750"/>
      <c r="Y1750"/>
      <c r="Z1750"/>
      <c r="AA1750" t="s">
        <v>11529</v>
      </c>
      <c r="AB1750"/>
      <c r="AC1750"/>
      <c r="AD1750"/>
      <c r="AE1750"/>
      <c r="AF1750" t="s">
        <v>11530</v>
      </c>
      <c r="AG1750" t="n">
        <v>165</v>
      </c>
    </row>
    <row r="1751">
      <c r="A1751" t="s">
        <v>11531</v>
      </c>
      <c r="B1751" t="s">
        <v>30</v>
      </c>
      <c r="C1751" t="s">
        <v>65</v>
      </c>
      <c r="D1751" t="s">
        <v>11532</v>
      </c>
      <c r="E1751" t="s">
        <v>79</v>
      </c>
      <c r="F1751" t="s">
        <v>1274</v>
      </c>
      <c r="G1751" t="s">
        <v>1540</v>
      </c>
      <c r="H1751" t="n">
        <v>39.7930588993616</v>
      </c>
      <c r="I1751" t="n">
        <v>-105.043915257617</v>
      </c>
      <c r="J1751" t="s">
        <v>35</v>
      </c>
      <c r="K1751" t="s">
        <v>81</v>
      </c>
      <c r="L1751"/>
      <c r="M1751" t="n">
        <v>1980</v>
      </c>
      <c r="N1751" t="n">
        <v>1990</v>
      </c>
      <c r="O1751" t="s">
        <v>540</v>
      </c>
      <c r="P1751" t="n">
        <v>4</v>
      </c>
      <c r="Q1751" t="n">
        <v>3</v>
      </c>
      <c r="R1751" t="n">
        <v>2</v>
      </c>
      <c r="S1751" t="n">
        <v>1976</v>
      </c>
      <c r="T1751" t="s">
        <v>11533</v>
      </c>
      <c r="U1751" t="s">
        <v>11534</v>
      </c>
      <c r="V1751" t="s">
        <v>74</v>
      </c>
      <c r="W1751"/>
      <c r="X1751"/>
      <c r="Y1751"/>
      <c r="Z1751"/>
      <c r="AA1751" t="s">
        <v>11535</v>
      </c>
      <c r="AB1751"/>
      <c r="AC1751"/>
      <c r="AD1751"/>
      <c r="AE1751"/>
      <c r="AF1751" t="s">
        <v>11536</v>
      </c>
      <c r="AG1751" t="n">
        <v>71</v>
      </c>
    </row>
    <row r="1752">
      <c r="A1752" t="s">
        <v>11537</v>
      </c>
      <c r="B1752" t="s">
        <v>30</v>
      </c>
      <c r="C1752" t="s">
        <v>24</v>
      </c>
      <c r="D1752" t="s">
        <v>11538</v>
      </c>
      <c r="E1752" t="s">
        <v>79</v>
      </c>
      <c r="F1752" t="s">
        <v>1274</v>
      </c>
      <c r="G1752" t="s">
        <v>1555</v>
      </c>
      <c r="H1752" t="n">
        <v>39.7262149693877</v>
      </c>
      <c r="I1752" t="n">
        <v>-104.998581489796</v>
      </c>
      <c r="J1752" t="s">
        <v>4109</v>
      </c>
      <c r="K1752" t="s">
        <v>2274</v>
      </c>
      <c r="L1752"/>
      <c r="M1752" t="n">
        <v>1980</v>
      </c>
      <c r="N1752" t="n">
        <v>1990</v>
      </c>
      <c r="O1752" t="s">
        <v>351</v>
      </c>
      <c r="P1752" t="n">
        <v>4</v>
      </c>
      <c r="Q1752" t="n">
        <v>2</v>
      </c>
      <c r="R1752" t="n">
        <v>1</v>
      </c>
      <c r="S1752" t="n">
        <v>1977</v>
      </c>
      <c r="T1752" t="s">
        <v>11539</v>
      </c>
      <c r="U1752" t="s">
        <v>11540</v>
      </c>
      <c r="V1752" t="s">
        <v>74</v>
      </c>
      <c r="W1752"/>
      <c r="X1752"/>
      <c r="Y1752"/>
      <c r="Z1752"/>
      <c r="AA1752" t="s">
        <v>11541</v>
      </c>
      <c r="AB1752" t="s">
        <v>2023</v>
      </c>
      <c r="AC1752" t="n">
        <v>91</v>
      </c>
      <c r="AD1752"/>
      <c r="AE1752"/>
      <c r="AF1752" t="s">
        <v>9837</v>
      </c>
      <c r="AG1752" t="n">
        <v>152</v>
      </c>
    </row>
    <row r="1753">
      <c r="A1753" t="s">
        <v>11542</v>
      </c>
      <c r="B1753" t="s">
        <v>30</v>
      </c>
      <c r="C1753" t="s">
        <v>24</v>
      </c>
      <c r="D1753" t="s">
        <v>11543</v>
      </c>
      <c r="E1753" t="s">
        <v>79</v>
      </c>
      <c r="F1753" t="s">
        <v>1274</v>
      </c>
      <c r="G1753" t="s">
        <v>1881</v>
      </c>
      <c r="H1753" t="n">
        <v>39.770253341325</v>
      </c>
      <c r="I1753" t="n">
        <v>-104.930690796425</v>
      </c>
      <c r="J1753" t="s">
        <v>4109</v>
      </c>
      <c r="K1753" t="s">
        <v>796</v>
      </c>
      <c r="L1753"/>
      <c r="M1753" t="n">
        <v>1980</v>
      </c>
      <c r="N1753" t="n">
        <v>1983</v>
      </c>
      <c r="O1753" t="s">
        <v>528</v>
      </c>
      <c r="P1753" t="n">
        <v>2</v>
      </c>
      <c r="Q1753" t="n">
        <v>1</v>
      </c>
      <c r="R1753" t="n">
        <v>1</v>
      </c>
      <c r="S1753" t="n">
        <v>1953</v>
      </c>
      <c r="T1753" t="s">
        <v>11544</v>
      </c>
      <c r="U1753" t="s">
        <v>11545</v>
      </c>
      <c r="V1753" t="s">
        <v>74</v>
      </c>
      <c r="W1753"/>
      <c r="X1753"/>
      <c r="Y1753"/>
      <c r="Z1753"/>
      <c r="AA1753" t="s">
        <v>11546</v>
      </c>
      <c r="AB1753"/>
      <c r="AC1753"/>
      <c r="AD1753" t="s">
        <v>11547</v>
      </c>
      <c r="AE1753" t="n">
        <v>219</v>
      </c>
      <c r="AF1753" t="s">
        <v>11548</v>
      </c>
      <c r="AG1753" t="n">
        <v>167</v>
      </c>
    </row>
    <row r="1754">
      <c r="A1754" t="s">
        <v>11549</v>
      </c>
      <c r="B1754" t="s">
        <v>30</v>
      </c>
      <c r="C1754" t="s">
        <v>65</v>
      </c>
      <c r="D1754" t="s">
        <v>11550</v>
      </c>
      <c r="E1754" t="s">
        <v>79</v>
      </c>
      <c r="F1754" t="s">
        <v>1274</v>
      </c>
      <c r="G1754" t="s">
        <v>1440</v>
      </c>
      <c r="H1754" t="n">
        <v>39.7819784238786</v>
      </c>
      <c r="I1754" t="n">
        <v>-105.002241163045</v>
      </c>
      <c r="J1754" t="s">
        <v>35</v>
      </c>
      <c r="K1754" t="s">
        <v>120</v>
      </c>
      <c r="L1754"/>
      <c r="M1754" t="n">
        <v>1980</v>
      </c>
      <c r="N1754" t="n">
        <v>1988</v>
      </c>
      <c r="O1754" t="s">
        <v>3312</v>
      </c>
      <c r="P1754" t="n">
        <v>3</v>
      </c>
      <c r="Q1754" t="n">
        <v>2</v>
      </c>
      <c r="R1754" t="n">
        <v>2</v>
      </c>
      <c r="S1754" t="n">
        <v>1966</v>
      </c>
      <c r="T1754" t="s">
        <v>11551</v>
      </c>
      <c r="U1754" t="s">
        <v>11552</v>
      </c>
      <c r="V1754" t="s">
        <v>74</v>
      </c>
      <c r="W1754"/>
      <c r="X1754"/>
      <c r="Y1754"/>
      <c r="Z1754"/>
      <c r="AA1754" t="s">
        <v>11553</v>
      </c>
      <c r="AB1754" t="s">
        <v>1918</v>
      </c>
      <c r="AC1754" t="n">
        <v>221</v>
      </c>
      <c r="AD1754"/>
      <c r="AE1754"/>
      <c r="AF1754" t="s">
        <v>4446</v>
      </c>
      <c r="AG1754" t="n">
        <v>67</v>
      </c>
    </row>
    <row r="1755">
      <c r="A1755" t="s">
        <v>11554</v>
      </c>
      <c r="B1755" t="s">
        <v>30</v>
      </c>
      <c r="C1755" t="s">
        <v>65</v>
      </c>
      <c r="D1755" t="s">
        <v>11555</v>
      </c>
      <c r="E1755" t="s">
        <v>79</v>
      </c>
      <c r="F1755" t="s">
        <v>1274</v>
      </c>
      <c r="G1755" t="s">
        <v>1881</v>
      </c>
      <c r="H1755" t="n">
        <v>39.7692212035636</v>
      </c>
      <c r="I1755" t="n">
        <v>-104.928124958984</v>
      </c>
      <c r="J1755" t="s">
        <v>35</v>
      </c>
      <c r="K1755" t="s">
        <v>234</v>
      </c>
      <c r="L1755"/>
      <c r="M1755" t="n">
        <v>1980</v>
      </c>
      <c r="N1755" t="n">
        <v>1990</v>
      </c>
      <c r="O1755" t="s">
        <v>540</v>
      </c>
      <c r="P1755" t="n">
        <v>4</v>
      </c>
      <c r="Q1755" t="n">
        <v>2</v>
      </c>
      <c r="R1755" t="n">
        <v>2</v>
      </c>
      <c r="S1755" t="n">
        <v>1972</v>
      </c>
      <c r="T1755" t="s">
        <v>11556</v>
      </c>
      <c r="U1755" t="s">
        <v>11557</v>
      </c>
      <c r="V1755" t="s">
        <v>74</v>
      </c>
      <c r="W1755"/>
      <c r="X1755"/>
      <c r="Y1755"/>
      <c r="Z1755"/>
      <c r="AA1755" t="s">
        <v>11558</v>
      </c>
      <c r="AB1755" t="s">
        <v>8072</v>
      </c>
      <c r="AC1755" t="n">
        <v>142</v>
      </c>
      <c r="AD1755" t="s">
        <v>8073</v>
      </c>
      <c r="AE1755" t="n">
        <v>184</v>
      </c>
      <c r="AF1755" t="s">
        <v>11559</v>
      </c>
      <c r="AG1755" t="n">
        <v>73</v>
      </c>
    </row>
    <row r="1756">
      <c r="A1756" t="s">
        <v>11560</v>
      </c>
      <c r="B1756" t="s">
        <v>30</v>
      </c>
      <c r="C1756" t="s">
        <v>65</v>
      </c>
      <c r="D1756" t="s">
        <v>11561</v>
      </c>
      <c r="E1756" t="s">
        <v>79</v>
      </c>
      <c r="F1756" t="s">
        <v>1274</v>
      </c>
      <c r="G1756" t="s">
        <v>1702</v>
      </c>
      <c r="H1756" t="n">
        <v>39.7877669093772</v>
      </c>
      <c r="I1756" t="n">
        <v>-104.863298499207</v>
      </c>
      <c r="J1756" t="s">
        <v>35</v>
      </c>
      <c r="K1756" t="s">
        <v>133</v>
      </c>
      <c r="L1756"/>
      <c r="M1756" t="n">
        <v>1980</v>
      </c>
      <c r="N1756" t="n">
        <v>1990</v>
      </c>
      <c r="O1756" t="s">
        <v>528</v>
      </c>
      <c r="P1756" t="n">
        <v>3</v>
      </c>
      <c r="Q1756" t="n">
        <v>1</v>
      </c>
      <c r="R1756" t="n">
        <v>1</v>
      </c>
      <c r="S1756" t="n">
        <v>1978</v>
      </c>
      <c r="T1756" t="s">
        <v>11562</v>
      </c>
      <c r="U1756" t="s">
        <v>11563</v>
      </c>
      <c r="V1756" t="s">
        <v>74</v>
      </c>
      <c r="W1756"/>
      <c r="X1756"/>
      <c r="Y1756"/>
      <c r="Z1756"/>
      <c r="AA1756" t="s">
        <v>11564</v>
      </c>
      <c r="AB1756" t="s">
        <v>8423</v>
      </c>
      <c r="AC1756" t="n">
        <v>247</v>
      </c>
      <c r="AD1756" t="s">
        <v>11565</v>
      </c>
      <c r="AE1756" t="n">
        <v>215</v>
      </c>
      <c r="AF1756" t="s">
        <v>11566</v>
      </c>
      <c r="AG1756" t="n">
        <v>85</v>
      </c>
    </row>
    <row r="1757">
      <c r="A1757" t="s">
        <v>11567</v>
      </c>
      <c r="B1757" t="s">
        <v>30</v>
      </c>
      <c r="C1757" t="s">
        <v>65</v>
      </c>
      <c r="D1757" t="s">
        <v>11568</v>
      </c>
      <c r="E1757" t="s">
        <v>79</v>
      </c>
      <c r="F1757" t="s">
        <v>1274</v>
      </c>
      <c r="G1757" t="s">
        <v>1702</v>
      </c>
      <c r="H1757" t="n">
        <v>39.7698954501659</v>
      </c>
      <c r="I1757" t="n">
        <v>-104.856407887589</v>
      </c>
      <c r="J1757" t="s">
        <v>35</v>
      </c>
      <c r="K1757" t="s">
        <v>1639</v>
      </c>
      <c r="L1757"/>
      <c r="M1757" t="n">
        <v>1980</v>
      </c>
      <c r="N1757" t="n">
        <v>1983</v>
      </c>
      <c r="O1757" t="s">
        <v>528</v>
      </c>
      <c r="P1757" t="n">
        <v>2</v>
      </c>
      <c r="Q1757" t="n">
        <v>2</v>
      </c>
      <c r="R1757" t="n">
        <v>2</v>
      </c>
      <c r="S1757" t="n">
        <v>1972</v>
      </c>
      <c r="T1757" t="s">
        <v>11569</v>
      </c>
      <c r="U1757" t="s">
        <v>11570</v>
      </c>
      <c r="V1757" t="s">
        <v>74</v>
      </c>
      <c r="W1757"/>
      <c r="X1757"/>
      <c r="Y1757"/>
      <c r="Z1757"/>
      <c r="AA1757" t="s">
        <v>11571</v>
      </c>
      <c r="AB1757"/>
      <c r="AC1757"/>
      <c r="AD1757" t="s">
        <v>11572</v>
      </c>
      <c r="AE1757" t="n">
        <v>166</v>
      </c>
      <c r="AF1757" t="s">
        <v>11573</v>
      </c>
      <c r="AG1757" t="n">
        <v>76</v>
      </c>
    </row>
    <row r="1758">
      <c r="A1758" t="s">
        <v>11574</v>
      </c>
      <c r="B1758" t="s">
        <v>30</v>
      </c>
      <c r="C1758" t="s">
        <v>65</v>
      </c>
      <c r="D1758" t="s">
        <v>11575</v>
      </c>
      <c r="E1758" t="s">
        <v>79</v>
      </c>
      <c r="F1758" t="s">
        <v>1274</v>
      </c>
      <c r="G1758" t="s">
        <v>1516</v>
      </c>
      <c r="H1758" t="n">
        <v>39.6807655294938</v>
      </c>
      <c r="I1758" t="n">
        <v>-104.989955623941</v>
      </c>
      <c r="J1758" t="s">
        <v>35</v>
      </c>
      <c r="K1758" t="s">
        <v>220</v>
      </c>
      <c r="L1758"/>
      <c r="M1758" t="n">
        <v>1980</v>
      </c>
      <c r="N1758" t="n">
        <v>1983</v>
      </c>
      <c r="O1758" t="s">
        <v>528</v>
      </c>
      <c r="P1758" t="n">
        <v>2</v>
      </c>
      <c r="Q1758" t="n">
        <v>2</v>
      </c>
      <c r="R1758" t="n">
        <v>2</v>
      </c>
      <c r="S1758" t="n">
        <v>1978</v>
      </c>
      <c r="T1758" t="s">
        <v>11576</v>
      </c>
      <c r="U1758" t="s">
        <v>11577</v>
      </c>
      <c r="V1758" t="s">
        <v>74</v>
      </c>
      <c r="W1758"/>
      <c r="X1758"/>
      <c r="Y1758"/>
      <c r="Z1758"/>
      <c r="AA1758" t="s">
        <v>11578</v>
      </c>
      <c r="AB1758"/>
      <c r="AC1758"/>
      <c r="AD1758"/>
      <c r="AE1758"/>
      <c r="AF1758" t="s">
        <v>11579</v>
      </c>
      <c r="AG1758" t="n">
        <v>57</v>
      </c>
    </row>
    <row r="1759">
      <c r="A1759" t="s">
        <v>11580</v>
      </c>
      <c r="B1759" t="s">
        <v>30</v>
      </c>
      <c r="C1759" t="s">
        <v>65</v>
      </c>
      <c r="D1759" t="s">
        <v>11581</v>
      </c>
      <c r="E1759" t="s">
        <v>79</v>
      </c>
      <c r="F1759" t="s">
        <v>1274</v>
      </c>
      <c r="G1759" t="s">
        <v>1702</v>
      </c>
      <c r="H1759" t="n">
        <v>39.7901332995464</v>
      </c>
      <c r="I1759" t="n">
        <v>-104.848977194514</v>
      </c>
      <c r="J1759" t="s">
        <v>35</v>
      </c>
      <c r="K1759" t="s">
        <v>70</v>
      </c>
      <c r="L1759"/>
      <c r="M1759" t="n">
        <v>1980</v>
      </c>
      <c r="N1759" t="n">
        <v>1992</v>
      </c>
      <c r="O1759" t="s">
        <v>3881</v>
      </c>
      <c r="P1759" t="n">
        <v>4</v>
      </c>
      <c r="Q1759" t="n">
        <v>3</v>
      </c>
      <c r="R1759" t="n">
        <v>2</v>
      </c>
      <c r="S1759" t="n">
        <v>1969</v>
      </c>
      <c r="T1759" t="s">
        <v>11582</v>
      </c>
      <c r="U1759" t="s">
        <v>11583</v>
      </c>
      <c r="V1759" t="s">
        <v>74</v>
      </c>
      <c r="W1759"/>
      <c r="X1759"/>
      <c r="Y1759"/>
      <c r="Z1759"/>
      <c r="AA1759" t="s">
        <v>11584</v>
      </c>
      <c r="AB1759" t="s">
        <v>2159</v>
      </c>
      <c r="AC1759" t="n">
        <v>178</v>
      </c>
      <c r="AD1759" t="s">
        <v>2160</v>
      </c>
      <c r="AE1759" t="n">
        <v>139</v>
      </c>
      <c r="AF1759" t="s">
        <v>11585</v>
      </c>
      <c r="AG1759" t="n">
        <v>139</v>
      </c>
    </row>
    <row r="1760">
      <c r="A1760" t="s">
        <v>11586</v>
      </c>
      <c r="B1760" t="s">
        <v>30</v>
      </c>
      <c r="C1760" t="s">
        <v>65</v>
      </c>
      <c r="D1760" t="s">
        <v>11587</v>
      </c>
      <c r="E1760" t="s">
        <v>79</v>
      </c>
      <c r="F1760" t="s">
        <v>1274</v>
      </c>
      <c r="G1760" t="s">
        <v>1516</v>
      </c>
      <c r="H1760" t="n">
        <v>39.6918484242909</v>
      </c>
      <c r="I1760" t="n">
        <v>-104.99686013275</v>
      </c>
      <c r="J1760" t="s">
        <v>35</v>
      </c>
      <c r="K1760" t="s">
        <v>133</v>
      </c>
      <c r="L1760"/>
      <c r="M1760" t="n">
        <v>1980</v>
      </c>
      <c r="N1760" t="n">
        <v>1983</v>
      </c>
      <c r="O1760" t="s">
        <v>528</v>
      </c>
      <c r="P1760" t="n">
        <v>2</v>
      </c>
      <c r="Q1760" t="n">
        <v>1</v>
      </c>
      <c r="R1760" t="n">
        <v>1</v>
      </c>
      <c r="S1760" t="n">
        <v>1975</v>
      </c>
      <c r="T1760" t="s">
        <v>11588</v>
      </c>
      <c r="U1760" t="s">
        <v>11589</v>
      </c>
      <c r="V1760" t="s">
        <v>74</v>
      </c>
      <c r="W1760"/>
      <c r="X1760"/>
      <c r="Y1760"/>
      <c r="Z1760"/>
      <c r="AA1760" t="s">
        <v>11590</v>
      </c>
      <c r="AB1760" t="s">
        <v>1286</v>
      </c>
      <c r="AC1760" t="n">
        <v>147</v>
      </c>
      <c r="AD1760"/>
      <c r="AE1760"/>
      <c r="AF1760" t="s">
        <v>1287</v>
      </c>
      <c r="AG1760" t="n">
        <v>99</v>
      </c>
    </row>
    <row r="1761">
      <c r="A1761" t="s">
        <v>11591</v>
      </c>
      <c r="B1761" t="s">
        <v>30</v>
      </c>
      <c r="C1761" t="s">
        <v>65</v>
      </c>
      <c r="D1761" t="s">
        <v>11592</v>
      </c>
      <c r="E1761" t="s">
        <v>79</v>
      </c>
      <c r="F1761" t="s">
        <v>1274</v>
      </c>
      <c r="G1761" t="s">
        <v>1881</v>
      </c>
      <c r="H1761" t="n">
        <v>39.7719456319675</v>
      </c>
      <c r="I1761" t="n">
        <v>-104.924615</v>
      </c>
      <c r="J1761" t="s">
        <v>35</v>
      </c>
      <c r="K1761" t="s">
        <v>120</v>
      </c>
      <c r="L1761"/>
      <c r="M1761" t="n">
        <v>1980</v>
      </c>
      <c r="N1761" t="n">
        <v>1980</v>
      </c>
      <c r="O1761" t="s">
        <v>255</v>
      </c>
      <c r="P1761" t="n">
        <v>1</v>
      </c>
      <c r="Q1761" t="n">
        <v>1</v>
      </c>
      <c r="R1761" t="n">
        <v>1</v>
      </c>
      <c r="S1761" t="n">
        <v>1976</v>
      </c>
      <c r="T1761" t="s">
        <v>11593</v>
      </c>
      <c r="U1761" t="s">
        <v>11594</v>
      </c>
      <c r="V1761" t="s">
        <v>74</v>
      </c>
      <c r="W1761"/>
      <c r="X1761"/>
      <c r="Y1761"/>
      <c r="Z1761"/>
      <c r="AA1761" t="s">
        <v>11595</v>
      </c>
      <c r="AB1761"/>
      <c r="AC1761"/>
      <c r="AD1761" t="s">
        <v>2112</v>
      </c>
      <c r="AE1761" t="n">
        <v>241</v>
      </c>
      <c r="AF1761" t="s">
        <v>11596</v>
      </c>
      <c r="AG1761" t="n">
        <v>69</v>
      </c>
    </row>
    <row r="1762">
      <c r="A1762" t="s">
        <v>11597</v>
      </c>
      <c r="B1762" t="s">
        <v>30</v>
      </c>
      <c r="C1762" t="s">
        <v>24</v>
      </c>
      <c r="D1762" t="s">
        <v>11598</v>
      </c>
      <c r="E1762" t="s">
        <v>79</v>
      </c>
      <c r="F1762" t="s">
        <v>1274</v>
      </c>
      <c r="G1762" t="s">
        <v>1653</v>
      </c>
      <c r="H1762" t="n">
        <v>39.870555</v>
      </c>
      <c r="I1762" t="n">
        <v>-104.993823</v>
      </c>
      <c r="J1762" t="s">
        <v>4109</v>
      </c>
      <c r="K1762" t="s">
        <v>89</v>
      </c>
      <c r="L1762"/>
      <c r="M1762" t="n">
        <v>1983</v>
      </c>
      <c r="N1762" t="n">
        <v>1983</v>
      </c>
      <c r="O1762" t="s">
        <v>264</v>
      </c>
      <c r="P1762" t="n">
        <v>1</v>
      </c>
      <c r="Q1762" t="n">
        <v>1</v>
      </c>
      <c r="R1762" t="n">
        <v>1</v>
      </c>
      <c r="S1762" t="n">
        <v>1982</v>
      </c>
      <c r="T1762" t="s">
        <v>11599</v>
      </c>
      <c r="U1762" t="s">
        <v>11600</v>
      </c>
      <c r="V1762" t="s">
        <v>74</v>
      </c>
      <c r="W1762"/>
      <c r="X1762"/>
      <c r="Y1762"/>
      <c r="Z1762"/>
      <c r="AA1762" t="s">
        <v>11601</v>
      </c>
      <c r="AB1762"/>
      <c r="AC1762"/>
      <c r="AD1762"/>
      <c r="AE1762"/>
      <c r="AF1762"/>
      <c r="AG1762"/>
    </row>
    <row r="1763">
      <c r="A1763" t="s">
        <v>11602</v>
      </c>
      <c r="B1763" t="s">
        <v>30</v>
      </c>
      <c r="C1763" t="s">
        <v>65</v>
      </c>
      <c r="D1763" t="s">
        <v>11603</v>
      </c>
      <c r="E1763" t="s">
        <v>79</v>
      </c>
      <c r="F1763" t="s">
        <v>1274</v>
      </c>
      <c r="G1763" t="s">
        <v>1516</v>
      </c>
      <c r="H1763" t="n">
        <v>39.7111838156563</v>
      </c>
      <c r="I1763" t="n">
        <v>-105.005883116283</v>
      </c>
      <c r="J1763" t="s">
        <v>35</v>
      </c>
      <c r="K1763" t="s">
        <v>70</v>
      </c>
      <c r="L1763"/>
      <c r="M1763" t="n">
        <v>1983</v>
      </c>
      <c r="N1763" t="n">
        <v>1990</v>
      </c>
      <c r="O1763" t="s">
        <v>271</v>
      </c>
      <c r="P1763" t="n">
        <v>3</v>
      </c>
      <c r="Q1763" t="n">
        <v>1</v>
      </c>
      <c r="R1763" t="n">
        <v>1</v>
      </c>
      <c r="S1763" t="n">
        <v>1949</v>
      </c>
      <c r="T1763" t="s">
        <v>11604</v>
      </c>
      <c r="U1763" t="s">
        <v>11605</v>
      </c>
      <c r="V1763" t="s">
        <v>74</v>
      </c>
      <c r="W1763"/>
      <c r="X1763"/>
      <c r="Y1763"/>
      <c r="Z1763"/>
      <c r="AA1763" t="s">
        <v>11606</v>
      </c>
      <c r="AB1763"/>
      <c r="AC1763"/>
      <c r="AD1763"/>
      <c r="AE1763"/>
      <c r="AF1763" t="s">
        <v>11607</v>
      </c>
      <c r="AG1763" t="n">
        <v>58</v>
      </c>
    </row>
    <row r="1764">
      <c r="A1764" t="s">
        <v>11608</v>
      </c>
      <c r="B1764" t="s">
        <v>30</v>
      </c>
      <c r="C1764" t="s">
        <v>65</v>
      </c>
      <c r="D1764" t="s">
        <v>11609</v>
      </c>
      <c r="E1764" t="s">
        <v>79</v>
      </c>
      <c r="F1764" t="s">
        <v>1274</v>
      </c>
      <c r="G1764" t="s">
        <v>1516</v>
      </c>
      <c r="H1764" t="n">
        <v>39.6934228163265</v>
      </c>
      <c r="I1764" t="n">
        <v>-104.991337489796</v>
      </c>
      <c r="J1764" t="s">
        <v>35</v>
      </c>
      <c r="K1764" t="s">
        <v>70</v>
      </c>
      <c r="L1764"/>
      <c r="M1764" t="n">
        <v>1983</v>
      </c>
      <c r="N1764" t="n">
        <v>1988</v>
      </c>
      <c r="O1764" t="s">
        <v>283</v>
      </c>
      <c r="P1764" t="n">
        <v>2</v>
      </c>
      <c r="Q1764" t="n">
        <v>2</v>
      </c>
      <c r="R1764" t="n">
        <v>2</v>
      </c>
      <c r="S1764" t="n">
        <v>1970</v>
      </c>
      <c r="T1764" t="s">
        <v>11610</v>
      </c>
      <c r="U1764" t="s">
        <v>11611</v>
      </c>
      <c r="V1764" t="s">
        <v>74</v>
      </c>
      <c r="W1764"/>
      <c r="X1764"/>
      <c r="Y1764"/>
      <c r="Z1764"/>
      <c r="AA1764" t="s">
        <v>11612</v>
      </c>
      <c r="AB1764" t="s">
        <v>1520</v>
      </c>
      <c r="AC1764" t="n">
        <v>243</v>
      </c>
      <c r="AD1764" t="s">
        <v>1521</v>
      </c>
      <c r="AE1764" t="n">
        <v>236</v>
      </c>
      <c r="AF1764" t="s">
        <v>1522</v>
      </c>
      <c r="AG1764" t="n">
        <v>85</v>
      </c>
    </row>
    <row r="1765">
      <c r="A1765" t="s">
        <v>11613</v>
      </c>
      <c r="B1765" t="s">
        <v>30</v>
      </c>
      <c r="C1765" t="s">
        <v>65</v>
      </c>
      <c r="D1765" t="s">
        <v>11614</v>
      </c>
      <c r="E1765" t="s">
        <v>79</v>
      </c>
      <c r="F1765" t="s">
        <v>1274</v>
      </c>
      <c r="G1765" t="s">
        <v>1702</v>
      </c>
      <c r="H1765" t="n">
        <v>39.772921</v>
      </c>
      <c r="I1765" t="n">
        <v>-104.865301431378</v>
      </c>
      <c r="J1765" t="s">
        <v>35</v>
      </c>
      <c r="K1765" t="s">
        <v>1639</v>
      </c>
      <c r="L1765"/>
      <c r="M1765" t="n">
        <v>1983</v>
      </c>
      <c r="N1765" t="n">
        <v>1990</v>
      </c>
      <c r="O1765" t="s">
        <v>293</v>
      </c>
      <c r="P1765" t="n">
        <v>2</v>
      </c>
      <c r="Q1765" t="n">
        <v>2</v>
      </c>
      <c r="R1765" t="n">
        <v>2</v>
      </c>
      <c r="S1765" t="n">
        <v>1900</v>
      </c>
      <c r="T1765" t="s">
        <v>11615</v>
      </c>
      <c r="U1765" t="s">
        <v>11616</v>
      </c>
      <c r="V1765" t="s">
        <v>74</v>
      </c>
      <c r="W1765"/>
      <c r="X1765"/>
      <c r="Y1765"/>
      <c r="Z1765"/>
      <c r="AA1765" t="s">
        <v>11617</v>
      </c>
      <c r="AB1765"/>
      <c r="AC1765"/>
      <c r="AD1765" t="s">
        <v>11618</v>
      </c>
      <c r="AE1765" t="n">
        <v>105</v>
      </c>
      <c r="AF1765" t="s">
        <v>11619</v>
      </c>
      <c r="AG1765" t="n">
        <v>243</v>
      </c>
    </row>
    <row r="1766">
      <c r="A1766" t="s">
        <v>11620</v>
      </c>
      <c r="B1766" t="s">
        <v>30</v>
      </c>
      <c r="C1766" t="s">
        <v>65</v>
      </c>
      <c r="D1766" t="s">
        <v>11621</v>
      </c>
      <c r="E1766" t="s">
        <v>79</v>
      </c>
      <c r="F1766" t="s">
        <v>1274</v>
      </c>
      <c r="G1766" t="s">
        <v>1653</v>
      </c>
      <c r="H1766" t="n">
        <v>39.7766051111033</v>
      </c>
      <c r="I1766" t="n">
        <v>-104.924643882187</v>
      </c>
      <c r="J1766" t="s">
        <v>35</v>
      </c>
      <c r="K1766" t="s">
        <v>133</v>
      </c>
      <c r="L1766"/>
      <c r="M1766" t="n">
        <v>1983</v>
      </c>
      <c r="N1766" t="n">
        <v>1983</v>
      </c>
      <c r="O1766" t="s">
        <v>264</v>
      </c>
      <c r="P1766" t="n">
        <v>1</v>
      </c>
      <c r="Q1766" t="n">
        <v>1</v>
      </c>
      <c r="R1766" t="n">
        <v>1</v>
      </c>
      <c r="S1766" t="n">
        <v>1979</v>
      </c>
      <c r="T1766" t="s">
        <v>11622</v>
      </c>
      <c r="U1766" t="s">
        <v>11623</v>
      </c>
      <c r="V1766" t="s">
        <v>74</v>
      </c>
      <c r="W1766"/>
      <c r="X1766"/>
      <c r="Y1766"/>
      <c r="Z1766"/>
      <c r="AA1766" t="s">
        <v>11624</v>
      </c>
      <c r="AB1766" t="s">
        <v>11625</v>
      </c>
      <c r="AC1766" t="n">
        <v>201</v>
      </c>
      <c r="AD1766" t="s">
        <v>11343</v>
      </c>
      <c r="AE1766" t="n">
        <v>183</v>
      </c>
      <c r="AF1766" t="s">
        <v>11626</v>
      </c>
      <c r="AG1766" t="n">
        <v>127</v>
      </c>
    </row>
    <row r="1767">
      <c r="A1767" t="s">
        <v>11627</v>
      </c>
      <c r="B1767" t="s">
        <v>30</v>
      </c>
      <c r="C1767" t="s">
        <v>65</v>
      </c>
      <c r="D1767" t="s">
        <v>11628</v>
      </c>
      <c r="E1767" t="s">
        <v>79</v>
      </c>
      <c r="F1767" t="s">
        <v>1274</v>
      </c>
      <c r="G1767" t="s">
        <v>1612</v>
      </c>
      <c r="H1767" t="n">
        <v>39.678684</v>
      </c>
      <c r="I1767" t="n">
        <v>-105.015696</v>
      </c>
      <c r="J1767" t="s">
        <v>35</v>
      </c>
      <c r="K1767" t="s">
        <v>315</v>
      </c>
      <c r="L1767" t="s">
        <v>202</v>
      </c>
      <c r="M1767" t="n">
        <v>1983</v>
      </c>
      <c r="N1767" t="n">
        <v>1983</v>
      </c>
      <c r="O1767" t="s">
        <v>264</v>
      </c>
      <c r="P1767" t="n">
        <v>1</v>
      </c>
      <c r="Q1767" t="n">
        <v>1</v>
      </c>
      <c r="R1767" t="n">
        <v>1</v>
      </c>
      <c r="S1767" t="n">
        <v>1978</v>
      </c>
      <c r="T1767" t="s">
        <v>11629</v>
      </c>
      <c r="U1767" t="s">
        <v>11630</v>
      </c>
      <c r="V1767" t="s">
        <v>74</v>
      </c>
      <c r="W1767"/>
      <c r="X1767"/>
      <c r="Y1767"/>
      <c r="Z1767"/>
      <c r="AA1767" t="s">
        <v>11631</v>
      </c>
      <c r="AB1767" t="s">
        <v>11632</v>
      </c>
      <c r="AC1767" t="n">
        <v>243</v>
      </c>
      <c r="AD1767"/>
      <c r="AE1767"/>
      <c r="AF1767" t="s">
        <v>11633</v>
      </c>
      <c r="AG1767" t="n">
        <v>61</v>
      </c>
    </row>
    <row r="1768">
      <c r="A1768" t="s">
        <v>11634</v>
      </c>
      <c r="B1768" t="s">
        <v>30</v>
      </c>
      <c r="C1768" t="s">
        <v>65</v>
      </c>
      <c r="D1768" t="s">
        <v>11635</v>
      </c>
      <c r="E1768" t="s">
        <v>79</v>
      </c>
      <c r="F1768" t="s">
        <v>1274</v>
      </c>
      <c r="G1768" t="s">
        <v>1881</v>
      </c>
      <c r="H1768" t="n">
        <v>39.7692651613252</v>
      </c>
      <c r="I1768" t="n">
        <v>-104.914528013441</v>
      </c>
      <c r="J1768" t="s">
        <v>35</v>
      </c>
      <c r="K1768" t="s">
        <v>70</v>
      </c>
      <c r="L1768"/>
      <c r="M1768" t="n">
        <v>1983</v>
      </c>
      <c r="N1768" t="n">
        <v>1983</v>
      </c>
      <c r="O1768" t="s">
        <v>264</v>
      </c>
      <c r="P1768" t="n">
        <v>1</v>
      </c>
      <c r="Q1768" t="n">
        <v>1</v>
      </c>
      <c r="R1768" t="n">
        <v>1</v>
      </c>
      <c r="S1768" t="n">
        <v>1971</v>
      </c>
      <c r="T1768" t="s">
        <v>11636</v>
      </c>
      <c r="U1768" t="s">
        <v>11637</v>
      </c>
      <c r="V1768" t="s">
        <v>74</v>
      </c>
      <c r="W1768"/>
      <c r="X1768"/>
      <c r="Y1768"/>
      <c r="Z1768"/>
      <c r="AA1768" t="s">
        <v>11638</v>
      </c>
      <c r="AB1768"/>
      <c r="AC1768"/>
      <c r="AD1768" t="s">
        <v>2112</v>
      </c>
      <c r="AE1768" t="n">
        <v>246</v>
      </c>
      <c r="AF1768" t="s">
        <v>804</v>
      </c>
      <c r="AG1768" t="n">
        <v>155</v>
      </c>
    </row>
    <row r="1769">
      <c r="A1769" t="s">
        <v>11639</v>
      </c>
      <c r="B1769" t="s">
        <v>30</v>
      </c>
      <c r="C1769" t="s">
        <v>65</v>
      </c>
      <c r="D1769" t="s">
        <v>11640</v>
      </c>
      <c r="E1769" t="s">
        <v>79</v>
      </c>
      <c r="F1769" t="s">
        <v>1274</v>
      </c>
      <c r="G1769" t="s">
        <v>1574</v>
      </c>
      <c r="H1769" t="n">
        <v>39.7609680129806</v>
      </c>
      <c r="I1769" t="n">
        <v>-104.978740467122</v>
      </c>
      <c r="J1769" t="s">
        <v>35</v>
      </c>
      <c r="K1769" t="s">
        <v>120</v>
      </c>
      <c r="L1769"/>
      <c r="M1769" t="n">
        <v>1988</v>
      </c>
      <c r="N1769" t="n">
        <v>1990</v>
      </c>
      <c r="O1769" t="s">
        <v>351</v>
      </c>
      <c r="P1769" t="n">
        <v>2</v>
      </c>
      <c r="Q1769" t="n">
        <v>2</v>
      </c>
      <c r="R1769" t="n">
        <v>1</v>
      </c>
      <c r="S1769" t="n">
        <v>1973</v>
      </c>
      <c r="T1769" t="s">
        <v>11641</v>
      </c>
      <c r="U1769" t="s">
        <v>11642</v>
      </c>
      <c r="V1769" t="s">
        <v>74</v>
      </c>
      <c r="W1769"/>
      <c r="X1769"/>
      <c r="Y1769"/>
      <c r="Z1769"/>
      <c r="AA1769" t="s">
        <v>11643</v>
      </c>
      <c r="AB1769" t="s">
        <v>11644</v>
      </c>
      <c r="AC1769" t="n">
        <v>206</v>
      </c>
      <c r="AD1769" t="s">
        <v>6898</v>
      </c>
      <c r="AE1769" t="n">
        <v>189</v>
      </c>
      <c r="AF1769" t="s">
        <v>11645</v>
      </c>
      <c r="AG1769" t="n">
        <v>132</v>
      </c>
    </row>
    <row r="1770">
      <c r="A1770" t="s">
        <v>11646</v>
      </c>
      <c r="B1770" t="s">
        <v>30</v>
      </c>
      <c r="C1770" t="s">
        <v>65</v>
      </c>
      <c r="D1770" t="s">
        <v>11647</v>
      </c>
      <c r="E1770" t="s">
        <v>79</v>
      </c>
      <c r="F1770" t="s">
        <v>1274</v>
      </c>
      <c r="G1770" t="s">
        <v>1702</v>
      </c>
      <c r="H1770" t="n">
        <v>39.7680350029397</v>
      </c>
      <c r="I1770" t="n">
        <v>-104.840625397309</v>
      </c>
      <c r="J1770" t="s">
        <v>35</v>
      </c>
      <c r="K1770" t="s">
        <v>70</v>
      </c>
      <c r="L1770"/>
      <c r="M1770" t="n">
        <v>1988</v>
      </c>
      <c r="N1770" t="n">
        <v>1992</v>
      </c>
      <c r="O1770" t="s">
        <v>320</v>
      </c>
      <c r="P1770" t="n">
        <v>3</v>
      </c>
      <c r="Q1770" t="n">
        <v>1</v>
      </c>
      <c r="R1770" t="n">
        <v>1</v>
      </c>
      <c r="S1770" t="n">
        <v>1956</v>
      </c>
      <c r="T1770" t="s">
        <v>11648</v>
      </c>
      <c r="U1770" t="s">
        <v>11649</v>
      </c>
      <c r="V1770" t="s">
        <v>74</v>
      </c>
      <c r="W1770"/>
      <c r="X1770"/>
      <c r="Y1770"/>
      <c r="Z1770"/>
      <c r="AA1770" t="s">
        <v>11650</v>
      </c>
      <c r="AB1770"/>
      <c r="AC1770"/>
      <c r="AD1770" t="s">
        <v>11651</v>
      </c>
      <c r="AE1770" t="n">
        <v>212</v>
      </c>
      <c r="AF1770"/>
      <c r="AG1770"/>
    </row>
    <row r="1771">
      <c r="A1771" t="s">
        <v>11652</v>
      </c>
      <c r="B1771" t="s">
        <v>30</v>
      </c>
      <c r="C1771" t="s">
        <v>65</v>
      </c>
      <c r="D1771" t="s">
        <v>11653</v>
      </c>
      <c r="E1771" t="s">
        <v>79</v>
      </c>
      <c r="F1771" t="s">
        <v>1274</v>
      </c>
      <c r="G1771" t="s">
        <v>1516</v>
      </c>
      <c r="H1771" t="n">
        <v>39.6922800571219</v>
      </c>
      <c r="I1771" t="n">
        <v>-104.996855259133</v>
      </c>
      <c r="J1771" t="s">
        <v>35</v>
      </c>
      <c r="K1771" t="s">
        <v>70</v>
      </c>
      <c r="L1771"/>
      <c r="M1771" t="n">
        <v>1988</v>
      </c>
      <c r="N1771" t="n">
        <v>1990</v>
      </c>
      <c r="O1771" t="s">
        <v>351</v>
      </c>
      <c r="P1771" t="n">
        <v>2</v>
      </c>
      <c r="Q1771" t="n">
        <v>2</v>
      </c>
      <c r="R1771" t="n">
        <v>1</v>
      </c>
      <c r="S1771" t="n">
        <v>1975</v>
      </c>
      <c r="T1771" t="s">
        <v>11654</v>
      </c>
      <c r="U1771" t="s">
        <v>11655</v>
      </c>
      <c r="V1771" t="s">
        <v>74</v>
      </c>
      <c r="W1771"/>
      <c r="X1771"/>
      <c r="Y1771"/>
      <c r="Z1771"/>
      <c r="AA1771" t="s">
        <v>11656</v>
      </c>
      <c r="AB1771" t="s">
        <v>1286</v>
      </c>
      <c r="AC1771" t="n">
        <v>132</v>
      </c>
      <c r="AD1771"/>
      <c r="AE1771"/>
      <c r="AF1771" t="s">
        <v>1287</v>
      </c>
      <c r="AG1771" t="n">
        <v>113</v>
      </c>
    </row>
    <row r="1772">
      <c r="A1772" t="s">
        <v>11657</v>
      </c>
      <c r="B1772" t="s">
        <v>30</v>
      </c>
      <c r="C1772" t="s">
        <v>65</v>
      </c>
      <c r="D1772" t="s">
        <v>11658</v>
      </c>
      <c r="E1772" t="s">
        <v>79</v>
      </c>
      <c r="F1772" t="s">
        <v>1274</v>
      </c>
      <c r="G1772" t="s">
        <v>1516</v>
      </c>
      <c r="H1772" t="n">
        <v>39.6953133409106</v>
      </c>
      <c r="I1772" t="n">
        <v>-105.001524397172</v>
      </c>
      <c r="J1772" t="s">
        <v>35</v>
      </c>
      <c r="K1772" t="s">
        <v>120</v>
      </c>
      <c r="L1772"/>
      <c r="M1772" t="n">
        <v>1988</v>
      </c>
      <c r="N1772" t="n">
        <v>1990</v>
      </c>
      <c r="O1772" t="s">
        <v>310</v>
      </c>
      <c r="P1772" t="n">
        <v>2</v>
      </c>
      <c r="Q1772" t="n">
        <v>2</v>
      </c>
      <c r="R1772" t="n">
        <v>1</v>
      </c>
      <c r="S1772" t="n">
        <v>1978</v>
      </c>
      <c r="T1772" t="s">
        <v>11659</v>
      </c>
      <c r="U1772" t="s">
        <v>11660</v>
      </c>
      <c r="V1772" t="s">
        <v>74</v>
      </c>
      <c r="W1772"/>
      <c r="X1772"/>
      <c r="Y1772"/>
      <c r="Z1772"/>
      <c r="AA1772" t="s">
        <v>11661</v>
      </c>
      <c r="AB1772"/>
      <c r="AC1772"/>
      <c r="AD1772" t="s">
        <v>1565</v>
      </c>
      <c r="AE1772" t="n">
        <v>133</v>
      </c>
      <c r="AF1772" t="s">
        <v>11662</v>
      </c>
      <c r="AG1772" t="n">
        <v>114</v>
      </c>
    </row>
    <row r="1773">
      <c r="A1773" t="s">
        <v>11663</v>
      </c>
      <c r="B1773" t="s">
        <v>30</v>
      </c>
      <c r="C1773" t="s">
        <v>65</v>
      </c>
      <c r="D1773" t="s">
        <v>11664</v>
      </c>
      <c r="E1773" t="s">
        <v>79</v>
      </c>
      <c r="F1773" t="s">
        <v>1274</v>
      </c>
      <c r="G1773" t="s">
        <v>1555</v>
      </c>
      <c r="H1773" t="n">
        <v>39.7291327360705</v>
      </c>
      <c r="I1773" t="n">
        <v>-105.004080613809</v>
      </c>
      <c r="J1773" t="s">
        <v>35</v>
      </c>
      <c r="K1773" t="s">
        <v>70</v>
      </c>
      <c r="L1773"/>
      <c r="M1773" t="n">
        <v>1988</v>
      </c>
      <c r="N1773" t="n">
        <v>1988</v>
      </c>
      <c r="O1773" t="s">
        <v>325</v>
      </c>
      <c r="P1773" t="n">
        <v>1</v>
      </c>
      <c r="Q1773" t="n">
        <v>1</v>
      </c>
      <c r="R1773" t="n">
        <v>1</v>
      </c>
      <c r="S1773" t="n">
        <v>1966</v>
      </c>
      <c r="T1773" t="s">
        <v>11665</v>
      </c>
      <c r="U1773" t="s">
        <v>11666</v>
      </c>
      <c r="V1773" t="s">
        <v>74</v>
      </c>
      <c r="W1773"/>
      <c r="X1773"/>
      <c r="Y1773"/>
      <c r="Z1773"/>
      <c r="AA1773" t="s">
        <v>11667</v>
      </c>
      <c r="AB1773"/>
      <c r="AC1773"/>
      <c r="AD1773"/>
      <c r="AE1773"/>
      <c r="AF1773" t="s">
        <v>4415</v>
      </c>
      <c r="AG1773" t="n">
        <v>119</v>
      </c>
    </row>
    <row r="1774">
      <c r="A1774" t="s">
        <v>11668</v>
      </c>
      <c r="B1774" t="s">
        <v>30</v>
      </c>
      <c r="C1774" t="s">
        <v>65</v>
      </c>
      <c r="D1774" t="s">
        <v>11669</v>
      </c>
      <c r="E1774" t="s">
        <v>79</v>
      </c>
      <c r="F1774" t="s">
        <v>1274</v>
      </c>
      <c r="G1774" t="s">
        <v>1702</v>
      </c>
      <c r="H1774" t="n">
        <v>39.793116</v>
      </c>
      <c r="I1774" t="n">
        <v>-104.859596</v>
      </c>
      <c r="J1774" t="s">
        <v>35</v>
      </c>
      <c r="K1774" t="s">
        <v>133</v>
      </c>
      <c r="L1774"/>
      <c r="M1774" t="n">
        <v>1990</v>
      </c>
      <c r="N1774" t="n">
        <v>1990</v>
      </c>
      <c r="O1774" t="s">
        <v>351</v>
      </c>
      <c r="P1774" t="n">
        <v>1</v>
      </c>
      <c r="Q1774" t="n">
        <v>1</v>
      </c>
      <c r="R1774" t="n">
        <v>1</v>
      </c>
      <c r="S1774" t="n">
        <v>1981</v>
      </c>
      <c r="T1774" t="s">
        <v>11670</v>
      </c>
      <c r="U1774" t="s">
        <v>11671</v>
      </c>
      <c r="V1774" t="s">
        <v>74</v>
      </c>
      <c r="W1774"/>
      <c r="X1774"/>
      <c r="Y1774"/>
      <c r="Z1774"/>
      <c r="AA1774" t="s">
        <v>11672</v>
      </c>
      <c r="AB1774"/>
      <c r="AC1774"/>
      <c r="AD1774"/>
      <c r="AE1774"/>
      <c r="AF1774" t="s">
        <v>11673</v>
      </c>
      <c r="AG1774" t="n">
        <v>44</v>
      </c>
    </row>
    <row r="1775">
      <c r="A1775" t="s">
        <v>11674</v>
      </c>
      <c r="B1775" t="s">
        <v>30</v>
      </c>
      <c r="C1775" t="s">
        <v>65</v>
      </c>
      <c r="D1775" t="s">
        <v>11675</v>
      </c>
      <c r="E1775" t="s">
        <v>79</v>
      </c>
      <c r="F1775" t="s">
        <v>1274</v>
      </c>
      <c r="G1775" t="s">
        <v>1702</v>
      </c>
      <c r="H1775" t="n">
        <v>39.7958546668224</v>
      </c>
      <c r="I1775" t="n">
        <v>-104.856438056074</v>
      </c>
      <c r="J1775" t="s">
        <v>35</v>
      </c>
      <c r="K1775" t="s">
        <v>133</v>
      </c>
      <c r="L1775"/>
      <c r="M1775" t="n">
        <v>1990</v>
      </c>
      <c r="N1775" t="n">
        <v>1990</v>
      </c>
      <c r="O1775" t="s">
        <v>351</v>
      </c>
      <c r="P1775" t="n">
        <v>1</v>
      </c>
      <c r="Q1775" t="n">
        <v>1</v>
      </c>
      <c r="R1775" t="n">
        <v>1</v>
      </c>
      <c r="S1775" t="n">
        <v>1979</v>
      </c>
      <c r="T1775" t="s">
        <v>11676</v>
      </c>
      <c r="U1775" t="s">
        <v>11677</v>
      </c>
      <c r="V1775" t="s">
        <v>74</v>
      </c>
      <c r="W1775"/>
      <c r="X1775"/>
      <c r="Y1775"/>
      <c r="Z1775"/>
      <c r="AA1775" t="s">
        <v>11678</v>
      </c>
      <c r="AB1775"/>
      <c r="AC1775"/>
      <c r="AD1775"/>
      <c r="AE1775"/>
      <c r="AF1775" t="s">
        <v>11679</v>
      </c>
      <c r="AG1775" t="n">
        <v>228</v>
      </c>
    </row>
    <row r="1776">
      <c r="A1776" t="s">
        <v>11680</v>
      </c>
      <c r="B1776" t="s">
        <v>30</v>
      </c>
      <c r="C1776" t="s">
        <v>65</v>
      </c>
      <c r="D1776" t="s">
        <v>11681</v>
      </c>
      <c r="E1776" t="s">
        <v>79</v>
      </c>
      <c r="F1776" t="s">
        <v>1274</v>
      </c>
      <c r="G1776" t="s">
        <v>1440</v>
      </c>
      <c r="H1776" t="n">
        <v>39.7801639123977</v>
      </c>
      <c r="I1776" t="n">
        <v>-104.999936534127</v>
      </c>
      <c r="J1776" t="s">
        <v>35</v>
      </c>
      <c r="K1776" t="s">
        <v>133</v>
      </c>
      <c r="L1776"/>
      <c r="M1776" t="n">
        <v>1990</v>
      </c>
      <c r="N1776" t="n">
        <v>1990</v>
      </c>
      <c r="O1776" t="s">
        <v>351</v>
      </c>
      <c r="P1776" t="n">
        <v>1</v>
      </c>
      <c r="Q1776" t="n">
        <v>1</v>
      </c>
      <c r="R1776" t="n">
        <v>1</v>
      </c>
      <c r="S1776" t="n">
        <v>1980</v>
      </c>
      <c r="T1776" t="s">
        <v>11682</v>
      </c>
      <c r="U1776" t="s">
        <v>11683</v>
      </c>
      <c r="V1776" t="s">
        <v>74</v>
      </c>
      <c r="W1776"/>
      <c r="X1776"/>
      <c r="Y1776"/>
      <c r="Z1776"/>
      <c r="AA1776" t="s">
        <v>11684</v>
      </c>
      <c r="AB1776" t="s">
        <v>1918</v>
      </c>
      <c r="AC1776" t="n">
        <v>103</v>
      </c>
      <c r="AD1776" t="s">
        <v>1919</v>
      </c>
      <c r="AE1776" t="n">
        <v>213</v>
      </c>
      <c r="AF1776" t="s">
        <v>5199</v>
      </c>
      <c r="AG1776" t="n">
        <v>177</v>
      </c>
    </row>
    <row r="1777">
      <c r="A1777" t="s">
        <v>11685</v>
      </c>
      <c r="B1777" t="s">
        <v>30</v>
      </c>
      <c r="C1777" t="s">
        <v>65</v>
      </c>
      <c r="D1777" t="s">
        <v>11686</v>
      </c>
      <c r="E1777" t="s">
        <v>79</v>
      </c>
      <c r="F1777" t="s">
        <v>1274</v>
      </c>
      <c r="G1777" t="s">
        <v>1702</v>
      </c>
      <c r="H1777" t="n">
        <v>39.795869</v>
      </c>
      <c r="I1777" t="n">
        <v>-104.861342</v>
      </c>
      <c r="J1777" t="s">
        <v>35</v>
      </c>
      <c r="K1777" t="s">
        <v>89</v>
      </c>
      <c r="L1777"/>
      <c r="M1777" t="n">
        <v>1990</v>
      </c>
      <c r="N1777" t="n">
        <v>1990</v>
      </c>
      <c r="O1777" t="s">
        <v>351</v>
      </c>
      <c r="P1777" t="n">
        <v>1</v>
      </c>
      <c r="Q1777" t="n">
        <v>1</v>
      </c>
      <c r="R1777" t="n">
        <v>1</v>
      </c>
      <c r="S1777" t="n">
        <v>1987</v>
      </c>
      <c r="T1777" t="s">
        <v>11687</v>
      </c>
      <c r="U1777" t="s">
        <v>11688</v>
      </c>
      <c r="V1777" t="s">
        <v>74</v>
      </c>
      <c r="W1777"/>
      <c r="X1777"/>
      <c r="Y1777"/>
      <c r="Z1777"/>
      <c r="AA1777" t="s">
        <v>11689</v>
      </c>
      <c r="AB1777"/>
      <c r="AC1777"/>
      <c r="AD1777"/>
      <c r="AE1777"/>
      <c r="AF1777" t="s">
        <v>11690</v>
      </c>
      <c r="AG1777" t="n">
        <v>111</v>
      </c>
    </row>
    <row r="1778">
      <c r="A1778" t="s">
        <v>11691</v>
      </c>
      <c r="B1778" t="s">
        <v>30</v>
      </c>
      <c r="C1778" t="s">
        <v>65</v>
      </c>
      <c r="D1778" t="s">
        <v>11692</v>
      </c>
      <c r="E1778" t="s">
        <v>79</v>
      </c>
      <c r="F1778" t="s">
        <v>1274</v>
      </c>
      <c r="G1778" t="s">
        <v>1653</v>
      </c>
      <c r="H1778" t="n">
        <v>39.7935838495426</v>
      </c>
      <c r="I1778" t="n">
        <v>-104.947590194335</v>
      </c>
      <c r="J1778" t="s">
        <v>35</v>
      </c>
      <c r="K1778" t="s">
        <v>2274</v>
      </c>
      <c r="L1778" t="s">
        <v>2476</v>
      </c>
      <c r="M1778" t="n">
        <v>1992</v>
      </c>
      <c r="N1778" t="n">
        <v>1992</v>
      </c>
      <c r="O1778" t="s">
        <v>1016</v>
      </c>
      <c r="P1778" t="n">
        <v>1</v>
      </c>
      <c r="Q1778" t="n">
        <v>1</v>
      </c>
      <c r="R1778" t="n">
        <v>1</v>
      </c>
      <c r="S1778"/>
      <c r="T1778" t="s">
        <v>11693</v>
      </c>
      <c r="U1778" t="s">
        <v>11694</v>
      </c>
      <c r="V1778" t="s">
        <v>74</v>
      </c>
      <c r="W1778"/>
      <c r="X1778"/>
      <c r="Y1778"/>
      <c r="Z1778"/>
      <c r="AA1778" t="s">
        <v>11695</v>
      </c>
      <c r="AB1778" t="s">
        <v>8039</v>
      </c>
      <c r="AC1778" t="n">
        <v>160</v>
      </c>
      <c r="AD1778"/>
      <c r="AE1778"/>
      <c r="AF1778" t="s">
        <v>8040</v>
      </c>
      <c r="AG1778" t="n">
        <v>109</v>
      </c>
    </row>
    <row r="1779">
      <c r="A1779" t="s">
        <v>11696</v>
      </c>
      <c r="B1779" t="s">
        <v>30</v>
      </c>
      <c r="C1779" t="s">
        <v>24</v>
      </c>
      <c r="D1779" t="s">
        <v>11697</v>
      </c>
      <c r="E1779" t="s">
        <v>79</v>
      </c>
      <c r="F1779" t="s">
        <v>1274</v>
      </c>
      <c r="G1779" t="s">
        <v>1653</v>
      </c>
      <c r="H1779" t="n">
        <v>39.7588642226232</v>
      </c>
      <c r="I1779" t="n">
        <v>-104.959757376259</v>
      </c>
      <c r="J1779" t="s">
        <v>4109</v>
      </c>
      <c r="K1779" t="s">
        <v>89</v>
      </c>
      <c r="L1779"/>
      <c r="M1779" t="n">
        <v>1992</v>
      </c>
      <c r="N1779" t="n">
        <v>1992</v>
      </c>
      <c r="O1779" t="s">
        <v>1016</v>
      </c>
      <c r="P1779" t="n">
        <v>1</v>
      </c>
      <c r="Q1779" t="n">
        <v>1</v>
      </c>
      <c r="R1779" t="n">
        <v>1</v>
      </c>
      <c r="S1779" t="n">
        <v>1923</v>
      </c>
      <c r="T1779" t="s">
        <v>11698</v>
      </c>
      <c r="U1779" t="s">
        <v>11699</v>
      </c>
      <c r="V1779" t="s">
        <v>74</v>
      </c>
      <c r="W1779"/>
      <c r="X1779"/>
      <c r="Y1779"/>
      <c r="Z1779"/>
      <c r="AA1779" t="s">
        <v>11700</v>
      </c>
      <c r="AB1779"/>
      <c r="AC1779"/>
      <c r="AD1779"/>
      <c r="AE1779"/>
      <c r="AF1779" t="s">
        <v>11701</v>
      </c>
      <c r="AG1779" t="n">
        <v>111</v>
      </c>
    </row>
    <row r="1780">
      <c r="A1780" t="s">
        <v>11702</v>
      </c>
      <c r="B1780" t="s">
        <v>30</v>
      </c>
      <c r="C1780" t="s">
        <v>65</v>
      </c>
      <c r="D1780" t="s">
        <v>11703</v>
      </c>
      <c r="E1780" t="s">
        <v>79</v>
      </c>
      <c r="F1780" t="s">
        <v>1274</v>
      </c>
      <c r="G1780" t="s">
        <v>1612</v>
      </c>
      <c r="H1780" t="n">
        <v>39.7111788702564</v>
      </c>
      <c r="I1780" t="n">
        <v>-105.030818530722</v>
      </c>
      <c r="J1780" t="s">
        <v>35</v>
      </c>
      <c r="K1780" t="s">
        <v>120</v>
      </c>
      <c r="L1780"/>
      <c r="M1780" t="n">
        <v>1992</v>
      </c>
      <c r="N1780" t="n">
        <v>1992</v>
      </c>
      <c r="O1780" t="s">
        <v>1016</v>
      </c>
      <c r="P1780" t="n">
        <v>1</v>
      </c>
      <c r="Q1780" t="n">
        <v>1</v>
      </c>
      <c r="R1780" t="n">
        <v>1</v>
      </c>
      <c r="S1780"/>
      <c r="T1780" t="s">
        <v>11704</v>
      </c>
      <c r="U1780" t="s">
        <v>11705</v>
      </c>
      <c r="V1780" t="s">
        <v>74</v>
      </c>
      <c r="W1780"/>
      <c r="X1780"/>
      <c r="Y1780"/>
      <c r="Z1780"/>
      <c r="AA1780" t="s">
        <v>11706</v>
      </c>
      <c r="AB1780"/>
      <c r="AC1780"/>
      <c r="AD1780"/>
      <c r="AE1780"/>
      <c r="AF1780" t="s">
        <v>1925</v>
      </c>
      <c r="AG1780" t="n">
        <v>113</v>
      </c>
    </row>
    <row r="1781">
      <c r="A1781" t="s">
        <v>11707</v>
      </c>
      <c r="B1781" t="s">
        <v>30</v>
      </c>
      <c r="C1781" t="s">
        <v>24</v>
      </c>
      <c r="D1781" t="s">
        <v>11708</v>
      </c>
      <c r="E1781" t="s">
        <v>2240</v>
      </c>
      <c r="F1781" t="s">
        <v>2221</v>
      </c>
      <c r="G1781" t="s">
        <v>2241</v>
      </c>
      <c r="H1781" t="n">
        <v>39.375695</v>
      </c>
      <c r="I1781" t="n">
        <v>-104.839149</v>
      </c>
      <c r="J1781" t="s">
        <v>4109</v>
      </c>
      <c r="K1781" t="s">
        <v>89</v>
      </c>
      <c r="L1781"/>
      <c r="M1781" t="n">
        <v>1967</v>
      </c>
      <c r="N1781" t="n">
        <v>1967</v>
      </c>
      <c r="O1781" t="s">
        <v>388</v>
      </c>
      <c r="P1781" t="n">
        <v>1</v>
      </c>
      <c r="Q1781" t="n">
        <v>1</v>
      </c>
      <c r="R1781" t="n">
        <v>1</v>
      </c>
      <c r="S1781" t="n">
        <v>1950</v>
      </c>
      <c r="T1781" t="s">
        <v>11709</v>
      </c>
      <c r="U1781" t="s">
        <v>11710</v>
      </c>
      <c r="V1781" t="s">
        <v>74</v>
      </c>
      <c r="W1781"/>
      <c r="X1781"/>
      <c r="Y1781"/>
      <c r="Z1781"/>
      <c r="AA1781" t="s">
        <v>11711</v>
      </c>
      <c r="AB1781"/>
      <c r="AC1781"/>
      <c r="AD1781"/>
      <c r="AE1781"/>
      <c r="AF1781"/>
      <c r="AG1781"/>
    </row>
    <row r="1782">
      <c r="A1782" t="s">
        <v>11712</v>
      </c>
      <c r="B1782" t="s">
        <v>30</v>
      </c>
      <c r="C1782" t="s">
        <v>24</v>
      </c>
      <c r="D1782" t="s">
        <v>11713</v>
      </c>
      <c r="E1782" t="s">
        <v>2240</v>
      </c>
      <c r="F1782" t="s">
        <v>2221</v>
      </c>
      <c r="G1782" t="s">
        <v>2241</v>
      </c>
      <c r="H1782" t="n">
        <v>39.408904</v>
      </c>
      <c r="I1782" t="n">
        <v>-104.875011</v>
      </c>
      <c r="J1782" t="s">
        <v>4109</v>
      </c>
      <c r="K1782" t="s">
        <v>141</v>
      </c>
      <c r="L1782"/>
      <c r="M1782" t="n">
        <v>1980</v>
      </c>
      <c r="N1782" t="n">
        <v>1980</v>
      </c>
      <c r="O1782" t="s">
        <v>255</v>
      </c>
      <c r="P1782" t="n">
        <v>1</v>
      </c>
      <c r="Q1782" t="n">
        <v>1</v>
      </c>
      <c r="R1782" t="n">
        <v>1</v>
      </c>
      <c r="S1782" t="n">
        <v>1955</v>
      </c>
      <c r="T1782" t="s">
        <v>11714</v>
      </c>
      <c r="U1782" t="s">
        <v>11715</v>
      </c>
      <c r="V1782" t="s">
        <v>74</v>
      </c>
      <c r="W1782"/>
      <c r="X1782"/>
      <c r="Y1782"/>
      <c r="Z1782"/>
      <c r="AA1782" t="s">
        <v>11716</v>
      </c>
      <c r="AB1782"/>
      <c r="AC1782"/>
      <c r="AD1782"/>
      <c r="AE1782"/>
      <c r="AF1782"/>
      <c r="AG1782"/>
    </row>
    <row r="1783">
      <c r="A1783" t="s">
        <v>11717</v>
      </c>
      <c r="B1783" t="s">
        <v>30</v>
      </c>
      <c r="C1783" t="s">
        <v>24</v>
      </c>
      <c r="D1783" t="s">
        <v>11718</v>
      </c>
      <c r="E1783" t="s">
        <v>2240</v>
      </c>
      <c r="F1783" t="s">
        <v>2221</v>
      </c>
      <c r="G1783" t="s">
        <v>2241</v>
      </c>
      <c r="H1783" t="n">
        <v>39.4062360798831</v>
      </c>
      <c r="I1783" t="n">
        <v>-104.759216048855</v>
      </c>
      <c r="J1783" t="s">
        <v>4109</v>
      </c>
      <c r="K1783" t="s">
        <v>141</v>
      </c>
      <c r="L1783" t="s">
        <v>202</v>
      </c>
      <c r="M1783" t="n">
        <v>1983</v>
      </c>
      <c r="N1783" t="n">
        <v>1990</v>
      </c>
      <c r="O1783" t="s">
        <v>293</v>
      </c>
      <c r="P1783" t="n">
        <v>2</v>
      </c>
      <c r="Q1783" t="n">
        <v>2</v>
      </c>
      <c r="R1783" t="n">
        <v>2</v>
      </c>
      <c r="S1783" t="n">
        <v>1980</v>
      </c>
      <c r="T1783" t="s">
        <v>11719</v>
      </c>
      <c r="U1783" t="s">
        <v>11720</v>
      </c>
      <c r="V1783" t="s">
        <v>74</v>
      </c>
      <c r="W1783"/>
      <c r="X1783"/>
      <c r="Y1783"/>
      <c r="Z1783"/>
      <c r="AA1783" t="s">
        <v>11721</v>
      </c>
      <c r="AB1783"/>
      <c r="AC1783"/>
      <c r="AD1783"/>
      <c r="AE1783"/>
      <c r="AF1783"/>
      <c r="AG1783"/>
    </row>
    <row r="1784">
      <c r="A1784" t="s">
        <v>11722</v>
      </c>
      <c r="B1784" t="s">
        <v>30</v>
      </c>
      <c r="C1784" t="s">
        <v>24</v>
      </c>
      <c r="D1784" t="s">
        <v>11723</v>
      </c>
      <c r="E1784" t="s">
        <v>4565</v>
      </c>
      <c r="F1784" t="s">
        <v>2221</v>
      </c>
      <c r="G1784" t="s">
        <v>4566</v>
      </c>
      <c r="H1784" t="n">
        <v>39.48037</v>
      </c>
      <c r="I1784" t="n">
        <v>-104.994754</v>
      </c>
      <c r="J1784" t="s">
        <v>4109</v>
      </c>
      <c r="K1784" t="s">
        <v>201</v>
      </c>
      <c r="L1784"/>
      <c r="M1784" t="n">
        <v>1983</v>
      </c>
      <c r="N1784" t="n">
        <v>1990</v>
      </c>
      <c r="O1784" t="s">
        <v>293</v>
      </c>
      <c r="P1784" t="n">
        <v>2</v>
      </c>
      <c r="Q1784" t="n">
        <v>1</v>
      </c>
      <c r="R1784" t="n">
        <v>1</v>
      </c>
      <c r="S1784" t="n">
        <v>1972</v>
      </c>
      <c r="T1784" t="s">
        <v>11724</v>
      </c>
      <c r="U1784" t="s">
        <v>11725</v>
      </c>
      <c r="V1784" t="s">
        <v>74</v>
      </c>
      <c r="W1784"/>
      <c r="X1784"/>
      <c r="Y1784"/>
      <c r="Z1784"/>
      <c r="AA1784" t="s">
        <v>11726</v>
      </c>
      <c r="AB1784"/>
      <c r="AC1784"/>
      <c r="AD1784"/>
      <c r="AE1784"/>
      <c r="AF1784"/>
      <c r="AG1784"/>
    </row>
    <row r="1785">
      <c r="A1785" t="s">
        <v>11727</v>
      </c>
      <c r="B1785" t="s">
        <v>30</v>
      </c>
      <c r="C1785" t="s">
        <v>24</v>
      </c>
      <c r="D1785" t="s">
        <v>11728</v>
      </c>
      <c r="E1785" t="s">
        <v>386</v>
      </c>
      <c r="F1785" t="s">
        <v>2221</v>
      </c>
      <c r="G1785" t="s">
        <v>4575</v>
      </c>
      <c r="H1785" t="n">
        <v>39.4795116124362</v>
      </c>
      <c r="I1785" t="n">
        <v>-104.994797692982</v>
      </c>
      <c r="J1785" t="s">
        <v>4109</v>
      </c>
      <c r="K1785" t="s">
        <v>282</v>
      </c>
      <c r="L1785"/>
      <c r="M1785" t="n">
        <v>1988</v>
      </c>
      <c r="N1785" t="n">
        <v>1988</v>
      </c>
      <c r="O1785" t="s">
        <v>325</v>
      </c>
      <c r="P1785" t="n">
        <v>1</v>
      </c>
      <c r="Q1785" t="n">
        <v>1</v>
      </c>
      <c r="R1785" t="n">
        <v>1</v>
      </c>
      <c r="S1785" t="n">
        <v>1986</v>
      </c>
      <c r="T1785" t="s">
        <v>11729</v>
      </c>
      <c r="U1785" t="s">
        <v>11730</v>
      </c>
      <c r="V1785" t="s">
        <v>74</v>
      </c>
      <c r="W1785"/>
      <c r="X1785"/>
      <c r="Y1785"/>
      <c r="Z1785"/>
      <c r="AA1785" t="s">
        <v>11731</v>
      </c>
      <c r="AB1785"/>
      <c r="AC1785"/>
      <c r="AD1785"/>
      <c r="AE1785"/>
      <c r="AF1785"/>
      <c r="AG1785"/>
    </row>
    <row r="1786">
      <c r="A1786" t="s">
        <v>11732</v>
      </c>
      <c r="B1786" t="s">
        <v>30</v>
      </c>
      <c r="C1786" t="s">
        <v>65</v>
      </c>
      <c r="D1786" t="s">
        <v>11733</v>
      </c>
      <c r="E1786" t="s">
        <v>9333</v>
      </c>
      <c r="F1786" t="s">
        <v>2253</v>
      </c>
      <c r="G1786" t="s">
        <v>9334</v>
      </c>
      <c r="H1786" t="n">
        <v>39.6589807428572</v>
      </c>
      <c r="I1786" t="n">
        <v>-106.825806757143</v>
      </c>
      <c r="J1786" t="s">
        <v>35</v>
      </c>
      <c r="K1786" t="s">
        <v>1041</v>
      </c>
      <c r="L1786"/>
      <c r="M1786" t="n">
        <v>1988</v>
      </c>
      <c r="N1786" t="n">
        <v>1988</v>
      </c>
      <c r="O1786" t="s">
        <v>325</v>
      </c>
      <c r="P1786" t="n">
        <v>1</v>
      </c>
      <c r="Q1786" t="n">
        <v>1</v>
      </c>
      <c r="R1786" t="n">
        <v>1</v>
      </c>
      <c r="S1786" t="n">
        <v>1982</v>
      </c>
      <c r="T1786" t="s">
        <v>11734</v>
      </c>
      <c r="U1786" t="s">
        <v>11735</v>
      </c>
      <c r="V1786" t="s">
        <v>74</v>
      </c>
      <c r="W1786"/>
      <c r="X1786"/>
      <c r="Y1786"/>
      <c r="Z1786"/>
      <c r="AA1786" t="s">
        <v>11736</v>
      </c>
      <c r="AB1786"/>
      <c r="AC1786"/>
      <c r="AD1786"/>
      <c r="AE1786"/>
      <c r="AF1786" t="s">
        <v>11737</v>
      </c>
      <c r="AG1786" t="n">
        <v>99</v>
      </c>
    </row>
    <row r="1787">
      <c r="A1787" t="s">
        <v>11738</v>
      </c>
      <c r="B1787" t="s">
        <v>30</v>
      </c>
      <c r="C1787" t="s">
        <v>65</v>
      </c>
      <c r="D1787" t="s">
        <v>11739</v>
      </c>
      <c r="E1787" t="s">
        <v>2272</v>
      </c>
      <c r="F1787" t="s">
        <v>2267</v>
      </c>
      <c r="G1787" t="s">
        <v>2273</v>
      </c>
      <c r="H1787" t="n">
        <v>38.8374107846386</v>
      </c>
      <c r="I1787" t="n">
        <v>-104.773233423258</v>
      </c>
      <c r="J1787" t="s">
        <v>35</v>
      </c>
      <c r="K1787" t="s">
        <v>70</v>
      </c>
      <c r="L1787"/>
      <c r="M1787" t="n">
        <v>1966</v>
      </c>
      <c r="N1787" t="n">
        <v>1990</v>
      </c>
      <c r="O1787" t="s">
        <v>11261</v>
      </c>
      <c r="P1787" t="n">
        <v>11</v>
      </c>
      <c r="Q1787" t="n">
        <v>5</v>
      </c>
      <c r="R1787" t="n">
        <v>5</v>
      </c>
      <c r="S1787" t="n">
        <v>1951</v>
      </c>
      <c r="T1787" t="s">
        <v>11740</v>
      </c>
      <c r="U1787" t="s">
        <v>11741</v>
      </c>
      <c r="V1787" t="s">
        <v>74</v>
      </c>
      <c r="W1787"/>
      <c r="X1787"/>
      <c r="Y1787"/>
      <c r="Z1787"/>
      <c r="AA1787" t="s">
        <v>11742</v>
      </c>
      <c r="AB1787" t="s">
        <v>2278</v>
      </c>
      <c r="AC1787" t="n">
        <v>116</v>
      </c>
      <c r="AD1787"/>
      <c r="AE1787"/>
      <c r="AF1787" t="s">
        <v>2279</v>
      </c>
      <c r="AG1787" t="n">
        <v>68</v>
      </c>
    </row>
    <row r="1788">
      <c r="A1788" t="s">
        <v>11743</v>
      </c>
      <c r="B1788" t="s">
        <v>30</v>
      </c>
      <c r="C1788" t="s">
        <v>24</v>
      </c>
      <c r="D1788" t="s">
        <v>11744</v>
      </c>
      <c r="E1788" t="s">
        <v>2272</v>
      </c>
      <c r="F1788" t="s">
        <v>2267</v>
      </c>
      <c r="G1788" t="s">
        <v>2289</v>
      </c>
      <c r="H1788" t="n">
        <v>38.8431463425852</v>
      </c>
      <c r="I1788" t="n">
        <v>-104.824720296389</v>
      </c>
      <c r="J1788" t="s">
        <v>35</v>
      </c>
      <c r="K1788" t="s">
        <v>70</v>
      </c>
      <c r="L1788"/>
      <c r="M1788" t="n">
        <v>1966</v>
      </c>
      <c r="N1788" t="n">
        <v>1966</v>
      </c>
      <c r="O1788" t="s">
        <v>4172</v>
      </c>
      <c r="P1788" t="n">
        <v>1</v>
      </c>
      <c r="Q1788" t="n">
        <v>1</v>
      </c>
      <c r="R1788" t="n">
        <v>1</v>
      </c>
      <c r="S1788" t="n">
        <v>1928</v>
      </c>
      <c r="T1788" t="s">
        <v>11745</v>
      </c>
      <c r="U1788" t="s">
        <v>11746</v>
      </c>
      <c r="V1788" t="s">
        <v>4175</v>
      </c>
      <c r="W1788"/>
      <c r="X1788"/>
      <c r="Y1788"/>
      <c r="Z1788"/>
      <c r="AA1788" t="s">
        <v>11747</v>
      </c>
      <c r="AB1788"/>
      <c r="AC1788"/>
      <c r="AD1788"/>
      <c r="AE1788"/>
      <c r="AF1788" t="s">
        <v>11748</v>
      </c>
      <c r="AG1788" t="n">
        <v>161</v>
      </c>
    </row>
    <row r="1789">
      <c r="A1789" t="s">
        <v>11749</v>
      </c>
      <c r="B1789" t="s">
        <v>30</v>
      </c>
      <c r="C1789" t="s">
        <v>65</v>
      </c>
      <c r="D1789" t="s">
        <v>11750</v>
      </c>
      <c r="E1789" t="s">
        <v>2272</v>
      </c>
      <c r="F1789" t="s">
        <v>2267</v>
      </c>
      <c r="G1789" t="s">
        <v>2289</v>
      </c>
      <c r="H1789" t="n">
        <v>38.8283647673469</v>
      </c>
      <c r="I1789" t="n">
        <v>-104.827854677551</v>
      </c>
      <c r="J1789" t="s">
        <v>35</v>
      </c>
      <c r="K1789" t="s">
        <v>120</v>
      </c>
      <c r="L1789"/>
      <c r="M1789" t="n">
        <v>1967</v>
      </c>
      <c r="N1789" t="n">
        <v>1974</v>
      </c>
      <c r="O1789" t="s">
        <v>1349</v>
      </c>
      <c r="P1789" t="n">
        <v>4</v>
      </c>
      <c r="Q1789" t="n">
        <v>4</v>
      </c>
      <c r="R1789" t="n">
        <v>1</v>
      </c>
      <c r="S1789" t="n">
        <v>1947</v>
      </c>
      <c r="T1789" t="s">
        <v>11751</v>
      </c>
      <c r="U1789" t="s">
        <v>11752</v>
      </c>
      <c r="V1789" t="s">
        <v>74</v>
      </c>
      <c r="W1789"/>
      <c r="X1789"/>
      <c r="Y1789"/>
      <c r="Z1789"/>
      <c r="AA1789" t="s">
        <v>11753</v>
      </c>
      <c r="AB1789"/>
      <c r="AC1789"/>
      <c r="AD1789"/>
      <c r="AE1789"/>
      <c r="AF1789" t="s">
        <v>11754</v>
      </c>
      <c r="AG1789" t="n">
        <v>159</v>
      </c>
    </row>
    <row r="1790">
      <c r="A1790" t="s">
        <v>11755</v>
      </c>
      <c r="B1790" t="s">
        <v>30</v>
      </c>
      <c r="C1790" t="s">
        <v>24</v>
      </c>
      <c r="D1790" t="s">
        <v>11756</v>
      </c>
      <c r="E1790" t="s">
        <v>2272</v>
      </c>
      <c r="F1790" t="s">
        <v>2267</v>
      </c>
      <c r="G1790" t="s">
        <v>2374</v>
      </c>
      <c r="H1790" t="n">
        <v>38.876655</v>
      </c>
      <c r="I1790" t="n">
        <v>-104.883287</v>
      </c>
      <c r="J1790" t="s">
        <v>4109</v>
      </c>
      <c r="K1790" t="s">
        <v>133</v>
      </c>
      <c r="L1790"/>
      <c r="M1790" t="n">
        <v>1967</v>
      </c>
      <c r="N1790" t="n">
        <v>1988</v>
      </c>
      <c r="O1790" t="s">
        <v>409</v>
      </c>
      <c r="P1790" t="n">
        <v>3</v>
      </c>
      <c r="Q1790" t="n">
        <v>3</v>
      </c>
      <c r="R1790" t="n">
        <v>2</v>
      </c>
      <c r="S1790" t="n">
        <v>1964</v>
      </c>
      <c r="T1790" t="s">
        <v>11757</v>
      </c>
      <c r="U1790" t="s">
        <v>11758</v>
      </c>
      <c r="V1790" t="s">
        <v>74</v>
      </c>
      <c r="W1790"/>
      <c r="X1790"/>
      <c r="Y1790"/>
      <c r="Z1790"/>
      <c r="AA1790" t="s">
        <v>11759</v>
      </c>
      <c r="AB1790"/>
      <c r="AC1790"/>
      <c r="AD1790"/>
      <c r="AE1790"/>
      <c r="AF1790"/>
      <c r="AG1790"/>
    </row>
    <row r="1791">
      <c r="A1791" t="s">
        <v>11760</v>
      </c>
      <c r="B1791" t="s">
        <v>30</v>
      </c>
      <c r="C1791" t="s">
        <v>65</v>
      </c>
      <c r="D1791" t="s">
        <v>11761</v>
      </c>
      <c r="E1791" t="s">
        <v>2272</v>
      </c>
      <c r="F1791" t="s">
        <v>2267</v>
      </c>
      <c r="G1791" t="s">
        <v>2326</v>
      </c>
      <c r="H1791" t="n">
        <v>38.8436497615065</v>
      </c>
      <c r="I1791" t="n">
        <v>-104.858931134433</v>
      </c>
      <c r="J1791" t="s">
        <v>35</v>
      </c>
      <c r="K1791" t="s">
        <v>89</v>
      </c>
      <c r="L1791"/>
      <c r="M1791" t="n">
        <v>1968</v>
      </c>
      <c r="N1791" t="n">
        <v>1980</v>
      </c>
      <c r="O1791" t="s">
        <v>2779</v>
      </c>
      <c r="P1791" t="n">
        <v>4</v>
      </c>
      <c r="Q1791" t="n">
        <v>1</v>
      </c>
      <c r="R1791" t="n">
        <v>1</v>
      </c>
      <c r="S1791" t="n">
        <v>1927</v>
      </c>
      <c r="T1791" t="s">
        <v>11762</v>
      </c>
      <c r="U1791" t="s">
        <v>11763</v>
      </c>
      <c r="V1791" t="s">
        <v>74</v>
      </c>
      <c r="W1791"/>
      <c r="X1791"/>
      <c r="Y1791"/>
      <c r="Z1791"/>
      <c r="AA1791" t="s">
        <v>11764</v>
      </c>
      <c r="AB1791"/>
      <c r="AC1791"/>
      <c r="AD1791"/>
      <c r="AE1791"/>
      <c r="AF1791" t="s">
        <v>11765</v>
      </c>
      <c r="AG1791" t="n">
        <v>114</v>
      </c>
    </row>
    <row r="1792">
      <c r="A1792" t="s">
        <v>11766</v>
      </c>
      <c r="B1792" t="s">
        <v>30</v>
      </c>
      <c r="C1792" t="s">
        <v>65</v>
      </c>
      <c r="D1792" t="s">
        <v>11767</v>
      </c>
      <c r="E1792" t="s">
        <v>2272</v>
      </c>
      <c r="F1792" t="s">
        <v>2267</v>
      </c>
      <c r="G1792" t="s">
        <v>2296</v>
      </c>
      <c r="H1792" t="n">
        <v>38.8743558951928</v>
      </c>
      <c r="I1792" t="n">
        <v>-104.81193640729</v>
      </c>
      <c r="J1792" t="s">
        <v>35</v>
      </c>
      <c r="K1792" t="s">
        <v>70</v>
      </c>
      <c r="L1792"/>
      <c r="M1792" t="n">
        <v>1968</v>
      </c>
      <c r="N1792" t="n">
        <v>1968</v>
      </c>
      <c r="O1792" t="s">
        <v>1349</v>
      </c>
      <c r="P1792" t="n">
        <v>1</v>
      </c>
      <c r="Q1792" t="n">
        <v>1</v>
      </c>
      <c r="R1792" t="n">
        <v>1</v>
      </c>
      <c r="S1792" t="n">
        <v>1966</v>
      </c>
      <c r="T1792" t="s">
        <v>11768</v>
      </c>
      <c r="U1792" t="s">
        <v>11769</v>
      </c>
      <c r="V1792" t="s">
        <v>74</v>
      </c>
      <c r="W1792"/>
      <c r="X1792"/>
      <c r="Y1792"/>
      <c r="Z1792"/>
      <c r="AA1792" t="s">
        <v>11770</v>
      </c>
      <c r="AB1792" t="s">
        <v>9349</v>
      </c>
      <c r="AC1792" t="n">
        <v>190</v>
      </c>
      <c r="AD1792" t="s">
        <v>9350</v>
      </c>
      <c r="AE1792" t="n">
        <v>125</v>
      </c>
      <c r="AF1792" t="s">
        <v>11771</v>
      </c>
      <c r="AG1792" t="n">
        <v>63</v>
      </c>
    </row>
    <row r="1793">
      <c r="A1793" t="s">
        <v>11772</v>
      </c>
      <c r="B1793" t="s">
        <v>30</v>
      </c>
      <c r="C1793" t="s">
        <v>65</v>
      </c>
      <c r="D1793" t="s">
        <v>11773</v>
      </c>
      <c r="E1793" t="s">
        <v>2272</v>
      </c>
      <c r="F1793" t="s">
        <v>2267</v>
      </c>
      <c r="G1793" t="s">
        <v>2423</v>
      </c>
      <c r="H1793" t="n">
        <v>38.7950558856809</v>
      </c>
      <c r="I1793" t="n">
        <v>-104.767179142296</v>
      </c>
      <c r="J1793" t="s">
        <v>35</v>
      </c>
      <c r="K1793" t="s">
        <v>120</v>
      </c>
      <c r="L1793"/>
      <c r="M1793" t="n">
        <v>1970</v>
      </c>
      <c r="N1793" t="n">
        <v>1980</v>
      </c>
      <c r="O1793" t="s">
        <v>6298</v>
      </c>
      <c r="P1793" t="n">
        <v>2</v>
      </c>
      <c r="Q1793" t="n">
        <v>2</v>
      </c>
      <c r="R1793" t="n">
        <v>2</v>
      </c>
      <c r="S1793" t="n">
        <v>1964</v>
      </c>
      <c r="T1793" t="s">
        <v>11774</v>
      </c>
      <c r="U1793" t="s">
        <v>11775</v>
      </c>
      <c r="V1793" t="s">
        <v>74</v>
      </c>
      <c r="W1793"/>
      <c r="X1793"/>
      <c r="Y1793"/>
      <c r="Z1793"/>
      <c r="AA1793" t="s">
        <v>11776</v>
      </c>
      <c r="AB1793"/>
      <c r="AC1793"/>
      <c r="AD1793"/>
      <c r="AE1793"/>
      <c r="AF1793" t="s">
        <v>11777</v>
      </c>
      <c r="AG1793" t="n">
        <v>53</v>
      </c>
    </row>
    <row r="1794">
      <c r="A1794" t="s">
        <v>11778</v>
      </c>
      <c r="B1794" t="s">
        <v>30</v>
      </c>
      <c r="C1794" t="s">
        <v>65</v>
      </c>
      <c r="D1794" t="s">
        <v>11779</v>
      </c>
      <c r="E1794" t="s">
        <v>2272</v>
      </c>
      <c r="F1794" t="s">
        <v>2267</v>
      </c>
      <c r="G1794" t="s">
        <v>2273</v>
      </c>
      <c r="H1794" t="n">
        <v>38.8372220925823</v>
      </c>
      <c r="I1794" t="n">
        <v>-104.777130770097</v>
      </c>
      <c r="J1794" t="s">
        <v>35</v>
      </c>
      <c r="K1794" t="s">
        <v>141</v>
      </c>
      <c r="L1794"/>
      <c r="M1794" t="n">
        <v>1973</v>
      </c>
      <c r="N1794" t="n">
        <v>1990</v>
      </c>
      <c r="O1794" t="s">
        <v>10683</v>
      </c>
      <c r="P1794" t="n">
        <v>5</v>
      </c>
      <c r="Q1794" t="n">
        <v>2</v>
      </c>
      <c r="R1794" t="n">
        <v>2</v>
      </c>
      <c r="S1794" t="n">
        <v>1961</v>
      </c>
      <c r="T1794" t="s">
        <v>11780</v>
      </c>
      <c r="U1794" t="s">
        <v>11781</v>
      </c>
      <c r="V1794" t="s">
        <v>74</v>
      </c>
      <c r="W1794"/>
      <c r="X1794"/>
      <c r="Y1794"/>
      <c r="Z1794"/>
      <c r="AA1794" t="s">
        <v>11782</v>
      </c>
      <c r="AB1794"/>
      <c r="AC1794"/>
      <c r="AD1794"/>
      <c r="AE1794"/>
      <c r="AF1794" t="s">
        <v>11783</v>
      </c>
      <c r="AG1794" t="n">
        <v>120</v>
      </c>
    </row>
    <row r="1795">
      <c r="A1795" t="s">
        <v>11784</v>
      </c>
      <c r="B1795" t="s">
        <v>30</v>
      </c>
      <c r="C1795" t="s">
        <v>24</v>
      </c>
      <c r="D1795" t="s">
        <v>11785</v>
      </c>
      <c r="E1795" t="s">
        <v>2266</v>
      </c>
      <c r="F1795" t="s">
        <v>2267</v>
      </c>
      <c r="G1795" t="s">
        <v>2488</v>
      </c>
      <c r="H1795" t="n">
        <v>38.854891387309</v>
      </c>
      <c r="I1795" t="n">
        <v>-104.913170007932</v>
      </c>
      <c r="J1795" t="s">
        <v>4109</v>
      </c>
      <c r="K1795" t="s">
        <v>120</v>
      </c>
      <c r="L1795"/>
      <c r="M1795" t="n">
        <v>1973</v>
      </c>
      <c r="N1795" t="n">
        <v>1973</v>
      </c>
      <c r="O1795" t="s">
        <v>121</v>
      </c>
      <c r="P1795" t="n">
        <v>1</v>
      </c>
      <c r="Q1795" t="n">
        <v>1</v>
      </c>
      <c r="R1795" t="n">
        <v>1</v>
      </c>
      <c r="S1795" t="n">
        <v>1965</v>
      </c>
      <c r="T1795" t="s">
        <v>11786</v>
      </c>
      <c r="U1795" t="s">
        <v>11787</v>
      </c>
      <c r="V1795" t="s">
        <v>74</v>
      </c>
      <c r="W1795"/>
      <c r="X1795"/>
      <c r="Y1795"/>
      <c r="Z1795"/>
      <c r="AA1795" t="s">
        <v>11788</v>
      </c>
      <c r="AB1795"/>
      <c r="AC1795"/>
      <c r="AD1795"/>
      <c r="AE1795"/>
      <c r="AF1795"/>
      <c r="AG1795"/>
    </row>
    <row r="1796">
      <c r="A1796" t="s">
        <v>11789</v>
      </c>
      <c r="B1796" t="s">
        <v>30</v>
      </c>
      <c r="C1796" t="s">
        <v>65</v>
      </c>
      <c r="D1796" t="s">
        <v>11790</v>
      </c>
      <c r="E1796" t="s">
        <v>2272</v>
      </c>
      <c r="F1796" t="s">
        <v>2267</v>
      </c>
      <c r="G1796" t="s">
        <v>2289</v>
      </c>
      <c r="H1796" t="n">
        <v>38.8228181653155</v>
      </c>
      <c r="I1796" t="n">
        <v>-104.818565440196</v>
      </c>
      <c r="J1796" t="s">
        <v>35</v>
      </c>
      <c r="K1796" t="s">
        <v>70</v>
      </c>
      <c r="L1796"/>
      <c r="M1796" t="n">
        <v>1973</v>
      </c>
      <c r="N1796" t="n">
        <v>1990</v>
      </c>
      <c r="O1796" t="s">
        <v>11791</v>
      </c>
      <c r="P1796" t="n">
        <v>5</v>
      </c>
      <c r="Q1796" t="n">
        <v>3</v>
      </c>
      <c r="R1796" t="n">
        <v>3</v>
      </c>
      <c r="S1796" t="n">
        <v>1888</v>
      </c>
      <c r="T1796" t="s">
        <v>11792</v>
      </c>
      <c r="U1796" t="s">
        <v>11793</v>
      </c>
      <c r="V1796" t="s">
        <v>74</v>
      </c>
      <c r="W1796"/>
      <c r="X1796"/>
      <c r="Y1796"/>
      <c r="Z1796"/>
      <c r="AA1796" t="s">
        <v>11794</v>
      </c>
      <c r="AB1796" t="s">
        <v>2335</v>
      </c>
      <c r="AC1796" t="n">
        <v>246</v>
      </c>
      <c r="AD1796"/>
      <c r="AE1796"/>
      <c r="AF1796"/>
      <c r="AG1796"/>
    </row>
    <row r="1797">
      <c r="A1797" t="s">
        <v>11795</v>
      </c>
      <c r="B1797" t="s">
        <v>30</v>
      </c>
      <c r="C1797" t="s">
        <v>24</v>
      </c>
      <c r="D1797" t="s">
        <v>11796</v>
      </c>
      <c r="E1797" t="s">
        <v>2272</v>
      </c>
      <c r="F1797" t="s">
        <v>2267</v>
      </c>
      <c r="G1797" t="s">
        <v>2475</v>
      </c>
      <c r="H1797" t="n">
        <v>38.8736759490442</v>
      </c>
      <c r="I1797" t="n">
        <v>-104.885159054268</v>
      </c>
      <c r="J1797" t="s">
        <v>4109</v>
      </c>
      <c r="K1797" t="s">
        <v>133</v>
      </c>
      <c r="L1797"/>
      <c r="M1797" t="n">
        <v>1973</v>
      </c>
      <c r="N1797" t="n">
        <v>1973</v>
      </c>
      <c r="O1797" t="s">
        <v>121</v>
      </c>
      <c r="P1797" t="n">
        <v>1</v>
      </c>
      <c r="Q1797" t="n">
        <v>1</v>
      </c>
      <c r="R1797" t="n">
        <v>1</v>
      </c>
      <c r="S1797" t="n">
        <v>1964</v>
      </c>
      <c r="T1797" t="s">
        <v>11797</v>
      </c>
      <c r="U1797" t="s">
        <v>11798</v>
      </c>
      <c r="V1797" t="s">
        <v>74</v>
      </c>
      <c r="W1797"/>
      <c r="X1797"/>
      <c r="Y1797"/>
      <c r="Z1797"/>
      <c r="AA1797" t="s">
        <v>11799</v>
      </c>
      <c r="AB1797"/>
      <c r="AC1797"/>
      <c r="AD1797"/>
      <c r="AE1797"/>
      <c r="AF1797"/>
      <c r="AG1797"/>
    </row>
    <row r="1798">
      <c r="A1798" t="s">
        <v>11800</v>
      </c>
      <c r="B1798" t="s">
        <v>30</v>
      </c>
      <c r="C1798" t="s">
        <v>65</v>
      </c>
      <c r="D1798" t="s">
        <v>11801</v>
      </c>
      <c r="E1798" t="s">
        <v>2272</v>
      </c>
      <c r="F1798" t="s">
        <v>2267</v>
      </c>
      <c r="G1798" t="s">
        <v>2273</v>
      </c>
      <c r="H1798" t="n">
        <v>38.8383242172006</v>
      </c>
      <c r="I1798" t="n">
        <v>-104.784829932731</v>
      </c>
      <c r="J1798" t="s">
        <v>35</v>
      </c>
      <c r="K1798" t="s">
        <v>70</v>
      </c>
      <c r="L1798"/>
      <c r="M1798" t="n">
        <v>1973</v>
      </c>
      <c r="N1798" t="n">
        <v>1983</v>
      </c>
      <c r="O1798" t="s">
        <v>3519</v>
      </c>
      <c r="P1798" t="n">
        <v>3</v>
      </c>
      <c r="Q1798" t="n">
        <v>1</v>
      </c>
      <c r="R1798" t="n">
        <v>1</v>
      </c>
      <c r="S1798" t="n">
        <v>1960</v>
      </c>
      <c r="T1798" t="s">
        <v>11802</v>
      </c>
      <c r="U1798" t="s">
        <v>11803</v>
      </c>
      <c r="V1798" t="s">
        <v>74</v>
      </c>
      <c r="W1798"/>
      <c r="X1798"/>
      <c r="Y1798"/>
      <c r="Z1798"/>
      <c r="AA1798" t="s">
        <v>11804</v>
      </c>
      <c r="AB1798"/>
      <c r="AC1798"/>
      <c r="AD1798"/>
      <c r="AE1798"/>
      <c r="AF1798" t="s">
        <v>11805</v>
      </c>
      <c r="AG1798" t="n">
        <v>108</v>
      </c>
    </row>
    <row r="1799">
      <c r="A1799" t="s">
        <v>11806</v>
      </c>
      <c r="B1799" t="s">
        <v>30</v>
      </c>
      <c r="C1799" t="s">
        <v>65</v>
      </c>
      <c r="D1799" t="s">
        <v>11807</v>
      </c>
      <c r="E1799" t="s">
        <v>2272</v>
      </c>
      <c r="F1799" t="s">
        <v>2267</v>
      </c>
      <c r="G1799" t="s">
        <v>2289</v>
      </c>
      <c r="H1799" t="n">
        <v>38.8696858824994</v>
      </c>
      <c r="I1799" t="n">
        <v>-104.832349041962</v>
      </c>
      <c r="J1799" t="s">
        <v>35</v>
      </c>
      <c r="K1799" t="s">
        <v>141</v>
      </c>
      <c r="L1799"/>
      <c r="M1799" t="n">
        <v>1974</v>
      </c>
      <c r="N1799" t="n">
        <v>1977</v>
      </c>
      <c r="O1799" t="s">
        <v>1830</v>
      </c>
      <c r="P1799" t="n">
        <v>2</v>
      </c>
      <c r="Q1799" t="n">
        <v>2</v>
      </c>
      <c r="R1799" t="n">
        <v>2</v>
      </c>
      <c r="S1799" t="n">
        <v>1963</v>
      </c>
      <c r="T1799" t="s">
        <v>11808</v>
      </c>
      <c r="U1799" t="s">
        <v>11809</v>
      </c>
      <c r="V1799" t="s">
        <v>74</v>
      </c>
      <c r="W1799"/>
      <c r="X1799"/>
      <c r="Y1799"/>
      <c r="Z1799"/>
      <c r="AA1799" t="s">
        <v>11810</v>
      </c>
      <c r="AB1799"/>
      <c r="AC1799"/>
      <c r="AD1799"/>
      <c r="AE1799"/>
      <c r="AF1799" t="s">
        <v>11811</v>
      </c>
      <c r="AG1799" t="n">
        <v>48</v>
      </c>
    </row>
    <row r="1800">
      <c r="A1800" t="s">
        <v>11812</v>
      </c>
      <c r="B1800" t="s">
        <v>30</v>
      </c>
      <c r="C1800" t="s">
        <v>65</v>
      </c>
      <c r="D1800" t="s">
        <v>11813</v>
      </c>
      <c r="E1800" t="s">
        <v>2272</v>
      </c>
      <c r="F1800" t="s">
        <v>2267</v>
      </c>
      <c r="G1800" t="s">
        <v>2475</v>
      </c>
      <c r="H1800" t="n">
        <v>38.8073723313932</v>
      </c>
      <c r="I1800" t="n">
        <v>-104.844890627741</v>
      </c>
      <c r="J1800" t="s">
        <v>35</v>
      </c>
      <c r="K1800" t="s">
        <v>70</v>
      </c>
      <c r="L1800"/>
      <c r="M1800" t="n">
        <v>1974</v>
      </c>
      <c r="N1800" t="n">
        <v>1974</v>
      </c>
      <c r="O1800" t="s">
        <v>210</v>
      </c>
      <c r="P1800" t="n">
        <v>1</v>
      </c>
      <c r="Q1800" t="n">
        <v>1</v>
      </c>
      <c r="R1800" t="n">
        <v>1</v>
      </c>
      <c r="S1800" t="n">
        <v>1970</v>
      </c>
      <c r="T1800" t="s">
        <v>11814</v>
      </c>
      <c r="U1800" t="s">
        <v>11815</v>
      </c>
      <c r="V1800" t="s">
        <v>74</v>
      </c>
      <c r="W1800"/>
      <c r="X1800"/>
      <c r="Y1800"/>
      <c r="Z1800"/>
      <c r="AA1800" t="s">
        <v>11816</v>
      </c>
      <c r="AB1800"/>
      <c r="AC1800"/>
      <c r="AD1800"/>
      <c r="AE1800"/>
      <c r="AF1800"/>
      <c r="AG1800"/>
    </row>
    <row r="1801">
      <c r="A1801" t="s">
        <v>11817</v>
      </c>
      <c r="B1801" t="s">
        <v>30</v>
      </c>
      <c r="C1801" t="s">
        <v>24</v>
      </c>
      <c r="D1801" t="s">
        <v>11818</v>
      </c>
      <c r="E1801" t="s">
        <v>2272</v>
      </c>
      <c r="F1801" t="s">
        <v>2267</v>
      </c>
      <c r="G1801" t="s">
        <v>2475</v>
      </c>
      <c r="H1801" t="n">
        <v>38.81037</v>
      </c>
      <c r="I1801" t="n">
        <v>-104.800805</v>
      </c>
      <c r="J1801" t="s">
        <v>4109</v>
      </c>
      <c r="K1801" t="s">
        <v>70</v>
      </c>
      <c r="L1801"/>
      <c r="M1801" t="n">
        <v>1977</v>
      </c>
      <c r="N1801" t="n">
        <v>1980</v>
      </c>
      <c r="O1801" t="s">
        <v>1949</v>
      </c>
      <c r="P1801" t="n">
        <v>2</v>
      </c>
      <c r="Q1801" t="n">
        <v>2</v>
      </c>
      <c r="R1801" t="n">
        <v>2</v>
      </c>
      <c r="S1801" t="n">
        <v>1973</v>
      </c>
      <c r="T1801" t="s">
        <v>11819</v>
      </c>
      <c r="U1801" t="s">
        <v>11820</v>
      </c>
      <c r="V1801" t="s">
        <v>74</v>
      </c>
      <c r="W1801"/>
      <c r="X1801"/>
      <c r="Y1801"/>
      <c r="Z1801"/>
      <c r="AA1801" t="s">
        <v>11821</v>
      </c>
      <c r="AB1801"/>
      <c r="AC1801"/>
      <c r="AD1801"/>
      <c r="AE1801"/>
      <c r="AF1801"/>
      <c r="AG1801"/>
    </row>
    <row r="1802">
      <c r="A1802" t="s">
        <v>11822</v>
      </c>
      <c r="B1802" t="s">
        <v>30</v>
      </c>
      <c r="C1802" t="s">
        <v>24</v>
      </c>
      <c r="D1802" t="s">
        <v>11823</v>
      </c>
      <c r="E1802" t="s">
        <v>2272</v>
      </c>
      <c r="F1802" t="s">
        <v>2267</v>
      </c>
      <c r="G1802" t="s">
        <v>2296</v>
      </c>
      <c r="H1802" t="n">
        <v>38.8768229572221</v>
      </c>
      <c r="I1802" t="n">
        <v>-104.758448715812</v>
      </c>
      <c r="J1802" t="s">
        <v>35</v>
      </c>
      <c r="K1802" t="s">
        <v>89</v>
      </c>
      <c r="L1802"/>
      <c r="M1802" t="n">
        <v>1977</v>
      </c>
      <c r="N1802" t="n">
        <v>1977</v>
      </c>
      <c r="O1802" t="s">
        <v>228</v>
      </c>
      <c r="P1802" t="n">
        <v>1</v>
      </c>
      <c r="Q1802" t="n">
        <v>1</v>
      </c>
      <c r="R1802" t="n">
        <v>1</v>
      </c>
      <c r="S1802" t="n">
        <v>1973</v>
      </c>
      <c r="T1802" t="s">
        <v>11824</v>
      </c>
      <c r="U1802" t="s">
        <v>11825</v>
      </c>
      <c r="V1802" t="s">
        <v>4175</v>
      </c>
      <c r="W1802"/>
      <c r="X1802"/>
      <c r="Y1802"/>
      <c r="Z1802"/>
      <c r="AA1802" t="s">
        <v>11826</v>
      </c>
      <c r="AB1802"/>
      <c r="AC1802"/>
      <c r="AD1802"/>
      <c r="AE1802"/>
      <c r="AF1802" t="s">
        <v>11827</v>
      </c>
      <c r="AG1802" t="n">
        <v>127</v>
      </c>
    </row>
    <row r="1803">
      <c r="A1803" t="s">
        <v>11828</v>
      </c>
      <c r="B1803" t="s">
        <v>30</v>
      </c>
      <c r="C1803" t="s">
        <v>65</v>
      </c>
      <c r="D1803" t="s">
        <v>11829</v>
      </c>
      <c r="E1803" t="s">
        <v>2272</v>
      </c>
      <c r="F1803" t="s">
        <v>2267</v>
      </c>
      <c r="G1803" t="s">
        <v>2296</v>
      </c>
      <c r="H1803" t="n">
        <v>38.875131129732</v>
      </c>
      <c r="I1803" t="n">
        <v>-104.812828918995</v>
      </c>
      <c r="J1803" t="s">
        <v>35</v>
      </c>
      <c r="K1803" t="s">
        <v>282</v>
      </c>
      <c r="L1803"/>
      <c r="M1803" t="n">
        <v>1977</v>
      </c>
      <c r="N1803" t="n">
        <v>1980</v>
      </c>
      <c r="O1803" t="s">
        <v>228</v>
      </c>
      <c r="P1803" t="n">
        <v>2</v>
      </c>
      <c r="Q1803" t="n">
        <v>3</v>
      </c>
      <c r="R1803" t="n">
        <v>1</v>
      </c>
      <c r="S1803" t="n">
        <v>1976</v>
      </c>
      <c r="T1803" t="s">
        <v>11830</v>
      </c>
      <c r="U1803" t="s">
        <v>11831</v>
      </c>
      <c r="V1803" t="s">
        <v>74</v>
      </c>
      <c r="W1803"/>
      <c r="X1803"/>
      <c r="Y1803"/>
      <c r="Z1803"/>
      <c r="AA1803" t="s">
        <v>11832</v>
      </c>
      <c r="AB1803" t="s">
        <v>9349</v>
      </c>
      <c r="AC1803" t="n">
        <v>155</v>
      </c>
      <c r="AD1803" t="s">
        <v>9350</v>
      </c>
      <c r="AE1803" t="n">
        <v>114</v>
      </c>
      <c r="AF1803" t="s">
        <v>11833</v>
      </c>
      <c r="AG1803" t="n">
        <v>76</v>
      </c>
    </row>
    <row r="1804">
      <c r="A1804" t="s">
        <v>11834</v>
      </c>
      <c r="B1804" t="s">
        <v>30</v>
      </c>
      <c r="C1804" t="s">
        <v>65</v>
      </c>
      <c r="D1804" t="s">
        <v>11835</v>
      </c>
      <c r="E1804" t="s">
        <v>2272</v>
      </c>
      <c r="F1804" t="s">
        <v>2267</v>
      </c>
      <c r="G1804" t="s">
        <v>2444</v>
      </c>
      <c r="H1804" t="n">
        <v>38.8417267426096</v>
      </c>
      <c r="I1804" t="n">
        <v>-104.710671783161</v>
      </c>
      <c r="J1804" t="s">
        <v>35</v>
      </c>
      <c r="K1804" t="s">
        <v>120</v>
      </c>
      <c r="L1804"/>
      <c r="M1804" t="n">
        <v>1977</v>
      </c>
      <c r="N1804" t="n">
        <v>1990</v>
      </c>
      <c r="O1804" t="s">
        <v>2446</v>
      </c>
      <c r="P1804" t="n">
        <v>4</v>
      </c>
      <c r="Q1804" t="n">
        <v>4</v>
      </c>
      <c r="R1804" t="n">
        <v>2</v>
      </c>
      <c r="S1804" t="n">
        <v>1959</v>
      </c>
      <c r="T1804" t="s">
        <v>11836</v>
      </c>
      <c r="U1804" t="s">
        <v>11837</v>
      </c>
      <c r="V1804" t="s">
        <v>74</v>
      </c>
      <c r="W1804"/>
      <c r="X1804"/>
      <c r="Y1804"/>
      <c r="Z1804"/>
      <c r="AA1804" t="s">
        <v>11838</v>
      </c>
      <c r="AB1804"/>
      <c r="AC1804"/>
      <c r="AD1804"/>
      <c r="AE1804"/>
      <c r="AF1804" t="s">
        <v>11839</v>
      </c>
      <c r="AG1804" t="n">
        <v>160</v>
      </c>
    </row>
    <row r="1805">
      <c r="A1805" t="s">
        <v>11840</v>
      </c>
      <c r="B1805" t="s">
        <v>30</v>
      </c>
      <c r="C1805" t="s">
        <v>65</v>
      </c>
      <c r="D1805" t="s">
        <v>11841</v>
      </c>
      <c r="E1805" t="s">
        <v>2272</v>
      </c>
      <c r="F1805" t="s">
        <v>2267</v>
      </c>
      <c r="G1805" t="s">
        <v>2273</v>
      </c>
      <c r="H1805" t="n">
        <v>38.8355676977135</v>
      </c>
      <c r="I1805" t="n">
        <v>-104.788094616468</v>
      </c>
      <c r="J1805" t="s">
        <v>35</v>
      </c>
      <c r="K1805" t="s">
        <v>2274</v>
      </c>
      <c r="L1805"/>
      <c r="M1805" t="n">
        <v>1977</v>
      </c>
      <c r="N1805" t="n">
        <v>1990</v>
      </c>
      <c r="O1805" t="s">
        <v>228</v>
      </c>
      <c r="P1805" t="n">
        <v>2</v>
      </c>
      <c r="Q1805" t="n">
        <v>2</v>
      </c>
      <c r="R1805" t="n">
        <v>1</v>
      </c>
      <c r="S1805" t="n">
        <v>1972</v>
      </c>
      <c r="T1805" t="s">
        <v>11842</v>
      </c>
      <c r="U1805" t="s">
        <v>11843</v>
      </c>
      <c r="V1805" t="s">
        <v>74</v>
      </c>
      <c r="W1805"/>
      <c r="X1805"/>
      <c r="Y1805"/>
      <c r="Z1805"/>
      <c r="AA1805" t="s">
        <v>11844</v>
      </c>
      <c r="AB1805" t="s">
        <v>2505</v>
      </c>
      <c r="AC1805" t="n">
        <v>175</v>
      </c>
      <c r="AD1805"/>
      <c r="AE1805"/>
      <c r="AF1805" t="s">
        <v>11845</v>
      </c>
      <c r="AG1805" t="n">
        <v>205</v>
      </c>
    </row>
    <row r="1806">
      <c r="A1806" t="s">
        <v>11846</v>
      </c>
      <c r="B1806" t="s">
        <v>30</v>
      </c>
      <c r="C1806" t="s">
        <v>65</v>
      </c>
      <c r="D1806" t="s">
        <v>11847</v>
      </c>
      <c r="E1806" t="s">
        <v>2272</v>
      </c>
      <c r="F1806" t="s">
        <v>2267</v>
      </c>
      <c r="G1806" t="s">
        <v>2475</v>
      </c>
      <c r="H1806" t="n">
        <v>38.799342510644</v>
      </c>
      <c r="I1806" t="n">
        <v>-104.794300441447</v>
      </c>
      <c r="J1806" t="s">
        <v>35</v>
      </c>
      <c r="K1806" t="s">
        <v>120</v>
      </c>
      <c r="L1806"/>
      <c r="M1806" t="n">
        <v>1980</v>
      </c>
      <c r="N1806" t="n">
        <v>1990</v>
      </c>
      <c r="O1806" t="s">
        <v>351</v>
      </c>
      <c r="P1806" t="n">
        <v>2</v>
      </c>
      <c r="Q1806" t="n">
        <v>2</v>
      </c>
      <c r="R1806" t="n">
        <v>1</v>
      </c>
      <c r="S1806" t="n">
        <v>1979</v>
      </c>
      <c r="T1806" t="s">
        <v>11848</v>
      </c>
      <c r="U1806" t="s">
        <v>11849</v>
      </c>
      <c r="V1806" t="s">
        <v>74</v>
      </c>
      <c r="W1806"/>
      <c r="X1806"/>
      <c r="Y1806"/>
      <c r="Z1806"/>
      <c r="AA1806" t="s">
        <v>11850</v>
      </c>
      <c r="AB1806"/>
      <c r="AC1806"/>
      <c r="AD1806"/>
      <c r="AE1806"/>
      <c r="AF1806"/>
      <c r="AG1806"/>
    </row>
    <row r="1807">
      <c r="A1807" t="s">
        <v>11851</v>
      </c>
      <c r="B1807" t="s">
        <v>30</v>
      </c>
      <c r="C1807" t="s">
        <v>24</v>
      </c>
      <c r="D1807" t="s">
        <v>11852</v>
      </c>
      <c r="E1807" t="s">
        <v>2272</v>
      </c>
      <c r="F1807" t="s">
        <v>2267</v>
      </c>
      <c r="G1807" t="s">
        <v>2296</v>
      </c>
      <c r="H1807" t="n">
        <v>38.8719115218116</v>
      </c>
      <c r="I1807" t="n">
        <v>-104.885163607561</v>
      </c>
      <c r="J1807" t="s">
        <v>4109</v>
      </c>
      <c r="K1807" t="s">
        <v>120</v>
      </c>
      <c r="L1807"/>
      <c r="M1807" t="n">
        <v>1983</v>
      </c>
      <c r="N1807" t="n">
        <v>1983</v>
      </c>
      <c r="O1807" t="s">
        <v>264</v>
      </c>
      <c r="P1807" t="n">
        <v>1</v>
      </c>
      <c r="Q1807" t="n">
        <v>1</v>
      </c>
      <c r="R1807" t="n">
        <v>1</v>
      </c>
      <c r="S1807" t="n">
        <v>1961</v>
      </c>
      <c r="T1807" t="s">
        <v>11853</v>
      </c>
      <c r="U1807" t="s">
        <v>11854</v>
      </c>
      <c r="V1807" t="s">
        <v>74</v>
      </c>
      <c r="W1807"/>
      <c r="X1807"/>
      <c r="Y1807"/>
      <c r="Z1807"/>
      <c r="AA1807" t="s">
        <v>11855</v>
      </c>
      <c r="AB1807"/>
      <c r="AC1807"/>
      <c r="AD1807"/>
      <c r="AE1807"/>
      <c r="AF1807"/>
      <c r="AG1807"/>
    </row>
    <row r="1808">
      <c r="A1808" t="s">
        <v>11856</v>
      </c>
      <c r="B1808" t="s">
        <v>30</v>
      </c>
      <c r="C1808" t="s">
        <v>65</v>
      </c>
      <c r="D1808" t="s">
        <v>11857</v>
      </c>
      <c r="E1808" t="s">
        <v>2272</v>
      </c>
      <c r="F1808" t="s">
        <v>2267</v>
      </c>
      <c r="G1808" t="s">
        <v>2475</v>
      </c>
      <c r="H1808" t="n">
        <v>38.7975774717641</v>
      </c>
      <c r="I1808" t="n">
        <v>-104.800475046609</v>
      </c>
      <c r="J1808" t="s">
        <v>35</v>
      </c>
      <c r="K1808" t="s">
        <v>133</v>
      </c>
      <c r="L1808"/>
      <c r="M1808" t="n">
        <v>1983</v>
      </c>
      <c r="N1808" t="n">
        <v>1983</v>
      </c>
      <c r="O1808" t="s">
        <v>264</v>
      </c>
      <c r="P1808" t="n">
        <v>1</v>
      </c>
      <c r="Q1808" t="n">
        <v>1</v>
      </c>
      <c r="R1808" t="n">
        <v>1</v>
      </c>
      <c r="S1808" t="n">
        <v>1980</v>
      </c>
      <c r="T1808" t="s">
        <v>11858</v>
      </c>
      <c r="U1808" t="s">
        <v>11859</v>
      </c>
      <c r="V1808" t="s">
        <v>74</v>
      </c>
      <c r="W1808"/>
      <c r="X1808"/>
      <c r="Y1808"/>
      <c r="Z1808"/>
      <c r="AA1808" t="s">
        <v>11860</v>
      </c>
      <c r="AB1808"/>
      <c r="AC1808"/>
      <c r="AD1808"/>
      <c r="AE1808"/>
      <c r="AF1808"/>
      <c r="AG1808"/>
    </row>
    <row r="1809">
      <c r="A1809" t="s">
        <v>11861</v>
      </c>
      <c r="B1809" t="s">
        <v>30</v>
      </c>
      <c r="C1809" t="s">
        <v>24</v>
      </c>
      <c r="D1809" t="s">
        <v>11862</v>
      </c>
      <c r="E1809" t="s">
        <v>2272</v>
      </c>
      <c r="F1809" t="s">
        <v>2267</v>
      </c>
      <c r="G1809" t="s">
        <v>2475</v>
      </c>
      <c r="H1809" t="n">
        <v>38.807061</v>
      </c>
      <c r="I1809" t="n">
        <v>-104.831722</v>
      </c>
      <c r="J1809" t="s">
        <v>4109</v>
      </c>
      <c r="K1809" t="s">
        <v>89</v>
      </c>
      <c r="L1809"/>
      <c r="M1809" t="n">
        <v>1983</v>
      </c>
      <c r="N1809" t="n">
        <v>1983</v>
      </c>
      <c r="O1809" t="s">
        <v>264</v>
      </c>
      <c r="P1809" t="n">
        <v>1</v>
      </c>
      <c r="Q1809" t="n">
        <v>1</v>
      </c>
      <c r="R1809" t="n">
        <v>1</v>
      </c>
      <c r="S1809" t="n">
        <v>1979</v>
      </c>
      <c r="T1809" t="s">
        <v>11863</v>
      </c>
      <c r="U1809" t="s">
        <v>11864</v>
      </c>
      <c r="V1809" t="s">
        <v>74</v>
      </c>
      <c r="W1809"/>
      <c r="X1809"/>
      <c r="Y1809"/>
      <c r="Z1809"/>
      <c r="AA1809" t="s">
        <v>11865</v>
      </c>
      <c r="AB1809"/>
      <c r="AC1809"/>
      <c r="AD1809"/>
      <c r="AE1809"/>
      <c r="AF1809"/>
      <c r="AG1809"/>
    </row>
    <row r="1810">
      <c r="A1810" t="s">
        <v>11866</v>
      </c>
      <c r="B1810" t="s">
        <v>30</v>
      </c>
      <c r="C1810" t="s">
        <v>65</v>
      </c>
      <c r="D1810" t="s">
        <v>11867</v>
      </c>
      <c r="E1810" t="s">
        <v>2272</v>
      </c>
      <c r="F1810" t="s">
        <v>2267</v>
      </c>
      <c r="G1810" t="s">
        <v>9473</v>
      </c>
      <c r="H1810" t="n">
        <v>38.7805408434657</v>
      </c>
      <c r="I1810" t="n">
        <v>-104.773211485985</v>
      </c>
      <c r="J1810" t="s">
        <v>35</v>
      </c>
      <c r="K1810" t="s">
        <v>89</v>
      </c>
      <c r="L1810"/>
      <c r="M1810" t="n">
        <v>1983</v>
      </c>
      <c r="N1810" t="n">
        <v>1990</v>
      </c>
      <c r="O1810" t="s">
        <v>325</v>
      </c>
      <c r="P1810" t="n">
        <v>3</v>
      </c>
      <c r="Q1810" t="n">
        <v>2</v>
      </c>
      <c r="R1810" t="n">
        <v>1</v>
      </c>
      <c r="S1810" t="n">
        <v>1982</v>
      </c>
      <c r="T1810" t="s">
        <v>11868</v>
      </c>
      <c r="U1810" t="s">
        <v>11869</v>
      </c>
      <c r="V1810" t="s">
        <v>74</v>
      </c>
      <c r="W1810"/>
      <c r="X1810"/>
      <c r="Y1810"/>
      <c r="Z1810"/>
      <c r="AA1810" t="s">
        <v>11870</v>
      </c>
      <c r="AB1810"/>
      <c r="AC1810"/>
      <c r="AD1810" t="s">
        <v>11871</v>
      </c>
      <c r="AE1810" t="n">
        <v>174</v>
      </c>
      <c r="AF1810" t="s">
        <v>11872</v>
      </c>
      <c r="AG1810" t="n">
        <v>142</v>
      </c>
    </row>
    <row r="1811">
      <c r="A1811" t="s">
        <v>11873</v>
      </c>
      <c r="B1811" t="s">
        <v>30</v>
      </c>
      <c r="C1811" t="s">
        <v>24</v>
      </c>
      <c r="D1811" t="s">
        <v>11874</v>
      </c>
      <c r="E1811" t="s">
        <v>2272</v>
      </c>
      <c r="F1811" t="s">
        <v>2267</v>
      </c>
      <c r="G1811" t="s">
        <v>2273</v>
      </c>
      <c r="H1811" t="n">
        <v>38.8411631227138</v>
      </c>
      <c r="I1811" t="n">
        <v>-104.777763282098</v>
      </c>
      <c r="J1811" t="s">
        <v>4109</v>
      </c>
      <c r="K1811" t="s">
        <v>70</v>
      </c>
      <c r="L1811"/>
      <c r="M1811" t="n">
        <v>1983</v>
      </c>
      <c r="N1811" t="n">
        <v>1990</v>
      </c>
      <c r="O1811" t="s">
        <v>271</v>
      </c>
      <c r="P1811" t="n">
        <v>3</v>
      </c>
      <c r="Q1811" t="n">
        <v>1</v>
      </c>
      <c r="R1811" t="n">
        <v>1</v>
      </c>
      <c r="S1811" t="n">
        <v>1952</v>
      </c>
      <c r="T1811" t="s">
        <v>11875</v>
      </c>
      <c r="U1811" t="s">
        <v>11876</v>
      </c>
      <c r="V1811" t="s">
        <v>74</v>
      </c>
      <c r="W1811"/>
      <c r="X1811"/>
      <c r="Y1811"/>
      <c r="Z1811"/>
      <c r="AA1811" t="s">
        <v>11877</v>
      </c>
      <c r="AB1811"/>
      <c r="AC1811"/>
      <c r="AD1811"/>
      <c r="AE1811"/>
      <c r="AF1811" t="s">
        <v>11878</v>
      </c>
      <c r="AG1811" t="n">
        <v>115</v>
      </c>
    </row>
    <row r="1812">
      <c r="A1812" t="s">
        <v>11879</v>
      </c>
      <c r="B1812" t="s">
        <v>30</v>
      </c>
      <c r="C1812" t="s">
        <v>24</v>
      </c>
      <c r="D1812" t="s">
        <v>11880</v>
      </c>
      <c r="E1812" t="s">
        <v>2272</v>
      </c>
      <c r="F1812" t="s">
        <v>2267</v>
      </c>
      <c r="G1812" t="s">
        <v>11881</v>
      </c>
      <c r="H1812" t="n">
        <v>38.7809803700062</v>
      </c>
      <c r="I1812" t="n">
        <v>-104.657196122539</v>
      </c>
      <c r="J1812" t="s">
        <v>4109</v>
      </c>
      <c r="K1812" t="s">
        <v>89</v>
      </c>
      <c r="L1812"/>
      <c r="M1812" t="n">
        <v>1988</v>
      </c>
      <c r="N1812" t="n">
        <v>1988</v>
      </c>
      <c r="O1812" t="s">
        <v>325</v>
      </c>
      <c r="P1812" t="n">
        <v>1</v>
      </c>
      <c r="Q1812" t="n">
        <v>1</v>
      </c>
      <c r="R1812" t="n">
        <v>1</v>
      </c>
      <c r="S1812" t="n">
        <v>1978</v>
      </c>
      <c r="T1812" t="s">
        <v>11882</v>
      </c>
      <c r="U1812" t="s">
        <v>11883</v>
      </c>
      <c r="V1812" t="s">
        <v>74</v>
      </c>
      <c r="W1812"/>
      <c r="X1812"/>
      <c r="Y1812"/>
      <c r="Z1812"/>
      <c r="AA1812" t="s">
        <v>11884</v>
      </c>
      <c r="AB1812"/>
      <c r="AC1812"/>
      <c r="AD1812"/>
      <c r="AE1812"/>
      <c r="AF1812"/>
      <c r="AG1812"/>
    </row>
    <row r="1813">
      <c r="A1813" t="s">
        <v>11885</v>
      </c>
      <c r="B1813" t="s">
        <v>30</v>
      </c>
      <c r="C1813" t="s">
        <v>24</v>
      </c>
      <c r="D1813" t="s">
        <v>11886</v>
      </c>
      <c r="E1813" t="s">
        <v>2272</v>
      </c>
      <c r="F1813" t="s">
        <v>2267</v>
      </c>
      <c r="G1813" t="s">
        <v>2296</v>
      </c>
      <c r="H1813" t="n">
        <v>38.8754842349535</v>
      </c>
      <c r="I1813" t="n">
        <v>-104.883624417806</v>
      </c>
      <c r="J1813" t="s">
        <v>4109</v>
      </c>
      <c r="K1813" t="s">
        <v>315</v>
      </c>
      <c r="L1813"/>
      <c r="M1813" t="n">
        <v>1988</v>
      </c>
      <c r="N1813" t="n">
        <v>1988</v>
      </c>
      <c r="O1813" t="s">
        <v>325</v>
      </c>
      <c r="P1813" t="n">
        <v>1</v>
      </c>
      <c r="Q1813" t="n">
        <v>1</v>
      </c>
      <c r="R1813" t="n">
        <v>1</v>
      </c>
      <c r="S1813" t="n">
        <v>1976</v>
      </c>
      <c r="T1813" t="s">
        <v>11887</v>
      </c>
      <c r="U1813" t="s">
        <v>11888</v>
      </c>
      <c r="V1813" t="s">
        <v>74</v>
      </c>
      <c r="W1813"/>
      <c r="X1813"/>
      <c r="Y1813"/>
      <c r="Z1813"/>
      <c r="AA1813" t="s">
        <v>11889</v>
      </c>
      <c r="AB1813"/>
      <c r="AC1813"/>
      <c r="AD1813"/>
      <c r="AE1813"/>
      <c r="AF1813"/>
      <c r="AG1813"/>
    </row>
    <row r="1814">
      <c r="A1814" t="s">
        <v>11890</v>
      </c>
      <c r="B1814" t="s">
        <v>30</v>
      </c>
      <c r="C1814" t="s">
        <v>24</v>
      </c>
      <c r="D1814" t="s">
        <v>11891</v>
      </c>
      <c r="E1814" t="s">
        <v>2272</v>
      </c>
      <c r="F1814" t="s">
        <v>2267</v>
      </c>
      <c r="G1814" t="s">
        <v>2296</v>
      </c>
      <c r="H1814" t="n">
        <v>38.889305</v>
      </c>
      <c r="I1814" t="n">
        <v>-104.826584</v>
      </c>
      <c r="J1814" t="s">
        <v>4109</v>
      </c>
      <c r="K1814" t="s">
        <v>70</v>
      </c>
      <c r="L1814"/>
      <c r="M1814" t="n">
        <v>1988</v>
      </c>
      <c r="N1814" t="n">
        <v>1988</v>
      </c>
      <c r="O1814" t="s">
        <v>325</v>
      </c>
      <c r="P1814" t="n">
        <v>1</v>
      </c>
      <c r="Q1814" t="n">
        <v>1</v>
      </c>
      <c r="R1814" t="n">
        <v>1</v>
      </c>
      <c r="S1814" t="n">
        <v>1966</v>
      </c>
      <c r="T1814" t="s">
        <v>11892</v>
      </c>
      <c r="U1814" t="s">
        <v>11893</v>
      </c>
      <c r="V1814" t="s">
        <v>74</v>
      </c>
      <c r="W1814"/>
      <c r="X1814"/>
      <c r="Y1814"/>
      <c r="Z1814"/>
      <c r="AA1814" t="s">
        <v>11894</v>
      </c>
      <c r="AB1814"/>
      <c r="AC1814"/>
      <c r="AD1814"/>
      <c r="AE1814"/>
      <c r="AF1814"/>
      <c r="AG1814"/>
    </row>
    <row r="1815">
      <c r="A1815" t="s">
        <v>11895</v>
      </c>
      <c r="B1815" t="s">
        <v>30</v>
      </c>
      <c r="C1815" t="s">
        <v>65</v>
      </c>
      <c r="D1815" t="s">
        <v>11896</v>
      </c>
      <c r="E1815" t="s">
        <v>2272</v>
      </c>
      <c r="F1815" t="s">
        <v>2267</v>
      </c>
      <c r="G1815" t="s">
        <v>2444</v>
      </c>
      <c r="H1815" t="n">
        <v>38.845641765419</v>
      </c>
      <c r="I1815" t="n">
        <v>-104.710650437075</v>
      </c>
      <c r="J1815" t="s">
        <v>35</v>
      </c>
      <c r="K1815" t="s">
        <v>70</v>
      </c>
      <c r="L1815"/>
      <c r="M1815" t="n">
        <v>1988</v>
      </c>
      <c r="N1815" t="n">
        <v>1990</v>
      </c>
      <c r="O1815" t="s">
        <v>325</v>
      </c>
      <c r="P1815" t="n">
        <v>2</v>
      </c>
      <c r="Q1815" t="n">
        <v>3</v>
      </c>
      <c r="R1815" t="n">
        <v>1</v>
      </c>
      <c r="S1815" t="n">
        <v>1902</v>
      </c>
      <c r="T1815" t="s">
        <v>11897</v>
      </c>
      <c r="U1815" t="s">
        <v>11898</v>
      </c>
      <c r="V1815" t="s">
        <v>74</v>
      </c>
      <c r="W1815"/>
      <c r="X1815"/>
      <c r="Y1815"/>
      <c r="Z1815"/>
      <c r="AA1815" t="s">
        <v>11899</v>
      </c>
      <c r="AB1815"/>
      <c r="AC1815"/>
      <c r="AD1815"/>
      <c r="AE1815"/>
      <c r="AF1815" t="s">
        <v>11900</v>
      </c>
      <c r="AG1815" t="n">
        <v>128</v>
      </c>
    </row>
    <row r="1816">
      <c r="A1816" t="s">
        <v>11901</v>
      </c>
      <c r="B1816" t="s">
        <v>30</v>
      </c>
      <c r="C1816" t="s">
        <v>24</v>
      </c>
      <c r="D1816" t="s">
        <v>11902</v>
      </c>
      <c r="E1816" t="s">
        <v>2272</v>
      </c>
      <c r="F1816" t="s">
        <v>2267</v>
      </c>
      <c r="G1816" t="s">
        <v>2296</v>
      </c>
      <c r="H1816" t="n">
        <v>38.8745523641575</v>
      </c>
      <c r="I1816" t="n">
        <v>-104.884705730238</v>
      </c>
      <c r="J1816" t="s">
        <v>4109</v>
      </c>
      <c r="K1816" t="s">
        <v>70</v>
      </c>
      <c r="L1816"/>
      <c r="M1816" t="n">
        <v>1988</v>
      </c>
      <c r="N1816" t="n">
        <v>1990</v>
      </c>
      <c r="O1816" t="s">
        <v>310</v>
      </c>
      <c r="P1816" t="n">
        <v>2</v>
      </c>
      <c r="Q1816" t="n">
        <v>2</v>
      </c>
      <c r="R1816" t="n">
        <v>2</v>
      </c>
      <c r="S1816" t="n">
        <v>1984</v>
      </c>
      <c r="T1816" t="s">
        <v>11903</v>
      </c>
      <c r="U1816" t="s">
        <v>11904</v>
      </c>
      <c r="V1816" t="s">
        <v>74</v>
      </c>
      <c r="W1816"/>
      <c r="X1816"/>
      <c r="Y1816"/>
      <c r="Z1816"/>
      <c r="AA1816" t="s">
        <v>11905</v>
      </c>
      <c r="AB1816"/>
      <c r="AC1816"/>
      <c r="AD1816"/>
      <c r="AE1816"/>
      <c r="AF1816"/>
      <c r="AG1816"/>
    </row>
    <row r="1817">
      <c r="A1817" t="s">
        <v>11906</v>
      </c>
      <c r="B1817" t="s">
        <v>30</v>
      </c>
      <c r="C1817" t="s">
        <v>65</v>
      </c>
      <c r="D1817" t="s">
        <v>11907</v>
      </c>
      <c r="E1817" t="s">
        <v>2272</v>
      </c>
      <c r="F1817" t="s">
        <v>2267</v>
      </c>
      <c r="G1817" t="s">
        <v>2296</v>
      </c>
      <c r="H1817" t="n">
        <v>38.8836304261414</v>
      </c>
      <c r="I1817" t="n">
        <v>-104.829407449588</v>
      </c>
      <c r="J1817" t="s">
        <v>35</v>
      </c>
      <c r="K1817" t="s">
        <v>70</v>
      </c>
      <c r="L1817"/>
      <c r="M1817" t="n">
        <v>1988</v>
      </c>
      <c r="N1817" t="n">
        <v>1990</v>
      </c>
      <c r="O1817" t="s">
        <v>310</v>
      </c>
      <c r="P1817" t="n">
        <v>2</v>
      </c>
      <c r="Q1817" t="n">
        <v>1</v>
      </c>
      <c r="R1817" t="n">
        <v>1</v>
      </c>
      <c r="S1817" t="n">
        <v>1965</v>
      </c>
      <c r="T1817" t="s">
        <v>11908</v>
      </c>
      <c r="U1817" t="s">
        <v>11909</v>
      </c>
      <c r="V1817" t="s">
        <v>74</v>
      </c>
      <c r="W1817"/>
      <c r="X1817"/>
      <c r="Y1817"/>
      <c r="Z1817"/>
      <c r="AA1817" t="s">
        <v>11910</v>
      </c>
      <c r="AB1817"/>
      <c r="AC1817"/>
      <c r="AD1817"/>
      <c r="AE1817"/>
      <c r="AF1817" t="s">
        <v>11911</v>
      </c>
      <c r="AG1817" t="n">
        <v>205</v>
      </c>
    </row>
    <row r="1818">
      <c r="A1818" t="s">
        <v>11912</v>
      </c>
      <c r="B1818" t="s">
        <v>30</v>
      </c>
      <c r="C1818" t="s">
        <v>24</v>
      </c>
      <c r="D1818" t="s">
        <v>11913</v>
      </c>
      <c r="E1818" t="s">
        <v>2272</v>
      </c>
      <c r="F1818" t="s">
        <v>2267</v>
      </c>
      <c r="G1818" t="s">
        <v>2289</v>
      </c>
      <c r="H1818" t="n">
        <v>38.821548</v>
      </c>
      <c r="I1818" t="n">
        <v>-104.818606</v>
      </c>
      <c r="J1818" t="s">
        <v>4109</v>
      </c>
      <c r="K1818" t="s">
        <v>70</v>
      </c>
      <c r="L1818"/>
      <c r="M1818" t="n">
        <v>1988</v>
      </c>
      <c r="N1818" t="n">
        <v>1988</v>
      </c>
      <c r="O1818" t="s">
        <v>325</v>
      </c>
      <c r="P1818" t="n">
        <v>1</v>
      </c>
      <c r="Q1818" t="n">
        <v>1</v>
      </c>
      <c r="R1818" t="n">
        <v>1</v>
      </c>
      <c r="S1818" t="n">
        <v>1983</v>
      </c>
      <c r="T1818" t="s">
        <v>11914</v>
      </c>
      <c r="U1818" t="s">
        <v>11915</v>
      </c>
      <c r="V1818" t="s">
        <v>74</v>
      </c>
      <c r="W1818"/>
      <c r="X1818"/>
      <c r="Y1818"/>
      <c r="Z1818"/>
      <c r="AA1818" t="s">
        <v>11916</v>
      </c>
      <c r="AB1818"/>
      <c r="AC1818"/>
      <c r="AD1818"/>
      <c r="AE1818"/>
      <c r="AF1818"/>
      <c r="AG1818"/>
    </row>
    <row r="1819">
      <c r="A1819" t="s">
        <v>11917</v>
      </c>
      <c r="B1819" t="s">
        <v>30</v>
      </c>
      <c r="C1819" t="s">
        <v>65</v>
      </c>
      <c r="D1819" t="s">
        <v>11918</v>
      </c>
      <c r="E1819" t="s">
        <v>2272</v>
      </c>
      <c r="F1819" t="s">
        <v>2267</v>
      </c>
      <c r="G1819" t="s">
        <v>2475</v>
      </c>
      <c r="H1819" t="n">
        <v>38.8027391841345</v>
      </c>
      <c r="I1819" t="n">
        <v>-104.794405720994</v>
      </c>
      <c r="J1819" t="s">
        <v>35</v>
      </c>
      <c r="K1819" t="s">
        <v>1282</v>
      </c>
      <c r="L1819"/>
      <c r="M1819" t="n">
        <v>1988</v>
      </c>
      <c r="N1819" t="n">
        <v>1992</v>
      </c>
      <c r="O1819" t="s">
        <v>325</v>
      </c>
      <c r="P1819" t="n">
        <v>3</v>
      </c>
      <c r="Q1819" t="n">
        <v>1</v>
      </c>
      <c r="R1819" t="n">
        <v>1</v>
      </c>
      <c r="S1819" t="n">
        <v>1981</v>
      </c>
      <c r="T1819" t="s">
        <v>11919</v>
      </c>
      <c r="U1819" t="s">
        <v>11920</v>
      </c>
      <c r="V1819" t="s">
        <v>74</v>
      </c>
      <c r="W1819"/>
      <c r="X1819"/>
      <c r="Y1819"/>
      <c r="Z1819"/>
      <c r="AA1819" t="s">
        <v>11921</v>
      </c>
      <c r="AB1819"/>
      <c r="AC1819"/>
      <c r="AD1819" t="s">
        <v>11922</v>
      </c>
      <c r="AE1819" t="n">
        <v>240</v>
      </c>
      <c r="AF1819" t="s">
        <v>2516</v>
      </c>
      <c r="AG1819" t="n">
        <v>77</v>
      </c>
    </row>
    <row r="1820">
      <c r="A1820" t="s">
        <v>11923</v>
      </c>
      <c r="B1820" t="s">
        <v>30</v>
      </c>
      <c r="C1820" t="s">
        <v>65</v>
      </c>
      <c r="D1820" t="s">
        <v>11924</v>
      </c>
      <c r="E1820" t="s">
        <v>2272</v>
      </c>
      <c r="F1820" t="s">
        <v>2267</v>
      </c>
      <c r="G1820" t="s">
        <v>2296</v>
      </c>
      <c r="H1820" t="n">
        <v>38.891972</v>
      </c>
      <c r="I1820" t="n">
        <v>-104.825656</v>
      </c>
      <c r="J1820" t="s">
        <v>35</v>
      </c>
      <c r="K1820" t="s">
        <v>315</v>
      </c>
      <c r="L1820"/>
      <c r="M1820" t="n">
        <v>1988</v>
      </c>
      <c r="N1820" t="n">
        <v>1990</v>
      </c>
      <c r="O1820" t="s">
        <v>310</v>
      </c>
      <c r="P1820" t="n">
        <v>2</v>
      </c>
      <c r="Q1820" t="n">
        <v>2</v>
      </c>
      <c r="R1820" t="n">
        <v>2</v>
      </c>
      <c r="S1820" t="n">
        <v>1959</v>
      </c>
      <c r="T1820" t="s">
        <v>11925</v>
      </c>
      <c r="U1820" t="s">
        <v>11926</v>
      </c>
      <c r="V1820" t="s">
        <v>74</v>
      </c>
      <c r="W1820"/>
      <c r="X1820"/>
      <c r="Y1820"/>
      <c r="Z1820"/>
      <c r="AA1820" t="s">
        <v>11927</v>
      </c>
      <c r="AB1820"/>
      <c r="AC1820"/>
      <c r="AD1820" t="s">
        <v>11928</v>
      </c>
      <c r="AE1820" t="n">
        <v>187</v>
      </c>
      <c r="AF1820" t="s">
        <v>11929</v>
      </c>
      <c r="AG1820" t="n">
        <v>40</v>
      </c>
    </row>
    <row r="1821">
      <c r="A1821" t="s">
        <v>11930</v>
      </c>
      <c r="B1821" t="s">
        <v>30</v>
      </c>
      <c r="C1821" t="s">
        <v>65</v>
      </c>
      <c r="D1821" t="s">
        <v>11931</v>
      </c>
      <c r="E1821" t="s">
        <v>11932</v>
      </c>
      <c r="F1821" t="s">
        <v>2267</v>
      </c>
      <c r="G1821" t="s">
        <v>11933</v>
      </c>
      <c r="H1821" t="n">
        <v>38.9532972381961</v>
      </c>
      <c r="I1821" t="n">
        <v>-104.57053523509</v>
      </c>
      <c r="J1821" t="s">
        <v>35</v>
      </c>
      <c r="K1821" t="s">
        <v>315</v>
      </c>
      <c r="L1821"/>
      <c r="M1821" t="n">
        <v>1988</v>
      </c>
      <c r="N1821" t="n">
        <v>1992</v>
      </c>
      <c r="O1821" t="s">
        <v>325</v>
      </c>
      <c r="P1821" t="n">
        <v>2</v>
      </c>
      <c r="Q1821" t="n">
        <v>2</v>
      </c>
      <c r="R1821" t="n">
        <v>1</v>
      </c>
      <c r="S1821" t="n">
        <v>1972</v>
      </c>
      <c r="T1821" t="s">
        <v>11934</v>
      </c>
      <c r="U1821" t="s">
        <v>11935</v>
      </c>
      <c r="V1821" t="s">
        <v>74</v>
      </c>
      <c r="W1821"/>
      <c r="X1821"/>
      <c r="Y1821"/>
      <c r="Z1821"/>
      <c r="AA1821" t="s">
        <v>11936</v>
      </c>
      <c r="AB1821"/>
      <c r="AC1821"/>
      <c r="AD1821"/>
      <c r="AE1821"/>
      <c r="AF1821" t="s">
        <v>11937</v>
      </c>
      <c r="AG1821" t="n">
        <v>139</v>
      </c>
    </row>
    <row r="1822">
      <c r="A1822" t="s">
        <v>11938</v>
      </c>
      <c r="B1822" t="s">
        <v>30</v>
      </c>
      <c r="C1822" t="s">
        <v>24</v>
      </c>
      <c r="D1822" t="s">
        <v>11939</v>
      </c>
      <c r="E1822" t="s">
        <v>2272</v>
      </c>
      <c r="F1822" t="s">
        <v>2267</v>
      </c>
      <c r="G1822" t="s">
        <v>2296</v>
      </c>
      <c r="H1822" t="n">
        <v>38.904954</v>
      </c>
      <c r="I1822" t="n">
        <v>-104.783915</v>
      </c>
      <c r="J1822" t="s">
        <v>4109</v>
      </c>
      <c r="K1822" t="s">
        <v>270</v>
      </c>
      <c r="L1822"/>
      <c r="M1822" t="n">
        <v>1990</v>
      </c>
      <c r="N1822" t="n">
        <v>1990</v>
      </c>
      <c r="O1822" t="s">
        <v>351</v>
      </c>
      <c r="P1822" t="n">
        <v>1</v>
      </c>
      <c r="Q1822" t="n">
        <v>1</v>
      </c>
      <c r="R1822" t="n">
        <v>1</v>
      </c>
      <c r="S1822" t="n">
        <v>1970</v>
      </c>
      <c r="T1822" t="s">
        <v>11940</v>
      </c>
      <c r="U1822" t="s">
        <v>11941</v>
      </c>
      <c r="V1822" t="s">
        <v>74</v>
      </c>
      <c r="W1822"/>
      <c r="X1822"/>
      <c r="Y1822"/>
      <c r="Z1822"/>
      <c r="AA1822" t="s">
        <v>11942</v>
      </c>
      <c r="AB1822"/>
      <c r="AC1822"/>
      <c r="AD1822"/>
      <c r="AE1822"/>
      <c r="AF1822"/>
      <c r="AG1822"/>
    </row>
    <row r="1823">
      <c r="A1823" t="s">
        <v>11943</v>
      </c>
      <c r="B1823" t="s">
        <v>30</v>
      </c>
      <c r="C1823" t="s">
        <v>65</v>
      </c>
      <c r="D1823" t="s">
        <v>11944</v>
      </c>
      <c r="E1823" t="s">
        <v>2272</v>
      </c>
      <c r="F1823" t="s">
        <v>2267</v>
      </c>
      <c r="G1823" t="s">
        <v>2289</v>
      </c>
      <c r="H1823" t="n">
        <v>38.8292507122597</v>
      </c>
      <c r="I1823" t="n">
        <v>-104.818368766378</v>
      </c>
      <c r="J1823" t="s">
        <v>35</v>
      </c>
      <c r="K1823" t="s">
        <v>70</v>
      </c>
      <c r="L1823"/>
      <c r="M1823" t="n">
        <v>1992</v>
      </c>
      <c r="N1823" t="n">
        <v>1992</v>
      </c>
      <c r="O1823" t="s">
        <v>1016</v>
      </c>
      <c r="P1823" t="n">
        <v>1</v>
      </c>
      <c r="Q1823" t="n">
        <v>1</v>
      </c>
      <c r="R1823" t="n">
        <v>1</v>
      </c>
      <c r="S1823" t="n">
        <v>1950</v>
      </c>
      <c r="T1823" t="s">
        <v>11945</v>
      </c>
      <c r="U1823" t="s">
        <v>11946</v>
      </c>
      <c r="V1823" t="s">
        <v>74</v>
      </c>
      <c r="W1823"/>
      <c r="X1823"/>
      <c r="Y1823"/>
      <c r="Z1823"/>
      <c r="AA1823" t="s">
        <v>11947</v>
      </c>
      <c r="AB1823"/>
      <c r="AC1823"/>
      <c r="AD1823" t="s">
        <v>2352</v>
      </c>
      <c r="AE1823" t="n">
        <v>236</v>
      </c>
      <c r="AF1823" t="s">
        <v>2353</v>
      </c>
      <c r="AG1823" t="n">
        <v>81</v>
      </c>
    </row>
    <row r="1824">
      <c r="A1824" t="s">
        <v>11948</v>
      </c>
      <c r="B1824" t="s">
        <v>30</v>
      </c>
      <c r="C1824" t="s">
        <v>65</v>
      </c>
      <c r="D1824" t="s">
        <v>11949</v>
      </c>
      <c r="E1824" t="s">
        <v>2646</v>
      </c>
      <c r="F1824" t="s">
        <v>2640</v>
      </c>
      <c r="G1824" t="s">
        <v>2647</v>
      </c>
      <c r="H1824" t="n">
        <v>38.3872337679178</v>
      </c>
      <c r="I1824" t="n">
        <v>-105.112453391367</v>
      </c>
      <c r="J1824" t="s">
        <v>35</v>
      </c>
      <c r="K1824" t="s">
        <v>89</v>
      </c>
      <c r="L1824"/>
      <c r="M1824" t="n">
        <v>1967</v>
      </c>
      <c r="N1824" t="n">
        <v>1983</v>
      </c>
      <c r="O1824" t="s">
        <v>11374</v>
      </c>
      <c r="P1824" t="n">
        <v>5</v>
      </c>
      <c r="Q1824" t="n">
        <v>3</v>
      </c>
      <c r="R1824" t="n">
        <v>3</v>
      </c>
      <c r="S1824" t="n">
        <v>1964</v>
      </c>
      <c r="T1824" t="s">
        <v>11950</v>
      </c>
      <c r="U1824" t="s">
        <v>11951</v>
      </c>
      <c r="V1824" t="s">
        <v>74</v>
      </c>
      <c r="W1824"/>
      <c r="X1824"/>
      <c r="Y1824"/>
      <c r="Z1824"/>
      <c r="AA1824" t="s">
        <v>11952</v>
      </c>
      <c r="AB1824"/>
      <c r="AC1824"/>
      <c r="AD1824"/>
      <c r="AE1824"/>
      <c r="AF1824"/>
      <c r="AG1824"/>
    </row>
    <row r="1825">
      <c r="A1825" t="s">
        <v>11953</v>
      </c>
      <c r="B1825" t="s">
        <v>30</v>
      </c>
      <c r="C1825" t="s">
        <v>24</v>
      </c>
      <c r="D1825" t="s">
        <v>11954</v>
      </c>
      <c r="E1825" t="s">
        <v>2646</v>
      </c>
      <c r="F1825" t="s">
        <v>2640</v>
      </c>
      <c r="G1825" t="s">
        <v>2647</v>
      </c>
      <c r="H1825" t="n">
        <v>38.386172080054</v>
      </c>
      <c r="I1825" t="n">
        <v>-105.119646926433</v>
      </c>
      <c r="J1825" t="s">
        <v>4109</v>
      </c>
      <c r="K1825" t="s">
        <v>89</v>
      </c>
      <c r="L1825"/>
      <c r="M1825" t="n">
        <v>1990</v>
      </c>
      <c r="N1825" t="n">
        <v>1990</v>
      </c>
      <c r="O1825" t="s">
        <v>351</v>
      </c>
      <c r="P1825" t="n">
        <v>1</v>
      </c>
      <c r="Q1825" t="n">
        <v>1</v>
      </c>
      <c r="R1825" t="n">
        <v>1</v>
      </c>
      <c r="S1825" t="n">
        <v>1985</v>
      </c>
      <c r="T1825" t="s">
        <v>11955</v>
      </c>
      <c r="U1825" t="s">
        <v>11956</v>
      </c>
      <c r="V1825" t="s">
        <v>74</v>
      </c>
      <c r="W1825"/>
      <c r="X1825"/>
      <c r="Y1825"/>
      <c r="Z1825"/>
      <c r="AA1825" t="s">
        <v>11957</v>
      </c>
      <c r="AB1825"/>
      <c r="AC1825"/>
      <c r="AD1825"/>
      <c r="AE1825"/>
      <c r="AF1825"/>
      <c r="AG1825"/>
    </row>
    <row r="1826">
      <c r="A1826" t="s">
        <v>11958</v>
      </c>
      <c r="B1826" t="s">
        <v>30</v>
      </c>
      <c r="C1826" t="s">
        <v>65</v>
      </c>
      <c r="D1826" t="s">
        <v>11959</v>
      </c>
      <c r="E1826" t="s">
        <v>2675</v>
      </c>
      <c r="F1826" t="s">
        <v>2667</v>
      </c>
      <c r="G1826" t="s">
        <v>2676</v>
      </c>
      <c r="H1826" t="n">
        <v>39.5316555408163</v>
      </c>
      <c r="I1826" t="n">
        <v>-107.783277071429</v>
      </c>
      <c r="J1826" t="s">
        <v>35</v>
      </c>
      <c r="K1826" t="s">
        <v>133</v>
      </c>
      <c r="L1826"/>
      <c r="M1826" t="n">
        <v>1967</v>
      </c>
      <c r="N1826" t="n">
        <v>1983</v>
      </c>
      <c r="O1826" t="s">
        <v>1173</v>
      </c>
      <c r="P1826" t="n">
        <v>6</v>
      </c>
      <c r="Q1826" t="n">
        <v>2</v>
      </c>
      <c r="R1826" t="n">
        <v>2</v>
      </c>
      <c r="S1826" t="n">
        <v>1945</v>
      </c>
      <c r="T1826" t="s">
        <v>11960</v>
      </c>
      <c r="U1826" t="s">
        <v>11961</v>
      </c>
      <c r="V1826" t="s">
        <v>74</v>
      </c>
      <c r="W1826"/>
      <c r="X1826"/>
      <c r="Y1826"/>
      <c r="Z1826"/>
      <c r="AA1826" t="s">
        <v>11962</v>
      </c>
      <c r="AB1826" t="s">
        <v>11963</v>
      </c>
      <c r="AC1826" t="n">
        <v>146</v>
      </c>
      <c r="AD1826"/>
      <c r="AE1826"/>
      <c r="AF1826" t="s">
        <v>11964</v>
      </c>
      <c r="AG1826" t="n">
        <v>134</v>
      </c>
    </row>
    <row r="1827">
      <c r="A1827" t="s">
        <v>11965</v>
      </c>
      <c r="B1827" t="s">
        <v>30</v>
      </c>
      <c r="C1827" t="s">
        <v>65</v>
      </c>
      <c r="D1827" t="s">
        <v>11966</v>
      </c>
      <c r="E1827" t="s">
        <v>2729</v>
      </c>
      <c r="F1827" t="s">
        <v>2724</v>
      </c>
      <c r="G1827"/>
      <c r="H1827" t="n">
        <v>39.7988369997993</v>
      </c>
      <c r="I1827" t="n">
        <v>-105.079090989578</v>
      </c>
      <c r="J1827" t="s">
        <v>35</v>
      </c>
      <c r="K1827" t="s">
        <v>70</v>
      </c>
      <c r="L1827"/>
      <c r="M1827" t="n">
        <v>1965</v>
      </c>
      <c r="N1827" t="n">
        <v>1973</v>
      </c>
      <c r="O1827" t="s">
        <v>11967</v>
      </c>
      <c r="P1827" t="n">
        <v>4</v>
      </c>
      <c r="Q1827" t="n">
        <v>3</v>
      </c>
      <c r="R1827" t="n">
        <v>3</v>
      </c>
      <c r="S1827" t="n">
        <v>1945</v>
      </c>
      <c r="T1827" t="s">
        <v>11968</v>
      </c>
      <c r="U1827" t="s">
        <v>11969</v>
      </c>
      <c r="V1827" t="s">
        <v>74</v>
      </c>
      <c r="W1827"/>
      <c r="X1827"/>
      <c r="Y1827"/>
      <c r="Z1827"/>
      <c r="AA1827" t="s">
        <v>11970</v>
      </c>
      <c r="AB1827"/>
      <c r="AC1827"/>
      <c r="AD1827"/>
      <c r="AE1827"/>
      <c r="AF1827" t="s">
        <v>11971</v>
      </c>
      <c r="AG1827" t="n">
        <v>70</v>
      </c>
    </row>
    <row r="1828">
      <c r="A1828" t="s">
        <v>11972</v>
      </c>
      <c r="B1828" t="s">
        <v>30</v>
      </c>
      <c r="C1828" t="s">
        <v>24</v>
      </c>
      <c r="D1828" t="s">
        <v>11973</v>
      </c>
      <c r="E1828" t="s">
        <v>2729</v>
      </c>
      <c r="F1828" t="s">
        <v>2724</v>
      </c>
      <c r="G1828"/>
      <c r="H1828" t="n">
        <v>39.796968</v>
      </c>
      <c r="I1828" t="n">
        <v>-105.085377</v>
      </c>
      <c r="J1828" t="s">
        <v>4109</v>
      </c>
      <c r="K1828" t="s">
        <v>120</v>
      </c>
      <c r="L1828"/>
      <c r="M1828" t="n">
        <v>1965</v>
      </c>
      <c r="N1828" t="n">
        <v>1965</v>
      </c>
      <c r="O1828" t="s">
        <v>1275</v>
      </c>
      <c r="P1828" t="n">
        <v>1</v>
      </c>
      <c r="Q1828" t="n">
        <v>1</v>
      </c>
      <c r="R1828" t="n">
        <v>1</v>
      </c>
      <c r="S1828"/>
      <c r="T1828" t="s">
        <v>11974</v>
      </c>
      <c r="U1828" t="s">
        <v>11975</v>
      </c>
      <c r="V1828" t="s">
        <v>74</v>
      </c>
      <c r="W1828"/>
      <c r="X1828"/>
      <c r="Y1828"/>
      <c r="Z1828"/>
      <c r="AA1828" t="s">
        <v>11976</v>
      </c>
      <c r="AB1828"/>
      <c r="AC1828"/>
      <c r="AD1828"/>
      <c r="AE1828"/>
      <c r="AF1828"/>
      <c r="AG1828"/>
    </row>
    <row r="1829">
      <c r="A1829" t="s">
        <v>11977</v>
      </c>
      <c r="B1829" t="s">
        <v>30</v>
      </c>
      <c r="C1829" t="s">
        <v>25</v>
      </c>
      <c r="D1829" t="s">
        <v>11978</v>
      </c>
      <c r="E1829" t="s">
        <v>2748</v>
      </c>
      <c r="F1829" t="s">
        <v>2724</v>
      </c>
      <c r="G1829" t="s">
        <v>2856</v>
      </c>
      <c r="H1829" t="n">
        <v>39.742583</v>
      </c>
      <c r="I1829" t="n">
        <v>-105.053207846154</v>
      </c>
      <c r="J1829" t="s">
        <v>4109</v>
      </c>
      <c r="K1829" t="s">
        <v>120</v>
      </c>
      <c r="L1829"/>
      <c r="M1829" t="n">
        <v>1966</v>
      </c>
      <c r="N1829" t="n">
        <v>1966</v>
      </c>
      <c r="O1829" t="s">
        <v>4172</v>
      </c>
      <c r="P1829" t="n">
        <v>1</v>
      </c>
      <c r="Q1829" t="n">
        <v>1</v>
      </c>
      <c r="R1829" t="n">
        <v>1</v>
      </c>
      <c r="S1829" t="n">
        <v>1949</v>
      </c>
      <c r="T1829" t="s">
        <v>11979</v>
      </c>
      <c r="U1829" t="s">
        <v>11980</v>
      </c>
      <c r="V1829" t="s">
        <v>4175</v>
      </c>
      <c r="W1829"/>
      <c r="X1829"/>
      <c r="Y1829"/>
      <c r="Z1829"/>
      <c r="AA1829" t="s">
        <v>11981</v>
      </c>
      <c r="AB1829"/>
      <c r="AC1829"/>
      <c r="AD1829"/>
      <c r="AE1829"/>
      <c r="AF1829" t="s">
        <v>11982</v>
      </c>
      <c r="AG1829" t="n">
        <v>185</v>
      </c>
    </row>
    <row r="1830">
      <c r="A1830" t="s">
        <v>11983</v>
      </c>
      <c r="B1830" t="s">
        <v>30</v>
      </c>
      <c r="C1830" t="s">
        <v>65</v>
      </c>
      <c r="D1830" t="s">
        <v>11984</v>
      </c>
      <c r="E1830" t="s">
        <v>2748</v>
      </c>
      <c r="F1830" t="s">
        <v>2724</v>
      </c>
      <c r="G1830" t="s">
        <v>2749</v>
      </c>
      <c r="H1830" t="n">
        <v>39.7414993221476</v>
      </c>
      <c r="I1830" t="n">
        <v>-105.105174778524</v>
      </c>
      <c r="J1830" t="s">
        <v>35</v>
      </c>
      <c r="K1830" t="s">
        <v>120</v>
      </c>
      <c r="L1830"/>
      <c r="M1830" t="n">
        <v>1966</v>
      </c>
      <c r="N1830" t="n">
        <v>1990</v>
      </c>
      <c r="O1830" t="s">
        <v>10424</v>
      </c>
      <c r="P1830" t="n">
        <v>6</v>
      </c>
      <c r="Q1830" t="n">
        <v>2</v>
      </c>
      <c r="R1830" t="n">
        <v>1</v>
      </c>
      <c r="S1830" t="n">
        <v>1964</v>
      </c>
      <c r="T1830" t="s">
        <v>11985</v>
      </c>
      <c r="U1830" t="s">
        <v>11986</v>
      </c>
      <c r="V1830" t="s">
        <v>74</v>
      </c>
      <c r="W1830"/>
      <c r="X1830"/>
      <c r="Y1830"/>
      <c r="Z1830"/>
      <c r="AA1830" t="s">
        <v>11987</v>
      </c>
      <c r="AB1830"/>
      <c r="AC1830"/>
      <c r="AD1830"/>
      <c r="AE1830"/>
      <c r="AF1830" t="s">
        <v>11988</v>
      </c>
      <c r="AG1830" t="n">
        <v>133</v>
      </c>
    </row>
    <row r="1831">
      <c r="A1831" t="s">
        <v>11989</v>
      </c>
      <c r="B1831" t="s">
        <v>30</v>
      </c>
      <c r="C1831" t="s">
        <v>65</v>
      </c>
      <c r="D1831" t="s">
        <v>11990</v>
      </c>
      <c r="E1831" t="s">
        <v>2748</v>
      </c>
      <c r="F1831" t="s">
        <v>2724</v>
      </c>
      <c r="G1831" t="s">
        <v>2763</v>
      </c>
      <c r="H1831" t="n">
        <v>39.6967153478261</v>
      </c>
      <c r="I1831" t="n">
        <v>-105.066205304348</v>
      </c>
      <c r="J1831" t="s">
        <v>35</v>
      </c>
      <c r="K1831" t="s">
        <v>70</v>
      </c>
      <c r="L1831"/>
      <c r="M1831" t="n">
        <v>1966</v>
      </c>
      <c r="N1831" t="n">
        <v>1970</v>
      </c>
      <c r="O1831" t="s">
        <v>6519</v>
      </c>
      <c r="P1831" t="n">
        <v>4</v>
      </c>
      <c r="Q1831" t="n">
        <v>2</v>
      </c>
      <c r="R1831" t="n">
        <v>2</v>
      </c>
      <c r="S1831" t="n">
        <v>1954</v>
      </c>
      <c r="T1831" t="s">
        <v>11991</v>
      </c>
      <c r="U1831" t="s">
        <v>11992</v>
      </c>
      <c r="V1831" t="s">
        <v>74</v>
      </c>
      <c r="W1831"/>
      <c r="X1831"/>
      <c r="Y1831"/>
      <c r="Z1831"/>
      <c r="AA1831" t="s">
        <v>11993</v>
      </c>
      <c r="AB1831"/>
      <c r="AC1831"/>
      <c r="AD1831"/>
      <c r="AE1831"/>
      <c r="AF1831"/>
      <c r="AG1831"/>
    </row>
    <row r="1832">
      <c r="A1832" t="s">
        <v>11994</v>
      </c>
      <c r="B1832" t="s">
        <v>30</v>
      </c>
      <c r="C1832" t="s">
        <v>25</v>
      </c>
      <c r="D1832" t="s">
        <v>11995</v>
      </c>
      <c r="E1832" t="s">
        <v>2748</v>
      </c>
      <c r="F1832" t="s">
        <v>2724</v>
      </c>
      <c r="G1832" t="s">
        <v>2749</v>
      </c>
      <c r="H1832" t="n">
        <v>39.7568380182798</v>
      </c>
      <c r="I1832" t="n">
        <v>-105.130442117621</v>
      </c>
      <c r="J1832" t="s">
        <v>4109</v>
      </c>
      <c r="K1832" t="s">
        <v>70</v>
      </c>
      <c r="L1832"/>
      <c r="M1832" t="n">
        <v>1966</v>
      </c>
      <c r="N1832" t="n">
        <v>1966</v>
      </c>
      <c r="O1832" t="s">
        <v>4172</v>
      </c>
      <c r="P1832" t="n">
        <v>1</v>
      </c>
      <c r="Q1832" t="n">
        <v>1</v>
      </c>
      <c r="R1832" t="n">
        <v>1</v>
      </c>
      <c r="S1832"/>
      <c r="T1832" t="s">
        <v>11996</v>
      </c>
      <c r="U1832" t="s">
        <v>11997</v>
      </c>
      <c r="V1832" t="s">
        <v>4175</v>
      </c>
      <c r="W1832"/>
      <c r="X1832"/>
      <c r="Y1832"/>
      <c r="Z1832"/>
      <c r="AA1832" t="s">
        <v>11998</v>
      </c>
      <c r="AB1832"/>
      <c r="AC1832"/>
      <c r="AD1832"/>
      <c r="AE1832"/>
      <c r="AF1832"/>
      <c r="AG1832"/>
    </row>
    <row r="1833">
      <c r="A1833" t="s">
        <v>11999</v>
      </c>
      <c r="B1833" t="s">
        <v>30</v>
      </c>
      <c r="C1833" t="s">
        <v>24</v>
      </c>
      <c r="D1833" t="s">
        <v>12000</v>
      </c>
      <c r="E1833" t="s">
        <v>2748</v>
      </c>
      <c r="F1833" t="s">
        <v>2724</v>
      </c>
      <c r="G1833" t="s">
        <v>2749</v>
      </c>
      <c r="H1833" t="n">
        <v>39.740463488566</v>
      </c>
      <c r="I1833" t="n">
        <v>-105.094886198841</v>
      </c>
      <c r="J1833" t="s">
        <v>4109</v>
      </c>
      <c r="K1833" t="s">
        <v>220</v>
      </c>
      <c r="L1833"/>
      <c r="M1833" t="n">
        <v>1966</v>
      </c>
      <c r="N1833" t="n">
        <v>1970</v>
      </c>
      <c r="O1833" t="s">
        <v>3494</v>
      </c>
      <c r="P1833" t="n">
        <v>4</v>
      </c>
      <c r="Q1833" t="n">
        <v>2</v>
      </c>
      <c r="R1833" t="n">
        <v>2</v>
      </c>
      <c r="S1833" t="n">
        <v>1956</v>
      </c>
      <c r="T1833" t="s">
        <v>12001</v>
      </c>
      <c r="U1833" t="s">
        <v>12002</v>
      </c>
      <c r="V1833" t="s">
        <v>74</v>
      </c>
      <c r="W1833"/>
      <c r="X1833"/>
      <c r="Y1833"/>
      <c r="Z1833"/>
      <c r="AA1833" t="s">
        <v>12003</v>
      </c>
      <c r="AB1833" t="s">
        <v>12004</v>
      </c>
      <c r="AC1833" t="n">
        <v>172</v>
      </c>
      <c r="AD1833"/>
      <c r="AE1833"/>
      <c r="AF1833" t="s">
        <v>12005</v>
      </c>
      <c r="AG1833" t="n">
        <v>56</v>
      </c>
    </row>
    <row r="1834">
      <c r="A1834" t="s">
        <v>12006</v>
      </c>
      <c r="B1834" t="s">
        <v>30</v>
      </c>
      <c r="C1834" t="s">
        <v>24</v>
      </c>
      <c r="D1834" t="s">
        <v>12007</v>
      </c>
      <c r="E1834" t="s">
        <v>2748</v>
      </c>
      <c r="F1834" t="s">
        <v>2724</v>
      </c>
      <c r="G1834" t="s">
        <v>2856</v>
      </c>
      <c r="H1834" t="n">
        <v>39.7405366326531</v>
      </c>
      <c r="I1834" t="n">
        <v>-105.06259144898</v>
      </c>
      <c r="J1834" t="s">
        <v>4109</v>
      </c>
      <c r="K1834" t="s">
        <v>141</v>
      </c>
      <c r="L1834"/>
      <c r="M1834" t="n">
        <v>1967</v>
      </c>
      <c r="N1834" t="n">
        <v>1967</v>
      </c>
      <c r="O1834" t="s">
        <v>388</v>
      </c>
      <c r="P1834" t="n">
        <v>1</v>
      </c>
      <c r="Q1834" t="n">
        <v>1</v>
      </c>
      <c r="R1834" t="n">
        <v>1</v>
      </c>
      <c r="S1834" t="n">
        <v>1958</v>
      </c>
      <c r="T1834" t="s">
        <v>12008</v>
      </c>
      <c r="U1834" t="s">
        <v>12009</v>
      </c>
      <c r="V1834" t="s">
        <v>74</v>
      </c>
      <c r="W1834"/>
      <c r="X1834"/>
      <c r="Y1834"/>
      <c r="Z1834"/>
      <c r="AA1834" t="s">
        <v>12010</v>
      </c>
      <c r="AB1834" t="s">
        <v>12011</v>
      </c>
      <c r="AC1834" t="n">
        <v>173</v>
      </c>
      <c r="AD1834"/>
      <c r="AE1834"/>
      <c r="AF1834" t="s">
        <v>12012</v>
      </c>
      <c r="AG1834" t="n">
        <v>46</v>
      </c>
    </row>
    <row r="1835">
      <c r="A1835" t="s">
        <v>12013</v>
      </c>
      <c r="B1835" t="s">
        <v>30</v>
      </c>
      <c r="C1835" t="s">
        <v>65</v>
      </c>
      <c r="D1835" t="s">
        <v>12014</v>
      </c>
      <c r="E1835" t="s">
        <v>2729</v>
      </c>
      <c r="F1835" t="s">
        <v>2724</v>
      </c>
      <c r="G1835" t="s">
        <v>2730</v>
      </c>
      <c r="H1835" t="n">
        <v>39.7993217006803</v>
      </c>
      <c r="I1835" t="n">
        <v>-105.080340156463</v>
      </c>
      <c r="J1835" t="s">
        <v>35</v>
      </c>
      <c r="K1835" t="s">
        <v>70</v>
      </c>
      <c r="L1835"/>
      <c r="M1835" t="n">
        <v>1968</v>
      </c>
      <c r="N1835" t="n">
        <v>1983</v>
      </c>
      <c r="O1835" t="s">
        <v>1857</v>
      </c>
      <c r="P1835" t="n">
        <v>5</v>
      </c>
      <c r="Q1835" t="n">
        <v>5</v>
      </c>
      <c r="R1835" t="n">
        <v>2</v>
      </c>
      <c r="S1835" t="n">
        <v>1950</v>
      </c>
      <c r="T1835" t="s">
        <v>12015</v>
      </c>
      <c r="U1835" t="s">
        <v>12016</v>
      </c>
      <c r="V1835" t="s">
        <v>74</v>
      </c>
      <c r="W1835"/>
      <c r="X1835"/>
      <c r="Y1835"/>
      <c r="Z1835"/>
      <c r="AA1835" t="s">
        <v>12017</v>
      </c>
      <c r="AB1835"/>
      <c r="AC1835"/>
      <c r="AD1835"/>
      <c r="AE1835"/>
      <c r="AF1835" t="s">
        <v>11971</v>
      </c>
      <c r="AG1835" t="n">
        <v>190</v>
      </c>
    </row>
    <row r="1836">
      <c r="A1836" t="s">
        <v>12018</v>
      </c>
      <c r="B1836" t="s">
        <v>30</v>
      </c>
      <c r="C1836" t="s">
        <v>24</v>
      </c>
      <c r="D1836" t="s">
        <v>12019</v>
      </c>
      <c r="E1836" t="s">
        <v>2748</v>
      </c>
      <c r="F1836" t="s">
        <v>2724</v>
      </c>
      <c r="G1836" t="s">
        <v>2856</v>
      </c>
      <c r="H1836" t="n">
        <v>39.7369848571429</v>
      </c>
      <c r="I1836" t="n">
        <v>-105.067227571429</v>
      </c>
      <c r="J1836" t="s">
        <v>4109</v>
      </c>
      <c r="K1836" t="s">
        <v>796</v>
      </c>
      <c r="L1836"/>
      <c r="M1836" t="n">
        <v>1968</v>
      </c>
      <c r="N1836" t="n">
        <v>1988</v>
      </c>
      <c r="O1836" t="s">
        <v>12020</v>
      </c>
      <c r="P1836" t="n">
        <v>4</v>
      </c>
      <c r="Q1836" t="n">
        <v>2</v>
      </c>
      <c r="R1836" t="n">
        <v>2</v>
      </c>
      <c r="S1836" t="n">
        <v>1940</v>
      </c>
      <c r="T1836" t="s">
        <v>12021</v>
      </c>
      <c r="U1836" t="s">
        <v>12022</v>
      </c>
      <c r="V1836" t="s">
        <v>74</v>
      </c>
      <c r="W1836"/>
      <c r="X1836"/>
      <c r="Y1836"/>
      <c r="Z1836"/>
      <c r="AA1836" t="s">
        <v>12023</v>
      </c>
      <c r="AB1836" t="s">
        <v>9851</v>
      </c>
      <c r="AC1836" t="n">
        <v>186</v>
      </c>
      <c r="AD1836" t="s">
        <v>9852</v>
      </c>
      <c r="AE1836" t="n">
        <v>245</v>
      </c>
      <c r="AF1836" t="s">
        <v>2940</v>
      </c>
      <c r="AG1836" t="n">
        <v>84</v>
      </c>
    </row>
    <row r="1837">
      <c r="A1837" t="s">
        <v>12024</v>
      </c>
      <c r="B1837" t="s">
        <v>30</v>
      </c>
      <c r="C1837" t="s">
        <v>65</v>
      </c>
      <c r="D1837" t="s">
        <v>12025</v>
      </c>
      <c r="E1837" t="s">
        <v>2748</v>
      </c>
      <c r="F1837" t="s">
        <v>2724</v>
      </c>
      <c r="G1837" t="s">
        <v>2749</v>
      </c>
      <c r="H1837" t="n">
        <v>39.7610225918367</v>
      </c>
      <c r="I1837" t="n">
        <v>-105.142471857143</v>
      </c>
      <c r="J1837" t="s">
        <v>35</v>
      </c>
      <c r="K1837" t="s">
        <v>120</v>
      </c>
      <c r="L1837"/>
      <c r="M1837" t="n">
        <v>1970</v>
      </c>
      <c r="N1837" t="n">
        <v>1970</v>
      </c>
      <c r="O1837" t="s">
        <v>726</v>
      </c>
      <c r="P1837" t="n">
        <v>1</v>
      </c>
      <c r="Q1837" t="n">
        <v>1</v>
      </c>
      <c r="R1837" t="n">
        <v>1</v>
      </c>
      <c r="S1837" t="n">
        <v>1966</v>
      </c>
      <c r="T1837" t="s">
        <v>12026</v>
      </c>
      <c r="U1837" t="s">
        <v>12027</v>
      </c>
      <c r="V1837" t="s">
        <v>74</v>
      </c>
      <c r="W1837"/>
      <c r="X1837"/>
      <c r="Y1837"/>
      <c r="Z1837"/>
      <c r="AA1837" t="s">
        <v>12028</v>
      </c>
      <c r="AB1837" t="s">
        <v>12029</v>
      </c>
      <c r="AC1837" t="n">
        <v>226</v>
      </c>
      <c r="AD1837"/>
      <c r="AE1837"/>
      <c r="AF1837" t="s">
        <v>12030</v>
      </c>
      <c r="AG1837" t="n">
        <v>50</v>
      </c>
    </row>
    <row r="1838">
      <c r="A1838" t="s">
        <v>12031</v>
      </c>
      <c r="B1838" t="s">
        <v>30</v>
      </c>
      <c r="C1838" t="s">
        <v>65</v>
      </c>
      <c r="D1838" t="s">
        <v>12032</v>
      </c>
      <c r="E1838" t="s">
        <v>2748</v>
      </c>
      <c r="F1838" t="s">
        <v>2724</v>
      </c>
      <c r="G1838" t="s">
        <v>2856</v>
      </c>
      <c r="H1838" t="n">
        <v>39.740306</v>
      </c>
      <c r="I1838" t="n">
        <v>-105.053206</v>
      </c>
      <c r="J1838" t="s">
        <v>35</v>
      </c>
      <c r="K1838" t="s">
        <v>315</v>
      </c>
      <c r="L1838"/>
      <c r="M1838" t="n">
        <v>1970</v>
      </c>
      <c r="N1838" t="n">
        <v>1970</v>
      </c>
      <c r="O1838" t="s">
        <v>726</v>
      </c>
      <c r="P1838" t="n">
        <v>1</v>
      </c>
      <c r="Q1838" t="n">
        <v>1</v>
      </c>
      <c r="R1838" t="n">
        <v>1</v>
      </c>
      <c r="S1838" t="n">
        <v>1957</v>
      </c>
      <c r="T1838" t="s">
        <v>12033</v>
      </c>
      <c r="U1838" t="s">
        <v>12034</v>
      </c>
      <c r="V1838" t="s">
        <v>74</v>
      </c>
      <c r="W1838"/>
      <c r="X1838"/>
      <c r="Y1838"/>
      <c r="Z1838"/>
      <c r="AA1838" t="s">
        <v>12035</v>
      </c>
      <c r="AB1838"/>
      <c r="AC1838"/>
      <c r="AD1838"/>
      <c r="AE1838"/>
      <c r="AF1838" t="s">
        <v>12036</v>
      </c>
      <c r="AG1838" t="n">
        <v>66</v>
      </c>
    </row>
    <row r="1839">
      <c r="A1839" t="s">
        <v>12037</v>
      </c>
      <c r="B1839" t="s">
        <v>30</v>
      </c>
      <c r="C1839" t="s">
        <v>24</v>
      </c>
      <c r="D1839" t="s">
        <v>12038</v>
      </c>
      <c r="E1839" t="s">
        <v>2729</v>
      </c>
      <c r="F1839" t="s">
        <v>2724</v>
      </c>
      <c r="G1839" t="s">
        <v>2730</v>
      </c>
      <c r="H1839" t="n">
        <v>39.870768</v>
      </c>
      <c r="I1839" t="n">
        <v>-105.03951</v>
      </c>
      <c r="J1839" t="s">
        <v>4109</v>
      </c>
      <c r="K1839" t="s">
        <v>70</v>
      </c>
      <c r="L1839"/>
      <c r="M1839" t="n">
        <v>1973</v>
      </c>
      <c r="N1839" t="n">
        <v>1973</v>
      </c>
      <c r="O1839" t="s">
        <v>121</v>
      </c>
      <c r="P1839" t="n">
        <v>1</v>
      </c>
      <c r="Q1839" t="n">
        <v>1</v>
      </c>
      <c r="R1839" t="n">
        <v>1</v>
      </c>
      <c r="S1839" t="n">
        <v>1968</v>
      </c>
      <c r="T1839" t="s">
        <v>12039</v>
      </c>
      <c r="U1839" t="s">
        <v>12040</v>
      </c>
      <c r="V1839" t="s">
        <v>74</v>
      </c>
      <c r="W1839"/>
      <c r="X1839"/>
      <c r="Y1839"/>
      <c r="Z1839"/>
      <c r="AA1839" t="s">
        <v>12041</v>
      </c>
      <c r="AB1839"/>
      <c r="AC1839"/>
      <c r="AD1839"/>
      <c r="AE1839"/>
      <c r="AF1839"/>
      <c r="AG1839"/>
    </row>
    <row r="1840">
      <c r="A1840" t="s">
        <v>12042</v>
      </c>
      <c r="B1840" t="s">
        <v>30</v>
      </c>
      <c r="C1840" t="s">
        <v>65</v>
      </c>
      <c r="D1840" t="s">
        <v>12043</v>
      </c>
      <c r="E1840" t="s">
        <v>2748</v>
      </c>
      <c r="F1840" t="s">
        <v>2724</v>
      </c>
      <c r="G1840" t="s">
        <v>2749</v>
      </c>
      <c r="H1840" t="n">
        <v>39.7401981022928</v>
      </c>
      <c r="I1840" t="n">
        <v>-105.127101818342</v>
      </c>
      <c r="J1840" t="s">
        <v>35</v>
      </c>
      <c r="K1840" t="s">
        <v>89</v>
      </c>
      <c r="L1840"/>
      <c r="M1840" t="n">
        <v>1973</v>
      </c>
      <c r="N1840" t="n">
        <v>1992</v>
      </c>
      <c r="O1840" t="s">
        <v>325</v>
      </c>
      <c r="P1840" t="n">
        <v>7</v>
      </c>
      <c r="Q1840" t="n">
        <v>6</v>
      </c>
      <c r="R1840" t="n">
        <v>1</v>
      </c>
      <c r="S1840" t="n">
        <v>1969</v>
      </c>
      <c r="T1840" t="s">
        <v>12044</v>
      </c>
      <c r="U1840" t="s">
        <v>12045</v>
      </c>
      <c r="V1840" t="s">
        <v>74</v>
      </c>
      <c r="W1840"/>
      <c r="X1840"/>
      <c r="Y1840"/>
      <c r="Z1840"/>
      <c r="AA1840" t="s">
        <v>12046</v>
      </c>
      <c r="AB1840"/>
      <c r="AC1840"/>
      <c r="AD1840"/>
      <c r="AE1840"/>
      <c r="AF1840" t="s">
        <v>12047</v>
      </c>
      <c r="AG1840" t="n">
        <v>89</v>
      </c>
    </row>
    <row r="1841">
      <c r="A1841" t="s">
        <v>12048</v>
      </c>
      <c r="B1841" t="s">
        <v>30</v>
      </c>
      <c r="C1841" t="s">
        <v>24</v>
      </c>
      <c r="D1841" t="s">
        <v>12049</v>
      </c>
      <c r="E1841" t="s">
        <v>2729</v>
      </c>
      <c r="F1841" t="s">
        <v>2724</v>
      </c>
      <c r="G1841" t="s">
        <v>2730</v>
      </c>
      <c r="H1841" t="n">
        <v>39.7988158341709</v>
      </c>
      <c r="I1841" t="n">
        <v>-105.039838768844</v>
      </c>
      <c r="J1841" t="s">
        <v>4109</v>
      </c>
      <c r="K1841" t="s">
        <v>70</v>
      </c>
      <c r="L1841"/>
      <c r="M1841" t="n">
        <v>1974</v>
      </c>
      <c r="N1841" t="n">
        <v>1983</v>
      </c>
      <c r="O1841" t="s">
        <v>2439</v>
      </c>
      <c r="P1841" t="n">
        <v>4</v>
      </c>
      <c r="Q1841" t="n">
        <v>1</v>
      </c>
      <c r="R1841" t="n">
        <v>1</v>
      </c>
      <c r="S1841" t="n">
        <v>1968</v>
      </c>
      <c r="T1841" t="s">
        <v>12050</v>
      </c>
      <c r="U1841" t="s">
        <v>12051</v>
      </c>
      <c r="V1841" t="s">
        <v>74</v>
      </c>
      <c r="W1841"/>
      <c r="X1841"/>
      <c r="Y1841"/>
      <c r="Z1841"/>
      <c r="AA1841" t="s">
        <v>12052</v>
      </c>
      <c r="AB1841"/>
      <c r="AC1841"/>
      <c r="AD1841"/>
      <c r="AE1841"/>
      <c r="AF1841"/>
      <c r="AG1841"/>
    </row>
    <row r="1842">
      <c r="A1842" t="s">
        <v>12053</v>
      </c>
      <c r="B1842" t="s">
        <v>30</v>
      </c>
      <c r="C1842" t="s">
        <v>24</v>
      </c>
      <c r="D1842" t="s">
        <v>12054</v>
      </c>
      <c r="E1842" t="s">
        <v>2729</v>
      </c>
      <c r="F1842" t="s">
        <v>2724</v>
      </c>
      <c r="G1842" t="s">
        <v>2730</v>
      </c>
      <c r="H1842" t="n">
        <v>39.8772206951296</v>
      </c>
      <c r="I1842" t="n">
        <v>-105.066563775569</v>
      </c>
      <c r="J1842" t="s">
        <v>4109</v>
      </c>
      <c r="K1842" t="s">
        <v>141</v>
      </c>
      <c r="L1842"/>
      <c r="M1842" t="n">
        <v>1974</v>
      </c>
      <c r="N1842" t="n">
        <v>1980</v>
      </c>
      <c r="O1842" t="s">
        <v>1949</v>
      </c>
      <c r="P1842" t="n">
        <v>3</v>
      </c>
      <c r="Q1842" t="n">
        <v>5</v>
      </c>
      <c r="R1842" t="n">
        <v>2</v>
      </c>
      <c r="S1842" t="n">
        <v>1962</v>
      </c>
      <c r="T1842" t="s">
        <v>12055</v>
      </c>
      <c r="U1842" t="s">
        <v>12056</v>
      </c>
      <c r="V1842" t="s">
        <v>74</v>
      </c>
      <c r="W1842"/>
      <c r="X1842"/>
      <c r="Y1842"/>
      <c r="Z1842"/>
      <c r="AA1842" t="s">
        <v>12057</v>
      </c>
      <c r="AB1842"/>
      <c r="AC1842"/>
      <c r="AD1842"/>
      <c r="AE1842"/>
      <c r="AF1842"/>
      <c r="AG1842"/>
    </row>
    <row r="1843">
      <c r="A1843" t="s">
        <v>12058</v>
      </c>
      <c r="B1843" t="s">
        <v>30</v>
      </c>
      <c r="C1843" t="s">
        <v>65</v>
      </c>
      <c r="D1843" t="s">
        <v>12059</v>
      </c>
      <c r="E1843" t="s">
        <v>2729</v>
      </c>
      <c r="F1843" t="s">
        <v>2724</v>
      </c>
      <c r="G1843" t="s">
        <v>2730</v>
      </c>
      <c r="H1843" t="n">
        <v>39.797502979798</v>
      </c>
      <c r="I1843" t="n">
        <v>-105.070079</v>
      </c>
      <c r="J1843" t="s">
        <v>35</v>
      </c>
      <c r="K1843" t="s">
        <v>1639</v>
      </c>
      <c r="L1843"/>
      <c r="M1843" t="n">
        <v>1974</v>
      </c>
      <c r="N1843" t="n">
        <v>1990</v>
      </c>
      <c r="O1843" t="s">
        <v>293</v>
      </c>
      <c r="P1843" t="n">
        <v>4</v>
      </c>
      <c r="Q1843" t="n">
        <v>8</v>
      </c>
      <c r="R1843" t="n">
        <v>2</v>
      </c>
      <c r="S1843" t="n">
        <v>1966</v>
      </c>
      <c r="T1843" t="s">
        <v>12060</v>
      </c>
      <c r="U1843" t="s">
        <v>12061</v>
      </c>
      <c r="V1843" t="s">
        <v>74</v>
      </c>
      <c r="W1843"/>
      <c r="X1843"/>
      <c r="Y1843"/>
      <c r="Z1843"/>
      <c r="AA1843" t="s">
        <v>12062</v>
      </c>
      <c r="AB1843"/>
      <c r="AC1843"/>
      <c r="AD1843"/>
      <c r="AE1843"/>
      <c r="AF1843" t="s">
        <v>12063</v>
      </c>
      <c r="AG1843" t="n">
        <v>53</v>
      </c>
    </row>
    <row r="1844">
      <c r="A1844" t="s">
        <v>12064</v>
      </c>
      <c r="B1844" t="s">
        <v>30</v>
      </c>
      <c r="C1844" t="s">
        <v>65</v>
      </c>
      <c r="D1844" t="s">
        <v>12065</v>
      </c>
      <c r="E1844" t="s">
        <v>2748</v>
      </c>
      <c r="F1844" t="s">
        <v>2724</v>
      </c>
      <c r="G1844" t="s">
        <v>2763</v>
      </c>
      <c r="H1844" t="n">
        <v>39.695932</v>
      </c>
      <c r="I1844" t="n">
        <v>-105.072148</v>
      </c>
      <c r="J1844" t="s">
        <v>35</v>
      </c>
      <c r="K1844" t="s">
        <v>120</v>
      </c>
      <c r="L1844"/>
      <c r="M1844" t="n">
        <v>1974</v>
      </c>
      <c r="N1844" t="n">
        <v>1990</v>
      </c>
      <c r="O1844" t="s">
        <v>264</v>
      </c>
      <c r="P1844" t="n">
        <v>6</v>
      </c>
      <c r="Q1844" t="n">
        <v>5</v>
      </c>
      <c r="R1844" t="n">
        <v>1</v>
      </c>
      <c r="S1844" t="n">
        <v>1960</v>
      </c>
      <c r="T1844" t="s">
        <v>12066</v>
      </c>
      <c r="U1844" t="s">
        <v>12067</v>
      </c>
      <c r="V1844" t="s">
        <v>74</v>
      </c>
      <c r="W1844"/>
      <c r="X1844"/>
      <c r="Y1844"/>
      <c r="Z1844"/>
      <c r="AA1844" t="s">
        <v>12068</v>
      </c>
      <c r="AB1844" t="s">
        <v>12069</v>
      </c>
      <c r="AC1844" t="n">
        <v>127</v>
      </c>
      <c r="AD1844"/>
      <c r="AE1844"/>
      <c r="AF1844" t="s">
        <v>12070</v>
      </c>
      <c r="AG1844" t="n">
        <v>112</v>
      </c>
    </row>
    <row r="1845">
      <c r="A1845" t="s">
        <v>12071</v>
      </c>
      <c r="B1845" t="s">
        <v>30</v>
      </c>
      <c r="C1845" t="s">
        <v>65</v>
      </c>
      <c r="D1845" t="s">
        <v>12072</v>
      </c>
      <c r="E1845" t="s">
        <v>2748</v>
      </c>
      <c r="F1845" t="s">
        <v>2724</v>
      </c>
      <c r="G1845" t="s">
        <v>2924</v>
      </c>
      <c r="H1845" t="n">
        <v>39.7126931783613</v>
      </c>
      <c r="I1845" t="n">
        <v>-105.131627681346</v>
      </c>
      <c r="J1845" t="s">
        <v>35</v>
      </c>
      <c r="K1845" t="s">
        <v>120</v>
      </c>
      <c r="L1845" t="s">
        <v>2814</v>
      </c>
      <c r="M1845" t="n">
        <v>1977</v>
      </c>
      <c r="N1845" t="n">
        <v>1977</v>
      </c>
      <c r="O1845" t="s">
        <v>228</v>
      </c>
      <c r="P1845" t="n">
        <v>1</v>
      </c>
      <c r="Q1845" t="n">
        <v>1</v>
      </c>
      <c r="R1845" t="n">
        <v>1</v>
      </c>
      <c r="S1845" t="n">
        <v>1975</v>
      </c>
      <c r="T1845" t="s">
        <v>12073</v>
      </c>
      <c r="U1845" t="s">
        <v>12074</v>
      </c>
      <c r="V1845" t="s">
        <v>74</v>
      </c>
      <c r="W1845"/>
      <c r="X1845"/>
      <c r="Y1845"/>
      <c r="Z1845"/>
      <c r="AA1845" t="s">
        <v>12075</v>
      </c>
      <c r="AB1845" t="s">
        <v>12076</v>
      </c>
      <c r="AC1845" t="n">
        <v>178</v>
      </c>
      <c r="AD1845"/>
      <c r="AE1845"/>
      <c r="AF1845" t="s">
        <v>2817</v>
      </c>
      <c r="AG1845" t="n">
        <v>75</v>
      </c>
    </row>
    <row r="1846">
      <c r="A1846" t="s">
        <v>12077</v>
      </c>
      <c r="B1846" t="s">
        <v>30</v>
      </c>
      <c r="C1846" t="s">
        <v>24</v>
      </c>
      <c r="D1846" t="s">
        <v>12078</v>
      </c>
      <c r="E1846" t="s">
        <v>2729</v>
      </c>
      <c r="F1846" t="s">
        <v>2724</v>
      </c>
      <c r="G1846" t="s">
        <v>2730</v>
      </c>
      <c r="H1846" t="n">
        <v>39.7967486828963</v>
      </c>
      <c r="I1846" t="n">
        <v>-105.062596992593</v>
      </c>
      <c r="J1846" t="s">
        <v>4109</v>
      </c>
      <c r="K1846" t="s">
        <v>89</v>
      </c>
      <c r="L1846"/>
      <c r="M1846" t="n">
        <v>1980</v>
      </c>
      <c r="N1846" t="n">
        <v>1990</v>
      </c>
      <c r="O1846" t="s">
        <v>351</v>
      </c>
      <c r="P1846" t="n">
        <v>2</v>
      </c>
      <c r="Q1846" t="n">
        <v>2</v>
      </c>
      <c r="R1846" t="n">
        <v>1</v>
      </c>
      <c r="S1846" t="n">
        <v>1950</v>
      </c>
      <c r="T1846" t="s">
        <v>12079</v>
      </c>
      <c r="U1846" t="s">
        <v>12080</v>
      </c>
      <c r="V1846" t="s">
        <v>74</v>
      </c>
      <c r="W1846"/>
      <c r="X1846"/>
      <c r="Y1846"/>
      <c r="Z1846"/>
      <c r="AA1846" t="s">
        <v>12081</v>
      </c>
      <c r="AB1846" t="s">
        <v>12082</v>
      </c>
      <c r="AC1846" t="n">
        <v>188</v>
      </c>
      <c r="AD1846"/>
      <c r="AE1846"/>
      <c r="AF1846" t="s">
        <v>12083</v>
      </c>
      <c r="AG1846" t="n">
        <v>101</v>
      </c>
    </row>
    <row r="1847">
      <c r="A1847" t="s">
        <v>12084</v>
      </c>
      <c r="B1847" t="s">
        <v>30</v>
      </c>
      <c r="C1847" t="s">
        <v>65</v>
      </c>
      <c r="D1847" t="s">
        <v>12085</v>
      </c>
      <c r="E1847" t="s">
        <v>2723</v>
      </c>
      <c r="F1847" t="s">
        <v>2724</v>
      </c>
      <c r="G1847" t="s">
        <v>2778</v>
      </c>
      <c r="H1847" t="n">
        <v>39.7262498213372</v>
      </c>
      <c r="I1847" t="n">
        <v>-105.176073162269</v>
      </c>
      <c r="J1847" t="s">
        <v>35</v>
      </c>
      <c r="K1847" t="s">
        <v>120</v>
      </c>
      <c r="L1847"/>
      <c r="M1847" t="n">
        <v>1980</v>
      </c>
      <c r="N1847" t="n">
        <v>1990</v>
      </c>
      <c r="O1847" t="s">
        <v>540</v>
      </c>
      <c r="P1847" t="n">
        <v>4</v>
      </c>
      <c r="Q1847" t="n">
        <v>1</v>
      </c>
      <c r="R1847" t="n">
        <v>1</v>
      </c>
      <c r="S1847" t="n">
        <v>1969</v>
      </c>
      <c r="T1847" t="s">
        <v>12086</v>
      </c>
      <c r="U1847" t="s">
        <v>12087</v>
      </c>
      <c r="V1847" t="s">
        <v>74</v>
      </c>
      <c r="W1847"/>
      <c r="X1847"/>
      <c r="Y1847"/>
      <c r="Z1847"/>
      <c r="AA1847" t="s">
        <v>12088</v>
      </c>
      <c r="AB1847" t="s">
        <v>9893</v>
      </c>
      <c r="AC1847" t="n">
        <v>140</v>
      </c>
      <c r="AD1847"/>
      <c r="AE1847"/>
      <c r="AF1847" t="s">
        <v>12089</v>
      </c>
      <c r="AG1847" t="n">
        <v>107</v>
      </c>
    </row>
    <row r="1848">
      <c r="A1848" t="s">
        <v>12090</v>
      </c>
      <c r="B1848" t="s">
        <v>30</v>
      </c>
      <c r="C1848" t="s">
        <v>65</v>
      </c>
      <c r="D1848" t="s">
        <v>12091</v>
      </c>
      <c r="E1848" t="s">
        <v>2748</v>
      </c>
      <c r="F1848" t="s">
        <v>2724</v>
      </c>
      <c r="G1848" t="s">
        <v>2924</v>
      </c>
      <c r="H1848" t="n">
        <v>39.7122182215228</v>
      </c>
      <c r="I1848" t="n">
        <v>-105.140593418117</v>
      </c>
      <c r="J1848" t="s">
        <v>35</v>
      </c>
      <c r="K1848" t="s">
        <v>141</v>
      </c>
      <c r="L1848"/>
      <c r="M1848" t="n">
        <v>1980</v>
      </c>
      <c r="N1848" t="n">
        <v>1990</v>
      </c>
      <c r="O1848" t="s">
        <v>540</v>
      </c>
      <c r="P1848" t="n">
        <v>4</v>
      </c>
      <c r="Q1848" t="n">
        <v>4</v>
      </c>
      <c r="R1848" t="n">
        <v>3</v>
      </c>
      <c r="S1848" t="n">
        <v>1972</v>
      </c>
      <c r="T1848" t="s">
        <v>12092</v>
      </c>
      <c r="U1848" t="s">
        <v>12093</v>
      </c>
      <c r="V1848" t="s">
        <v>74</v>
      </c>
      <c r="W1848"/>
      <c r="X1848"/>
      <c r="Y1848"/>
      <c r="Z1848"/>
      <c r="AA1848" t="s">
        <v>12094</v>
      </c>
      <c r="AB1848" t="s">
        <v>2927</v>
      </c>
      <c r="AC1848" t="n">
        <v>160</v>
      </c>
      <c r="AD1848"/>
      <c r="AE1848"/>
      <c r="AF1848" t="s">
        <v>9930</v>
      </c>
      <c r="AG1848" t="n">
        <v>68</v>
      </c>
    </row>
    <row r="1849">
      <c r="A1849" t="s">
        <v>12095</v>
      </c>
      <c r="B1849" t="s">
        <v>30</v>
      </c>
      <c r="C1849" t="s">
        <v>24</v>
      </c>
      <c r="D1849" t="s">
        <v>12096</v>
      </c>
      <c r="E1849" t="s">
        <v>2769</v>
      </c>
      <c r="F1849" t="s">
        <v>2724</v>
      </c>
      <c r="G1849" t="s">
        <v>2770</v>
      </c>
      <c r="H1849" t="n">
        <v>39.782955</v>
      </c>
      <c r="I1849" t="n">
        <v>-105.111977</v>
      </c>
      <c r="J1849" t="s">
        <v>4109</v>
      </c>
      <c r="K1849" t="s">
        <v>315</v>
      </c>
      <c r="L1849"/>
      <c r="M1849" t="n">
        <v>1980</v>
      </c>
      <c r="N1849" t="n">
        <v>1992</v>
      </c>
      <c r="O1849" t="s">
        <v>255</v>
      </c>
      <c r="P1849" t="n">
        <v>2</v>
      </c>
      <c r="Q1849" t="n">
        <v>2</v>
      </c>
      <c r="R1849" t="n">
        <v>1</v>
      </c>
      <c r="S1849" t="n">
        <v>1964</v>
      </c>
      <c r="T1849" t="s">
        <v>12097</v>
      </c>
      <c r="U1849" t="s">
        <v>12098</v>
      </c>
      <c r="V1849" t="s">
        <v>74</v>
      </c>
      <c r="W1849"/>
      <c r="X1849"/>
      <c r="Y1849"/>
      <c r="Z1849"/>
      <c r="AA1849" t="s">
        <v>12099</v>
      </c>
      <c r="AB1849"/>
      <c r="AC1849"/>
      <c r="AD1849"/>
      <c r="AE1849"/>
      <c r="AF1849"/>
      <c r="AG1849"/>
    </row>
    <row r="1850">
      <c r="A1850" t="s">
        <v>12100</v>
      </c>
      <c r="B1850" t="s">
        <v>30</v>
      </c>
      <c r="C1850" t="s">
        <v>65</v>
      </c>
      <c r="D1850" t="s">
        <v>12101</v>
      </c>
      <c r="E1850" t="s">
        <v>2729</v>
      </c>
      <c r="F1850" t="s">
        <v>2724</v>
      </c>
      <c r="G1850" t="s">
        <v>2730</v>
      </c>
      <c r="H1850" t="n">
        <v>39.7991227387662</v>
      </c>
      <c r="I1850" t="n">
        <v>-105.055184232727</v>
      </c>
      <c r="J1850" t="s">
        <v>35</v>
      </c>
      <c r="K1850" t="s">
        <v>141</v>
      </c>
      <c r="L1850"/>
      <c r="M1850" t="n">
        <v>1983</v>
      </c>
      <c r="N1850" t="n">
        <v>1983</v>
      </c>
      <c r="O1850" t="s">
        <v>264</v>
      </c>
      <c r="P1850" t="n">
        <v>1</v>
      </c>
      <c r="Q1850" t="n">
        <v>3</v>
      </c>
      <c r="R1850" t="n">
        <v>3</v>
      </c>
      <c r="S1850" t="n">
        <v>1955</v>
      </c>
      <c r="T1850" t="s">
        <v>12102</v>
      </c>
      <c r="U1850" t="s">
        <v>12103</v>
      </c>
      <c r="V1850" t="s">
        <v>74</v>
      </c>
      <c r="W1850"/>
      <c r="X1850"/>
      <c r="Y1850"/>
      <c r="Z1850"/>
      <c r="AA1850" t="s">
        <v>12104</v>
      </c>
      <c r="AB1850" t="s">
        <v>12105</v>
      </c>
      <c r="AC1850" t="n">
        <v>111</v>
      </c>
      <c r="AD1850" t="s">
        <v>9921</v>
      </c>
      <c r="AE1850" t="n">
        <v>181</v>
      </c>
      <c r="AF1850" t="s">
        <v>12106</v>
      </c>
      <c r="AG1850" t="n">
        <v>94</v>
      </c>
    </row>
    <row r="1851">
      <c r="A1851" t="s">
        <v>12107</v>
      </c>
      <c r="B1851" t="s">
        <v>30</v>
      </c>
      <c r="C1851" t="s">
        <v>65</v>
      </c>
      <c r="D1851" t="s">
        <v>12108</v>
      </c>
      <c r="E1851" t="s">
        <v>2729</v>
      </c>
      <c r="F1851" t="s">
        <v>2724</v>
      </c>
      <c r="G1851" t="s">
        <v>2730</v>
      </c>
      <c r="H1851" t="n">
        <v>39.79633</v>
      </c>
      <c r="I1851" t="n">
        <v>-105.066078277108</v>
      </c>
      <c r="J1851" t="s">
        <v>35</v>
      </c>
      <c r="K1851" t="s">
        <v>70</v>
      </c>
      <c r="L1851"/>
      <c r="M1851" t="n">
        <v>1983</v>
      </c>
      <c r="N1851" t="n">
        <v>1992</v>
      </c>
      <c r="O1851" t="s">
        <v>264</v>
      </c>
      <c r="P1851" t="n">
        <v>3</v>
      </c>
      <c r="Q1851" t="n">
        <v>3</v>
      </c>
      <c r="R1851" t="n">
        <v>1</v>
      </c>
      <c r="S1851" t="n">
        <v>1968</v>
      </c>
      <c r="T1851" t="s">
        <v>12109</v>
      </c>
      <c r="U1851" t="s">
        <v>12110</v>
      </c>
      <c r="V1851" t="s">
        <v>74</v>
      </c>
      <c r="W1851"/>
      <c r="X1851"/>
      <c r="Y1851"/>
      <c r="Z1851"/>
      <c r="AA1851" t="s">
        <v>12111</v>
      </c>
      <c r="AB1851"/>
      <c r="AC1851"/>
      <c r="AD1851" t="s">
        <v>12112</v>
      </c>
      <c r="AE1851" t="n">
        <v>232</v>
      </c>
      <c r="AF1851" t="s">
        <v>12113</v>
      </c>
      <c r="AG1851" t="n">
        <v>49</v>
      </c>
    </row>
    <row r="1852">
      <c r="A1852" t="s">
        <v>12114</v>
      </c>
      <c r="B1852" t="s">
        <v>30</v>
      </c>
      <c r="C1852" t="s">
        <v>65</v>
      </c>
      <c r="D1852" t="s">
        <v>12115</v>
      </c>
      <c r="E1852" t="s">
        <v>2769</v>
      </c>
      <c r="F1852" t="s">
        <v>2724</v>
      </c>
      <c r="G1852" t="s">
        <v>2770</v>
      </c>
      <c r="H1852" t="n">
        <v>39.7903281126676</v>
      </c>
      <c r="I1852" t="n">
        <v>-105.121097799181</v>
      </c>
      <c r="J1852" t="s">
        <v>35</v>
      </c>
      <c r="K1852" t="s">
        <v>120</v>
      </c>
      <c r="L1852"/>
      <c r="M1852" t="n">
        <v>1983</v>
      </c>
      <c r="N1852" t="n">
        <v>1983</v>
      </c>
      <c r="O1852" t="s">
        <v>264</v>
      </c>
      <c r="P1852" t="n">
        <v>1</v>
      </c>
      <c r="Q1852" t="n">
        <v>1</v>
      </c>
      <c r="R1852" t="n">
        <v>1</v>
      </c>
      <c r="S1852" t="n">
        <v>1973</v>
      </c>
      <c r="T1852" t="s">
        <v>12116</v>
      </c>
      <c r="U1852" t="s">
        <v>12117</v>
      </c>
      <c r="V1852" t="s">
        <v>74</v>
      </c>
      <c r="W1852"/>
      <c r="X1852"/>
      <c r="Y1852"/>
      <c r="Z1852"/>
      <c r="AA1852" t="s">
        <v>12118</v>
      </c>
      <c r="AB1852"/>
      <c r="AC1852"/>
      <c r="AD1852"/>
      <c r="AE1852"/>
      <c r="AF1852" t="s">
        <v>12119</v>
      </c>
      <c r="AG1852" t="n">
        <v>54</v>
      </c>
    </row>
    <row r="1853">
      <c r="A1853" t="s">
        <v>12120</v>
      </c>
      <c r="B1853" t="s">
        <v>30</v>
      </c>
      <c r="C1853" t="s">
        <v>65</v>
      </c>
      <c r="D1853" t="s">
        <v>12121</v>
      </c>
      <c r="E1853" t="s">
        <v>2729</v>
      </c>
      <c r="F1853" t="s">
        <v>2724</v>
      </c>
      <c r="G1853" t="s">
        <v>2730</v>
      </c>
      <c r="H1853" t="n">
        <v>39.8019200801474</v>
      </c>
      <c r="I1853" t="n">
        <v>-105.050766389565</v>
      </c>
      <c r="J1853" t="s">
        <v>35</v>
      </c>
      <c r="K1853" t="s">
        <v>133</v>
      </c>
      <c r="L1853"/>
      <c r="M1853" t="n">
        <v>1990</v>
      </c>
      <c r="N1853" t="n">
        <v>1990</v>
      </c>
      <c r="O1853" t="s">
        <v>351</v>
      </c>
      <c r="P1853" t="n">
        <v>1</v>
      </c>
      <c r="Q1853" t="n">
        <v>1</v>
      </c>
      <c r="R1853" t="n">
        <v>1</v>
      </c>
      <c r="S1853" t="n">
        <v>1979</v>
      </c>
      <c r="T1853" t="s">
        <v>12122</v>
      </c>
      <c r="U1853" t="s">
        <v>12123</v>
      </c>
      <c r="V1853" t="s">
        <v>74</v>
      </c>
      <c r="W1853"/>
      <c r="X1853"/>
      <c r="Y1853"/>
      <c r="Z1853"/>
      <c r="AA1853" t="s">
        <v>12124</v>
      </c>
      <c r="AB1853"/>
      <c r="AC1853"/>
      <c r="AD1853"/>
      <c r="AE1853"/>
      <c r="AF1853" t="s">
        <v>12125</v>
      </c>
      <c r="AG1853" t="n">
        <v>114</v>
      </c>
    </row>
    <row r="1854">
      <c r="A1854" t="s">
        <v>12126</v>
      </c>
      <c r="B1854" t="s">
        <v>30</v>
      </c>
      <c r="C1854" t="s">
        <v>65</v>
      </c>
      <c r="D1854" t="s">
        <v>12127</v>
      </c>
      <c r="E1854" t="s">
        <v>2723</v>
      </c>
      <c r="F1854" t="s">
        <v>2724</v>
      </c>
      <c r="G1854" t="s">
        <v>2778</v>
      </c>
      <c r="H1854" t="n">
        <v>39.7254232877551</v>
      </c>
      <c r="I1854" t="n">
        <v>-105.173414183674</v>
      </c>
      <c r="J1854" t="s">
        <v>35</v>
      </c>
      <c r="K1854" t="s">
        <v>120</v>
      </c>
      <c r="L1854"/>
      <c r="M1854" t="n">
        <v>1990</v>
      </c>
      <c r="N1854" t="n">
        <v>1990</v>
      </c>
      <c r="O1854" t="s">
        <v>351</v>
      </c>
      <c r="P1854" t="n">
        <v>1</v>
      </c>
      <c r="Q1854" t="n">
        <v>1</v>
      </c>
      <c r="R1854" t="n">
        <v>1</v>
      </c>
      <c r="S1854" t="n">
        <v>1982</v>
      </c>
      <c r="T1854" t="s">
        <v>12128</v>
      </c>
      <c r="U1854" t="s">
        <v>12129</v>
      </c>
      <c r="V1854" t="s">
        <v>74</v>
      </c>
      <c r="W1854"/>
      <c r="X1854"/>
      <c r="Y1854"/>
      <c r="Z1854"/>
      <c r="AA1854" t="s">
        <v>12130</v>
      </c>
      <c r="AB1854" t="s">
        <v>12131</v>
      </c>
      <c r="AC1854" t="n">
        <v>185</v>
      </c>
      <c r="AD1854"/>
      <c r="AE1854"/>
      <c r="AF1854"/>
      <c r="AG1854"/>
    </row>
    <row r="1855">
      <c r="A1855" t="s">
        <v>12132</v>
      </c>
      <c r="B1855" t="s">
        <v>30</v>
      </c>
      <c r="C1855" t="s">
        <v>65</v>
      </c>
      <c r="D1855" t="s">
        <v>12133</v>
      </c>
      <c r="E1855" t="s">
        <v>2748</v>
      </c>
      <c r="F1855" t="s">
        <v>2724</v>
      </c>
      <c r="G1855" t="s">
        <v>2749</v>
      </c>
      <c r="H1855" t="n">
        <v>39.7253568621727</v>
      </c>
      <c r="I1855" t="n">
        <v>-105.085514228415</v>
      </c>
      <c r="J1855" t="s">
        <v>35</v>
      </c>
      <c r="K1855" t="s">
        <v>133</v>
      </c>
      <c r="L1855"/>
      <c r="M1855" t="n">
        <v>1992</v>
      </c>
      <c r="N1855" t="n">
        <v>1992</v>
      </c>
      <c r="O1855" t="s">
        <v>1016</v>
      </c>
      <c r="P1855" t="n">
        <v>1</v>
      </c>
      <c r="Q1855" t="n">
        <v>1</v>
      </c>
      <c r="R1855" t="n">
        <v>1</v>
      </c>
      <c r="S1855" t="n">
        <v>1972</v>
      </c>
      <c r="T1855" t="s">
        <v>12134</v>
      </c>
      <c r="U1855" t="s">
        <v>12135</v>
      </c>
      <c r="V1855" t="s">
        <v>74</v>
      </c>
      <c r="W1855"/>
      <c r="X1855"/>
      <c r="Y1855"/>
      <c r="Z1855"/>
      <c r="AA1855" t="s">
        <v>12136</v>
      </c>
      <c r="AB1855"/>
      <c r="AC1855"/>
      <c r="AD1855"/>
      <c r="AE1855"/>
      <c r="AF1855" t="s">
        <v>12137</v>
      </c>
      <c r="AG1855" t="n">
        <v>105</v>
      </c>
    </row>
    <row r="1856">
      <c r="A1856" t="s">
        <v>12138</v>
      </c>
      <c r="B1856" t="s">
        <v>30</v>
      </c>
      <c r="C1856" t="s">
        <v>65</v>
      </c>
      <c r="D1856" t="s">
        <v>12139</v>
      </c>
      <c r="E1856" t="s">
        <v>3113</v>
      </c>
      <c r="F1856" t="s">
        <v>3114</v>
      </c>
      <c r="G1856" t="s">
        <v>3115</v>
      </c>
      <c r="H1856" t="n">
        <v>37.2401988658303</v>
      </c>
      <c r="I1856" t="n">
        <v>-107.872844359482</v>
      </c>
      <c r="J1856" t="s">
        <v>35</v>
      </c>
      <c r="K1856" t="s">
        <v>120</v>
      </c>
      <c r="L1856"/>
      <c r="M1856" t="n">
        <v>1988</v>
      </c>
      <c r="N1856" t="n">
        <v>1992</v>
      </c>
      <c r="O1856" t="s">
        <v>320</v>
      </c>
      <c r="P1856" t="n">
        <v>3</v>
      </c>
      <c r="Q1856" t="n">
        <v>1</v>
      </c>
      <c r="R1856" t="n">
        <v>1</v>
      </c>
      <c r="S1856" t="n">
        <v>1980</v>
      </c>
      <c r="T1856" t="s">
        <v>12140</v>
      </c>
      <c r="U1856" t="s">
        <v>12141</v>
      </c>
      <c r="V1856" t="s">
        <v>74</v>
      </c>
      <c r="W1856"/>
      <c r="X1856"/>
      <c r="Y1856"/>
      <c r="Z1856"/>
      <c r="AA1856" t="s">
        <v>12142</v>
      </c>
      <c r="AB1856"/>
      <c r="AC1856"/>
      <c r="AD1856"/>
      <c r="AE1856"/>
      <c r="AF1856" t="s">
        <v>12143</v>
      </c>
      <c r="AG1856" t="n">
        <v>81</v>
      </c>
    </row>
    <row r="1857">
      <c r="A1857" t="s">
        <v>12144</v>
      </c>
      <c r="B1857" t="s">
        <v>30</v>
      </c>
      <c r="C1857" t="s">
        <v>65</v>
      </c>
      <c r="D1857" t="s">
        <v>12145</v>
      </c>
      <c r="E1857" t="s">
        <v>3170</v>
      </c>
      <c r="F1857" t="s">
        <v>3152</v>
      </c>
      <c r="G1857" t="s">
        <v>3171</v>
      </c>
      <c r="H1857" t="n">
        <v>40.5876836666667</v>
      </c>
      <c r="I1857" t="n">
        <v>-105.075784393939</v>
      </c>
      <c r="J1857" t="s">
        <v>35</v>
      </c>
      <c r="K1857" t="s">
        <v>70</v>
      </c>
      <c r="L1857"/>
      <c r="M1857" t="n">
        <v>1966</v>
      </c>
      <c r="N1857" t="n">
        <v>1990</v>
      </c>
      <c r="O1857" t="s">
        <v>4255</v>
      </c>
      <c r="P1857" t="n">
        <v>6</v>
      </c>
      <c r="Q1857" t="n">
        <v>3</v>
      </c>
      <c r="R1857" t="n">
        <v>1</v>
      </c>
      <c r="S1857" t="n">
        <v>1908</v>
      </c>
      <c r="T1857" t="s">
        <v>12146</v>
      </c>
      <c r="U1857" t="s">
        <v>12147</v>
      </c>
      <c r="V1857" t="s">
        <v>74</v>
      </c>
      <c r="W1857"/>
      <c r="X1857"/>
      <c r="Y1857"/>
      <c r="Z1857"/>
      <c r="AA1857" t="s">
        <v>12148</v>
      </c>
      <c r="AB1857" t="s">
        <v>12149</v>
      </c>
      <c r="AC1857" t="n">
        <v>189</v>
      </c>
      <c r="AD1857"/>
      <c r="AE1857"/>
      <c r="AF1857" t="s">
        <v>12150</v>
      </c>
      <c r="AG1857" t="n">
        <v>74</v>
      </c>
    </row>
    <row r="1858">
      <c r="A1858" t="s">
        <v>12151</v>
      </c>
      <c r="B1858" t="s">
        <v>30</v>
      </c>
      <c r="C1858" t="s">
        <v>65</v>
      </c>
      <c r="D1858" t="s">
        <v>12152</v>
      </c>
      <c r="E1858" t="s">
        <v>3170</v>
      </c>
      <c r="F1858" t="s">
        <v>3152</v>
      </c>
      <c r="G1858" t="s">
        <v>3171</v>
      </c>
      <c r="H1858" t="n">
        <v>40.5897447551021</v>
      </c>
      <c r="I1858" t="n">
        <v>-105.073330816327</v>
      </c>
      <c r="J1858" t="s">
        <v>35</v>
      </c>
      <c r="K1858" t="s">
        <v>120</v>
      </c>
      <c r="L1858"/>
      <c r="M1858" t="n">
        <v>1966</v>
      </c>
      <c r="N1858" t="n">
        <v>1983</v>
      </c>
      <c r="O1858" t="s">
        <v>264</v>
      </c>
      <c r="P1858" t="n">
        <v>7</v>
      </c>
      <c r="Q1858" t="n">
        <v>5</v>
      </c>
      <c r="R1858" t="n">
        <v>1</v>
      </c>
      <c r="S1858" t="n">
        <v>1953</v>
      </c>
      <c r="T1858" t="s">
        <v>12153</v>
      </c>
      <c r="U1858" t="s">
        <v>12154</v>
      </c>
      <c r="V1858" t="s">
        <v>74</v>
      </c>
      <c r="W1858"/>
      <c r="X1858"/>
      <c r="Y1858"/>
      <c r="Z1858"/>
      <c r="AA1858" t="s">
        <v>12155</v>
      </c>
      <c r="AB1858" t="s">
        <v>12156</v>
      </c>
      <c r="AC1858" t="n">
        <v>102</v>
      </c>
      <c r="AD1858" t="s">
        <v>10034</v>
      </c>
      <c r="AE1858" t="n">
        <v>134</v>
      </c>
      <c r="AF1858" t="s">
        <v>10035</v>
      </c>
      <c r="AG1858" t="n">
        <v>108</v>
      </c>
    </row>
    <row r="1859">
      <c r="A1859" t="s">
        <v>12157</v>
      </c>
      <c r="B1859" t="s">
        <v>30</v>
      </c>
      <c r="C1859" t="s">
        <v>24</v>
      </c>
      <c r="D1859" t="s">
        <v>12158</v>
      </c>
      <c r="E1859" t="s">
        <v>3170</v>
      </c>
      <c r="F1859" t="s">
        <v>3152</v>
      </c>
      <c r="G1859" t="s">
        <v>3171</v>
      </c>
      <c r="H1859" t="n">
        <v>40.589153</v>
      </c>
      <c r="I1859" t="n">
        <v>-105.105297</v>
      </c>
      <c r="J1859" t="s">
        <v>4109</v>
      </c>
      <c r="K1859" t="s">
        <v>141</v>
      </c>
      <c r="L1859"/>
      <c r="M1859" t="n">
        <v>1966</v>
      </c>
      <c r="N1859" t="n">
        <v>1990</v>
      </c>
      <c r="O1859" t="s">
        <v>12159</v>
      </c>
      <c r="P1859" t="n">
        <v>9</v>
      </c>
      <c r="Q1859" t="n">
        <v>3</v>
      </c>
      <c r="R1859" t="n">
        <v>1</v>
      </c>
      <c r="S1859" t="n">
        <v>1946</v>
      </c>
      <c r="T1859" t="s">
        <v>12160</v>
      </c>
      <c r="U1859" t="s">
        <v>12161</v>
      </c>
      <c r="V1859" t="s">
        <v>74</v>
      </c>
      <c r="W1859"/>
      <c r="X1859"/>
      <c r="Y1859"/>
      <c r="Z1859"/>
      <c r="AA1859" t="s">
        <v>12162</v>
      </c>
      <c r="AB1859"/>
      <c r="AC1859"/>
      <c r="AD1859"/>
      <c r="AE1859"/>
      <c r="AF1859"/>
      <c r="AG1859"/>
    </row>
    <row r="1860">
      <c r="A1860" t="s">
        <v>12163</v>
      </c>
      <c r="B1860" t="s">
        <v>30</v>
      </c>
      <c r="C1860" t="s">
        <v>24</v>
      </c>
      <c r="D1860" t="s">
        <v>12164</v>
      </c>
      <c r="E1860" t="s">
        <v>3170</v>
      </c>
      <c r="F1860" t="s">
        <v>3152</v>
      </c>
      <c r="G1860" t="s">
        <v>3171</v>
      </c>
      <c r="H1860" t="n">
        <v>40.5884373265306</v>
      </c>
      <c r="I1860" t="n">
        <v>-105.073349897959</v>
      </c>
      <c r="J1860" t="s">
        <v>35</v>
      </c>
      <c r="K1860" t="s">
        <v>315</v>
      </c>
      <c r="L1860"/>
      <c r="M1860" t="n">
        <v>1966</v>
      </c>
      <c r="N1860" t="n">
        <v>1966</v>
      </c>
      <c r="O1860" t="s">
        <v>4172</v>
      </c>
      <c r="P1860" t="n">
        <v>1</v>
      </c>
      <c r="Q1860" t="n">
        <v>1</v>
      </c>
      <c r="R1860" t="n">
        <v>1</v>
      </c>
      <c r="S1860" t="n">
        <v>1954</v>
      </c>
      <c r="T1860" t="s">
        <v>12165</v>
      </c>
      <c r="U1860" t="s">
        <v>12166</v>
      </c>
      <c r="V1860" t="s">
        <v>4175</v>
      </c>
      <c r="W1860"/>
      <c r="X1860"/>
      <c r="Y1860"/>
      <c r="Z1860"/>
      <c r="AA1860" t="s">
        <v>12167</v>
      </c>
      <c r="AB1860" t="s">
        <v>10024</v>
      </c>
      <c r="AC1860" t="n">
        <v>130</v>
      </c>
      <c r="AD1860"/>
      <c r="AE1860"/>
      <c r="AF1860" t="s">
        <v>10035</v>
      </c>
      <c r="AG1860" t="n">
        <v>82</v>
      </c>
    </row>
    <row r="1861">
      <c r="A1861" t="s">
        <v>12168</v>
      </c>
      <c r="B1861" t="s">
        <v>30</v>
      </c>
      <c r="C1861" t="s">
        <v>65</v>
      </c>
      <c r="D1861" t="s">
        <v>12169</v>
      </c>
      <c r="E1861" t="s">
        <v>3170</v>
      </c>
      <c r="F1861" t="s">
        <v>3152</v>
      </c>
      <c r="G1861" t="s">
        <v>3171</v>
      </c>
      <c r="H1861" t="n">
        <v>40.5888944344023</v>
      </c>
      <c r="I1861" t="n">
        <v>-105.079696638484</v>
      </c>
      <c r="J1861" t="s">
        <v>35</v>
      </c>
      <c r="K1861" t="s">
        <v>70</v>
      </c>
      <c r="L1861"/>
      <c r="M1861" t="n">
        <v>1968</v>
      </c>
      <c r="N1861" t="n">
        <v>1990</v>
      </c>
      <c r="O1861" t="s">
        <v>12170</v>
      </c>
      <c r="P1861" t="n">
        <v>6</v>
      </c>
      <c r="Q1861" t="n">
        <v>2</v>
      </c>
      <c r="R1861" t="n">
        <v>1</v>
      </c>
      <c r="S1861" t="n">
        <v>1932</v>
      </c>
      <c r="T1861" t="s">
        <v>12171</v>
      </c>
      <c r="U1861" t="s">
        <v>12172</v>
      </c>
      <c r="V1861" t="s">
        <v>74</v>
      </c>
      <c r="W1861"/>
      <c r="X1861"/>
      <c r="Y1861"/>
      <c r="Z1861"/>
      <c r="AA1861" t="s">
        <v>12173</v>
      </c>
      <c r="AB1861"/>
      <c r="AC1861"/>
      <c r="AD1861"/>
      <c r="AE1861"/>
      <c r="AF1861" t="s">
        <v>4809</v>
      </c>
      <c r="AG1861" t="n">
        <v>75</v>
      </c>
    </row>
    <row r="1862">
      <c r="A1862" t="s">
        <v>12174</v>
      </c>
      <c r="B1862" t="s">
        <v>30</v>
      </c>
      <c r="C1862" t="s">
        <v>65</v>
      </c>
      <c r="D1862" t="s">
        <v>12175</v>
      </c>
      <c r="E1862" t="s">
        <v>3151</v>
      </c>
      <c r="F1862" t="s">
        <v>3152</v>
      </c>
      <c r="G1862" t="s">
        <v>3163</v>
      </c>
      <c r="H1862" t="n">
        <v>40.4013313887067</v>
      </c>
      <c r="I1862" t="n">
        <v>-105.104181235801</v>
      </c>
      <c r="J1862" t="s">
        <v>35</v>
      </c>
      <c r="K1862" t="s">
        <v>2896</v>
      </c>
      <c r="L1862"/>
      <c r="M1862" t="n">
        <v>1968</v>
      </c>
      <c r="N1862" t="n">
        <v>1992</v>
      </c>
      <c r="O1862" t="s">
        <v>12176</v>
      </c>
      <c r="P1862" t="n">
        <v>6</v>
      </c>
      <c r="Q1862" t="n">
        <v>5</v>
      </c>
      <c r="R1862" t="n">
        <v>4</v>
      </c>
      <c r="S1862" t="n">
        <v>1965</v>
      </c>
      <c r="T1862" t="s">
        <v>12177</v>
      </c>
      <c r="U1862" t="s">
        <v>12178</v>
      </c>
      <c r="V1862" t="s">
        <v>74</v>
      </c>
      <c r="W1862"/>
      <c r="X1862"/>
      <c r="Y1862"/>
      <c r="Z1862"/>
      <c r="AA1862" t="s">
        <v>12179</v>
      </c>
      <c r="AB1862" t="s">
        <v>12180</v>
      </c>
      <c r="AC1862" t="n">
        <v>125</v>
      </c>
      <c r="AD1862" t="s">
        <v>12181</v>
      </c>
      <c r="AE1862" t="n">
        <v>165</v>
      </c>
      <c r="AF1862" t="s">
        <v>12182</v>
      </c>
      <c r="AG1862" t="n">
        <v>125</v>
      </c>
    </row>
    <row r="1863">
      <c r="A1863" t="s">
        <v>12183</v>
      </c>
      <c r="B1863" t="s">
        <v>30</v>
      </c>
      <c r="C1863" t="s">
        <v>65</v>
      </c>
      <c r="D1863" t="s">
        <v>12184</v>
      </c>
      <c r="E1863" t="s">
        <v>3278</v>
      </c>
      <c r="F1863" t="s">
        <v>3152</v>
      </c>
      <c r="G1863" t="s">
        <v>3279</v>
      </c>
      <c r="H1863" t="n">
        <v>40.3051637638484</v>
      </c>
      <c r="I1863" t="n">
        <v>-105.078183408163</v>
      </c>
      <c r="J1863" t="s">
        <v>35</v>
      </c>
      <c r="K1863" t="s">
        <v>315</v>
      </c>
      <c r="L1863"/>
      <c r="M1863" t="n">
        <v>1970</v>
      </c>
      <c r="N1863" t="n">
        <v>1990</v>
      </c>
      <c r="O1863" t="s">
        <v>12185</v>
      </c>
      <c r="P1863" t="n">
        <v>7</v>
      </c>
      <c r="Q1863" t="n">
        <v>1</v>
      </c>
      <c r="R1863" t="n">
        <v>1</v>
      </c>
      <c r="S1863" t="n">
        <v>1968</v>
      </c>
      <c r="T1863" t="s">
        <v>12186</v>
      </c>
      <c r="U1863" t="s">
        <v>12187</v>
      </c>
      <c r="V1863" t="s">
        <v>74</v>
      </c>
      <c r="W1863"/>
      <c r="X1863"/>
      <c r="Y1863"/>
      <c r="Z1863"/>
      <c r="AA1863" t="s">
        <v>12188</v>
      </c>
      <c r="AB1863"/>
      <c r="AC1863"/>
      <c r="AD1863"/>
      <c r="AE1863"/>
      <c r="AF1863" t="s">
        <v>12189</v>
      </c>
      <c r="AG1863" t="n">
        <v>76</v>
      </c>
    </row>
    <row r="1864">
      <c r="A1864" t="s">
        <v>12190</v>
      </c>
      <c r="B1864" t="s">
        <v>30</v>
      </c>
      <c r="C1864" t="s">
        <v>65</v>
      </c>
      <c r="D1864" t="s">
        <v>12191</v>
      </c>
      <c r="E1864" t="s">
        <v>3170</v>
      </c>
      <c r="F1864" t="s">
        <v>3152</v>
      </c>
      <c r="G1864" t="s">
        <v>3171</v>
      </c>
      <c r="H1864" t="n">
        <v>40.5814553445565</v>
      </c>
      <c r="I1864" t="n">
        <v>-105.054675653735</v>
      </c>
      <c r="J1864" t="s">
        <v>35</v>
      </c>
      <c r="K1864" t="s">
        <v>120</v>
      </c>
      <c r="L1864"/>
      <c r="M1864" t="n">
        <v>1973</v>
      </c>
      <c r="N1864" t="n">
        <v>1977</v>
      </c>
      <c r="O1864" t="s">
        <v>1857</v>
      </c>
      <c r="P1864" t="n">
        <v>3</v>
      </c>
      <c r="Q1864" t="n">
        <v>1</v>
      </c>
      <c r="R1864" t="n">
        <v>1</v>
      </c>
      <c r="S1864" t="n">
        <v>1946</v>
      </c>
      <c r="T1864" t="s">
        <v>12192</v>
      </c>
      <c r="U1864" t="s">
        <v>12193</v>
      </c>
      <c r="V1864" t="s">
        <v>74</v>
      </c>
      <c r="W1864"/>
      <c r="X1864"/>
      <c r="Y1864"/>
      <c r="Z1864"/>
      <c r="AA1864" t="s">
        <v>12194</v>
      </c>
      <c r="AB1864"/>
      <c r="AC1864"/>
      <c r="AD1864"/>
      <c r="AE1864"/>
      <c r="AF1864" t="s">
        <v>3184</v>
      </c>
      <c r="AG1864" t="n">
        <v>48</v>
      </c>
    </row>
    <row r="1865">
      <c r="A1865" t="s">
        <v>12195</v>
      </c>
      <c r="B1865" t="s">
        <v>30</v>
      </c>
      <c r="C1865" t="s">
        <v>65</v>
      </c>
      <c r="D1865" t="s">
        <v>12196</v>
      </c>
      <c r="E1865" t="s">
        <v>3170</v>
      </c>
      <c r="F1865" t="s">
        <v>3152</v>
      </c>
      <c r="G1865" t="s">
        <v>3171</v>
      </c>
      <c r="H1865" t="n">
        <v>40.5668175714286</v>
      </c>
      <c r="I1865" t="n">
        <v>-105.076844285714</v>
      </c>
      <c r="J1865" t="s">
        <v>35</v>
      </c>
      <c r="K1865" t="s">
        <v>133</v>
      </c>
      <c r="L1865"/>
      <c r="M1865" t="n">
        <v>1973</v>
      </c>
      <c r="N1865" t="n">
        <v>1990</v>
      </c>
      <c r="O1865" t="s">
        <v>12197</v>
      </c>
      <c r="P1865" t="n">
        <v>6</v>
      </c>
      <c r="Q1865" t="n">
        <v>4</v>
      </c>
      <c r="R1865" t="n">
        <v>1</v>
      </c>
      <c r="S1865" t="n">
        <v>1957</v>
      </c>
      <c r="T1865" t="s">
        <v>12198</v>
      </c>
      <c r="U1865" t="s">
        <v>12199</v>
      </c>
      <c r="V1865" t="s">
        <v>74</v>
      </c>
      <c r="W1865"/>
      <c r="X1865"/>
      <c r="Y1865"/>
      <c r="Z1865"/>
      <c r="AA1865" t="s">
        <v>12200</v>
      </c>
      <c r="AB1865" t="s">
        <v>12201</v>
      </c>
      <c r="AC1865" t="n">
        <v>151</v>
      </c>
      <c r="AD1865"/>
      <c r="AE1865"/>
      <c r="AF1865" t="s">
        <v>12202</v>
      </c>
      <c r="AG1865" t="n">
        <v>76</v>
      </c>
    </row>
    <row r="1866">
      <c r="A1866" t="s">
        <v>12203</v>
      </c>
      <c r="B1866" t="s">
        <v>30</v>
      </c>
      <c r="C1866" t="s">
        <v>24</v>
      </c>
      <c r="D1866" t="s">
        <v>12204</v>
      </c>
      <c r="E1866" t="s">
        <v>3278</v>
      </c>
      <c r="F1866" t="s">
        <v>3152</v>
      </c>
      <c r="G1866" t="s">
        <v>3279</v>
      </c>
      <c r="H1866" t="n">
        <v>40.337989</v>
      </c>
      <c r="I1866" t="n">
        <v>-105.081485</v>
      </c>
      <c r="J1866" t="s">
        <v>4109</v>
      </c>
      <c r="K1866" t="s">
        <v>120</v>
      </c>
      <c r="L1866"/>
      <c r="M1866" t="n">
        <v>1974</v>
      </c>
      <c r="N1866" t="n">
        <v>1983</v>
      </c>
      <c r="O1866" t="s">
        <v>528</v>
      </c>
      <c r="P1866" t="n">
        <v>4</v>
      </c>
      <c r="Q1866" t="n">
        <v>2</v>
      </c>
      <c r="R1866" t="n">
        <v>1</v>
      </c>
      <c r="S1866" t="n">
        <v>1950</v>
      </c>
      <c r="T1866" t="s">
        <v>12205</v>
      </c>
      <c r="U1866" t="s">
        <v>12206</v>
      </c>
      <c r="V1866" t="s">
        <v>74</v>
      </c>
      <c r="W1866"/>
      <c r="X1866"/>
      <c r="Y1866"/>
      <c r="Z1866"/>
      <c r="AA1866" t="s">
        <v>12207</v>
      </c>
      <c r="AB1866"/>
      <c r="AC1866"/>
      <c r="AD1866"/>
      <c r="AE1866"/>
      <c r="AF1866"/>
      <c r="AG1866"/>
    </row>
    <row r="1867">
      <c r="A1867" t="s">
        <v>12208</v>
      </c>
      <c r="B1867" t="s">
        <v>30</v>
      </c>
      <c r="C1867" t="s">
        <v>65</v>
      </c>
      <c r="D1867" t="s">
        <v>12209</v>
      </c>
      <c r="E1867" t="s">
        <v>3170</v>
      </c>
      <c r="F1867" t="s">
        <v>3152</v>
      </c>
      <c r="G1867" t="s">
        <v>3171</v>
      </c>
      <c r="H1867" t="n">
        <v>40.5839801978022</v>
      </c>
      <c r="I1867" t="n">
        <v>-105.044803461539</v>
      </c>
      <c r="J1867" t="s">
        <v>35</v>
      </c>
      <c r="K1867" t="s">
        <v>120</v>
      </c>
      <c r="L1867"/>
      <c r="M1867" t="n">
        <v>1974</v>
      </c>
      <c r="N1867" t="n">
        <v>1992</v>
      </c>
      <c r="O1867" t="s">
        <v>1016</v>
      </c>
      <c r="P1867" t="n">
        <v>2</v>
      </c>
      <c r="Q1867" t="n">
        <v>2</v>
      </c>
      <c r="R1867" t="n">
        <v>1</v>
      </c>
      <c r="S1867" t="n">
        <v>1973</v>
      </c>
      <c r="T1867" t="s">
        <v>12210</v>
      </c>
      <c r="U1867" t="s">
        <v>12211</v>
      </c>
      <c r="V1867" t="s">
        <v>74</v>
      </c>
      <c r="W1867"/>
      <c r="X1867"/>
      <c r="Y1867"/>
      <c r="Z1867"/>
      <c r="AA1867" t="s">
        <v>12212</v>
      </c>
      <c r="AB1867"/>
      <c r="AC1867"/>
      <c r="AD1867"/>
      <c r="AE1867"/>
      <c r="AF1867" t="s">
        <v>12213</v>
      </c>
      <c r="AG1867" t="n">
        <v>124</v>
      </c>
    </row>
    <row r="1868">
      <c r="A1868" t="s">
        <v>12214</v>
      </c>
      <c r="B1868" t="s">
        <v>30</v>
      </c>
      <c r="C1868" t="s">
        <v>65</v>
      </c>
      <c r="D1868" t="s">
        <v>12215</v>
      </c>
      <c r="E1868" t="s">
        <v>3170</v>
      </c>
      <c r="F1868" t="s">
        <v>3152</v>
      </c>
      <c r="G1868" t="s">
        <v>3171</v>
      </c>
      <c r="H1868" t="n">
        <v>40.5887730608108</v>
      </c>
      <c r="I1868" t="n">
        <v>-105.061997976351</v>
      </c>
      <c r="J1868" t="s">
        <v>35</v>
      </c>
      <c r="K1868" t="s">
        <v>133</v>
      </c>
      <c r="L1868"/>
      <c r="M1868" t="n">
        <v>1974</v>
      </c>
      <c r="N1868" t="n">
        <v>1990</v>
      </c>
      <c r="O1868" t="s">
        <v>351</v>
      </c>
      <c r="P1868" t="n">
        <v>4</v>
      </c>
      <c r="Q1868" t="n">
        <v>4</v>
      </c>
      <c r="R1868" t="n">
        <v>1</v>
      </c>
      <c r="S1868" t="n">
        <v>1971</v>
      </c>
      <c r="T1868" t="s">
        <v>12216</v>
      </c>
      <c r="U1868" t="s">
        <v>12217</v>
      </c>
      <c r="V1868" t="s">
        <v>74</v>
      </c>
      <c r="W1868"/>
      <c r="X1868"/>
      <c r="Y1868"/>
      <c r="Z1868"/>
      <c r="AA1868" t="s">
        <v>12218</v>
      </c>
      <c r="AB1868" t="s">
        <v>10071</v>
      </c>
      <c r="AC1868" t="n">
        <v>166</v>
      </c>
      <c r="AD1868"/>
      <c r="AE1868"/>
      <c r="AF1868" t="s">
        <v>12219</v>
      </c>
      <c r="AG1868" t="n">
        <v>47</v>
      </c>
    </row>
    <row r="1869">
      <c r="A1869" t="s">
        <v>12220</v>
      </c>
      <c r="B1869" t="s">
        <v>30</v>
      </c>
      <c r="C1869" t="s">
        <v>24</v>
      </c>
      <c r="D1869" t="s">
        <v>12221</v>
      </c>
      <c r="E1869" t="s">
        <v>3151</v>
      </c>
      <c r="F1869" t="s">
        <v>3152</v>
      </c>
      <c r="G1869" t="s">
        <v>3163</v>
      </c>
      <c r="H1869" t="n">
        <v>40.303325</v>
      </c>
      <c r="I1869" t="n">
        <v>-105.092592</v>
      </c>
      <c r="J1869" t="s">
        <v>4109</v>
      </c>
      <c r="K1869" t="s">
        <v>120</v>
      </c>
      <c r="L1869"/>
      <c r="M1869" t="n">
        <v>1974</v>
      </c>
      <c r="N1869" t="n">
        <v>1977</v>
      </c>
      <c r="O1869" t="s">
        <v>228</v>
      </c>
      <c r="P1869" t="n">
        <v>2</v>
      </c>
      <c r="Q1869" t="n">
        <v>2</v>
      </c>
      <c r="R1869" t="n">
        <v>1</v>
      </c>
      <c r="S1869" t="n">
        <v>1954</v>
      </c>
      <c r="T1869" t="s">
        <v>12222</v>
      </c>
      <c r="U1869" t="s">
        <v>12223</v>
      </c>
      <c r="V1869" t="s">
        <v>74</v>
      </c>
      <c r="W1869"/>
      <c r="X1869"/>
      <c r="Y1869"/>
      <c r="Z1869"/>
      <c r="AA1869" t="s">
        <v>12224</v>
      </c>
      <c r="AB1869"/>
      <c r="AC1869"/>
      <c r="AD1869"/>
      <c r="AE1869"/>
      <c r="AF1869"/>
      <c r="AG1869"/>
    </row>
    <row r="1870">
      <c r="A1870" t="s">
        <v>12225</v>
      </c>
      <c r="B1870" t="s">
        <v>30</v>
      </c>
      <c r="C1870" t="s">
        <v>24</v>
      </c>
      <c r="D1870" t="s">
        <v>12226</v>
      </c>
      <c r="E1870" t="s">
        <v>3278</v>
      </c>
      <c r="F1870" t="s">
        <v>3152</v>
      </c>
      <c r="G1870" t="s">
        <v>3279</v>
      </c>
      <c r="H1870" t="n">
        <v>40.3119304444444</v>
      </c>
      <c r="I1870" t="n">
        <v>-105.074279373737</v>
      </c>
      <c r="J1870" t="s">
        <v>4109</v>
      </c>
      <c r="K1870" t="s">
        <v>70</v>
      </c>
      <c r="L1870"/>
      <c r="M1870" t="n">
        <v>1977</v>
      </c>
      <c r="N1870" t="n">
        <v>1977</v>
      </c>
      <c r="O1870" t="s">
        <v>228</v>
      </c>
      <c r="P1870" t="n">
        <v>1</v>
      </c>
      <c r="Q1870" t="n">
        <v>1</v>
      </c>
      <c r="R1870" t="n">
        <v>1</v>
      </c>
      <c r="S1870" t="n">
        <v>1975</v>
      </c>
      <c r="T1870" t="s">
        <v>12227</v>
      </c>
      <c r="U1870" t="s">
        <v>12228</v>
      </c>
      <c r="V1870" t="s">
        <v>74</v>
      </c>
      <c r="W1870"/>
      <c r="X1870"/>
      <c r="Y1870"/>
      <c r="Z1870"/>
      <c r="AA1870" t="s">
        <v>12229</v>
      </c>
      <c r="AB1870"/>
      <c r="AC1870"/>
      <c r="AD1870"/>
      <c r="AE1870"/>
      <c r="AF1870" t="s">
        <v>12230</v>
      </c>
      <c r="AG1870" t="n">
        <v>164</v>
      </c>
    </row>
    <row r="1871">
      <c r="A1871" t="s">
        <v>12231</v>
      </c>
      <c r="B1871" t="s">
        <v>30</v>
      </c>
      <c r="C1871" t="s">
        <v>24</v>
      </c>
      <c r="D1871" t="s">
        <v>12232</v>
      </c>
      <c r="E1871" t="s">
        <v>10089</v>
      </c>
      <c r="F1871" t="s">
        <v>3152</v>
      </c>
      <c r="G1871" t="s">
        <v>10090</v>
      </c>
      <c r="H1871" t="n">
        <v>40.622527</v>
      </c>
      <c r="I1871" t="n">
        <v>-105.139076</v>
      </c>
      <c r="J1871" t="s">
        <v>4109</v>
      </c>
      <c r="K1871" t="s">
        <v>315</v>
      </c>
      <c r="L1871"/>
      <c r="M1871" t="n">
        <v>1977</v>
      </c>
      <c r="N1871" t="n">
        <v>1977</v>
      </c>
      <c r="O1871" t="s">
        <v>228</v>
      </c>
      <c r="P1871" t="n">
        <v>1</v>
      </c>
      <c r="Q1871" t="n">
        <v>1</v>
      </c>
      <c r="R1871" t="n">
        <v>1</v>
      </c>
      <c r="S1871" t="n">
        <v>1974</v>
      </c>
      <c r="T1871" t="s">
        <v>12233</v>
      </c>
      <c r="U1871" t="s">
        <v>12234</v>
      </c>
      <c r="V1871" t="s">
        <v>74</v>
      </c>
      <c r="W1871"/>
      <c r="X1871"/>
      <c r="Y1871"/>
      <c r="Z1871"/>
      <c r="AA1871" t="s">
        <v>12235</v>
      </c>
      <c r="AB1871"/>
      <c r="AC1871"/>
      <c r="AD1871"/>
      <c r="AE1871"/>
      <c r="AF1871"/>
      <c r="AG1871"/>
    </row>
    <row r="1872">
      <c r="A1872" t="s">
        <v>12236</v>
      </c>
      <c r="B1872" t="s">
        <v>30</v>
      </c>
      <c r="C1872" t="s">
        <v>65</v>
      </c>
      <c r="D1872" t="s">
        <v>12237</v>
      </c>
      <c r="E1872" t="s">
        <v>3170</v>
      </c>
      <c r="F1872" t="s">
        <v>3152</v>
      </c>
      <c r="G1872" t="s">
        <v>3292</v>
      </c>
      <c r="H1872" t="n">
        <v>40.6034984545455</v>
      </c>
      <c r="I1872" t="n">
        <v>-105.082823363636</v>
      </c>
      <c r="J1872" t="s">
        <v>35</v>
      </c>
      <c r="K1872" t="s">
        <v>70</v>
      </c>
      <c r="L1872"/>
      <c r="M1872" t="n">
        <v>1980</v>
      </c>
      <c r="N1872" t="n">
        <v>1990</v>
      </c>
      <c r="O1872" t="s">
        <v>555</v>
      </c>
      <c r="P1872" t="n">
        <v>2</v>
      </c>
      <c r="Q1872" t="n">
        <v>2</v>
      </c>
      <c r="R1872" t="n">
        <v>2</v>
      </c>
      <c r="S1872" t="n">
        <v>1963</v>
      </c>
      <c r="T1872" t="s">
        <v>12238</v>
      </c>
      <c r="U1872" t="s">
        <v>12239</v>
      </c>
      <c r="V1872" t="s">
        <v>74</v>
      </c>
      <c r="W1872"/>
      <c r="X1872"/>
      <c r="Y1872"/>
      <c r="Z1872"/>
      <c r="AA1872" t="s">
        <v>12240</v>
      </c>
      <c r="AB1872"/>
      <c r="AC1872"/>
      <c r="AD1872"/>
      <c r="AE1872"/>
      <c r="AF1872" t="s">
        <v>3372</v>
      </c>
      <c r="AG1872" t="n">
        <v>166</v>
      </c>
    </row>
    <row r="1873">
      <c r="A1873" t="s">
        <v>12241</v>
      </c>
      <c r="B1873" t="s">
        <v>30</v>
      </c>
      <c r="C1873" t="s">
        <v>65</v>
      </c>
      <c r="D1873" t="s">
        <v>12242</v>
      </c>
      <c r="E1873" t="s">
        <v>3170</v>
      </c>
      <c r="F1873" t="s">
        <v>3152</v>
      </c>
      <c r="G1873" t="s">
        <v>3292</v>
      </c>
      <c r="H1873" t="n">
        <v>40.5880566377359</v>
      </c>
      <c r="I1873" t="n">
        <v>-105.046762932614</v>
      </c>
      <c r="J1873" t="s">
        <v>35</v>
      </c>
      <c r="K1873" t="s">
        <v>120</v>
      </c>
      <c r="L1873"/>
      <c r="M1873" t="n">
        <v>1980</v>
      </c>
      <c r="N1873" t="n">
        <v>1992</v>
      </c>
      <c r="O1873" t="s">
        <v>357</v>
      </c>
      <c r="P1873" t="n">
        <v>5</v>
      </c>
      <c r="Q1873" t="n">
        <v>7</v>
      </c>
      <c r="R1873" t="n">
        <v>2</v>
      </c>
      <c r="S1873" t="n">
        <v>1966</v>
      </c>
      <c r="T1873" t="s">
        <v>12243</v>
      </c>
      <c r="U1873" t="s">
        <v>12244</v>
      </c>
      <c r="V1873" t="s">
        <v>74</v>
      </c>
      <c r="W1873"/>
      <c r="X1873"/>
      <c r="Y1873"/>
      <c r="Z1873"/>
      <c r="AA1873" t="s">
        <v>12245</v>
      </c>
      <c r="AB1873"/>
      <c r="AC1873"/>
      <c r="AD1873"/>
      <c r="AE1873"/>
      <c r="AF1873" t="s">
        <v>12246</v>
      </c>
      <c r="AG1873" t="n">
        <v>66</v>
      </c>
    </row>
    <row r="1874">
      <c r="A1874" t="s">
        <v>12247</v>
      </c>
      <c r="B1874" t="s">
        <v>30</v>
      </c>
      <c r="C1874" t="s">
        <v>24</v>
      </c>
      <c r="D1874" t="s">
        <v>12248</v>
      </c>
      <c r="E1874" t="s">
        <v>3151</v>
      </c>
      <c r="F1874" t="s">
        <v>3152</v>
      </c>
      <c r="G1874" t="s">
        <v>3163</v>
      </c>
      <c r="H1874" t="n">
        <v>40.305135621677</v>
      </c>
      <c r="I1874" t="n">
        <v>-105.086504120217</v>
      </c>
      <c r="J1874" t="s">
        <v>4109</v>
      </c>
      <c r="K1874" t="s">
        <v>141</v>
      </c>
      <c r="L1874"/>
      <c r="M1874" t="n">
        <v>1980</v>
      </c>
      <c r="N1874" t="n">
        <v>1980</v>
      </c>
      <c r="O1874" t="s">
        <v>255</v>
      </c>
      <c r="P1874" t="n">
        <v>1</v>
      </c>
      <c r="Q1874" t="n">
        <v>1</v>
      </c>
      <c r="R1874" t="n">
        <v>1</v>
      </c>
      <c r="S1874" t="n">
        <v>1962</v>
      </c>
      <c r="T1874" t="s">
        <v>12249</v>
      </c>
      <c r="U1874" t="s">
        <v>12250</v>
      </c>
      <c r="V1874" t="s">
        <v>74</v>
      </c>
      <c r="W1874"/>
      <c r="X1874"/>
      <c r="Y1874"/>
      <c r="Z1874"/>
      <c r="AA1874" t="s">
        <v>12251</v>
      </c>
      <c r="AB1874"/>
      <c r="AC1874"/>
      <c r="AD1874"/>
      <c r="AE1874"/>
      <c r="AF1874"/>
      <c r="AG1874"/>
    </row>
    <row r="1875">
      <c r="A1875" t="s">
        <v>12252</v>
      </c>
      <c r="B1875" t="s">
        <v>30</v>
      </c>
      <c r="C1875" t="s">
        <v>24</v>
      </c>
      <c r="D1875" t="s">
        <v>12253</v>
      </c>
      <c r="E1875" t="s">
        <v>3151</v>
      </c>
      <c r="F1875" t="s">
        <v>3152</v>
      </c>
      <c r="G1875" t="s">
        <v>3163</v>
      </c>
      <c r="H1875" t="n">
        <v>40.442512746988</v>
      </c>
      <c r="I1875" t="n">
        <v>-105.02046337751</v>
      </c>
      <c r="J1875" t="s">
        <v>4109</v>
      </c>
      <c r="K1875" t="s">
        <v>70</v>
      </c>
      <c r="L1875"/>
      <c r="M1875" t="n">
        <v>1980</v>
      </c>
      <c r="N1875" t="n">
        <v>1990</v>
      </c>
      <c r="O1875" t="s">
        <v>555</v>
      </c>
      <c r="P1875" t="n">
        <v>3</v>
      </c>
      <c r="Q1875" t="n">
        <v>3</v>
      </c>
      <c r="R1875" t="n">
        <v>2</v>
      </c>
      <c r="S1875" t="n">
        <v>1962</v>
      </c>
      <c r="T1875" t="s">
        <v>12254</v>
      </c>
      <c r="U1875" t="s">
        <v>12255</v>
      </c>
      <c r="V1875" t="s">
        <v>74</v>
      </c>
      <c r="W1875"/>
      <c r="X1875"/>
      <c r="Y1875"/>
      <c r="Z1875"/>
      <c r="AA1875" t="s">
        <v>12256</v>
      </c>
      <c r="AB1875"/>
      <c r="AC1875"/>
      <c r="AD1875"/>
      <c r="AE1875"/>
      <c r="AF1875"/>
      <c r="AG1875"/>
    </row>
    <row r="1876">
      <c r="A1876" t="s">
        <v>12257</v>
      </c>
      <c r="B1876" t="s">
        <v>30</v>
      </c>
      <c r="C1876" t="s">
        <v>24</v>
      </c>
      <c r="D1876" t="s">
        <v>12258</v>
      </c>
      <c r="E1876" t="s">
        <v>12259</v>
      </c>
      <c r="F1876" t="s">
        <v>3152</v>
      </c>
      <c r="G1876" t="s">
        <v>12260</v>
      </c>
      <c r="H1876" t="n">
        <v>40.704982861996</v>
      </c>
      <c r="I1876" t="n">
        <v>-105.007604085236</v>
      </c>
      <c r="J1876" t="s">
        <v>4109</v>
      </c>
      <c r="K1876" t="s">
        <v>133</v>
      </c>
      <c r="L1876"/>
      <c r="M1876" t="n">
        <v>1980</v>
      </c>
      <c r="N1876" t="n">
        <v>1980</v>
      </c>
      <c r="O1876" t="s">
        <v>255</v>
      </c>
      <c r="P1876" t="n">
        <v>1</v>
      </c>
      <c r="Q1876" t="n">
        <v>1</v>
      </c>
      <c r="R1876" t="n">
        <v>1</v>
      </c>
      <c r="S1876" t="n">
        <v>1976</v>
      </c>
      <c r="T1876" t="s">
        <v>12261</v>
      </c>
      <c r="U1876" t="s">
        <v>12262</v>
      </c>
      <c r="V1876" t="s">
        <v>74</v>
      </c>
      <c r="W1876"/>
      <c r="X1876"/>
      <c r="Y1876"/>
      <c r="Z1876"/>
      <c r="AA1876" t="s">
        <v>12263</v>
      </c>
      <c r="AB1876"/>
      <c r="AC1876"/>
      <c r="AD1876"/>
      <c r="AE1876"/>
      <c r="AF1876"/>
      <c r="AG1876"/>
    </row>
    <row r="1877">
      <c r="A1877" t="s">
        <v>12264</v>
      </c>
      <c r="B1877" t="s">
        <v>30</v>
      </c>
      <c r="C1877" t="s">
        <v>24</v>
      </c>
      <c r="D1877" t="s">
        <v>12265</v>
      </c>
      <c r="E1877" t="s">
        <v>3278</v>
      </c>
      <c r="F1877" t="s">
        <v>3152</v>
      </c>
      <c r="G1877" t="s">
        <v>3279</v>
      </c>
      <c r="H1877" t="n">
        <v>40.3065661212121</v>
      </c>
      <c r="I1877" t="n">
        <v>-105.074223742424</v>
      </c>
      <c r="J1877" t="s">
        <v>4109</v>
      </c>
      <c r="K1877" t="s">
        <v>120</v>
      </c>
      <c r="L1877"/>
      <c r="M1877" t="n">
        <v>1983</v>
      </c>
      <c r="N1877" t="n">
        <v>1992</v>
      </c>
      <c r="O1877" t="s">
        <v>2061</v>
      </c>
      <c r="P1877" t="n">
        <v>4</v>
      </c>
      <c r="Q1877" t="n">
        <v>2</v>
      </c>
      <c r="R1877" t="n">
        <v>2</v>
      </c>
      <c r="S1877" t="n">
        <v>1980</v>
      </c>
      <c r="T1877" t="s">
        <v>12266</v>
      </c>
      <c r="U1877" t="s">
        <v>12267</v>
      </c>
      <c r="V1877" t="s">
        <v>74</v>
      </c>
      <c r="W1877"/>
      <c r="X1877"/>
      <c r="Y1877"/>
      <c r="Z1877"/>
      <c r="AA1877" t="s">
        <v>12268</v>
      </c>
      <c r="AB1877"/>
      <c r="AC1877"/>
      <c r="AD1877"/>
      <c r="AE1877"/>
      <c r="AF1877" t="s">
        <v>12269</v>
      </c>
      <c r="AG1877" t="n">
        <v>127</v>
      </c>
    </row>
    <row r="1878">
      <c r="A1878" t="s">
        <v>12270</v>
      </c>
      <c r="B1878" t="s">
        <v>30</v>
      </c>
      <c r="C1878" t="s">
        <v>65</v>
      </c>
      <c r="D1878" t="s">
        <v>12271</v>
      </c>
      <c r="E1878" t="s">
        <v>3278</v>
      </c>
      <c r="F1878" t="s">
        <v>3152</v>
      </c>
      <c r="G1878" t="s">
        <v>3279</v>
      </c>
      <c r="H1878" t="n">
        <v>40.3051686129534</v>
      </c>
      <c r="I1878" t="n">
        <v>-105.077787995337</v>
      </c>
      <c r="J1878" t="s">
        <v>35</v>
      </c>
      <c r="K1878" t="s">
        <v>120</v>
      </c>
      <c r="L1878"/>
      <c r="M1878" t="n">
        <v>1988</v>
      </c>
      <c r="N1878" t="n">
        <v>1988</v>
      </c>
      <c r="O1878" t="s">
        <v>325</v>
      </c>
      <c r="P1878" t="n">
        <v>1</v>
      </c>
      <c r="Q1878" t="n">
        <v>1</v>
      </c>
      <c r="R1878" t="n">
        <v>1</v>
      </c>
      <c r="S1878" t="n">
        <v>1974</v>
      </c>
      <c r="T1878" t="s">
        <v>12272</v>
      </c>
      <c r="U1878" t="s">
        <v>12273</v>
      </c>
      <c r="V1878" t="s">
        <v>74</v>
      </c>
      <c r="W1878"/>
      <c r="X1878"/>
      <c r="Y1878"/>
      <c r="Z1878"/>
      <c r="AA1878" t="s">
        <v>12274</v>
      </c>
      <c r="AB1878"/>
      <c r="AC1878"/>
      <c r="AD1878"/>
      <c r="AE1878"/>
      <c r="AF1878" t="s">
        <v>12189</v>
      </c>
      <c r="AG1878" t="n">
        <v>90</v>
      </c>
    </row>
    <row r="1879">
      <c r="A1879" t="s">
        <v>12275</v>
      </c>
      <c r="B1879" t="s">
        <v>30</v>
      </c>
      <c r="C1879" t="s">
        <v>65</v>
      </c>
      <c r="D1879" t="s">
        <v>12276</v>
      </c>
      <c r="E1879" t="s">
        <v>3454</v>
      </c>
      <c r="F1879" t="s">
        <v>3455</v>
      </c>
      <c r="G1879"/>
      <c r="H1879" t="n">
        <v>40.618984506276</v>
      </c>
      <c r="I1879" t="n">
        <v>-103.209246377966</v>
      </c>
      <c r="J1879" t="s">
        <v>35</v>
      </c>
      <c r="K1879" t="s">
        <v>89</v>
      </c>
      <c r="L1879"/>
      <c r="M1879" t="n">
        <v>1965</v>
      </c>
      <c r="N1879" t="n">
        <v>1965</v>
      </c>
      <c r="O1879" t="s">
        <v>1275</v>
      </c>
      <c r="P1879" t="n">
        <v>1</v>
      </c>
      <c r="Q1879" t="n">
        <v>1</v>
      </c>
      <c r="R1879" t="n">
        <v>1</v>
      </c>
      <c r="S1879"/>
      <c r="T1879" t="s">
        <v>12277</v>
      </c>
      <c r="U1879" t="s">
        <v>12278</v>
      </c>
      <c r="V1879" t="s">
        <v>74</v>
      </c>
      <c r="W1879"/>
      <c r="X1879"/>
      <c r="Y1879"/>
      <c r="Z1879"/>
      <c r="AA1879" t="s">
        <v>12279</v>
      </c>
      <c r="AB1879"/>
      <c r="AC1879"/>
      <c r="AD1879"/>
      <c r="AE1879"/>
      <c r="AF1879"/>
      <c r="AG1879"/>
    </row>
    <row r="1880">
      <c r="A1880" t="s">
        <v>12280</v>
      </c>
      <c r="B1880" t="s">
        <v>30</v>
      </c>
      <c r="C1880" t="s">
        <v>65</v>
      </c>
      <c r="D1880" t="s">
        <v>12281</v>
      </c>
      <c r="E1880" t="s">
        <v>3454</v>
      </c>
      <c r="F1880" t="s">
        <v>3455</v>
      </c>
      <c r="G1880"/>
      <c r="H1880" t="n">
        <v>40.6267608201636</v>
      </c>
      <c r="I1880" t="n">
        <v>-103.224795818272</v>
      </c>
      <c r="J1880" t="s">
        <v>35</v>
      </c>
      <c r="K1880" t="s">
        <v>120</v>
      </c>
      <c r="L1880"/>
      <c r="M1880" t="n">
        <v>1965</v>
      </c>
      <c r="N1880" t="n">
        <v>1974</v>
      </c>
      <c r="O1880" t="s">
        <v>1532</v>
      </c>
      <c r="P1880" t="n">
        <v>6</v>
      </c>
      <c r="Q1880" t="n">
        <v>3</v>
      </c>
      <c r="R1880" t="n">
        <v>2</v>
      </c>
      <c r="S1880" t="n">
        <v>1925</v>
      </c>
      <c r="T1880" t="s">
        <v>12282</v>
      </c>
      <c r="U1880" t="s">
        <v>12283</v>
      </c>
      <c r="V1880" t="s">
        <v>74</v>
      </c>
      <c r="W1880"/>
      <c r="X1880"/>
      <c r="Y1880"/>
      <c r="Z1880"/>
      <c r="AA1880" t="s">
        <v>12284</v>
      </c>
      <c r="AB1880"/>
      <c r="AC1880"/>
      <c r="AD1880"/>
      <c r="AE1880"/>
      <c r="AF1880" t="s">
        <v>12285</v>
      </c>
      <c r="AG1880" t="n">
        <v>193</v>
      </c>
    </row>
    <row r="1881">
      <c r="A1881" t="s">
        <v>12286</v>
      </c>
      <c r="B1881" t="s">
        <v>30</v>
      </c>
      <c r="C1881" t="s">
        <v>65</v>
      </c>
      <c r="D1881" t="s">
        <v>12287</v>
      </c>
      <c r="E1881" t="s">
        <v>3454</v>
      </c>
      <c r="F1881" t="s">
        <v>3455</v>
      </c>
      <c r="G1881" t="s">
        <v>3456</v>
      </c>
      <c r="H1881" t="n">
        <v>40.6185263759009</v>
      </c>
      <c r="I1881" t="n">
        <v>-103.209574490829</v>
      </c>
      <c r="J1881" t="s">
        <v>35</v>
      </c>
      <c r="K1881" t="s">
        <v>126</v>
      </c>
      <c r="L1881"/>
      <c r="M1881" t="n">
        <v>1970</v>
      </c>
      <c r="N1881" t="n">
        <v>1974</v>
      </c>
      <c r="O1881" t="s">
        <v>1645</v>
      </c>
      <c r="P1881" t="n">
        <v>3</v>
      </c>
      <c r="Q1881" t="n">
        <v>3</v>
      </c>
      <c r="R1881" t="n">
        <v>2</v>
      </c>
      <c r="S1881" t="n">
        <v>1966</v>
      </c>
      <c r="T1881" t="s">
        <v>12288</v>
      </c>
      <c r="U1881" t="s">
        <v>12289</v>
      </c>
      <c r="V1881" t="s">
        <v>74</v>
      </c>
      <c r="W1881"/>
      <c r="X1881"/>
      <c r="Y1881"/>
      <c r="Z1881"/>
      <c r="AA1881" t="s">
        <v>12290</v>
      </c>
      <c r="AB1881"/>
      <c r="AC1881"/>
      <c r="AD1881"/>
      <c r="AE1881"/>
      <c r="AF1881"/>
      <c r="AG1881"/>
    </row>
    <row r="1882">
      <c r="A1882" t="s">
        <v>12291</v>
      </c>
      <c r="B1882" t="s">
        <v>30</v>
      </c>
      <c r="C1882" t="s">
        <v>65</v>
      </c>
      <c r="D1882" t="s">
        <v>12292</v>
      </c>
      <c r="E1882" t="s">
        <v>12293</v>
      </c>
      <c r="F1882" t="s">
        <v>3455</v>
      </c>
      <c r="G1882" t="s">
        <v>12294</v>
      </c>
      <c r="H1882" t="n">
        <v>40.5442477553677</v>
      </c>
      <c r="I1882" t="n">
        <v>-103.272751735193</v>
      </c>
      <c r="J1882" t="s">
        <v>35</v>
      </c>
      <c r="K1882" t="s">
        <v>120</v>
      </c>
      <c r="L1882"/>
      <c r="M1882" t="n">
        <v>1980</v>
      </c>
      <c r="N1882" t="n">
        <v>1992</v>
      </c>
      <c r="O1882" t="s">
        <v>582</v>
      </c>
      <c r="P1882" t="n">
        <v>4</v>
      </c>
      <c r="Q1882" t="n">
        <v>1</v>
      </c>
      <c r="R1882" t="n">
        <v>1</v>
      </c>
      <c r="S1882" t="n">
        <v>1964</v>
      </c>
      <c r="T1882" t="s">
        <v>12295</v>
      </c>
      <c r="U1882" t="s">
        <v>12296</v>
      </c>
      <c r="V1882" t="s">
        <v>74</v>
      </c>
      <c r="W1882"/>
      <c r="X1882"/>
      <c r="Y1882"/>
      <c r="Z1882"/>
      <c r="AA1882" t="s">
        <v>12297</v>
      </c>
      <c r="AB1882"/>
      <c r="AC1882"/>
      <c r="AD1882"/>
      <c r="AE1882"/>
      <c r="AF1882"/>
      <c r="AG1882"/>
    </row>
    <row r="1883">
      <c r="A1883" t="s">
        <v>12298</v>
      </c>
      <c r="B1883" t="s">
        <v>30</v>
      </c>
      <c r="C1883" t="s">
        <v>65</v>
      </c>
      <c r="D1883" t="s">
        <v>12299</v>
      </c>
      <c r="E1883" t="s">
        <v>3454</v>
      </c>
      <c r="F1883" t="s">
        <v>3455</v>
      </c>
      <c r="G1883" t="s">
        <v>3456</v>
      </c>
      <c r="H1883" t="n">
        <v>40.6258680559941</v>
      </c>
      <c r="I1883" t="n">
        <v>-103.197138392826</v>
      </c>
      <c r="J1883" t="s">
        <v>35</v>
      </c>
      <c r="K1883" t="s">
        <v>126</v>
      </c>
      <c r="L1883"/>
      <c r="M1883" t="n">
        <v>1980</v>
      </c>
      <c r="N1883" t="n">
        <v>1990</v>
      </c>
      <c r="O1883" t="s">
        <v>540</v>
      </c>
      <c r="P1883" t="n">
        <v>4</v>
      </c>
      <c r="Q1883" t="n">
        <v>4</v>
      </c>
      <c r="R1883" t="n">
        <v>4</v>
      </c>
      <c r="S1883" t="n">
        <v>1966</v>
      </c>
      <c r="T1883" t="s">
        <v>12300</v>
      </c>
      <c r="U1883" t="s">
        <v>12301</v>
      </c>
      <c r="V1883" t="s">
        <v>74</v>
      </c>
      <c r="W1883"/>
      <c r="X1883"/>
      <c r="Y1883"/>
      <c r="Z1883"/>
      <c r="AA1883" t="s">
        <v>12302</v>
      </c>
      <c r="AB1883"/>
      <c r="AC1883"/>
      <c r="AD1883" t="s">
        <v>12303</v>
      </c>
      <c r="AE1883" t="n">
        <v>220</v>
      </c>
      <c r="AF1883" t="s">
        <v>12304</v>
      </c>
      <c r="AG1883" t="n">
        <v>241</v>
      </c>
    </row>
    <row r="1884">
      <c r="A1884" t="s">
        <v>12305</v>
      </c>
      <c r="B1884" t="s">
        <v>30</v>
      </c>
      <c r="C1884" t="s">
        <v>65</v>
      </c>
      <c r="D1884" t="s">
        <v>12306</v>
      </c>
      <c r="E1884" t="s">
        <v>3454</v>
      </c>
      <c r="F1884" t="s">
        <v>3455</v>
      </c>
      <c r="G1884" t="s">
        <v>3456</v>
      </c>
      <c r="H1884" t="n">
        <v>40.6345806706659</v>
      </c>
      <c r="I1884" t="n">
        <v>-103.192193124128</v>
      </c>
      <c r="J1884" t="s">
        <v>35</v>
      </c>
      <c r="K1884" t="s">
        <v>141</v>
      </c>
      <c r="L1884"/>
      <c r="M1884" t="n">
        <v>1983</v>
      </c>
      <c r="N1884" t="n">
        <v>1992</v>
      </c>
      <c r="O1884" t="s">
        <v>271</v>
      </c>
      <c r="P1884" t="n">
        <v>4</v>
      </c>
      <c r="Q1884" t="n">
        <v>1</v>
      </c>
      <c r="R1884" t="n">
        <v>1</v>
      </c>
      <c r="S1884" t="n">
        <v>1957</v>
      </c>
      <c r="T1884" t="s">
        <v>12307</v>
      </c>
      <c r="U1884" t="s">
        <v>12308</v>
      </c>
      <c r="V1884" t="s">
        <v>74</v>
      </c>
      <c r="W1884"/>
      <c r="X1884"/>
      <c r="Y1884"/>
      <c r="Z1884"/>
      <c r="AA1884" t="s">
        <v>12309</v>
      </c>
      <c r="AB1884"/>
      <c r="AC1884"/>
      <c r="AD1884"/>
      <c r="AE1884"/>
      <c r="AF1884"/>
      <c r="AG1884"/>
    </row>
    <row r="1885">
      <c r="A1885" t="s">
        <v>12310</v>
      </c>
      <c r="B1885" t="s">
        <v>30</v>
      </c>
      <c r="C1885" t="s">
        <v>65</v>
      </c>
      <c r="D1885" t="s">
        <v>12311</v>
      </c>
      <c r="E1885" t="s">
        <v>3461</v>
      </c>
      <c r="F1885" t="s">
        <v>3462</v>
      </c>
      <c r="G1885"/>
      <c r="H1885" t="n">
        <v>39.071192</v>
      </c>
      <c r="I1885" t="n">
        <v>-108.573268</v>
      </c>
      <c r="J1885" t="s">
        <v>35</v>
      </c>
      <c r="K1885" t="s">
        <v>120</v>
      </c>
      <c r="L1885"/>
      <c r="M1885" t="n">
        <v>1965</v>
      </c>
      <c r="N1885" t="n">
        <v>1965</v>
      </c>
      <c r="O1885" t="s">
        <v>1275</v>
      </c>
      <c r="P1885" t="n">
        <v>1</v>
      </c>
      <c r="Q1885" t="n">
        <v>1</v>
      </c>
      <c r="R1885" t="n">
        <v>1</v>
      </c>
      <c r="S1885"/>
      <c r="T1885" t="s">
        <v>12312</v>
      </c>
      <c r="U1885" t="s">
        <v>12313</v>
      </c>
      <c r="V1885" t="s">
        <v>74</v>
      </c>
      <c r="W1885"/>
      <c r="X1885"/>
      <c r="Y1885"/>
      <c r="Z1885"/>
      <c r="AA1885" t="s">
        <v>12314</v>
      </c>
      <c r="AB1885"/>
      <c r="AC1885"/>
      <c r="AD1885"/>
      <c r="AE1885"/>
      <c r="AF1885" t="s">
        <v>12315</v>
      </c>
      <c r="AG1885" t="n">
        <v>147</v>
      </c>
    </row>
    <row r="1886">
      <c r="A1886" t="s">
        <v>12316</v>
      </c>
      <c r="B1886" t="s">
        <v>30</v>
      </c>
      <c r="C1886" t="s">
        <v>24</v>
      </c>
      <c r="D1886" t="s">
        <v>12317</v>
      </c>
      <c r="E1886" t="s">
        <v>3461</v>
      </c>
      <c r="F1886" t="s">
        <v>3462</v>
      </c>
      <c r="G1886" t="s">
        <v>3487</v>
      </c>
      <c r="H1886" t="n">
        <v>39.0774144071961</v>
      </c>
      <c r="I1886" t="n">
        <v>-108.569408774901</v>
      </c>
      <c r="J1886" t="s">
        <v>35</v>
      </c>
      <c r="K1886" t="s">
        <v>89</v>
      </c>
      <c r="L1886"/>
      <c r="M1886" t="n">
        <v>1966</v>
      </c>
      <c r="N1886" t="n">
        <v>1966</v>
      </c>
      <c r="O1886" t="s">
        <v>4172</v>
      </c>
      <c r="P1886" t="n">
        <v>1</v>
      </c>
      <c r="Q1886" t="n">
        <v>1</v>
      </c>
      <c r="R1886" t="n">
        <v>1</v>
      </c>
      <c r="S1886" t="n">
        <v>1943</v>
      </c>
      <c r="T1886" t="s">
        <v>12318</v>
      </c>
      <c r="U1886" t="s">
        <v>12319</v>
      </c>
      <c r="V1886" t="s">
        <v>4175</v>
      </c>
      <c r="W1886"/>
      <c r="X1886"/>
      <c r="Y1886"/>
      <c r="Z1886"/>
      <c r="AA1886" t="s">
        <v>12320</v>
      </c>
      <c r="AB1886" t="s">
        <v>3483</v>
      </c>
      <c r="AC1886" t="n">
        <v>142</v>
      </c>
      <c r="AD1886"/>
      <c r="AE1886"/>
      <c r="AF1886" t="s">
        <v>12321</v>
      </c>
      <c r="AG1886" t="n">
        <v>125</v>
      </c>
    </row>
    <row r="1887">
      <c r="A1887" t="s">
        <v>12322</v>
      </c>
      <c r="B1887" t="s">
        <v>30</v>
      </c>
      <c r="C1887" t="s">
        <v>24</v>
      </c>
      <c r="D1887" t="s">
        <v>12323</v>
      </c>
      <c r="E1887" t="s">
        <v>3461</v>
      </c>
      <c r="F1887" t="s">
        <v>3462</v>
      </c>
      <c r="G1887" t="s">
        <v>3487</v>
      </c>
      <c r="H1887" t="n">
        <v>39.0653566111478</v>
      </c>
      <c r="I1887" t="n">
        <v>-108.567623876631</v>
      </c>
      <c r="J1887" t="s">
        <v>4109</v>
      </c>
      <c r="K1887" t="s">
        <v>70</v>
      </c>
      <c r="L1887"/>
      <c r="M1887" t="n">
        <v>1973</v>
      </c>
      <c r="N1887" t="n">
        <v>1973</v>
      </c>
      <c r="O1887" t="s">
        <v>121</v>
      </c>
      <c r="P1887" t="n">
        <v>1</v>
      </c>
      <c r="Q1887" t="n">
        <v>1</v>
      </c>
      <c r="R1887" t="n">
        <v>1</v>
      </c>
      <c r="S1887" t="n">
        <v>1960</v>
      </c>
      <c r="T1887" t="s">
        <v>12324</v>
      </c>
      <c r="U1887" t="s">
        <v>12325</v>
      </c>
      <c r="V1887" t="s">
        <v>74</v>
      </c>
      <c r="W1887"/>
      <c r="X1887"/>
      <c r="Y1887"/>
      <c r="Z1887"/>
      <c r="AA1887" t="s">
        <v>12326</v>
      </c>
      <c r="AB1887"/>
      <c r="AC1887"/>
      <c r="AD1887"/>
      <c r="AE1887"/>
      <c r="AF1887" t="s">
        <v>12327</v>
      </c>
      <c r="AG1887" t="n">
        <v>110</v>
      </c>
    </row>
    <row r="1888">
      <c r="A1888" t="s">
        <v>12328</v>
      </c>
      <c r="B1888" t="s">
        <v>30</v>
      </c>
      <c r="C1888" t="s">
        <v>24</v>
      </c>
      <c r="D1888" t="s">
        <v>12329</v>
      </c>
      <c r="E1888" t="s">
        <v>3461</v>
      </c>
      <c r="F1888" t="s">
        <v>3462</v>
      </c>
      <c r="G1888" t="s">
        <v>3487</v>
      </c>
      <c r="H1888" t="n">
        <v>39.0992044884425</v>
      </c>
      <c r="I1888" t="n">
        <v>-108.626702611212</v>
      </c>
      <c r="J1888" t="s">
        <v>4109</v>
      </c>
      <c r="K1888" t="s">
        <v>1282</v>
      </c>
      <c r="L1888"/>
      <c r="M1888" t="n">
        <v>1977</v>
      </c>
      <c r="N1888" t="n">
        <v>1990</v>
      </c>
      <c r="O1888" t="s">
        <v>1487</v>
      </c>
      <c r="P1888" t="n">
        <v>5</v>
      </c>
      <c r="Q1888" t="n">
        <v>3</v>
      </c>
      <c r="R1888" t="n">
        <v>3</v>
      </c>
      <c r="S1888" t="n">
        <v>1974</v>
      </c>
      <c r="T1888" t="s">
        <v>12330</v>
      </c>
      <c r="U1888" t="s">
        <v>12331</v>
      </c>
      <c r="V1888" t="s">
        <v>74</v>
      </c>
      <c r="W1888"/>
      <c r="X1888"/>
      <c r="Y1888"/>
      <c r="Z1888"/>
      <c r="AA1888" t="s">
        <v>12332</v>
      </c>
      <c r="AB1888"/>
      <c r="AC1888"/>
      <c r="AD1888" t="s">
        <v>12333</v>
      </c>
      <c r="AE1888" t="n">
        <v>165</v>
      </c>
      <c r="AF1888"/>
      <c r="AG1888"/>
    </row>
    <row r="1889">
      <c r="A1889" t="s">
        <v>12334</v>
      </c>
      <c r="B1889" t="s">
        <v>30</v>
      </c>
      <c r="C1889" t="s">
        <v>24</v>
      </c>
      <c r="D1889" t="s">
        <v>12335</v>
      </c>
      <c r="E1889" t="s">
        <v>3461</v>
      </c>
      <c r="F1889" t="s">
        <v>3462</v>
      </c>
      <c r="G1889" t="s">
        <v>3487</v>
      </c>
      <c r="H1889" t="n">
        <v>39.100722</v>
      </c>
      <c r="I1889" t="n">
        <v>-108.62671</v>
      </c>
      <c r="J1889" t="s">
        <v>4109</v>
      </c>
      <c r="K1889" t="s">
        <v>70</v>
      </c>
      <c r="L1889"/>
      <c r="M1889" t="n">
        <v>1983</v>
      </c>
      <c r="N1889" t="n">
        <v>1983</v>
      </c>
      <c r="O1889" t="s">
        <v>264</v>
      </c>
      <c r="P1889" t="n">
        <v>1</v>
      </c>
      <c r="Q1889" t="n">
        <v>1</v>
      </c>
      <c r="R1889" t="n">
        <v>1</v>
      </c>
      <c r="S1889" t="n">
        <v>1976</v>
      </c>
      <c r="T1889" t="s">
        <v>12336</v>
      </c>
      <c r="U1889" t="s">
        <v>12337</v>
      </c>
      <c r="V1889" t="s">
        <v>74</v>
      </c>
      <c r="W1889"/>
      <c r="X1889"/>
      <c r="Y1889"/>
      <c r="Z1889"/>
      <c r="AA1889" t="s">
        <v>12338</v>
      </c>
      <c r="AB1889"/>
      <c r="AC1889"/>
      <c r="AD1889"/>
      <c r="AE1889"/>
      <c r="AF1889"/>
      <c r="AG1889"/>
    </row>
    <row r="1890">
      <c r="A1890" t="s">
        <v>12339</v>
      </c>
      <c r="B1890" t="s">
        <v>30</v>
      </c>
      <c r="C1890" t="s">
        <v>65</v>
      </c>
      <c r="D1890" t="s">
        <v>12340</v>
      </c>
      <c r="E1890" t="s">
        <v>3461</v>
      </c>
      <c r="F1890" t="s">
        <v>3462</v>
      </c>
      <c r="G1890" t="s">
        <v>3487</v>
      </c>
      <c r="H1890" t="n">
        <v>39.0676613667323</v>
      </c>
      <c r="I1890" t="n">
        <v>-108.566136854185</v>
      </c>
      <c r="J1890" t="s">
        <v>35</v>
      </c>
      <c r="K1890" t="s">
        <v>70</v>
      </c>
      <c r="L1890"/>
      <c r="M1890" t="n">
        <v>1983</v>
      </c>
      <c r="N1890" t="n">
        <v>1990</v>
      </c>
      <c r="O1890" t="s">
        <v>293</v>
      </c>
      <c r="P1890" t="n">
        <v>2</v>
      </c>
      <c r="Q1890" t="n">
        <v>1</v>
      </c>
      <c r="R1890" t="n">
        <v>1</v>
      </c>
      <c r="S1890" t="n">
        <v>1971</v>
      </c>
      <c r="T1890" t="s">
        <v>12341</v>
      </c>
      <c r="U1890" t="s">
        <v>12342</v>
      </c>
      <c r="V1890" t="s">
        <v>74</v>
      </c>
      <c r="W1890"/>
      <c r="X1890"/>
      <c r="Y1890"/>
      <c r="Z1890"/>
      <c r="AA1890" t="s">
        <v>12343</v>
      </c>
      <c r="AB1890" t="s">
        <v>12344</v>
      </c>
      <c r="AC1890" t="n">
        <v>124</v>
      </c>
      <c r="AD1890"/>
      <c r="AE1890"/>
      <c r="AF1890" t="s">
        <v>12345</v>
      </c>
      <c r="AG1890" t="n">
        <v>158</v>
      </c>
    </row>
    <row r="1891">
      <c r="A1891" t="s">
        <v>12346</v>
      </c>
      <c r="B1891" t="s">
        <v>30</v>
      </c>
      <c r="C1891" t="s">
        <v>65</v>
      </c>
      <c r="D1891" t="s">
        <v>12347</v>
      </c>
      <c r="E1891" t="s">
        <v>3461</v>
      </c>
      <c r="F1891" t="s">
        <v>3462</v>
      </c>
      <c r="G1891" t="s">
        <v>12348</v>
      </c>
      <c r="H1891" t="n">
        <v>39.082548</v>
      </c>
      <c r="I1891" t="n">
        <v>-108.459911334192</v>
      </c>
      <c r="J1891" t="s">
        <v>35</v>
      </c>
      <c r="K1891" t="s">
        <v>89</v>
      </c>
      <c r="L1891"/>
      <c r="M1891" t="n">
        <v>1988</v>
      </c>
      <c r="N1891" t="n">
        <v>1988</v>
      </c>
      <c r="O1891" t="s">
        <v>325</v>
      </c>
      <c r="P1891" t="n">
        <v>1</v>
      </c>
      <c r="Q1891" t="n">
        <v>1</v>
      </c>
      <c r="R1891" t="n">
        <v>1</v>
      </c>
      <c r="S1891" t="n">
        <v>1961</v>
      </c>
      <c r="T1891" t="s">
        <v>12349</v>
      </c>
      <c r="U1891" t="s">
        <v>12350</v>
      </c>
      <c r="V1891" t="s">
        <v>74</v>
      </c>
      <c r="W1891"/>
      <c r="X1891"/>
      <c r="Y1891"/>
      <c r="Z1891"/>
      <c r="AA1891" t="s">
        <v>12351</v>
      </c>
      <c r="AB1891"/>
      <c r="AC1891"/>
      <c r="AD1891"/>
      <c r="AE1891"/>
      <c r="AF1891" t="s">
        <v>12352</v>
      </c>
      <c r="AG1891" t="n">
        <v>160</v>
      </c>
    </row>
    <row r="1892">
      <c r="A1892" t="s">
        <v>12353</v>
      </c>
      <c r="B1892" t="s">
        <v>30</v>
      </c>
      <c r="C1892" t="s">
        <v>24</v>
      </c>
      <c r="D1892" t="s">
        <v>12354</v>
      </c>
      <c r="E1892" t="s">
        <v>3461</v>
      </c>
      <c r="F1892" t="s">
        <v>3462</v>
      </c>
      <c r="G1892" t="s">
        <v>3580</v>
      </c>
      <c r="H1892" t="n">
        <v>39.0966971499932</v>
      </c>
      <c r="I1892" t="n">
        <v>-108.678004204506</v>
      </c>
      <c r="J1892" t="s">
        <v>4109</v>
      </c>
      <c r="K1892" t="s">
        <v>70</v>
      </c>
      <c r="L1892"/>
      <c r="M1892" t="n">
        <v>1990</v>
      </c>
      <c r="N1892" t="n">
        <v>1992</v>
      </c>
      <c r="O1892" t="s">
        <v>357</v>
      </c>
      <c r="P1892" t="n">
        <v>2</v>
      </c>
      <c r="Q1892" t="n">
        <v>2</v>
      </c>
      <c r="R1892" t="n">
        <v>2</v>
      </c>
      <c r="S1892" t="n">
        <v>1968</v>
      </c>
      <c r="T1892" t="s">
        <v>12355</v>
      </c>
      <c r="U1892" t="s">
        <v>12356</v>
      </c>
      <c r="V1892" t="s">
        <v>74</v>
      </c>
      <c r="W1892"/>
      <c r="X1892"/>
      <c r="Y1892"/>
      <c r="Z1892"/>
      <c r="AA1892" t="s">
        <v>12357</v>
      </c>
      <c r="AB1892"/>
      <c r="AC1892"/>
      <c r="AD1892"/>
      <c r="AE1892"/>
      <c r="AF1892"/>
      <c r="AG1892"/>
    </row>
    <row r="1893">
      <c r="A1893" t="s">
        <v>12358</v>
      </c>
      <c r="B1893" t="s">
        <v>30</v>
      </c>
      <c r="C1893" t="s">
        <v>65</v>
      </c>
      <c r="D1893" t="s">
        <v>12359</v>
      </c>
      <c r="E1893" t="s">
        <v>3461</v>
      </c>
      <c r="F1893" t="s">
        <v>3462</v>
      </c>
      <c r="G1893" t="s">
        <v>3580</v>
      </c>
      <c r="H1893" t="n">
        <v>39.0426553351798</v>
      </c>
      <c r="I1893" t="n">
        <v>-108.551360904197</v>
      </c>
      <c r="J1893" t="s">
        <v>35</v>
      </c>
      <c r="K1893" t="s">
        <v>70</v>
      </c>
      <c r="L1893"/>
      <c r="M1893" t="n">
        <v>1990</v>
      </c>
      <c r="N1893" t="n">
        <v>1990</v>
      </c>
      <c r="O1893" t="s">
        <v>351</v>
      </c>
      <c r="P1893" t="n">
        <v>1</v>
      </c>
      <c r="Q1893" t="n">
        <v>1</v>
      </c>
      <c r="R1893" t="n">
        <v>1</v>
      </c>
      <c r="S1893" t="n">
        <v>1953</v>
      </c>
      <c r="T1893" t="s">
        <v>12360</v>
      </c>
      <c r="U1893" t="s">
        <v>12361</v>
      </c>
      <c r="V1893" t="s">
        <v>74</v>
      </c>
      <c r="W1893"/>
      <c r="X1893"/>
      <c r="Y1893"/>
      <c r="Z1893"/>
      <c r="AA1893" t="s">
        <v>12362</v>
      </c>
      <c r="AB1893"/>
      <c r="AC1893"/>
      <c r="AD1893"/>
      <c r="AE1893"/>
      <c r="AF1893" t="s">
        <v>12363</v>
      </c>
      <c r="AG1893" t="n">
        <v>49</v>
      </c>
    </row>
    <row r="1894">
      <c r="A1894" t="s">
        <v>12364</v>
      </c>
      <c r="B1894" t="s">
        <v>30</v>
      </c>
      <c r="C1894" t="s">
        <v>65</v>
      </c>
      <c r="D1894" t="s">
        <v>12365</v>
      </c>
      <c r="E1894" t="s">
        <v>3461</v>
      </c>
      <c r="F1894" t="s">
        <v>3462</v>
      </c>
      <c r="G1894" t="s">
        <v>12348</v>
      </c>
      <c r="H1894" t="n">
        <v>39.084272</v>
      </c>
      <c r="I1894" t="n">
        <v>-108.459481</v>
      </c>
      <c r="J1894" t="s">
        <v>35</v>
      </c>
      <c r="K1894" t="s">
        <v>133</v>
      </c>
      <c r="L1894"/>
      <c r="M1894" t="n">
        <v>1992</v>
      </c>
      <c r="N1894" t="n">
        <v>1992</v>
      </c>
      <c r="O1894" t="s">
        <v>1016</v>
      </c>
      <c r="P1894" t="n">
        <v>1</v>
      </c>
      <c r="Q1894" t="n">
        <v>1</v>
      </c>
      <c r="R1894" t="n">
        <v>1</v>
      </c>
      <c r="S1894" t="n">
        <v>1990</v>
      </c>
      <c r="T1894" t="s">
        <v>12366</v>
      </c>
      <c r="U1894" t="s">
        <v>12367</v>
      </c>
      <c r="V1894" t="s">
        <v>74</v>
      </c>
      <c r="W1894"/>
      <c r="X1894"/>
      <c r="Y1894"/>
      <c r="Z1894"/>
      <c r="AA1894" t="s">
        <v>12368</v>
      </c>
      <c r="AB1894"/>
      <c r="AC1894"/>
      <c r="AD1894"/>
      <c r="AE1894"/>
      <c r="AF1894" t="s">
        <v>12352</v>
      </c>
      <c r="AG1894" t="n">
        <v>49</v>
      </c>
    </row>
    <row r="1895">
      <c r="A1895" t="s">
        <v>12369</v>
      </c>
      <c r="B1895" t="s">
        <v>30</v>
      </c>
      <c r="C1895" t="s">
        <v>24</v>
      </c>
      <c r="D1895" t="s">
        <v>12370</v>
      </c>
      <c r="E1895" t="s">
        <v>3658</v>
      </c>
      <c r="F1895" t="s">
        <v>3659</v>
      </c>
      <c r="G1895" t="s">
        <v>3660</v>
      </c>
      <c r="H1895" t="n">
        <v>38.4760246089218</v>
      </c>
      <c r="I1895" t="n">
        <v>-107.882137724658</v>
      </c>
      <c r="J1895" t="s">
        <v>35</v>
      </c>
      <c r="K1895" t="s">
        <v>70</v>
      </c>
      <c r="L1895"/>
      <c r="M1895" t="n">
        <v>1966</v>
      </c>
      <c r="N1895" t="n">
        <v>1966</v>
      </c>
      <c r="O1895" t="s">
        <v>4172</v>
      </c>
      <c r="P1895" t="n">
        <v>1</v>
      </c>
      <c r="Q1895" t="n">
        <v>1</v>
      </c>
      <c r="R1895" t="n">
        <v>1</v>
      </c>
      <c r="S1895"/>
      <c r="T1895" t="s">
        <v>12371</v>
      </c>
      <c r="U1895" t="s">
        <v>12372</v>
      </c>
      <c r="V1895" t="s">
        <v>4175</v>
      </c>
      <c r="W1895"/>
      <c r="X1895"/>
      <c r="Y1895"/>
      <c r="Z1895"/>
      <c r="AA1895" t="s">
        <v>12373</v>
      </c>
      <c r="AB1895" t="s">
        <v>3673</v>
      </c>
      <c r="AC1895" t="n">
        <v>113</v>
      </c>
      <c r="AD1895"/>
      <c r="AE1895"/>
      <c r="AF1895" t="s">
        <v>3674</v>
      </c>
      <c r="AG1895" t="n">
        <v>189</v>
      </c>
    </row>
    <row r="1896">
      <c r="A1896" t="s">
        <v>12374</v>
      </c>
      <c r="B1896" t="s">
        <v>30</v>
      </c>
      <c r="C1896" t="s">
        <v>24</v>
      </c>
      <c r="D1896" t="s">
        <v>12375</v>
      </c>
      <c r="E1896" t="s">
        <v>3689</v>
      </c>
      <c r="F1896" t="s">
        <v>3659</v>
      </c>
      <c r="G1896" t="s">
        <v>3690</v>
      </c>
      <c r="H1896" t="n">
        <v>38.6062194898671</v>
      </c>
      <c r="I1896" t="n">
        <v>-107.981868575813</v>
      </c>
      <c r="J1896" t="s">
        <v>4109</v>
      </c>
      <c r="K1896" t="s">
        <v>315</v>
      </c>
      <c r="L1896"/>
      <c r="M1896" t="n">
        <v>1983</v>
      </c>
      <c r="N1896" t="n">
        <v>1983</v>
      </c>
      <c r="O1896" t="s">
        <v>264</v>
      </c>
      <c r="P1896" t="n">
        <v>1</v>
      </c>
      <c r="Q1896" t="n">
        <v>1</v>
      </c>
      <c r="R1896" t="n">
        <v>1</v>
      </c>
      <c r="S1896" t="n">
        <v>1980</v>
      </c>
      <c r="T1896" t="s">
        <v>12376</v>
      </c>
      <c r="U1896" t="s">
        <v>12377</v>
      </c>
      <c r="V1896" t="s">
        <v>74</v>
      </c>
      <c r="W1896"/>
      <c r="X1896"/>
      <c r="Y1896"/>
      <c r="Z1896"/>
      <c r="AA1896" t="s">
        <v>12378</v>
      </c>
      <c r="AB1896"/>
      <c r="AC1896"/>
      <c r="AD1896"/>
      <c r="AE1896"/>
      <c r="AF1896"/>
      <c r="AG1896"/>
    </row>
    <row r="1897">
      <c r="A1897" t="s">
        <v>12379</v>
      </c>
      <c r="B1897" t="s">
        <v>30</v>
      </c>
      <c r="C1897" t="s">
        <v>65</v>
      </c>
      <c r="D1897" t="s">
        <v>12380</v>
      </c>
      <c r="E1897" t="s">
        <v>3705</v>
      </c>
      <c r="F1897" t="s">
        <v>3706</v>
      </c>
      <c r="G1897" t="s">
        <v>3707</v>
      </c>
      <c r="H1897" t="n">
        <v>40.2534474489796</v>
      </c>
      <c r="I1897" t="n">
        <v>-103.623176734694</v>
      </c>
      <c r="J1897" t="s">
        <v>35</v>
      </c>
      <c r="K1897" t="s">
        <v>89</v>
      </c>
      <c r="L1897"/>
      <c r="M1897" t="n">
        <v>1983</v>
      </c>
      <c r="N1897" t="n">
        <v>1990</v>
      </c>
      <c r="O1897" t="s">
        <v>293</v>
      </c>
      <c r="P1897" t="n">
        <v>2</v>
      </c>
      <c r="Q1897" t="n">
        <v>1</v>
      </c>
      <c r="R1897" t="n">
        <v>1</v>
      </c>
      <c r="S1897" t="n">
        <v>1979</v>
      </c>
      <c r="T1897" t="s">
        <v>12381</v>
      </c>
      <c r="U1897" t="s">
        <v>12382</v>
      </c>
      <c r="V1897" t="s">
        <v>74</v>
      </c>
      <c r="W1897"/>
      <c r="X1897"/>
      <c r="Y1897"/>
      <c r="Z1897"/>
      <c r="AA1897" t="s">
        <v>12383</v>
      </c>
      <c r="AB1897"/>
      <c r="AC1897"/>
      <c r="AD1897"/>
      <c r="AE1897"/>
      <c r="AF1897" t="s">
        <v>3710</v>
      </c>
      <c r="AG1897" t="n">
        <v>183</v>
      </c>
    </row>
    <row r="1898">
      <c r="A1898" t="s">
        <v>12384</v>
      </c>
      <c r="B1898" t="s">
        <v>30</v>
      </c>
      <c r="C1898" t="s">
        <v>24</v>
      </c>
      <c r="D1898" t="s">
        <v>12385</v>
      </c>
      <c r="E1898" t="s">
        <v>3705</v>
      </c>
      <c r="F1898" t="s">
        <v>3706</v>
      </c>
      <c r="G1898" t="s">
        <v>3707</v>
      </c>
      <c r="H1898" t="n">
        <v>40.247327</v>
      </c>
      <c r="I1898" t="n">
        <v>-103.623186</v>
      </c>
      <c r="J1898" t="s">
        <v>4109</v>
      </c>
      <c r="K1898" t="s">
        <v>120</v>
      </c>
      <c r="L1898"/>
      <c r="M1898" t="n">
        <v>1992</v>
      </c>
      <c r="N1898" t="n">
        <v>1992</v>
      </c>
      <c r="O1898" t="s">
        <v>1016</v>
      </c>
      <c r="P1898" t="n">
        <v>1</v>
      </c>
      <c r="Q1898" t="n">
        <v>1</v>
      </c>
      <c r="R1898" t="n">
        <v>1</v>
      </c>
      <c r="S1898"/>
      <c r="T1898" t="s">
        <v>12386</v>
      </c>
      <c r="U1898" t="s">
        <v>12387</v>
      </c>
      <c r="V1898" t="s">
        <v>74</v>
      </c>
      <c r="W1898"/>
      <c r="X1898"/>
      <c r="Y1898"/>
      <c r="Z1898"/>
      <c r="AA1898" t="s">
        <v>12388</v>
      </c>
      <c r="AB1898"/>
      <c r="AC1898"/>
      <c r="AD1898"/>
      <c r="AE1898"/>
      <c r="AF1898"/>
      <c r="AG1898"/>
    </row>
    <row r="1899">
      <c r="A1899" t="s">
        <v>12389</v>
      </c>
      <c r="B1899" t="s">
        <v>30</v>
      </c>
      <c r="C1899" t="s">
        <v>65</v>
      </c>
      <c r="D1899" t="s">
        <v>12390</v>
      </c>
      <c r="E1899" t="s">
        <v>3736</v>
      </c>
      <c r="F1899" t="s">
        <v>3730</v>
      </c>
      <c r="G1899"/>
      <c r="H1899" t="n">
        <v>37.9877898507242</v>
      </c>
      <c r="I1899" t="n">
        <v>-103.545779063124</v>
      </c>
      <c r="J1899" t="s">
        <v>35</v>
      </c>
      <c r="K1899" t="s">
        <v>201</v>
      </c>
      <c r="L1899"/>
      <c r="M1899" t="n">
        <v>1965</v>
      </c>
      <c r="N1899" t="n">
        <v>1992</v>
      </c>
      <c r="O1899" t="s">
        <v>12391</v>
      </c>
      <c r="P1899" t="n">
        <v>9</v>
      </c>
      <c r="Q1899" t="n">
        <v>2</v>
      </c>
      <c r="R1899" t="n">
        <v>2</v>
      </c>
      <c r="S1899" t="n">
        <v>1956</v>
      </c>
      <c r="T1899" t="s">
        <v>12392</v>
      </c>
      <c r="U1899" t="s">
        <v>12393</v>
      </c>
      <c r="V1899" t="s">
        <v>74</v>
      </c>
      <c r="W1899"/>
      <c r="X1899"/>
      <c r="Y1899"/>
      <c r="Z1899"/>
      <c r="AA1899" t="s">
        <v>12394</v>
      </c>
      <c r="AB1899" t="s">
        <v>12395</v>
      </c>
      <c r="AC1899" t="n">
        <v>137</v>
      </c>
      <c r="AD1899"/>
      <c r="AE1899"/>
      <c r="AF1899" t="s">
        <v>12396</v>
      </c>
      <c r="AG1899" t="n">
        <v>203</v>
      </c>
    </row>
    <row r="1900">
      <c r="A1900" t="s">
        <v>12397</v>
      </c>
      <c r="B1900" t="s">
        <v>30</v>
      </c>
      <c r="C1900" t="s">
        <v>65</v>
      </c>
      <c r="D1900" t="s">
        <v>12398</v>
      </c>
      <c r="E1900" t="s">
        <v>4912</v>
      </c>
      <c r="F1900" t="s">
        <v>3730</v>
      </c>
      <c r="G1900" t="s">
        <v>4913</v>
      </c>
      <c r="H1900" t="n">
        <v>38.0533475918367</v>
      </c>
      <c r="I1900" t="n">
        <v>-103.719467530612</v>
      </c>
      <c r="J1900" t="s">
        <v>35</v>
      </c>
      <c r="K1900" t="s">
        <v>70</v>
      </c>
      <c r="L1900"/>
      <c r="M1900" t="n">
        <v>1973</v>
      </c>
      <c r="N1900" t="n">
        <v>1980</v>
      </c>
      <c r="O1900" t="s">
        <v>121</v>
      </c>
      <c r="P1900" t="n">
        <v>2</v>
      </c>
      <c r="Q1900" t="n">
        <v>2</v>
      </c>
      <c r="R1900" t="n">
        <v>1</v>
      </c>
      <c r="S1900" t="n">
        <v>1974</v>
      </c>
      <c r="T1900" t="s">
        <v>12399</v>
      </c>
      <c r="U1900" t="s">
        <v>12400</v>
      </c>
      <c r="V1900" t="s">
        <v>74</v>
      </c>
      <c r="W1900"/>
      <c r="X1900"/>
      <c r="Y1900"/>
      <c r="Z1900"/>
      <c r="AA1900" t="s">
        <v>12401</v>
      </c>
      <c r="AB1900" t="s">
        <v>12402</v>
      </c>
      <c r="AC1900" t="n">
        <v>89</v>
      </c>
      <c r="AD1900"/>
      <c r="AE1900"/>
      <c r="AF1900" t="s">
        <v>10323</v>
      </c>
      <c r="AG1900" t="n">
        <v>122</v>
      </c>
    </row>
    <row r="1901">
      <c r="A1901" t="s">
        <v>12403</v>
      </c>
      <c r="B1901" t="s">
        <v>30</v>
      </c>
      <c r="C1901" t="s">
        <v>24</v>
      </c>
      <c r="D1901" t="s">
        <v>12404</v>
      </c>
      <c r="E1901" t="s">
        <v>3773</v>
      </c>
      <c r="F1901" t="s">
        <v>3774</v>
      </c>
      <c r="G1901" t="s">
        <v>3775</v>
      </c>
      <c r="H1901" t="n">
        <v>39.1879490040325</v>
      </c>
      <c r="I1901" t="n">
        <v>-106.818383750449</v>
      </c>
      <c r="J1901" t="s">
        <v>35</v>
      </c>
      <c r="K1901" t="s">
        <v>120</v>
      </c>
      <c r="L1901"/>
      <c r="M1901" t="n">
        <v>1977</v>
      </c>
      <c r="N1901" t="n">
        <v>1990</v>
      </c>
      <c r="O1901" t="s">
        <v>228</v>
      </c>
      <c r="P1901" t="n">
        <v>2</v>
      </c>
      <c r="Q1901" t="n">
        <v>2</v>
      </c>
      <c r="R1901" t="n">
        <v>1</v>
      </c>
      <c r="S1901" t="n">
        <v>1970</v>
      </c>
      <c r="T1901" t="s">
        <v>12405</v>
      </c>
      <c r="U1901" t="s">
        <v>12406</v>
      </c>
      <c r="V1901" t="s">
        <v>4175</v>
      </c>
      <c r="W1901"/>
      <c r="X1901"/>
      <c r="Y1901"/>
      <c r="Z1901"/>
      <c r="AA1901" t="s">
        <v>12407</v>
      </c>
      <c r="AB1901"/>
      <c r="AC1901"/>
      <c r="AD1901"/>
      <c r="AE1901"/>
      <c r="AF1901" t="s">
        <v>12408</v>
      </c>
      <c r="AG1901" t="n">
        <v>91</v>
      </c>
    </row>
    <row r="1902">
      <c r="A1902" t="s">
        <v>12409</v>
      </c>
      <c r="B1902" t="s">
        <v>30</v>
      </c>
      <c r="C1902" t="s">
        <v>24</v>
      </c>
      <c r="D1902" t="s">
        <v>12410</v>
      </c>
      <c r="E1902" t="s">
        <v>3789</v>
      </c>
      <c r="F1902" t="s">
        <v>3790</v>
      </c>
      <c r="G1902" t="s">
        <v>3797</v>
      </c>
      <c r="H1902" t="n">
        <v>38.1507220000192</v>
      </c>
      <c r="I1902" t="n">
        <v>-102.719756744017</v>
      </c>
      <c r="J1902" t="s">
        <v>4109</v>
      </c>
      <c r="K1902" t="s">
        <v>70</v>
      </c>
      <c r="L1902"/>
      <c r="M1902" t="n">
        <v>1967</v>
      </c>
      <c r="N1902" t="n">
        <v>1967</v>
      </c>
      <c r="O1902" t="s">
        <v>388</v>
      </c>
      <c r="P1902" t="n">
        <v>1</v>
      </c>
      <c r="Q1902" t="n">
        <v>1</v>
      </c>
      <c r="R1902" t="n">
        <v>1</v>
      </c>
      <c r="S1902" t="n">
        <v>1946</v>
      </c>
      <c r="T1902" t="s">
        <v>12411</v>
      </c>
      <c r="U1902" t="s">
        <v>12412</v>
      </c>
      <c r="V1902" t="s">
        <v>74</v>
      </c>
      <c r="W1902"/>
      <c r="X1902"/>
      <c r="Y1902"/>
      <c r="Z1902"/>
      <c r="AA1902" t="s">
        <v>12413</v>
      </c>
      <c r="AB1902"/>
      <c r="AC1902"/>
      <c r="AD1902"/>
      <c r="AE1902"/>
      <c r="AF1902"/>
      <c r="AG1902"/>
    </row>
    <row r="1903">
      <c r="A1903" t="s">
        <v>12414</v>
      </c>
      <c r="B1903" t="s">
        <v>30</v>
      </c>
      <c r="C1903" t="s">
        <v>24</v>
      </c>
      <c r="D1903" t="s">
        <v>12415</v>
      </c>
      <c r="E1903" t="s">
        <v>12416</v>
      </c>
      <c r="F1903" t="s">
        <v>3790</v>
      </c>
      <c r="G1903" t="s">
        <v>12417</v>
      </c>
      <c r="H1903" t="n">
        <v>38.15022025</v>
      </c>
      <c r="I1903" t="n">
        <v>-102.71975775</v>
      </c>
      <c r="J1903" t="s">
        <v>4109</v>
      </c>
      <c r="K1903" t="s">
        <v>89</v>
      </c>
      <c r="L1903"/>
      <c r="M1903" t="n">
        <v>1977</v>
      </c>
      <c r="N1903" t="n">
        <v>1990</v>
      </c>
      <c r="O1903" t="s">
        <v>235</v>
      </c>
      <c r="P1903" t="n">
        <v>4</v>
      </c>
      <c r="Q1903" t="n">
        <v>3</v>
      </c>
      <c r="R1903" t="n">
        <v>3</v>
      </c>
      <c r="S1903" t="n">
        <v>1959</v>
      </c>
      <c r="T1903" t="s">
        <v>12418</v>
      </c>
      <c r="U1903" t="s">
        <v>12419</v>
      </c>
      <c r="V1903" t="s">
        <v>74</v>
      </c>
      <c r="W1903"/>
      <c r="X1903"/>
      <c r="Y1903"/>
      <c r="Z1903"/>
      <c r="AA1903" t="s">
        <v>12420</v>
      </c>
      <c r="AB1903"/>
      <c r="AC1903"/>
      <c r="AD1903"/>
      <c r="AE1903"/>
      <c r="AF1903"/>
      <c r="AG1903"/>
    </row>
    <row r="1904">
      <c r="A1904" t="s">
        <v>12421</v>
      </c>
      <c r="B1904" t="s">
        <v>30</v>
      </c>
      <c r="C1904" t="s">
        <v>65</v>
      </c>
      <c r="D1904" t="s">
        <v>12422</v>
      </c>
      <c r="E1904" t="s">
        <v>3803</v>
      </c>
      <c r="F1904" t="s">
        <v>3804</v>
      </c>
      <c r="G1904" t="s">
        <v>3805</v>
      </c>
      <c r="H1904" t="n">
        <v>38.2761276372214</v>
      </c>
      <c r="I1904" t="n">
        <v>-104.613569318968</v>
      </c>
      <c r="J1904" t="s">
        <v>35</v>
      </c>
      <c r="K1904" t="s">
        <v>70</v>
      </c>
      <c r="L1904"/>
      <c r="M1904" t="n">
        <v>1966</v>
      </c>
      <c r="N1904" t="n">
        <v>1970</v>
      </c>
      <c r="O1904" t="s">
        <v>2771</v>
      </c>
      <c r="P1904" t="n">
        <v>3</v>
      </c>
      <c r="Q1904" t="n">
        <v>1</v>
      </c>
      <c r="R1904" t="n">
        <v>1</v>
      </c>
      <c r="S1904" t="n">
        <v>1951</v>
      </c>
      <c r="T1904" t="s">
        <v>12423</v>
      </c>
      <c r="U1904" t="s">
        <v>12424</v>
      </c>
      <c r="V1904" t="s">
        <v>74</v>
      </c>
      <c r="W1904"/>
      <c r="X1904"/>
      <c r="Y1904"/>
      <c r="Z1904"/>
      <c r="AA1904" t="s">
        <v>12425</v>
      </c>
      <c r="AB1904" t="s">
        <v>12426</v>
      </c>
      <c r="AC1904" t="n">
        <v>184</v>
      </c>
      <c r="AD1904"/>
      <c r="AE1904"/>
      <c r="AF1904" t="s">
        <v>4934</v>
      </c>
      <c r="AG1904" t="n">
        <v>160</v>
      </c>
    </row>
    <row r="1905">
      <c r="A1905" t="s">
        <v>12427</v>
      </c>
      <c r="B1905" t="s">
        <v>30</v>
      </c>
      <c r="C1905" t="s">
        <v>65</v>
      </c>
      <c r="D1905" t="s">
        <v>12428</v>
      </c>
      <c r="E1905" t="s">
        <v>3803</v>
      </c>
      <c r="F1905" t="s">
        <v>3804</v>
      </c>
      <c r="G1905" t="s">
        <v>3805</v>
      </c>
      <c r="H1905" t="n">
        <v>38.2761766312866</v>
      </c>
      <c r="I1905" t="n">
        <v>-104.609059205009</v>
      </c>
      <c r="J1905" t="s">
        <v>35</v>
      </c>
      <c r="K1905" t="s">
        <v>70</v>
      </c>
      <c r="L1905"/>
      <c r="M1905" t="n">
        <v>1967</v>
      </c>
      <c r="N1905" t="n">
        <v>1967</v>
      </c>
      <c r="O1905" t="s">
        <v>388</v>
      </c>
      <c r="P1905" t="n">
        <v>1</v>
      </c>
      <c r="Q1905" t="n">
        <v>1</v>
      </c>
      <c r="R1905" t="n">
        <v>1</v>
      </c>
      <c r="S1905" t="n">
        <v>1951</v>
      </c>
      <c r="T1905" t="s">
        <v>12429</v>
      </c>
      <c r="U1905" t="s">
        <v>12430</v>
      </c>
      <c r="V1905" t="s">
        <v>74</v>
      </c>
      <c r="W1905"/>
      <c r="X1905"/>
      <c r="Y1905"/>
      <c r="Z1905"/>
      <c r="AA1905" t="s">
        <v>12431</v>
      </c>
      <c r="AB1905" t="s">
        <v>12432</v>
      </c>
      <c r="AC1905" t="n">
        <v>132</v>
      </c>
      <c r="AD1905"/>
      <c r="AE1905"/>
      <c r="AF1905" t="s">
        <v>12433</v>
      </c>
      <c r="AG1905" t="n">
        <v>60</v>
      </c>
    </row>
    <row r="1906">
      <c r="A1906" t="s">
        <v>12434</v>
      </c>
      <c r="B1906" t="s">
        <v>30</v>
      </c>
      <c r="C1906" t="s">
        <v>24</v>
      </c>
      <c r="D1906" t="s">
        <v>12435</v>
      </c>
      <c r="E1906" t="s">
        <v>3803</v>
      </c>
      <c r="F1906" t="s">
        <v>3804</v>
      </c>
      <c r="G1906" t="s">
        <v>3887</v>
      </c>
      <c r="H1906" t="n">
        <v>38.247276</v>
      </c>
      <c r="I1906" t="n">
        <v>-104.565787</v>
      </c>
      <c r="J1906" t="s">
        <v>4109</v>
      </c>
      <c r="K1906" t="s">
        <v>120</v>
      </c>
      <c r="L1906"/>
      <c r="M1906" t="n">
        <v>1968</v>
      </c>
      <c r="N1906" t="n">
        <v>1992</v>
      </c>
      <c r="O1906" t="s">
        <v>12436</v>
      </c>
      <c r="P1906" t="n">
        <v>7</v>
      </c>
      <c r="Q1906" t="n">
        <v>1</v>
      </c>
      <c r="R1906" t="n">
        <v>1</v>
      </c>
      <c r="S1906" t="n">
        <v>1946</v>
      </c>
      <c r="T1906" t="s">
        <v>12437</v>
      </c>
      <c r="U1906" t="s">
        <v>12438</v>
      </c>
      <c r="V1906" t="s">
        <v>74</v>
      </c>
      <c r="W1906"/>
      <c r="X1906"/>
      <c r="Y1906"/>
      <c r="Z1906"/>
      <c r="AA1906" t="s">
        <v>12439</v>
      </c>
      <c r="AB1906"/>
      <c r="AC1906"/>
      <c r="AD1906"/>
      <c r="AE1906"/>
      <c r="AF1906"/>
      <c r="AG1906"/>
    </row>
    <row r="1907">
      <c r="A1907" t="s">
        <v>12440</v>
      </c>
      <c r="B1907" t="s">
        <v>30</v>
      </c>
      <c r="C1907" t="s">
        <v>24</v>
      </c>
      <c r="D1907" t="s">
        <v>12441</v>
      </c>
      <c r="E1907" t="s">
        <v>12442</v>
      </c>
      <c r="F1907" t="s">
        <v>3804</v>
      </c>
      <c r="G1907" t="s">
        <v>12443</v>
      </c>
      <c r="H1907" t="n">
        <v>37.9332872705603</v>
      </c>
      <c r="I1907" t="n">
        <v>-104.821038896767</v>
      </c>
      <c r="J1907" t="s">
        <v>4109</v>
      </c>
      <c r="K1907" t="s">
        <v>315</v>
      </c>
      <c r="L1907"/>
      <c r="M1907" t="n">
        <v>1977</v>
      </c>
      <c r="N1907" t="n">
        <v>1983</v>
      </c>
      <c r="O1907" t="s">
        <v>228</v>
      </c>
      <c r="P1907" t="n">
        <v>2</v>
      </c>
      <c r="Q1907" t="n">
        <v>2</v>
      </c>
      <c r="R1907" t="n">
        <v>1</v>
      </c>
      <c r="S1907" t="n">
        <v>1916</v>
      </c>
      <c r="T1907" t="s">
        <v>12444</v>
      </c>
      <c r="U1907" t="s">
        <v>12445</v>
      </c>
      <c r="V1907" t="s">
        <v>74</v>
      </c>
      <c r="W1907"/>
      <c r="X1907"/>
      <c r="Y1907"/>
      <c r="Z1907"/>
      <c r="AA1907" t="s">
        <v>12446</v>
      </c>
      <c r="AB1907"/>
      <c r="AC1907"/>
      <c r="AD1907"/>
      <c r="AE1907"/>
      <c r="AF1907"/>
      <c r="AG1907"/>
    </row>
    <row r="1908">
      <c r="A1908" t="s">
        <v>12447</v>
      </c>
      <c r="B1908" t="s">
        <v>30</v>
      </c>
      <c r="C1908" t="s">
        <v>24</v>
      </c>
      <c r="D1908" t="s">
        <v>12448</v>
      </c>
      <c r="E1908" t="s">
        <v>3803</v>
      </c>
      <c r="F1908" t="s">
        <v>3804</v>
      </c>
      <c r="G1908" t="s">
        <v>3887</v>
      </c>
      <c r="H1908" t="n">
        <v>38.2734698740651</v>
      </c>
      <c r="I1908" t="n">
        <v>-104.53103070424</v>
      </c>
      <c r="J1908" t="s">
        <v>4109</v>
      </c>
      <c r="K1908" t="s">
        <v>70</v>
      </c>
      <c r="L1908"/>
      <c r="M1908" t="n">
        <v>1977</v>
      </c>
      <c r="N1908" t="n">
        <v>1990</v>
      </c>
      <c r="O1908" t="s">
        <v>351</v>
      </c>
      <c r="P1908" t="n">
        <v>2</v>
      </c>
      <c r="Q1908" t="n">
        <v>1</v>
      </c>
      <c r="R1908" t="n">
        <v>1</v>
      </c>
      <c r="S1908" t="n">
        <v>1966</v>
      </c>
      <c r="T1908" t="s">
        <v>12449</v>
      </c>
      <c r="U1908" t="s">
        <v>12450</v>
      </c>
      <c r="V1908" t="s">
        <v>74</v>
      </c>
      <c r="W1908"/>
      <c r="X1908"/>
      <c r="Y1908"/>
      <c r="Z1908"/>
      <c r="AA1908" t="s">
        <v>12451</v>
      </c>
      <c r="AB1908"/>
      <c r="AC1908"/>
      <c r="AD1908"/>
      <c r="AE1908"/>
      <c r="AF1908"/>
      <c r="AG1908"/>
    </row>
    <row r="1909">
      <c r="A1909" t="s">
        <v>12452</v>
      </c>
      <c r="B1909" t="s">
        <v>30</v>
      </c>
      <c r="C1909" t="s">
        <v>65</v>
      </c>
      <c r="D1909" t="s">
        <v>12453</v>
      </c>
      <c r="E1909" t="s">
        <v>3803</v>
      </c>
      <c r="F1909" t="s">
        <v>3804</v>
      </c>
      <c r="G1909" t="s">
        <v>3859</v>
      </c>
      <c r="H1909" t="n">
        <v>38.2494952493446</v>
      </c>
      <c r="I1909" t="n">
        <v>-104.572362387125</v>
      </c>
      <c r="J1909" t="s">
        <v>35</v>
      </c>
      <c r="K1909" t="s">
        <v>1041</v>
      </c>
      <c r="L1909"/>
      <c r="M1909" t="n">
        <v>1980</v>
      </c>
      <c r="N1909" t="n">
        <v>1990</v>
      </c>
      <c r="O1909" t="s">
        <v>540</v>
      </c>
      <c r="P1909" t="n">
        <v>4</v>
      </c>
      <c r="Q1909" t="n">
        <v>2</v>
      </c>
      <c r="R1909" t="n">
        <v>2</v>
      </c>
      <c r="S1909" t="n">
        <v>1957</v>
      </c>
      <c r="T1909" t="s">
        <v>12454</v>
      </c>
      <c r="U1909" t="s">
        <v>12455</v>
      </c>
      <c r="V1909" t="s">
        <v>74</v>
      </c>
      <c r="W1909"/>
      <c r="X1909"/>
      <c r="Y1909"/>
      <c r="Z1909"/>
      <c r="AA1909" t="s">
        <v>12456</v>
      </c>
      <c r="AB1909" t="s">
        <v>12457</v>
      </c>
      <c r="AC1909" t="n">
        <v>206</v>
      </c>
      <c r="AD1909"/>
      <c r="AE1909"/>
      <c r="AF1909" t="s">
        <v>12458</v>
      </c>
      <c r="AG1909" t="n">
        <v>183</v>
      </c>
    </row>
    <row r="1910">
      <c r="A1910" t="s">
        <v>12459</v>
      </c>
      <c r="B1910" t="s">
        <v>30</v>
      </c>
      <c r="C1910" t="s">
        <v>65</v>
      </c>
      <c r="D1910" t="s">
        <v>12460</v>
      </c>
      <c r="E1910" t="s">
        <v>3803</v>
      </c>
      <c r="F1910" t="s">
        <v>3804</v>
      </c>
      <c r="G1910" t="s">
        <v>3805</v>
      </c>
      <c r="H1910" t="n">
        <v>38.262469</v>
      </c>
      <c r="I1910" t="n">
        <v>-104.615961</v>
      </c>
      <c r="J1910" t="s">
        <v>35</v>
      </c>
      <c r="K1910" t="s">
        <v>70</v>
      </c>
      <c r="L1910"/>
      <c r="M1910" t="n">
        <v>1983</v>
      </c>
      <c r="N1910" t="n">
        <v>1990</v>
      </c>
      <c r="O1910" t="s">
        <v>271</v>
      </c>
      <c r="P1910" t="n">
        <v>3</v>
      </c>
      <c r="Q1910" t="n">
        <v>2</v>
      </c>
      <c r="R1910" t="n">
        <v>2</v>
      </c>
      <c r="S1910" t="n">
        <v>1975</v>
      </c>
      <c r="T1910" t="s">
        <v>12461</v>
      </c>
      <c r="U1910" t="s">
        <v>12462</v>
      </c>
      <c r="V1910" t="s">
        <v>74</v>
      </c>
      <c r="W1910"/>
      <c r="X1910"/>
      <c r="Y1910"/>
      <c r="Z1910"/>
      <c r="AA1910" t="s">
        <v>12463</v>
      </c>
      <c r="AB1910"/>
      <c r="AC1910"/>
      <c r="AD1910"/>
      <c r="AE1910"/>
      <c r="AF1910" t="s">
        <v>12464</v>
      </c>
      <c r="AG1910" t="n">
        <v>151</v>
      </c>
    </row>
    <row r="1911">
      <c r="A1911" t="s">
        <v>12465</v>
      </c>
      <c r="B1911" t="s">
        <v>30</v>
      </c>
      <c r="C1911" t="s">
        <v>65</v>
      </c>
      <c r="D1911" t="s">
        <v>12466</v>
      </c>
      <c r="E1911" t="s">
        <v>3803</v>
      </c>
      <c r="F1911" t="s">
        <v>3804</v>
      </c>
      <c r="G1911" t="s">
        <v>3859</v>
      </c>
      <c r="H1911" t="n">
        <v>38.2478664946419</v>
      </c>
      <c r="I1911" t="n">
        <v>-104.578361100651</v>
      </c>
      <c r="J1911" t="s">
        <v>35</v>
      </c>
      <c r="K1911" t="s">
        <v>70</v>
      </c>
      <c r="L1911"/>
      <c r="M1911" t="n">
        <v>1988</v>
      </c>
      <c r="N1911" t="n">
        <v>1992</v>
      </c>
      <c r="O1911" t="s">
        <v>310</v>
      </c>
      <c r="P1911" t="n">
        <v>3</v>
      </c>
      <c r="Q1911" t="n">
        <v>1</v>
      </c>
      <c r="R1911" t="n">
        <v>1</v>
      </c>
      <c r="S1911" t="n">
        <v>1976</v>
      </c>
      <c r="T1911" t="s">
        <v>12467</v>
      </c>
      <c r="U1911" t="s">
        <v>12468</v>
      </c>
      <c r="V1911" t="s">
        <v>74</v>
      </c>
      <c r="W1911"/>
      <c r="X1911"/>
      <c r="Y1911"/>
      <c r="Z1911"/>
      <c r="AA1911" t="s">
        <v>12469</v>
      </c>
      <c r="AB1911"/>
      <c r="AC1911"/>
      <c r="AD1911"/>
      <c r="AE1911"/>
      <c r="AF1911" t="s">
        <v>12470</v>
      </c>
      <c r="AG1911" t="n">
        <v>236</v>
      </c>
    </row>
    <row r="1912">
      <c r="A1912" t="s">
        <v>12471</v>
      </c>
      <c r="B1912" t="s">
        <v>30</v>
      </c>
      <c r="C1912" t="s">
        <v>24</v>
      </c>
      <c r="D1912" t="s">
        <v>12472</v>
      </c>
      <c r="E1912" t="s">
        <v>3803</v>
      </c>
      <c r="F1912" t="s">
        <v>3804</v>
      </c>
      <c r="G1912" t="s">
        <v>3831</v>
      </c>
      <c r="H1912" t="n">
        <v>38.228509</v>
      </c>
      <c r="I1912" t="n">
        <v>-104.643577</v>
      </c>
      <c r="J1912" t="s">
        <v>4109</v>
      </c>
      <c r="K1912" t="s">
        <v>70</v>
      </c>
      <c r="L1912"/>
      <c r="M1912" t="n">
        <v>1990</v>
      </c>
      <c r="N1912" t="n">
        <v>1990</v>
      </c>
      <c r="O1912" t="s">
        <v>351</v>
      </c>
      <c r="P1912" t="n">
        <v>1</v>
      </c>
      <c r="Q1912" t="n">
        <v>1</v>
      </c>
      <c r="R1912" t="n">
        <v>1</v>
      </c>
      <c r="S1912" t="n">
        <v>1959</v>
      </c>
      <c r="T1912" t="s">
        <v>12473</v>
      </c>
      <c r="U1912" t="s">
        <v>12474</v>
      </c>
      <c r="V1912" t="s">
        <v>74</v>
      </c>
      <c r="W1912"/>
      <c r="X1912"/>
      <c r="Y1912"/>
      <c r="Z1912"/>
      <c r="AA1912" t="s">
        <v>12475</v>
      </c>
      <c r="AB1912"/>
      <c r="AC1912"/>
      <c r="AD1912"/>
      <c r="AE1912"/>
      <c r="AF1912"/>
      <c r="AG1912"/>
    </row>
    <row r="1913">
      <c r="A1913" t="s">
        <v>12476</v>
      </c>
      <c r="B1913" t="s">
        <v>30</v>
      </c>
      <c r="C1913" t="s">
        <v>25</v>
      </c>
      <c r="D1913" t="s">
        <v>12477</v>
      </c>
      <c r="E1913" t="s">
        <v>12478</v>
      </c>
      <c r="F1913" t="s">
        <v>12479</v>
      </c>
      <c r="G1913" t="s">
        <v>12480</v>
      </c>
      <c r="H1913" t="n">
        <v>38.746628</v>
      </c>
      <c r="I1913" t="n">
        <v>-105.178324</v>
      </c>
      <c r="J1913" t="s">
        <v>4109</v>
      </c>
      <c r="K1913" t="s">
        <v>133</v>
      </c>
      <c r="L1913"/>
      <c r="M1913" t="n">
        <v>1973</v>
      </c>
      <c r="N1913" t="n">
        <v>1990</v>
      </c>
      <c r="O1913" t="s">
        <v>255</v>
      </c>
      <c r="P1913" t="n">
        <v>4</v>
      </c>
      <c r="Q1913" t="n">
        <v>5</v>
      </c>
      <c r="R1913" t="n">
        <v>1</v>
      </c>
      <c r="S1913" t="n">
        <v>1891</v>
      </c>
      <c r="T1913" t="s">
        <v>12481</v>
      </c>
      <c r="U1913" t="s">
        <v>12482</v>
      </c>
      <c r="V1913" t="s">
        <v>4175</v>
      </c>
      <c r="W1913"/>
      <c r="X1913"/>
      <c r="Y1913"/>
      <c r="Z1913"/>
      <c r="AA1913" t="s">
        <v>12483</v>
      </c>
      <c r="AB1913"/>
      <c r="AC1913"/>
      <c r="AD1913"/>
      <c r="AE1913"/>
      <c r="AF1913"/>
      <c r="AG1913"/>
    </row>
    <row r="1914">
      <c r="A1914" t="s">
        <v>12484</v>
      </c>
      <c r="B1914" t="s">
        <v>30</v>
      </c>
      <c r="C1914" t="s">
        <v>65</v>
      </c>
      <c r="D1914" t="s">
        <v>12485</v>
      </c>
      <c r="E1914" t="s">
        <v>3939</v>
      </c>
      <c r="F1914" t="s">
        <v>3940</v>
      </c>
      <c r="G1914" t="s">
        <v>3941</v>
      </c>
      <c r="H1914" t="n">
        <v>40.1577666099804</v>
      </c>
      <c r="I1914" t="n">
        <v>-103.209991063651</v>
      </c>
      <c r="J1914" t="s">
        <v>35</v>
      </c>
      <c r="K1914" t="s">
        <v>9190</v>
      </c>
      <c r="L1914"/>
      <c r="M1914" t="n">
        <v>1988</v>
      </c>
      <c r="N1914" t="n">
        <v>1988</v>
      </c>
      <c r="O1914" t="s">
        <v>325</v>
      </c>
      <c r="P1914" t="n">
        <v>1</v>
      </c>
      <c r="Q1914" t="n">
        <v>1</v>
      </c>
      <c r="R1914" t="n">
        <v>1</v>
      </c>
      <c r="S1914" t="n">
        <v>1960</v>
      </c>
      <c r="T1914" t="s">
        <v>12486</v>
      </c>
      <c r="U1914" t="s">
        <v>12487</v>
      </c>
      <c r="V1914" t="s">
        <v>74</v>
      </c>
      <c r="W1914"/>
      <c r="X1914"/>
      <c r="Y1914"/>
      <c r="Z1914"/>
      <c r="AA1914" t="s">
        <v>12488</v>
      </c>
      <c r="AB1914"/>
      <c r="AC1914"/>
      <c r="AD1914"/>
      <c r="AE1914"/>
      <c r="AF1914" t="s">
        <v>3946</v>
      </c>
      <c r="AG1914" t="n">
        <v>231</v>
      </c>
    </row>
    <row r="1915">
      <c r="A1915" t="s">
        <v>12489</v>
      </c>
      <c r="B1915" t="s">
        <v>30</v>
      </c>
      <c r="C1915" t="s">
        <v>24</v>
      </c>
      <c r="D1915" t="s">
        <v>3948</v>
      </c>
      <c r="E1915" t="s">
        <v>4004</v>
      </c>
      <c r="F1915" t="s">
        <v>3950</v>
      </c>
      <c r="G1915" t="s">
        <v>4005</v>
      </c>
      <c r="H1915" t="n">
        <v>40.353019</v>
      </c>
      <c r="I1915" t="n">
        <v>-104.705876</v>
      </c>
      <c r="J1915" t="s">
        <v>4109</v>
      </c>
      <c r="K1915" t="s">
        <v>315</v>
      </c>
      <c r="L1915"/>
      <c r="M1915" t="n">
        <v>1966</v>
      </c>
      <c r="N1915" t="n">
        <v>1992</v>
      </c>
      <c r="O1915" t="s">
        <v>12490</v>
      </c>
      <c r="P1915" t="n">
        <v>10</v>
      </c>
      <c r="Q1915" t="n">
        <v>2</v>
      </c>
      <c r="R1915" t="n">
        <v>2</v>
      </c>
      <c r="S1915" t="n">
        <v>1947</v>
      </c>
      <c r="T1915" t="s">
        <v>12491</v>
      </c>
      <c r="U1915" t="s">
        <v>12492</v>
      </c>
      <c r="V1915" t="s">
        <v>74</v>
      </c>
      <c r="W1915"/>
      <c r="X1915"/>
      <c r="Y1915"/>
      <c r="Z1915"/>
      <c r="AA1915" t="s">
        <v>12493</v>
      </c>
      <c r="AB1915"/>
      <c r="AC1915"/>
      <c r="AD1915"/>
      <c r="AE1915"/>
      <c r="AF1915"/>
      <c r="AG1915"/>
    </row>
    <row r="1916">
      <c r="A1916" t="s">
        <v>12494</v>
      </c>
      <c r="B1916" t="s">
        <v>30</v>
      </c>
      <c r="C1916" t="s">
        <v>65</v>
      </c>
      <c r="D1916" t="s">
        <v>12495</v>
      </c>
      <c r="E1916" t="s">
        <v>4004</v>
      </c>
      <c r="F1916" t="s">
        <v>3950</v>
      </c>
      <c r="G1916" t="s">
        <v>4005</v>
      </c>
      <c r="H1916" t="n">
        <v>40.3497763080203</v>
      </c>
      <c r="I1916" t="n">
        <v>-104.702916752904</v>
      </c>
      <c r="J1916" t="s">
        <v>35</v>
      </c>
      <c r="K1916" t="s">
        <v>3942</v>
      </c>
      <c r="L1916"/>
      <c r="M1916" t="n">
        <v>1966</v>
      </c>
      <c r="N1916" t="n">
        <v>1992</v>
      </c>
      <c r="O1916" t="s">
        <v>12496</v>
      </c>
      <c r="P1916" t="n">
        <v>7</v>
      </c>
      <c r="Q1916" t="n">
        <v>3</v>
      </c>
      <c r="R1916" t="n">
        <v>2</v>
      </c>
      <c r="S1916" t="n">
        <v>1946</v>
      </c>
      <c r="T1916" t="s">
        <v>12497</v>
      </c>
      <c r="U1916" t="s">
        <v>12498</v>
      </c>
      <c r="V1916" t="s">
        <v>74</v>
      </c>
      <c r="W1916"/>
      <c r="X1916"/>
      <c r="Y1916"/>
      <c r="Z1916"/>
      <c r="AA1916" t="s">
        <v>12499</v>
      </c>
      <c r="AB1916"/>
      <c r="AC1916"/>
      <c r="AD1916"/>
      <c r="AE1916"/>
      <c r="AF1916" t="s">
        <v>12500</v>
      </c>
      <c r="AG1916" t="n">
        <v>102</v>
      </c>
    </row>
    <row r="1917">
      <c r="A1917" t="s">
        <v>12501</v>
      </c>
      <c r="B1917" t="s">
        <v>30</v>
      </c>
      <c r="C1917" t="s">
        <v>65</v>
      </c>
      <c r="D1917" t="s">
        <v>12502</v>
      </c>
      <c r="E1917" t="s">
        <v>10631</v>
      </c>
      <c r="F1917" t="s">
        <v>3950</v>
      </c>
      <c r="G1917" t="s">
        <v>10632</v>
      </c>
      <c r="H1917" t="n">
        <v>40.479888</v>
      </c>
      <c r="I1917" t="n">
        <v>-104.902278</v>
      </c>
      <c r="J1917" t="s">
        <v>35</v>
      </c>
      <c r="K1917" t="s">
        <v>120</v>
      </c>
      <c r="L1917"/>
      <c r="M1917" t="n">
        <v>1966</v>
      </c>
      <c r="N1917" t="n">
        <v>1974</v>
      </c>
      <c r="O1917" t="s">
        <v>5842</v>
      </c>
      <c r="P1917" t="n">
        <v>4</v>
      </c>
      <c r="Q1917" t="n">
        <v>3</v>
      </c>
      <c r="R1917" t="n">
        <v>2</v>
      </c>
      <c r="S1917" t="n">
        <v>1946</v>
      </c>
      <c r="T1917" t="s">
        <v>12503</v>
      </c>
      <c r="U1917" t="s">
        <v>12504</v>
      </c>
      <c r="V1917" t="s">
        <v>74</v>
      </c>
      <c r="W1917"/>
      <c r="X1917"/>
      <c r="Y1917"/>
      <c r="Z1917"/>
      <c r="AA1917" t="s">
        <v>12505</v>
      </c>
      <c r="AB1917" t="s">
        <v>12506</v>
      </c>
      <c r="AC1917" t="n">
        <v>132</v>
      </c>
      <c r="AD1917"/>
      <c r="AE1917"/>
      <c r="AF1917" t="s">
        <v>12507</v>
      </c>
      <c r="AG1917" t="n">
        <v>221</v>
      </c>
    </row>
    <row r="1918">
      <c r="A1918" t="s">
        <v>12508</v>
      </c>
      <c r="B1918" t="s">
        <v>30</v>
      </c>
      <c r="C1918" t="s">
        <v>65</v>
      </c>
      <c r="D1918" t="s">
        <v>12509</v>
      </c>
      <c r="E1918" t="s">
        <v>12510</v>
      </c>
      <c r="F1918" t="s">
        <v>3950</v>
      </c>
      <c r="G1918" t="s">
        <v>12511</v>
      </c>
      <c r="H1918" t="n">
        <v>40.3301611428571</v>
      </c>
      <c r="I1918" t="n">
        <v>-104.856629673469</v>
      </c>
      <c r="J1918" t="s">
        <v>35</v>
      </c>
      <c r="K1918" t="s">
        <v>120</v>
      </c>
      <c r="L1918"/>
      <c r="M1918" t="n">
        <v>1973</v>
      </c>
      <c r="N1918" t="n">
        <v>1990</v>
      </c>
      <c r="O1918" t="s">
        <v>6460</v>
      </c>
      <c r="P1918" t="n">
        <v>7</v>
      </c>
      <c r="Q1918" t="n">
        <v>2</v>
      </c>
      <c r="R1918" t="n">
        <v>2</v>
      </c>
      <c r="S1918" t="n">
        <v>1959</v>
      </c>
      <c r="T1918" t="s">
        <v>12512</v>
      </c>
      <c r="U1918" t="s">
        <v>12513</v>
      </c>
      <c r="V1918" t="s">
        <v>74</v>
      </c>
      <c r="W1918"/>
      <c r="X1918"/>
      <c r="Y1918"/>
      <c r="Z1918"/>
      <c r="AA1918" t="s">
        <v>12514</v>
      </c>
      <c r="AB1918"/>
      <c r="AC1918"/>
      <c r="AD1918"/>
      <c r="AE1918"/>
      <c r="AF1918"/>
      <c r="AG1918"/>
    </row>
    <row r="1919">
      <c r="A1919" t="s">
        <v>12515</v>
      </c>
      <c r="B1919" t="s">
        <v>30</v>
      </c>
      <c r="C1919" t="s">
        <v>24</v>
      </c>
      <c r="D1919" t="s">
        <v>12516</v>
      </c>
      <c r="E1919" t="s">
        <v>3967</v>
      </c>
      <c r="F1919" t="s">
        <v>3950</v>
      </c>
      <c r="G1919" t="s">
        <v>3976</v>
      </c>
      <c r="H1919" t="n">
        <v>40.4248213673469</v>
      </c>
      <c r="I1919" t="n">
        <v>-104.682353183673</v>
      </c>
      <c r="J1919" t="s">
        <v>4109</v>
      </c>
      <c r="K1919" t="s">
        <v>70</v>
      </c>
      <c r="L1919"/>
      <c r="M1919" t="n">
        <v>1977</v>
      </c>
      <c r="N1919" t="n">
        <v>1992</v>
      </c>
      <c r="O1919" t="s">
        <v>228</v>
      </c>
      <c r="P1919" t="n">
        <v>2</v>
      </c>
      <c r="Q1919" t="n">
        <v>1</v>
      </c>
      <c r="R1919" t="n">
        <v>1</v>
      </c>
      <c r="S1919" t="n">
        <v>1972</v>
      </c>
      <c r="T1919" t="s">
        <v>12517</v>
      </c>
      <c r="U1919" t="s">
        <v>12518</v>
      </c>
      <c r="V1919" t="s">
        <v>74</v>
      </c>
      <c r="W1919"/>
      <c r="X1919"/>
      <c r="Y1919"/>
      <c r="Z1919"/>
      <c r="AA1919" t="s">
        <v>12519</v>
      </c>
      <c r="AB1919"/>
      <c r="AC1919"/>
      <c r="AD1919"/>
      <c r="AE1919"/>
      <c r="AF1919" t="s">
        <v>12520</v>
      </c>
      <c r="AG1919" t="n">
        <v>76</v>
      </c>
    </row>
    <row r="1920">
      <c r="A1920" t="s">
        <v>12521</v>
      </c>
      <c r="B1920" t="s">
        <v>30</v>
      </c>
      <c r="C1920" t="s">
        <v>65</v>
      </c>
      <c r="D1920" t="s">
        <v>12522</v>
      </c>
      <c r="E1920" t="s">
        <v>3967</v>
      </c>
      <c r="F1920" t="s">
        <v>3950</v>
      </c>
      <c r="G1920" t="s">
        <v>3976</v>
      </c>
      <c r="H1920" t="n">
        <v>40.4101128147205</v>
      </c>
      <c r="I1920" t="n">
        <v>-104.659830100153</v>
      </c>
      <c r="J1920" t="s">
        <v>35</v>
      </c>
      <c r="K1920" t="s">
        <v>796</v>
      </c>
      <c r="L1920"/>
      <c r="M1920" t="n">
        <v>1980</v>
      </c>
      <c r="N1920" t="n">
        <v>1992</v>
      </c>
      <c r="O1920" t="s">
        <v>3614</v>
      </c>
      <c r="P1920" t="n">
        <v>4</v>
      </c>
      <c r="Q1920" t="n">
        <v>2</v>
      </c>
      <c r="R1920" t="n">
        <v>2</v>
      </c>
      <c r="S1920" t="n">
        <v>1970</v>
      </c>
      <c r="T1920" t="s">
        <v>12523</v>
      </c>
      <c r="U1920" t="s">
        <v>12524</v>
      </c>
      <c r="V1920" t="s">
        <v>74</v>
      </c>
      <c r="W1920"/>
      <c r="X1920"/>
      <c r="Y1920"/>
      <c r="Z1920"/>
      <c r="AA1920" t="s">
        <v>12525</v>
      </c>
      <c r="AB1920"/>
      <c r="AC1920"/>
      <c r="AD1920"/>
      <c r="AE1920"/>
      <c r="AF1920"/>
      <c r="AG1920"/>
    </row>
    <row r="1921">
      <c r="A1921" t="s">
        <v>12526</v>
      </c>
      <c r="B1921" t="s">
        <v>30</v>
      </c>
      <c r="C1921" t="s">
        <v>24</v>
      </c>
      <c r="D1921" t="s">
        <v>12527</v>
      </c>
      <c r="E1921" t="s">
        <v>3967</v>
      </c>
      <c r="F1921" t="s">
        <v>3950</v>
      </c>
      <c r="G1921" t="s">
        <v>3976</v>
      </c>
      <c r="H1921" t="n">
        <v>40.3873097047336</v>
      </c>
      <c r="I1921" t="n">
        <v>-104.678244983797</v>
      </c>
      <c r="J1921" t="s">
        <v>4109</v>
      </c>
      <c r="K1921" t="s">
        <v>141</v>
      </c>
      <c r="L1921"/>
      <c r="M1921" t="n">
        <v>1983</v>
      </c>
      <c r="N1921" t="n">
        <v>1992</v>
      </c>
      <c r="O1921" t="s">
        <v>2061</v>
      </c>
      <c r="P1921" t="n">
        <v>4</v>
      </c>
      <c r="Q1921" t="n">
        <v>5</v>
      </c>
      <c r="R1921" t="n">
        <v>5</v>
      </c>
      <c r="S1921" t="n">
        <v>1980</v>
      </c>
      <c r="T1921" t="s">
        <v>12528</v>
      </c>
      <c r="U1921" t="s">
        <v>12529</v>
      </c>
      <c r="V1921" t="s">
        <v>74</v>
      </c>
      <c r="W1921"/>
      <c r="X1921"/>
      <c r="Y1921"/>
      <c r="Z1921"/>
      <c r="AA1921" t="s">
        <v>12530</v>
      </c>
      <c r="AB1921"/>
      <c r="AC1921"/>
      <c r="AD1921"/>
      <c r="AE1921"/>
      <c r="AF1921" t="s">
        <v>12531</v>
      </c>
      <c r="AG1921" t="n">
        <v>167</v>
      </c>
    </row>
    <row r="1922">
      <c r="A1922" t="s">
        <v>12532</v>
      </c>
      <c r="B1922" t="s">
        <v>30</v>
      </c>
      <c r="C1922" t="s">
        <v>65</v>
      </c>
      <c r="D1922" t="s">
        <v>12533</v>
      </c>
      <c r="E1922" t="s">
        <v>4050</v>
      </c>
      <c r="F1922" t="s">
        <v>3950</v>
      </c>
      <c r="G1922" t="s">
        <v>4051</v>
      </c>
      <c r="H1922" t="n">
        <v>40.382582260937</v>
      </c>
      <c r="I1922" t="n">
        <v>-104.687392484276</v>
      </c>
      <c r="J1922" t="s">
        <v>35</v>
      </c>
      <c r="K1922" t="s">
        <v>70</v>
      </c>
      <c r="L1922"/>
      <c r="M1922" t="n">
        <v>1988</v>
      </c>
      <c r="N1922" t="n">
        <v>1990</v>
      </c>
      <c r="O1922" t="s">
        <v>310</v>
      </c>
      <c r="P1922" t="n">
        <v>2</v>
      </c>
      <c r="Q1922" t="n">
        <v>1</v>
      </c>
      <c r="R1922" t="n">
        <v>1</v>
      </c>
      <c r="S1922" t="n">
        <v>1980</v>
      </c>
      <c r="T1922" t="s">
        <v>12534</v>
      </c>
      <c r="U1922" t="s">
        <v>12535</v>
      </c>
      <c r="V1922" t="s">
        <v>74</v>
      </c>
      <c r="W1922"/>
      <c r="X1922"/>
      <c r="Y1922"/>
      <c r="Z1922"/>
      <c r="AA1922" t="s">
        <v>12536</v>
      </c>
      <c r="AB1922"/>
      <c r="AC1922"/>
      <c r="AD1922"/>
      <c r="AE1922"/>
      <c r="AF1922" t="s">
        <v>12537</v>
      </c>
      <c r="AG1922" t="n">
        <v>219</v>
      </c>
    </row>
    <row r="1923">
      <c r="A1923" t="s">
        <v>12538</v>
      </c>
      <c r="B1923" t="s">
        <v>30</v>
      </c>
      <c r="C1923" t="s">
        <v>24</v>
      </c>
      <c r="D1923" t="s">
        <v>12539</v>
      </c>
      <c r="E1923" t="s">
        <v>12540</v>
      </c>
      <c r="F1923" t="s">
        <v>3950</v>
      </c>
      <c r="G1923" t="s">
        <v>12541</v>
      </c>
      <c r="H1923" t="n">
        <v>40.0867759204948</v>
      </c>
      <c r="I1923" t="n">
        <v>-104.961181736379</v>
      </c>
      <c r="J1923" t="s">
        <v>4109</v>
      </c>
      <c r="K1923" t="s">
        <v>120</v>
      </c>
      <c r="L1923" t="s">
        <v>1310</v>
      </c>
      <c r="M1923" t="n">
        <v>1988</v>
      </c>
      <c r="N1923" t="n">
        <v>1992</v>
      </c>
      <c r="O1923" t="s">
        <v>310</v>
      </c>
      <c r="P1923" t="n">
        <v>3</v>
      </c>
      <c r="Q1923" t="n">
        <v>2</v>
      </c>
      <c r="R1923" t="n">
        <v>2</v>
      </c>
      <c r="S1923" t="n">
        <v>1984</v>
      </c>
      <c r="T1923" t="s">
        <v>12542</v>
      </c>
      <c r="U1923" t="s">
        <v>12543</v>
      </c>
      <c r="V1923" t="s">
        <v>74</v>
      </c>
      <c r="W1923"/>
      <c r="X1923"/>
      <c r="Y1923"/>
      <c r="Z1923"/>
      <c r="AA1923" t="s">
        <v>12544</v>
      </c>
      <c r="AB1923"/>
      <c r="AC1923"/>
      <c r="AD1923"/>
      <c r="AE1923"/>
      <c r="AF1923"/>
      <c r="AG1923"/>
    </row>
    <row r="1924">
      <c r="A1924" t="s">
        <v>12545</v>
      </c>
      <c r="B1924" t="s">
        <v>30</v>
      </c>
      <c r="C1924" t="s">
        <v>65</v>
      </c>
      <c r="D1924" t="s">
        <v>12546</v>
      </c>
      <c r="E1924" t="s">
        <v>4012</v>
      </c>
      <c r="F1924" t="s">
        <v>3950</v>
      </c>
      <c r="G1924" t="s">
        <v>4013</v>
      </c>
      <c r="H1924" t="n">
        <v>40.0832332727273</v>
      </c>
      <c r="I1924" t="n">
        <v>-104.814998</v>
      </c>
      <c r="J1924" t="s">
        <v>35</v>
      </c>
      <c r="K1924" t="s">
        <v>133</v>
      </c>
      <c r="L1924"/>
      <c r="M1924" t="n">
        <v>1990</v>
      </c>
      <c r="N1924" t="n">
        <v>1990</v>
      </c>
      <c r="O1924" t="s">
        <v>351</v>
      </c>
      <c r="P1924" t="n">
        <v>1</v>
      </c>
      <c r="Q1924" t="n">
        <v>1</v>
      </c>
      <c r="R1924" t="n">
        <v>1</v>
      </c>
      <c r="S1924" t="n">
        <v>1978</v>
      </c>
      <c r="T1924" t="s">
        <v>12547</v>
      </c>
      <c r="U1924" t="s">
        <v>12548</v>
      </c>
      <c r="V1924" t="s">
        <v>74</v>
      </c>
      <c r="W1924"/>
      <c r="X1924"/>
      <c r="Y1924"/>
      <c r="Z1924"/>
      <c r="AA1924" t="s">
        <v>12549</v>
      </c>
      <c r="AB1924"/>
      <c r="AC1924"/>
      <c r="AD1924"/>
      <c r="AE1924"/>
      <c r="AF1924" t="s">
        <v>12550</v>
      </c>
      <c r="AG1924" t="n">
        <v>206</v>
      </c>
    </row>
    <row r="1925">
      <c r="A1925" t="s">
        <v>12551</v>
      </c>
      <c r="B1925" t="s">
        <v>30</v>
      </c>
      <c r="C1925" t="s">
        <v>65</v>
      </c>
      <c r="D1925" t="s">
        <v>12552</v>
      </c>
      <c r="E1925" t="s">
        <v>3967</v>
      </c>
      <c r="F1925" t="s">
        <v>3950</v>
      </c>
      <c r="G1925" t="s">
        <v>3976</v>
      </c>
      <c r="H1925" t="n">
        <v>40.4115104662921</v>
      </c>
      <c r="I1925" t="n">
        <v>-104.677978522472</v>
      </c>
      <c r="J1925" t="s">
        <v>35</v>
      </c>
      <c r="K1925" t="s">
        <v>120</v>
      </c>
      <c r="L1925"/>
      <c r="M1925" t="n">
        <v>1990</v>
      </c>
      <c r="N1925" t="n">
        <v>1992</v>
      </c>
      <c r="O1925" t="s">
        <v>357</v>
      </c>
      <c r="P1925" t="n">
        <v>2</v>
      </c>
      <c r="Q1925" t="n">
        <v>2</v>
      </c>
      <c r="R1925" t="n">
        <v>2</v>
      </c>
      <c r="S1925" t="n">
        <v>1987</v>
      </c>
      <c r="T1925" t="s">
        <v>12553</v>
      </c>
      <c r="U1925" t="s">
        <v>12554</v>
      </c>
      <c r="V1925" t="s">
        <v>74</v>
      </c>
      <c r="W1925"/>
      <c r="X1925"/>
      <c r="Y1925"/>
      <c r="Z1925"/>
      <c r="AA1925" t="s">
        <v>12555</v>
      </c>
      <c r="AB1925"/>
      <c r="AC1925"/>
      <c r="AD1925" t="s">
        <v>4022</v>
      </c>
      <c r="AE1925" t="n">
        <v>172</v>
      </c>
      <c r="AF1925" t="s">
        <v>12556</v>
      </c>
      <c r="AG1925" t="n">
        <v>152</v>
      </c>
    </row>
    <row r="1926">
      <c r="A1926" t="s">
        <v>12557</v>
      </c>
      <c r="B1926" t="s">
        <v>30</v>
      </c>
      <c r="C1926" t="s">
        <v>65</v>
      </c>
      <c r="D1926" t="s">
        <v>12558</v>
      </c>
      <c r="E1926" t="s">
        <v>3967</v>
      </c>
      <c r="F1926" t="s">
        <v>3950</v>
      </c>
      <c r="G1926" t="s">
        <v>3976</v>
      </c>
      <c r="H1926" t="n">
        <v>40.4137170645161</v>
      </c>
      <c r="I1926" t="n">
        <v>-104.674986</v>
      </c>
      <c r="J1926" t="s">
        <v>35</v>
      </c>
      <c r="K1926" t="s">
        <v>120</v>
      </c>
      <c r="L1926"/>
      <c r="M1926" t="n">
        <v>1992</v>
      </c>
      <c r="N1926" t="n">
        <v>1992</v>
      </c>
      <c r="O1926" t="s">
        <v>1016</v>
      </c>
      <c r="P1926" t="n">
        <v>1</v>
      </c>
      <c r="Q1926" t="n">
        <v>1</v>
      </c>
      <c r="R1926" t="n">
        <v>1</v>
      </c>
      <c r="S1926"/>
      <c r="T1926" t="s">
        <v>12559</v>
      </c>
      <c r="U1926" t="s">
        <v>12560</v>
      </c>
      <c r="V1926" t="s">
        <v>74</v>
      </c>
      <c r="W1926"/>
      <c r="X1926"/>
      <c r="Y1926"/>
      <c r="Z1926"/>
      <c r="AA1926" t="s">
        <v>12561</v>
      </c>
      <c r="AB1926"/>
      <c r="AC1926"/>
      <c r="AD1926"/>
      <c r="AE1926"/>
      <c r="AF1926"/>
      <c r="AG1926"/>
    </row>
    <row r="1927">
      <c r="A1927" t="s">
        <v>12562</v>
      </c>
      <c r="B1927" t="s">
        <v>30</v>
      </c>
      <c r="C1927" t="s">
        <v>24</v>
      </c>
      <c r="D1927" t="s">
        <v>12563</v>
      </c>
      <c r="E1927" t="s">
        <v>12564</v>
      </c>
      <c r="F1927" t="s">
        <v>5025</v>
      </c>
      <c r="G1927" t="s">
        <v>12565</v>
      </c>
      <c r="H1927" t="n">
        <v>40.1232644751679</v>
      </c>
      <c r="I1927" t="n">
        <v>-102.711342315495</v>
      </c>
      <c r="J1927" t="s">
        <v>4109</v>
      </c>
      <c r="K1927" t="s">
        <v>120</v>
      </c>
      <c r="L1927"/>
      <c r="M1927" t="n">
        <v>1988</v>
      </c>
      <c r="N1927" t="n">
        <v>1988</v>
      </c>
      <c r="O1927" t="s">
        <v>325</v>
      </c>
      <c r="P1927" t="n">
        <v>1</v>
      </c>
      <c r="Q1927" t="n">
        <v>1</v>
      </c>
      <c r="R1927" t="n">
        <v>1</v>
      </c>
      <c r="S1927" t="n">
        <v>1986</v>
      </c>
      <c r="T1927" t="s">
        <v>12566</v>
      </c>
      <c r="U1927" t="s">
        <v>12567</v>
      </c>
      <c r="V1927" t="s">
        <v>74</v>
      </c>
      <c r="W1927"/>
      <c r="X1927"/>
      <c r="Y1927"/>
      <c r="Z1927"/>
      <c r="AA1927" t="s">
        <v>12568</v>
      </c>
      <c r="AB1927"/>
      <c r="AC1927"/>
      <c r="AD1927"/>
      <c r="AE1927"/>
      <c r="AF1927"/>
      <c r="AG1927"/>
    </row>
    <row r="1928">
      <c r="A1928" t="s">
        <v>12569</v>
      </c>
      <c r="B1928" t="s">
        <v>30</v>
      </c>
      <c r="C1928" t="s">
        <v>24</v>
      </c>
      <c r="D1928" t="s">
        <v>12570</v>
      </c>
      <c r="E1928" t="s">
        <v>12564</v>
      </c>
      <c r="F1928" t="s">
        <v>5025</v>
      </c>
      <c r="G1928" t="s">
        <v>12565</v>
      </c>
      <c r="H1928" t="n">
        <v>40.123709</v>
      </c>
      <c r="I1928" t="n">
        <v>-102.714799</v>
      </c>
      <c r="J1928" t="s">
        <v>4109</v>
      </c>
      <c r="K1928" t="s">
        <v>315</v>
      </c>
      <c r="L1928"/>
      <c r="M1928" t="n">
        <v>1992</v>
      </c>
      <c r="N1928" t="n">
        <v>1992</v>
      </c>
      <c r="O1928" t="s">
        <v>1016</v>
      </c>
      <c r="P1928" t="n">
        <v>1</v>
      </c>
      <c r="Q1928" t="n">
        <v>1</v>
      </c>
      <c r="R1928" t="n">
        <v>1</v>
      </c>
      <c r="S1928" t="n">
        <v>1919</v>
      </c>
      <c r="T1928" t="s">
        <v>12571</v>
      </c>
      <c r="U1928" t="s">
        <v>12572</v>
      </c>
      <c r="V1928" t="s">
        <v>74</v>
      </c>
      <c r="W1928"/>
      <c r="X1928"/>
      <c r="Y1928"/>
      <c r="Z1928"/>
      <c r="AA1928" t="s">
        <v>12573</v>
      </c>
      <c r="AB1928"/>
      <c r="AC1928"/>
      <c r="AD1928"/>
      <c r="AE1928"/>
      <c r="AF1928"/>
      <c r="AG1928"/>
    </row>
    <row r="1929">
      <c r="A1929" t="s">
        <v>12574</v>
      </c>
      <c r="B1929" t="s">
        <v>28</v>
      </c>
      <c r="C1929" t="s">
        <v>65</v>
      </c>
      <c r="D1929" t="s">
        <v>12575</v>
      </c>
      <c r="E1929" t="s">
        <v>2723</v>
      </c>
      <c r="F1929"/>
      <c r="G1929"/>
      <c r="H1929" t="n">
        <v>39.722565444898</v>
      </c>
      <c r="I1929" t="n">
        <v>-105.17956962449</v>
      </c>
      <c r="J1929" t="s">
        <v>35</v>
      </c>
      <c r="K1929" t="s">
        <v>141</v>
      </c>
      <c r="L1929"/>
      <c r="M1929" t="n">
        <v>1965</v>
      </c>
      <c r="N1929" t="n">
        <v>1983</v>
      </c>
      <c r="O1929" t="s">
        <v>1329</v>
      </c>
      <c r="P1929" t="n">
        <v>4</v>
      </c>
      <c r="Q1929" t="n">
        <v>4</v>
      </c>
      <c r="R1929" t="n">
        <v>3</v>
      </c>
      <c r="S1929" t="n">
        <v>1950</v>
      </c>
      <c r="T1929" t="s">
        <v>12576</v>
      </c>
      <c r="U1929" t="s">
        <v>12577</v>
      </c>
      <c r="V1929" t="s">
        <v>74</v>
      </c>
      <c r="W1929"/>
      <c r="X1929"/>
      <c r="Y1929" t="s">
        <v>12578</v>
      </c>
      <c r="Z1929"/>
      <c r="AA1929" t="s">
        <v>12579</v>
      </c>
      <c r="AB1929" t="s">
        <v>9867</v>
      </c>
      <c r="AC1929" t="n">
        <v>129</v>
      </c>
      <c r="AD1929"/>
      <c r="AE1929"/>
      <c r="AF1929" t="s">
        <v>12580</v>
      </c>
      <c r="AG1929" t="n">
        <v>11</v>
      </c>
    </row>
    <row r="1930">
      <c r="A1930" t="s">
        <v>12581</v>
      </c>
      <c r="B1930" t="s">
        <v>28</v>
      </c>
      <c r="C1930" t="s">
        <v>24</v>
      </c>
      <c r="D1930" t="s">
        <v>12582</v>
      </c>
      <c r="E1930" t="s">
        <v>2272</v>
      </c>
      <c r="F1930"/>
      <c r="G1930"/>
      <c r="H1930" t="n">
        <v>38.83103</v>
      </c>
      <c r="I1930" t="n">
        <v>-104.821711</v>
      </c>
      <c r="J1930" t="s">
        <v>4109</v>
      </c>
      <c r="K1930" t="s">
        <v>141</v>
      </c>
      <c r="L1930"/>
      <c r="M1930" t="n">
        <v>1967</v>
      </c>
      <c r="N1930" t="n">
        <v>1967</v>
      </c>
      <c r="O1930" t="s">
        <v>388</v>
      </c>
      <c r="P1930" t="n">
        <v>1</v>
      </c>
      <c r="Q1930" t="n">
        <v>1</v>
      </c>
      <c r="R1930" t="n">
        <v>1</v>
      </c>
      <c r="S1930" t="n">
        <v>1945</v>
      </c>
      <c r="T1930" t="s">
        <v>12583</v>
      </c>
      <c r="U1930" t="s">
        <v>12584</v>
      </c>
      <c r="V1930" t="s">
        <v>74</v>
      </c>
      <c r="W1930"/>
      <c r="X1930"/>
      <c r="Y1930" t="s">
        <v>12585</v>
      </c>
      <c r="Z1930"/>
      <c r="AA1930" t="s">
        <v>12586</v>
      </c>
      <c r="AB1930"/>
      <c r="AC1930"/>
      <c r="AD1930"/>
      <c r="AE1930"/>
      <c r="AF1930" t="s">
        <v>12587</v>
      </c>
      <c r="AG1930" t="n">
        <v>83</v>
      </c>
    </row>
    <row r="1931">
      <c r="A1931" t="s">
        <v>12588</v>
      </c>
      <c r="B1931" t="s">
        <v>28</v>
      </c>
      <c r="C1931" t="s">
        <v>65</v>
      </c>
      <c r="D1931" t="s">
        <v>12589</v>
      </c>
      <c r="E1931" t="s">
        <v>67</v>
      </c>
      <c r="F1931" t="s">
        <v>68</v>
      </c>
      <c r="G1931" t="s">
        <v>69</v>
      </c>
      <c r="H1931" t="n">
        <v>39.800092011472</v>
      </c>
      <c r="I1931" t="n">
        <v>-104.928395000026</v>
      </c>
      <c r="J1931" t="s">
        <v>35</v>
      </c>
      <c r="K1931" t="s">
        <v>141</v>
      </c>
      <c r="L1931"/>
      <c r="M1931" t="n">
        <v>1966</v>
      </c>
      <c r="N1931" t="n">
        <v>1990</v>
      </c>
      <c r="O1931" t="s">
        <v>12590</v>
      </c>
      <c r="P1931" t="n">
        <v>9</v>
      </c>
      <c r="Q1931" t="n">
        <v>4</v>
      </c>
      <c r="R1931" t="n">
        <v>3</v>
      </c>
      <c r="S1931" t="n">
        <v>1960</v>
      </c>
      <c r="T1931" t="s">
        <v>12591</v>
      </c>
      <c r="U1931" t="s">
        <v>12592</v>
      </c>
      <c r="V1931" t="s">
        <v>74</v>
      </c>
      <c r="W1931"/>
      <c r="X1931"/>
      <c r="Y1931" t="s">
        <v>12593</v>
      </c>
      <c r="Z1931"/>
      <c r="AA1931" t="s">
        <v>12594</v>
      </c>
      <c r="AB1931"/>
      <c r="AC1931"/>
      <c r="AD1931"/>
      <c r="AE1931"/>
      <c r="AF1931" t="s">
        <v>12595</v>
      </c>
      <c r="AG1931" t="n">
        <v>3</v>
      </c>
    </row>
    <row r="1932">
      <c r="A1932" t="s">
        <v>12596</v>
      </c>
      <c r="B1932" t="s">
        <v>28</v>
      </c>
      <c r="C1932" t="s">
        <v>65</v>
      </c>
      <c r="D1932" t="s">
        <v>12597</v>
      </c>
      <c r="E1932" t="s">
        <v>161</v>
      </c>
      <c r="F1932" t="s">
        <v>68</v>
      </c>
      <c r="G1932" t="s">
        <v>162</v>
      </c>
      <c r="H1932" t="n">
        <v>39.823515010101</v>
      </c>
      <c r="I1932" t="n">
        <v>-104.959191121212</v>
      </c>
      <c r="J1932" t="s">
        <v>35</v>
      </c>
      <c r="K1932" t="s">
        <v>126</v>
      </c>
      <c r="L1932"/>
      <c r="M1932" t="n">
        <v>1966</v>
      </c>
      <c r="N1932" t="n">
        <v>1983</v>
      </c>
      <c r="O1932" t="s">
        <v>528</v>
      </c>
      <c r="P1932" t="n">
        <v>3</v>
      </c>
      <c r="Q1932" t="n">
        <v>2</v>
      </c>
      <c r="R1932" t="n">
        <v>1</v>
      </c>
      <c r="S1932" t="n">
        <v>1953</v>
      </c>
      <c r="T1932" t="s">
        <v>12598</v>
      </c>
      <c r="U1932" t="s">
        <v>12599</v>
      </c>
      <c r="V1932" t="s">
        <v>74</v>
      </c>
      <c r="W1932"/>
      <c r="X1932"/>
      <c r="Y1932" t="s">
        <v>12600</v>
      </c>
      <c r="Z1932"/>
      <c r="AA1932" t="s">
        <v>12601</v>
      </c>
      <c r="AB1932"/>
      <c r="AC1932"/>
      <c r="AD1932"/>
      <c r="AE1932"/>
      <c r="AF1932" t="s">
        <v>12602</v>
      </c>
      <c r="AG1932" t="n">
        <v>6</v>
      </c>
    </row>
    <row r="1933">
      <c r="A1933" t="s">
        <v>12603</v>
      </c>
      <c r="B1933" t="s">
        <v>28</v>
      </c>
      <c r="C1933" t="s">
        <v>65</v>
      </c>
      <c r="D1933" t="s">
        <v>12604</v>
      </c>
      <c r="E1933" t="s">
        <v>67</v>
      </c>
      <c r="F1933" t="s">
        <v>68</v>
      </c>
      <c r="G1933" t="s">
        <v>69</v>
      </c>
      <c r="H1933" t="n">
        <v>39.8055143111357</v>
      </c>
      <c r="I1933" t="n">
        <v>-104.93455110059</v>
      </c>
      <c r="J1933" t="s">
        <v>35</v>
      </c>
      <c r="K1933" t="s">
        <v>270</v>
      </c>
      <c r="L1933"/>
      <c r="M1933" t="n">
        <v>1966</v>
      </c>
      <c r="N1933" t="n">
        <v>1990</v>
      </c>
      <c r="O1933" t="s">
        <v>12605</v>
      </c>
      <c r="P1933" t="n">
        <v>6</v>
      </c>
      <c r="Q1933" t="n">
        <v>2</v>
      </c>
      <c r="R1933" t="n">
        <v>2</v>
      </c>
      <c r="S1933" t="n">
        <v>1933</v>
      </c>
      <c r="T1933" t="s">
        <v>12606</v>
      </c>
      <c r="U1933" t="s">
        <v>12607</v>
      </c>
      <c r="V1933" t="s">
        <v>74</v>
      </c>
      <c r="W1933"/>
      <c r="X1933"/>
      <c r="Y1933" t="s">
        <v>12608</v>
      </c>
      <c r="Z1933"/>
      <c r="AA1933" t="s">
        <v>12609</v>
      </c>
      <c r="AB1933" t="s">
        <v>238</v>
      </c>
      <c r="AC1933" t="n">
        <v>227</v>
      </c>
      <c r="AD1933"/>
      <c r="AE1933"/>
      <c r="AF1933" t="s">
        <v>12610</v>
      </c>
      <c r="AG1933" t="n">
        <v>11</v>
      </c>
    </row>
    <row r="1934">
      <c r="A1934" t="s">
        <v>12611</v>
      </c>
      <c r="B1934" t="s">
        <v>28</v>
      </c>
      <c r="C1934" t="s">
        <v>65</v>
      </c>
      <c r="D1934" t="s">
        <v>12612</v>
      </c>
      <c r="E1934" t="s">
        <v>79</v>
      </c>
      <c r="F1934" t="s">
        <v>68</v>
      </c>
      <c r="G1934" t="s">
        <v>80</v>
      </c>
      <c r="H1934" t="n">
        <v>39.7996063610775</v>
      </c>
      <c r="I1934" t="n">
        <v>-105.006335509847</v>
      </c>
      <c r="J1934" t="s">
        <v>35</v>
      </c>
      <c r="K1934" t="s">
        <v>2274</v>
      </c>
      <c r="L1934"/>
      <c r="M1934" t="n">
        <v>1966</v>
      </c>
      <c r="N1934" t="n">
        <v>1970</v>
      </c>
      <c r="O1934" t="s">
        <v>2771</v>
      </c>
      <c r="P1934" t="n">
        <v>3</v>
      </c>
      <c r="Q1934" t="n">
        <v>1</v>
      </c>
      <c r="R1934" t="n">
        <v>1</v>
      </c>
      <c r="S1934" t="n">
        <v>1956</v>
      </c>
      <c r="T1934" t="s">
        <v>12613</v>
      </c>
      <c r="U1934" t="s">
        <v>12614</v>
      </c>
      <c r="V1934" t="s">
        <v>74</v>
      </c>
      <c r="W1934"/>
      <c r="X1934"/>
      <c r="Y1934" t="s">
        <v>12615</v>
      </c>
      <c r="Z1934"/>
      <c r="AA1934" t="s">
        <v>12616</v>
      </c>
      <c r="AB1934"/>
      <c r="AC1934"/>
      <c r="AD1934"/>
      <c r="AE1934"/>
      <c r="AF1934" t="s">
        <v>12617</v>
      </c>
      <c r="AG1934" t="n">
        <v>16</v>
      </c>
    </row>
    <row r="1935">
      <c r="A1935" t="s">
        <v>12618</v>
      </c>
      <c r="B1935" t="s">
        <v>28</v>
      </c>
      <c r="C1935" t="s">
        <v>24</v>
      </c>
      <c r="D1935" t="s">
        <v>12619</v>
      </c>
      <c r="E1935" t="s">
        <v>79</v>
      </c>
      <c r="F1935" t="s">
        <v>68</v>
      </c>
      <c r="G1935" t="s">
        <v>80</v>
      </c>
      <c r="H1935" t="n">
        <v>39.798351</v>
      </c>
      <c r="I1935" t="n">
        <v>-105.009145</v>
      </c>
      <c r="J1935" t="s">
        <v>4109</v>
      </c>
      <c r="K1935" t="s">
        <v>783</v>
      </c>
      <c r="L1935"/>
      <c r="M1935" t="n">
        <v>1966</v>
      </c>
      <c r="N1935" t="n">
        <v>1970</v>
      </c>
      <c r="O1935" t="s">
        <v>3494</v>
      </c>
      <c r="P1935" t="n">
        <v>4</v>
      </c>
      <c r="Q1935" t="n">
        <v>4</v>
      </c>
      <c r="R1935" t="n">
        <v>3</v>
      </c>
      <c r="S1935" t="n">
        <v>1953</v>
      </c>
      <c r="T1935" t="s">
        <v>12620</v>
      </c>
      <c r="U1935" t="s">
        <v>12621</v>
      </c>
      <c r="V1935" t="s">
        <v>74</v>
      </c>
      <c r="W1935"/>
      <c r="X1935"/>
      <c r="Y1935" t="s">
        <v>12622</v>
      </c>
      <c r="Z1935"/>
      <c r="AA1935" t="s">
        <v>12623</v>
      </c>
      <c r="AB1935"/>
      <c r="AC1935"/>
      <c r="AD1935"/>
      <c r="AE1935"/>
      <c r="AF1935" t="s">
        <v>12624</v>
      </c>
      <c r="AG1935" t="n">
        <v>243</v>
      </c>
    </row>
    <row r="1936">
      <c r="A1936" t="s">
        <v>12625</v>
      </c>
      <c r="B1936" t="s">
        <v>28</v>
      </c>
      <c r="C1936" t="s">
        <v>65</v>
      </c>
      <c r="D1936" t="s">
        <v>12626</v>
      </c>
      <c r="E1936" t="s">
        <v>67</v>
      </c>
      <c r="F1936" t="s">
        <v>68</v>
      </c>
      <c r="G1936" t="s">
        <v>69</v>
      </c>
      <c r="H1936" t="n">
        <v>39.8183865959596</v>
      </c>
      <c r="I1936" t="n">
        <v>-104.933505727273</v>
      </c>
      <c r="J1936" t="s">
        <v>35</v>
      </c>
      <c r="K1936" t="s">
        <v>120</v>
      </c>
      <c r="L1936"/>
      <c r="M1936" t="n">
        <v>1967</v>
      </c>
      <c r="N1936" t="n">
        <v>1990</v>
      </c>
      <c r="O1936" t="s">
        <v>264</v>
      </c>
      <c r="P1936" t="n">
        <v>8</v>
      </c>
      <c r="Q1936" t="n">
        <v>1</v>
      </c>
      <c r="R1936" t="n">
        <v>1</v>
      </c>
      <c r="S1936" t="n">
        <v>1936</v>
      </c>
      <c r="T1936" t="s">
        <v>12627</v>
      </c>
      <c r="U1936" t="s">
        <v>12628</v>
      </c>
      <c r="V1936" t="s">
        <v>74</v>
      </c>
      <c r="W1936"/>
      <c r="X1936"/>
      <c r="Y1936" t="s">
        <v>12629</v>
      </c>
      <c r="Z1936"/>
      <c r="AA1936" t="s">
        <v>12630</v>
      </c>
      <c r="AB1936"/>
      <c r="AC1936"/>
      <c r="AD1936"/>
      <c r="AE1936"/>
      <c r="AF1936" t="s">
        <v>12631</v>
      </c>
      <c r="AG1936" t="n">
        <v>3</v>
      </c>
    </row>
    <row r="1937">
      <c r="A1937" t="s">
        <v>12632</v>
      </c>
      <c r="B1937" t="s">
        <v>28</v>
      </c>
      <c r="C1937" t="s">
        <v>65</v>
      </c>
      <c r="D1937" t="s">
        <v>12633</v>
      </c>
      <c r="E1937" t="s">
        <v>67</v>
      </c>
      <c r="F1937" t="s">
        <v>68</v>
      </c>
      <c r="G1937" t="s">
        <v>69</v>
      </c>
      <c r="H1937" t="n">
        <v>39.8032010162208</v>
      </c>
      <c r="I1937" t="n">
        <v>-104.931971838467</v>
      </c>
      <c r="J1937" t="s">
        <v>35</v>
      </c>
      <c r="K1937" t="s">
        <v>783</v>
      </c>
      <c r="L1937"/>
      <c r="M1937" t="n">
        <v>1967</v>
      </c>
      <c r="N1937" t="n">
        <v>1988</v>
      </c>
      <c r="O1937" t="s">
        <v>12634</v>
      </c>
      <c r="P1937" t="n">
        <v>2</v>
      </c>
      <c r="Q1937" t="n">
        <v>2</v>
      </c>
      <c r="R1937" t="n">
        <v>2</v>
      </c>
      <c r="S1937" t="n">
        <v>1957</v>
      </c>
      <c r="T1937" t="s">
        <v>12635</v>
      </c>
      <c r="U1937" t="s">
        <v>12636</v>
      </c>
      <c r="V1937" t="s">
        <v>74</v>
      </c>
      <c r="W1937"/>
      <c r="X1937"/>
      <c r="Y1937" t="s">
        <v>12637</v>
      </c>
      <c r="Z1937"/>
      <c r="AA1937" t="s">
        <v>12638</v>
      </c>
      <c r="AB1937" t="s">
        <v>12639</v>
      </c>
      <c r="AC1937" t="n">
        <v>88</v>
      </c>
      <c r="AD1937"/>
      <c r="AE1937"/>
      <c r="AF1937" t="s">
        <v>158</v>
      </c>
      <c r="AG1937" t="n">
        <v>66</v>
      </c>
    </row>
    <row r="1938">
      <c r="A1938" t="s">
        <v>12640</v>
      </c>
      <c r="B1938" t="s">
        <v>28</v>
      </c>
      <c r="C1938" t="s">
        <v>65</v>
      </c>
      <c r="D1938" t="s">
        <v>12641</v>
      </c>
      <c r="E1938" t="s">
        <v>67</v>
      </c>
      <c r="F1938" t="s">
        <v>68</v>
      </c>
      <c r="G1938" t="s">
        <v>69</v>
      </c>
      <c r="H1938" t="n">
        <v>39.8054519897642</v>
      </c>
      <c r="I1938" t="n">
        <v>-104.937687318323</v>
      </c>
      <c r="J1938" t="s">
        <v>35</v>
      </c>
      <c r="K1938" t="s">
        <v>12642</v>
      </c>
      <c r="L1938" t="s">
        <v>98</v>
      </c>
      <c r="M1938" t="n">
        <v>1967</v>
      </c>
      <c r="N1938" t="n">
        <v>1992</v>
      </c>
      <c r="O1938" t="s">
        <v>12643</v>
      </c>
      <c r="P1938" t="n">
        <v>4</v>
      </c>
      <c r="Q1938" t="n">
        <v>3</v>
      </c>
      <c r="R1938" t="n">
        <v>3</v>
      </c>
      <c r="S1938" t="n">
        <v>1955</v>
      </c>
      <c r="T1938" t="s">
        <v>12644</v>
      </c>
      <c r="U1938" t="s">
        <v>12645</v>
      </c>
      <c r="V1938" t="s">
        <v>74</v>
      </c>
      <c r="W1938"/>
      <c r="X1938"/>
      <c r="Y1938" t="s">
        <v>12646</v>
      </c>
      <c r="Z1938"/>
      <c r="AA1938"/>
      <c r="AB1938" t="s">
        <v>5267</v>
      </c>
      <c r="AC1938" t="n">
        <v>218</v>
      </c>
      <c r="AD1938" t="s">
        <v>5268</v>
      </c>
      <c r="AE1938" t="n">
        <v>132</v>
      </c>
      <c r="AF1938" t="s">
        <v>5269</v>
      </c>
      <c r="AG1938" t="n">
        <v>47</v>
      </c>
    </row>
    <row r="1939">
      <c r="A1939" t="s">
        <v>12647</v>
      </c>
      <c r="B1939" t="s">
        <v>28</v>
      </c>
      <c r="C1939" t="s">
        <v>65</v>
      </c>
      <c r="D1939" t="s">
        <v>12648</v>
      </c>
      <c r="E1939" t="s">
        <v>79</v>
      </c>
      <c r="F1939" t="s">
        <v>68</v>
      </c>
      <c r="G1939" t="s">
        <v>80</v>
      </c>
      <c r="H1939" t="n">
        <v>39.802843295302</v>
      </c>
      <c r="I1939" t="n">
        <v>-105.025186013423</v>
      </c>
      <c r="J1939" t="s">
        <v>35</v>
      </c>
      <c r="K1939" t="s">
        <v>220</v>
      </c>
      <c r="L1939"/>
      <c r="M1939" t="n">
        <v>1967</v>
      </c>
      <c r="N1939" t="n">
        <v>1983</v>
      </c>
      <c r="O1939" t="s">
        <v>12649</v>
      </c>
      <c r="P1939" t="n">
        <v>6</v>
      </c>
      <c r="Q1939" t="n">
        <v>3</v>
      </c>
      <c r="R1939" t="n">
        <v>2</v>
      </c>
      <c r="S1939" t="n">
        <v>1938</v>
      </c>
      <c r="T1939" t="s">
        <v>12650</v>
      </c>
      <c r="U1939" t="s">
        <v>12651</v>
      </c>
      <c r="V1939" t="s">
        <v>74</v>
      </c>
      <c r="W1939"/>
      <c r="X1939"/>
      <c r="Y1939" t="s">
        <v>12652</v>
      </c>
      <c r="Z1939"/>
      <c r="AA1939"/>
      <c r="AB1939" t="s">
        <v>5159</v>
      </c>
      <c r="AC1939" t="n">
        <v>125</v>
      </c>
      <c r="AD1939"/>
      <c r="AE1939"/>
      <c r="AF1939" t="s">
        <v>12653</v>
      </c>
      <c r="AG1939" t="n">
        <v>17</v>
      </c>
    </row>
    <row r="1940">
      <c r="A1940" t="s">
        <v>12654</v>
      </c>
      <c r="B1940" t="s">
        <v>28</v>
      </c>
      <c r="C1940" t="s">
        <v>65</v>
      </c>
      <c r="D1940" t="s">
        <v>12655</v>
      </c>
      <c r="E1940" t="s">
        <v>67</v>
      </c>
      <c r="F1940" t="s">
        <v>68</v>
      </c>
      <c r="G1940" t="s">
        <v>69</v>
      </c>
      <c r="H1940" t="n">
        <v>39.8055034258914</v>
      </c>
      <c r="I1940" t="n">
        <v>-104.936294256274</v>
      </c>
      <c r="J1940" t="s">
        <v>35</v>
      </c>
      <c r="K1940" t="s">
        <v>120</v>
      </c>
      <c r="L1940"/>
      <c r="M1940" t="n">
        <v>1968</v>
      </c>
      <c r="N1940" t="n">
        <v>1990</v>
      </c>
      <c r="O1940" t="s">
        <v>310</v>
      </c>
      <c r="P1940" t="n">
        <v>3</v>
      </c>
      <c r="Q1940" t="n">
        <v>3</v>
      </c>
      <c r="R1940" t="n">
        <v>2</v>
      </c>
      <c r="S1940" t="n">
        <v>1966</v>
      </c>
      <c r="T1940" t="s">
        <v>12656</v>
      </c>
      <c r="U1940" t="s">
        <v>12657</v>
      </c>
      <c r="V1940" t="s">
        <v>74</v>
      </c>
      <c r="W1940"/>
      <c r="X1940"/>
      <c r="Y1940" t="s">
        <v>12658</v>
      </c>
      <c r="Z1940"/>
      <c r="AA1940" t="s">
        <v>12659</v>
      </c>
      <c r="AB1940" t="s">
        <v>5149</v>
      </c>
      <c r="AC1940" t="n">
        <v>197</v>
      </c>
      <c r="AD1940" t="s">
        <v>5268</v>
      </c>
      <c r="AE1940" t="n">
        <v>192</v>
      </c>
      <c r="AF1940" t="s">
        <v>12660</v>
      </c>
      <c r="AG1940" t="n">
        <v>28</v>
      </c>
    </row>
    <row r="1941">
      <c r="A1941" t="s">
        <v>12661</v>
      </c>
      <c r="B1941" t="s">
        <v>28</v>
      </c>
      <c r="C1941" t="s">
        <v>65</v>
      </c>
      <c r="D1941" t="s">
        <v>12662</v>
      </c>
      <c r="E1941" t="s">
        <v>177</v>
      </c>
      <c r="F1941" t="s">
        <v>68</v>
      </c>
      <c r="G1941" t="s">
        <v>178</v>
      </c>
      <c r="H1941" t="n">
        <v>39.8252406938775</v>
      </c>
      <c r="I1941" t="n">
        <v>-105.03437622449</v>
      </c>
      <c r="J1941" t="s">
        <v>35</v>
      </c>
      <c r="K1941" t="s">
        <v>70</v>
      </c>
      <c r="L1941"/>
      <c r="M1941" t="n">
        <v>1968</v>
      </c>
      <c r="N1941" t="n">
        <v>1983</v>
      </c>
      <c r="O1941" t="s">
        <v>1173</v>
      </c>
      <c r="P1941" t="n">
        <v>5</v>
      </c>
      <c r="Q1941" t="n">
        <v>2</v>
      </c>
      <c r="R1941" t="n">
        <v>2</v>
      </c>
      <c r="S1941" t="n">
        <v>1964</v>
      </c>
      <c r="T1941" t="s">
        <v>12663</v>
      </c>
      <c r="U1941" t="s">
        <v>12664</v>
      </c>
      <c r="V1941" t="s">
        <v>74</v>
      </c>
      <c r="W1941"/>
      <c r="X1941"/>
      <c r="Y1941" t="s">
        <v>12665</v>
      </c>
      <c r="Z1941"/>
      <c r="AA1941"/>
      <c r="AB1941" t="s">
        <v>197</v>
      </c>
      <c r="AC1941" t="n">
        <v>93</v>
      </c>
      <c r="AD1941"/>
      <c r="AE1941"/>
      <c r="AF1941" t="s">
        <v>12666</v>
      </c>
      <c r="AG1941" t="n">
        <v>5</v>
      </c>
    </row>
    <row r="1942">
      <c r="A1942" t="s">
        <v>12667</v>
      </c>
      <c r="B1942" t="s">
        <v>28</v>
      </c>
      <c r="C1942" t="s">
        <v>24</v>
      </c>
      <c r="D1942" t="s">
        <v>12668</v>
      </c>
      <c r="E1942" t="s">
        <v>118</v>
      </c>
      <c r="F1942" t="s">
        <v>68</v>
      </c>
      <c r="G1942"/>
      <c r="H1942" t="n">
        <v>39.9789057142857</v>
      </c>
      <c r="I1942" t="n">
        <v>-104.812549714286</v>
      </c>
      <c r="J1942" t="s">
        <v>4109</v>
      </c>
      <c r="K1942" t="s">
        <v>70</v>
      </c>
      <c r="L1942"/>
      <c r="M1942" t="n">
        <v>1968</v>
      </c>
      <c r="N1942" t="n">
        <v>1968</v>
      </c>
      <c r="O1942" t="s">
        <v>1349</v>
      </c>
      <c r="P1942" t="n">
        <v>1</v>
      </c>
      <c r="Q1942" t="n">
        <v>1</v>
      </c>
      <c r="R1942" t="n">
        <v>1</v>
      </c>
      <c r="S1942"/>
      <c r="T1942" t="s">
        <v>12669</v>
      </c>
      <c r="U1942" t="s">
        <v>12670</v>
      </c>
      <c r="V1942" t="s">
        <v>74</v>
      </c>
      <c r="W1942"/>
      <c r="X1942"/>
      <c r="Y1942" t="s">
        <v>12671</v>
      </c>
      <c r="Z1942"/>
      <c r="AA1942" t="s">
        <v>12672</v>
      </c>
      <c r="AB1942"/>
      <c r="AC1942"/>
      <c r="AD1942"/>
      <c r="AE1942"/>
      <c r="AF1942" t="s">
        <v>12673</v>
      </c>
      <c r="AG1942" t="n">
        <v>88</v>
      </c>
    </row>
    <row r="1943">
      <c r="A1943" t="s">
        <v>12674</v>
      </c>
      <c r="B1943" t="s">
        <v>28</v>
      </c>
      <c r="C1943" t="s">
        <v>65</v>
      </c>
      <c r="D1943" t="s">
        <v>12675</v>
      </c>
      <c r="E1943" t="s">
        <v>67</v>
      </c>
      <c r="F1943" t="s">
        <v>68</v>
      </c>
      <c r="G1943" t="s">
        <v>69</v>
      </c>
      <c r="H1943" t="n">
        <v>39.8219065234899</v>
      </c>
      <c r="I1943" t="n">
        <v>-104.922992369127</v>
      </c>
      <c r="J1943" t="s">
        <v>35</v>
      </c>
      <c r="K1943" t="s">
        <v>120</v>
      </c>
      <c r="L1943"/>
      <c r="M1943" t="n">
        <v>1970</v>
      </c>
      <c r="N1943" t="n">
        <v>1977</v>
      </c>
      <c r="O1943" t="s">
        <v>3984</v>
      </c>
      <c r="P1943" t="n">
        <v>4</v>
      </c>
      <c r="Q1943" t="n">
        <v>3</v>
      </c>
      <c r="R1943" t="n">
        <v>3</v>
      </c>
      <c r="S1943" t="n">
        <v>1965</v>
      </c>
      <c r="T1943" t="s">
        <v>12676</v>
      </c>
      <c r="U1943" t="s">
        <v>12677</v>
      </c>
      <c r="V1943" t="s">
        <v>74</v>
      </c>
      <c r="W1943"/>
      <c r="X1943"/>
      <c r="Y1943" t="s">
        <v>12678</v>
      </c>
      <c r="Z1943"/>
      <c r="AA1943"/>
      <c r="AB1943"/>
      <c r="AC1943"/>
      <c r="AD1943"/>
      <c r="AE1943"/>
      <c r="AF1943" t="s">
        <v>10732</v>
      </c>
      <c r="AG1943" t="n">
        <v>10</v>
      </c>
    </row>
    <row r="1944">
      <c r="A1944" t="s">
        <v>12679</v>
      </c>
      <c r="B1944" t="s">
        <v>28</v>
      </c>
      <c r="C1944" t="s">
        <v>24</v>
      </c>
      <c r="D1944" t="s">
        <v>12680</v>
      </c>
      <c r="E1944" t="s">
        <v>79</v>
      </c>
      <c r="F1944" t="s">
        <v>68</v>
      </c>
      <c r="G1944" t="s">
        <v>80</v>
      </c>
      <c r="H1944" t="n">
        <v>39.8176238571429</v>
      </c>
      <c r="I1944" t="n">
        <v>-105.025107</v>
      </c>
      <c r="J1944" t="s">
        <v>4109</v>
      </c>
      <c r="K1944" t="s">
        <v>70</v>
      </c>
      <c r="L1944"/>
      <c r="M1944" t="n">
        <v>1970</v>
      </c>
      <c r="N1944" t="n">
        <v>1983</v>
      </c>
      <c r="O1944" t="s">
        <v>2756</v>
      </c>
      <c r="P1944" t="n">
        <v>2</v>
      </c>
      <c r="Q1944" t="n">
        <v>2</v>
      </c>
      <c r="R1944" t="n">
        <v>2</v>
      </c>
      <c r="S1944" t="n">
        <v>1960</v>
      </c>
      <c r="T1944" t="s">
        <v>12681</v>
      </c>
      <c r="U1944" t="s">
        <v>12682</v>
      </c>
      <c r="V1944" t="s">
        <v>74</v>
      </c>
      <c r="W1944"/>
      <c r="X1944"/>
      <c r="Y1944" t="s">
        <v>12683</v>
      </c>
      <c r="Z1944"/>
      <c r="AA1944" t="s">
        <v>12684</v>
      </c>
      <c r="AB1944"/>
      <c r="AC1944"/>
      <c r="AD1944"/>
      <c r="AE1944"/>
      <c r="AF1944" t="s">
        <v>12685</v>
      </c>
      <c r="AG1944" t="n">
        <v>49</v>
      </c>
    </row>
    <row r="1945">
      <c r="A1945" t="s">
        <v>12686</v>
      </c>
      <c r="B1945" t="s">
        <v>28</v>
      </c>
      <c r="C1945" t="s">
        <v>65</v>
      </c>
      <c r="D1945" t="s">
        <v>12687</v>
      </c>
      <c r="E1945" t="s">
        <v>177</v>
      </c>
      <c r="F1945" t="s">
        <v>68</v>
      </c>
      <c r="G1945" t="s">
        <v>178</v>
      </c>
      <c r="H1945" t="n">
        <v>39.8400502023848</v>
      </c>
      <c r="I1945" t="n">
        <v>-105.024785778722</v>
      </c>
      <c r="J1945" t="s">
        <v>35</v>
      </c>
      <c r="K1945" t="s">
        <v>70</v>
      </c>
      <c r="L1945"/>
      <c r="M1945" t="n">
        <v>1970</v>
      </c>
      <c r="N1945" t="n">
        <v>1970</v>
      </c>
      <c r="O1945" t="s">
        <v>726</v>
      </c>
      <c r="P1945" t="n">
        <v>1</v>
      </c>
      <c r="Q1945" t="n">
        <v>1</v>
      </c>
      <c r="R1945" t="n">
        <v>1</v>
      </c>
      <c r="S1945" t="n">
        <v>1954</v>
      </c>
      <c r="T1945" t="s">
        <v>12688</v>
      </c>
      <c r="U1945" t="s">
        <v>12689</v>
      </c>
      <c r="V1945" t="s">
        <v>74</v>
      </c>
      <c r="W1945"/>
      <c r="X1945"/>
      <c r="Y1945" t="s">
        <v>12690</v>
      </c>
      <c r="Z1945"/>
      <c r="AA1945"/>
      <c r="AB1945"/>
      <c r="AC1945"/>
      <c r="AD1945"/>
      <c r="AE1945"/>
      <c r="AF1945" t="s">
        <v>12691</v>
      </c>
      <c r="AG1945" t="n">
        <v>15</v>
      </c>
    </row>
    <row r="1946">
      <c r="A1946" t="s">
        <v>12692</v>
      </c>
      <c r="B1946" t="s">
        <v>28</v>
      </c>
      <c r="C1946" t="s">
        <v>65</v>
      </c>
      <c r="D1946" t="s">
        <v>12693</v>
      </c>
      <c r="E1946" t="s">
        <v>67</v>
      </c>
      <c r="F1946" t="s">
        <v>68</v>
      </c>
      <c r="G1946" t="s">
        <v>69</v>
      </c>
      <c r="H1946" t="n">
        <v>39.821842</v>
      </c>
      <c r="I1946" t="n">
        <v>-104.929073</v>
      </c>
      <c r="J1946" t="s">
        <v>35</v>
      </c>
      <c r="K1946" t="s">
        <v>70</v>
      </c>
      <c r="L1946"/>
      <c r="M1946" t="n">
        <v>1973</v>
      </c>
      <c r="N1946" t="n">
        <v>1990</v>
      </c>
      <c r="O1946" t="s">
        <v>310</v>
      </c>
      <c r="P1946" t="n">
        <v>6</v>
      </c>
      <c r="Q1946" t="n">
        <v>4</v>
      </c>
      <c r="R1946" t="n">
        <v>2</v>
      </c>
      <c r="S1946" t="n">
        <v>1948</v>
      </c>
      <c r="T1946" t="s">
        <v>12694</v>
      </c>
      <c r="U1946" t="s">
        <v>12695</v>
      </c>
      <c r="V1946" t="s">
        <v>74</v>
      </c>
      <c r="W1946"/>
      <c r="X1946"/>
      <c r="Y1946" t="s">
        <v>12696</v>
      </c>
      <c r="Z1946"/>
      <c r="AA1946" t="s">
        <v>12697</v>
      </c>
      <c r="AB1946" t="s">
        <v>12698</v>
      </c>
      <c r="AC1946" t="n">
        <v>242</v>
      </c>
      <c r="AD1946"/>
      <c r="AE1946"/>
      <c r="AF1946" t="s">
        <v>12699</v>
      </c>
      <c r="AG1946" t="n">
        <v>6</v>
      </c>
    </row>
    <row r="1947">
      <c r="A1947" t="s">
        <v>12700</v>
      </c>
      <c r="B1947" t="s">
        <v>28</v>
      </c>
      <c r="C1947" t="s">
        <v>24</v>
      </c>
      <c r="D1947" t="s">
        <v>12701</v>
      </c>
      <c r="E1947" t="s">
        <v>95</v>
      </c>
      <c r="F1947" t="s">
        <v>68</v>
      </c>
      <c r="G1947" t="s">
        <v>96</v>
      </c>
      <c r="H1947" t="n">
        <v>39.746363</v>
      </c>
      <c r="I1947" t="n">
        <v>-104.803789</v>
      </c>
      <c r="J1947" t="s">
        <v>4109</v>
      </c>
      <c r="K1947" t="s">
        <v>315</v>
      </c>
      <c r="L1947"/>
      <c r="M1947" t="n">
        <v>1973</v>
      </c>
      <c r="N1947" t="n">
        <v>1973</v>
      </c>
      <c r="O1947" t="s">
        <v>121</v>
      </c>
      <c r="P1947" t="n">
        <v>1</v>
      </c>
      <c r="Q1947" t="n">
        <v>1</v>
      </c>
      <c r="R1947" t="n">
        <v>1</v>
      </c>
      <c r="S1947" t="n">
        <v>1969</v>
      </c>
      <c r="T1947" t="s">
        <v>12702</v>
      </c>
      <c r="U1947" t="s">
        <v>12703</v>
      </c>
      <c r="V1947" t="s">
        <v>74</v>
      </c>
      <c r="W1947"/>
      <c r="X1947"/>
      <c r="Y1947" t="s">
        <v>12704</v>
      </c>
      <c r="Z1947"/>
      <c r="AA1947" t="s">
        <v>12705</v>
      </c>
      <c r="AB1947"/>
      <c r="AC1947"/>
      <c r="AD1947"/>
      <c r="AE1947"/>
      <c r="AF1947" t="s">
        <v>12706</v>
      </c>
      <c r="AG1947" t="n">
        <v>205</v>
      </c>
    </row>
    <row r="1948">
      <c r="A1948" t="s">
        <v>12707</v>
      </c>
      <c r="B1948" t="s">
        <v>28</v>
      </c>
      <c r="C1948" t="s">
        <v>24</v>
      </c>
      <c r="D1948" t="s">
        <v>12708</v>
      </c>
      <c r="E1948" t="s">
        <v>118</v>
      </c>
      <c r="F1948" t="s">
        <v>68</v>
      </c>
      <c r="G1948" t="s">
        <v>119</v>
      </c>
      <c r="H1948" t="n">
        <v>39.972294</v>
      </c>
      <c r="I1948" t="n">
        <v>-104.82085</v>
      </c>
      <c r="J1948" t="s">
        <v>4109</v>
      </c>
      <c r="K1948" t="s">
        <v>315</v>
      </c>
      <c r="L1948"/>
      <c r="M1948" t="n">
        <v>1973</v>
      </c>
      <c r="N1948" t="n">
        <v>1973</v>
      </c>
      <c r="O1948" t="s">
        <v>121</v>
      </c>
      <c r="P1948" t="n">
        <v>1</v>
      </c>
      <c r="Q1948" t="n">
        <v>1</v>
      </c>
      <c r="R1948" t="n">
        <v>1</v>
      </c>
      <c r="S1948" t="n">
        <v>1968</v>
      </c>
      <c r="T1948" t="s">
        <v>12709</v>
      </c>
      <c r="U1948" t="s">
        <v>12710</v>
      </c>
      <c r="V1948" t="s">
        <v>74</v>
      </c>
      <c r="W1948"/>
      <c r="X1948"/>
      <c r="Y1948" t="s">
        <v>12711</v>
      </c>
      <c r="Z1948"/>
      <c r="AA1948" t="s">
        <v>12712</v>
      </c>
      <c r="AB1948"/>
      <c r="AC1948"/>
      <c r="AD1948"/>
      <c r="AE1948"/>
      <c r="AF1948" t="s">
        <v>12713</v>
      </c>
      <c r="AG1948" t="n">
        <v>228</v>
      </c>
    </row>
    <row r="1949">
      <c r="A1949" t="s">
        <v>12714</v>
      </c>
      <c r="B1949" t="s">
        <v>28</v>
      </c>
      <c r="C1949" t="s">
        <v>65</v>
      </c>
      <c r="D1949" t="s">
        <v>12715</v>
      </c>
      <c r="E1949" t="s">
        <v>67</v>
      </c>
      <c r="F1949" t="s">
        <v>68</v>
      </c>
      <c r="G1949" t="s">
        <v>69</v>
      </c>
      <c r="H1949" t="n">
        <v>39.8314554083666</v>
      </c>
      <c r="I1949" t="n">
        <v>-104.933873</v>
      </c>
      <c r="J1949" t="s">
        <v>35</v>
      </c>
      <c r="K1949" t="s">
        <v>70</v>
      </c>
      <c r="L1949"/>
      <c r="M1949" t="n">
        <v>1973</v>
      </c>
      <c r="N1949" t="n">
        <v>1988</v>
      </c>
      <c r="O1949" t="s">
        <v>127</v>
      </c>
      <c r="P1949" t="n">
        <v>3</v>
      </c>
      <c r="Q1949" t="n">
        <v>2</v>
      </c>
      <c r="R1949" t="n">
        <v>1</v>
      </c>
      <c r="S1949" t="n">
        <v>1972</v>
      </c>
      <c r="T1949" t="s">
        <v>12716</v>
      </c>
      <c r="U1949" t="s">
        <v>12717</v>
      </c>
      <c r="V1949" t="s">
        <v>74</v>
      </c>
      <c r="W1949"/>
      <c r="X1949"/>
      <c r="Y1949" t="s">
        <v>12718</v>
      </c>
      <c r="Z1949"/>
      <c r="AA1949" t="s">
        <v>12719</v>
      </c>
      <c r="AB1949"/>
      <c r="AC1949"/>
      <c r="AD1949"/>
      <c r="AE1949"/>
      <c r="AF1949" t="s">
        <v>12720</v>
      </c>
      <c r="AG1949" t="n">
        <v>13</v>
      </c>
    </row>
    <row r="1950">
      <c r="A1950" t="s">
        <v>12721</v>
      </c>
      <c r="B1950" t="s">
        <v>28</v>
      </c>
      <c r="C1950" t="s">
        <v>65</v>
      </c>
      <c r="D1950" t="s">
        <v>12722</v>
      </c>
      <c r="E1950" t="s">
        <v>67</v>
      </c>
      <c r="F1950" t="s">
        <v>68</v>
      </c>
      <c r="G1950" t="s">
        <v>69</v>
      </c>
      <c r="H1950" t="n">
        <v>39.8318907144196</v>
      </c>
      <c r="I1950" t="n">
        <v>-104.933872554536</v>
      </c>
      <c r="J1950" t="s">
        <v>35</v>
      </c>
      <c r="K1950" t="s">
        <v>120</v>
      </c>
      <c r="L1950"/>
      <c r="M1950" t="n">
        <v>1973</v>
      </c>
      <c r="N1950" t="n">
        <v>1973</v>
      </c>
      <c r="O1950" t="s">
        <v>121</v>
      </c>
      <c r="P1950" t="n">
        <v>1</v>
      </c>
      <c r="Q1950" t="n">
        <v>1</v>
      </c>
      <c r="R1950" t="n">
        <v>1</v>
      </c>
      <c r="S1950" t="n">
        <v>1957</v>
      </c>
      <c r="T1950" t="s">
        <v>12723</v>
      </c>
      <c r="U1950" t="s">
        <v>12724</v>
      </c>
      <c r="V1950" t="s">
        <v>74</v>
      </c>
      <c r="W1950"/>
      <c r="X1950"/>
      <c r="Y1950" t="s">
        <v>12725</v>
      </c>
      <c r="Z1950"/>
      <c r="AA1950" t="s">
        <v>12726</v>
      </c>
      <c r="AB1950"/>
      <c r="AC1950"/>
      <c r="AD1950"/>
      <c r="AE1950"/>
      <c r="AF1950" t="s">
        <v>12720</v>
      </c>
      <c r="AG1950" t="n">
        <v>36</v>
      </c>
    </row>
    <row r="1951">
      <c r="A1951" t="s">
        <v>12727</v>
      </c>
      <c r="B1951" t="s">
        <v>28</v>
      </c>
      <c r="C1951" t="s">
        <v>65</v>
      </c>
      <c r="D1951" t="s">
        <v>12728</v>
      </c>
      <c r="E1951" t="s">
        <v>67</v>
      </c>
      <c r="F1951" t="s">
        <v>68</v>
      </c>
      <c r="G1951" t="s">
        <v>69</v>
      </c>
      <c r="H1951" t="n">
        <v>39.785248</v>
      </c>
      <c r="I1951" t="n">
        <v>-104.908227</v>
      </c>
      <c r="J1951" t="s">
        <v>35</v>
      </c>
      <c r="K1951" t="s">
        <v>220</v>
      </c>
      <c r="L1951"/>
      <c r="M1951" t="n">
        <v>1973</v>
      </c>
      <c r="N1951" t="n">
        <v>1980</v>
      </c>
      <c r="O1951" t="s">
        <v>112</v>
      </c>
      <c r="P1951" t="n">
        <v>4</v>
      </c>
      <c r="Q1951" t="n">
        <v>2</v>
      </c>
      <c r="R1951" t="n">
        <v>2</v>
      </c>
      <c r="S1951" t="n">
        <v>1963</v>
      </c>
      <c r="T1951" t="s">
        <v>12729</v>
      </c>
      <c r="U1951" t="s">
        <v>12730</v>
      </c>
      <c r="V1951" t="s">
        <v>74</v>
      </c>
      <c r="W1951"/>
      <c r="X1951"/>
      <c r="Y1951" t="s">
        <v>12731</v>
      </c>
      <c r="Z1951"/>
      <c r="AA1951" t="s">
        <v>12732</v>
      </c>
      <c r="AB1951"/>
      <c r="AC1951"/>
      <c r="AD1951"/>
      <c r="AE1951"/>
      <c r="AF1951" t="s">
        <v>12733</v>
      </c>
      <c r="AG1951" t="n">
        <v>3</v>
      </c>
    </row>
    <row r="1952">
      <c r="A1952" t="s">
        <v>12734</v>
      </c>
      <c r="B1952" t="s">
        <v>28</v>
      </c>
      <c r="C1952" t="s">
        <v>65</v>
      </c>
      <c r="D1952" t="s">
        <v>12735</v>
      </c>
      <c r="E1952" t="s">
        <v>67</v>
      </c>
      <c r="F1952" t="s">
        <v>68</v>
      </c>
      <c r="G1952" t="s">
        <v>69</v>
      </c>
      <c r="H1952" t="n">
        <v>39.783923122449</v>
      </c>
      <c r="I1952" t="n">
        <v>-104.910091591837</v>
      </c>
      <c r="J1952" t="s">
        <v>35</v>
      </c>
      <c r="K1952" t="s">
        <v>89</v>
      </c>
      <c r="L1952"/>
      <c r="M1952" t="n">
        <v>1973</v>
      </c>
      <c r="N1952" t="n">
        <v>1988</v>
      </c>
      <c r="O1952" t="s">
        <v>121</v>
      </c>
      <c r="P1952" t="n">
        <v>3</v>
      </c>
      <c r="Q1952" t="n">
        <v>3</v>
      </c>
      <c r="R1952" t="n">
        <v>1</v>
      </c>
      <c r="S1952" t="n">
        <v>1905</v>
      </c>
      <c r="T1952" t="s">
        <v>12736</v>
      </c>
      <c r="U1952" t="s">
        <v>12737</v>
      </c>
      <c r="V1952" t="s">
        <v>74</v>
      </c>
      <c r="W1952"/>
      <c r="X1952"/>
      <c r="Y1952" t="s">
        <v>12738</v>
      </c>
      <c r="Z1952"/>
      <c r="AA1952" t="s">
        <v>12739</v>
      </c>
      <c r="AB1952"/>
      <c r="AC1952"/>
      <c r="AD1952"/>
      <c r="AE1952"/>
      <c r="AF1952" t="s">
        <v>152</v>
      </c>
      <c r="AG1952" t="n">
        <v>30</v>
      </c>
    </row>
    <row r="1953">
      <c r="A1953" t="s">
        <v>12740</v>
      </c>
      <c r="B1953" t="s">
        <v>28</v>
      </c>
      <c r="C1953" t="s">
        <v>65</v>
      </c>
      <c r="D1953" t="s">
        <v>12741</v>
      </c>
      <c r="E1953" t="s">
        <v>79</v>
      </c>
      <c r="F1953" t="s">
        <v>68</v>
      </c>
      <c r="G1953" t="s">
        <v>80</v>
      </c>
      <c r="H1953" t="n">
        <v>39.8140564099379</v>
      </c>
      <c r="I1953" t="n">
        <v>-105.025282223603</v>
      </c>
      <c r="J1953" t="s">
        <v>35</v>
      </c>
      <c r="K1953" t="s">
        <v>141</v>
      </c>
      <c r="L1953"/>
      <c r="M1953" t="n">
        <v>1973</v>
      </c>
      <c r="N1953" t="n">
        <v>1990</v>
      </c>
      <c r="O1953" t="s">
        <v>127</v>
      </c>
      <c r="P1953" t="n">
        <v>6</v>
      </c>
      <c r="Q1953" t="n">
        <v>5</v>
      </c>
      <c r="R1953" t="n">
        <v>1</v>
      </c>
      <c r="S1953" t="n">
        <v>1970</v>
      </c>
      <c r="T1953" t="s">
        <v>12742</v>
      </c>
      <c r="U1953" t="s">
        <v>12743</v>
      </c>
      <c r="V1953" t="s">
        <v>74</v>
      </c>
      <c r="W1953"/>
      <c r="X1953"/>
      <c r="Y1953" t="s">
        <v>12744</v>
      </c>
      <c r="Z1953"/>
      <c r="AA1953"/>
      <c r="AB1953"/>
      <c r="AC1953"/>
      <c r="AD1953"/>
      <c r="AE1953"/>
      <c r="AF1953" t="s">
        <v>12745</v>
      </c>
      <c r="AG1953" t="n">
        <v>48</v>
      </c>
    </row>
    <row r="1954">
      <c r="A1954" t="s">
        <v>12746</v>
      </c>
      <c r="B1954" t="s">
        <v>28</v>
      </c>
      <c r="C1954" t="s">
        <v>65</v>
      </c>
      <c r="D1954" t="s">
        <v>12747</v>
      </c>
      <c r="E1954" t="s">
        <v>79</v>
      </c>
      <c r="F1954" t="s">
        <v>68</v>
      </c>
      <c r="G1954" t="s">
        <v>80</v>
      </c>
      <c r="H1954" t="n">
        <v>39.818249</v>
      </c>
      <c r="I1954" t="n">
        <v>-105.025087</v>
      </c>
      <c r="J1954" t="s">
        <v>35</v>
      </c>
      <c r="K1954" t="s">
        <v>70</v>
      </c>
      <c r="L1954"/>
      <c r="M1954" t="n">
        <v>1973</v>
      </c>
      <c r="N1954" t="n">
        <v>1992</v>
      </c>
      <c r="O1954" t="s">
        <v>1016</v>
      </c>
      <c r="P1954" t="n">
        <v>5</v>
      </c>
      <c r="Q1954" t="n">
        <v>2</v>
      </c>
      <c r="R1954" t="n">
        <v>1</v>
      </c>
      <c r="S1954" t="n">
        <v>1939</v>
      </c>
      <c r="T1954" t="s">
        <v>12748</v>
      </c>
      <c r="U1954" t="s">
        <v>12749</v>
      </c>
      <c r="V1954" t="s">
        <v>74</v>
      </c>
      <c r="W1954"/>
      <c r="X1954"/>
      <c r="Y1954" t="s">
        <v>12750</v>
      </c>
      <c r="Z1954"/>
      <c r="AA1954"/>
      <c r="AB1954"/>
      <c r="AC1954"/>
      <c r="AD1954"/>
      <c r="AE1954"/>
      <c r="AF1954" t="s">
        <v>12751</v>
      </c>
      <c r="AG1954" t="n">
        <v>15</v>
      </c>
    </row>
    <row r="1955">
      <c r="A1955" t="s">
        <v>12752</v>
      </c>
      <c r="B1955" t="s">
        <v>28</v>
      </c>
      <c r="C1955" t="s">
        <v>65</v>
      </c>
      <c r="D1955" t="s">
        <v>12753</v>
      </c>
      <c r="E1955" t="s">
        <v>79</v>
      </c>
      <c r="F1955" t="s">
        <v>68</v>
      </c>
      <c r="G1955" t="s">
        <v>80</v>
      </c>
      <c r="H1955" t="n">
        <v>39.814635</v>
      </c>
      <c r="I1955" t="n">
        <v>-105.025335</v>
      </c>
      <c r="J1955" t="s">
        <v>35</v>
      </c>
      <c r="K1955" t="s">
        <v>220</v>
      </c>
      <c r="L1955"/>
      <c r="M1955" t="n">
        <v>1973</v>
      </c>
      <c r="N1955" t="n">
        <v>1988</v>
      </c>
      <c r="O1955" t="s">
        <v>12754</v>
      </c>
      <c r="P1955" t="n">
        <v>5</v>
      </c>
      <c r="Q1955" t="n">
        <v>3</v>
      </c>
      <c r="R1955" t="n">
        <v>3</v>
      </c>
      <c r="S1955" t="n">
        <v>1971</v>
      </c>
      <c r="T1955" t="s">
        <v>12755</v>
      </c>
      <c r="U1955" t="s">
        <v>12756</v>
      </c>
      <c r="V1955" t="s">
        <v>74</v>
      </c>
      <c r="W1955"/>
      <c r="X1955"/>
      <c r="Y1955" t="s">
        <v>12757</v>
      </c>
      <c r="Z1955"/>
      <c r="AA1955" t="s">
        <v>12758</v>
      </c>
      <c r="AB1955"/>
      <c r="AC1955"/>
      <c r="AD1955"/>
      <c r="AE1955"/>
      <c r="AF1955" t="s">
        <v>12759</v>
      </c>
      <c r="AG1955" t="n">
        <v>5</v>
      </c>
    </row>
    <row r="1956">
      <c r="A1956" t="s">
        <v>12760</v>
      </c>
      <c r="B1956" t="s">
        <v>28</v>
      </c>
      <c r="C1956" t="s">
        <v>24</v>
      </c>
      <c r="D1956" t="s">
        <v>12761</v>
      </c>
      <c r="E1956" t="s">
        <v>79</v>
      </c>
      <c r="F1956" t="s">
        <v>68</v>
      </c>
      <c r="G1956" t="s">
        <v>80</v>
      </c>
      <c r="H1956" t="n">
        <v>39.8127436812931</v>
      </c>
      <c r="I1956" t="n">
        <v>-104.989362833569</v>
      </c>
      <c r="J1956" t="s">
        <v>4109</v>
      </c>
      <c r="K1956" t="s">
        <v>70</v>
      </c>
      <c r="L1956"/>
      <c r="M1956" t="n">
        <v>1973</v>
      </c>
      <c r="N1956" t="n">
        <v>1983</v>
      </c>
      <c r="O1956" t="s">
        <v>8350</v>
      </c>
      <c r="P1956" t="n">
        <v>4</v>
      </c>
      <c r="Q1956" t="n">
        <v>2</v>
      </c>
      <c r="R1956" t="n">
        <v>2</v>
      </c>
      <c r="S1956" t="n">
        <v>1968</v>
      </c>
      <c r="T1956" t="s">
        <v>12762</v>
      </c>
      <c r="U1956" t="s">
        <v>12763</v>
      </c>
      <c r="V1956" t="s">
        <v>74</v>
      </c>
      <c r="W1956"/>
      <c r="X1956"/>
      <c r="Y1956" t="s">
        <v>12764</v>
      </c>
      <c r="Z1956"/>
      <c r="AA1956" t="s">
        <v>12765</v>
      </c>
      <c r="AB1956"/>
      <c r="AC1956"/>
      <c r="AD1956"/>
      <c r="AE1956"/>
      <c r="AF1956" t="s">
        <v>12766</v>
      </c>
      <c r="AG1956" t="n">
        <v>62</v>
      </c>
    </row>
    <row r="1957">
      <c r="A1957" t="s">
        <v>12767</v>
      </c>
      <c r="B1957" t="s">
        <v>28</v>
      </c>
      <c r="C1957" t="s">
        <v>65</v>
      </c>
      <c r="D1957" t="s">
        <v>12768</v>
      </c>
      <c r="E1957" t="s">
        <v>253</v>
      </c>
      <c r="F1957" t="s">
        <v>68</v>
      </c>
      <c r="G1957" t="s">
        <v>254</v>
      </c>
      <c r="H1957" t="n">
        <v>39.8852450612245</v>
      </c>
      <c r="I1957" t="n">
        <v>-104.879910102041</v>
      </c>
      <c r="J1957" t="s">
        <v>35</v>
      </c>
      <c r="K1957" t="s">
        <v>1786</v>
      </c>
      <c r="L1957"/>
      <c r="M1957" t="n">
        <v>1973</v>
      </c>
      <c r="N1957" t="n">
        <v>1988</v>
      </c>
      <c r="O1957" t="s">
        <v>12754</v>
      </c>
      <c r="P1957" t="n">
        <v>5</v>
      </c>
      <c r="Q1957" t="n">
        <v>4</v>
      </c>
      <c r="R1957" t="n">
        <v>3</v>
      </c>
      <c r="S1957" t="n">
        <v>1946</v>
      </c>
      <c r="T1957" t="s">
        <v>12769</v>
      </c>
      <c r="U1957" t="s">
        <v>12770</v>
      </c>
      <c r="V1957" t="s">
        <v>74</v>
      </c>
      <c r="W1957"/>
      <c r="X1957"/>
      <c r="Y1957" t="s">
        <v>12771</v>
      </c>
      <c r="Z1957"/>
      <c r="AA1957" t="s">
        <v>12772</v>
      </c>
      <c r="AB1957"/>
      <c r="AC1957"/>
      <c r="AD1957"/>
      <c r="AE1957"/>
      <c r="AF1957" t="s">
        <v>12773</v>
      </c>
      <c r="AG1957" t="n">
        <v>38</v>
      </c>
    </row>
    <row r="1958">
      <c r="A1958" t="s">
        <v>12774</v>
      </c>
      <c r="B1958" t="s">
        <v>28</v>
      </c>
      <c r="C1958" t="s">
        <v>65</v>
      </c>
      <c r="D1958" t="s">
        <v>12775</v>
      </c>
      <c r="E1958" t="s">
        <v>177</v>
      </c>
      <c r="F1958" t="s">
        <v>68</v>
      </c>
      <c r="G1958" t="s">
        <v>178</v>
      </c>
      <c r="H1958" t="n">
        <v>39.8227782066288</v>
      </c>
      <c r="I1958" t="n">
        <v>-105.034918048672</v>
      </c>
      <c r="J1958" t="s">
        <v>35</v>
      </c>
      <c r="K1958" t="s">
        <v>234</v>
      </c>
      <c r="L1958"/>
      <c r="M1958" t="n">
        <v>1973</v>
      </c>
      <c r="N1958" t="n">
        <v>1992</v>
      </c>
      <c r="O1958" t="s">
        <v>12776</v>
      </c>
      <c r="P1958" t="n">
        <v>5</v>
      </c>
      <c r="Q1958" t="n">
        <v>3</v>
      </c>
      <c r="R1958" t="n">
        <v>2</v>
      </c>
      <c r="S1958" t="n">
        <v>1967</v>
      </c>
      <c r="T1958" t="s">
        <v>12777</v>
      </c>
      <c r="U1958" t="s">
        <v>12778</v>
      </c>
      <c r="V1958" t="s">
        <v>74</v>
      </c>
      <c r="W1958"/>
      <c r="X1958"/>
      <c r="Y1958" t="s">
        <v>12779</v>
      </c>
      <c r="Z1958"/>
      <c r="AA1958"/>
      <c r="AB1958" t="s">
        <v>85</v>
      </c>
      <c r="AC1958" t="n">
        <v>247</v>
      </c>
      <c r="AD1958"/>
      <c r="AE1958"/>
      <c r="AF1958" t="s">
        <v>86</v>
      </c>
      <c r="AG1958" t="n">
        <v>44</v>
      </c>
    </row>
    <row r="1959">
      <c r="A1959" t="s">
        <v>12780</v>
      </c>
      <c r="B1959" t="s">
        <v>28</v>
      </c>
      <c r="C1959" t="s">
        <v>65</v>
      </c>
      <c r="D1959" t="s">
        <v>12781</v>
      </c>
      <c r="E1959" t="s">
        <v>118</v>
      </c>
      <c r="F1959" t="s">
        <v>68</v>
      </c>
      <c r="G1959" t="s">
        <v>119</v>
      </c>
      <c r="H1959" t="n">
        <v>39.9914591818182</v>
      </c>
      <c r="I1959" t="n">
        <v>-104.820020454545</v>
      </c>
      <c r="J1959" t="s">
        <v>35</v>
      </c>
      <c r="K1959" t="s">
        <v>70</v>
      </c>
      <c r="L1959"/>
      <c r="M1959" t="n">
        <v>1974</v>
      </c>
      <c r="N1959" t="n">
        <v>1974</v>
      </c>
      <c r="O1959" t="s">
        <v>210</v>
      </c>
      <c r="P1959" t="n">
        <v>1</v>
      </c>
      <c r="Q1959" t="n">
        <v>1</v>
      </c>
      <c r="R1959" t="n">
        <v>1</v>
      </c>
      <c r="S1959" t="n">
        <v>1973</v>
      </c>
      <c r="T1959" t="s">
        <v>12782</v>
      </c>
      <c r="U1959" t="s">
        <v>12783</v>
      </c>
      <c r="V1959" t="s">
        <v>74</v>
      </c>
      <c r="W1959"/>
      <c r="X1959"/>
      <c r="Y1959" t="s">
        <v>12784</v>
      </c>
      <c r="Z1959"/>
      <c r="AA1959"/>
      <c r="AB1959" t="s">
        <v>354</v>
      </c>
      <c r="AC1959" t="n">
        <v>121</v>
      </c>
      <c r="AD1959"/>
      <c r="AE1959"/>
      <c r="AF1959" t="s">
        <v>12785</v>
      </c>
      <c r="AG1959" t="n">
        <v>21</v>
      </c>
    </row>
    <row r="1960">
      <c r="A1960" t="s">
        <v>12786</v>
      </c>
      <c r="B1960" t="s">
        <v>28</v>
      </c>
      <c r="C1960" t="s">
        <v>65</v>
      </c>
      <c r="D1960" t="s">
        <v>12787</v>
      </c>
      <c r="E1960" t="s">
        <v>67</v>
      </c>
      <c r="F1960" t="s">
        <v>68</v>
      </c>
      <c r="G1960" t="s">
        <v>69</v>
      </c>
      <c r="H1960" t="n">
        <v>39.81041</v>
      </c>
      <c r="I1960" t="n">
        <v>-104.93221</v>
      </c>
      <c r="J1960" t="s">
        <v>35</v>
      </c>
      <c r="K1960" t="s">
        <v>70</v>
      </c>
      <c r="L1960"/>
      <c r="M1960" t="n">
        <v>1974</v>
      </c>
      <c r="N1960" t="n">
        <v>1990</v>
      </c>
      <c r="O1960" t="s">
        <v>1830</v>
      </c>
      <c r="P1960" t="n">
        <v>4</v>
      </c>
      <c r="Q1960" t="n">
        <v>1</v>
      </c>
      <c r="R1960" t="n">
        <v>1</v>
      </c>
      <c r="S1960" t="n">
        <v>1968</v>
      </c>
      <c r="T1960" t="s">
        <v>12788</v>
      </c>
      <c r="U1960" t="s">
        <v>12789</v>
      </c>
      <c r="V1960" t="s">
        <v>74</v>
      </c>
      <c r="W1960"/>
      <c r="X1960"/>
      <c r="Y1960" t="s">
        <v>12790</v>
      </c>
      <c r="Z1960"/>
      <c r="AA1960"/>
      <c r="AB1960" t="s">
        <v>12791</v>
      </c>
      <c r="AC1960" t="n">
        <v>127</v>
      </c>
      <c r="AD1960" t="s">
        <v>5150</v>
      </c>
      <c r="AE1960" t="n">
        <v>206</v>
      </c>
      <c r="AF1960" t="s">
        <v>12792</v>
      </c>
      <c r="AG1960" t="n">
        <v>67</v>
      </c>
    </row>
    <row r="1961">
      <c r="A1961" t="s">
        <v>12793</v>
      </c>
      <c r="B1961" t="s">
        <v>28</v>
      </c>
      <c r="C1961" t="s">
        <v>24</v>
      </c>
      <c r="D1961" t="s">
        <v>12794</v>
      </c>
      <c r="E1961" t="s">
        <v>177</v>
      </c>
      <c r="F1961" t="s">
        <v>68</v>
      </c>
      <c r="G1961" t="s">
        <v>178</v>
      </c>
      <c r="H1961" t="n">
        <v>39.824234</v>
      </c>
      <c r="I1961" t="n">
        <v>-105.027976</v>
      </c>
      <c r="J1961" t="s">
        <v>4109</v>
      </c>
      <c r="K1961" t="s">
        <v>133</v>
      </c>
      <c r="L1961"/>
      <c r="M1961" t="n">
        <v>1974</v>
      </c>
      <c r="N1961" t="n">
        <v>1974</v>
      </c>
      <c r="O1961" t="s">
        <v>210</v>
      </c>
      <c r="P1961" t="n">
        <v>1</v>
      </c>
      <c r="Q1961" t="n">
        <v>1</v>
      </c>
      <c r="R1961" t="n">
        <v>1</v>
      </c>
      <c r="S1961" t="n">
        <v>1971</v>
      </c>
      <c r="T1961" t="s">
        <v>12795</v>
      </c>
      <c r="U1961" t="s">
        <v>12796</v>
      </c>
      <c r="V1961" t="s">
        <v>74</v>
      </c>
      <c r="W1961"/>
      <c r="X1961"/>
      <c r="Y1961" t="s">
        <v>12797</v>
      </c>
      <c r="Z1961"/>
      <c r="AA1961" t="s">
        <v>12798</v>
      </c>
      <c r="AB1961"/>
      <c r="AC1961"/>
      <c r="AD1961"/>
      <c r="AE1961"/>
      <c r="AF1961" t="s">
        <v>12799</v>
      </c>
      <c r="AG1961" t="n">
        <v>54</v>
      </c>
    </row>
    <row r="1962">
      <c r="A1962" t="s">
        <v>12800</v>
      </c>
      <c r="B1962" t="s">
        <v>28</v>
      </c>
      <c r="C1962" t="s">
        <v>24</v>
      </c>
      <c r="D1962" t="s">
        <v>12801</v>
      </c>
      <c r="E1962" t="s">
        <v>177</v>
      </c>
      <c r="F1962" t="s">
        <v>68</v>
      </c>
      <c r="G1962" t="s">
        <v>178</v>
      </c>
      <c r="H1962" t="n">
        <v>39.788068027027</v>
      </c>
      <c r="I1962" t="n">
        <v>-105.130874945946</v>
      </c>
      <c r="J1962" t="s">
        <v>4109</v>
      </c>
      <c r="K1962" t="s">
        <v>120</v>
      </c>
      <c r="L1962"/>
      <c r="M1962" t="n">
        <v>1974</v>
      </c>
      <c r="N1962" t="n">
        <v>1974</v>
      </c>
      <c r="O1962" t="s">
        <v>210</v>
      </c>
      <c r="P1962" t="n">
        <v>1</v>
      </c>
      <c r="Q1962" t="n">
        <v>1</v>
      </c>
      <c r="R1962" t="n">
        <v>1</v>
      </c>
      <c r="S1962" t="n">
        <v>1972</v>
      </c>
      <c r="T1962" t="s">
        <v>12802</v>
      </c>
      <c r="U1962" t="s">
        <v>12803</v>
      </c>
      <c r="V1962" t="s">
        <v>74</v>
      </c>
      <c r="W1962"/>
      <c r="X1962"/>
      <c r="Y1962" t="s">
        <v>12804</v>
      </c>
      <c r="Z1962"/>
      <c r="AA1962" t="s">
        <v>12805</v>
      </c>
      <c r="AB1962"/>
      <c r="AC1962"/>
      <c r="AD1962"/>
      <c r="AE1962"/>
      <c r="AF1962" t="s">
        <v>12806</v>
      </c>
      <c r="AG1962" t="n">
        <v>9</v>
      </c>
    </row>
    <row r="1963">
      <c r="A1963" t="s">
        <v>12807</v>
      </c>
      <c r="B1963" t="s">
        <v>28</v>
      </c>
      <c r="C1963" t="s">
        <v>65</v>
      </c>
      <c r="D1963" t="s">
        <v>12808</v>
      </c>
      <c r="E1963" t="s">
        <v>177</v>
      </c>
      <c r="F1963" t="s">
        <v>68</v>
      </c>
      <c r="G1963" t="s">
        <v>178</v>
      </c>
      <c r="H1963" t="n">
        <v>39.8246406255811</v>
      </c>
      <c r="I1963" t="n">
        <v>-105.029955198705</v>
      </c>
      <c r="J1963" t="s">
        <v>35</v>
      </c>
      <c r="K1963" t="s">
        <v>1639</v>
      </c>
      <c r="L1963"/>
      <c r="M1963" t="n">
        <v>1974</v>
      </c>
      <c r="N1963" t="n">
        <v>1990</v>
      </c>
      <c r="O1963" t="s">
        <v>582</v>
      </c>
      <c r="P1963" t="n">
        <v>4</v>
      </c>
      <c r="Q1963" t="n">
        <v>11</v>
      </c>
      <c r="R1963" t="n">
        <v>3</v>
      </c>
      <c r="S1963" t="n">
        <v>1952</v>
      </c>
      <c r="T1963" t="s">
        <v>12809</v>
      </c>
      <c r="U1963" t="s">
        <v>12810</v>
      </c>
      <c r="V1963" t="s">
        <v>74</v>
      </c>
      <c r="W1963"/>
      <c r="X1963"/>
      <c r="Y1963" t="s">
        <v>12811</v>
      </c>
      <c r="Z1963"/>
      <c r="AA1963" t="s">
        <v>12812</v>
      </c>
      <c r="AB1963" t="s">
        <v>12813</v>
      </c>
      <c r="AC1963" t="n">
        <v>220</v>
      </c>
      <c r="AD1963"/>
      <c r="AE1963"/>
      <c r="AF1963" t="s">
        <v>12814</v>
      </c>
      <c r="AG1963" t="n">
        <v>9</v>
      </c>
    </row>
    <row r="1964">
      <c r="A1964" t="s">
        <v>12815</v>
      </c>
      <c r="B1964" t="s">
        <v>28</v>
      </c>
      <c r="C1964" t="s">
        <v>65</v>
      </c>
      <c r="D1964" t="s">
        <v>12816</v>
      </c>
      <c r="E1964" t="s">
        <v>67</v>
      </c>
      <c r="F1964" t="s">
        <v>68</v>
      </c>
      <c r="G1964" t="s">
        <v>69</v>
      </c>
      <c r="H1964" t="n">
        <v>39.798258</v>
      </c>
      <c r="I1964" t="n">
        <v>-104.946867</v>
      </c>
      <c r="J1964" t="s">
        <v>35</v>
      </c>
      <c r="K1964" t="s">
        <v>70</v>
      </c>
      <c r="L1964"/>
      <c r="M1964" t="n">
        <v>1977</v>
      </c>
      <c r="N1964" t="n">
        <v>1992</v>
      </c>
      <c r="O1964" t="s">
        <v>829</v>
      </c>
      <c r="P1964" t="n">
        <v>4</v>
      </c>
      <c r="Q1964" t="n">
        <v>1</v>
      </c>
      <c r="R1964" t="n">
        <v>1</v>
      </c>
      <c r="S1964" t="n">
        <v>1972</v>
      </c>
      <c r="T1964" t="s">
        <v>12817</v>
      </c>
      <c r="U1964" t="s">
        <v>12818</v>
      </c>
      <c r="V1964" t="s">
        <v>74</v>
      </c>
      <c r="W1964"/>
      <c r="X1964"/>
      <c r="Y1964" t="s">
        <v>12819</v>
      </c>
      <c r="Z1964"/>
      <c r="AA1964" t="s">
        <v>12820</v>
      </c>
      <c r="AB1964" t="s">
        <v>12821</v>
      </c>
      <c r="AC1964" t="n">
        <v>170</v>
      </c>
      <c r="AD1964" t="s">
        <v>12822</v>
      </c>
      <c r="AE1964" t="n">
        <v>224</v>
      </c>
      <c r="AF1964" t="s">
        <v>12823</v>
      </c>
      <c r="AG1964" t="n">
        <v>6</v>
      </c>
    </row>
    <row r="1965">
      <c r="A1965" t="s">
        <v>12824</v>
      </c>
      <c r="B1965" t="s">
        <v>28</v>
      </c>
      <c r="C1965" t="s">
        <v>65</v>
      </c>
      <c r="D1965" t="s">
        <v>12825</v>
      </c>
      <c r="E1965" t="s">
        <v>67</v>
      </c>
      <c r="F1965" t="s">
        <v>68</v>
      </c>
      <c r="G1965" t="s">
        <v>69</v>
      </c>
      <c r="H1965" t="n">
        <v>39.7846545420207</v>
      </c>
      <c r="I1965" t="n">
        <v>-104.906900290971</v>
      </c>
      <c r="J1965" t="s">
        <v>35</v>
      </c>
      <c r="K1965" t="s">
        <v>70</v>
      </c>
      <c r="L1965"/>
      <c r="M1965" t="n">
        <v>1977</v>
      </c>
      <c r="N1965" t="n">
        <v>1990</v>
      </c>
      <c r="O1965" t="s">
        <v>228</v>
      </c>
      <c r="P1965" t="n">
        <v>4</v>
      </c>
      <c r="Q1965" t="n">
        <v>4</v>
      </c>
      <c r="R1965" t="n">
        <v>1</v>
      </c>
      <c r="S1965" t="n">
        <v>1974</v>
      </c>
      <c r="T1965" t="s">
        <v>12826</v>
      </c>
      <c r="U1965" t="s">
        <v>12827</v>
      </c>
      <c r="V1965" t="s">
        <v>74</v>
      </c>
      <c r="W1965"/>
      <c r="X1965"/>
      <c r="Y1965" t="s">
        <v>12828</v>
      </c>
      <c r="Z1965"/>
      <c r="AA1965"/>
      <c r="AB1965"/>
      <c r="AC1965"/>
      <c r="AD1965"/>
      <c r="AE1965"/>
      <c r="AF1965" t="s">
        <v>12829</v>
      </c>
      <c r="AG1965" t="n">
        <v>4</v>
      </c>
    </row>
    <row r="1966">
      <c r="A1966" t="s">
        <v>12830</v>
      </c>
      <c r="B1966" t="s">
        <v>28</v>
      </c>
      <c r="C1966" t="s">
        <v>65</v>
      </c>
      <c r="D1966" t="s">
        <v>12831</v>
      </c>
      <c r="E1966" t="s">
        <v>177</v>
      </c>
      <c r="F1966" t="s">
        <v>68</v>
      </c>
      <c r="G1966" t="s">
        <v>4127</v>
      </c>
      <c r="H1966" t="n">
        <v>39.8903481363568</v>
      </c>
      <c r="I1966" t="n">
        <v>-104.993260152837</v>
      </c>
      <c r="J1966" t="s">
        <v>35</v>
      </c>
      <c r="K1966" t="s">
        <v>282</v>
      </c>
      <c r="L1966"/>
      <c r="M1966" t="n">
        <v>1977</v>
      </c>
      <c r="N1966" t="n">
        <v>1990</v>
      </c>
      <c r="O1966" t="s">
        <v>293</v>
      </c>
      <c r="P1966" t="n">
        <v>4</v>
      </c>
      <c r="Q1966" t="n">
        <v>4</v>
      </c>
      <c r="R1966" t="n">
        <v>2</v>
      </c>
      <c r="S1966" t="n">
        <v>1975</v>
      </c>
      <c r="T1966" t="s">
        <v>12832</v>
      </c>
      <c r="U1966" t="s">
        <v>12833</v>
      </c>
      <c r="V1966" t="s">
        <v>74</v>
      </c>
      <c r="W1966"/>
      <c r="X1966"/>
      <c r="Y1966" t="s">
        <v>12834</v>
      </c>
      <c r="Z1966"/>
      <c r="AA1966"/>
      <c r="AB1966" t="s">
        <v>12835</v>
      </c>
      <c r="AC1966" t="n">
        <v>114</v>
      </c>
      <c r="AD1966"/>
      <c r="AE1966"/>
      <c r="AF1966" t="s">
        <v>12836</v>
      </c>
      <c r="AG1966" t="n">
        <v>21</v>
      </c>
    </row>
    <row r="1967">
      <c r="A1967" t="s">
        <v>12837</v>
      </c>
      <c r="B1967" t="s">
        <v>28</v>
      </c>
      <c r="C1967" t="s">
        <v>65</v>
      </c>
      <c r="D1967" t="s">
        <v>12838</v>
      </c>
      <c r="E1967" t="s">
        <v>177</v>
      </c>
      <c r="F1967" t="s">
        <v>68</v>
      </c>
      <c r="G1967" t="s">
        <v>178</v>
      </c>
      <c r="H1967" t="n">
        <v>39.8260746494067</v>
      </c>
      <c r="I1967" t="n">
        <v>-105.037735082619</v>
      </c>
      <c r="J1967" t="s">
        <v>35</v>
      </c>
      <c r="K1967" t="s">
        <v>141</v>
      </c>
      <c r="L1967"/>
      <c r="M1967" t="n">
        <v>1977</v>
      </c>
      <c r="N1967" t="n">
        <v>1992</v>
      </c>
      <c r="O1967" t="s">
        <v>6152</v>
      </c>
      <c r="P1967" t="n">
        <v>6</v>
      </c>
      <c r="Q1967" t="n">
        <v>9</v>
      </c>
      <c r="R1967" t="n">
        <v>5</v>
      </c>
      <c r="S1967" t="n">
        <v>1961</v>
      </c>
      <c r="T1967" t="s">
        <v>12839</v>
      </c>
      <c r="U1967" t="s">
        <v>12840</v>
      </c>
      <c r="V1967" t="s">
        <v>74</v>
      </c>
      <c r="W1967"/>
      <c r="X1967"/>
      <c r="Y1967" t="s">
        <v>12841</v>
      </c>
      <c r="Z1967"/>
      <c r="AA1967" t="s">
        <v>12842</v>
      </c>
      <c r="AB1967" t="s">
        <v>12843</v>
      </c>
      <c r="AC1967" t="n">
        <v>162</v>
      </c>
      <c r="AD1967"/>
      <c r="AE1967"/>
      <c r="AF1967" t="s">
        <v>198</v>
      </c>
      <c r="AG1967" t="n">
        <v>20</v>
      </c>
    </row>
    <row r="1968">
      <c r="A1968" t="s">
        <v>12844</v>
      </c>
      <c r="B1968" t="s">
        <v>28</v>
      </c>
      <c r="C1968" t="s">
        <v>24</v>
      </c>
      <c r="D1968" t="s">
        <v>12845</v>
      </c>
      <c r="E1968" t="s">
        <v>95</v>
      </c>
      <c r="F1968" t="s">
        <v>68</v>
      </c>
      <c r="G1968"/>
      <c r="H1968" t="n">
        <v>39.754149689381</v>
      </c>
      <c r="I1968" t="n">
        <v>-104.752506969903</v>
      </c>
      <c r="J1968" t="s">
        <v>4109</v>
      </c>
      <c r="K1968" t="s">
        <v>120</v>
      </c>
      <c r="L1968"/>
      <c r="M1968" t="n">
        <v>1980</v>
      </c>
      <c r="N1968" t="n">
        <v>1980</v>
      </c>
      <c r="O1968" t="s">
        <v>255</v>
      </c>
      <c r="P1968" t="n">
        <v>1</v>
      </c>
      <c r="Q1968" t="n">
        <v>1</v>
      </c>
      <c r="R1968" t="n">
        <v>1</v>
      </c>
      <c r="S1968" t="n">
        <v>1978</v>
      </c>
      <c r="T1968" t="s">
        <v>12846</v>
      </c>
      <c r="U1968" t="s">
        <v>12847</v>
      </c>
      <c r="V1968" t="s">
        <v>74</v>
      </c>
      <c r="W1968"/>
      <c r="X1968"/>
      <c r="Y1968" t="s">
        <v>12848</v>
      </c>
      <c r="Z1968"/>
      <c r="AA1968" t="s">
        <v>12849</v>
      </c>
      <c r="AB1968"/>
      <c r="AC1968"/>
      <c r="AD1968"/>
      <c r="AE1968"/>
      <c r="AF1968" t="s">
        <v>12850</v>
      </c>
      <c r="AG1968" t="n">
        <v>125</v>
      </c>
    </row>
    <row r="1969">
      <c r="A1969" t="s">
        <v>12851</v>
      </c>
      <c r="B1969" t="s">
        <v>28</v>
      </c>
      <c r="C1969" t="s">
        <v>65</v>
      </c>
      <c r="D1969" t="s">
        <v>12852</v>
      </c>
      <c r="E1969" t="s">
        <v>95</v>
      </c>
      <c r="F1969" t="s">
        <v>68</v>
      </c>
      <c r="G1969" t="s">
        <v>96</v>
      </c>
      <c r="H1969" t="n">
        <v>39.7662064969374</v>
      </c>
      <c r="I1969" t="n">
        <v>-104.81837458086</v>
      </c>
      <c r="J1969" t="s">
        <v>35</v>
      </c>
      <c r="K1969" t="s">
        <v>70</v>
      </c>
      <c r="L1969"/>
      <c r="M1969" t="n">
        <v>1980</v>
      </c>
      <c r="N1969" t="n">
        <v>1983</v>
      </c>
      <c r="O1969" t="s">
        <v>255</v>
      </c>
      <c r="P1969" t="n">
        <v>2</v>
      </c>
      <c r="Q1969" t="n">
        <v>2</v>
      </c>
      <c r="R1969" t="n">
        <v>1</v>
      </c>
      <c r="S1969" t="n">
        <v>1981</v>
      </c>
      <c r="T1969" t="s">
        <v>12853</v>
      </c>
      <c r="U1969" t="s">
        <v>12854</v>
      </c>
      <c r="V1969" t="s">
        <v>74</v>
      </c>
      <c r="W1969"/>
      <c r="X1969"/>
      <c r="Y1969" t="s">
        <v>12855</v>
      </c>
      <c r="Z1969"/>
      <c r="AA1969"/>
      <c r="AB1969"/>
      <c r="AC1969"/>
      <c r="AD1969"/>
      <c r="AE1969"/>
      <c r="AF1969" t="s">
        <v>12856</v>
      </c>
      <c r="AG1969" t="n">
        <v>3</v>
      </c>
    </row>
    <row r="1970">
      <c r="A1970" t="s">
        <v>12857</v>
      </c>
      <c r="B1970" t="s">
        <v>28</v>
      </c>
      <c r="C1970" t="s">
        <v>65</v>
      </c>
      <c r="D1970" t="s">
        <v>12858</v>
      </c>
      <c r="E1970" t="s">
        <v>67</v>
      </c>
      <c r="F1970" t="s">
        <v>68</v>
      </c>
      <c r="G1970" t="s">
        <v>69</v>
      </c>
      <c r="H1970" t="n">
        <v>39.8244287855994</v>
      </c>
      <c r="I1970" t="n">
        <v>-104.926032120963</v>
      </c>
      <c r="J1970" t="s">
        <v>35</v>
      </c>
      <c r="K1970" t="s">
        <v>126</v>
      </c>
      <c r="L1970"/>
      <c r="M1970" t="n">
        <v>1980</v>
      </c>
      <c r="N1970" t="n">
        <v>1990</v>
      </c>
      <c r="O1970" t="s">
        <v>582</v>
      </c>
      <c r="P1970" t="n">
        <v>3</v>
      </c>
      <c r="Q1970" t="n">
        <v>1</v>
      </c>
      <c r="R1970" t="n">
        <v>1</v>
      </c>
      <c r="S1970" t="n">
        <v>1977</v>
      </c>
      <c r="T1970" t="s">
        <v>12859</v>
      </c>
      <c r="U1970" t="s">
        <v>12860</v>
      </c>
      <c r="V1970" t="s">
        <v>74</v>
      </c>
      <c r="W1970"/>
      <c r="X1970"/>
      <c r="Y1970" t="s">
        <v>12861</v>
      </c>
      <c r="Z1970"/>
      <c r="AA1970"/>
      <c r="AB1970" t="s">
        <v>75</v>
      </c>
      <c r="AC1970" t="n">
        <v>129</v>
      </c>
      <c r="AD1970"/>
      <c r="AE1970"/>
      <c r="AF1970" t="s">
        <v>12862</v>
      </c>
      <c r="AG1970" t="n">
        <v>16</v>
      </c>
    </row>
    <row r="1971">
      <c r="A1971" t="s">
        <v>12863</v>
      </c>
      <c r="B1971" t="s">
        <v>28</v>
      </c>
      <c r="C1971" t="s">
        <v>65</v>
      </c>
      <c r="D1971" t="s">
        <v>12864</v>
      </c>
      <c r="E1971" t="s">
        <v>67</v>
      </c>
      <c r="F1971" t="s">
        <v>68</v>
      </c>
      <c r="G1971" t="s">
        <v>69</v>
      </c>
      <c r="H1971" t="n">
        <v>39.8147435268817</v>
      </c>
      <c r="I1971" t="n">
        <v>-104.935790956989</v>
      </c>
      <c r="J1971" t="s">
        <v>35</v>
      </c>
      <c r="K1971" t="s">
        <v>70</v>
      </c>
      <c r="L1971"/>
      <c r="M1971" t="n">
        <v>1980</v>
      </c>
      <c r="N1971" t="n">
        <v>1990</v>
      </c>
      <c r="O1971" t="s">
        <v>540</v>
      </c>
      <c r="P1971" t="n">
        <v>4</v>
      </c>
      <c r="Q1971" t="n">
        <v>1</v>
      </c>
      <c r="R1971" t="n">
        <v>1</v>
      </c>
      <c r="S1971" t="n">
        <v>1965</v>
      </c>
      <c r="T1971" t="s">
        <v>12865</v>
      </c>
      <c r="U1971" t="s">
        <v>12866</v>
      </c>
      <c r="V1971" t="s">
        <v>74</v>
      </c>
      <c r="W1971"/>
      <c r="X1971"/>
      <c r="Y1971" t="s">
        <v>12867</v>
      </c>
      <c r="Z1971"/>
      <c r="AA1971" t="s">
        <v>12868</v>
      </c>
      <c r="AB1971"/>
      <c r="AC1971"/>
      <c r="AD1971"/>
      <c r="AE1971"/>
      <c r="AF1971" t="s">
        <v>12869</v>
      </c>
      <c r="AG1971" t="n">
        <v>6</v>
      </c>
    </row>
    <row r="1972">
      <c r="A1972" t="s">
        <v>12870</v>
      </c>
      <c r="B1972" t="s">
        <v>28</v>
      </c>
      <c r="C1972" t="s">
        <v>24</v>
      </c>
      <c r="D1972" t="s">
        <v>12871</v>
      </c>
      <c r="E1972" t="s">
        <v>79</v>
      </c>
      <c r="F1972" t="s">
        <v>68</v>
      </c>
      <c r="G1972" t="s">
        <v>80</v>
      </c>
      <c r="H1972" t="n">
        <v>39.8607673748009</v>
      </c>
      <c r="I1972" t="n">
        <v>-105.023287139448</v>
      </c>
      <c r="J1972" t="s">
        <v>4109</v>
      </c>
      <c r="K1972" t="s">
        <v>133</v>
      </c>
      <c r="L1972"/>
      <c r="M1972" t="n">
        <v>1980</v>
      </c>
      <c r="N1972" t="n">
        <v>1980</v>
      </c>
      <c r="O1972" t="s">
        <v>255</v>
      </c>
      <c r="P1972" t="n">
        <v>1</v>
      </c>
      <c r="Q1972" t="n">
        <v>1</v>
      </c>
      <c r="R1972" t="n">
        <v>1</v>
      </c>
      <c r="S1972" t="n">
        <v>1974</v>
      </c>
      <c r="T1972" t="s">
        <v>12872</v>
      </c>
      <c r="U1972" t="s">
        <v>12873</v>
      </c>
      <c r="V1972" t="s">
        <v>74</v>
      </c>
      <c r="W1972"/>
      <c r="X1972"/>
      <c r="Y1972" t="s">
        <v>12874</v>
      </c>
      <c r="Z1972"/>
      <c r="AA1972" t="s">
        <v>12875</v>
      </c>
      <c r="AB1972"/>
      <c r="AC1972"/>
      <c r="AD1972"/>
      <c r="AE1972"/>
      <c r="AF1972" t="s">
        <v>12876</v>
      </c>
      <c r="AG1972" t="n">
        <v>147</v>
      </c>
    </row>
    <row r="1973">
      <c r="A1973" t="s">
        <v>12877</v>
      </c>
      <c r="B1973" t="s">
        <v>28</v>
      </c>
      <c r="C1973" t="s">
        <v>24</v>
      </c>
      <c r="D1973" t="s">
        <v>12878</v>
      </c>
      <c r="E1973" t="s">
        <v>170</v>
      </c>
      <c r="F1973" t="s">
        <v>68</v>
      </c>
      <c r="G1973" t="s">
        <v>171</v>
      </c>
      <c r="H1973" t="n">
        <v>39.9135976709961</v>
      </c>
      <c r="I1973" t="n">
        <v>-104.977794331613</v>
      </c>
      <c r="J1973" t="s">
        <v>4109</v>
      </c>
      <c r="K1973" t="s">
        <v>70</v>
      </c>
      <c r="L1973"/>
      <c r="M1973" t="n">
        <v>1980</v>
      </c>
      <c r="N1973" t="n">
        <v>1990</v>
      </c>
      <c r="O1973" t="s">
        <v>255</v>
      </c>
      <c r="P1973" t="n">
        <v>4</v>
      </c>
      <c r="Q1973" t="n">
        <v>3</v>
      </c>
      <c r="R1973" t="n">
        <v>1</v>
      </c>
      <c r="S1973" t="n">
        <v>1978</v>
      </c>
      <c r="T1973" t="s">
        <v>12879</v>
      </c>
      <c r="U1973" t="s">
        <v>12880</v>
      </c>
      <c r="V1973" t="s">
        <v>74</v>
      </c>
      <c r="W1973"/>
      <c r="X1973"/>
      <c r="Y1973" t="s">
        <v>12881</v>
      </c>
      <c r="Z1973"/>
      <c r="AA1973" t="s">
        <v>12882</v>
      </c>
      <c r="AB1973"/>
      <c r="AC1973"/>
      <c r="AD1973"/>
      <c r="AE1973"/>
      <c r="AF1973" t="s">
        <v>12883</v>
      </c>
      <c r="AG1973" t="n">
        <v>13</v>
      </c>
    </row>
    <row r="1974">
      <c r="A1974" t="s">
        <v>12884</v>
      </c>
      <c r="B1974" t="s">
        <v>28</v>
      </c>
      <c r="C1974" t="s">
        <v>24</v>
      </c>
      <c r="D1974" t="s">
        <v>12885</v>
      </c>
      <c r="E1974" t="s">
        <v>79</v>
      </c>
      <c r="F1974" t="s">
        <v>68</v>
      </c>
      <c r="G1974" t="s">
        <v>80</v>
      </c>
      <c r="H1974" t="n">
        <v>39.8617444666782</v>
      </c>
      <c r="I1974" t="n">
        <v>-104.996538331142</v>
      </c>
      <c r="J1974" t="s">
        <v>4109</v>
      </c>
      <c r="K1974" t="s">
        <v>70</v>
      </c>
      <c r="L1974"/>
      <c r="M1974" t="n">
        <v>1980</v>
      </c>
      <c r="N1974" t="n">
        <v>1992</v>
      </c>
      <c r="O1974" t="s">
        <v>357</v>
      </c>
      <c r="P1974" t="n">
        <v>4</v>
      </c>
      <c r="Q1974" t="n">
        <v>3</v>
      </c>
      <c r="R1974" t="n">
        <v>1</v>
      </c>
      <c r="S1974" t="n">
        <v>1976</v>
      </c>
      <c r="T1974" t="s">
        <v>12886</v>
      </c>
      <c r="U1974" t="s">
        <v>12887</v>
      </c>
      <c r="V1974" t="s">
        <v>74</v>
      </c>
      <c r="W1974"/>
      <c r="X1974"/>
      <c r="Y1974" t="s">
        <v>12888</v>
      </c>
      <c r="Z1974"/>
      <c r="AA1974" t="s">
        <v>12889</v>
      </c>
      <c r="AB1974"/>
      <c r="AC1974"/>
      <c r="AD1974"/>
      <c r="AE1974"/>
      <c r="AF1974" t="s">
        <v>12890</v>
      </c>
      <c r="AG1974" t="n">
        <v>225</v>
      </c>
    </row>
    <row r="1975">
      <c r="A1975" t="s">
        <v>12891</v>
      </c>
      <c r="B1975" t="s">
        <v>28</v>
      </c>
      <c r="C1975" t="s">
        <v>65</v>
      </c>
      <c r="D1975" t="s">
        <v>12892</v>
      </c>
      <c r="E1975" t="s">
        <v>170</v>
      </c>
      <c r="F1975" t="s">
        <v>68</v>
      </c>
      <c r="G1975" t="s">
        <v>171</v>
      </c>
      <c r="H1975" t="n">
        <v>39.891244444837</v>
      </c>
      <c r="I1975" t="n">
        <v>-104.964930551607</v>
      </c>
      <c r="J1975" t="s">
        <v>35</v>
      </c>
      <c r="K1975" t="s">
        <v>120</v>
      </c>
      <c r="L1975"/>
      <c r="M1975" t="n">
        <v>1980</v>
      </c>
      <c r="N1975" t="n">
        <v>1988</v>
      </c>
      <c r="O1975" t="s">
        <v>528</v>
      </c>
      <c r="P1975" t="n">
        <v>3</v>
      </c>
      <c r="Q1975" t="n">
        <v>4</v>
      </c>
      <c r="R1975" t="n">
        <v>1</v>
      </c>
      <c r="S1975" t="n">
        <v>1975</v>
      </c>
      <c r="T1975" t="s">
        <v>12893</v>
      </c>
      <c r="U1975" t="s">
        <v>12894</v>
      </c>
      <c r="V1975" t="s">
        <v>74</v>
      </c>
      <c r="W1975"/>
      <c r="X1975"/>
      <c r="Y1975" t="s">
        <v>12895</v>
      </c>
      <c r="Z1975"/>
      <c r="AA1975"/>
      <c r="AB1975"/>
      <c r="AC1975"/>
      <c r="AD1975"/>
      <c r="AE1975"/>
      <c r="AF1975" t="s">
        <v>12896</v>
      </c>
      <c r="AG1975" t="n">
        <v>11</v>
      </c>
    </row>
    <row r="1976">
      <c r="A1976" t="s">
        <v>12897</v>
      </c>
      <c r="B1976" t="s">
        <v>28</v>
      </c>
      <c r="C1976" t="s">
        <v>65</v>
      </c>
      <c r="D1976" t="s">
        <v>12898</v>
      </c>
      <c r="E1976" t="s">
        <v>177</v>
      </c>
      <c r="F1976" t="s">
        <v>68</v>
      </c>
      <c r="G1976" t="s">
        <v>178</v>
      </c>
      <c r="H1976" t="n">
        <v>39.8227506957694</v>
      </c>
      <c r="I1976" t="n">
        <v>-105.035988844657</v>
      </c>
      <c r="J1976" t="s">
        <v>35</v>
      </c>
      <c r="K1976" t="s">
        <v>141</v>
      </c>
      <c r="L1976"/>
      <c r="M1976" t="n">
        <v>1980</v>
      </c>
      <c r="N1976" t="n">
        <v>1990</v>
      </c>
      <c r="O1976" t="s">
        <v>540</v>
      </c>
      <c r="P1976" t="n">
        <v>4</v>
      </c>
      <c r="Q1976" t="n">
        <v>2</v>
      </c>
      <c r="R1976" t="n">
        <v>2</v>
      </c>
      <c r="S1976" t="n">
        <v>1979</v>
      </c>
      <c r="T1976" t="s">
        <v>12899</v>
      </c>
      <c r="U1976" t="s">
        <v>12900</v>
      </c>
      <c r="V1976" t="s">
        <v>74</v>
      </c>
      <c r="W1976"/>
      <c r="X1976"/>
      <c r="Y1976" t="s">
        <v>12901</v>
      </c>
      <c r="Z1976"/>
      <c r="AA1976"/>
      <c r="AB1976"/>
      <c r="AC1976"/>
      <c r="AD1976"/>
      <c r="AE1976"/>
      <c r="AF1976" t="s">
        <v>12902</v>
      </c>
      <c r="AG1976" t="n">
        <v>2</v>
      </c>
    </row>
    <row r="1977">
      <c r="A1977" t="s">
        <v>12903</v>
      </c>
      <c r="B1977" t="s">
        <v>28</v>
      </c>
      <c r="C1977" t="s">
        <v>65</v>
      </c>
      <c r="D1977" t="s">
        <v>12904</v>
      </c>
      <c r="E1977" t="s">
        <v>177</v>
      </c>
      <c r="F1977" t="s">
        <v>68</v>
      </c>
      <c r="G1977" t="s">
        <v>178</v>
      </c>
      <c r="H1977" t="n">
        <v>39.8241234362416</v>
      </c>
      <c r="I1977" t="n">
        <v>-105.041441879195</v>
      </c>
      <c r="J1977" t="s">
        <v>35</v>
      </c>
      <c r="K1977" t="s">
        <v>126</v>
      </c>
      <c r="L1977"/>
      <c r="M1977" t="n">
        <v>1980</v>
      </c>
      <c r="N1977" t="n">
        <v>1990</v>
      </c>
      <c r="O1977" t="s">
        <v>582</v>
      </c>
      <c r="P1977" t="n">
        <v>3</v>
      </c>
      <c r="Q1977" t="n">
        <v>3</v>
      </c>
      <c r="R1977" t="n">
        <v>3</v>
      </c>
      <c r="S1977" t="n">
        <v>1978</v>
      </c>
      <c r="T1977" t="s">
        <v>12905</v>
      </c>
      <c r="U1977" t="s">
        <v>12906</v>
      </c>
      <c r="V1977" t="s">
        <v>74</v>
      </c>
      <c r="W1977"/>
      <c r="X1977"/>
      <c r="Y1977" t="s">
        <v>12907</v>
      </c>
      <c r="Z1977"/>
      <c r="AA1977" t="s">
        <v>12908</v>
      </c>
      <c r="AB1977"/>
      <c r="AC1977"/>
      <c r="AD1977"/>
      <c r="AE1977"/>
      <c r="AF1977" t="s">
        <v>10687</v>
      </c>
      <c r="AG1977" t="n">
        <v>1</v>
      </c>
    </row>
    <row r="1978">
      <c r="A1978" t="s">
        <v>12909</v>
      </c>
      <c r="B1978" t="s">
        <v>28</v>
      </c>
      <c r="C1978" t="s">
        <v>24</v>
      </c>
      <c r="D1978" t="s">
        <v>12910</v>
      </c>
      <c r="E1978" t="s">
        <v>95</v>
      </c>
      <c r="F1978" t="s">
        <v>68</v>
      </c>
      <c r="G1978" t="s">
        <v>96</v>
      </c>
      <c r="H1978" t="n">
        <v>39.726215</v>
      </c>
      <c r="I1978" t="n">
        <v>-104.792334</v>
      </c>
      <c r="J1978" t="s">
        <v>4109</v>
      </c>
      <c r="K1978" t="s">
        <v>315</v>
      </c>
      <c r="L1978"/>
      <c r="M1978" t="n">
        <v>1980</v>
      </c>
      <c r="N1978" t="n">
        <v>1983</v>
      </c>
      <c r="O1978" t="s">
        <v>255</v>
      </c>
      <c r="P1978" t="n">
        <v>2</v>
      </c>
      <c r="Q1978" t="n">
        <v>2</v>
      </c>
      <c r="R1978" t="n">
        <v>1</v>
      </c>
      <c r="S1978" t="n">
        <v>1964</v>
      </c>
      <c r="T1978" t="s">
        <v>12911</v>
      </c>
      <c r="U1978" t="s">
        <v>12912</v>
      </c>
      <c r="V1978" t="s">
        <v>74</v>
      </c>
      <c r="W1978"/>
      <c r="X1978"/>
      <c r="Y1978" t="s">
        <v>12913</v>
      </c>
      <c r="Z1978"/>
      <c r="AA1978" t="s">
        <v>12914</v>
      </c>
      <c r="AB1978"/>
      <c r="AC1978"/>
      <c r="AD1978"/>
      <c r="AE1978"/>
      <c r="AF1978" t="s">
        <v>12915</v>
      </c>
      <c r="AG1978" t="n">
        <v>91</v>
      </c>
    </row>
    <row r="1979">
      <c r="A1979" t="s">
        <v>12916</v>
      </c>
      <c r="B1979" t="s">
        <v>28</v>
      </c>
      <c r="C1979" t="s">
        <v>65</v>
      </c>
      <c r="D1979" t="s">
        <v>12917</v>
      </c>
      <c r="E1979" t="s">
        <v>95</v>
      </c>
      <c r="F1979" t="s">
        <v>68</v>
      </c>
      <c r="G1979" t="s">
        <v>96</v>
      </c>
      <c r="H1979" t="n">
        <v>39.7276622550336</v>
      </c>
      <c r="I1979" t="n">
        <v>-104.77887690604</v>
      </c>
      <c r="J1979" t="s">
        <v>35</v>
      </c>
      <c r="K1979" t="s">
        <v>89</v>
      </c>
      <c r="L1979"/>
      <c r="M1979" t="n">
        <v>1980</v>
      </c>
      <c r="N1979" t="n">
        <v>1992</v>
      </c>
      <c r="O1979" t="s">
        <v>293</v>
      </c>
      <c r="P1979" t="n">
        <v>4</v>
      </c>
      <c r="Q1979" t="n">
        <v>2</v>
      </c>
      <c r="R1979" t="n">
        <v>1</v>
      </c>
      <c r="S1979" t="n">
        <v>1968</v>
      </c>
      <c r="T1979" t="s">
        <v>12918</v>
      </c>
      <c r="U1979" t="s">
        <v>12919</v>
      </c>
      <c r="V1979" t="s">
        <v>74</v>
      </c>
      <c r="W1979"/>
      <c r="X1979"/>
      <c r="Y1979" t="s">
        <v>12920</v>
      </c>
      <c r="Z1979"/>
      <c r="AA1979" t="s">
        <v>12921</v>
      </c>
      <c r="AB1979"/>
      <c r="AC1979"/>
      <c r="AD1979"/>
      <c r="AE1979"/>
      <c r="AF1979" t="s">
        <v>12922</v>
      </c>
      <c r="AG1979" t="n">
        <v>36</v>
      </c>
    </row>
    <row r="1980">
      <c r="A1980" t="s">
        <v>12923</v>
      </c>
      <c r="B1980" t="s">
        <v>28</v>
      </c>
      <c r="C1980" t="s">
        <v>24</v>
      </c>
      <c r="D1980" t="s">
        <v>12924</v>
      </c>
      <c r="E1980" t="s">
        <v>95</v>
      </c>
      <c r="F1980" t="s">
        <v>68</v>
      </c>
      <c r="G1980" t="s">
        <v>96</v>
      </c>
      <c r="H1980" t="n">
        <v>39.7629570870142</v>
      </c>
      <c r="I1980" t="n">
        <v>-104.825823609111</v>
      </c>
      <c r="J1980" t="s">
        <v>4109</v>
      </c>
      <c r="K1980" t="s">
        <v>70</v>
      </c>
      <c r="L1980"/>
      <c r="M1980" t="n">
        <v>1983</v>
      </c>
      <c r="N1980" t="n">
        <v>1983</v>
      </c>
      <c r="O1980" t="s">
        <v>264</v>
      </c>
      <c r="P1980" t="n">
        <v>1</v>
      </c>
      <c r="Q1980" t="n">
        <v>1</v>
      </c>
      <c r="R1980" t="n">
        <v>1</v>
      </c>
      <c r="S1980" t="n">
        <v>1982</v>
      </c>
      <c r="T1980" t="s">
        <v>12925</v>
      </c>
      <c r="U1980" t="s">
        <v>12926</v>
      </c>
      <c r="V1980" t="s">
        <v>74</v>
      </c>
      <c r="W1980"/>
      <c r="X1980"/>
      <c r="Y1980" t="s">
        <v>12927</v>
      </c>
      <c r="Z1980"/>
      <c r="AA1980" t="s">
        <v>12928</v>
      </c>
      <c r="AB1980"/>
      <c r="AC1980"/>
      <c r="AD1980"/>
      <c r="AE1980"/>
      <c r="AF1980" t="s">
        <v>12929</v>
      </c>
      <c r="AG1980" t="n">
        <v>95</v>
      </c>
    </row>
    <row r="1981">
      <c r="A1981" t="s">
        <v>12930</v>
      </c>
      <c r="B1981" t="s">
        <v>28</v>
      </c>
      <c r="C1981" t="s">
        <v>65</v>
      </c>
      <c r="D1981" t="s">
        <v>12931</v>
      </c>
      <c r="E1981" t="s">
        <v>95</v>
      </c>
      <c r="F1981" t="s">
        <v>68</v>
      </c>
      <c r="G1981" t="s">
        <v>96</v>
      </c>
      <c r="H1981" t="n">
        <v>39.743728114094</v>
      </c>
      <c r="I1981" t="n">
        <v>-104.80624604698</v>
      </c>
      <c r="J1981" t="s">
        <v>35</v>
      </c>
      <c r="K1981" t="s">
        <v>141</v>
      </c>
      <c r="L1981"/>
      <c r="M1981" t="n">
        <v>1983</v>
      </c>
      <c r="N1981" t="n">
        <v>1990</v>
      </c>
      <c r="O1981" t="s">
        <v>293</v>
      </c>
      <c r="P1981" t="n">
        <v>2</v>
      </c>
      <c r="Q1981" t="n">
        <v>2</v>
      </c>
      <c r="R1981" t="n">
        <v>2</v>
      </c>
      <c r="S1981" t="n">
        <v>1975</v>
      </c>
      <c r="T1981" t="s">
        <v>12932</v>
      </c>
      <c r="U1981" t="s">
        <v>12933</v>
      </c>
      <c r="V1981" t="s">
        <v>74</v>
      </c>
      <c r="W1981"/>
      <c r="X1981"/>
      <c r="Y1981" t="s">
        <v>12934</v>
      </c>
      <c r="Z1981"/>
      <c r="AA1981"/>
      <c r="AB1981" t="s">
        <v>206</v>
      </c>
      <c r="AC1981" t="n">
        <v>226</v>
      </c>
      <c r="AD1981"/>
      <c r="AE1981"/>
      <c r="AF1981" t="s">
        <v>12935</v>
      </c>
      <c r="AG1981" t="n">
        <v>11</v>
      </c>
    </row>
    <row r="1982">
      <c r="A1982" t="s">
        <v>12936</v>
      </c>
      <c r="B1982" t="s">
        <v>28</v>
      </c>
      <c r="C1982" t="s">
        <v>24</v>
      </c>
      <c r="D1982" t="s">
        <v>12937</v>
      </c>
      <c r="E1982" t="s">
        <v>12938</v>
      </c>
      <c r="F1982" t="s">
        <v>68</v>
      </c>
      <c r="G1982" t="s">
        <v>12939</v>
      </c>
      <c r="H1982" t="n">
        <v>39.7573882727273</v>
      </c>
      <c r="I1982" t="n">
        <v>-104.420270909091</v>
      </c>
      <c r="J1982" t="s">
        <v>4109</v>
      </c>
      <c r="K1982" t="s">
        <v>141</v>
      </c>
      <c r="L1982"/>
      <c r="M1982" t="n">
        <v>1983</v>
      </c>
      <c r="N1982" t="n">
        <v>1990</v>
      </c>
      <c r="O1982" t="s">
        <v>271</v>
      </c>
      <c r="P1982" t="n">
        <v>3</v>
      </c>
      <c r="Q1982" t="n">
        <v>3</v>
      </c>
      <c r="R1982" t="n">
        <v>3</v>
      </c>
      <c r="S1982" t="n">
        <v>1973</v>
      </c>
      <c r="T1982" t="s">
        <v>12940</v>
      </c>
      <c r="U1982" t="s">
        <v>12941</v>
      </c>
      <c r="V1982" t="s">
        <v>74</v>
      </c>
      <c r="W1982"/>
      <c r="X1982"/>
      <c r="Y1982" t="s">
        <v>12942</v>
      </c>
      <c r="Z1982"/>
      <c r="AA1982"/>
      <c r="AB1982"/>
      <c r="AC1982"/>
      <c r="AD1982"/>
      <c r="AE1982"/>
      <c r="AF1982" t="s">
        <v>12943</v>
      </c>
      <c r="AG1982" t="n">
        <v>205</v>
      </c>
    </row>
    <row r="1983">
      <c r="A1983" t="s">
        <v>12944</v>
      </c>
      <c r="B1983" t="s">
        <v>28</v>
      </c>
      <c r="C1983" t="s">
        <v>65</v>
      </c>
      <c r="D1983" t="s">
        <v>12945</v>
      </c>
      <c r="E1983" t="s">
        <v>79</v>
      </c>
      <c r="F1983" t="s">
        <v>68</v>
      </c>
      <c r="G1983" t="s">
        <v>80</v>
      </c>
      <c r="H1983" t="n">
        <v>39.8236026666667</v>
      </c>
      <c r="I1983" t="n">
        <v>-104.987596888889</v>
      </c>
      <c r="J1983" t="s">
        <v>35</v>
      </c>
      <c r="K1983" t="s">
        <v>70</v>
      </c>
      <c r="L1983"/>
      <c r="M1983" t="n">
        <v>1983</v>
      </c>
      <c r="N1983" t="n">
        <v>1992</v>
      </c>
      <c r="O1983" t="s">
        <v>357</v>
      </c>
      <c r="P1983" t="n">
        <v>3</v>
      </c>
      <c r="Q1983" t="n">
        <v>2</v>
      </c>
      <c r="R1983" t="n">
        <v>1</v>
      </c>
      <c r="S1983" t="n">
        <v>1979</v>
      </c>
      <c r="T1983" t="s">
        <v>12946</v>
      </c>
      <c r="U1983" t="s">
        <v>12947</v>
      </c>
      <c r="V1983" t="s">
        <v>74</v>
      </c>
      <c r="W1983"/>
      <c r="X1983"/>
      <c r="Y1983" t="s">
        <v>12948</v>
      </c>
      <c r="Z1983"/>
      <c r="AA1983" t="s">
        <v>12949</v>
      </c>
      <c r="AB1983"/>
      <c r="AC1983"/>
      <c r="AD1983"/>
      <c r="AE1983"/>
      <c r="AF1983" t="s">
        <v>12950</v>
      </c>
      <c r="AG1983" t="n">
        <v>20</v>
      </c>
    </row>
    <row r="1984">
      <c r="A1984" t="s">
        <v>12951</v>
      </c>
      <c r="B1984" t="s">
        <v>28</v>
      </c>
      <c r="C1984" t="s">
        <v>65</v>
      </c>
      <c r="D1984" t="s">
        <v>12952</v>
      </c>
      <c r="E1984" t="s">
        <v>79</v>
      </c>
      <c r="F1984" t="s">
        <v>68</v>
      </c>
      <c r="G1984" t="s">
        <v>80</v>
      </c>
      <c r="H1984" t="n">
        <v>39.8008739522513</v>
      </c>
      <c r="I1984" t="n">
        <v>-105.006331217551</v>
      </c>
      <c r="J1984" t="s">
        <v>35</v>
      </c>
      <c r="K1984" t="s">
        <v>70</v>
      </c>
      <c r="L1984"/>
      <c r="M1984" t="n">
        <v>1983</v>
      </c>
      <c r="N1984" t="n">
        <v>1990</v>
      </c>
      <c r="O1984" t="s">
        <v>271</v>
      </c>
      <c r="P1984" t="n">
        <v>3</v>
      </c>
      <c r="Q1984" t="n">
        <v>1</v>
      </c>
      <c r="R1984" t="n">
        <v>1</v>
      </c>
      <c r="S1984" t="n">
        <v>1952</v>
      </c>
      <c r="T1984" t="s">
        <v>12953</v>
      </c>
      <c r="U1984" t="s">
        <v>12954</v>
      </c>
      <c r="V1984" t="s">
        <v>74</v>
      </c>
      <c r="W1984"/>
      <c r="X1984"/>
      <c r="Y1984" t="s">
        <v>12955</v>
      </c>
      <c r="Z1984"/>
      <c r="AA1984" t="s">
        <v>12956</v>
      </c>
      <c r="AB1984"/>
      <c r="AC1984"/>
      <c r="AD1984" t="s">
        <v>10705</v>
      </c>
      <c r="AE1984" t="n">
        <v>164</v>
      </c>
      <c r="AF1984" t="s">
        <v>12957</v>
      </c>
      <c r="AG1984" t="n">
        <v>11</v>
      </c>
    </row>
    <row r="1985">
      <c r="A1985" t="s">
        <v>12958</v>
      </c>
      <c r="B1985" t="s">
        <v>28</v>
      </c>
      <c r="C1985" t="s">
        <v>65</v>
      </c>
      <c r="D1985" t="s">
        <v>12959</v>
      </c>
      <c r="E1985" t="s">
        <v>253</v>
      </c>
      <c r="F1985" t="s">
        <v>68</v>
      </c>
      <c r="G1985" t="s">
        <v>254</v>
      </c>
      <c r="H1985" t="n">
        <v>39.8996989050279</v>
      </c>
      <c r="I1985" t="n">
        <v>-104.845596407821</v>
      </c>
      <c r="J1985" t="s">
        <v>35</v>
      </c>
      <c r="K1985" t="s">
        <v>120</v>
      </c>
      <c r="L1985"/>
      <c r="M1985" t="n">
        <v>1983</v>
      </c>
      <c r="N1985" t="n">
        <v>1983</v>
      </c>
      <c r="O1985" t="s">
        <v>264</v>
      </c>
      <c r="P1985" t="n">
        <v>1</v>
      </c>
      <c r="Q1985" t="n">
        <v>1</v>
      </c>
      <c r="R1985" t="n">
        <v>1</v>
      </c>
      <c r="S1985" t="n">
        <v>1978</v>
      </c>
      <c r="T1985" t="s">
        <v>12960</v>
      </c>
      <c r="U1985" t="s">
        <v>12961</v>
      </c>
      <c r="V1985" t="s">
        <v>74</v>
      </c>
      <c r="W1985"/>
      <c r="X1985"/>
      <c r="Y1985" t="s">
        <v>12962</v>
      </c>
      <c r="Z1985"/>
      <c r="AA1985"/>
      <c r="AB1985"/>
      <c r="AC1985"/>
      <c r="AD1985"/>
      <c r="AE1985"/>
      <c r="AF1985" t="s">
        <v>12963</v>
      </c>
      <c r="AG1985" t="n">
        <v>43</v>
      </c>
    </row>
    <row r="1986">
      <c r="A1986" t="s">
        <v>12964</v>
      </c>
      <c r="B1986" t="s">
        <v>28</v>
      </c>
      <c r="C1986" t="s">
        <v>65</v>
      </c>
      <c r="D1986" t="s">
        <v>12965</v>
      </c>
      <c r="E1986" t="s">
        <v>95</v>
      </c>
      <c r="F1986" t="s">
        <v>68</v>
      </c>
      <c r="G1986" t="s">
        <v>96</v>
      </c>
      <c r="H1986" t="n">
        <v>39.7433057793298</v>
      </c>
      <c r="I1986" t="n">
        <v>-104.805317512318</v>
      </c>
      <c r="J1986" t="s">
        <v>35</v>
      </c>
      <c r="K1986" t="s">
        <v>81</v>
      </c>
      <c r="L1986"/>
      <c r="M1986" t="n">
        <v>1983</v>
      </c>
      <c r="N1986" t="n">
        <v>1992</v>
      </c>
      <c r="O1986" t="s">
        <v>264</v>
      </c>
      <c r="P1986" t="n">
        <v>3</v>
      </c>
      <c r="Q1986" t="n">
        <v>3</v>
      </c>
      <c r="R1986" t="n">
        <v>2</v>
      </c>
      <c r="S1986" t="n">
        <v>1979</v>
      </c>
      <c r="T1986" t="s">
        <v>12966</v>
      </c>
      <c r="U1986" t="s">
        <v>12967</v>
      </c>
      <c r="V1986" t="s">
        <v>74</v>
      </c>
      <c r="W1986"/>
      <c r="X1986"/>
      <c r="Y1986" t="s">
        <v>12968</v>
      </c>
      <c r="Z1986"/>
      <c r="AA1986"/>
      <c r="AB1986" t="s">
        <v>206</v>
      </c>
      <c r="AC1986" t="n">
        <v>157</v>
      </c>
      <c r="AD1986"/>
      <c r="AE1986"/>
      <c r="AF1986" t="s">
        <v>12969</v>
      </c>
      <c r="AG1986" t="n">
        <v>38</v>
      </c>
    </row>
    <row r="1987">
      <c r="A1987" t="s">
        <v>12970</v>
      </c>
      <c r="B1987" t="s">
        <v>28</v>
      </c>
      <c r="C1987" t="s">
        <v>65</v>
      </c>
      <c r="D1987" t="s">
        <v>12971</v>
      </c>
      <c r="E1987" t="s">
        <v>95</v>
      </c>
      <c r="F1987" t="s">
        <v>68</v>
      </c>
      <c r="G1987" t="s">
        <v>96</v>
      </c>
      <c r="H1987" t="n">
        <v>39.7240912650922</v>
      </c>
      <c r="I1987" t="n">
        <v>-104.794205822532</v>
      </c>
      <c r="J1987" t="s">
        <v>35</v>
      </c>
      <c r="K1987" t="s">
        <v>141</v>
      </c>
      <c r="L1987"/>
      <c r="M1987" t="n">
        <v>1983</v>
      </c>
      <c r="N1987" t="n">
        <v>1983</v>
      </c>
      <c r="O1987" t="s">
        <v>264</v>
      </c>
      <c r="P1987" t="n">
        <v>1</v>
      </c>
      <c r="Q1987" t="n">
        <v>1</v>
      </c>
      <c r="R1987" t="n">
        <v>1</v>
      </c>
      <c r="S1987" t="n">
        <v>1979</v>
      </c>
      <c r="T1987" t="s">
        <v>12972</v>
      </c>
      <c r="U1987" t="s">
        <v>12973</v>
      </c>
      <c r="V1987" t="s">
        <v>74</v>
      </c>
      <c r="W1987"/>
      <c r="X1987"/>
      <c r="Y1987" t="s">
        <v>12974</v>
      </c>
      <c r="Z1987"/>
      <c r="AA1987"/>
      <c r="AB1987"/>
      <c r="AC1987"/>
      <c r="AD1987"/>
      <c r="AE1987"/>
      <c r="AF1987" t="s">
        <v>12975</v>
      </c>
      <c r="AG1987" t="n">
        <v>25</v>
      </c>
    </row>
    <row r="1988">
      <c r="A1988" t="s">
        <v>12976</v>
      </c>
      <c r="B1988" t="s">
        <v>28</v>
      </c>
      <c r="C1988" t="s">
        <v>65</v>
      </c>
      <c r="D1988" t="s">
        <v>12977</v>
      </c>
      <c r="E1988" t="s">
        <v>161</v>
      </c>
      <c r="F1988" t="s">
        <v>68</v>
      </c>
      <c r="G1988" t="s">
        <v>162</v>
      </c>
      <c r="H1988" t="n">
        <v>39.829054</v>
      </c>
      <c r="I1988" t="n">
        <v>-104.976576610077</v>
      </c>
      <c r="J1988" t="s">
        <v>35</v>
      </c>
      <c r="K1988" t="s">
        <v>120</v>
      </c>
      <c r="L1988"/>
      <c r="M1988" t="n">
        <v>1983</v>
      </c>
      <c r="N1988" t="n">
        <v>1992</v>
      </c>
      <c r="O1988" t="s">
        <v>3904</v>
      </c>
      <c r="P1988" t="n">
        <v>3</v>
      </c>
      <c r="Q1988" t="n">
        <v>7</v>
      </c>
      <c r="R1988" t="n">
        <v>3</v>
      </c>
      <c r="S1988" t="n">
        <v>1974</v>
      </c>
      <c r="T1988" t="s">
        <v>12978</v>
      </c>
      <c r="U1988" t="s">
        <v>12979</v>
      </c>
      <c r="V1988" t="s">
        <v>74</v>
      </c>
      <c r="W1988"/>
      <c r="X1988"/>
      <c r="Y1988" t="s">
        <v>12980</v>
      </c>
      <c r="Z1988"/>
      <c r="AA1988" t="s">
        <v>12981</v>
      </c>
      <c r="AB1988"/>
      <c r="AC1988"/>
      <c r="AD1988"/>
      <c r="AE1988"/>
      <c r="AF1988" t="s">
        <v>12982</v>
      </c>
      <c r="AG1988" t="n">
        <v>3</v>
      </c>
    </row>
    <row r="1989">
      <c r="A1989" t="s">
        <v>12983</v>
      </c>
      <c r="B1989" t="s">
        <v>28</v>
      </c>
      <c r="C1989" t="s">
        <v>65</v>
      </c>
      <c r="D1989" t="s">
        <v>12984</v>
      </c>
      <c r="E1989" t="s">
        <v>95</v>
      </c>
      <c r="F1989" t="s">
        <v>68</v>
      </c>
      <c r="G1989" t="s">
        <v>96</v>
      </c>
      <c r="H1989" t="n">
        <v>39.743763</v>
      </c>
      <c r="I1989" t="n">
        <v>-104.805324</v>
      </c>
      <c r="J1989" t="s">
        <v>35</v>
      </c>
      <c r="K1989" t="s">
        <v>81</v>
      </c>
      <c r="L1989"/>
      <c r="M1989" t="n">
        <v>1988</v>
      </c>
      <c r="N1989" t="n">
        <v>1990</v>
      </c>
      <c r="O1989" t="s">
        <v>310</v>
      </c>
      <c r="P1989" t="n">
        <v>2</v>
      </c>
      <c r="Q1989" t="n">
        <v>2</v>
      </c>
      <c r="R1989" t="n">
        <v>2</v>
      </c>
      <c r="S1989" t="n">
        <v>1975</v>
      </c>
      <c r="T1989" t="s">
        <v>12985</v>
      </c>
      <c r="U1989" t="s">
        <v>12986</v>
      </c>
      <c r="V1989" t="s">
        <v>74</v>
      </c>
      <c r="W1989"/>
      <c r="X1989"/>
      <c r="Y1989" t="s">
        <v>12987</v>
      </c>
      <c r="Z1989"/>
      <c r="AA1989"/>
      <c r="AB1989" t="s">
        <v>206</v>
      </c>
      <c r="AC1989" t="n">
        <v>208</v>
      </c>
      <c r="AD1989"/>
      <c r="AE1989"/>
      <c r="AF1989" t="s">
        <v>274</v>
      </c>
      <c r="AG1989" t="n">
        <v>52</v>
      </c>
    </row>
    <row r="1990">
      <c r="A1990" t="s">
        <v>12988</v>
      </c>
      <c r="B1990" t="s">
        <v>28</v>
      </c>
      <c r="C1990" t="s">
        <v>24</v>
      </c>
      <c r="D1990" t="s">
        <v>12989</v>
      </c>
      <c r="E1990" t="s">
        <v>79</v>
      </c>
      <c r="F1990" t="s">
        <v>68</v>
      </c>
      <c r="G1990" t="s">
        <v>80</v>
      </c>
      <c r="H1990" t="n">
        <v>39.725367</v>
      </c>
      <c r="I1990" t="n">
        <v>-105.009276</v>
      </c>
      <c r="J1990" t="s">
        <v>4109</v>
      </c>
      <c r="K1990" t="s">
        <v>120</v>
      </c>
      <c r="L1990"/>
      <c r="M1990" t="n">
        <v>1988</v>
      </c>
      <c r="N1990" t="n">
        <v>1988</v>
      </c>
      <c r="O1990" t="s">
        <v>325</v>
      </c>
      <c r="P1990" t="n">
        <v>1</v>
      </c>
      <c r="Q1990" t="n">
        <v>1</v>
      </c>
      <c r="R1990" t="n">
        <v>1</v>
      </c>
      <c r="S1990" t="n">
        <v>1980</v>
      </c>
      <c r="T1990" t="s">
        <v>12990</v>
      </c>
      <c r="U1990" t="s">
        <v>12991</v>
      </c>
      <c r="V1990" t="s">
        <v>74</v>
      </c>
      <c r="W1990"/>
      <c r="X1990"/>
      <c r="Y1990" t="s">
        <v>12992</v>
      </c>
      <c r="Z1990"/>
      <c r="AA1990" t="s">
        <v>12993</v>
      </c>
      <c r="AB1990"/>
      <c r="AC1990"/>
      <c r="AD1990"/>
      <c r="AE1990"/>
      <c r="AF1990" t="s">
        <v>12994</v>
      </c>
      <c r="AG1990" t="n">
        <v>95</v>
      </c>
    </row>
    <row r="1991">
      <c r="A1991" t="s">
        <v>12995</v>
      </c>
      <c r="B1991" t="s">
        <v>28</v>
      </c>
      <c r="C1991" t="s">
        <v>65</v>
      </c>
      <c r="D1991" t="s">
        <v>12996</v>
      </c>
      <c r="E1991" t="s">
        <v>67</v>
      </c>
      <c r="F1991" t="s">
        <v>68</v>
      </c>
      <c r="G1991" t="s">
        <v>69</v>
      </c>
      <c r="H1991" t="n">
        <v>39.7868923908169</v>
      </c>
      <c r="I1991" t="n">
        <v>-104.905669334756</v>
      </c>
      <c r="J1991" t="s">
        <v>35</v>
      </c>
      <c r="K1991" t="s">
        <v>70</v>
      </c>
      <c r="L1991"/>
      <c r="M1991" t="n">
        <v>1988</v>
      </c>
      <c r="N1991" t="n">
        <v>1990</v>
      </c>
      <c r="O1991" t="s">
        <v>310</v>
      </c>
      <c r="P1991" t="n">
        <v>2</v>
      </c>
      <c r="Q1991" t="n">
        <v>1</v>
      </c>
      <c r="R1991" t="n">
        <v>1</v>
      </c>
      <c r="S1991" t="n">
        <v>1981</v>
      </c>
      <c r="T1991" t="s">
        <v>12997</v>
      </c>
      <c r="U1991" t="s">
        <v>12998</v>
      </c>
      <c r="V1991" t="s">
        <v>74</v>
      </c>
      <c r="W1991"/>
      <c r="X1991"/>
      <c r="Y1991" t="s">
        <v>12999</v>
      </c>
      <c r="Z1991" t="s">
        <v>13000</v>
      </c>
      <c r="AA1991"/>
      <c r="AB1991"/>
      <c r="AC1991"/>
      <c r="AD1991"/>
      <c r="AE1991"/>
      <c r="AF1991" t="s">
        <v>13001</v>
      </c>
      <c r="AG1991" t="n">
        <v>43</v>
      </c>
    </row>
    <row r="1992">
      <c r="A1992" t="s">
        <v>13002</v>
      </c>
      <c r="B1992" t="s">
        <v>28</v>
      </c>
      <c r="C1992" t="s">
        <v>24</v>
      </c>
      <c r="D1992" t="s">
        <v>13003</v>
      </c>
      <c r="E1992" t="s">
        <v>67</v>
      </c>
      <c r="F1992" t="s">
        <v>68</v>
      </c>
      <c r="G1992" t="s">
        <v>69</v>
      </c>
      <c r="H1992" t="n">
        <v>39.7983032756954</v>
      </c>
      <c r="I1992" t="n">
        <v>-104.929184532059</v>
      </c>
      <c r="J1992" t="s">
        <v>4109</v>
      </c>
      <c r="K1992" t="s">
        <v>141</v>
      </c>
      <c r="L1992"/>
      <c r="M1992" t="n">
        <v>1988</v>
      </c>
      <c r="N1992" t="n">
        <v>1990</v>
      </c>
      <c r="O1992" t="s">
        <v>310</v>
      </c>
      <c r="P1992" t="n">
        <v>2</v>
      </c>
      <c r="Q1992" t="n">
        <v>2</v>
      </c>
      <c r="R1992" t="n">
        <v>2</v>
      </c>
      <c r="S1992" t="n">
        <v>1958</v>
      </c>
      <c r="T1992" t="s">
        <v>13004</v>
      </c>
      <c r="U1992" t="s">
        <v>13005</v>
      </c>
      <c r="V1992" t="s">
        <v>74</v>
      </c>
      <c r="W1992"/>
      <c r="X1992"/>
      <c r="Y1992" t="s">
        <v>13006</v>
      </c>
      <c r="Z1992"/>
      <c r="AA1992" t="s">
        <v>13007</v>
      </c>
      <c r="AB1992"/>
      <c r="AC1992"/>
      <c r="AD1992"/>
      <c r="AE1992"/>
      <c r="AF1992" t="s">
        <v>13008</v>
      </c>
      <c r="AG1992" t="n">
        <v>105</v>
      </c>
    </row>
    <row r="1993">
      <c r="A1993" t="s">
        <v>13009</v>
      </c>
      <c r="B1993" t="s">
        <v>28</v>
      </c>
      <c r="C1993" t="s">
        <v>24</v>
      </c>
      <c r="D1993" t="s">
        <v>13010</v>
      </c>
      <c r="E1993" t="s">
        <v>161</v>
      </c>
      <c r="F1993" t="s">
        <v>68</v>
      </c>
      <c r="G1993" t="s">
        <v>340</v>
      </c>
      <c r="H1993" t="n">
        <v>39.9171959159151</v>
      </c>
      <c r="I1993" t="n">
        <v>-104.981374862268</v>
      </c>
      <c r="J1993" t="s">
        <v>4109</v>
      </c>
      <c r="K1993" t="s">
        <v>120</v>
      </c>
      <c r="L1993"/>
      <c r="M1993" t="n">
        <v>1988</v>
      </c>
      <c r="N1993" t="n">
        <v>1990</v>
      </c>
      <c r="O1993" t="s">
        <v>351</v>
      </c>
      <c r="P1993" t="n">
        <v>2</v>
      </c>
      <c r="Q1993" t="n">
        <v>1</v>
      </c>
      <c r="R1993" t="n">
        <v>1</v>
      </c>
      <c r="S1993" t="n">
        <v>1975</v>
      </c>
      <c r="T1993" t="s">
        <v>13011</v>
      </c>
      <c r="U1993" t="s">
        <v>13012</v>
      </c>
      <c r="V1993" t="s">
        <v>74</v>
      </c>
      <c r="W1993"/>
      <c r="X1993"/>
      <c r="Y1993" t="s">
        <v>13013</v>
      </c>
      <c r="Z1993"/>
      <c r="AA1993" t="s">
        <v>13014</v>
      </c>
      <c r="AB1993"/>
      <c r="AC1993"/>
      <c r="AD1993"/>
      <c r="AE1993"/>
      <c r="AF1993" t="s">
        <v>13015</v>
      </c>
      <c r="AG1993" t="n">
        <v>12</v>
      </c>
    </row>
    <row r="1994">
      <c r="A1994" t="s">
        <v>13016</v>
      </c>
      <c r="B1994" t="s">
        <v>28</v>
      </c>
      <c r="C1994" t="s">
        <v>65</v>
      </c>
      <c r="D1994" t="s">
        <v>13017</v>
      </c>
      <c r="E1994" t="s">
        <v>177</v>
      </c>
      <c r="F1994" t="s">
        <v>68</v>
      </c>
      <c r="G1994" t="s">
        <v>4127</v>
      </c>
      <c r="H1994" t="n">
        <v>39.9159885983936</v>
      </c>
      <c r="I1994" t="n">
        <v>-105.00346709237</v>
      </c>
      <c r="J1994" t="s">
        <v>35</v>
      </c>
      <c r="K1994" t="s">
        <v>6584</v>
      </c>
      <c r="L1994"/>
      <c r="M1994" t="n">
        <v>1988</v>
      </c>
      <c r="N1994" t="n">
        <v>1990</v>
      </c>
      <c r="O1994" t="s">
        <v>325</v>
      </c>
      <c r="P1994" t="n">
        <v>2</v>
      </c>
      <c r="Q1994" t="n">
        <v>4</v>
      </c>
      <c r="R1994" t="n">
        <v>2</v>
      </c>
      <c r="S1994" t="n">
        <v>1979</v>
      </c>
      <c r="T1994" t="s">
        <v>13018</v>
      </c>
      <c r="U1994" t="s">
        <v>13019</v>
      </c>
      <c r="V1994" t="s">
        <v>74</v>
      </c>
      <c r="W1994"/>
      <c r="X1994"/>
      <c r="Y1994" t="s">
        <v>13020</v>
      </c>
      <c r="Z1994"/>
      <c r="AA1994" t="s">
        <v>13021</v>
      </c>
      <c r="AB1994" t="s">
        <v>13022</v>
      </c>
      <c r="AC1994" t="n">
        <v>243</v>
      </c>
      <c r="AD1994"/>
      <c r="AE1994"/>
      <c r="AF1994" t="s">
        <v>13023</v>
      </c>
      <c r="AG1994" t="n">
        <v>14</v>
      </c>
    </row>
    <row r="1995">
      <c r="A1995" t="s">
        <v>13024</v>
      </c>
      <c r="B1995" t="s">
        <v>28</v>
      </c>
      <c r="C1995" t="s">
        <v>65</v>
      </c>
      <c r="D1995" t="s">
        <v>13025</v>
      </c>
      <c r="E1995" t="s">
        <v>177</v>
      </c>
      <c r="F1995" t="s">
        <v>68</v>
      </c>
      <c r="G1995" t="s">
        <v>178</v>
      </c>
      <c r="H1995" t="n">
        <v>39.8396893057997</v>
      </c>
      <c r="I1995" t="n">
        <v>-105.024788379778</v>
      </c>
      <c r="J1995" t="s">
        <v>35</v>
      </c>
      <c r="K1995" t="s">
        <v>1041</v>
      </c>
      <c r="L1995"/>
      <c r="M1995" t="n">
        <v>1988</v>
      </c>
      <c r="N1995" t="n">
        <v>1988</v>
      </c>
      <c r="O1995" t="s">
        <v>325</v>
      </c>
      <c r="P1995" t="n">
        <v>1</v>
      </c>
      <c r="Q1995" t="n">
        <v>1</v>
      </c>
      <c r="R1995" t="n">
        <v>1</v>
      </c>
      <c r="S1995" t="n">
        <v>1965</v>
      </c>
      <c r="T1995" t="s">
        <v>13026</v>
      </c>
      <c r="U1995" t="s">
        <v>13027</v>
      </c>
      <c r="V1995" t="s">
        <v>74</v>
      </c>
      <c r="W1995"/>
      <c r="X1995"/>
      <c r="Y1995" t="s">
        <v>13028</v>
      </c>
      <c r="Z1995"/>
      <c r="AA1995"/>
      <c r="AB1995"/>
      <c r="AC1995"/>
      <c r="AD1995"/>
      <c r="AE1995"/>
      <c r="AF1995" t="s">
        <v>12691</v>
      </c>
      <c r="AG1995" t="n">
        <v>26</v>
      </c>
    </row>
    <row r="1996">
      <c r="A1996" t="s">
        <v>13029</v>
      </c>
      <c r="B1996" t="s">
        <v>28</v>
      </c>
      <c r="C1996" t="s">
        <v>65</v>
      </c>
      <c r="D1996" t="s">
        <v>13030</v>
      </c>
      <c r="E1996" t="s">
        <v>95</v>
      </c>
      <c r="F1996" t="s">
        <v>68</v>
      </c>
      <c r="G1996" t="s">
        <v>96</v>
      </c>
      <c r="H1996" t="n">
        <v>39.7591443825431</v>
      </c>
      <c r="I1996" t="n">
        <v>-104.808892936747</v>
      </c>
      <c r="J1996" t="s">
        <v>35</v>
      </c>
      <c r="K1996" t="s">
        <v>133</v>
      </c>
      <c r="L1996"/>
      <c r="M1996" t="n">
        <v>1990</v>
      </c>
      <c r="N1996" t="n">
        <v>1990</v>
      </c>
      <c r="O1996" t="s">
        <v>351</v>
      </c>
      <c r="P1996" t="n">
        <v>1</v>
      </c>
      <c r="Q1996" t="n">
        <v>1</v>
      </c>
      <c r="R1996" t="n">
        <v>1</v>
      </c>
      <c r="S1996" t="n">
        <v>1984</v>
      </c>
      <c r="T1996" t="s">
        <v>13031</v>
      </c>
      <c r="U1996" t="s">
        <v>13032</v>
      </c>
      <c r="V1996" t="s">
        <v>74</v>
      </c>
      <c r="W1996"/>
      <c r="X1996"/>
      <c r="Y1996" t="s">
        <v>13033</v>
      </c>
      <c r="Z1996"/>
      <c r="AA1996"/>
      <c r="AB1996"/>
      <c r="AC1996"/>
      <c r="AD1996"/>
      <c r="AE1996"/>
      <c r="AF1996" t="s">
        <v>13034</v>
      </c>
      <c r="AG1996" t="n">
        <v>4</v>
      </c>
    </row>
    <row r="1997">
      <c r="A1997" t="s">
        <v>13035</v>
      </c>
      <c r="B1997" t="s">
        <v>28</v>
      </c>
      <c r="C1997" t="s">
        <v>65</v>
      </c>
      <c r="D1997" t="s">
        <v>13036</v>
      </c>
      <c r="E1997" t="s">
        <v>95</v>
      </c>
      <c r="F1997" t="s">
        <v>68</v>
      </c>
      <c r="G1997" t="s">
        <v>96</v>
      </c>
      <c r="H1997" t="n">
        <v>39.765452571361</v>
      </c>
      <c r="I1997" t="n">
        <v>-104.815547046336</v>
      </c>
      <c r="J1997" t="s">
        <v>35</v>
      </c>
      <c r="K1997" t="s">
        <v>120</v>
      </c>
      <c r="L1997"/>
      <c r="M1997" t="n">
        <v>1990</v>
      </c>
      <c r="N1997" t="n">
        <v>1990</v>
      </c>
      <c r="O1997" t="s">
        <v>351</v>
      </c>
      <c r="P1997" t="n">
        <v>1</v>
      </c>
      <c r="Q1997" t="n">
        <v>1</v>
      </c>
      <c r="R1997" t="n">
        <v>1</v>
      </c>
      <c r="S1997" t="n">
        <v>1954</v>
      </c>
      <c r="T1997" t="s">
        <v>13037</v>
      </c>
      <c r="U1997" t="s">
        <v>13038</v>
      </c>
      <c r="V1997" t="s">
        <v>74</v>
      </c>
      <c r="W1997"/>
      <c r="X1997"/>
      <c r="Y1997" t="s">
        <v>13039</v>
      </c>
      <c r="Z1997"/>
      <c r="AA1997"/>
      <c r="AB1997" t="s">
        <v>13040</v>
      </c>
      <c r="AC1997" t="n">
        <v>241</v>
      </c>
      <c r="AD1997" t="s">
        <v>13041</v>
      </c>
      <c r="AE1997" t="n">
        <v>209</v>
      </c>
      <c r="AF1997" t="s">
        <v>13042</v>
      </c>
      <c r="AG1997" t="n">
        <v>67</v>
      </c>
    </row>
    <row r="1998">
      <c r="A1998" t="s">
        <v>13043</v>
      </c>
      <c r="B1998" t="s">
        <v>28</v>
      </c>
      <c r="C1998" t="s">
        <v>65</v>
      </c>
      <c r="D1998" t="s">
        <v>13044</v>
      </c>
      <c r="E1998" t="s">
        <v>95</v>
      </c>
      <c r="F1998" t="s">
        <v>68</v>
      </c>
      <c r="G1998" t="s">
        <v>96</v>
      </c>
      <c r="H1998" t="n">
        <v>39.7554158407233</v>
      </c>
      <c r="I1998" t="n">
        <v>-104.74072662373</v>
      </c>
      <c r="J1998" t="s">
        <v>35</v>
      </c>
      <c r="K1998" t="s">
        <v>141</v>
      </c>
      <c r="L1998"/>
      <c r="M1998" t="n">
        <v>1990</v>
      </c>
      <c r="N1998" t="n">
        <v>1990</v>
      </c>
      <c r="O1998" t="s">
        <v>351</v>
      </c>
      <c r="P1998" t="n">
        <v>1</v>
      </c>
      <c r="Q1998" t="n">
        <v>1</v>
      </c>
      <c r="R1998" t="n">
        <v>1</v>
      </c>
      <c r="S1998" t="n">
        <v>1982</v>
      </c>
      <c r="T1998" t="s">
        <v>13045</v>
      </c>
      <c r="U1998" t="s">
        <v>13046</v>
      </c>
      <c r="V1998" t="s">
        <v>74</v>
      </c>
      <c r="W1998"/>
      <c r="X1998"/>
      <c r="Y1998" t="s">
        <v>13047</v>
      </c>
      <c r="Z1998"/>
      <c r="AA1998"/>
      <c r="AB1998"/>
      <c r="AC1998"/>
      <c r="AD1998"/>
      <c r="AE1998"/>
      <c r="AF1998" t="s">
        <v>13048</v>
      </c>
      <c r="AG1998" t="n">
        <v>22</v>
      </c>
    </row>
    <row r="1999">
      <c r="A1999" t="s">
        <v>13049</v>
      </c>
      <c r="B1999" t="s">
        <v>28</v>
      </c>
      <c r="C1999" t="s">
        <v>65</v>
      </c>
      <c r="D1999" t="s">
        <v>13050</v>
      </c>
      <c r="E1999" t="s">
        <v>95</v>
      </c>
      <c r="F1999" t="s">
        <v>68</v>
      </c>
      <c r="G1999" t="s">
        <v>96</v>
      </c>
      <c r="H1999" t="n">
        <v>39.753825</v>
      </c>
      <c r="I1999" t="n">
        <v>-104.754996</v>
      </c>
      <c r="J1999" t="s">
        <v>35</v>
      </c>
      <c r="K1999" t="s">
        <v>315</v>
      </c>
      <c r="L1999"/>
      <c r="M1999" t="n">
        <v>1990</v>
      </c>
      <c r="N1999" t="n">
        <v>1990</v>
      </c>
      <c r="O1999" t="s">
        <v>351</v>
      </c>
      <c r="P1999" t="n">
        <v>1</v>
      </c>
      <c r="Q1999" t="n">
        <v>1</v>
      </c>
      <c r="R1999" t="n">
        <v>1</v>
      </c>
      <c r="S1999" t="n">
        <v>1946</v>
      </c>
      <c r="T1999" t="s">
        <v>13051</v>
      </c>
      <c r="U1999" t="s">
        <v>13052</v>
      </c>
      <c r="V1999" t="s">
        <v>74</v>
      </c>
      <c r="W1999"/>
      <c r="X1999"/>
      <c r="Y1999" t="s">
        <v>13053</v>
      </c>
      <c r="Z1999"/>
      <c r="AA1999"/>
      <c r="AB1999"/>
      <c r="AC1999"/>
      <c r="AD1999"/>
      <c r="AE1999"/>
      <c r="AF1999" t="s">
        <v>12850</v>
      </c>
      <c r="AG1999" t="n">
        <v>93</v>
      </c>
    </row>
    <row r="2000">
      <c r="A2000" t="s">
        <v>13054</v>
      </c>
      <c r="B2000" t="s">
        <v>28</v>
      </c>
      <c r="C2000" t="s">
        <v>65</v>
      </c>
      <c r="D2000" t="s">
        <v>13055</v>
      </c>
      <c r="E2000" t="s">
        <v>67</v>
      </c>
      <c r="F2000" t="s">
        <v>68</v>
      </c>
      <c r="G2000" t="s">
        <v>5503</v>
      </c>
      <c r="H2000" t="n">
        <v>39.8308740035327</v>
      </c>
      <c r="I2000" t="n">
        <v>-104.928087828006</v>
      </c>
      <c r="J2000" t="s">
        <v>35</v>
      </c>
      <c r="K2000" t="s">
        <v>315</v>
      </c>
      <c r="L2000"/>
      <c r="M2000" t="n">
        <v>1990</v>
      </c>
      <c r="N2000" t="n">
        <v>1992</v>
      </c>
      <c r="O2000" t="s">
        <v>357</v>
      </c>
      <c r="P2000" t="n">
        <v>2</v>
      </c>
      <c r="Q2000" t="n">
        <v>2</v>
      </c>
      <c r="R2000" t="n">
        <v>2</v>
      </c>
      <c r="S2000" t="n">
        <v>1974</v>
      </c>
      <c r="T2000" t="s">
        <v>13056</v>
      </c>
      <c r="U2000" t="s">
        <v>13057</v>
      </c>
      <c r="V2000" t="s">
        <v>74</v>
      </c>
      <c r="W2000"/>
      <c r="X2000"/>
      <c r="Y2000" t="s">
        <v>13058</v>
      </c>
      <c r="Z2000"/>
      <c r="AA2000" t="s">
        <v>13059</v>
      </c>
      <c r="AB2000"/>
      <c r="AC2000"/>
      <c r="AD2000"/>
      <c r="AE2000"/>
      <c r="AF2000" t="s">
        <v>8923</v>
      </c>
      <c r="AG2000" t="n">
        <v>27</v>
      </c>
    </row>
    <row r="2001">
      <c r="A2001" t="s">
        <v>13060</v>
      </c>
      <c r="B2001" t="s">
        <v>28</v>
      </c>
      <c r="C2001" t="s">
        <v>65</v>
      </c>
      <c r="D2001" t="s">
        <v>13061</v>
      </c>
      <c r="E2001" t="s">
        <v>67</v>
      </c>
      <c r="F2001" t="s">
        <v>68</v>
      </c>
      <c r="G2001" t="s">
        <v>69</v>
      </c>
      <c r="H2001" t="n">
        <v>39.8299284415829</v>
      </c>
      <c r="I2001" t="n">
        <v>-104.931502423218</v>
      </c>
      <c r="J2001" t="s">
        <v>35</v>
      </c>
      <c r="K2001" t="s">
        <v>315</v>
      </c>
      <c r="L2001"/>
      <c r="M2001" t="n">
        <v>1990</v>
      </c>
      <c r="N2001" t="n">
        <v>1990</v>
      </c>
      <c r="O2001" t="s">
        <v>351</v>
      </c>
      <c r="P2001" t="n">
        <v>1</v>
      </c>
      <c r="Q2001" t="n">
        <v>1</v>
      </c>
      <c r="R2001" t="n">
        <v>1</v>
      </c>
      <c r="S2001" t="n">
        <v>1982</v>
      </c>
      <c r="T2001" t="s">
        <v>13062</v>
      </c>
      <c r="U2001" t="s">
        <v>13063</v>
      </c>
      <c r="V2001" t="s">
        <v>74</v>
      </c>
      <c r="W2001"/>
      <c r="X2001"/>
      <c r="Y2001" t="s">
        <v>13064</v>
      </c>
      <c r="Z2001"/>
      <c r="AA2001"/>
      <c r="AB2001"/>
      <c r="AC2001"/>
      <c r="AD2001" t="s">
        <v>13065</v>
      </c>
      <c r="AE2001" t="n">
        <v>178</v>
      </c>
      <c r="AF2001" t="s">
        <v>13066</v>
      </c>
      <c r="AG2001" t="n">
        <v>48</v>
      </c>
    </row>
    <row r="2002">
      <c r="A2002" t="s">
        <v>13067</v>
      </c>
      <c r="B2002" t="s">
        <v>28</v>
      </c>
      <c r="C2002" t="s">
        <v>65</v>
      </c>
      <c r="D2002" t="s">
        <v>13068</v>
      </c>
      <c r="E2002" t="s">
        <v>161</v>
      </c>
      <c r="F2002" t="s">
        <v>68</v>
      </c>
      <c r="G2002" t="s">
        <v>162</v>
      </c>
      <c r="H2002" t="n">
        <v>39.8199608844221</v>
      </c>
      <c r="I2002" t="n">
        <v>-104.965143572864</v>
      </c>
      <c r="J2002" t="s">
        <v>35</v>
      </c>
      <c r="K2002" t="s">
        <v>133</v>
      </c>
      <c r="L2002"/>
      <c r="M2002" t="n">
        <v>1990</v>
      </c>
      <c r="N2002" t="n">
        <v>1990</v>
      </c>
      <c r="O2002" t="s">
        <v>351</v>
      </c>
      <c r="P2002" t="n">
        <v>1</v>
      </c>
      <c r="Q2002" t="n">
        <v>1</v>
      </c>
      <c r="R2002" t="n">
        <v>1</v>
      </c>
      <c r="S2002" t="n">
        <v>1965</v>
      </c>
      <c r="T2002" t="s">
        <v>13069</v>
      </c>
      <c r="U2002" t="s">
        <v>13070</v>
      </c>
      <c r="V2002" t="s">
        <v>74</v>
      </c>
      <c r="W2002"/>
      <c r="X2002"/>
      <c r="Y2002" t="s">
        <v>13071</v>
      </c>
      <c r="Z2002"/>
      <c r="AA2002"/>
      <c r="AB2002"/>
      <c r="AC2002"/>
      <c r="AD2002" t="s">
        <v>13072</v>
      </c>
      <c r="AE2002" t="n">
        <v>215</v>
      </c>
      <c r="AF2002" t="s">
        <v>13073</v>
      </c>
      <c r="AG2002" t="n">
        <v>9</v>
      </c>
    </row>
    <row r="2003">
      <c r="A2003" t="s">
        <v>13074</v>
      </c>
      <c r="B2003" t="s">
        <v>28</v>
      </c>
      <c r="C2003" t="s">
        <v>24</v>
      </c>
      <c r="D2003" t="s">
        <v>13075</v>
      </c>
      <c r="E2003" t="s">
        <v>79</v>
      </c>
      <c r="F2003" t="s">
        <v>68</v>
      </c>
      <c r="G2003" t="s">
        <v>80</v>
      </c>
      <c r="H2003" t="n">
        <v>39.8637682235383</v>
      </c>
      <c r="I2003" t="n">
        <v>-105.025151871638</v>
      </c>
      <c r="J2003" t="s">
        <v>4109</v>
      </c>
      <c r="K2003" t="s">
        <v>70</v>
      </c>
      <c r="L2003"/>
      <c r="M2003" t="n">
        <v>1990</v>
      </c>
      <c r="N2003" t="n">
        <v>1990</v>
      </c>
      <c r="O2003" t="s">
        <v>351</v>
      </c>
      <c r="P2003" t="n">
        <v>1</v>
      </c>
      <c r="Q2003" t="n">
        <v>1</v>
      </c>
      <c r="R2003" t="n">
        <v>1</v>
      </c>
      <c r="S2003" t="n">
        <v>1969</v>
      </c>
      <c r="T2003" t="s">
        <v>13076</v>
      </c>
      <c r="U2003" t="s">
        <v>13077</v>
      </c>
      <c r="V2003" t="s">
        <v>74</v>
      </c>
      <c r="W2003"/>
      <c r="X2003"/>
      <c r="Y2003" t="s">
        <v>13078</v>
      </c>
      <c r="Z2003"/>
      <c r="AA2003" t="s">
        <v>13079</v>
      </c>
      <c r="AB2003"/>
      <c r="AC2003"/>
      <c r="AD2003"/>
      <c r="AE2003"/>
      <c r="AF2003" t="s">
        <v>13080</v>
      </c>
      <c r="AG2003" t="n">
        <v>11</v>
      </c>
    </row>
    <row r="2004">
      <c r="A2004" t="s">
        <v>13081</v>
      </c>
      <c r="B2004" t="s">
        <v>28</v>
      </c>
      <c r="C2004" t="s">
        <v>65</v>
      </c>
      <c r="D2004" t="s">
        <v>13082</v>
      </c>
      <c r="E2004" t="s">
        <v>161</v>
      </c>
      <c r="F2004" t="s">
        <v>68</v>
      </c>
      <c r="G2004" t="s">
        <v>162</v>
      </c>
      <c r="H2004" t="n">
        <v>39.819593244898</v>
      </c>
      <c r="I2004" t="n">
        <v>-104.973302693877</v>
      </c>
      <c r="J2004" t="s">
        <v>35</v>
      </c>
      <c r="K2004" t="s">
        <v>70</v>
      </c>
      <c r="L2004"/>
      <c r="M2004" t="n">
        <v>1990</v>
      </c>
      <c r="N2004" t="n">
        <v>1990</v>
      </c>
      <c r="O2004" t="s">
        <v>351</v>
      </c>
      <c r="P2004" t="n">
        <v>1</v>
      </c>
      <c r="Q2004" t="n">
        <v>1</v>
      </c>
      <c r="R2004" t="n">
        <v>1</v>
      </c>
      <c r="S2004" t="n">
        <v>1989</v>
      </c>
      <c r="T2004" t="s">
        <v>13083</v>
      </c>
      <c r="U2004" t="s">
        <v>13084</v>
      </c>
      <c r="V2004" t="s">
        <v>74</v>
      </c>
      <c r="W2004"/>
      <c r="X2004"/>
      <c r="Y2004" t="s">
        <v>13085</v>
      </c>
      <c r="Z2004"/>
      <c r="AA2004"/>
      <c r="AB2004"/>
      <c r="AC2004"/>
      <c r="AD2004"/>
      <c r="AE2004"/>
      <c r="AF2004" t="s">
        <v>13086</v>
      </c>
      <c r="AG2004" t="n">
        <v>56</v>
      </c>
    </row>
    <row r="2005">
      <c r="A2005" t="s">
        <v>13087</v>
      </c>
      <c r="B2005" t="s">
        <v>28</v>
      </c>
      <c r="C2005" t="s">
        <v>65</v>
      </c>
      <c r="D2005" t="s">
        <v>13088</v>
      </c>
      <c r="E2005" t="s">
        <v>177</v>
      </c>
      <c r="F2005" t="s">
        <v>68</v>
      </c>
      <c r="G2005" t="s">
        <v>4127</v>
      </c>
      <c r="H2005" t="n">
        <v>39.9212724029929</v>
      </c>
      <c r="I2005" t="n">
        <v>-105.005756167001</v>
      </c>
      <c r="J2005" t="s">
        <v>35</v>
      </c>
      <c r="K2005" t="s">
        <v>120</v>
      </c>
      <c r="L2005" t="s">
        <v>2814</v>
      </c>
      <c r="M2005" t="n">
        <v>1990</v>
      </c>
      <c r="N2005" t="n">
        <v>1992</v>
      </c>
      <c r="O2005" t="s">
        <v>357</v>
      </c>
      <c r="P2005" t="n">
        <v>2</v>
      </c>
      <c r="Q2005" t="n">
        <v>1</v>
      </c>
      <c r="R2005" t="n">
        <v>1</v>
      </c>
      <c r="S2005" t="n">
        <v>1972</v>
      </c>
      <c r="T2005" t="s">
        <v>13089</v>
      </c>
      <c r="U2005" t="s">
        <v>13090</v>
      </c>
      <c r="V2005" t="s">
        <v>74</v>
      </c>
      <c r="W2005"/>
      <c r="X2005"/>
      <c r="Y2005" t="s">
        <v>13091</v>
      </c>
      <c r="Z2005"/>
      <c r="AA2005"/>
      <c r="AB2005"/>
      <c r="AC2005"/>
      <c r="AD2005"/>
      <c r="AE2005"/>
      <c r="AF2005" t="s">
        <v>13092</v>
      </c>
      <c r="AG2005" t="n">
        <v>183</v>
      </c>
    </row>
    <row r="2006">
      <c r="A2006" t="s">
        <v>13093</v>
      </c>
      <c r="B2006" t="s">
        <v>28</v>
      </c>
      <c r="C2006" t="s">
        <v>65</v>
      </c>
      <c r="D2006" t="s">
        <v>13094</v>
      </c>
      <c r="E2006" t="s">
        <v>170</v>
      </c>
      <c r="F2006" t="s">
        <v>68</v>
      </c>
      <c r="G2006" t="s">
        <v>171</v>
      </c>
      <c r="H2006" t="n">
        <v>39.8981076764077</v>
      </c>
      <c r="I2006" t="n">
        <v>-104.965335654299</v>
      </c>
      <c r="J2006" t="s">
        <v>35</v>
      </c>
      <c r="K2006" t="s">
        <v>70</v>
      </c>
      <c r="L2006"/>
      <c r="M2006" t="n">
        <v>1990</v>
      </c>
      <c r="N2006" t="n">
        <v>1992</v>
      </c>
      <c r="O2006" t="s">
        <v>357</v>
      </c>
      <c r="P2006" t="n">
        <v>2</v>
      </c>
      <c r="Q2006" t="n">
        <v>1</v>
      </c>
      <c r="R2006" t="n">
        <v>1</v>
      </c>
      <c r="S2006" t="n">
        <v>1979</v>
      </c>
      <c r="T2006" t="s">
        <v>13095</v>
      </c>
      <c r="U2006" t="s">
        <v>13096</v>
      </c>
      <c r="V2006" t="s">
        <v>74</v>
      </c>
      <c r="W2006"/>
      <c r="X2006"/>
      <c r="Y2006" t="s">
        <v>13097</v>
      </c>
      <c r="Z2006"/>
      <c r="AA2006"/>
      <c r="AB2006"/>
      <c r="AC2006"/>
      <c r="AD2006"/>
      <c r="AE2006"/>
      <c r="AF2006" t="s">
        <v>13098</v>
      </c>
      <c r="AG2006" t="n">
        <v>91</v>
      </c>
    </row>
    <row r="2007">
      <c r="A2007" t="s">
        <v>13099</v>
      </c>
      <c r="B2007" t="s">
        <v>28</v>
      </c>
      <c r="C2007" t="s">
        <v>24</v>
      </c>
      <c r="D2007" t="s">
        <v>13100</v>
      </c>
      <c r="E2007" t="s">
        <v>79</v>
      </c>
      <c r="F2007" t="s">
        <v>68</v>
      </c>
      <c r="G2007" t="s">
        <v>80</v>
      </c>
      <c r="H2007" t="n">
        <v>39.8220433803339</v>
      </c>
      <c r="I2007" t="n">
        <v>-104.987452826649</v>
      </c>
      <c r="J2007" t="s">
        <v>4109</v>
      </c>
      <c r="K2007" t="s">
        <v>70</v>
      </c>
      <c r="L2007"/>
      <c r="M2007" t="n">
        <v>1992</v>
      </c>
      <c r="N2007" t="n">
        <v>1992</v>
      </c>
      <c r="O2007" t="s">
        <v>1016</v>
      </c>
      <c r="P2007" t="n">
        <v>1</v>
      </c>
      <c r="Q2007" t="n">
        <v>1</v>
      </c>
      <c r="R2007" t="n">
        <v>1</v>
      </c>
      <c r="S2007" t="n">
        <v>1960</v>
      </c>
      <c r="T2007" t="s">
        <v>13101</v>
      </c>
      <c r="U2007" t="s">
        <v>13102</v>
      </c>
      <c r="V2007" t="s">
        <v>74</v>
      </c>
      <c r="W2007"/>
      <c r="X2007"/>
      <c r="Y2007" t="s">
        <v>13103</v>
      </c>
      <c r="Z2007"/>
      <c r="AA2007" t="s">
        <v>13104</v>
      </c>
      <c r="AB2007"/>
      <c r="AC2007"/>
      <c r="AD2007"/>
      <c r="AE2007"/>
      <c r="AF2007" t="s">
        <v>13105</v>
      </c>
      <c r="AG2007" t="n">
        <v>12</v>
      </c>
    </row>
    <row r="2008">
      <c r="A2008" t="s">
        <v>13106</v>
      </c>
      <c r="B2008" t="s">
        <v>28</v>
      </c>
      <c r="C2008" t="s">
        <v>24</v>
      </c>
      <c r="D2008" t="s">
        <v>13107</v>
      </c>
      <c r="E2008" t="s">
        <v>161</v>
      </c>
      <c r="F2008" t="s">
        <v>68</v>
      </c>
      <c r="G2008" t="s">
        <v>162</v>
      </c>
      <c r="H2008" t="n">
        <v>39.818234</v>
      </c>
      <c r="I2008" t="n">
        <v>-104.963125</v>
      </c>
      <c r="J2008" t="s">
        <v>4109</v>
      </c>
      <c r="K2008" t="s">
        <v>120</v>
      </c>
      <c r="L2008"/>
      <c r="M2008" t="n">
        <v>1992</v>
      </c>
      <c r="N2008" t="n">
        <v>1992</v>
      </c>
      <c r="O2008" t="s">
        <v>1016</v>
      </c>
      <c r="P2008" t="n">
        <v>1</v>
      </c>
      <c r="Q2008" t="n">
        <v>1</v>
      </c>
      <c r="R2008" t="n">
        <v>1</v>
      </c>
      <c r="S2008"/>
      <c r="T2008" t="s">
        <v>13108</v>
      </c>
      <c r="U2008" t="s">
        <v>13109</v>
      </c>
      <c r="V2008" t="s">
        <v>74</v>
      </c>
      <c r="W2008"/>
      <c r="X2008"/>
      <c r="Y2008" t="s">
        <v>13110</v>
      </c>
      <c r="Z2008"/>
      <c r="AA2008" t="s">
        <v>13111</v>
      </c>
      <c r="AB2008"/>
      <c r="AC2008"/>
      <c r="AD2008"/>
      <c r="AE2008"/>
      <c r="AF2008" t="s">
        <v>13112</v>
      </c>
      <c r="AG2008" t="n">
        <v>205</v>
      </c>
    </row>
    <row r="2009">
      <c r="A2009" t="s">
        <v>13113</v>
      </c>
      <c r="B2009" t="s">
        <v>28</v>
      </c>
      <c r="C2009" t="s">
        <v>65</v>
      </c>
      <c r="D2009" t="s">
        <v>13114</v>
      </c>
      <c r="E2009" t="s">
        <v>79</v>
      </c>
      <c r="F2009" t="s">
        <v>68</v>
      </c>
      <c r="G2009" t="s">
        <v>80</v>
      </c>
      <c r="H2009" t="n">
        <v>39.8214510843101</v>
      </c>
      <c r="I2009" t="n">
        <v>-105.025009580812</v>
      </c>
      <c r="J2009" t="s">
        <v>35</v>
      </c>
      <c r="K2009" t="s">
        <v>133</v>
      </c>
      <c r="L2009"/>
      <c r="M2009" t="n">
        <v>1992</v>
      </c>
      <c r="N2009" t="n">
        <v>1992</v>
      </c>
      <c r="O2009" t="s">
        <v>1016</v>
      </c>
      <c r="P2009" t="n">
        <v>1</v>
      </c>
      <c r="Q2009" t="n">
        <v>1</v>
      </c>
      <c r="R2009" t="n">
        <v>1</v>
      </c>
      <c r="S2009"/>
      <c r="T2009" t="s">
        <v>13115</v>
      </c>
      <c r="U2009" t="s">
        <v>13116</v>
      </c>
      <c r="V2009" t="s">
        <v>74</v>
      </c>
      <c r="W2009"/>
      <c r="X2009"/>
      <c r="Y2009" t="s">
        <v>13117</v>
      </c>
      <c r="Z2009"/>
      <c r="AA2009"/>
      <c r="AB2009"/>
      <c r="AC2009"/>
      <c r="AD2009"/>
      <c r="AE2009"/>
      <c r="AF2009" t="s">
        <v>13118</v>
      </c>
      <c r="AG2009" t="n">
        <v>69</v>
      </c>
    </row>
    <row r="2010">
      <c r="A2010" t="s">
        <v>13119</v>
      </c>
      <c r="B2010" t="s">
        <v>28</v>
      </c>
      <c r="C2010" t="s">
        <v>24</v>
      </c>
      <c r="D2010" t="s">
        <v>13120</v>
      </c>
      <c r="E2010" t="s">
        <v>79</v>
      </c>
      <c r="F2010" t="s">
        <v>68</v>
      </c>
      <c r="G2010" t="s">
        <v>80</v>
      </c>
      <c r="H2010" t="n">
        <v>39.863524</v>
      </c>
      <c r="I2010" t="n">
        <v>-105.003551</v>
      </c>
      <c r="J2010" t="s">
        <v>4109</v>
      </c>
      <c r="K2010" t="s">
        <v>141</v>
      </c>
      <c r="L2010"/>
      <c r="M2010" t="n">
        <v>1992</v>
      </c>
      <c r="N2010" t="n">
        <v>1992</v>
      </c>
      <c r="O2010" t="s">
        <v>1016</v>
      </c>
      <c r="P2010" t="n">
        <v>1</v>
      </c>
      <c r="Q2010" t="n">
        <v>1</v>
      </c>
      <c r="R2010" t="n">
        <v>1</v>
      </c>
      <c r="S2010" t="n">
        <v>1979</v>
      </c>
      <c r="T2010" t="s">
        <v>13121</v>
      </c>
      <c r="U2010" t="s">
        <v>13122</v>
      </c>
      <c r="V2010" t="s">
        <v>74</v>
      </c>
      <c r="W2010"/>
      <c r="X2010"/>
      <c r="Y2010" t="s">
        <v>13123</v>
      </c>
      <c r="Z2010"/>
      <c r="AA2010" t="s">
        <v>13124</v>
      </c>
      <c r="AB2010"/>
      <c r="AC2010"/>
      <c r="AD2010"/>
      <c r="AE2010"/>
      <c r="AF2010" t="s">
        <v>13125</v>
      </c>
      <c r="AG2010" t="n">
        <v>225</v>
      </c>
    </row>
    <row r="2011">
      <c r="A2011" t="s">
        <v>13126</v>
      </c>
      <c r="B2011" t="s">
        <v>28</v>
      </c>
      <c r="C2011" t="s">
        <v>65</v>
      </c>
      <c r="D2011" t="s">
        <v>13127</v>
      </c>
      <c r="E2011" t="s">
        <v>386</v>
      </c>
      <c r="F2011" t="s">
        <v>387</v>
      </c>
      <c r="G2011"/>
      <c r="H2011" t="n">
        <v>39.611721046003</v>
      </c>
      <c r="I2011" t="n">
        <v>-105.021003671946</v>
      </c>
      <c r="J2011" t="s">
        <v>35</v>
      </c>
      <c r="K2011" t="s">
        <v>70</v>
      </c>
      <c r="L2011"/>
      <c r="M2011" t="n">
        <v>1965</v>
      </c>
      <c r="N2011" t="n">
        <v>1974</v>
      </c>
      <c r="O2011" t="s">
        <v>6854</v>
      </c>
      <c r="P2011" t="n">
        <v>7</v>
      </c>
      <c r="Q2011" t="n">
        <v>2</v>
      </c>
      <c r="R2011" t="n">
        <v>1</v>
      </c>
      <c r="S2011" t="n">
        <v>1963</v>
      </c>
      <c r="T2011" t="s">
        <v>13128</v>
      </c>
      <c r="U2011" t="s">
        <v>13129</v>
      </c>
      <c r="V2011" t="s">
        <v>74</v>
      </c>
      <c r="W2011"/>
      <c r="X2011"/>
      <c r="Y2011" t="s">
        <v>13130</v>
      </c>
      <c r="Z2011"/>
      <c r="AA2011"/>
      <c r="AB2011"/>
      <c r="AC2011"/>
      <c r="AD2011"/>
      <c r="AE2011"/>
      <c r="AF2011" t="s">
        <v>13131</v>
      </c>
      <c r="AG2011" t="n">
        <v>28</v>
      </c>
    </row>
    <row r="2012">
      <c r="A2012" t="s">
        <v>13132</v>
      </c>
      <c r="B2012" t="s">
        <v>28</v>
      </c>
      <c r="C2012" t="s">
        <v>65</v>
      </c>
      <c r="D2012" t="s">
        <v>13133</v>
      </c>
      <c r="E2012" t="s">
        <v>386</v>
      </c>
      <c r="F2012" t="s">
        <v>387</v>
      </c>
      <c r="G2012"/>
      <c r="H2012" t="n">
        <v>39.6120737730824</v>
      </c>
      <c r="I2012" t="n">
        <v>-105.018417547755</v>
      </c>
      <c r="J2012" t="s">
        <v>35</v>
      </c>
      <c r="K2012" t="s">
        <v>89</v>
      </c>
      <c r="L2012"/>
      <c r="M2012" t="n">
        <v>1965</v>
      </c>
      <c r="N2012" t="n">
        <v>1992</v>
      </c>
      <c r="O2012" t="s">
        <v>1275</v>
      </c>
      <c r="P2012" t="n">
        <v>4</v>
      </c>
      <c r="Q2012" t="n">
        <v>3</v>
      </c>
      <c r="R2012" t="n">
        <v>1</v>
      </c>
      <c r="S2012" t="n">
        <v>1977</v>
      </c>
      <c r="T2012" t="s">
        <v>13134</v>
      </c>
      <c r="U2012" t="s">
        <v>13135</v>
      </c>
      <c r="V2012" t="s">
        <v>74</v>
      </c>
      <c r="W2012"/>
      <c r="X2012"/>
      <c r="Y2012" t="s">
        <v>13136</v>
      </c>
      <c r="Z2012"/>
      <c r="AA2012"/>
      <c r="AB2012" t="s">
        <v>13137</v>
      </c>
      <c r="AC2012" t="n">
        <v>189</v>
      </c>
      <c r="AD2012"/>
      <c r="AE2012"/>
      <c r="AF2012" t="s">
        <v>13138</v>
      </c>
      <c r="AG2012" t="n">
        <v>6</v>
      </c>
    </row>
    <row r="2013">
      <c r="A2013" t="s">
        <v>13139</v>
      </c>
      <c r="B2013" t="s">
        <v>28</v>
      </c>
      <c r="C2013" t="s">
        <v>65</v>
      </c>
      <c r="D2013" t="s">
        <v>13140</v>
      </c>
      <c r="E2013" t="s">
        <v>79</v>
      </c>
      <c r="F2013" t="s">
        <v>387</v>
      </c>
      <c r="G2013"/>
      <c r="H2013" t="n">
        <v>39.6744656755567</v>
      </c>
      <c r="I2013" t="n">
        <v>-105.001770877557</v>
      </c>
      <c r="J2013" t="s">
        <v>35</v>
      </c>
      <c r="K2013" t="s">
        <v>70</v>
      </c>
      <c r="L2013"/>
      <c r="M2013" t="n">
        <v>1965</v>
      </c>
      <c r="N2013" t="n">
        <v>1988</v>
      </c>
      <c r="O2013" t="s">
        <v>325</v>
      </c>
      <c r="P2013" t="n">
        <v>8</v>
      </c>
      <c r="Q2013" t="n">
        <v>6</v>
      </c>
      <c r="R2013" t="n">
        <v>1</v>
      </c>
      <c r="S2013" t="n">
        <v>1950</v>
      </c>
      <c r="T2013" t="s">
        <v>13141</v>
      </c>
      <c r="U2013" t="s">
        <v>13142</v>
      </c>
      <c r="V2013" t="s">
        <v>74</v>
      </c>
      <c r="W2013"/>
      <c r="X2013"/>
      <c r="Y2013" t="s">
        <v>13143</v>
      </c>
      <c r="Z2013"/>
      <c r="AA2013"/>
      <c r="AB2013" t="s">
        <v>13144</v>
      </c>
      <c r="AC2013" t="n">
        <v>240</v>
      </c>
      <c r="AD2013"/>
      <c r="AE2013"/>
      <c r="AF2013" t="s">
        <v>7583</v>
      </c>
      <c r="AG2013" t="n">
        <v>37</v>
      </c>
    </row>
    <row r="2014">
      <c r="A2014" t="s">
        <v>13145</v>
      </c>
      <c r="B2014" t="s">
        <v>28</v>
      </c>
      <c r="C2014" t="s">
        <v>65</v>
      </c>
      <c r="D2014" t="s">
        <v>13146</v>
      </c>
      <c r="E2014" t="s">
        <v>394</v>
      </c>
      <c r="F2014" t="s">
        <v>387</v>
      </c>
      <c r="G2014" t="s">
        <v>395</v>
      </c>
      <c r="H2014" t="n">
        <v>39.6492844656772</v>
      </c>
      <c r="I2014" t="n">
        <v>-104.999363027829</v>
      </c>
      <c r="J2014" t="s">
        <v>35</v>
      </c>
      <c r="K2014" t="s">
        <v>201</v>
      </c>
      <c r="L2014"/>
      <c r="M2014" t="n">
        <v>1966</v>
      </c>
      <c r="N2014" t="n">
        <v>1990</v>
      </c>
      <c r="O2014" t="s">
        <v>13147</v>
      </c>
      <c r="P2014" t="n">
        <v>8</v>
      </c>
      <c r="Q2014" t="n">
        <v>5</v>
      </c>
      <c r="R2014" t="n">
        <v>5</v>
      </c>
      <c r="S2014" t="n">
        <v>1951</v>
      </c>
      <c r="T2014" t="s">
        <v>13148</v>
      </c>
      <c r="U2014" t="s">
        <v>13149</v>
      </c>
      <c r="V2014" t="s">
        <v>74</v>
      </c>
      <c r="W2014"/>
      <c r="X2014"/>
      <c r="Y2014" t="s">
        <v>13150</v>
      </c>
      <c r="Z2014"/>
      <c r="AA2014"/>
      <c r="AB2014" t="s">
        <v>5791</v>
      </c>
      <c r="AC2014" t="n">
        <v>228</v>
      </c>
      <c r="AD2014" t="s">
        <v>5792</v>
      </c>
      <c r="AE2014" t="n">
        <v>116</v>
      </c>
      <c r="AF2014" t="s">
        <v>10819</v>
      </c>
      <c r="AG2014" t="n">
        <v>13</v>
      </c>
    </row>
    <row r="2015">
      <c r="A2015" t="s">
        <v>13151</v>
      </c>
      <c r="B2015" t="s">
        <v>28</v>
      </c>
      <c r="C2015" t="s">
        <v>65</v>
      </c>
      <c r="D2015" t="s">
        <v>13152</v>
      </c>
      <c r="E2015" t="s">
        <v>394</v>
      </c>
      <c r="F2015" t="s">
        <v>387</v>
      </c>
      <c r="G2015" t="s">
        <v>395</v>
      </c>
      <c r="H2015" t="n">
        <v>39.6476603306122</v>
      </c>
      <c r="I2015" t="n">
        <v>-104.999406726531</v>
      </c>
      <c r="J2015" t="s">
        <v>35</v>
      </c>
      <c r="K2015" t="s">
        <v>767</v>
      </c>
      <c r="L2015" t="s">
        <v>202</v>
      </c>
      <c r="M2015" t="n">
        <v>1966</v>
      </c>
      <c r="N2015" t="n">
        <v>1990</v>
      </c>
      <c r="O2015" t="s">
        <v>13153</v>
      </c>
      <c r="P2015" t="n">
        <v>9</v>
      </c>
      <c r="Q2015" t="n">
        <v>9</v>
      </c>
      <c r="R2015" t="n">
        <v>7</v>
      </c>
      <c r="S2015" t="n">
        <v>1952</v>
      </c>
      <c r="T2015" t="s">
        <v>13154</v>
      </c>
      <c r="U2015" t="s">
        <v>13155</v>
      </c>
      <c r="V2015" t="s">
        <v>74</v>
      </c>
      <c r="W2015"/>
      <c r="X2015"/>
      <c r="Y2015" t="s">
        <v>13156</v>
      </c>
      <c r="Z2015"/>
      <c r="AA2015" t="s">
        <v>13157</v>
      </c>
      <c r="AB2015" t="s">
        <v>5791</v>
      </c>
      <c r="AC2015" t="n">
        <v>220</v>
      </c>
      <c r="AD2015" t="s">
        <v>5792</v>
      </c>
      <c r="AE2015" t="n">
        <v>156</v>
      </c>
      <c r="AF2015" t="s">
        <v>13158</v>
      </c>
      <c r="AG2015" t="n">
        <v>10</v>
      </c>
    </row>
    <row r="2016">
      <c r="A2016" t="s">
        <v>13159</v>
      </c>
      <c r="B2016" t="s">
        <v>28</v>
      </c>
      <c r="C2016" t="s">
        <v>65</v>
      </c>
      <c r="D2016" t="s">
        <v>13160</v>
      </c>
      <c r="E2016" t="s">
        <v>394</v>
      </c>
      <c r="F2016" t="s">
        <v>387</v>
      </c>
      <c r="G2016" t="s">
        <v>395</v>
      </c>
      <c r="H2016" t="n">
        <v>39.658701</v>
      </c>
      <c r="I2016" t="n">
        <v>-105.015806</v>
      </c>
      <c r="J2016" t="s">
        <v>35</v>
      </c>
      <c r="K2016" t="s">
        <v>81</v>
      </c>
      <c r="L2016"/>
      <c r="M2016" t="n">
        <v>1966</v>
      </c>
      <c r="N2016" t="n">
        <v>1990</v>
      </c>
      <c r="O2016" t="s">
        <v>271</v>
      </c>
      <c r="P2016" t="n">
        <v>8</v>
      </c>
      <c r="Q2016" t="n">
        <v>4</v>
      </c>
      <c r="R2016" t="n">
        <v>2</v>
      </c>
      <c r="S2016" t="n">
        <v>1953</v>
      </c>
      <c r="T2016" t="s">
        <v>13161</v>
      </c>
      <c r="U2016" t="s">
        <v>13162</v>
      </c>
      <c r="V2016" t="s">
        <v>74</v>
      </c>
      <c r="W2016"/>
      <c r="X2016"/>
      <c r="Y2016" t="s">
        <v>13163</v>
      </c>
      <c r="Z2016"/>
      <c r="AA2016"/>
      <c r="AB2016"/>
      <c r="AC2016"/>
      <c r="AD2016"/>
      <c r="AE2016"/>
      <c r="AF2016" t="s">
        <v>13164</v>
      </c>
      <c r="AG2016" t="n">
        <v>42</v>
      </c>
    </row>
    <row r="2017">
      <c r="A2017" t="s">
        <v>13165</v>
      </c>
      <c r="B2017" t="s">
        <v>28</v>
      </c>
      <c r="C2017" t="s">
        <v>65</v>
      </c>
      <c r="D2017" t="s">
        <v>13166</v>
      </c>
      <c r="E2017" t="s">
        <v>394</v>
      </c>
      <c r="F2017" t="s">
        <v>387</v>
      </c>
      <c r="G2017" t="s">
        <v>395</v>
      </c>
      <c r="H2017" t="n">
        <v>39.6440435397745</v>
      </c>
      <c r="I2017" t="n">
        <v>-105.020656686045</v>
      </c>
      <c r="J2017" t="s">
        <v>35</v>
      </c>
      <c r="K2017" t="s">
        <v>111</v>
      </c>
      <c r="L2017" t="s">
        <v>554</v>
      </c>
      <c r="M2017" t="n">
        <v>1966</v>
      </c>
      <c r="N2017" t="n">
        <v>1990</v>
      </c>
      <c r="O2017" t="s">
        <v>5289</v>
      </c>
      <c r="P2017" t="n">
        <v>6</v>
      </c>
      <c r="Q2017" t="n">
        <v>6</v>
      </c>
      <c r="R2017" t="n">
        <v>4</v>
      </c>
      <c r="S2017" t="n">
        <v>1957</v>
      </c>
      <c r="T2017" t="s">
        <v>13167</v>
      </c>
      <c r="U2017" t="s">
        <v>13168</v>
      </c>
      <c r="V2017" t="s">
        <v>74</v>
      </c>
      <c r="W2017"/>
      <c r="X2017"/>
      <c r="Y2017" t="s">
        <v>13169</v>
      </c>
      <c r="Z2017"/>
      <c r="AA2017" t="s">
        <v>13170</v>
      </c>
      <c r="AB2017" t="s">
        <v>13171</v>
      </c>
      <c r="AC2017" t="n">
        <v>83</v>
      </c>
      <c r="AD2017" t="s">
        <v>5925</v>
      </c>
      <c r="AE2017" t="n">
        <v>182</v>
      </c>
      <c r="AF2017" t="s">
        <v>13138</v>
      </c>
      <c r="AG2017" t="n">
        <v>81</v>
      </c>
    </row>
    <row r="2018">
      <c r="A2018" t="s">
        <v>13172</v>
      </c>
      <c r="B2018" t="s">
        <v>28</v>
      </c>
      <c r="C2018" t="s">
        <v>65</v>
      </c>
      <c r="D2018" t="s">
        <v>13173</v>
      </c>
      <c r="E2018" t="s">
        <v>394</v>
      </c>
      <c r="F2018" t="s">
        <v>387</v>
      </c>
      <c r="G2018" t="s">
        <v>395</v>
      </c>
      <c r="H2018" t="n">
        <v>39.6294707806122</v>
      </c>
      <c r="I2018" t="n">
        <v>-104.987932479592</v>
      </c>
      <c r="J2018" t="s">
        <v>35</v>
      </c>
      <c r="K2018" t="s">
        <v>70</v>
      </c>
      <c r="L2018"/>
      <c r="M2018" t="n">
        <v>1966</v>
      </c>
      <c r="N2018" t="n">
        <v>1968</v>
      </c>
      <c r="O2018" t="s">
        <v>1349</v>
      </c>
      <c r="P2018" t="n">
        <v>3</v>
      </c>
      <c r="Q2018" t="n">
        <v>4</v>
      </c>
      <c r="R2018" t="n">
        <v>1</v>
      </c>
      <c r="S2018" t="n">
        <v>1946</v>
      </c>
      <c r="T2018" t="s">
        <v>13174</v>
      </c>
      <c r="U2018" t="s">
        <v>13175</v>
      </c>
      <c r="V2018" t="s">
        <v>74</v>
      </c>
      <c r="W2018"/>
      <c r="X2018"/>
      <c r="Y2018" t="s">
        <v>13176</v>
      </c>
      <c r="Z2018"/>
      <c r="AA2018"/>
      <c r="AB2018"/>
      <c r="AC2018"/>
      <c r="AD2018"/>
      <c r="AE2018"/>
      <c r="AF2018" t="s">
        <v>13177</v>
      </c>
      <c r="AG2018" t="n">
        <v>17</v>
      </c>
    </row>
    <row r="2019">
      <c r="A2019" t="s">
        <v>13178</v>
      </c>
      <c r="B2019" t="s">
        <v>28</v>
      </c>
      <c r="C2019" t="s">
        <v>65</v>
      </c>
      <c r="D2019" t="s">
        <v>13179</v>
      </c>
      <c r="E2019" t="s">
        <v>394</v>
      </c>
      <c r="F2019" t="s">
        <v>387</v>
      </c>
      <c r="G2019" t="s">
        <v>395</v>
      </c>
      <c r="H2019" t="n">
        <v>39.6480863061225</v>
      </c>
      <c r="I2019" t="n">
        <v>-104.999395265306</v>
      </c>
      <c r="J2019" t="s">
        <v>35</v>
      </c>
      <c r="K2019" t="s">
        <v>315</v>
      </c>
      <c r="L2019"/>
      <c r="M2019" t="n">
        <v>1966</v>
      </c>
      <c r="N2019" t="n">
        <v>1983</v>
      </c>
      <c r="O2019" t="s">
        <v>13180</v>
      </c>
      <c r="P2019" t="n">
        <v>5</v>
      </c>
      <c r="Q2019" t="n">
        <v>2</v>
      </c>
      <c r="R2019" t="n">
        <v>1</v>
      </c>
      <c r="S2019" t="n">
        <v>1950</v>
      </c>
      <c r="T2019" t="s">
        <v>13181</v>
      </c>
      <c r="U2019" t="s">
        <v>13182</v>
      </c>
      <c r="V2019" t="s">
        <v>74</v>
      </c>
      <c r="W2019"/>
      <c r="X2019"/>
      <c r="Y2019" t="s">
        <v>13183</v>
      </c>
      <c r="Z2019"/>
      <c r="AA2019" t="s">
        <v>13184</v>
      </c>
      <c r="AB2019" t="s">
        <v>5791</v>
      </c>
      <c r="AC2019" t="n">
        <v>208</v>
      </c>
      <c r="AD2019" t="s">
        <v>5792</v>
      </c>
      <c r="AE2019" t="n">
        <v>123</v>
      </c>
      <c r="AF2019" t="s">
        <v>13185</v>
      </c>
      <c r="AG2019" t="n">
        <v>8</v>
      </c>
    </row>
    <row r="2020">
      <c r="A2020" t="s">
        <v>13186</v>
      </c>
      <c r="B2020" t="s">
        <v>28</v>
      </c>
      <c r="C2020" t="s">
        <v>65</v>
      </c>
      <c r="D2020" t="s">
        <v>13187</v>
      </c>
      <c r="E2020" t="s">
        <v>394</v>
      </c>
      <c r="F2020" t="s">
        <v>387</v>
      </c>
      <c r="G2020" t="s">
        <v>395</v>
      </c>
      <c r="H2020" t="n">
        <v>39.6508305691</v>
      </c>
      <c r="I2020" t="n">
        <v>-105.002673811015</v>
      </c>
      <c r="J2020" t="s">
        <v>35</v>
      </c>
      <c r="K2020" t="s">
        <v>70</v>
      </c>
      <c r="L2020"/>
      <c r="M2020" t="n">
        <v>1966</v>
      </c>
      <c r="N2020" t="n">
        <v>1973</v>
      </c>
      <c r="O2020" t="s">
        <v>388</v>
      </c>
      <c r="P2020" t="n">
        <v>3</v>
      </c>
      <c r="Q2020" t="n">
        <v>4</v>
      </c>
      <c r="R2020" t="n">
        <v>1</v>
      </c>
      <c r="S2020" t="n">
        <v>1953</v>
      </c>
      <c r="T2020" t="s">
        <v>13188</v>
      </c>
      <c r="U2020" t="s">
        <v>13189</v>
      </c>
      <c r="V2020" t="s">
        <v>74</v>
      </c>
      <c r="W2020"/>
      <c r="X2020"/>
      <c r="Y2020" t="s">
        <v>13190</v>
      </c>
      <c r="Z2020"/>
      <c r="AA2020"/>
      <c r="AB2020" t="s">
        <v>424</v>
      </c>
      <c r="AC2020" t="n">
        <v>155</v>
      </c>
      <c r="AD2020"/>
      <c r="AE2020"/>
      <c r="AF2020" t="s">
        <v>425</v>
      </c>
      <c r="AG2020" t="n">
        <v>33</v>
      </c>
    </row>
    <row r="2021">
      <c r="A2021" t="s">
        <v>13191</v>
      </c>
      <c r="B2021" t="s">
        <v>28</v>
      </c>
      <c r="C2021" t="s">
        <v>65</v>
      </c>
      <c r="D2021" t="s">
        <v>13192</v>
      </c>
      <c r="E2021" t="s">
        <v>95</v>
      </c>
      <c r="F2021" t="s">
        <v>387</v>
      </c>
      <c r="G2021" t="s">
        <v>433</v>
      </c>
      <c r="H2021" t="n">
        <v>39.7598073181599</v>
      </c>
      <c r="I2021" t="n">
        <v>-104.851496168618</v>
      </c>
      <c r="J2021" t="s">
        <v>35</v>
      </c>
      <c r="K2021" t="s">
        <v>120</v>
      </c>
      <c r="L2021"/>
      <c r="M2021" t="n">
        <v>1967</v>
      </c>
      <c r="N2021" t="n">
        <v>1980</v>
      </c>
      <c r="O2021" t="s">
        <v>5853</v>
      </c>
      <c r="P2021" t="n">
        <v>6</v>
      </c>
      <c r="Q2021" t="n">
        <v>2</v>
      </c>
      <c r="R2021" t="n">
        <v>2</v>
      </c>
      <c r="S2021" t="n">
        <v>1964</v>
      </c>
      <c r="T2021" t="s">
        <v>13193</v>
      </c>
      <c r="U2021" t="s">
        <v>13194</v>
      </c>
      <c r="V2021" t="s">
        <v>74</v>
      </c>
      <c r="W2021"/>
      <c r="X2021"/>
      <c r="Y2021" t="s">
        <v>13195</v>
      </c>
      <c r="Z2021"/>
      <c r="AA2021" t="s">
        <v>13196</v>
      </c>
      <c r="AB2021"/>
      <c r="AC2021"/>
      <c r="AD2021"/>
      <c r="AE2021"/>
      <c r="AF2021" t="s">
        <v>13197</v>
      </c>
      <c r="AG2021" t="n">
        <v>16</v>
      </c>
    </row>
    <row r="2022">
      <c r="A2022" t="s">
        <v>13198</v>
      </c>
      <c r="B2022" t="s">
        <v>28</v>
      </c>
      <c r="C2022" t="s">
        <v>24</v>
      </c>
      <c r="D2022" t="s">
        <v>13199</v>
      </c>
      <c r="E2022" t="s">
        <v>95</v>
      </c>
      <c r="F2022" t="s">
        <v>387</v>
      </c>
      <c r="G2022" t="s">
        <v>433</v>
      </c>
      <c r="H2022" t="n">
        <v>39.7569998</v>
      </c>
      <c r="I2022" t="n">
        <v>-104.8008358</v>
      </c>
      <c r="J2022" t="s">
        <v>4109</v>
      </c>
      <c r="K2022" t="s">
        <v>120</v>
      </c>
      <c r="L2022"/>
      <c r="M2022" t="n">
        <v>1967</v>
      </c>
      <c r="N2022" t="n">
        <v>1970</v>
      </c>
      <c r="O2022" t="s">
        <v>3494</v>
      </c>
      <c r="P2022" t="n">
        <v>3</v>
      </c>
      <c r="Q2022" t="n">
        <v>2</v>
      </c>
      <c r="R2022" t="n">
        <v>2</v>
      </c>
      <c r="S2022" t="n">
        <v>1954</v>
      </c>
      <c r="T2022" t="s">
        <v>13200</v>
      </c>
      <c r="U2022" t="s">
        <v>13201</v>
      </c>
      <c r="V2022" t="s">
        <v>74</v>
      </c>
      <c r="W2022"/>
      <c r="X2022"/>
      <c r="Y2022" t="s">
        <v>13202</v>
      </c>
      <c r="Z2022"/>
      <c r="AA2022" t="s">
        <v>13203</v>
      </c>
      <c r="AB2022"/>
      <c r="AC2022"/>
      <c r="AD2022"/>
      <c r="AE2022"/>
      <c r="AF2022" t="s">
        <v>13204</v>
      </c>
      <c r="AG2022" t="n">
        <v>130</v>
      </c>
    </row>
    <row r="2023">
      <c r="A2023" t="s">
        <v>13205</v>
      </c>
      <c r="B2023" t="s">
        <v>28</v>
      </c>
      <c r="C2023" t="s">
        <v>65</v>
      </c>
      <c r="D2023" t="s">
        <v>13206</v>
      </c>
      <c r="E2023" t="s">
        <v>394</v>
      </c>
      <c r="F2023" t="s">
        <v>387</v>
      </c>
      <c r="G2023" t="s">
        <v>395</v>
      </c>
      <c r="H2023" t="n">
        <v>39.6536741547619</v>
      </c>
      <c r="I2023" t="n">
        <v>-105.015887143939</v>
      </c>
      <c r="J2023" t="s">
        <v>35</v>
      </c>
      <c r="K2023" t="s">
        <v>315</v>
      </c>
      <c r="L2023"/>
      <c r="M2023" t="n">
        <v>1967</v>
      </c>
      <c r="N2023" t="n">
        <v>1974</v>
      </c>
      <c r="O2023" t="s">
        <v>13207</v>
      </c>
      <c r="P2023" t="n">
        <v>5</v>
      </c>
      <c r="Q2023" t="n">
        <v>3</v>
      </c>
      <c r="R2023" t="n">
        <v>3</v>
      </c>
      <c r="S2023" t="n">
        <v>1964</v>
      </c>
      <c r="T2023" t="s">
        <v>13208</v>
      </c>
      <c r="U2023" t="s">
        <v>13209</v>
      </c>
      <c r="V2023" t="s">
        <v>74</v>
      </c>
      <c r="W2023"/>
      <c r="X2023"/>
      <c r="Y2023" t="s">
        <v>13210</v>
      </c>
      <c r="Z2023"/>
      <c r="AA2023"/>
      <c r="AB2023" t="s">
        <v>6093</v>
      </c>
      <c r="AC2023" t="n">
        <v>96</v>
      </c>
      <c r="AD2023"/>
      <c r="AE2023"/>
      <c r="AF2023" t="s">
        <v>6094</v>
      </c>
      <c r="AG2023" t="n">
        <v>4</v>
      </c>
    </row>
    <row r="2024">
      <c r="A2024" t="s">
        <v>13211</v>
      </c>
      <c r="B2024" t="s">
        <v>28</v>
      </c>
      <c r="C2024" t="s">
        <v>65</v>
      </c>
      <c r="D2024" t="s">
        <v>13212</v>
      </c>
      <c r="E2024" t="s">
        <v>394</v>
      </c>
      <c r="F2024" t="s">
        <v>387</v>
      </c>
      <c r="G2024" t="s">
        <v>395</v>
      </c>
      <c r="H2024" t="n">
        <v>39.6443901486881</v>
      </c>
      <c r="I2024" t="n">
        <v>-105.000628</v>
      </c>
      <c r="J2024" t="s">
        <v>35</v>
      </c>
      <c r="K2024" t="s">
        <v>796</v>
      </c>
      <c r="L2024"/>
      <c r="M2024" t="n">
        <v>1967</v>
      </c>
      <c r="N2024" t="n">
        <v>1983</v>
      </c>
      <c r="O2024" t="s">
        <v>7937</v>
      </c>
      <c r="P2024" t="n">
        <v>6</v>
      </c>
      <c r="Q2024" t="n">
        <v>4</v>
      </c>
      <c r="R2024" t="n">
        <v>2</v>
      </c>
      <c r="S2024" t="n">
        <v>1956</v>
      </c>
      <c r="T2024" t="s">
        <v>13213</v>
      </c>
      <c r="U2024" t="s">
        <v>13214</v>
      </c>
      <c r="V2024" t="s">
        <v>74</v>
      </c>
      <c r="W2024"/>
      <c r="X2024"/>
      <c r="Y2024" t="s">
        <v>13215</v>
      </c>
      <c r="Z2024"/>
      <c r="AA2024"/>
      <c r="AB2024" t="s">
        <v>5803</v>
      </c>
      <c r="AC2024" t="n">
        <v>240</v>
      </c>
      <c r="AD2024" t="s">
        <v>13216</v>
      </c>
      <c r="AE2024" t="n">
        <v>147</v>
      </c>
      <c r="AF2024" t="s">
        <v>13217</v>
      </c>
      <c r="AG2024" t="n">
        <v>2</v>
      </c>
    </row>
    <row r="2025">
      <c r="A2025" t="s">
        <v>13218</v>
      </c>
      <c r="B2025" t="s">
        <v>28</v>
      </c>
      <c r="C2025" t="s">
        <v>65</v>
      </c>
      <c r="D2025" t="s">
        <v>13219</v>
      </c>
      <c r="E2025" t="s">
        <v>394</v>
      </c>
      <c r="F2025" t="s">
        <v>387</v>
      </c>
      <c r="G2025" t="s">
        <v>395</v>
      </c>
      <c r="H2025" t="n">
        <v>39.638589</v>
      </c>
      <c r="I2025" t="n">
        <v>-105.004376</v>
      </c>
      <c r="J2025" t="s">
        <v>35</v>
      </c>
      <c r="K2025" t="s">
        <v>81</v>
      </c>
      <c r="L2025"/>
      <c r="M2025" t="n">
        <v>1967</v>
      </c>
      <c r="N2025" t="n">
        <v>1980</v>
      </c>
      <c r="O2025" t="s">
        <v>13220</v>
      </c>
      <c r="P2025" t="n">
        <v>3</v>
      </c>
      <c r="Q2025" t="n">
        <v>3</v>
      </c>
      <c r="R2025" t="n">
        <v>3</v>
      </c>
      <c r="S2025" t="n">
        <v>1962</v>
      </c>
      <c r="T2025" t="s">
        <v>13221</v>
      </c>
      <c r="U2025" t="s">
        <v>13222</v>
      </c>
      <c r="V2025" t="s">
        <v>74</v>
      </c>
      <c r="W2025"/>
      <c r="X2025"/>
      <c r="Y2025" t="s">
        <v>13223</v>
      </c>
      <c r="Z2025"/>
      <c r="AA2025"/>
      <c r="AB2025"/>
      <c r="AC2025"/>
      <c r="AD2025"/>
      <c r="AE2025"/>
      <c r="AF2025" t="s">
        <v>13224</v>
      </c>
      <c r="AG2025" t="n">
        <v>32</v>
      </c>
    </row>
    <row r="2026">
      <c r="A2026" t="s">
        <v>13225</v>
      </c>
      <c r="B2026" t="s">
        <v>28</v>
      </c>
      <c r="C2026" t="s">
        <v>65</v>
      </c>
      <c r="D2026" t="s">
        <v>13226</v>
      </c>
      <c r="E2026" t="s">
        <v>394</v>
      </c>
      <c r="F2026" t="s">
        <v>387</v>
      </c>
      <c r="G2026" t="s">
        <v>395</v>
      </c>
      <c r="H2026" t="n">
        <v>39.6628272117749</v>
      </c>
      <c r="I2026" t="n">
        <v>-104.994639511754</v>
      </c>
      <c r="J2026" t="s">
        <v>35</v>
      </c>
      <c r="K2026" t="s">
        <v>120</v>
      </c>
      <c r="L2026"/>
      <c r="M2026" t="n">
        <v>1967</v>
      </c>
      <c r="N2026" t="n">
        <v>1990</v>
      </c>
      <c r="O2026" t="s">
        <v>388</v>
      </c>
      <c r="P2026" t="n">
        <v>5</v>
      </c>
      <c r="Q2026" t="n">
        <v>3</v>
      </c>
      <c r="R2026" t="n">
        <v>1</v>
      </c>
      <c r="S2026" t="n">
        <v>1956</v>
      </c>
      <c r="T2026" t="s">
        <v>13227</v>
      </c>
      <c r="U2026" t="s">
        <v>13228</v>
      </c>
      <c r="V2026" t="s">
        <v>74</v>
      </c>
      <c r="W2026"/>
      <c r="X2026"/>
      <c r="Y2026" t="s">
        <v>13229</v>
      </c>
      <c r="Z2026"/>
      <c r="AA2026" t="s">
        <v>13230</v>
      </c>
      <c r="AB2026" t="s">
        <v>5758</v>
      </c>
      <c r="AC2026" t="n">
        <v>134</v>
      </c>
      <c r="AD2026"/>
      <c r="AE2026"/>
      <c r="AF2026" t="s">
        <v>13231</v>
      </c>
      <c r="AG2026" t="n">
        <v>41</v>
      </c>
    </row>
    <row r="2027">
      <c r="A2027" t="s">
        <v>13232</v>
      </c>
      <c r="B2027" t="s">
        <v>28</v>
      </c>
      <c r="C2027" t="s">
        <v>65</v>
      </c>
      <c r="D2027" t="s">
        <v>13233</v>
      </c>
      <c r="E2027" t="s">
        <v>386</v>
      </c>
      <c r="F2027" t="s">
        <v>387</v>
      </c>
      <c r="G2027" t="s">
        <v>428</v>
      </c>
      <c r="H2027" t="n">
        <v>39.5736755000812</v>
      </c>
      <c r="I2027" t="n">
        <v>-105.055184733587</v>
      </c>
      <c r="J2027" t="s">
        <v>35</v>
      </c>
      <c r="K2027" t="s">
        <v>527</v>
      </c>
      <c r="L2027"/>
      <c r="M2027" t="n">
        <v>1967</v>
      </c>
      <c r="N2027" t="n">
        <v>1980</v>
      </c>
      <c r="O2027" t="s">
        <v>7857</v>
      </c>
      <c r="P2027" t="n">
        <v>4</v>
      </c>
      <c r="Q2027" t="n">
        <v>2</v>
      </c>
      <c r="R2027" t="n">
        <v>2</v>
      </c>
      <c r="S2027" t="n">
        <v>1958</v>
      </c>
      <c r="T2027" t="s">
        <v>13234</v>
      </c>
      <c r="U2027" t="s">
        <v>13235</v>
      </c>
      <c r="V2027" t="s">
        <v>74</v>
      </c>
      <c r="W2027"/>
      <c r="X2027"/>
      <c r="Y2027" t="s">
        <v>13236</v>
      </c>
      <c r="Z2027"/>
      <c r="AA2027"/>
      <c r="AB2027"/>
      <c r="AC2027"/>
      <c r="AD2027"/>
      <c r="AE2027"/>
      <c r="AF2027" t="s">
        <v>13237</v>
      </c>
      <c r="AG2027" t="n">
        <v>19</v>
      </c>
    </row>
    <row r="2028">
      <c r="A2028" t="s">
        <v>13238</v>
      </c>
      <c r="B2028" t="s">
        <v>28</v>
      </c>
      <c r="C2028" t="s">
        <v>24</v>
      </c>
      <c r="D2028" t="s">
        <v>13239</v>
      </c>
      <c r="E2028" t="s">
        <v>394</v>
      </c>
      <c r="F2028" t="s">
        <v>387</v>
      </c>
      <c r="G2028"/>
      <c r="H2028" t="n">
        <v>39.6313175102041</v>
      </c>
      <c r="I2028" t="n">
        <v>-104.990586612245</v>
      </c>
      <c r="J2028" t="s">
        <v>4109</v>
      </c>
      <c r="K2028" t="s">
        <v>70</v>
      </c>
      <c r="L2028"/>
      <c r="M2028" t="n">
        <v>1968</v>
      </c>
      <c r="N2028" t="n">
        <v>1968</v>
      </c>
      <c r="O2028" t="s">
        <v>1349</v>
      </c>
      <c r="P2028" t="n">
        <v>1</v>
      </c>
      <c r="Q2028" t="n">
        <v>1</v>
      </c>
      <c r="R2028" t="n">
        <v>1</v>
      </c>
      <c r="S2028"/>
      <c r="T2028" t="s">
        <v>13240</v>
      </c>
      <c r="U2028" t="s">
        <v>13241</v>
      </c>
      <c r="V2028" t="s">
        <v>74</v>
      </c>
      <c r="W2028"/>
      <c r="X2028"/>
      <c r="Y2028" t="s">
        <v>13242</v>
      </c>
      <c r="Z2028"/>
      <c r="AA2028" t="s">
        <v>13243</v>
      </c>
      <c r="AB2028"/>
      <c r="AC2028"/>
      <c r="AD2028"/>
      <c r="AE2028"/>
      <c r="AF2028" t="s">
        <v>13244</v>
      </c>
      <c r="AG2028" t="n">
        <v>221</v>
      </c>
    </row>
    <row r="2029">
      <c r="A2029" t="s">
        <v>13245</v>
      </c>
      <c r="B2029" t="s">
        <v>28</v>
      </c>
      <c r="C2029" t="s">
        <v>65</v>
      </c>
      <c r="D2029" t="s">
        <v>13246</v>
      </c>
      <c r="E2029" t="s">
        <v>394</v>
      </c>
      <c r="F2029" t="s">
        <v>387</v>
      </c>
      <c r="G2029" t="s">
        <v>395</v>
      </c>
      <c r="H2029" t="n">
        <v>39.634889</v>
      </c>
      <c r="I2029" t="n">
        <v>-105.007981</v>
      </c>
      <c r="J2029" t="s">
        <v>35</v>
      </c>
      <c r="K2029" t="s">
        <v>126</v>
      </c>
      <c r="L2029"/>
      <c r="M2029" t="n">
        <v>1968</v>
      </c>
      <c r="N2029" t="n">
        <v>1977</v>
      </c>
      <c r="O2029" t="s">
        <v>90</v>
      </c>
      <c r="P2029" t="n">
        <v>5</v>
      </c>
      <c r="Q2029" t="n">
        <v>1</v>
      </c>
      <c r="R2029" t="n">
        <v>1</v>
      </c>
      <c r="S2029" t="n">
        <v>1964</v>
      </c>
      <c r="T2029" t="s">
        <v>13247</v>
      </c>
      <c r="U2029" t="s">
        <v>13248</v>
      </c>
      <c r="V2029" t="s">
        <v>74</v>
      </c>
      <c r="W2029"/>
      <c r="X2029"/>
      <c r="Y2029" t="s">
        <v>13249</v>
      </c>
      <c r="Z2029"/>
      <c r="AA2029" t="s">
        <v>13250</v>
      </c>
      <c r="AB2029" t="s">
        <v>5897</v>
      </c>
      <c r="AC2029" t="n">
        <v>93</v>
      </c>
      <c r="AD2029"/>
      <c r="AE2029"/>
      <c r="AF2029" t="s">
        <v>6133</v>
      </c>
      <c r="AG2029" t="n">
        <v>26</v>
      </c>
    </row>
    <row r="2030">
      <c r="A2030" t="s">
        <v>13251</v>
      </c>
      <c r="B2030" t="s">
        <v>28</v>
      </c>
      <c r="C2030" t="s">
        <v>65</v>
      </c>
      <c r="D2030" t="s">
        <v>13252</v>
      </c>
      <c r="E2030" t="s">
        <v>394</v>
      </c>
      <c r="F2030" t="s">
        <v>387</v>
      </c>
      <c r="G2030" t="s">
        <v>395</v>
      </c>
      <c r="H2030" t="n">
        <v>39.664180244898</v>
      </c>
      <c r="I2030" t="n">
        <v>-105.012161510204</v>
      </c>
      <c r="J2030" t="s">
        <v>35</v>
      </c>
      <c r="K2030" t="s">
        <v>120</v>
      </c>
      <c r="L2030"/>
      <c r="M2030" t="n">
        <v>1970</v>
      </c>
      <c r="N2030" t="n">
        <v>1990</v>
      </c>
      <c r="O2030" t="s">
        <v>10913</v>
      </c>
      <c r="P2030" t="n">
        <v>7</v>
      </c>
      <c r="Q2030" t="n">
        <v>3</v>
      </c>
      <c r="R2030" t="n">
        <v>1</v>
      </c>
      <c r="S2030" t="n">
        <v>1962</v>
      </c>
      <c r="T2030" t="s">
        <v>13253</v>
      </c>
      <c r="U2030" t="s">
        <v>13254</v>
      </c>
      <c r="V2030" t="s">
        <v>74</v>
      </c>
      <c r="W2030"/>
      <c r="X2030"/>
      <c r="Y2030" t="s">
        <v>13255</v>
      </c>
      <c r="Z2030"/>
      <c r="AA2030" t="s">
        <v>13256</v>
      </c>
      <c r="AB2030" t="s">
        <v>448</v>
      </c>
      <c r="AC2030" t="n">
        <v>124</v>
      </c>
      <c r="AD2030" t="s">
        <v>5849</v>
      </c>
      <c r="AE2030" t="n">
        <v>188</v>
      </c>
      <c r="AF2030" t="s">
        <v>13257</v>
      </c>
      <c r="AG2030" t="n">
        <v>23</v>
      </c>
    </row>
    <row r="2031">
      <c r="A2031" t="s">
        <v>13258</v>
      </c>
      <c r="B2031" t="s">
        <v>28</v>
      </c>
      <c r="C2031" t="s">
        <v>65</v>
      </c>
      <c r="D2031" t="s">
        <v>13259</v>
      </c>
      <c r="E2031" t="s">
        <v>394</v>
      </c>
      <c r="F2031" t="s">
        <v>387</v>
      </c>
      <c r="G2031" t="s">
        <v>395</v>
      </c>
      <c r="H2031" t="n">
        <v>39.6632287755102</v>
      </c>
      <c r="I2031" t="n">
        <v>-105.014563163265</v>
      </c>
      <c r="J2031" t="s">
        <v>35</v>
      </c>
      <c r="K2031" t="s">
        <v>1041</v>
      </c>
      <c r="L2031"/>
      <c r="M2031" t="n">
        <v>1970</v>
      </c>
      <c r="N2031" t="n">
        <v>1977</v>
      </c>
      <c r="O2031" t="s">
        <v>3984</v>
      </c>
      <c r="P2031" t="n">
        <v>4</v>
      </c>
      <c r="Q2031" t="n">
        <v>2</v>
      </c>
      <c r="R2031" t="n">
        <v>2</v>
      </c>
      <c r="S2031" t="n">
        <v>1946</v>
      </c>
      <c r="T2031" t="s">
        <v>13260</v>
      </c>
      <c r="U2031" t="s">
        <v>13261</v>
      </c>
      <c r="V2031" t="s">
        <v>74</v>
      </c>
      <c r="W2031"/>
      <c r="X2031"/>
      <c r="Y2031" t="s">
        <v>13262</v>
      </c>
      <c r="Z2031"/>
      <c r="AA2031"/>
      <c r="AB2031" t="s">
        <v>448</v>
      </c>
      <c r="AC2031" t="n">
        <v>199</v>
      </c>
      <c r="AD2031"/>
      <c r="AE2031"/>
      <c r="AF2031" t="s">
        <v>524</v>
      </c>
      <c r="AG2031" t="n">
        <v>31</v>
      </c>
    </row>
    <row r="2032">
      <c r="A2032" t="s">
        <v>13263</v>
      </c>
      <c r="B2032" t="s">
        <v>28</v>
      </c>
      <c r="C2032" t="s">
        <v>65</v>
      </c>
      <c r="D2032" t="s">
        <v>13264</v>
      </c>
      <c r="E2032" t="s">
        <v>95</v>
      </c>
      <c r="F2032" t="s">
        <v>387</v>
      </c>
      <c r="G2032" t="s">
        <v>433</v>
      </c>
      <c r="H2032" t="n">
        <v>39.7394657346939</v>
      </c>
      <c r="I2032" t="n">
        <v>-104.863464591837</v>
      </c>
      <c r="J2032" t="s">
        <v>35</v>
      </c>
      <c r="K2032" t="s">
        <v>315</v>
      </c>
      <c r="L2032"/>
      <c r="M2032" t="n">
        <v>1973</v>
      </c>
      <c r="N2032" t="n">
        <v>1973</v>
      </c>
      <c r="O2032" t="s">
        <v>121</v>
      </c>
      <c r="P2032" t="n">
        <v>1</v>
      </c>
      <c r="Q2032" t="n">
        <v>1</v>
      </c>
      <c r="R2032" t="n">
        <v>1</v>
      </c>
      <c r="S2032" t="n">
        <v>1966</v>
      </c>
      <c r="T2032" t="s">
        <v>13265</v>
      </c>
      <c r="U2032" t="s">
        <v>13266</v>
      </c>
      <c r="V2032" t="s">
        <v>74</v>
      </c>
      <c r="W2032"/>
      <c r="X2032"/>
      <c r="Y2032" t="s">
        <v>13267</v>
      </c>
      <c r="Z2032"/>
      <c r="AA2032" t="s">
        <v>13268</v>
      </c>
      <c r="AB2032" t="s">
        <v>13269</v>
      </c>
      <c r="AC2032" t="n">
        <v>81</v>
      </c>
      <c r="AD2032"/>
      <c r="AE2032"/>
      <c r="AF2032" t="s">
        <v>13270</v>
      </c>
      <c r="AG2032" t="n">
        <v>17</v>
      </c>
    </row>
    <row r="2033">
      <c r="A2033" t="s">
        <v>13271</v>
      </c>
      <c r="B2033" t="s">
        <v>28</v>
      </c>
      <c r="C2033" t="s">
        <v>65</v>
      </c>
      <c r="D2033" t="s">
        <v>13272</v>
      </c>
      <c r="E2033" t="s">
        <v>394</v>
      </c>
      <c r="F2033" t="s">
        <v>387</v>
      </c>
      <c r="G2033" t="s">
        <v>395</v>
      </c>
      <c r="H2033" t="n">
        <v>39.6569932080571</v>
      </c>
      <c r="I2033" t="n">
        <v>-105.015828770559</v>
      </c>
      <c r="J2033" t="s">
        <v>35</v>
      </c>
      <c r="K2033" t="s">
        <v>796</v>
      </c>
      <c r="L2033"/>
      <c r="M2033" t="n">
        <v>1973</v>
      </c>
      <c r="N2033" t="n">
        <v>1990</v>
      </c>
      <c r="O2033" t="s">
        <v>445</v>
      </c>
      <c r="P2033" t="n">
        <v>6</v>
      </c>
      <c r="Q2033" t="n">
        <v>2</v>
      </c>
      <c r="R2033" t="n">
        <v>2</v>
      </c>
      <c r="S2033" t="n">
        <v>1974</v>
      </c>
      <c r="T2033" t="s">
        <v>13273</v>
      </c>
      <c r="U2033" t="s">
        <v>13274</v>
      </c>
      <c r="V2033" t="s">
        <v>74</v>
      </c>
      <c r="W2033"/>
      <c r="X2033"/>
      <c r="Y2033" t="s">
        <v>13275</v>
      </c>
      <c r="Z2033"/>
      <c r="AA2033"/>
      <c r="AB2033" t="s">
        <v>6046</v>
      </c>
      <c r="AC2033" t="n">
        <v>118</v>
      </c>
      <c r="AD2033"/>
      <c r="AE2033"/>
      <c r="AF2033" t="s">
        <v>13276</v>
      </c>
      <c r="AG2033" t="n">
        <v>18</v>
      </c>
    </row>
    <row r="2034">
      <c r="A2034" t="s">
        <v>13277</v>
      </c>
      <c r="B2034" t="s">
        <v>28</v>
      </c>
      <c r="C2034" t="s">
        <v>65</v>
      </c>
      <c r="D2034" t="s">
        <v>13278</v>
      </c>
      <c r="E2034" t="s">
        <v>394</v>
      </c>
      <c r="F2034" t="s">
        <v>387</v>
      </c>
      <c r="G2034" t="s">
        <v>395</v>
      </c>
      <c r="H2034" t="n">
        <v>39.6557939183673</v>
      </c>
      <c r="I2034" t="n">
        <v>-105.01176422449</v>
      </c>
      <c r="J2034" t="s">
        <v>35</v>
      </c>
      <c r="K2034" t="s">
        <v>120</v>
      </c>
      <c r="L2034"/>
      <c r="M2034" t="n">
        <v>1973</v>
      </c>
      <c r="N2034" t="n">
        <v>1973</v>
      </c>
      <c r="O2034" t="s">
        <v>121</v>
      </c>
      <c r="P2034" t="n">
        <v>1</v>
      </c>
      <c r="Q2034" t="n">
        <v>1</v>
      </c>
      <c r="R2034" t="n">
        <v>1</v>
      </c>
      <c r="S2034" t="n">
        <v>1964</v>
      </c>
      <c r="T2034" t="s">
        <v>13279</v>
      </c>
      <c r="U2034" t="s">
        <v>13280</v>
      </c>
      <c r="V2034" t="s">
        <v>74</v>
      </c>
      <c r="W2034"/>
      <c r="X2034"/>
      <c r="Y2034" t="s">
        <v>13281</v>
      </c>
      <c r="Z2034"/>
      <c r="AA2034" t="s">
        <v>13282</v>
      </c>
      <c r="AB2034"/>
      <c r="AC2034"/>
      <c r="AD2034"/>
      <c r="AE2034"/>
      <c r="AF2034" t="s">
        <v>13283</v>
      </c>
      <c r="AG2034" t="n">
        <v>33</v>
      </c>
    </row>
    <row r="2035">
      <c r="A2035" t="s">
        <v>13284</v>
      </c>
      <c r="B2035" t="s">
        <v>28</v>
      </c>
      <c r="C2035" t="s">
        <v>65</v>
      </c>
      <c r="D2035" t="s">
        <v>13285</v>
      </c>
      <c r="E2035" t="s">
        <v>394</v>
      </c>
      <c r="F2035" t="s">
        <v>387</v>
      </c>
      <c r="G2035" t="s">
        <v>395</v>
      </c>
      <c r="H2035" t="n">
        <v>39.671434</v>
      </c>
      <c r="I2035" t="n">
        <v>-105.006358</v>
      </c>
      <c r="J2035" t="s">
        <v>35</v>
      </c>
      <c r="K2035" t="s">
        <v>141</v>
      </c>
      <c r="L2035"/>
      <c r="M2035" t="n">
        <v>1973</v>
      </c>
      <c r="N2035" t="n">
        <v>1983</v>
      </c>
      <c r="O2035" t="s">
        <v>134</v>
      </c>
      <c r="P2035" t="n">
        <v>3</v>
      </c>
      <c r="Q2035" t="n">
        <v>2</v>
      </c>
      <c r="R2035" t="n">
        <v>2</v>
      </c>
      <c r="S2035" t="n">
        <v>1959</v>
      </c>
      <c r="T2035" t="s">
        <v>13286</v>
      </c>
      <c r="U2035" t="s">
        <v>13287</v>
      </c>
      <c r="V2035" t="s">
        <v>74</v>
      </c>
      <c r="W2035"/>
      <c r="X2035"/>
      <c r="Y2035" t="s">
        <v>13288</v>
      </c>
      <c r="Z2035"/>
      <c r="AA2035"/>
      <c r="AB2035" t="s">
        <v>5935</v>
      </c>
      <c r="AC2035" t="n">
        <v>195</v>
      </c>
      <c r="AD2035"/>
      <c r="AE2035"/>
      <c r="AF2035" t="s">
        <v>13289</v>
      </c>
      <c r="AG2035" t="n">
        <v>39</v>
      </c>
    </row>
    <row r="2036">
      <c r="A2036" t="s">
        <v>13290</v>
      </c>
      <c r="B2036" t="s">
        <v>28</v>
      </c>
      <c r="C2036" t="s">
        <v>65</v>
      </c>
      <c r="D2036" t="s">
        <v>13291</v>
      </c>
      <c r="E2036" t="s">
        <v>394</v>
      </c>
      <c r="F2036" t="s">
        <v>387</v>
      </c>
      <c r="G2036" t="s">
        <v>395</v>
      </c>
      <c r="H2036" t="n">
        <v>39.6693283333333</v>
      </c>
      <c r="I2036" t="n">
        <v>-105.0110715</v>
      </c>
      <c r="J2036" t="s">
        <v>35</v>
      </c>
      <c r="K2036" t="s">
        <v>120</v>
      </c>
      <c r="L2036"/>
      <c r="M2036" t="n">
        <v>1973</v>
      </c>
      <c r="N2036" t="n">
        <v>1983</v>
      </c>
      <c r="O2036" t="s">
        <v>134</v>
      </c>
      <c r="P2036" t="n">
        <v>4</v>
      </c>
      <c r="Q2036" t="n">
        <v>2</v>
      </c>
      <c r="R2036" t="n">
        <v>1</v>
      </c>
      <c r="S2036" t="n">
        <v>1967</v>
      </c>
      <c r="T2036" t="s">
        <v>13292</v>
      </c>
      <c r="U2036" t="s">
        <v>13293</v>
      </c>
      <c r="V2036" t="s">
        <v>74</v>
      </c>
      <c r="W2036"/>
      <c r="X2036"/>
      <c r="Y2036" t="s">
        <v>13294</v>
      </c>
      <c r="Z2036"/>
      <c r="AA2036"/>
      <c r="AB2036" t="s">
        <v>5969</v>
      </c>
      <c r="AC2036" t="n">
        <v>219</v>
      </c>
      <c r="AD2036"/>
      <c r="AE2036"/>
      <c r="AF2036" t="s">
        <v>13295</v>
      </c>
      <c r="AG2036" t="n">
        <v>27</v>
      </c>
    </row>
    <row r="2037">
      <c r="A2037" t="s">
        <v>13296</v>
      </c>
      <c r="B2037" t="s">
        <v>28</v>
      </c>
      <c r="C2037" t="s">
        <v>24</v>
      </c>
      <c r="D2037" t="s">
        <v>13297</v>
      </c>
      <c r="E2037" t="s">
        <v>386</v>
      </c>
      <c r="F2037" t="s">
        <v>387</v>
      </c>
      <c r="G2037" t="s">
        <v>428</v>
      </c>
      <c r="H2037" t="n">
        <v>39.62413</v>
      </c>
      <c r="I2037" t="n">
        <v>-105.0255</v>
      </c>
      <c r="J2037" t="s">
        <v>4109</v>
      </c>
      <c r="K2037" t="s">
        <v>120</v>
      </c>
      <c r="L2037"/>
      <c r="M2037" t="n">
        <v>1973</v>
      </c>
      <c r="N2037" t="n">
        <v>1973</v>
      </c>
      <c r="O2037" t="s">
        <v>121</v>
      </c>
      <c r="P2037" t="n">
        <v>1</v>
      </c>
      <c r="Q2037" t="n">
        <v>1</v>
      </c>
      <c r="R2037" t="n">
        <v>1</v>
      </c>
      <c r="S2037" t="n">
        <v>1970</v>
      </c>
      <c r="T2037" t="s">
        <v>13298</v>
      </c>
      <c r="U2037" t="s">
        <v>13299</v>
      </c>
      <c r="V2037" t="s">
        <v>74</v>
      </c>
      <c r="W2037"/>
      <c r="X2037"/>
      <c r="Y2037" t="s">
        <v>13300</v>
      </c>
      <c r="Z2037"/>
      <c r="AA2037" t="s">
        <v>13301</v>
      </c>
      <c r="AB2037"/>
      <c r="AC2037"/>
      <c r="AD2037"/>
      <c r="AE2037"/>
      <c r="AF2037" t="s">
        <v>13302</v>
      </c>
      <c r="AG2037" t="n">
        <v>43</v>
      </c>
    </row>
    <row r="2038">
      <c r="A2038" t="s">
        <v>13303</v>
      </c>
      <c r="B2038" t="s">
        <v>28</v>
      </c>
      <c r="C2038" t="s">
        <v>65</v>
      </c>
      <c r="D2038" t="s">
        <v>13304</v>
      </c>
      <c r="E2038" t="s">
        <v>394</v>
      </c>
      <c r="F2038" t="s">
        <v>387</v>
      </c>
      <c r="G2038" t="s">
        <v>395</v>
      </c>
      <c r="H2038" t="n">
        <v>39.6620318027211</v>
      </c>
      <c r="I2038" t="n">
        <v>-105.011096697279</v>
      </c>
      <c r="J2038" t="s">
        <v>35</v>
      </c>
      <c r="K2038" t="s">
        <v>13305</v>
      </c>
      <c r="L2038" t="s">
        <v>98</v>
      </c>
      <c r="M2038" t="n">
        <v>1973</v>
      </c>
      <c r="N2038" t="n">
        <v>1990</v>
      </c>
      <c r="O2038" t="s">
        <v>13306</v>
      </c>
      <c r="P2038" t="n">
        <v>7</v>
      </c>
      <c r="Q2038" t="n">
        <v>9</v>
      </c>
      <c r="R2038" t="n">
        <v>5</v>
      </c>
      <c r="S2038" t="n">
        <v>1920</v>
      </c>
      <c r="T2038" t="s">
        <v>13307</v>
      </c>
      <c r="U2038" t="s">
        <v>13308</v>
      </c>
      <c r="V2038" t="s">
        <v>74</v>
      </c>
      <c r="W2038"/>
      <c r="X2038"/>
      <c r="Y2038" t="s">
        <v>13309</v>
      </c>
      <c r="Z2038"/>
      <c r="AA2038" t="s">
        <v>13310</v>
      </c>
      <c r="AB2038" t="s">
        <v>448</v>
      </c>
      <c r="AC2038" t="n">
        <v>152</v>
      </c>
      <c r="AD2038"/>
      <c r="AE2038"/>
      <c r="AF2038" t="s">
        <v>13311</v>
      </c>
      <c r="AG2038" t="n">
        <v>13</v>
      </c>
    </row>
    <row r="2039">
      <c r="A2039" t="s">
        <v>13312</v>
      </c>
      <c r="B2039" t="s">
        <v>28</v>
      </c>
      <c r="C2039" t="s">
        <v>24</v>
      </c>
      <c r="D2039" t="s">
        <v>13313</v>
      </c>
      <c r="E2039" t="s">
        <v>95</v>
      </c>
      <c r="F2039" t="s">
        <v>387</v>
      </c>
      <c r="G2039"/>
      <c r="H2039" t="n">
        <v>39.7208510040898</v>
      </c>
      <c r="I2039" t="n">
        <v>-104.858698748426</v>
      </c>
      <c r="J2039" t="s">
        <v>4109</v>
      </c>
      <c r="K2039" t="s">
        <v>1041</v>
      </c>
      <c r="L2039"/>
      <c r="M2039" t="n">
        <v>1974</v>
      </c>
      <c r="N2039" t="n">
        <v>1974</v>
      </c>
      <c r="O2039" t="s">
        <v>210</v>
      </c>
      <c r="P2039" t="n">
        <v>1</v>
      </c>
      <c r="Q2039" t="n">
        <v>1</v>
      </c>
      <c r="R2039" t="n">
        <v>1</v>
      </c>
      <c r="S2039" t="n">
        <v>1974</v>
      </c>
      <c r="T2039" t="s">
        <v>13314</v>
      </c>
      <c r="U2039" t="s">
        <v>13315</v>
      </c>
      <c r="V2039" t="s">
        <v>74</v>
      </c>
      <c r="W2039"/>
      <c r="X2039"/>
      <c r="Y2039" t="s">
        <v>13316</v>
      </c>
      <c r="Z2039"/>
      <c r="AA2039"/>
      <c r="AB2039"/>
      <c r="AC2039"/>
      <c r="AD2039"/>
      <c r="AE2039"/>
      <c r="AF2039" t="s">
        <v>13317</v>
      </c>
      <c r="AG2039" t="n">
        <v>145</v>
      </c>
    </row>
    <row r="2040">
      <c r="A2040" t="s">
        <v>13318</v>
      </c>
      <c r="B2040" t="s">
        <v>28</v>
      </c>
      <c r="C2040" t="s">
        <v>65</v>
      </c>
      <c r="D2040" t="s">
        <v>13319</v>
      </c>
      <c r="E2040" t="s">
        <v>394</v>
      </c>
      <c r="F2040" t="s">
        <v>387</v>
      </c>
      <c r="G2040" t="s">
        <v>395</v>
      </c>
      <c r="H2040" t="n">
        <v>39.6613687274052</v>
      </c>
      <c r="I2040" t="n">
        <v>-105.013430026239</v>
      </c>
      <c r="J2040" t="s">
        <v>35</v>
      </c>
      <c r="K2040" t="s">
        <v>133</v>
      </c>
      <c r="L2040"/>
      <c r="M2040" t="n">
        <v>1974</v>
      </c>
      <c r="N2040" t="n">
        <v>1990</v>
      </c>
      <c r="O2040" t="s">
        <v>528</v>
      </c>
      <c r="P2040" t="n">
        <v>6</v>
      </c>
      <c r="Q2040" t="n">
        <v>10</v>
      </c>
      <c r="R2040" t="n">
        <v>5</v>
      </c>
      <c r="S2040" t="n">
        <v>1971</v>
      </c>
      <c r="T2040" t="s">
        <v>13320</v>
      </c>
      <c r="U2040" t="s">
        <v>13321</v>
      </c>
      <c r="V2040" t="s">
        <v>74</v>
      </c>
      <c r="W2040"/>
      <c r="X2040"/>
      <c r="Y2040" t="s">
        <v>13322</v>
      </c>
      <c r="Z2040"/>
      <c r="AA2040" t="s">
        <v>13323</v>
      </c>
      <c r="AB2040" t="s">
        <v>448</v>
      </c>
      <c r="AC2040" t="n">
        <v>214</v>
      </c>
      <c r="AD2040"/>
      <c r="AE2040"/>
      <c r="AF2040" t="s">
        <v>13324</v>
      </c>
      <c r="AG2040" t="n">
        <v>20</v>
      </c>
    </row>
    <row r="2041">
      <c r="A2041" t="s">
        <v>13325</v>
      </c>
      <c r="B2041" t="s">
        <v>28</v>
      </c>
      <c r="C2041" t="s">
        <v>65</v>
      </c>
      <c r="D2041" t="s">
        <v>13326</v>
      </c>
      <c r="E2041" t="s">
        <v>394</v>
      </c>
      <c r="F2041" t="s">
        <v>387</v>
      </c>
      <c r="G2041" t="s">
        <v>395</v>
      </c>
      <c r="H2041" t="n">
        <v>39.6604887575758</v>
      </c>
      <c r="I2041" t="n">
        <v>-105.002361924242</v>
      </c>
      <c r="J2041" t="s">
        <v>35</v>
      </c>
      <c r="K2041" t="s">
        <v>120</v>
      </c>
      <c r="L2041"/>
      <c r="M2041" t="n">
        <v>1974</v>
      </c>
      <c r="N2041" t="n">
        <v>1990</v>
      </c>
      <c r="O2041" t="s">
        <v>2874</v>
      </c>
      <c r="P2041" t="n">
        <v>4</v>
      </c>
      <c r="Q2041" t="n">
        <v>1</v>
      </c>
      <c r="R2041" t="n">
        <v>1</v>
      </c>
      <c r="S2041" t="n">
        <v>1970</v>
      </c>
      <c r="T2041" t="s">
        <v>13327</v>
      </c>
      <c r="U2041" t="s">
        <v>13328</v>
      </c>
      <c r="V2041" t="s">
        <v>74</v>
      </c>
      <c r="W2041"/>
      <c r="X2041"/>
      <c r="Y2041" t="s">
        <v>13329</v>
      </c>
      <c r="Z2041"/>
      <c r="AA2041"/>
      <c r="AB2041" t="s">
        <v>5978</v>
      </c>
      <c r="AC2041" t="n">
        <v>118</v>
      </c>
      <c r="AD2041" t="s">
        <v>6160</v>
      </c>
      <c r="AE2041" t="n">
        <v>227</v>
      </c>
      <c r="AF2041" t="s">
        <v>13330</v>
      </c>
      <c r="AG2041" t="n">
        <v>25</v>
      </c>
    </row>
    <row r="2042">
      <c r="A2042" t="s">
        <v>13331</v>
      </c>
      <c r="B2042" t="s">
        <v>28</v>
      </c>
      <c r="C2042" t="s">
        <v>65</v>
      </c>
      <c r="D2042" t="s">
        <v>13332</v>
      </c>
      <c r="E2042" t="s">
        <v>394</v>
      </c>
      <c r="F2042" t="s">
        <v>387</v>
      </c>
      <c r="G2042" t="s">
        <v>395</v>
      </c>
      <c r="H2042" t="n">
        <v>39.6367633610886</v>
      </c>
      <c r="I2042" t="n">
        <v>-105.003673357601</v>
      </c>
      <c r="J2042" t="s">
        <v>35</v>
      </c>
      <c r="K2042" t="s">
        <v>111</v>
      </c>
      <c r="L2042"/>
      <c r="M2042" t="n">
        <v>1974</v>
      </c>
      <c r="N2042" t="n">
        <v>1990</v>
      </c>
      <c r="O2042" t="s">
        <v>499</v>
      </c>
      <c r="P2042" t="n">
        <v>5</v>
      </c>
      <c r="Q2042" t="n">
        <v>4</v>
      </c>
      <c r="R2042" t="n">
        <v>4</v>
      </c>
      <c r="S2042" t="n">
        <v>1959</v>
      </c>
      <c r="T2042" t="s">
        <v>13333</v>
      </c>
      <c r="U2042" t="s">
        <v>13334</v>
      </c>
      <c r="V2042" t="s">
        <v>74</v>
      </c>
      <c r="W2042"/>
      <c r="X2042"/>
      <c r="Y2042" t="s">
        <v>13335</v>
      </c>
      <c r="Z2042"/>
      <c r="AA2042" t="s">
        <v>13336</v>
      </c>
      <c r="AB2042" t="s">
        <v>6193</v>
      </c>
      <c r="AC2042" t="n">
        <v>197</v>
      </c>
      <c r="AD2042" t="s">
        <v>6194</v>
      </c>
      <c r="AE2042" t="n">
        <v>200</v>
      </c>
      <c r="AF2042" t="s">
        <v>13337</v>
      </c>
      <c r="AG2042" t="n">
        <v>139</v>
      </c>
    </row>
    <row r="2043">
      <c r="A2043" t="s">
        <v>13338</v>
      </c>
      <c r="B2043" t="s">
        <v>28</v>
      </c>
      <c r="C2043" t="s">
        <v>65</v>
      </c>
      <c r="D2043" t="s">
        <v>13339</v>
      </c>
      <c r="E2043" t="s">
        <v>394</v>
      </c>
      <c r="F2043" t="s">
        <v>387</v>
      </c>
      <c r="G2043" t="s">
        <v>395</v>
      </c>
      <c r="H2043" t="n">
        <v>39.6494304285714</v>
      </c>
      <c r="I2043" t="n">
        <v>-105.001844571429</v>
      </c>
      <c r="J2043" t="s">
        <v>35</v>
      </c>
      <c r="K2043" t="s">
        <v>70</v>
      </c>
      <c r="L2043"/>
      <c r="M2043" t="n">
        <v>1974</v>
      </c>
      <c r="N2043" t="n">
        <v>1983</v>
      </c>
      <c r="O2043" t="s">
        <v>3860</v>
      </c>
      <c r="P2043" t="n">
        <v>4</v>
      </c>
      <c r="Q2043" t="n">
        <v>4</v>
      </c>
      <c r="R2043" t="n">
        <v>1</v>
      </c>
      <c r="S2043" t="n">
        <v>1953</v>
      </c>
      <c r="T2043" t="s">
        <v>13340</v>
      </c>
      <c r="U2043" t="s">
        <v>13341</v>
      </c>
      <c r="V2043" t="s">
        <v>74</v>
      </c>
      <c r="W2043"/>
      <c r="X2043"/>
      <c r="Y2043" t="s">
        <v>13342</v>
      </c>
      <c r="Z2043"/>
      <c r="AA2043" t="s">
        <v>13343</v>
      </c>
      <c r="AB2043" t="s">
        <v>5791</v>
      </c>
      <c r="AC2043" t="n">
        <v>111</v>
      </c>
      <c r="AD2043" t="s">
        <v>5792</v>
      </c>
      <c r="AE2043" t="n">
        <v>134</v>
      </c>
      <c r="AF2043" t="s">
        <v>5793</v>
      </c>
      <c r="AG2043" t="n">
        <v>13</v>
      </c>
    </row>
    <row r="2044">
      <c r="A2044" t="s">
        <v>13344</v>
      </c>
      <c r="B2044" t="s">
        <v>28</v>
      </c>
      <c r="C2044" t="s">
        <v>65</v>
      </c>
      <c r="D2044" t="s">
        <v>13345</v>
      </c>
      <c r="E2044" t="s">
        <v>394</v>
      </c>
      <c r="F2044" t="s">
        <v>387</v>
      </c>
      <c r="G2044" t="s">
        <v>395</v>
      </c>
      <c r="H2044" t="n">
        <v>39.6447966303855</v>
      </c>
      <c r="I2044" t="n">
        <v>-105.002952981859</v>
      </c>
      <c r="J2044" t="s">
        <v>35</v>
      </c>
      <c r="K2044" t="s">
        <v>201</v>
      </c>
      <c r="L2044"/>
      <c r="M2044" t="n">
        <v>1974</v>
      </c>
      <c r="N2044" t="n">
        <v>1990</v>
      </c>
      <c r="O2044" t="s">
        <v>582</v>
      </c>
      <c r="P2044" t="n">
        <v>5</v>
      </c>
      <c r="Q2044" t="n">
        <v>4</v>
      </c>
      <c r="R2044" t="n">
        <v>3</v>
      </c>
      <c r="S2044" t="n">
        <v>1970</v>
      </c>
      <c r="T2044" t="s">
        <v>13346</v>
      </c>
      <c r="U2044" t="s">
        <v>13347</v>
      </c>
      <c r="V2044" t="s">
        <v>74</v>
      </c>
      <c r="W2044"/>
      <c r="X2044"/>
      <c r="Y2044" t="s">
        <v>13348</v>
      </c>
      <c r="Z2044"/>
      <c r="AA2044" t="s">
        <v>13349</v>
      </c>
      <c r="AB2044" t="s">
        <v>5803</v>
      </c>
      <c r="AC2044" t="n">
        <v>208</v>
      </c>
      <c r="AD2044" t="s">
        <v>5823</v>
      </c>
      <c r="AE2044" t="n">
        <v>141</v>
      </c>
      <c r="AF2044" t="s">
        <v>13350</v>
      </c>
      <c r="AG2044" t="n">
        <v>11</v>
      </c>
    </row>
    <row r="2045">
      <c r="A2045" t="s">
        <v>13351</v>
      </c>
      <c r="B2045" t="s">
        <v>28</v>
      </c>
      <c r="C2045" t="s">
        <v>24</v>
      </c>
      <c r="D2045" t="s">
        <v>13352</v>
      </c>
      <c r="E2045" t="s">
        <v>394</v>
      </c>
      <c r="F2045" t="s">
        <v>387</v>
      </c>
      <c r="G2045" t="s">
        <v>395</v>
      </c>
      <c r="H2045" t="n">
        <v>39.657811</v>
      </c>
      <c r="I2045" t="n">
        <v>-104.999816</v>
      </c>
      <c r="J2045" t="s">
        <v>4109</v>
      </c>
      <c r="K2045" t="s">
        <v>81</v>
      </c>
      <c r="L2045"/>
      <c r="M2045" t="n">
        <v>1974</v>
      </c>
      <c r="N2045" t="n">
        <v>1992</v>
      </c>
      <c r="O2045" t="s">
        <v>13353</v>
      </c>
      <c r="P2045" t="n">
        <v>4</v>
      </c>
      <c r="Q2045" t="n">
        <v>4</v>
      </c>
      <c r="R2045" t="n">
        <v>4</v>
      </c>
      <c r="S2045" t="n">
        <v>1972</v>
      </c>
      <c r="T2045" t="s">
        <v>13354</v>
      </c>
      <c r="U2045" t="s">
        <v>13355</v>
      </c>
      <c r="V2045" t="s">
        <v>74</v>
      </c>
      <c r="W2045"/>
      <c r="X2045"/>
      <c r="Y2045" t="s">
        <v>13356</v>
      </c>
      <c r="Z2045"/>
      <c r="AA2045" t="s">
        <v>13357</v>
      </c>
      <c r="AB2045"/>
      <c r="AC2045"/>
      <c r="AD2045"/>
      <c r="AE2045"/>
      <c r="AF2045" t="s">
        <v>13358</v>
      </c>
      <c r="AG2045" t="n">
        <v>61</v>
      </c>
    </row>
    <row r="2046">
      <c r="A2046" t="s">
        <v>13359</v>
      </c>
      <c r="B2046" t="s">
        <v>28</v>
      </c>
      <c r="C2046" t="s">
        <v>65</v>
      </c>
      <c r="D2046" t="s">
        <v>13360</v>
      </c>
      <c r="E2046" t="s">
        <v>394</v>
      </c>
      <c r="F2046" t="s">
        <v>387</v>
      </c>
      <c r="G2046" t="s">
        <v>395</v>
      </c>
      <c r="H2046" t="n">
        <v>39.6685566080402</v>
      </c>
      <c r="I2046" t="n">
        <v>-105.012124246231</v>
      </c>
      <c r="J2046" t="s">
        <v>35</v>
      </c>
      <c r="K2046" t="s">
        <v>141</v>
      </c>
      <c r="L2046"/>
      <c r="M2046" t="n">
        <v>1977</v>
      </c>
      <c r="N2046" t="n">
        <v>1988</v>
      </c>
      <c r="O2046" t="s">
        <v>8707</v>
      </c>
      <c r="P2046" t="n">
        <v>4</v>
      </c>
      <c r="Q2046" t="n">
        <v>3</v>
      </c>
      <c r="R2046" t="n">
        <v>3</v>
      </c>
      <c r="S2046" t="n">
        <v>1958</v>
      </c>
      <c r="T2046" t="s">
        <v>13361</v>
      </c>
      <c r="U2046" t="s">
        <v>13362</v>
      </c>
      <c r="V2046" t="s">
        <v>74</v>
      </c>
      <c r="W2046"/>
      <c r="X2046"/>
      <c r="Y2046" t="s">
        <v>13363</v>
      </c>
      <c r="Z2046"/>
      <c r="AA2046" t="s">
        <v>13364</v>
      </c>
      <c r="AB2046" t="s">
        <v>5969</v>
      </c>
      <c r="AC2046" t="n">
        <v>228</v>
      </c>
      <c r="AD2046"/>
      <c r="AE2046"/>
      <c r="AF2046" t="s">
        <v>13365</v>
      </c>
      <c r="AG2046" t="n">
        <v>26</v>
      </c>
    </row>
    <row r="2047">
      <c r="A2047" t="s">
        <v>13366</v>
      </c>
      <c r="B2047" t="s">
        <v>28</v>
      </c>
      <c r="C2047" t="s">
        <v>65</v>
      </c>
      <c r="D2047" t="s">
        <v>13367</v>
      </c>
      <c r="E2047" t="s">
        <v>394</v>
      </c>
      <c r="F2047" t="s">
        <v>387</v>
      </c>
      <c r="G2047" t="s">
        <v>395</v>
      </c>
      <c r="H2047" t="n">
        <v>39.664181755102</v>
      </c>
      <c r="I2047" t="n">
        <v>-105.011566489796</v>
      </c>
      <c r="J2047" t="s">
        <v>35</v>
      </c>
      <c r="K2047" t="s">
        <v>120</v>
      </c>
      <c r="L2047"/>
      <c r="M2047" t="n">
        <v>1977</v>
      </c>
      <c r="N2047" t="n">
        <v>1983</v>
      </c>
      <c r="O2047" t="s">
        <v>1949</v>
      </c>
      <c r="P2047" t="n">
        <v>3</v>
      </c>
      <c r="Q2047" t="n">
        <v>2</v>
      </c>
      <c r="R2047" t="n">
        <v>1</v>
      </c>
      <c r="S2047" t="n">
        <v>1973</v>
      </c>
      <c r="T2047" t="s">
        <v>13368</v>
      </c>
      <c r="U2047" t="s">
        <v>13369</v>
      </c>
      <c r="V2047" t="s">
        <v>74</v>
      </c>
      <c r="W2047"/>
      <c r="X2047"/>
      <c r="Y2047" t="s">
        <v>13370</v>
      </c>
      <c r="Z2047"/>
      <c r="AA2047"/>
      <c r="AB2047" t="s">
        <v>5848</v>
      </c>
      <c r="AC2047" t="n">
        <v>98</v>
      </c>
      <c r="AD2047" t="s">
        <v>5849</v>
      </c>
      <c r="AE2047" t="n">
        <v>167</v>
      </c>
      <c r="AF2047" t="s">
        <v>13257</v>
      </c>
      <c r="AG2047" t="n">
        <v>28</v>
      </c>
    </row>
    <row r="2048">
      <c r="A2048" t="s">
        <v>13371</v>
      </c>
      <c r="B2048" t="s">
        <v>28</v>
      </c>
      <c r="C2048" t="s">
        <v>65</v>
      </c>
      <c r="D2048" t="s">
        <v>13372</v>
      </c>
      <c r="E2048" t="s">
        <v>394</v>
      </c>
      <c r="F2048" t="s">
        <v>387</v>
      </c>
      <c r="G2048" t="s">
        <v>395</v>
      </c>
      <c r="H2048" t="n">
        <v>39.663604122449</v>
      </c>
      <c r="I2048" t="n">
        <v>-105.011083653061</v>
      </c>
      <c r="J2048" t="s">
        <v>35</v>
      </c>
      <c r="K2048" t="s">
        <v>89</v>
      </c>
      <c r="L2048"/>
      <c r="M2048" t="n">
        <v>1977</v>
      </c>
      <c r="N2048" t="n">
        <v>1983</v>
      </c>
      <c r="O2048" t="s">
        <v>3217</v>
      </c>
      <c r="P2048" t="n">
        <v>2</v>
      </c>
      <c r="Q2048" t="n">
        <v>1</v>
      </c>
      <c r="R2048" t="n">
        <v>1</v>
      </c>
      <c r="S2048" t="n">
        <v>1954</v>
      </c>
      <c r="T2048" t="s">
        <v>13373</v>
      </c>
      <c r="U2048" t="s">
        <v>13374</v>
      </c>
      <c r="V2048" t="s">
        <v>74</v>
      </c>
      <c r="W2048"/>
      <c r="X2048"/>
      <c r="Y2048" t="s">
        <v>13375</v>
      </c>
      <c r="Z2048"/>
      <c r="AA2048"/>
      <c r="AB2048" t="s">
        <v>448</v>
      </c>
      <c r="AC2048" t="n">
        <v>116</v>
      </c>
      <c r="AD2048" t="s">
        <v>5849</v>
      </c>
      <c r="AE2048" t="n">
        <v>225</v>
      </c>
      <c r="AF2048" t="s">
        <v>13376</v>
      </c>
      <c r="AG2048" t="n">
        <v>13</v>
      </c>
    </row>
    <row r="2049">
      <c r="A2049" t="s">
        <v>13377</v>
      </c>
      <c r="B2049" t="s">
        <v>28</v>
      </c>
      <c r="C2049" t="s">
        <v>65</v>
      </c>
      <c r="D2049" t="s">
        <v>13378</v>
      </c>
      <c r="E2049" t="s">
        <v>394</v>
      </c>
      <c r="F2049" t="s">
        <v>387</v>
      </c>
      <c r="G2049" t="s">
        <v>395</v>
      </c>
      <c r="H2049" t="n">
        <v>39.6440788075802</v>
      </c>
      <c r="I2049" t="n">
        <v>-105.002980046647</v>
      </c>
      <c r="J2049" t="s">
        <v>35</v>
      </c>
      <c r="K2049" t="s">
        <v>126</v>
      </c>
      <c r="L2049"/>
      <c r="M2049" t="n">
        <v>1977</v>
      </c>
      <c r="N2049" t="n">
        <v>1990</v>
      </c>
      <c r="O2049" t="s">
        <v>1487</v>
      </c>
      <c r="P2049" t="n">
        <v>5</v>
      </c>
      <c r="Q2049" t="n">
        <v>4</v>
      </c>
      <c r="R2049" t="n">
        <v>3</v>
      </c>
      <c r="S2049" t="n">
        <v>1972</v>
      </c>
      <c r="T2049" t="s">
        <v>13379</v>
      </c>
      <c r="U2049" t="s">
        <v>13380</v>
      </c>
      <c r="V2049" t="s">
        <v>74</v>
      </c>
      <c r="W2049"/>
      <c r="X2049"/>
      <c r="Y2049" t="s">
        <v>13381</v>
      </c>
      <c r="Z2049"/>
      <c r="AA2049"/>
      <c r="AB2049"/>
      <c r="AC2049"/>
      <c r="AD2049" t="s">
        <v>13216</v>
      </c>
      <c r="AE2049" t="n">
        <v>140</v>
      </c>
      <c r="AF2049" t="s">
        <v>13382</v>
      </c>
      <c r="AG2049" t="n">
        <v>6</v>
      </c>
    </row>
    <row r="2050">
      <c r="A2050" t="s">
        <v>13383</v>
      </c>
      <c r="B2050" t="s">
        <v>28</v>
      </c>
      <c r="C2050" t="s">
        <v>65</v>
      </c>
      <c r="D2050" t="s">
        <v>13384</v>
      </c>
      <c r="E2050" t="s">
        <v>394</v>
      </c>
      <c r="F2050" t="s">
        <v>387</v>
      </c>
      <c r="G2050" t="s">
        <v>395</v>
      </c>
      <c r="H2050" t="n">
        <v>39.6605056831956</v>
      </c>
      <c r="I2050" t="n">
        <v>-105.010054661157</v>
      </c>
      <c r="J2050" t="s">
        <v>35</v>
      </c>
      <c r="K2050" t="s">
        <v>796</v>
      </c>
      <c r="L2050"/>
      <c r="M2050" t="n">
        <v>1977</v>
      </c>
      <c r="N2050" t="n">
        <v>1990</v>
      </c>
      <c r="O2050" t="s">
        <v>528</v>
      </c>
      <c r="P2050" t="n">
        <v>5</v>
      </c>
      <c r="Q2050" t="n">
        <v>9</v>
      </c>
      <c r="R2050" t="n">
        <v>2</v>
      </c>
      <c r="S2050" t="n">
        <v>1963</v>
      </c>
      <c r="T2050" t="s">
        <v>13385</v>
      </c>
      <c r="U2050" t="s">
        <v>13386</v>
      </c>
      <c r="V2050" t="s">
        <v>74</v>
      </c>
      <c r="W2050"/>
      <c r="X2050"/>
      <c r="Y2050" t="s">
        <v>13387</v>
      </c>
      <c r="Z2050"/>
      <c r="AA2050" t="s">
        <v>13388</v>
      </c>
      <c r="AB2050"/>
      <c r="AC2050"/>
      <c r="AD2050"/>
      <c r="AE2050"/>
      <c r="AF2050" t="s">
        <v>13389</v>
      </c>
      <c r="AG2050" t="n">
        <v>31</v>
      </c>
    </row>
    <row r="2051">
      <c r="A2051" t="s">
        <v>13390</v>
      </c>
      <c r="B2051" t="s">
        <v>28</v>
      </c>
      <c r="C2051" t="s">
        <v>65</v>
      </c>
      <c r="D2051" t="s">
        <v>13391</v>
      </c>
      <c r="E2051" t="s">
        <v>394</v>
      </c>
      <c r="F2051" t="s">
        <v>387</v>
      </c>
      <c r="G2051" t="s">
        <v>395</v>
      </c>
      <c r="H2051" t="n">
        <v>39.651293</v>
      </c>
      <c r="I2051" t="n">
        <v>-105.029957</v>
      </c>
      <c r="J2051" t="s">
        <v>35</v>
      </c>
      <c r="K2051" t="s">
        <v>315</v>
      </c>
      <c r="L2051"/>
      <c r="M2051" t="n">
        <v>1977</v>
      </c>
      <c r="N2051" t="n">
        <v>1983</v>
      </c>
      <c r="O2051" t="s">
        <v>264</v>
      </c>
      <c r="P2051" t="n">
        <v>2</v>
      </c>
      <c r="Q2051" t="n">
        <v>1</v>
      </c>
      <c r="R2051" t="n">
        <v>1</v>
      </c>
      <c r="S2051" t="n">
        <v>1967</v>
      </c>
      <c r="T2051" t="s">
        <v>13392</v>
      </c>
      <c r="U2051" t="s">
        <v>13393</v>
      </c>
      <c r="V2051" t="s">
        <v>74</v>
      </c>
      <c r="W2051"/>
      <c r="X2051"/>
      <c r="Y2051" t="s">
        <v>13394</v>
      </c>
      <c r="Z2051"/>
      <c r="AA2051"/>
      <c r="AB2051" t="s">
        <v>13395</v>
      </c>
      <c r="AC2051" t="n">
        <v>81</v>
      </c>
      <c r="AD2051" t="s">
        <v>660</v>
      </c>
      <c r="AE2051" t="n">
        <v>127</v>
      </c>
      <c r="AF2051" t="s">
        <v>6012</v>
      </c>
      <c r="AG2051" t="n">
        <v>10</v>
      </c>
    </row>
    <row r="2052">
      <c r="A2052" t="s">
        <v>13396</v>
      </c>
      <c r="B2052" t="s">
        <v>28</v>
      </c>
      <c r="C2052" t="s">
        <v>65</v>
      </c>
      <c r="D2052" t="s">
        <v>13397</v>
      </c>
      <c r="E2052" t="s">
        <v>394</v>
      </c>
      <c r="F2052" t="s">
        <v>387</v>
      </c>
      <c r="G2052" t="s">
        <v>395</v>
      </c>
      <c r="H2052" t="n">
        <v>39.6580594639119</v>
      </c>
      <c r="I2052" t="n">
        <v>-105.003589543867</v>
      </c>
      <c r="J2052" t="s">
        <v>35</v>
      </c>
      <c r="K2052" t="s">
        <v>527</v>
      </c>
      <c r="L2052"/>
      <c r="M2052" t="n">
        <v>1977</v>
      </c>
      <c r="N2052" t="n">
        <v>1992</v>
      </c>
      <c r="O2052" t="s">
        <v>521</v>
      </c>
      <c r="P2052" t="n">
        <v>6</v>
      </c>
      <c r="Q2052" t="n">
        <v>3</v>
      </c>
      <c r="R2052" t="n">
        <v>3</v>
      </c>
      <c r="S2052" t="n">
        <v>1962</v>
      </c>
      <c r="T2052" t="s">
        <v>13398</v>
      </c>
      <c r="U2052" t="s">
        <v>13399</v>
      </c>
      <c r="V2052" t="s">
        <v>74</v>
      </c>
      <c r="W2052"/>
      <c r="X2052"/>
      <c r="Y2052" t="s">
        <v>13400</v>
      </c>
      <c r="Z2052"/>
      <c r="AA2052" t="s">
        <v>13401</v>
      </c>
      <c r="AB2052"/>
      <c r="AC2052"/>
      <c r="AD2052"/>
      <c r="AE2052"/>
      <c r="AF2052" t="s">
        <v>8960</v>
      </c>
      <c r="AG2052" t="n">
        <v>6</v>
      </c>
    </row>
    <row r="2053">
      <c r="A2053" t="s">
        <v>13402</v>
      </c>
      <c r="B2053" t="s">
        <v>28</v>
      </c>
      <c r="C2053" t="s">
        <v>65</v>
      </c>
      <c r="D2053" t="s">
        <v>13403</v>
      </c>
      <c r="E2053" t="s">
        <v>95</v>
      </c>
      <c r="F2053" t="s">
        <v>387</v>
      </c>
      <c r="G2053" t="s">
        <v>433</v>
      </c>
      <c r="H2053" t="n">
        <v>39.7638630738255</v>
      </c>
      <c r="I2053" t="n">
        <v>-104.848829724832</v>
      </c>
      <c r="J2053" t="s">
        <v>35</v>
      </c>
      <c r="K2053" t="s">
        <v>141</v>
      </c>
      <c r="L2053"/>
      <c r="M2053" t="n">
        <v>1980</v>
      </c>
      <c r="N2053" t="n">
        <v>1990</v>
      </c>
      <c r="O2053" t="s">
        <v>582</v>
      </c>
      <c r="P2053" t="n">
        <v>3</v>
      </c>
      <c r="Q2053" t="n">
        <v>2</v>
      </c>
      <c r="R2053" t="n">
        <v>2</v>
      </c>
      <c r="S2053" t="n">
        <v>1964</v>
      </c>
      <c r="T2053" t="s">
        <v>13404</v>
      </c>
      <c r="U2053" t="s">
        <v>13405</v>
      </c>
      <c r="V2053" t="s">
        <v>74</v>
      </c>
      <c r="W2053"/>
      <c r="X2053"/>
      <c r="Y2053" t="s">
        <v>13406</v>
      </c>
      <c r="Z2053"/>
      <c r="AA2053" t="s">
        <v>13407</v>
      </c>
      <c r="AB2053"/>
      <c r="AC2053"/>
      <c r="AD2053"/>
      <c r="AE2053"/>
      <c r="AF2053" t="s">
        <v>13408</v>
      </c>
      <c r="AG2053" t="n">
        <v>17</v>
      </c>
    </row>
    <row r="2054">
      <c r="A2054" t="s">
        <v>13409</v>
      </c>
      <c r="B2054" t="s">
        <v>28</v>
      </c>
      <c r="C2054" t="s">
        <v>24</v>
      </c>
      <c r="D2054" t="s">
        <v>13410</v>
      </c>
      <c r="E2054" t="s">
        <v>95</v>
      </c>
      <c r="F2054" t="s">
        <v>387</v>
      </c>
      <c r="G2054" t="s">
        <v>433</v>
      </c>
      <c r="H2054" t="n">
        <v>39.7398604285714</v>
      </c>
      <c r="I2054" t="n">
        <v>-104.856419428571</v>
      </c>
      <c r="J2054" t="s">
        <v>4109</v>
      </c>
      <c r="K2054" t="s">
        <v>315</v>
      </c>
      <c r="L2054"/>
      <c r="M2054" t="n">
        <v>1980</v>
      </c>
      <c r="N2054" t="n">
        <v>1983</v>
      </c>
      <c r="O2054" t="s">
        <v>528</v>
      </c>
      <c r="P2054" t="n">
        <v>2</v>
      </c>
      <c r="Q2054" t="n">
        <v>1</v>
      </c>
      <c r="R2054" t="n">
        <v>1</v>
      </c>
      <c r="S2054" t="n">
        <v>1973</v>
      </c>
      <c r="T2054" t="s">
        <v>13411</v>
      </c>
      <c r="U2054" t="s">
        <v>13412</v>
      </c>
      <c r="V2054" t="s">
        <v>74</v>
      </c>
      <c r="W2054"/>
      <c r="X2054"/>
      <c r="Y2054" t="s">
        <v>13413</v>
      </c>
      <c r="Z2054"/>
      <c r="AA2054" t="s">
        <v>13414</v>
      </c>
      <c r="AB2054" t="s">
        <v>6086</v>
      </c>
      <c r="AC2054" t="n">
        <v>154</v>
      </c>
      <c r="AD2054"/>
      <c r="AE2054"/>
      <c r="AF2054" t="s">
        <v>13415</v>
      </c>
      <c r="AG2054" t="n">
        <v>36</v>
      </c>
    </row>
    <row r="2055">
      <c r="A2055" t="s">
        <v>13416</v>
      </c>
      <c r="B2055" t="s">
        <v>28</v>
      </c>
      <c r="C2055" t="s">
        <v>65</v>
      </c>
      <c r="D2055" t="s">
        <v>13417</v>
      </c>
      <c r="E2055" t="s">
        <v>95</v>
      </c>
      <c r="F2055" t="s">
        <v>387</v>
      </c>
      <c r="G2055" t="s">
        <v>433</v>
      </c>
      <c r="H2055" t="n">
        <v>39.738822</v>
      </c>
      <c r="I2055" t="n">
        <v>-104.849234626866</v>
      </c>
      <c r="J2055" t="s">
        <v>35</v>
      </c>
      <c r="K2055" t="s">
        <v>315</v>
      </c>
      <c r="L2055"/>
      <c r="M2055" t="n">
        <v>1980</v>
      </c>
      <c r="N2055" t="n">
        <v>1992</v>
      </c>
      <c r="O2055" t="s">
        <v>3881</v>
      </c>
      <c r="P2055" t="n">
        <v>4</v>
      </c>
      <c r="Q2055" t="n">
        <v>1</v>
      </c>
      <c r="R2055" t="n">
        <v>1</v>
      </c>
      <c r="S2055" t="n">
        <v>1973</v>
      </c>
      <c r="T2055" t="s">
        <v>13418</v>
      </c>
      <c r="U2055" t="s">
        <v>13419</v>
      </c>
      <c r="V2055" t="s">
        <v>74</v>
      </c>
      <c r="W2055"/>
      <c r="X2055"/>
      <c r="Y2055" t="s">
        <v>13420</v>
      </c>
      <c r="Z2055"/>
      <c r="AA2055" t="s">
        <v>13421</v>
      </c>
      <c r="AB2055" t="s">
        <v>13422</v>
      </c>
      <c r="AC2055" t="n">
        <v>231</v>
      </c>
      <c r="AD2055" t="s">
        <v>13423</v>
      </c>
      <c r="AE2055" t="n">
        <v>231</v>
      </c>
      <c r="AF2055" t="s">
        <v>13424</v>
      </c>
      <c r="AG2055" t="n">
        <v>15</v>
      </c>
    </row>
    <row r="2056">
      <c r="A2056" t="s">
        <v>13425</v>
      </c>
      <c r="B2056" t="s">
        <v>28</v>
      </c>
      <c r="C2056" t="s">
        <v>65</v>
      </c>
      <c r="D2056" t="s">
        <v>13426</v>
      </c>
      <c r="E2056" t="s">
        <v>394</v>
      </c>
      <c r="F2056" t="s">
        <v>387</v>
      </c>
      <c r="G2056" t="s">
        <v>395</v>
      </c>
      <c r="H2056" t="n">
        <v>39.660519755102</v>
      </c>
      <c r="I2056" t="n">
        <v>-105.014639183673</v>
      </c>
      <c r="J2056" t="s">
        <v>35</v>
      </c>
      <c r="K2056" t="s">
        <v>70</v>
      </c>
      <c r="L2056"/>
      <c r="M2056" t="n">
        <v>1980</v>
      </c>
      <c r="N2056" t="n">
        <v>1980</v>
      </c>
      <c r="O2056" t="s">
        <v>255</v>
      </c>
      <c r="P2056" t="n">
        <v>1</v>
      </c>
      <c r="Q2056" t="n">
        <v>1</v>
      </c>
      <c r="R2056" t="n">
        <v>1</v>
      </c>
      <c r="S2056" t="n">
        <v>1965</v>
      </c>
      <c r="T2056" t="s">
        <v>13427</v>
      </c>
      <c r="U2056" t="s">
        <v>13428</v>
      </c>
      <c r="V2056" t="s">
        <v>74</v>
      </c>
      <c r="W2056"/>
      <c r="X2056"/>
      <c r="Y2056" t="s">
        <v>13429</v>
      </c>
      <c r="Z2056"/>
      <c r="AA2056"/>
      <c r="AB2056"/>
      <c r="AC2056"/>
      <c r="AD2056"/>
      <c r="AE2056"/>
      <c r="AF2056" t="s">
        <v>10756</v>
      </c>
      <c r="AG2056" t="n">
        <v>25</v>
      </c>
    </row>
    <row r="2057">
      <c r="A2057" t="s">
        <v>13430</v>
      </c>
      <c r="B2057" t="s">
        <v>28</v>
      </c>
      <c r="C2057" t="s">
        <v>65</v>
      </c>
      <c r="D2057" t="s">
        <v>13431</v>
      </c>
      <c r="E2057" t="s">
        <v>394</v>
      </c>
      <c r="F2057" t="s">
        <v>387</v>
      </c>
      <c r="G2057" t="s">
        <v>395</v>
      </c>
      <c r="H2057" t="n">
        <v>39.660507716141</v>
      </c>
      <c r="I2057" t="n">
        <v>-105.01118735436</v>
      </c>
      <c r="J2057" t="s">
        <v>35</v>
      </c>
      <c r="K2057" t="s">
        <v>201</v>
      </c>
      <c r="L2057"/>
      <c r="M2057" t="n">
        <v>1980</v>
      </c>
      <c r="N2057" t="n">
        <v>1992</v>
      </c>
      <c r="O2057" t="s">
        <v>540</v>
      </c>
      <c r="P2057" t="n">
        <v>5</v>
      </c>
      <c r="Q2057" t="n">
        <v>5</v>
      </c>
      <c r="R2057" t="n">
        <v>4</v>
      </c>
      <c r="S2057" t="n">
        <v>1973</v>
      </c>
      <c r="T2057" t="s">
        <v>13432</v>
      </c>
      <c r="U2057" t="s">
        <v>13433</v>
      </c>
      <c r="V2057" t="s">
        <v>74</v>
      </c>
      <c r="W2057"/>
      <c r="X2057"/>
      <c r="Y2057" t="s">
        <v>13434</v>
      </c>
      <c r="Z2057"/>
      <c r="AA2057"/>
      <c r="AB2057"/>
      <c r="AC2057"/>
      <c r="AD2057"/>
      <c r="AE2057"/>
      <c r="AF2057" t="s">
        <v>13435</v>
      </c>
      <c r="AG2057" t="n">
        <v>25</v>
      </c>
    </row>
    <row r="2058">
      <c r="A2058" t="s">
        <v>13436</v>
      </c>
      <c r="B2058" t="s">
        <v>28</v>
      </c>
      <c r="C2058" t="s">
        <v>65</v>
      </c>
      <c r="D2058" t="s">
        <v>13437</v>
      </c>
      <c r="E2058" t="s">
        <v>394</v>
      </c>
      <c r="F2058" t="s">
        <v>387</v>
      </c>
      <c r="G2058" t="s">
        <v>395</v>
      </c>
      <c r="H2058" t="n">
        <v>39.6322768770492</v>
      </c>
      <c r="I2058" t="n">
        <v>-105.009189762295</v>
      </c>
      <c r="J2058" t="s">
        <v>35</v>
      </c>
      <c r="K2058" t="s">
        <v>13438</v>
      </c>
      <c r="L2058"/>
      <c r="M2058" t="n">
        <v>1980</v>
      </c>
      <c r="N2058" t="n">
        <v>1990</v>
      </c>
      <c r="O2058" t="s">
        <v>271</v>
      </c>
      <c r="P2058" t="n">
        <v>4</v>
      </c>
      <c r="Q2058" t="n">
        <v>8</v>
      </c>
      <c r="R2058" t="n">
        <v>5</v>
      </c>
      <c r="S2058" t="n">
        <v>1974</v>
      </c>
      <c r="T2058" t="s">
        <v>13439</v>
      </c>
      <c r="U2058" t="s">
        <v>13440</v>
      </c>
      <c r="V2058" t="s">
        <v>74</v>
      </c>
      <c r="W2058"/>
      <c r="X2058"/>
      <c r="Y2058" t="s">
        <v>13441</v>
      </c>
      <c r="Z2058"/>
      <c r="AA2058"/>
      <c r="AB2058" t="s">
        <v>5897</v>
      </c>
      <c r="AC2058" t="n">
        <v>216</v>
      </c>
      <c r="AD2058" t="s">
        <v>5953</v>
      </c>
      <c r="AE2058" t="n">
        <v>210</v>
      </c>
      <c r="AF2058" t="s">
        <v>13442</v>
      </c>
      <c r="AG2058" t="n">
        <v>23</v>
      </c>
    </row>
    <row r="2059">
      <c r="A2059" t="s">
        <v>13443</v>
      </c>
      <c r="B2059" t="s">
        <v>28</v>
      </c>
      <c r="C2059" t="s">
        <v>24</v>
      </c>
      <c r="D2059" t="s">
        <v>13444</v>
      </c>
      <c r="E2059" t="s">
        <v>394</v>
      </c>
      <c r="F2059" t="s">
        <v>387</v>
      </c>
      <c r="G2059" t="s">
        <v>395</v>
      </c>
      <c r="H2059" t="n">
        <v>39.707374</v>
      </c>
      <c r="I2059" t="n">
        <v>-105.013333</v>
      </c>
      <c r="J2059" t="s">
        <v>4109</v>
      </c>
      <c r="K2059" t="s">
        <v>133</v>
      </c>
      <c r="L2059"/>
      <c r="M2059" t="n">
        <v>1980</v>
      </c>
      <c r="N2059" t="n">
        <v>1980</v>
      </c>
      <c r="O2059" t="s">
        <v>255</v>
      </c>
      <c r="P2059" t="n">
        <v>1</v>
      </c>
      <c r="Q2059" t="n">
        <v>1</v>
      </c>
      <c r="R2059" t="n">
        <v>1</v>
      </c>
      <c r="S2059" t="n">
        <v>1980</v>
      </c>
      <c r="T2059" t="s">
        <v>13445</v>
      </c>
      <c r="U2059" t="s">
        <v>13446</v>
      </c>
      <c r="V2059" t="s">
        <v>74</v>
      </c>
      <c r="W2059"/>
      <c r="X2059"/>
      <c r="Y2059" t="s">
        <v>13447</v>
      </c>
      <c r="Z2059"/>
      <c r="AA2059" t="s">
        <v>13448</v>
      </c>
      <c r="AB2059"/>
      <c r="AC2059"/>
      <c r="AD2059"/>
      <c r="AE2059"/>
      <c r="AF2059" t="s">
        <v>11186</v>
      </c>
      <c r="AG2059" t="n">
        <v>235</v>
      </c>
    </row>
    <row r="2060">
      <c r="A2060" t="s">
        <v>13449</v>
      </c>
      <c r="B2060" t="s">
        <v>28</v>
      </c>
      <c r="C2060" t="s">
        <v>65</v>
      </c>
      <c r="D2060" t="s">
        <v>13450</v>
      </c>
      <c r="E2060" t="s">
        <v>394</v>
      </c>
      <c r="F2060" t="s">
        <v>387</v>
      </c>
      <c r="G2060" t="s">
        <v>553</v>
      </c>
      <c r="H2060" t="n">
        <v>39.5706793660064</v>
      </c>
      <c r="I2060" t="n">
        <v>-104.859241051563</v>
      </c>
      <c r="J2060" t="s">
        <v>35</v>
      </c>
      <c r="K2060" t="s">
        <v>4870</v>
      </c>
      <c r="L2060" t="s">
        <v>2445</v>
      </c>
      <c r="M2060" t="n">
        <v>1980</v>
      </c>
      <c r="N2060" t="n">
        <v>1990</v>
      </c>
      <c r="O2060" t="s">
        <v>540</v>
      </c>
      <c r="P2060" t="n">
        <v>4</v>
      </c>
      <c r="Q2060" t="n">
        <v>5</v>
      </c>
      <c r="R2060" t="n">
        <v>4</v>
      </c>
      <c r="S2060" t="n">
        <v>1970</v>
      </c>
      <c r="T2060" t="s">
        <v>13451</v>
      </c>
      <c r="U2060" t="s">
        <v>13452</v>
      </c>
      <c r="V2060" t="s">
        <v>74</v>
      </c>
      <c r="W2060"/>
      <c r="X2060"/>
      <c r="Y2060" t="s">
        <v>13453</v>
      </c>
      <c r="Z2060"/>
      <c r="AA2060" t="s">
        <v>13454</v>
      </c>
      <c r="AB2060"/>
      <c r="AC2060"/>
      <c r="AD2060"/>
      <c r="AE2060"/>
      <c r="AF2060"/>
      <c r="AG2060"/>
    </row>
    <row r="2061">
      <c r="A2061" t="s">
        <v>13455</v>
      </c>
      <c r="B2061" t="s">
        <v>28</v>
      </c>
      <c r="C2061" t="s">
        <v>65</v>
      </c>
      <c r="D2061" t="s">
        <v>13456</v>
      </c>
      <c r="E2061" t="s">
        <v>394</v>
      </c>
      <c r="F2061" t="s">
        <v>387</v>
      </c>
      <c r="G2061" t="s">
        <v>395</v>
      </c>
      <c r="H2061" t="n">
        <v>39.6567541446821</v>
      </c>
      <c r="I2061" t="n">
        <v>-104.98666689411</v>
      </c>
      <c r="J2061" t="s">
        <v>35</v>
      </c>
      <c r="K2061" t="s">
        <v>120</v>
      </c>
      <c r="L2061"/>
      <c r="M2061" t="n">
        <v>1980</v>
      </c>
      <c r="N2061" t="n">
        <v>1990</v>
      </c>
      <c r="O2061" t="s">
        <v>582</v>
      </c>
      <c r="P2061" t="n">
        <v>3</v>
      </c>
      <c r="Q2061" t="n">
        <v>2</v>
      </c>
      <c r="R2061" t="n">
        <v>1</v>
      </c>
      <c r="S2061" t="n">
        <v>1974</v>
      </c>
      <c r="T2061" t="s">
        <v>13457</v>
      </c>
      <c r="U2061" t="s">
        <v>13458</v>
      </c>
      <c r="V2061" t="s">
        <v>74</v>
      </c>
      <c r="W2061"/>
      <c r="X2061"/>
      <c r="Y2061" t="s">
        <v>13459</v>
      </c>
      <c r="Z2061"/>
      <c r="AA2061"/>
      <c r="AB2061" t="s">
        <v>13460</v>
      </c>
      <c r="AC2061" t="n">
        <v>193</v>
      </c>
      <c r="AD2061"/>
      <c r="AE2061"/>
      <c r="AF2061" t="s">
        <v>13461</v>
      </c>
      <c r="AG2061" t="n">
        <v>5</v>
      </c>
    </row>
    <row r="2062">
      <c r="A2062" t="s">
        <v>13462</v>
      </c>
      <c r="B2062" t="s">
        <v>28</v>
      </c>
      <c r="C2062" t="s">
        <v>65</v>
      </c>
      <c r="D2062" t="s">
        <v>13463</v>
      </c>
      <c r="E2062" t="s">
        <v>394</v>
      </c>
      <c r="F2062" t="s">
        <v>387</v>
      </c>
      <c r="G2062" t="s">
        <v>395</v>
      </c>
      <c r="H2062" t="n">
        <v>39.6631410204082</v>
      </c>
      <c r="I2062" t="n">
        <v>-105.01108977551</v>
      </c>
      <c r="J2062" t="s">
        <v>35</v>
      </c>
      <c r="K2062" t="s">
        <v>796</v>
      </c>
      <c r="L2062"/>
      <c r="M2062" t="n">
        <v>1980</v>
      </c>
      <c r="N2062" t="n">
        <v>1990</v>
      </c>
      <c r="O2062" t="s">
        <v>351</v>
      </c>
      <c r="P2062" t="n">
        <v>2</v>
      </c>
      <c r="Q2062" t="n">
        <v>2</v>
      </c>
      <c r="R2062" t="n">
        <v>1</v>
      </c>
      <c r="S2062" t="n">
        <v>1978</v>
      </c>
      <c r="T2062" t="s">
        <v>13464</v>
      </c>
      <c r="U2062" t="s">
        <v>13465</v>
      </c>
      <c r="V2062" t="s">
        <v>74</v>
      </c>
      <c r="W2062"/>
      <c r="X2062"/>
      <c r="Y2062" t="s">
        <v>13466</v>
      </c>
      <c r="Z2062"/>
      <c r="AA2062"/>
      <c r="AB2062" t="s">
        <v>448</v>
      </c>
      <c r="AC2062" t="n">
        <v>100</v>
      </c>
      <c r="AD2062"/>
      <c r="AE2062"/>
      <c r="AF2062" t="s">
        <v>13376</v>
      </c>
      <c r="AG2062" t="n">
        <v>39</v>
      </c>
    </row>
    <row r="2063">
      <c r="A2063" t="s">
        <v>13467</v>
      </c>
      <c r="B2063" t="s">
        <v>28</v>
      </c>
      <c r="C2063" t="s">
        <v>65</v>
      </c>
      <c r="D2063" t="s">
        <v>13468</v>
      </c>
      <c r="E2063" t="s">
        <v>394</v>
      </c>
      <c r="F2063" t="s">
        <v>387</v>
      </c>
      <c r="G2063" t="s">
        <v>395</v>
      </c>
      <c r="H2063" t="n">
        <v>39.6314264621235</v>
      </c>
      <c r="I2063" t="n">
        <v>-105.020415476757</v>
      </c>
      <c r="J2063" t="s">
        <v>35</v>
      </c>
      <c r="K2063" t="s">
        <v>70</v>
      </c>
      <c r="L2063"/>
      <c r="M2063" t="n">
        <v>1980</v>
      </c>
      <c r="N2063" t="n">
        <v>1983</v>
      </c>
      <c r="O2063" t="s">
        <v>528</v>
      </c>
      <c r="P2063" t="n">
        <v>2</v>
      </c>
      <c r="Q2063" t="n">
        <v>1</v>
      </c>
      <c r="R2063" t="n">
        <v>1</v>
      </c>
      <c r="S2063" t="n">
        <v>1971</v>
      </c>
      <c r="T2063" t="s">
        <v>13469</v>
      </c>
      <c r="U2063" t="s">
        <v>13470</v>
      </c>
      <c r="V2063" t="s">
        <v>74</v>
      </c>
      <c r="W2063"/>
      <c r="X2063"/>
      <c r="Y2063" t="s">
        <v>13471</v>
      </c>
      <c r="Z2063"/>
      <c r="AA2063"/>
      <c r="AB2063"/>
      <c r="AC2063"/>
      <c r="AD2063" t="s">
        <v>13472</v>
      </c>
      <c r="AE2063" t="n">
        <v>200</v>
      </c>
      <c r="AF2063" t="s">
        <v>13473</v>
      </c>
      <c r="AG2063" t="n">
        <v>26</v>
      </c>
    </row>
    <row r="2064">
      <c r="A2064" t="s">
        <v>13474</v>
      </c>
      <c r="B2064" t="s">
        <v>28</v>
      </c>
      <c r="C2064" t="s">
        <v>65</v>
      </c>
      <c r="D2064" t="s">
        <v>13475</v>
      </c>
      <c r="E2064" t="s">
        <v>394</v>
      </c>
      <c r="F2064" t="s">
        <v>387</v>
      </c>
      <c r="G2064" t="s">
        <v>395</v>
      </c>
      <c r="H2064" t="n">
        <v>39.6722709987374</v>
      </c>
      <c r="I2064" t="n">
        <v>-105.009027573232</v>
      </c>
      <c r="J2064" t="s">
        <v>35</v>
      </c>
      <c r="K2064" t="s">
        <v>141</v>
      </c>
      <c r="L2064"/>
      <c r="M2064" t="n">
        <v>1980</v>
      </c>
      <c r="N2064" t="n">
        <v>1988</v>
      </c>
      <c r="O2064" t="s">
        <v>1668</v>
      </c>
      <c r="P2064" t="n">
        <v>3</v>
      </c>
      <c r="Q2064" t="n">
        <v>3</v>
      </c>
      <c r="R2064" t="n">
        <v>2</v>
      </c>
      <c r="S2064" t="n">
        <v>1952</v>
      </c>
      <c r="T2064" t="s">
        <v>13476</v>
      </c>
      <c r="U2064" t="s">
        <v>13477</v>
      </c>
      <c r="V2064" t="s">
        <v>74</v>
      </c>
      <c r="W2064"/>
      <c r="X2064"/>
      <c r="Y2064" t="s">
        <v>13478</v>
      </c>
      <c r="Z2064"/>
      <c r="AA2064" t="s">
        <v>13479</v>
      </c>
      <c r="AB2064" t="s">
        <v>5935</v>
      </c>
      <c r="AC2064" t="n">
        <v>214</v>
      </c>
      <c r="AD2064" t="s">
        <v>5935</v>
      </c>
      <c r="AE2064" t="n">
        <v>158</v>
      </c>
      <c r="AF2064" t="s">
        <v>13480</v>
      </c>
      <c r="AG2064" t="n">
        <v>5</v>
      </c>
    </row>
    <row r="2065">
      <c r="A2065" t="s">
        <v>13481</v>
      </c>
      <c r="B2065" t="s">
        <v>28</v>
      </c>
      <c r="C2065" t="s">
        <v>65</v>
      </c>
      <c r="D2065" t="s">
        <v>13482</v>
      </c>
      <c r="E2065" t="s">
        <v>394</v>
      </c>
      <c r="F2065" t="s">
        <v>387</v>
      </c>
      <c r="G2065" t="s">
        <v>395</v>
      </c>
      <c r="H2065" t="n">
        <v>39.6699737978917</v>
      </c>
      <c r="I2065" t="n">
        <v>-105.008681266708</v>
      </c>
      <c r="J2065" t="s">
        <v>35</v>
      </c>
      <c r="K2065" t="s">
        <v>81</v>
      </c>
      <c r="L2065"/>
      <c r="M2065" t="n">
        <v>1980</v>
      </c>
      <c r="N2065" t="n">
        <v>1990</v>
      </c>
      <c r="O2065" t="s">
        <v>540</v>
      </c>
      <c r="P2065" t="n">
        <v>4</v>
      </c>
      <c r="Q2065" t="n">
        <v>9</v>
      </c>
      <c r="R2065" t="n">
        <v>5</v>
      </c>
      <c r="S2065" t="n">
        <v>1955</v>
      </c>
      <c r="T2065" t="s">
        <v>13483</v>
      </c>
      <c r="U2065" t="s">
        <v>13484</v>
      </c>
      <c r="V2065" t="s">
        <v>74</v>
      </c>
      <c r="W2065"/>
      <c r="X2065"/>
      <c r="Y2065" t="s">
        <v>13485</v>
      </c>
      <c r="Z2065"/>
      <c r="AA2065" t="s">
        <v>13486</v>
      </c>
      <c r="AB2065" t="s">
        <v>6020</v>
      </c>
      <c r="AC2065" t="n">
        <v>243</v>
      </c>
      <c r="AD2065"/>
      <c r="AE2065"/>
      <c r="AF2065" t="s">
        <v>13487</v>
      </c>
      <c r="AG2065" t="n">
        <v>8</v>
      </c>
    </row>
    <row r="2066">
      <c r="A2066" t="s">
        <v>13488</v>
      </c>
      <c r="B2066" t="s">
        <v>28</v>
      </c>
      <c r="C2066" t="s">
        <v>65</v>
      </c>
      <c r="D2066" t="s">
        <v>13489</v>
      </c>
      <c r="E2066" t="s">
        <v>95</v>
      </c>
      <c r="F2066" t="s">
        <v>387</v>
      </c>
      <c r="G2066" t="s">
        <v>433</v>
      </c>
      <c r="H2066" t="n">
        <v>39.7239241226458</v>
      </c>
      <c r="I2066" t="n">
        <v>-104.865939786274</v>
      </c>
      <c r="J2066" t="s">
        <v>35</v>
      </c>
      <c r="K2066" t="s">
        <v>315</v>
      </c>
      <c r="L2066"/>
      <c r="M2066" t="n">
        <v>1983</v>
      </c>
      <c r="N2066" t="n">
        <v>1983</v>
      </c>
      <c r="O2066" t="s">
        <v>264</v>
      </c>
      <c r="P2066" t="n">
        <v>1</v>
      </c>
      <c r="Q2066" t="n">
        <v>1</v>
      </c>
      <c r="R2066" t="n">
        <v>1</v>
      </c>
      <c r="S2066" t="n">
        <v>1968</v>
      </c>
      <c r="T2066" t="s">
        <v>13490</v>
      </c>
      <c r="U2066" t="s">
        <v>13491</v>
      </c>
      <c r="V2066" t="s">
        <v>74</v>
      </c>
      <c r="W2066"/>
      <c r="X2066"/>
      <c r="Y2066" t="s">
        <v>13492</v>
      </c>
      <c r="Z2066"/>
      <c r="AA2066" t="s">
        <v>13493</v>
      </c>
      <c r="AB2066"/>
      <c r="AC2066"/>
      <c r="AD2066"/>
      <c r="AE2066"/>
      <c r="AF2066" t="s">
        <v>13494</v>
      </c>
      <c r="AG2066" t="n">
        <v>67</v>
      </c>
    </row>
    <row r="2067">
      <c r="A2067" t="s">
        <v>13495</v>
      </c>
      <c r="B2067" t="s">
        <v>28</v>
      </c>
      <c r="C2067" t="s">
        <v>65</v>
      </c>
      <c r="D2067" t="s">
        <v>13496</v>
      </c>
      <c r="E2067" t="s">
        <v>394</v>
      </c>
      <c r="F2067" t="s">
        <v>387</v>
      </c>
      <c r="G2067" t="s">
        <v>395</v>
      </c>
      <c r="H2067" t="n">
        <v>39.6623088366159</v>
      </c>
      <c r="I2067" t="n">
        <v>-105.014580077171</v>
      </c>
      <c r="J2067" t="s">
        <v>35</v>
      </c>
      <c r="K2067" t="s">
        <v>141</v>
      </c>
      <c r="L2067"/>
      <c r="M2067" t="n">
        <v>1983</v>
      </c>
      <c r="N2067" t="n">
        <v>1990</v>
      </c>
      <c r="O2067" t="s">
        <v>271</v>
      </c>
      <c r="P2067" t="n">
        <v>3</v>
      </c>
      <c r="Q2067" t="n">
        <v>5</v>
      </c>
      <c r="R2067" t="n">
        <v>5</v>
      </c>
      <c r="S2067" t="n">
        <v>1955</v>
      </c>
      <c r="T2067" t="s">
        <v>13497</v>
      </c>
      <c r="U2067" t="s">
        <v>13498</v>
      </c>
      <c r="V2067" t="s">
        <v>74</v>
      </c>
      <c r="W2067"/>
      <c r="X2067"/>
      <c r="Y2067" t="s">
        <v>13499</v>
      </c>
      <c r="Z2067"/>
      <c r="AA2067" t="s">
        <v>13500</v>
      </c>
      <c r="AB2067" t="s">
        <v>448</v>
      </c>
      <c r="AC2067" t="n">
        <v>217</v>
      </c>
      <c r="AD2067"/>
      <c r="AE2067"/>
      <c r="AF2067" t="s">
        <v>13501</v>
      </c>
      <c r="AG2067" t="n">
        <v>38</v>
      </c>
    </row>
    <row r="2068">
      <c r="A2068" t="s">
        <v>13502</v>
      </c>
      <c r="B2068" t="s">
        <v>28</v>
      </c>
      <c r="C2068" t="s">
        <v>65</v>
      </c>
      <c r="D2068" t="s">
        <v>13503</v>
      </c>
      <c r="E2068" t="s">
        <v>394</v>
      </c>
      <c r="F2068" t="s">
        <v>387</v>
      </c>
      <c r="G2068" t="s">
        <v>395</v>
      </c>
      <c r="H2068" t="n">
        <v>39.6618686122449</v>
      </c>
      <c r="I2068" t="n">
        <v>-105.01458177551</v>
      </c>
      <c r="J2068" t="s">
        <v>35</v>
      </c>
      <c r="K2068" t="s">
        <v>70</v>
      </c>
      <c r="L2068"/>
      <c r="M2068" t="n">
        <v>1983</v>
      </c>
      <c r="N2068" t="n">
        <v>1983</v>
      </c>
      <c r="O2068" t="s">
        <v>264</v>
      </c>
      <c r="P2068" t="n">
        <v>1</v>
      </c>
      <c r="Q2068" t="n">
        <v>1</v>
      </c>
      <c r="R2068" t="n">
        <v>1</v>
      </c>
      <c r="S2068" t="n">
        <v>1976</v>
      </c>
      <c r="T2068" t="s">
        <v>13504</v>
      </c>
      <c r="U2068" t="s">
        <v>13505</v>
      </c>
      <c r="V2068" t="s">
        <v>74</v>
      </c>
      <c r="W2068"/>
      <c r="X2068"/>
      <c r="Y2068" t="s">
        <v>13506</v>
      </c>
      <c r="Z2068"/>
      <c r="AA2068"/>
      <c r="AB2068" t="s">
        <v>448</v>
      </c>
      <c r="AC2068" t="n">
        <v>240</v>
      </c>
      <c r="AD2068"/>
      <c r="AE2068"/>
      <c r="AF2068" t="s">
        <v>13501</v>
      </c>
      <c r="AG2068" t="n">
        <v>11</v>
      </c>
    </row>
    <row r="2069">
      <c r="A2069" t="s">
        <v>13507</v>
      </c>
      <c r="B2069" t="s">
        <v>28</v>
      </c>
      <c r="C2069" t="s">
        <v>65</v>
      </c>
      <c r="D2069" t="s">
        <v>13508</v>
      </c>
      <c r="E2069" t="s">
        <v>394</v>
      </c>
      <c r="F2069" t="s">
        <v>387</v>
      </c>
      <c r="G2069" t="s">
        <v>553</v>
      </c>
      <c r="H2069" t="n">
        <v>39.5918295454545</v>
      </c>
      <c r="I2069" t="n">
        <v>-104.874435</v>
      </c>
      <c r="J2069" t="s">
        <v>35</v>
      </c>
      <c r="K2069" t="s">
        <v>120</v>
      </c>
      <c r="L2069"/>
      <c r="M2069" t="n">
        <v>1983</v>
      </c>
      <c r="N2069" t="n">
        <v>1990</v>
      </c>
      <c r="O2069" t="s">
        <v>264</v>
      </c>
      <c r="P2069" t="n">
        <v>3</v>
      </c>
      <c r="Q2069" t="n">
        <v>2</v>
      </c>
      <c r="R2069" t="n">
        <v>1</v>
      </c>
      <c r="S2069" t="n">
        <v>1972</v>
      </c>
      <c r="T2069" t="s">
        <v>13509</v>
      </c>
      <c r="U2069" t="s">
        <v>13510</v>
      </c>
      <c r="V2069" t="s">
        <v>74</v>
      </c>
      <c r="W2069"/>
      <c r="X2069"/>
      <c r="Y2069" t="s">
        <v>13511</v>
      </c>
      <c r="Z2069"/>
      <c r="AA2069"/>
      <c r="AB2069"/>
      <c r="AC2069"/>
      <c r="AD2069"/>
      <c r="AE2069"/>
      <c r="AF2069" t="s">
        <v>13512</v>
      </c>
      <c r="AG2069" t="n">
        <v>14</v>
      </c>
    </row>
    <row r="2070">
      <c r="A2070" t="s">
        <v>13513</v>
      </c>
      <c r="B2070" t="s">
        <v>28</v>
      </c>
      <c r="C2070" t="s">
        <v>65</v>
      </c>
      <c r="D2070" t="s">
        <v>13514</v>
      </c>
      <c r="E2070" t="s">
        <v>394</v>
      </c>
      <c r="F2070" t="s">
        <v>387</v>
      </c>
      <c r="G2070" t="s">
        <v>395</v>
      </c>
      <c r="H2070" t="n">
        <v>39.653284</v>
      </c>
      <c r="I2070" t="n">
        <v>-105.030994</v>
      </c>
      <c r="J2070" t="s">
        <v>35</v>
      </c>
      <c r="K2070" t="s">
        <v>120</v>
      </c>
      <c r="L2070"/>
      <c r="M2070" t="n">
        <v>1983</v>
      </c>
      <c r="N2070" t="n">
        <v>1990</v>
      </c>
      <c r="O2070" t="s">
        <v>325</v>
      </c>
      <c r="P2070" t="n">
        <v>3</v>
      </c>
      <c r="Q2070" t="n">
        <v>3</v>
      </c>
      <c r="R2070" t="n">
        <v>1</v>
      </c>
      <c r="S2070" t="n">
        <v>1973</v>
      </c>
      <c r="T2070" t="s">
        <v>13515</v>
      </c>
      <c r="U2070" t="s">
        <v>13516</v>
      </c>
      <c r="V2070" t="s">
        <v>74</v>
      </c>
      <c r="W2070"/>
      <c r="X2070"/>
      <c r="Y2070" t="s">
        <v>13517</v>
      </c>
      <c r="Z2070"/>
      <c r="AA2070"/>
      <c r="AB2070"/>
      <c r="AC2070"/>
      <c r="AD2070"/>
      <c r="AE2070"/>
      <c r="AF2070" t="s">
        <v>13518</v>
      </c>
      <c r="AG2070" t="n">
        <v>96</v>
      </c>
    </row>
    <row r="2071">
      <c r="A2071" t="s">
        <v>13519</v>
      </c>
      <c r="B2071" t="s">
        <v>28</v>
      </c>
      <c r="C2071" t="s">
        <v>65</v>
      </c>
      <c r="D2071" t="s">
        <v>13520</v>
      </c>
      <c r="E2071" t="s">
        <v>394</v>
      </c>
      <c r="F2071" t="s">
        <v>387</v>
      </c>
      <c r="G2071" t="s">
        <v>395</v>
      </c>
      <c r="H2071" t="n">
        <v>39.67346925</v>
      </c>
      <c r="I2071" t="n">
        <v>-105.011047375</v>
      </c>
      <c r="J2071" t="s">
        <v>35</v>
      </c>
      <c r="K2071" t="s">
        <v>120</v>
      </c>
      <c r="L2071"/>
      <c r="M2071" t="n">
        <v>1983</v>
      </c>
      <c r="N2071" t="n">
        <v>1983</v>
      </c>
      <c r="O2071" t="s">
        <v>264</v>
      </c>
      <c r="P2071" t="n">
        <v>1</v>
      </c>
      <c r="Q2071" t="n">
        <v>1</v>
      </c>
      <c r="R2071" t="n">
        <v>1</v>
      </c>
      <c r="S2071" t="n">
        <v>1929</v>
      </c>
      <c r="T2071" t="s">
        <v>13521</v>
      </c>
      <c r="U2071" t="s">
        <v>13522</v>
      </c>
      <c r="V2071" t="s">
        <v>74</v>
      </c>
      <c r="W2071"/>
      <c r="X2071"/>
      <c r="Y2071" t="s">
        <v>13523</v>
      </c>
      <c r="Z2071"/>
      <c r="AA2071" t="s">
        <v>13523</v>
      </c>
      <c r="AB2071" t="s">
        <v>456</v>
      </c>
      <c r="AC2071" t="n">
        <v>194</v>
      </c>
      <c r="AD2071" t="s">
        <v>457</v>
      </c>
      <c r="AE2071" t="n">
        <v>141</v>
      </c>
      <c r="AF2071" t="s">
        <v>458</v>
      </c>
      <c r="AG2071" t="n">
        <v>10</v>
      </c>
    </row>
    <row r="2072">
      <c r="A2072" t="s">
        <v>13524</v>
      </c>
      <c r="B2072" t="s">
        <v>28</v>
      </c>
      <c r="C2072" t="s">
        <v>24</v>
      </c>
      <c r="D2072" t="s">
        <v>13525</v>
      </c>
      <c r="E2072" t="s">
        <v>394</v>
      </c>
      <c r="F2072" t="s">
        <v>387</v>
      </c>
      <c r="G2072" t="s">
        <v>553</v>
      </c>
      <c r="H2072" t="n">
        <v>39.580276272995</v>
      </c>
      <c r="I2072" t="n">
        <v>-104.860973302673</v>
      </c>
      <c r="J2072" t="s">
        <v>4109</v>
      </c>
      <c r="K2072" t="s">
        <v>120</v>
      </c>
      <c r="L2072"/>
      <c r="M2072" t="n">
        <v>1983</v>
      </c>
      <c r="N2072" t="n">
        <v>1990</v>
      </c>
      <c r="O2072" t="s">
        <v>264</v>
      </c>
      <c r="P2072" t="n">
        <v>2</v>
      </c>
      <c r="Q2072" t="n">
        <v>2</v>
      </c>
      <c r="R2072" t="n">
        <v>1</v>
      </c>
      <c r="S2072" t="n">
        <v>1970</v>
      </c>
      <c r="T2072" t="s">
        <v>13526</v>
      </c>
      <c r="U2072" t="s">
        <v>13527</v>
      </c>
      <c r="V2072" t="s">
        <v>74</v>
      </c>
      <c r="W2072"/>
      <c r="X2072"/>
      <c r="Y2072" t="s">
        <v>13528</v>
      </c>
      <c r="Z2072"/>
      <c r="AA2072" t="s">
        <v>13529</v>
      </c>
      <c r="AB2072"/>
      <c r="AC2072"/>
      <c r="AD2072"/>
      <c r="AE2072"/>
      <c r="AF2072" t="s">
        <v>13530</v>
      </c>
      <c r="AG2072" t="n">
        <v>134</v>
      </c>
    </row>
    <row r="2073">
      <c r="A2073" t="s">
        <v>13531</v>
      </c>
      <c r="B2073" t="s">
        <v>28</v>
      </c>
      <c r="C2073" t="s">
        <v>65</v>
      </c>
      <c r="D2073" t="s">
        <v>13532</v>
      </c>
      <c r="E2073" t="s">
        <v>394</v>
      </c>
      <c r="F2073" t="s">
        <v>387</v>
      </c>
      <c r="G2073" t="s">
        <v>395</v>
      </c>
      <c r="H2073" t="n">
        <v>39.6348832727273</v>
      </c>
      <c r="I2073" t="n">
        <v>-105.010107</v>
      </c>
      <c r="J2073" t="s">
        <v>35</v>
      </c>
      <c r="K2073" t="s">
        <v>282</v>
      </c>
      <c r="L2073" t="s">
        <v>98</v>
      </c>
      <c r="M2073" t="n">
        <v>1983</v>
      </c>
      <c r="N2073" t="n">
        <v>1983</v>
      </c>
      <c r="O2073" t="s">
        <v>264</v>
      </c>
      <c r="P2073" t="n">
        <v>1</v>
      </c>
      <c r="Q2073" t="n">
        <v>1</v>
      </c>
      <c r="R2073" t="n">
        <v>1</v>
      </c>
      <c r="S2073" t="n">
        <v>1975</v>
      </c>
      <c r="T2073" t="s">
        <v>13533</v>
      </c>
      <c r="U2073" t="s">
        <v>13534</v>
      </c>
      <c r="V2073" t="s">
        <v>74</v>
      </c>
      <c r="W2073"/>
      <c r="X2073"/>
      <c r="Y2073" t="s">
        <v>13535</v>
      </c>
      <c r="Z2073"/>
      <c r="AA2073"/>
      <c r="AB2073" t="s">
        <v>5897</v>
      </c>
      <c r="AC2073" t="n">
        <v>181</v>
      </c>
      <c r="AD2073"/>
      <c r="AE2073"/>
      <c r="AF2073" t="s">
        <v>13536</v>
      </c>
      <c r="AG2073" t="n">
        <v>21</v>
      </c>
    </row>
    <row r="2074">
      <c r="A2074" t="s">
        <v>13537</v>
      </c>
      <c r="B2074" t="s">
        <v>28</v>
      </c>
      <c r="C2074" t="s">
        <v>65</v>
      </c>
      <c r="D2074" t="s">
        <v>13538</v>
      </c>
      <c r="E2074" t="s">
        <v>394</v>
      </c>
      <c r="F2074" t="s">
        <v>387</v>
      </c>
      <c r="G2074" t="s">
        <v>395</v>
      </c>
      <c r="H2074" t="n">
        <v>39.642278862069</v>
      </c>
      <c r="I2074" t="n">
        <v>-105.022032413793</v>
      </c>
      <c r="J2074" t="s">
        <v>35</v>
      </c>
      <c r="K2074" t="s">
        <v>120</v>
      </c>
      <c r="L2074"/>
      <c r="M2074" t="n">
        <v>1988</v>
      </c>
      <c r="N2074" t="n">
        <v>1990</v>
      </c>
      <c r="O2074" t="s">
        <v>325</v>
      </c>
      <c r="P2074" t="n">
        <v>2</v>
      </c>
      <c r="Q2074" t="n">
        <v>4</v>
      </c>
      <c r="R2074" t="n">
        <v>2</v>
      </c>
      <c r="S2074" t="n">
        <v>1971</v>
      </c>
      <c r="T2074" t="s">
        <v>13539</v>
      </c>
      <c r="U2074" t="s">
        <v>13540</v>
      </c>
      <c r="V2074" t="s">
        <v>74</v>
      </c>
      <c r="W2074"/>
      <c r="X2074"/>
      <c r="Y2074" t="s">
        <v>13541</v>
      </c>
      <c r="Z2074"/>
      <c r="AA2074" t="s">
        <v>13542</v>
      </c>
      <c r="AB2074" t="s">
        <v>635</v>
      </c>
      <c r="AC2074" t="n">
        <v>152</v>
      </c>
      <c r="AD2074"/>
      <c r="AE2074"/>
      <c r="AF2074" t="s">
        <v>13543</v>
      </c>
      <c r="AG2074" t="n">
        <v>29</v>
      </c>
    </row>
    <row r="2075">
      <c r="A2075" t="s">
        <v>13544</v>
      </c>
      <c r="B2075" t="s">
        <v>28</v>
      </c>
      <c r="C2075" t="s">
        <v>24</v>
      </c>
      <c r="D2075" t="s">
        <v>13545</v>
      </c>
      <c r="E2075" t="s">
        <v>394</v>
      </c>
      <c r="F2075" t="s">
        <v>387</v>
      </c>
      <c r="G2075" t="s">
        <v>553</v>
      </c>
      <c r="H2075" t="n">
        <v>39.5940113189089</v>
      </c>
      <c r="I2075" t="n">
        <v>-104.84050618431</v>
      </c>
      <c r="J2075" t="s">
        <v>4109</v>
      </c>
      <c r="K2075" t="s">
        <v>120</v>
      </c>
      <c r="L2075"/>
      <c r="M2075" t="n">
        <v>1988</v>
      </c>
      <c r="N2075" t="n">
        <v>1992</v>
      </c>
      <c r="O2075" t="s">
        <v>320</v>
      </c>
      <c r="P2075" t="n">
        <v>3</v>
      </c>
      <c r="Q2075" t="n">
        <v>1</v>
      </c>
      <c r="R2075" t="n">
        <v>1</v>
      </c>
      <c r="S2075" t="n">
        <v>1971</v>
      </c>
      <c r="T2075" t="s">
        <v>13546</v>
      </c>
      <c r="U2075" t="s">
        <v>13547</v>
      </c>
      <c r="V2075" t="s">
        <v>74</v>
      </c>
      <c r="W2075"/>
      <c r="X2075"/>
      <c r="Y2075" t="s">
        <v>13548</v>
      </c>
      <c r="Z2075"/>
      <c r="AA2075" t="s">
        <v>13549</v>
      </c>
      <c r="AB2075"/>
      <c r="AC2075"/>
      <c r="AD2075"/>
      <c r="AE2075"/>
      <c r="AF2075" t="s">
        <v>13550</v>
      </c>
      <c r="AG2075" t="n">
        <v>45</v>
      </c>
    </row>
    <row r="2076">
      <c r="A2076" t="s">
        <v>13551</v>
      </c>
      <c r="B2076" t="s">
        <v>28</v>
      </c>
      <c r="C2076" t="s">
        <v>65</v>
      </c>
      <c r="D2076" t="s">
        <v>13552</v>
      </c>
      <c r="E2076" t="s">
        <v>394</v>
      </c>
      <c r="F2076" t="s">
        <v>387</v>
      </c>
      <c r="G2076" t="s">
        <v>553</v>
      </c>
      <c r="H2076" t="n">
        <v>39.5932094308635</v>
      </c>
      <c r="I2076" t="n">
        <v>-104.87618764246</v>
      </c>
      <c r="J2076" t="s">
        <v>35</v>
      </c>
      <c r="K2076" t="s">
        <v>120</v>
      </c>
      <c r="L2076"/>
      <c r="M2076" t="n">
        <v>1988</v>
      </c>
      <c r="N2076" t="n">
        <v>1990</v>
      </c>
      <c r="O2076" t="s">
        <v>325</v>
      </c>
      <c r="P2076" t="n">
        <v>2</v>
      </c>
      <c r="Q2076" t="n">
        <v>2</v>
      </c>
      <c r="R2076" t="n">
        <v>1</v>
      </c>
      <c r="S2076" t="n">
        <v>1978</v>
      </c>
      <c r="T2076" t="s">
        <v>13553</v>
      </c>
      <c r="U2076" t="s">
        <v>13554</v>
      </c>
      <c r="V2076" t="s">
        <v>74</v>
      </c>
      <c r="W2076"/>
      <c r="X2076"/>
      <c r="Y2076" t="s">
        <v>13555</v>
      </c>
      <c r="Z2076"/>
      <c r="AA2076"/>
      <c r="AB2076"/>
      <c r="AC2076"/>
      <c r="AD2076"/>
      <c r="AE2076"/>
      <c r="AF2076" t="s">
        <v>13556</v>
      </c>
      <c r="AG2076" t="n">
        <v>8</v>
      </c>
    </row>
    <row r="2077">
      <c r="A2077" t="s">
        <v>13557</v>
      </c>
      <c r="B2077" t="s">
        <v>28</v>
      </c>
      <c r="C2077" t="s">
        <v>65</v>
      </c>
      <c r="D2077" t="s">
        <v>13558</v>
      </c>
      <c r="E2077" t="s">
        <v>394</v>
      </c>
      <c r="F2077" t="s">
        <v>387</v>
      </c>
      <c r="G2077" t="s">
        <v>395</v>
      </c>
      <c r="H2077" t="n">
        <v>39.6641515510204</v>
      </c>
      <c r="I2077" t="n">
        <v>-105.014555326531</v>
      </c>
      <c r="J2077" t="s">
        <v>35</v>
      </c>
      <c r="K2077" t="s">
        <v>1041</v>
      </c>
      <c r="L2077"/>
      <c r="M2077" t="n">
        <v>1988</v>
      </c>
      <c r="N2077" t="n">
        <v>1988</v>
      </c>
      <c r="O2077" t="s">
        <v>325</v>
      </c>
      <c r="P2077" t="n">
        <v>1</v>
      </c>
      <c r="Q2077" t="n">
        <v>1</v>
      </c>
      <c r="R2077" t="n">
        <v>1</v>
      </c>
      <c r="S2077" t="n">
        <v>1985</v>
      </c>
      <c r="T2077" t="s">
        <v>13559</v>
      </c>
      <c r="U2077" t="s">
        <v>13560</v>
      </c>
      <c r="V2077" t="s">
        <v>74</v>
      </c>
      <c r="W2077"/>
      <c r="X2077"/>
      <c r="Y2077" t="s">
        <v>13561</v>
      </c>
      <c r="Z2077"/>
      <c r="AA2077"/>
      <c r="AB2077" t="s">
        <v>448</v>
      </c>
      <c r="AC2077" t="n">
        <v>231</v>
      </c>
      <c r="AD2077" t="s">
        <v>449</v>
      </c>
      <c r="AE2077" t="n">
        <v>190</v>
      </c>
      <c r="AF2077" t="s">
        <v>524</v>
      </c>
      <c r="AG2077" t="n">
        <v>71</v>
      </c>
    </row>
    <row r="2078">
      <c r="A2078" t="s">
        <v>13562</v>
      </c>
      <c r="B2078" t="s">
        <v>28</v>
      </c>
      <c r="C2078" t="s">
        <v>65</v>
      </c>
      <c r="D2078" t="s">
        <v>13563</v>
      </c>
      <c r="E2078" t="s">
        <v>394</v>
      </c>
      <c r="F2078" t="s">
        <v>387</v>
      </c>
      <c r="G2078" t="s">
        <v>395</v>
      </c>
      <c r="H2078" t="n">
        <v>39.6532854120259</v>
      </c>
      <c r="I2078" t="n">
        <v>-105.02700011426</v>
      </c>
      <c r="J2078" t="s">
        <v>35</v>
      </c>
      <c r="K2078" t="s">
        <v>120</v>
      </c>
      <c r="L2078"/>
      <c r="M2078" t="n">
        <v>1988</v>
      </c>
      <c r="N2078" t="n">
        <v>1992</v>
      </c>
      <c r="O2078" t="s">
        <v>320</v>
      </c>
      <c r="P2078" t="n">
        <v>3</v>
      </c>
      <c r="Q2078" t="n">
        <v>4</v>
      </c>
      <c r="R2078" t="n">
        <v>4</v>
      </c>
      <c r="S2078" t="n">
        <v>1979</v>
      </c>
      <c r="T2078" t="s">
        <v>13564</v>
      </c>
      <c r="U2078" t="s">
        <v>13565</v>
      </c>
      <c r="V2078" t="s">
        <v>74</v>
      </c>
      <c r="W2078"/>
      <c r="X2078"/>
      <c r="Y2078" t="s">
        <v>13566</v>
      </c>
      <c r="Z2078"/>
      <c r="AA2078" t="s">
        <v>13567</v>
      </c>
      <c r="AB2078"/>
      <c r="AC2078"/>
      <c r="AD2078" t="s">
        <v>10863</v>
      </c>
      <c r="AE2078" t="n">
        <v>247</v>
      </c>
      <c r="AF2078" t="s">
        <v>10864</v>
      </c>
      <c r="AG2078" t="n">
        <v>3</v>
      </c>
    </row>
    <row r="2079">
      <c r="A2079" t="s">
        <v>13568</v>
      </c>
      <c r="B2079" t="s">
        <v>28</v>
      </c>
      <c r="C2079" t="s">
        <v>65</v>
      </c>
      <c r="D2079" t="s">
        <v>13569</v>
      </c>
      <c r="E2079" t="s">
        <v>394</v>
      </c>
      <c r="F2079" t="s">
        <v>387</v>
      </c>
      <c r="G2079" t="s">
        <v>395</v>
      </c>
      <c r="H2079" t="n">
        <v>39.6625812838985</v>
      </c>
      <c r="I2079" t="n">
        <v>-105.015762734029</v>
      </c>
      <c r="J2079" t="s">
        <v>35</v>
      </c>
      <c r="K2079" t="s">
        <v>120</v>
      </c>
      <c r="L2079"/>
      <c r="M2079" t="n">
        <v>1988</v>
      </c>
      <c r="N2079" t="n">
        <v>1990</v>
      </c>
      <c r="O2079" t="s">
        <v>310</v>
      </c>
      <c r="P2079" t="n">
        <v>2</v>
      </c>
      <c r="Q2079" t="n">
        <v>1</v>
      </c>
      <c r="R2079" t="n">
        <v>1</v>
      </c>
      <c r="S2079" t="n">
        <v>1981</v>
      </c>
      <c r="T2079" t="s">
        <v>13570</v>
      </c>
      <c r="U2079" t="s">
        <v>13571</v>
      </c>
      <c r="V2079" t="s">
        <v>74</v>
      </c>
      <c r="W2079"/>
      <c r="X2079"/>
      <c r="Y2079" t="s">
        <v>13572</v>
      </c>
      <c r="Z2079"/>
      <c r="AA2079"/>
      <c r="AB2079"/>
      <c r="AC2079"/>
      <c r="AD2079"/>
      <c r="AE2079"/>
      <c r="AF2079" t="s">
        <v>13276</v>
      </c>
      <c r="AG2079" t="n">
        <v>13</v>
      </c>
    </row>
    <row r="2080">
      <c r="A2080" t="s">
        <v>13573</v>
      </c>
      <c r="B2080" t="s">
        <v>28</v>
      </c>
      <c r="C2080" t="s">
        <v>65</v>
      </c>
      <c r="D2080" t="s">
        <v>13574</v>
      </c>
      <c r="E2080" t="s">
        <v>394</v>
      </c>
      <c r="F2080" t="s">
        <v>387</v>
      </c>
      <c r="G2080" t="s">
        <v>395</v>
      </c>
      <c r="H2080" t="n">
        <v>39.6605129591837</v>
      </c>
      <c r="I2080" t="n">
        <v>-105.013210387755</v>
      </c>
      <c r="J2080" t="s">
        <v>35</v>
      </c>
      <c r="K2080" t="s">
        <v>1242</v>
      </c>
      <c r="L2080"/>
      <c r="M2080" t="n">
        <v>1988</v>
      </c>
      <c r="N2080" t="n">
        <v>1992</v>
      </c>
      <c r="O2080" t="s">
        <v>310</v>
      </c>
      <c r="P2080" t="n">
        <v>3</v>
      </c>
      <c r="Q2080" t="n">
        <v>2</v>
      </c>
      <c r="R2080" t="n">
        <v>2</v>
      </c>
      <c r="S2080" t="n">
        <v>1986</v>
      </c>
      <c r="T2080" t="s">
        <v>13575</v>
      </c>
      <c r="U2080" t="s">
        <v>13576</v>
      </c>
      <c r="V2080" t="s">
        <v>74</v>
      </c>
      <c r="W2080"/>
      <c r="X2080"/>
      <c r="Y2080" t="s">
        <v>13577</v>
      </c>
      <c r="Z2080"/>
      <c r="AA2080" t="s">
        <v>13578</v>
      </c>
      <c r="AB2080"/>
      <c r="AC2080"/>
      <c r="AD2080"/>
      <c r="AE2080"/>
      <c r="AF2080" t="s">
        <v>13579</v>
      </c>
      <c r="AG2080" t="n">
        <v>49</v>
      </c>
    </row>
    <row r="2081">
      <c r="A2081" t="s">
        <v>13580</v>
      </c>
      <c r="B2081" t="s">
        <v>28</v>
      </c>
      <c r="C2081" t="s">
        <v>65</v>
      </c>
      <c r="D2081" t="s">
        <v>13581</v>
      </c>
      <c r="E2081" t="s">
        <v>394</v>
      </c>
      <c r="F2081" t="s">
        <v>387</v>
      </c>
      <c r="G2081" t="s">
        <v>395</v>
      </c>
      <c r="H2081" t="n">
        <v>39.6533113737235</v>
      </c>
      <c r="I2081" t="n">
        <v>-104.995880285998</v>
      </c>
      <c r="J2081" t="s">
        <v>35</v>
      </c>
      <c r="K2081" t="s">
        <v>120</v>
      </c>
      <c r="L2081"/>
      <c r="M2081" t="n">
        <v>1988</v>
      </c>
      <c r="N2081" t="n">
        <v>1990</v>
      </c>
      <c r="O2081" t="s">
        <v>351</v>
      </c>
      <c r="P2081" t="n">
        <v>2</v>
      </c>
      <c r="Q2081" t="n">
        <v>2</v>
      </c>
      <c r="R2081" t="n">
        <v>1</v>
      </c>
      <c r="S2081" t="n">
        <v>1888</v>
      </c>
      <c r="T2081" t="s">
        <v>13582</v>
      </c>
      <c r="U2081" t="s">
        <v>13583</v>
      </c>
      <c r="V2081" t="s">
        <v>74</v>
      </c>
      <c r="W2081"/>
      <c r="X2081"/>
      <c r="Y2081" t="s">
        <v>13584</v>
      </c>
      <c r="Z2081"/>
      <c r="AA2081" t="s">
        <v>13585</v>
      </c>
      <c r="AB2081" t="s">
        <v>13586</v>
      </c>
      <c r="AC2081" t="n">
        <v>205</v>
      </c>
      <c r="AD2081"/>
      <c r="AE2081"/>
      <c r="AF2081" t="s">
        <v>13587</v>
      </c>
      <c r="AG2081" t="n">
        <v>7</v>
      </c>
    </row>
    <row r="2082">
      <c r="A2082" t="s">
        <v>13588</v>
      </c>
      <c r="B2082" t="s">
        <v>28</v>
      </c>
      <c r="C2082" t="s">
        <v>65</v>
      </c>
      <c r="D2082" t="s">
        <v>13589</v>
      </c>
      <c r="E2082" t="s">
        <v>394</v>
      </c>
      <c r="F2082" t="s">
        <v>387</v>
      </c>
      <c r="G2082" t="s">
        <v>553</v>
      </c>
      <c r="H2082" t="n">
        <v>39.577504</v>
      </c>
      <c r="I2082" t="n">
        <v>-104.861407</v>
      </c>
      <c r="J2082" t="s">
        <v>35</v>
      </c>
      <c r="K2082" t="s">
        <v>120</v>
      </c>
      <c r="L2082"/>
      <c r="M2082" t="n">
        <v>1988</v>
      </c>
      <c r="N2082" t="n">
        <v>1988</v>
      </c>
      <c r="O2082" t="s">
        <v>325</v>
      </c>
      <c r="P2082" t="n">
        <v>1</v>
      </c>
      <c r="Q2082" t="n">
        <v>1</v>
      </c>
      <c r="R2082" t="n">
        <v>1</v>
      </c>
      <c r="S2082" t="n">
        <v>1970</v>
      </c>
      <c r="T2082" t="s">
        <v>13590</v>
      </c>
      <c r="U2082" t="s">
        <v>13591</v>
      </c>
      <c r="V2082" t="s">
        <v>74</v>
      </c>
      <c r="W2082"/>
      <c r="X2082"/>
      <c r="Y2082" t="s">
        <v>13592</v>
      </c>
      <c r="Z2082"/>
      <c r="AA2082"/>
      <c r="AB2082" t="s">
        <v>13593</v>
      </c>
      <c r="AC2082" t="n">
        <v>212</v>
      </c>
      <c r="AD2082"/>
      <c r="AE2082"/>
      <c r="AF2082" t="s">
        <v>13594</v>
      </c>
      <c r="AG2082" t="n">
        <v>13</v>
      </c>
    </row>
    <row r="2083">
      <c r="A2083" t="s">
        <v>13595</v>
      </c>
      <c r="B2083" t="s">
        <v>28</v>
      </c>
      <c r="C2083" t="s">
        <v>65</v>
      </c>
      <c r="D2083" t="s">
        <v>13596</v>
      </c>
      <c r="E2083" t="s">
        <v>394</v>
      </c>
      <c r="F2083" t="s">
        <v>387</v>
      </c>
      <c r="G2083" t="s">
        <v>395</v>
      </c>
      <c r="H2083" t="n">
        <v>39.6485492040816</v>
      </c>
      <c r="I2083" t="n">
        <v>-104.998230755102</v>
      </c>
      <c r="J2083" t="s">
        <v>35</v>
      </c>
      <c r="K2083" t="s">
        <v>133</v>
      </c>
      <c r="L2083"/>
      <c r="M2083" t="n">
        <v>1988</v>
      </c>
      <c r="N2083" t="n">
        <v>1988</v>
      </c>
      <c r="O2083" t="s">
        <v>325</v>
      </c>
      <c r="P2083" t="n">
        <v>1</v>
      </c>
      <c r="Q2083" t="n">
        <v>1</v>
      </c>
      <c r="R2083" t="n">
        <v>1</v>
      </c>
      <c r="S2083" t="n">
        <v>1971</v>
      </c>
      <c r="T2083" t="s">
        <v>13597</v>
      </c>
      <c r="U2083" t="s">
        <v>13598</v>
      </c>
      <c r="V2083" t="s">
        <v>74</v>
      </c>
      <c r="W2083"/>
      <c r="X2083"/>
      <c r="Y2083" t="s">
        <v>13599</v>
      </c>
      <c r="Z2083"/>
      <c r="AA2083" t="s">
        <v>13600</v>
      </c>
      <c r="AB2083"/>
      <c r="AC2083"/>
      <c r="AD2083" t="s">
        <v>5792</v>
      </c>
      <c r="AE2083" t="n">
        <v>199</v>
      </c>
      <c r="AF2083" t="s">
        <v>13601</v>
      </c>
      <c r="AG2083" t="n">
        <v>100</v>
      </c>
    </row>
    <row r="2084">
      <c r="A2084" t="s">
        <v>13602</v>
      </c>
      <c r="B2084" t="s">
        <v>28</v>
      </c>
      <c r="C2084" t="s">
        <v>65</v>
      </c>
      <c r="D2084" t="s">
        <v>13603</v>
      </c>
      <c r="E2084" t="s">
        <v>394</v>
      </c>
      <c r="F2084" t="s">
        <v>387</v>
      </c>
      <c r="G2084" t="s">
        <v>395</v>
      </c>
      <c r="H2084" t="n">
        <v>39.6698867333333</v>
      </c>
      <c r="I2084" t="n">
        <v>-105.0110691</v>
      </c>
      <c r="J2084" t="s">
        <v>35</v>
      </c>
      <c r="K2084" t="s">
        <v>120</v>
      </c>
      <c r="L2084"/>
      <c r="M2084" t="n">
        <v>1988</v>
      </c>
      <c r="N2084" t="n">
        <v>1990</v>
      </c>
      <c r="O2084" t="s">
        <v>310</v>
      </c>
      <c r="P2084" t="n">
        <v>2</v>
      </c>
      <c r="Q2084" t="n">
        <v>1</v>
      </c>
      <c r="R2084" t="n">
        <v>1</v>
      </c>
      <c r="S2084" t="n">
        <v>1967</v>
      </c>
      <c r="T2084" t="s">
        <v>13604</v>
      </c>
      <c r="U2084" t="s">
        <v>13605</v>
      </c>
      <c r="V2084" t="s">
        <v>74</v>
      </c>
      <c r="W2084"/>
      <c r="X2084"/>
      <c r="Y2084" t="s">
        <v>13606</v>
      </c>
      <c r="Z2084"/>
      <c r="AA2084"/>
      <c r="AB2084"/>
      <c r="AC2084"/>
      <c r="AD2084"/>
      <c r="AE2084"/>
      <c r="AF2084" t="s">
        <v>10790</v>
      </c>
      <c r="AG2084" t="n">
        <v>25</v>
      </c>
    </row>
    <row r="2085">
      <c r="A2085" t="s">
        <v>13607</v>
      </c>
      <c r="B2085" t="s">
        <v>28</v>
      </c>
      <c r="C2085" t="s">
        <v>65</v>
      </c>
      <c r="D2085" t="s">
        <v>13608</v>
      </c>
      <c r="E2085" t="s">
        <v>394</v>
      </c>
      <c r="F2085" t="s">
        <v>387</v>
      </c>
      <c r="G2085" t="s">
        <v>553</v>
      </c>
      <c r="H2085" t="n">
        <v>39.584603075933</v>
      </c>
      <c r="I2085" t="n">
        <v>-104.841506529948</v>
      </c>
      <c r="J2085" t="s">
        <v>35</v>
      </c>
      <c r="K2085" t="s">
        <v>89</v>
      </c>
      <c r="L2085"/>
      <c r="M2085" t="n">
        <v>1988</v>
      </c>
      <c r="N2085" t="n">
        <v>1988</v>
      </c>
      <c r="O2085" t="s">
        <v>325</v>
      </c>
      <c r="P2085" t="n">
        <v>1</v>
      </c>
      <c r="Q2085" t="n">
        <v>1</v>
      </c>
      <c r="R2085" t="n">
        <v>1</v>
      </c>
      <c r="S2085" t="n">
        <v>1983</v>
      </c>
      <c r="T2085" t="s">
        <v>13609</v>
      </c>
      <c r="U2085" t="s">
        <v>13610</v>
      </c>
      <c r="V2085" t="s">
        <v>74</v>
      </c>
      <c r="W2085"/>
      <c r="X2085"/>
      <c r="Y2085" t="s">
        <v>13611</v>
      </c>
      <c r="Z2085"/>
      <c r="AA2085" t="s">
        <v>13612</v>
      </c>
      <c r="AB2085"/>
      <c r="AC2085"/>
      <c r="AD2085" t="s">
        <v>13613</v>
      </c>
      <c r="AE2085" t="n">
        <v>136</v>
      </c>
      <c r="AF2085" t="s">
        <v>13614</v>
      </c>
      <c r="AG2085" t="n">
        <v>35</v>
      </c>
    </row>
    <row r="2086">
      <c r="A2086" t="s">
        <v>13615</v>
      </c>
      <c r="B2086" t="s">
        <v>28</v>
      </c>
      <c r="C2086" t="s">
        <v>24</v>
      </c>
      <c r="D2086" t="s">
        <v>13616</v>
      </c>
      <c r="E2086" t="s">
        <v>394</v>
      </c>
      <c r="F2086" t="s">
        <v>387</v>
      </c>
      <c r="G2086" t="s">
        <v>395</v>
      </c>
      <c r="H2086" t="n">
        <v>39.7098025024666</v>
      </c>
      <c r="I2086" t="n">
        <v>-105.008635003764</v>
      </c>
      <c r="J2086" t="s">
        <v>4109</v>
      </c>
      <c r="K2086" t="s">
        <v>133</v>
      </c>
      <c r="L2086"/>
      <c r="M2086" t="n">
        <v>1988</v>
      </c>
      <c r="N2086" t="n">
        <v>1988</v>
      </c>
      <c r="O2086" t="s">
        <v>325</v>
      </c>
      <c r="P2086" t="n">
        <v>1</v>
      </c>
      <c r="Q2086" t="n">
        <v>1</v>
      </c>
      <c r="R2086" t="n">
        <v>1</v>
      </c>
      <c r="S2086"/>
      <c r="T2086" t="s">
        <v>13617</v>
      </c>
      <c r="U2086" t="s">
        <v>13618</v>
      </c>
      <c r="V2086" t="s">
        <v>74</v>
      </c>
      <c r="W2086"/>
      <c r="X2086"/>
      <c r="Y2086" t="s">
        <v>13619</v>
      </c>
      <c r="Z2086" t="s">
        <v>13620</v>
      </c>
      <c r="AA2086" t="s">
        <v>13621</v>
      </c>
      <c r="AB2086"/>
      <c r="AC2086"/>
      <c r="AD2086"/>
      <c r="AE2086"/>
      <c r="AF2086" t="s">
        <v>13622</v>
      </c>
      <c r="AG2086" t="n">
        <v>157</v>
      </c>
    </row>
    <row r="2087">
      <c r="A2087" t="s">
        <v>13623</v>
      </c>
      <c r="B2087" t="s">
        <v>28</v>
      </c>
      <c r="C2087" t="s">
        <v>24</v>
      </c>
      <c r="D2087" t="s">
        <v>13624</v>
      </c>
      <c r="E2087" t="s">
        <v>386</v>
      </c>
      <c r="F2087" t="s">
        <v>387</v>
      </c>
      <c r="G2087" t="s">
        <v>605</v>
      </c>
      <c r="H2087" t="n">
        <v>39.5801362121212</v>
      </c>
      <c r="I2087" t="n">
        <v>-104.984476727273</v>
      </c>
      <c r="J2087" t="s">
        <v>4109</v>
      </c>
      <c r="K2087" t="s">
        <v>133</v>
      </c>
      <c r="L2087"/>
      <c r="M2087" t="n">
        <v>1988</v>
      </c>
      <c r="N2087" t="n">
        <v>1988</v>
      </c>
      <c r="O2087" t="s">
        <v>325</v>
      </c>
      <c r="P2087" t="n">
        <v>1</v>
      </c>
      <c r="Q2087" t="n">
        <v>1</v>
      </c>
      <c r="R2087" t="n">
        <v>1</v>
      </c>
      <c r="S2087" t="n">
        <v>1986</v>
      </c>
      <c r="T2087" t="s">
        <v>13625</v>
      </c>
      <c r="U2087" t="s">
        <v>13626</v>
      </c>
      <c r="V2087" t="s">
        <v>74</v>
      </c>
      <c r="W2087"/>
      <c r="X2087"/>
      <c r="Y2087" t="s">
        <v>13627</v>
      </c>
      <c r="Z2087" t="s">
        <v>13628</v>
      </c>
      <c r="AA2087" t="s">
        <v>13629</v>
      </c>
      <c r="AB2087"/>
      <c r="AC2087"/>
      <c r="AD2087"/>
      <c r="AE2087"/>
      <c r="AF2087" t="s">
        <v>13630</v>
      </c>
      <c r="AG2087" t="n">
        <v>94</v>
      </c>
    </row>
    <row r="2088">
      <c r="A2088" t="s">
        <v>13631</v>
      </c>
      <c r="B2088" t="s">
        <v>28</v>
      </c>
      <c r="C2088" t="s">
        <v>65</v>
      </c>
      <c r="D2088" t="s">
        <v>13632</v>
      </c>
      <c r="E2088" t="s">
        <v>386</v>
      </c>
      <c r="F2088" t="s">
        <v>387</v>
      </c>
      <c r="G2088" t="s">
        <v>605</v>
      </c>
      <c r="H2088" t="n">
        <v>39.5735003959731</v>
      </c>
      <c r="I2088" t="n">
        <v>-104.996451375839</v>
      </c>
      <c r="J2088" t="s">
        <v>35</v>
      </c>
      <c r="K2088" t="s">
        <v>315</v>
      </c>
      <c r="L2088"/>
      <c r="M2088" t="n">
        <v>1988</v>
      </c>
      <c r="N2088" t="n">
        <v>1990</v>
      </c>
      <c r="O2088" t="s">
        <v>310</v>
      </c>
      <c r="P2088" t="n">
        <v>2</v>
      </c>
      <c r="Q2088" t="n">
        <v>2</v>
      </c>
      <c r="R2088" t="n">
        <v>2</v>
      </c>
      <c r="S2088" t="n">
        <v>1985</v>
      </c>
      <c r="T2088" t="s">
        <v>13633</v>
      </c>
      <c r="U2088" t="s">
        <v>13634</v>
      </c>
      <c r="V2088" t="s">
        <v>74</v>
      </c>
      <c r="W2088"/>
      <c r="X2088"/>
      <c r="Y2088" t="s">
        <v>13635</v>
      </c>
      <c r="Z2088"/>
      <c r="AA2088" t="s">
        <v>13636</v>
      </c>
      <c r="AB2088"/>
      <c r="AC2088"/>
      <c r="AD2088"/>
      <c r="AE2088"/>
      <c r="AF2088" t="s">
        <v>13637</v>
      </c>
      <c r="AG2088" t="n">
        <v>244</v>
      </c>
    </row>
    <row r="2089">
      <c r="A2089" t="s">
        <v>13638</v>
      </c>
      <c r="B2089" t="s">
        <v>28</v>
      </c>
      <c r="C2089" t="s">
        <v>65</v>
      </c>
      <c r="D2089" t="s">
        <v>13639</v>
      </c>
      <c r="E2089" t="s">
        <v>95</v>
      </c>
      <c r="F2089" t="s">
        <v>387</v>
      </c>
      <c r="G2089" t="s">
        <v>433</v>
      </c>
      <c r="H2089" t="n">
        <v>39.7630012244898</v>
      </c>
      <c r="I2089" t="n">
        <v>-104.85066022449</v>
      </c>
      <c r="J2089" t="s">
        <v>35</v>
      </c>
      <c r="K2089" t="s">
        <v>70</v>
      </c>
      <c r="L2089"/>
      <c r="M2089" t="n">
        <v>1990</v>
      </c>
      <c r="N2089" t="n">
        <v>1990</v>
      </c>
      <c r="O2089" t="s">
        <v>351</v>
      </c>
      <c r="P2089" t="n">
        <v>1</v>
      </c>
      <c r="Q2089" t="n">
        <v>1</v>
      </c>
      <c r="R2089" t="n">
        <v>1</v>
      </c>
      <c r="S2089" t="n">
        <v>1988</v>
      </c>
      <c r="T2089" t="s">
        <v>13640</v>
      </c>
      <c r="U2089" t="s">
        <v>13641</v>
      </c>
      <c r="V2089" t="s">
        <v>74</v>
      </c>
      <c r="W2089"/>
      <c r="X2089"/>
      <c r="Y2089" t="s">
        <v>13642</v>
      </c>
      <c r="Z2089"/>
      <c r="AA2089"/>
      <c r="AB2089" t="s">
        <v>437</v>
      </c>
      <c r="AC2089" t="n">
        <v>173</v>
      </c>
      <c r="AD2089"/>
      <c r="AE2089"/>
      <c r="AF2089" t="s">
        <v>13643</v>
      </c>
      <c r="AG2089" t="n">
        <v>4</v>
      </c>
    </row>
    <row r="2090">
      <c r="A2090" t="s">
        <v>13644</v>
      </c>
      <c r="B2090" t="s">
        <v>28</v>
      </c>
      <c r="C2090" t="s">
        <v>65</v>
      </c>
      <c r="D2090" t="s">
        <v>13645</v>
      </c>
      <c r="E2090" t="s">
        <v>95</v>
      </c>
      <c r="F2090" t="s">
        <v>387</v>
      </c>
      <c r="G2090" t="s">
        <v>433</v>
      </c>
      <c r="H2090" t="n">
        <v>39.752901</v>
      </c>
      <c r="I2090" t="n">
        <v>-104.86871172662</v>
      </c>
      <c r="J2090" t="s">
        <v>35</v>
      </c>
      <c r="K2090" t="s">
        <v>70</v>
      </c>
      <c r="L2090"/>
      <c r="M2090" t="n">
        <v>1990</v>
      </c>
      <c r="N2090" t="n">
        <v>1990</v>
      </c>
      <c r="O2090" t="s">
        <v>351</v>
      </c>
      <c r="P2090" t="n">
        <v>1</v>
      </c>
      <c r="Q2090" t="n">
        <v>1</v>
      </c>
      <c r="R2090" t="n">
        <v>1</v>
      </c>
      <c r="S2090" t="n">
        <v>1969</v>
      </c>
      <c r="T2090" t="s">
        <v>13646</v>
      </c>
      <c r="U2090" t="s">
        <v>13647</v>
      </c>
      <c r="V2090" t="s">
        <v>74</v>
      </c>
      <c r="W2090"/>
      <c r="X2090"/>
      <c r="Y2090" t="s">
        <v>13648</v>
      </c>
      <c r="Z2090"/>
      <c r="AA2090"/>
      <c r="AB2090"/>
      <c r="AC2090"/>
      <c r="AD2090" t="s">
        <v>5562</v>
      </c>
      <c r="AE2090" t="n">
        <v>215</v>
      </c>
      <c r="AF2090" t="s">
        <v>13649</v>
      </c>
      <c r="AG2090" t="n">
        <v>21</v>
      </c>
    </row>
    <row r="2091">
      <c r="A2091" t="s">
        <v>13650</v>
      </c>
      <c r="B2091" t="s">
        <v>28</v>
      </c>
      <c r="C2091" t="s">
        <v>65</v>
      </c>
      <c r="D2091" t="s">
        <v>13651</v>
      </c>
      <c r="E2091" t="s">
        <v>394</v>
      </c>
      <c r="F2091" t="s">
        <v>387</v>
      </c>
      <c r="G2091" t="s">
        <v>395</v>
      </c>
      <c r="H2091" t="n">
        <v>39.6372124693878</v>
      </c>
      <c r="I2091" t="n">
        <v>-105.002490102041</v>
      </c>
      <c r="J2091" t="s">
        <v>35</v>
      </c>
      <c r="K2091" t="s">
        <v>70</v>
      </c>
      <c r="L2091"/>
      <c r="M2091" t="n">
        <v>1990</v>
      </c>
      <c r="N2091" t="n">
        <v>1990</v>
      </c>
      <c r="O2091" t="s">
        <v>351</v>
      </c>
      <c r="P2091" t="n">
        <v>1</v>
      </c>
      <c r="Q2091" t="n">
        <v>1</v>
      </c>
      <c r="R2091" t="n">
        <v>1</v>
      </c>
      <c r="S2091" t="n">
        <v>1988</v>
      </c>
      <c r="T2091" t="s">
        <v>13652</v>
      </c>
      <c r="U2091" t="s">
        <v>13653</v>
      </c>
      <c r="V2091" t="s">
        <v>74</v>
      </c>
      <c r="W2091"/>
      <c r="X2091"/>
      <c r="Y2091" t="s">
        <v>13654</v>
      </c>
      <c r="Z2091"/>
      <c r="AA2091" t="s">
        <v>13655</v>
      </c>
      <c r="AB2091"/>
      <c r="AC2091"/>
      <c r="AD2091"/>
      <c r="AE2091"/>
      <c r="AF2091" t="s">
        <v>13337</v>
      </c>
      <c r="AG2091" t="n">
        <v>29</v>
      </c>
    </row>
    <row r="2092">
      <c r="A2092" t="s">
        <v>13656</v>
      </c>
      <c r="B2092" t="s">
        <v>28</v>
      </c>
      <c r="C2092" t="s">
        <v>65</v>
      </c>
      <c r="D2092" t="s">
        <v>13657</v>
      </c>
      <c r="E2092" t="s">
        <v>394</v>
      </c>
      <c r="F2092" t="s">
        <v>387</v>
      </c>
      <c r="G2092" t="s">
        <v>395</v>
      </c>
      <c r="H2092" t="n">
        <v>39.6323538244514</v>
      </c>
      <c r="I2092" t="n">
        <v>-105.01083201491</v>
      </c>
      <c r="J2092" t="s">
        <v>35</v>
      </c>
      <c r="K2092" t="s">
        <v>89</v>
      </c>
      <c r="L2092"/>
      <c r="M2092" t="n">
        <v>1990</v>
      </c>
      <c r="N2092" t="n">
        <v>1990</v>
      </c>
      <c r="O2092" t="s">
        <v>351</v>
      </c>
      <c r="P2092" t="n">
        <v>1</v>
      </c>
      <c r="Q2092" t="n">
        <v>1</v>
      </c>
      <c r="R2092" t="n">
        <v>1</v>
      </c>
      <c r="S2092" t="n">
        <v>1987</v>
      </c>
      <c r="T2092" t="s">
        <v>13658</v>
      </c>
      <c r="U2092" t="s">
        <v>13659</v>
      </c>
      <c r="V2092" t="s">
        <v>74</v>
      </c>
      <c r="W2092"/>
      <c r="X2092"/>
      <c r="Y2092" t="s">
        <v>13660</v>
      </c>
      <c r="Z2092"/>
      <c r="AA2092" t="s">
        <v>13661</v>
      </c>
      <c r="AB2092" t="s">
        <v>13662</v>
      </c>
      <c r="AC2092" t="n">
        <v>214</v>
      </c>
      <c r="AD2092" t="s">
        <v>6003</v>
      </c>
      <c r="AE2092" t="n">
        <v>200</v>
      </c>
      <c r="AF2092" t="s">
        <v>13663</v>
      </c>
      <c r="AG2092" t="n">
        <v>13</v>
      </c>
    </row>
    <row r="2093">
      <c r="A2093" t="s">
        <v>13664</v>
      </c>
      <c r="B2093" t="s">
        <v>28</v>
      </c>
      <c r="C2093" t="s">
        <v>24</v>
      </c>
      <c r="D2093" t="s">
        <v>13665</v>
      </c>
      <c r="E2093" t="s">
        <v>738</v>
      </c>
      <c r="F2093" t="s">
        <v>724</v>
      </c>
      <c r="G2093"/>
      <c r="H2093" t="n">
        <v>40.1805800162211</v>
      </c>
      <c r="I2093" t="n">
        <v>-105.10240460019</v>
      </c>
      <c r="J2093" t="s">
        <v>4109</v>
      </c>
      <c r="K2093" t="s">
        <v>315</v>
      </c>
      <c r="L2093"/>
      <c r="M2093" t="n">
        <v>1965</v>
      </c>
      <c r="N2093" t="n">
        <v>1990</v>
      </c>
      <c r="O2093" t="s">
        <v>1275</v>
      </c>
      <c r="P2093" t="n">
        <v>2</v>
      </c>
      <c r="Q2093" t="n">
        <v>2</v>
      </c>
      <c r="R2093" t="n">
        <v>1</v>
      </c>
      <c r="S2093" t="n">
        <v>1988</v>
      </c>
      <c r="T2093" t="s">
        <v>13666</v>
      </c>
      <c r="U2093" t="s">
        <v>13667</v>
      </c>
      <c r="V2093" t="s">
        <v>74</v>
      </c>
      <c r="W2093"/>
      <c r="X2093"/>
      <c r="Y2093" t="s">
        <v>13668</v>
      </c>
      <c r="Z2093"/>
      <c r="AA2093" t="s">
        <v>13669</v>
      </c>
      <c r="AB2093"/>
      <c r="AC2093"/>
      <c r="AD2093"/>
      <c r="AE2093"/>
      <c r="AF2093" t="s">
        <v>13670</v>
      </c>
      <c r="AG2093" t="n">
        <v>106</v>
      </c>
    </row>
    <row r="2094">
      <c r="A2094" t="s">
        <v>13671</v>
      </c>
      <c r="B2094" t="s">
        <v>28</v>
      </c>
      <c r="C2094" t="s">
        <v>65</v>
      </c>
      <c r="D2094" t="s">
        <v>13672</v>
      </c>
      <c r="E2094" t="s">
        <v>738</v>
      </c>
      <c r="F2094" t="s">
        <v>724</v>
      </c>
      <c r="G2094"/>
      <c r="H2094" t="n">
        <v>40.1587538791209</v>
      </c>
      <c r="I2094" t="n">
        <v>-105.11237410832</v>
      </c>
      <c r="J2094" t="s">
        <v>35</v>
      </c>
      <c r="K2094" t="s">
        <v>201</v>
      </c>
      <c r="L2094"/>
      <c r="M2094" t="n">
        <v>1965</v>
      </c>
      <c r="N2094" t="n">
        <v>1988</v>
      </c>
      <c r="O2094" t="s">
        <v>13673</v>
      </c>
      <c r="P2094" t="n">
        <v>9</v>
      </c>
      <c r="Q2094" t="n">
        <v>7</v>
      </c>
      <c r="R2094" t="n">
        <v>4</v>
      </c>
      <c r="S2094" t="n">
        <v>1957</v>
      </c>
      <c r="T2094" t="s">
        <v>13674</v>
      </c>
      <c r="U2094" t="s">
        <v>13675</v>
      </c>
      <c r="V2094" t="s">
        <v>74</v>
      </c>
      <c r="W2094"/>
      <c r="X2094"/>
      <c r="Y2094" t="s">
        <v>13676</v>
      </c>
      <c r="Z2094"/>
      <c r="AA2094" t="s">
        <v>13677</v>
      </c>
      <c r="AB2094" t="s">
        <v>6343</v>
      </c>
      <c r="AC2094" t="n">
        <v>131</v>
      </c>
      <c r="AD2094" t="s">
        <v>1156</v>
      </c>
      <c r="AE2094" t="n">
        <v>155</v>
      </c>
      <c r="AF2094" t="s">
        <v>13678</v>
      </c>
      <c r="AG2094" t="n">
        <v>15</v>
      </c>
    </row>
    <row r="2095">
      <c r="A2095" t="s">
        <v>13679</v>
      </c>
      <c r="B2095" t="s">
        <v>28</v>
      </c>
      <c r="C2095" t="s">
        <v>65</v>
      </c>
      <c r="D2095" t="s">
        <v>13680</v>
      </c>
      <c r="E2095" t="s">
        <v>723</v>
      </c>
      <c r="F2095" t="s">
        <v>724</v>
      </c>
      <c r="G2095" t="s">
        <v>725</v>
      </c>
      <c r="H2095" t="n">
        <v>40.0165385714286</v>
      </c>
      <c r="I2095" t="n">
        <v>-105.286504102041</v>
      </c>
      <c r="J2095" t="s">
        <v>35</v>
      </c>
      <c r="K2095" t="s">
        <v>70</v>
      </c>
      <c r="L2095"/>
      <c r="M2095" t="n">
        <v>1966</v>
      </c>
      <c r="N2095" t="n">
        <v>1990</v>
      </c>
      <c r="O2095" t="s">
        <v>13681</v>
      </c>
      <c r="P2095" t="n">
        <v>9</v>
      </c>
      <c r="Q2095" t="n">
        <v>2</v>
      </c>
      <c r="R2095" t="n">
        <v>2</v>
      </c>
      <c r="S2095" t="n">
        <v>1951</v>
      </c>
      <c r="T2095" t="s">
        <v>13682</v>
      </c>
      <c r="U2095" t="s">
        <v>13683</v>
      </c>
      <c r="V2095" t="s">
        <v>74</v>
      </c>
      <c r="W2095"/>
      <c r="X2095"/>
      <c r="Y2095" t="s">
        <v>13684</v>
      </c>
      <c r="Z2095"/>
      <c r="AA2095"/>
      <c r="AB2095"/>
      <c r="AC2095"/>
      <c r="AD2095"/>
      <c r="AE2095"/>
      <c r="AF2095" t="s">
        <v>735</v>
      </c>
      <c r="AG2095" t="n">
        <v>25</v>
      </c>
    </row>
    <row r="2096">
      <c r="A2096" t="s">
        <v>13685</v>
      </c>
      <c r="B2096" t="s">
        <v>28</v>
      </c>
      <c r="C2096" t="s">
        <v>65</v>
      </c>
      <c r="D2096" t="s">
        <v>13686</v>
      </c>
      <c r="E2096" t="s">
        <v>723</v>
      </c>
      <c r="F2096" t="s">
        <v>724</v>
      </c>
      <c r="G2096" t="s">
        <v>725</v>
      </c>
      <c r="H2096" t="n">
        <v>40.0177189698058</v>
      </c>
      <c r="I2096" t="n">
        <v>-105.229985608348</v>
      </c>
      <c r="J2096" t="s">
        <v>35</v>
      </c>
      <c r="K2096" t="s">
        <v>141</v>
      </c>
      <c r="L2096"/>
      <c r="M2096" t="n">
        <v>1966</v>
      </c>
      <c r="N2096" t="n">
        <v>1990</v>
      </c>
      <c r="O2096" t="s">
        <v>13687</v>
      </c>
      <c r="P2096" t="n">
        <v>9</v>
      </c>
      <c r="Q2096" t="n">
        <v>7</v>
      </c>
      <c r="R2096" t="n">
        <v>4</v>
      </c>
      <c r="S2096" t="n">
        <v>1913</v>
      </c>
      <c r="T2096" t="s">
        <v>13688</v>
      </c>
      <c r="U2096" t="s">
        <v>13689</v>
      </c>
      <c r="V2096" t="s">
        <v>74</v>
      </c>
      <c r="W2096"/>
      <c r="X2096"/>
      <c r="Y2096" t="s">
        <v>13690</v>
      </c>
      <c r="Z2096"/>
      <c r="AA2096" t="s">
        <v>13691</v>
      </c>
      <c r="AB2096"/>
      <c r="AC2096"/>
      <c r="AD2096"/>
      <c r="AE2096"/>
      <c r="AF2096" t="s">
        <v>13692</v>
      </c>
      <c r="AG2096" t="n">
        <v>32</v>
      </c>
    </row>
    <row r="2097">
      <c r="A2097" t="s">
        <v>13693</v>
      </c>
      <c r="B2097" t="s">
        <v>28</v>
      </c>
      <c r="C2097" t="s">
        <v>24</v>
      </c>
      <c r="D2097" t="s">
        <v>13694</v>
      </c>
      <c r="E2097" t="s">
        <v>723</v>
      </c>
      <c r="F2097" t="s">
        <v>724</v>
      </c>
      <c r="G2097" t="s">
        <v>817</v>
      </c>
      <c r="H2097" t="n">
        <v>40.0147040196186</v>
      </c>
      <c r="I2097" t="n">
        <v>-105.221113462061</v>
      </c>
      <c r="J2097" t="s">
        <v>4109</v>
      </c>
      <c r="K2097" t="s">
        <v>70</v>
      </c>
      <c r="L2097"/>
      <c r="M2097" t="n">
        <v>1966</v>
      </c>
      <c r="N2097" t="n">
        <v>1992</v>
      </c>
      <c r="O2097" t="s">
        <v>13695</v>
      </c>
      <c r="P2097" t="n">
        <v>7</v>
      </c>
      <c r="Q2097" t="n">
        <v>3</v>
      </c>
      <c r="R2097" t="n">
        <v>2</v>
      </c>
      <c r="S2097" t="n">
        <v>1954</v>
      </c>
      <c r="T2097" t="s">
        <v>13696</v>
      </c>
      <c r="U2097" t="s">
        <v>13697</v>
      </c>
      <c r="V2097" t="s">
        <v>74</v>
      </c>
      <c r="W2097"/>
      <c r="X2097"/>
      <c r="Y2097" t="s">
        <v>13698</v>
      </c>
      <c r="Z2097"/>
      <c r="AA2097" t="s">
        <v>13699</v>
      </c>
      <c r="AB2097"/>
      <c r="AC2097"/>
      <c r="AD2097"/>
      <c r="AE2097"/>
      <c r="AF2097" t="s">
        <v>13700</v>
      </c>
      <c r="AG2097" t="n">
        <v>54</v>
      </c>
    </row>
    <row r="2098">
      <c r="A2098" t="s">
        <v>13701</v>
      </c>
      <c r="B2098" t="s">
        <v>28</v>
      </c>
      <c r="C2098" t="s">
        <v>65</v>
      </c>
      <c r="D2098" t="s">
        <v>13702</v>
      </c>
      <c r="E2098" t="s">
        <v>723</v>
      </c>
      <c r="F2098" t="s">
        <v>724</v>
      </c>
      <c r="G2098" t="s">
        <v>725</v>
      </c>
      <c r="H2098" t="n">
        <v>40.0164198713825</v>
      </c>
      <c r="I2098" t="n">
        <v>-105.281851450958</v>
      </c>
      <c r="J2098" t="s">
        <v>35</v>
      </c>
      <c r="K2098" t="s">
        <v>120</v>
      </c>
      <c r="L2098" t="s">
        <v>202</v>
      </c>
      <c r="M2098" t="n">
        <v>1966</v>
      </c>
      <c r="N2098" t="n">
        <v>1990</v>
      </c>
      <c r="O2098" t="s">
        <v>13703</v>
      </c>
      <c r="P2098" t="n">
        <v>11</v>
      </c>
      <c r="Q2098" t="n">
        <v>11</v>
      </c>
      <c r="R2098" t="n">
        <v>4</v>
      </c>
      <c r="S2098" t="n">
        <v>1945</v>
      </c>
      <c r="T2098" t="s">
        <v>13704</v>
      </c>
      <c r="U2098" t="s">
        <v>13705</v>
      </c>
      <c r="V2098" t="s">
        <v>74</v>
      </c>
      <c r="W2098"/>
      <c r="X2098"/>
      <c r="Y2098" t="s">
        <v>13706</v>
      </c>
      <c r="Z2098"/>
      <c r="AA2098"/>
      <c r="AB2098"/>
      <c r="AC2098"/>
      <c r="AD2098"/>
      <c r="AE2098"/>
      <c r="AF2098" t="s">
        <v>10888</v>
      </c>
      <c r="AG2098" t="n">
        <v>29</v>
      </c>
    </row>
    <row r="2099">
      <c r="A2099" t="s">
        <v>13707</v>
      </c>
      <c r="B2099" t="s">
        <v>28</v>
      </c>
      <c r="C2099" t="s">
        <v>65</v>
      </c>
      <c r="D2099" t="s">
        <v>13708</v>
      </c>
      <c r="E2099" t="s">
        <v>738</v>
      </c>
      <c r="F2099" t="s">
        <v>724</v>
      </c>
      <c r="G2099" t="s">
        <v>739</v>
      </c>
      <c r="H2099" t="n">
        <v>40.1549670285714</v>
      </c>
      <c r="I2099" t="n">
        <v>-105.111958995238</v>
      </c>
      <c r="J2099" t="s">
        <v>35</v>
      </c>
      <c r="K2099" t="s">
        <v>201</v>
      </c>
      <c r="L2099"/>
      <c r="M2099" t="n">
        <v>1966</v>
      </c>
      <c r="N2099" t="n">
        <v>1992</v>
      </c>
      <c r="O2099" t="s">
        <v>13709</v>
      </c>
      <c r="P2099" t="n">
        <v>10</v>
      </c>
      <c r="Q2099" t="n">
        <v>5</v>
      </c>
      <c r="R2099" t="n">
        <v>3</v>
      </c>
      <c r="S2099" t="n">
        <v>1956</v>
      </c>
      <c r="T2099" t="s">
        <v>13710</v>
      </c>
      <c r="U2099" t="s">
        <v>13711</v>
      </c>
      <c r="V2099" t="s">
        <v>74</v>
      </c>
      <c r="W2099"/>
      <c r="X2099"/>
      <c r="Y2099" t="s">
        <v>13712</v>
      </c>
      <c r="Z2099"/>
      <c r="AA2099" t="s">
        <v>13713</v>
      </c>
      <c r="AB2099"/>
      <c r="AC2099"/>
      <c r="AD2099" t="s">
        <v>1156</v>
      </c>
      <c r="AE2099" t="n">
        <v>202</v>
      </c>
      <c r="AF2099" t="s">
        <v>13714</v>
      </c>
      <c r="AG2099" t="n">
        <v>4</v>
      </c>
    </row>
    <row r="2100">
      <c r="A2100" t="s">
        <v>13715</v>
      </c>
      <c r="B2100" t="s">
        <v>28</v>
      </c>
      <c r="C2100" t="s">
        <v>65</v>
      </c>
      <c r="D2100" t="s">
        <v>13716</v>
      </c>
      <c r="E2100" t="s">
        <v>738</v>
      </c>
      <c r="F2100" t="s">
        <v>724</v>
      </c>
      <c r="G2100" t="s">
        <v>739</v>
      </c>
      <c r="H2100" t="n">
        <v>40.161946</v>
      </c>
      <c r="I2100" t="n">
        <v>-105.098291</v>
      </c>
      <c r="J2100" t="s">
        <v>35</v>
      </c>
      <c r="K2100" t="s">
        <v>1282</v>
      </c>
      <c r="L2100"/>
      <c r="M2100" t="n">
        <v>1966</v>
      </c>
      <c r="N2100" t="n">
        <v>1974</v>
      </c>
      <c r="O2100" t="s">
        <v>10363</v>
      </c>
      <c r="P2100" t="n">
        <v>5</v>
      </c>
      <c r="Q2100" t="n">
        <v>1</v>
      </c>
      <c r="R2100" t="n">
        <v>1</v>
      </c>
      <c r="S2100" t="n">
        <v>1948</v>
      </c>
      <c r="T2100" t="s">
        <v>13717</v>
      </c>
      <c r="U2100" t="s">
        <v>13718</v>
      </c>
      <c r="V2100" t="s">
        <v>74</v>
      </c>
      <c r="W2100"/>
      <c r="X2100"/>
      <c r="Y2100" t="s">
        <v>13719</v>
      </c>
      <c r="Z2100"/>
      <c r="AA2100" t="s">
        <v>13720</v>
      </c>
      <c r="AB2100" t="s">
        <v>13721</v>
      </c>
      <c r="AC2100" t="n">
        <v>122</v>
      </c>
      <c r="AD2100"/>
      <c r="AE2100"/>
      <c r="AF2100" t="s">
        <v>13722</v>
      </c>
      <c r="AG2100" t="n">
        <v>22</v>
      </c>
    </row>
    <row r="2101">
      <c r="A2101" t="s">
        <v>13723</v>
      </c>
      <c r="B2101" t="s">
        <v>28</v>
      </c>
      <c r="C2101" t="s">
        <v>65</v>
      </c>
      <c r="D2101" t="s">
        <v>13724</v>
      </c>
      <c r="E2101" t="s">
        <v>1083</v>
      </c>
      <c r="F2101" t="s">
        <v>724</v>
      </c>
      <c r="G2101" t="s">
        <v>1084</v>
      </c>
      <c r="H2101" t="n">
        <v>40.2246658222009</v>
      </c>
      <c r="I2101" t="n">
        <v>-105.270331646256</v>
      </c>
      <c r="J2101" t="s">
        <v>35</v>
      </c>
      <c r="K2101" t="s">
        <v>120</v>
      </c>
      <c r="L2101"/>
      <c r="M2101" t="n">
        <v>1966</v>
      </c>
      <c r="N2101" t="n">
        <v>1990</v>
      </c>
      <c r="O2101" t="s">
        <v>755</v>
      </c>
      <c r="P2101" t="n">
        <v>7</v>
      </c>
      <c r="Q2101" t="n">
        <v>3</v>
      </c>
      <c r="R2101" t="n">
        <v>1</v>
      </c>
      <c r="S2101" t="n">
        <v>1957</v>
      </c>
      <c r="T2101" t="s">
        <v>13725</v>
      </c>
      <c r="U2101" t="s">
        <v>13726</v>
      </c>
      <c r="V2101" t="s">
        <v>74</v>
      </c>
      <c r="W2101"/>
      <c r="X2101"/>
      <c r="Y2101" t="s">
        <v>13727</v>
      </c>
      <c r="Z2101"/>
      <c r="AA2101"/>
      <c r="AB2101"/>
      <c r="AC2101"/>
      <c r="AD2101"/>
      <c r="AE2101"/>
      <c r="AF2101" t="s">
        <v>13728</v>
      </c>
      <c r="AG2101" t="n">
        <v>25</v>
      </c>
    </row>
    <row r="2102">
      <c r="A2102" t="s">
        <v>13729</v>
      </c>
      <c r="B2102" t="s">
        <v>28</v>
      </c>
      <c r="C2102" t="s">
        <v>65</v>
      </c>
      <c r="D2102" t="s">
        <v>13730</v>
      </c>
      <c r="E2102" t="s">
        <v>723</v>
      </c>
      <c r="F2102" t="s">
        <v>724</v>
      </c>
      <c r="G2102" t="s">
        <v>725</v>
      </c>
      <c r="H2102" t="n">
        <v>40.016945160998</v>
      </c>
      <c r="I2102" t="n">
        <v>-105.284515611816</v>
      </c>
      <c r="J2102" t="s">
        <v>35</v>
      </c>
      <c r="K2102" t="s">
        <v>270</v>
      </c>
      <c r="L2102"/>
      <c r="M2102" t="n">
        <v>1966</v>
      </c>
      <c r="N2102" t="n">
        <v>1992</v>
      </c>
      <c r="O2102" t="s">
        <v>13731</v>
      </c>
      <c r="P2102" t="n">
        <v>12</v>
      </c>
      <c r="Q2102" t="n">
        <v>23</v>
      </c>
      <c r="R2102" t="n">
        <v>3</v>
      </c>
      <c r="S2102" t="n">
        <v>1890</v>
      </c>
      <c r="T2102" t="s">
        <v>13732</v>
      </c>
      <c r="U2102" t="s">
        <v>13733</v>
      </c>
      <c r="V2102" t="s">
        <v>74</v>
      </c>
      <c r="W2102"/>
      <c r="X2102"/>
      <c r="Y2102" t="s">
        <v>13734</v>
      </c>
      <c r="Z2102"/>
      <c r="AA2102" t="s">
        <v>13735</v>
      </c>
      <c r="AB2102"/>
      <c r="AC2102"/>
      <c r="AD2102"/>
      <c r="AE2102"/>
      <c r="AF2102" t="s">
        <v>843</v>
      </c>
      <c r="AG2102" t="n">
        <v>68</v>
      </c>
    </row>
    <row r="2103">
      <c r="A2103" t="s">
        <v>13736</v>
      </c>
      <c r="B2103" t="s">
        <v>28</v>
      </c>
      <c r="C2103" t="s">
        <v>65</v>
      </c>
      <c r="D2103" t="s">
        <v>13737</v>
      </c>
      <c r="E2103" t="s">
        <v>723</v>
      </c>
      <c r="F2103" t="s">
        <v>724</v>
      </c>
      <c r="G2103" t="s">
        <v>817</v>
      </c>
      <c r="H2103" t="n">
        <v>40.0219470471303</v>
      </c>
      <c r="I2103" t="n">
        <v>-105.25067788839</v>
      </c>
      <c r="J2103" t="s">
        <v>35</v>
      </c>
      <c r="K2103" t="s">
        <v>120</v>
      </c>
      <c r="L2103"/>
      <c r="M2103" t="n">
        <v>1967</v>
      </c>
      <c r="N2103" t="n">
        <v>1983</v>
      </c>
      <c r="O2103" t="s">
        <v>3519</v>
      </c>
      <c r="P2103" t="n">
        <v>7</v>
      </c>
      <c r="Q2103" t="n">
        <v>5</v>
      </c>
      <c r="R2103" t="n">
        <v>1</v>
      </c>
      <c r="S2103" t="n">
        <v>1958</v>
      </c>
      <c r="T2103" t="s">
        <v>13738</v>
      </c>
      <c r="U2103" t="s">
        <v>13739</v>
      </c>
      <c r="V2103" t="s">
        <v>74</v>
      </c>
      <c r="W2103"/>
      <c r="X2103"/>
      <c r="Y2103" t="s">
        <v>13740</v>
      </c>
      <c r="Z2103"/>
      <c r="AA2103"/>
      <c r="AB2103" t="s">
        <v>6294</v>
      </c>
      <c r="AC2103" t="n">
        <v>187</v>
      </c>
      <c r="AD2103"/>
      <c r="AE2103"/>
      <c r="AF2103" t="s">
        <v>13741</v>
      </c>
      <c r="AG2103" t="n">
        <v>10</v>
      </c>
    </row>
    <row r="2104">
      <c r="A2104" t="s">
        <v>13742</v>
      </c>
      <c r="B2104" t="s">
        <v>28</v>
      </c>
      <c r="C2104" t="s">
        <v>65</v>
      </c>
      <c r="D2104" t="s">
        <v>13743</v>
      </c>
      <c r="E2104" t="s">
        <v>723</v>
      </c>
      <c r="F2104" t="s">
        <v>724</v>
      </c>
      <c r="G2104" t="s">
        <v>725</v>
      </c>
      <c r="H2104" t="n">
        <v>40.0190504863019</v>
      </c>
      <c r="I2104" t="n">
        <v>-105.253748257956</v>
      </c>
      <c r="J2104" t="s">
        <v>35</v>
      </c>
      <c r="K2104" t="s">
        <v>126</v>
      </c>
      <c r="L2104"/>
      <c r="M2104" t="n">
        <v>1967</v>
      </c>
      <c r="N2104" t="n">
        <v>1983</v>
      </c>
      <c r="O2104" t="s">
        <v>13744</v>
      </c>
      <c r="P2104" t="n">
        <v>6</v>
      </c>
      <c r="Q2104" t="n">
        <v>4</v>
      </c>
      <c r="R2104" t="n">
        <v>2</v>
      </c>
      <c r="S2104" t="n">
        <v>1957</v>
      </c>
      <c r="T2104" t="s">
        <v>13745</v>
      </c>
      <c r="U2104" t="s">
        <v>13746</v>
      </c>
      <c r="V2104" t="s">
        <v>74</v>
      </c>
      <c r="W2104"/>
      <c r="X2104"/>
      <c r="Y2104" t="s">
        <v>13747</v>
      </c>
      <c r="Z2104"/>
      <c r="AA2104"/>
      <c r="AB2104"/>
      <c r="AC2104"/>
      <c r="AD2104"/>
      <c r="AE2104"/>
      <c r="AF2104" t="s">
        <v>13748</v>
      </c>
      <c r="AG2104" t="n">
        <v>20</v>
      </c>
    </row>
    <row r="2105">
      <c r="A2105" t="s">
        <v>13749</v>
      </c>
      <c r="B2105" t="s">
        <v>28</v>
      </c>
      <c r="C2105" t="s">
        <v>65</v>
      </c>
      <c r="D2105" t="s">
        <v>13750</v>
      </c>
      <c r="E2105" t="s">
        <v>723</v>
      </c>
      <c r="F2105" t="s">
        <v>724</v>
      </c>
      <c r="G2105" t="s">
        <v>725</v>
      </c>
      <c r="H2105" t="n">
        <v>40.0177655829959</v>
      </c>
      <c r="I2105" t="n">
        <v>-105.227995562753</v>
      </c>
      <c r="J2105" t="s">
        <v>35</v>
      </c>
      <c r="K2105" t="s">
        <v>141</v>
      </c>
      <c r="L2105" t="s">
        <v>1002</v>
      </c>
      <c r="M2105" t="n">
        <v>1967</v>
      </c>
      <c r="N2105" t="n">
        <v>1990</v>
      </c>
      <c r="O2105" t="s">
        <v>5179</v>
      </c>
      <c r="P2105" t="n">
        <v>8</v>
      </c>
      <c r="Q2105" t="n">
        <v>6</v>
      </c>
      <c r="R2105" t="n">
        <v>3</v>
      </c>
      <c r="S2105" t="n">
        <v>1956</v>
      </c>
      <c r="T2105" t="s">
        <v>13751</v>
      </c>
      <c r="U2105" t="s">
        <v>13752</v>
      </c>
      <c r="V2105" t="s">
        <v>74</v>
      </c>
      <c r="W2105"/>
      <c r="X2105"/>
      <c r="Y2105" t="s">
        <v>13753</v>
      </c>
      <c r="Z2105"/>
      <c r="AA2105" t="s">
        <v>13754</v>
      </c>
      <c r="AB2105" t="s">
        <v>837</v>
      </c>
      <c r="AC2105" t="n">
        <v>171</v>
      </c>
      <c r="AD2105"/>
      <c r="AE2105"/>
      <c r="AF2105" t="s">
        <v>13755</v>
      </c>
      <c r="AG2105" t="n">
        <v>15</v>
      </c>
    </row>
    <row r="2106">
      <c r="A2106" t="s">
        <v>13756</v>
      </c>
      <c r="B2106" t="s">
        <v>28</v>
      </c>
      <c r="C2106" t="s">
        <v>65</v>
      </c>
      <c r="D2106" t="s">
        <v>13757</v>
      </c>
      <c r="E2106" t="s">
        <v>723</v>
      </c>
      <c r="F2106" t="s">
        <v>724</v>
      </c>
      <c r="G2106" t="s">
        <v>725</v>
      </c>
      <c r="H2106" t="n">
        <v>40.0174182145411</v>
      </c>
      <c r="I2106" t="n">
        <v>-105.282354797624</v>
      </c>
      <c r="J2106" t="s">
        <v>35</v>
      </c>
      <c r="K2106" t="s">
        <v>70</v>
      </c>
      <c r="L2106" t="s">
        <v>202</v>
      </c>
      <c r="M2106" t="n">
        <v>1967</v>
      </c>
      <c r="N2106" t="n">
        <v>1990</v>
      </c>
      <c r="O2106" t="s">
        <v>13758</v>
      </c>
      <c r="P2106" t="n">
        <v>7</v>
      </c>
      <c r="Q2106" t="n">
        <v>4</v>
      </c>
      <c r="R2106" t="n">
        <v>2</v>
      </c>
      <c r="S2106" t="n">
        <v>1940</v>
      </c>
      <c r="T2106" t="s">
        <v>13759</v>
      </c>
      <c r="U2106" t="s">
        <v>13760</v>
      </c>
      <c r="V2106" t="s">
        <v>74</v>
      </c>
      <c r="W2106"/>
      <c r="X2106"/>
      <c r="Y2106" t="s">
        <v>13761</v>
      </c>
      <c r="Z2106"/>
      <c r="AA2106" t="s">
        <v>13762</v>
      </c>
      <c r="AB2106"/>
      <c r="AC2106"/>
      <c r="AD2106"/>
      <c r="AE2106"/>
      <c r="AF2106" t="s">
        <v>1091</v>
      </c>
      <c r="AG2106" t="n">
        <v>36</v>
      </c>
    </row>
    <row r="2107">
      <c r="A2107" t="s">
        <v>13763</v>
      </c>
      <c r="B2107" t="s">
        <v>28</v>
      </c>
      <c r="C2107" t="s">
        <v>65</v>
      </c>
      <c r="D2107" t="s">
        <v>13764</v>
      </c>
      <c r="E2107" t="s">
        <v>723</v>
      </c>
      <c r="F2107" t="s">
        <v>724</v>
      </c>
      <c r="G2107"/>
      <c r="H2107" t="n">
        <v>40.0190610204082</v>
      </c>
      <c r="I2107" t="n">
        <v>-105.274339534694</v>
      </c>
      <c r="J2107" t="s">
        <v>35</v>
      </c>
      <c r="K2107" t="s">
        <v>70</v>
      </c>
      <c r="L2107"/>
      <c r="M2107" t="n">
        <v>1967</v>
      </c>
      <c r="N2107" t="n">
        <v>1983</v>
      </c>
      <c r="O2107" t="s">
        <v>264</v>
      </c>
      <c r="P2107" t="n">
        <v>3</v>
      </c>
      <c r="Q2107" t="n">
        <v>4</v>
      </c>
      <c r="R2107" t="n">
        <v>1</v>
      </c>
      <c r="S2107" t="n">
        <v>1940</v>
      </c>
      <c r="T2107" t="s">
        <v>13765</v>
      </c>
      <c r="U2107" t="s">
        <v>13766</v>
      </c>
      <c r="V2107" t="s">
        <v>74</v>
      </c>
      <c r="W2107"/>
      <c r="X2107"/>
      <c r="Y2107" t="s">
        <v>13767</v>
      </c>
      <c r="Z2107"/>
      <c r="AA2107" t="s">
        <v>13768</v>
      </c>
      <c r="AB2107" t="s">
        <v>792</v>
      </c>
      <c r="AC2107" t="n">
        <v>144</v>
      </c>
      <c r="AD2107"/>
      <c r="AE2107"/>
      <c r="AF2107" t="s">
        <v>13769</v>
      </c>
      <c r="AG2107" t="n">
        <v>5</v>
      </c>
    </row>
    <row r="2108">
      <c r="A2108" t="s">
        <v>13770</v>
      </c>
      <c r="B2108" t="s">
        <v>28</v>
      </c>
      <c r="C2108" t="s">
        <v>65</v>
      </c>
      <c r="D2108" t="s">
        <v>13771</v>
      </c>
      <c r="E2108" t="s">
        <v>723</v>
      </c>
      <c r="F2108" t="s">
        <v>724</v>
      </c>
      <c r="G2108" t="s">
        <v>725</v>
      </c>
      <c r="H2108" t="n">
        <v>40.0349576153846</v>
      </c>
      <c r="I2108" t="n">
        <v>-105.279263692308</v>
      </c>
      <c r="J2108" t="s">
        <v>35</v>
      </c>
      <c r="K2108" t="s">
        <v>315</v>
      </c>
      <c r="L2108"/>
      <c r="M2108" t="n">
        <v>1967</v>
      </c>
      <c r="N2108" t="n">
        <v>1973</v>
      </c>
      <c r="O2108" t="s">
        <v>755</v>
      </c>
      <c r="P2108" t="n">
        <v>3</v>
      </c>
      <c r="Q2108" t="n">
        <v>1</v>
      </c>
      <c r="R2108" t="n">
        <v>1</v>
      </c>
      <c r="S2108" t="n">
        <v>1965</v>
      </c>
      <c r="T2108" t="s">
        <v>13772</v>
      </c>
      <c r="U2108" t="s">
        <v>13773</v>
      </c>
      <c r="V2108" t="s">
        <v>74</v>
      </c>
      <c r="W2108"/>
      <c r="X2108"/>
      <c r="Y2108" t="s">
        <v>13774</v>
      </c>
      <c r="Z2108"/>
      <c r="AA2108"/>
      <c r="AB2108"/>
      <c r="AC2108"/>
      <c r="AD2108"/>
      <c r="AE2108"/>
      <c r="AF2108" t="s">
        <v>13775</v>
      </c>
      <c r="AG2108" t="n">
        <v>39</v>
      </c>
    </row>
    <row r="2109">
      <c r="A2109" t="s">
        <v>13776</v>
      </c>
      <c r="B2109" t="s">
        <v>28</v>
      </c>
      <c r="C2109" t="s">
        <v>65</v>
      </c>
      <c r="D2109" t="s">
        <v>13777</v>
      </c>
      <c r="E2109" t="s">
        <v>723</v>
      </c>
      <c r="F2109" t="s">
        <v>724</v>
      </c>
      <c r="G2109" t="s">
        <v>817</v>
      </c>
      <c r="H2109" t="n">
        <v>40.0198725227273</v>
      </c>
      <c r="I2109" t="n">
        <v>-105.270343971591</v>
      </c>
      <c r="J2109" t="s">
        <v>35</v>
      </c>
      <c r="K2109" t="s">
        <v>70</v>
      </c>
      <c r="L2109"/>
      <c r="M2109" t="n">
        <v>1967</v>
      </c>
      <c r="N2109" t="n">
        <v>1990</v>
      </c>
      <c r="O2109" t="s">
        <v>13778</v>
      </c>
      <c r="P2109" t="n">
        <v>7</v>
      </c>
      <c r="Q2109" t="n">
        <v>9</v>
      </c>
      <c r="R2109" t="n">
        <v>2</v>
      </c>
      <c r="S2109" t="n">
        <v>1857</v>
      </c>
      <c r="T2109" t="s">
        <v>13779</v>
      </c>
      <c r="U2109" t="s">
        <v>13780</v>
      </c>
      <c r="V2109" t="s">
        <v>74</v>
      </c>
      <c r="W2109"/>
      <c r="X2109"/>
      <c r="Y2109" t="s">
        <v>13781</v>
      </c>
      <c r="Z2109"/>
      <c r="AA2109" t="s">
        <v>13782</v>
      </c>
      <c r="AB2109"/>
      <c r="AC2109"/>
      <c r="AD2109"/>
      <c r="AE2109"/>
      <c r="AF2109" t="s">
        <v>775</v>
      </c>
      <c r="AG2109" t="n">
        <v>10</v>
      </c>
    </row>
    <row r="2110">
      <c r="A2110" t="s">
        <v>13783</v>
      </c>
      <c r="B2110" t="s">
        <v>28</v>
      </c>
      <c r="C2110" t="s">
        <v>24</v>
      </c>
      <c r="D2110" t="s">
        <v>13784</v>
      </c>
      <c r="E2110" t="s">
        <v>723</v>
      </c>
      <c r="F2110" t="s">
        <v>724</v>
      </c>
      <c r="G2110" t="s">
        <v>725</v>
      </c>
      <c r="H2110" t="n">
        <v>40.009201</v>
      </c>
      <c r="I2110" t="n">
        <v>-105.258783</v>
      </c>
      <c r="J2110" t="s">
        <v>4109</v>
      </c>
      <c r="K2110" t="s">
        <v>70</v>
      </c>
      <c r="L2110"/>
      <c r="M2110" t="n">
        <v>1968</v>
      </c>
      <c r="N2110" t="n">
        <v>1968</v>
      </c>
      <c r="O2110" t="s">
        <v>1349</v>
      </c>
      <c r="P2110" t="n">
        <v>1</v>
      </c>
      <c r="Q2110" t="n">
        <v>1</v>
      </c>
      <c r="R2110" t="n">
        <v>1</v>
      </c>
      <c r="S2110" t="n">
        <v>1958</v>
      </c>
      <c r="T2110" t="s">
        <v>13785</v>
      </c>
      <c r="U2110" t="s">
        <v>13786</v>
      </c>
      <c r="V2110" t="s">
        <v>74</v>
      </c>
      <c r="W2110"/>
      <c r="X2110"/>
      <c r="Y2110" t="s">
        <v>13787</v>
      </c>
      <c r="Z2110"/>
      <c r="AA2110" t="s">
        <v>13788</v>
      </c>
      <c r="AB2110"/>
      <c r="AC2110"/>
      <c r="AD2110"/>
      <c r="AE2110"/>
      <c r="AF2110" t="s">
        <v>13789</v>
      </c>
      <c r="AG2110" t="n">
        <v>242</v>
      </c>
    </row>
    <row r="2111">
      <c r="A2111" t="s">
        <v>13790</v>
      </c>
      <c r="B2111" t="s">
        <v>28</v>
      </c>
      <c r="C2111" t="s">
        <v>65</v>
      </c>
      <c r="D2111" t="s">
        <v>13791</v>
      </c>
      <c r="E2111" t="s">
        <v>723</v>
      </c>
      <c r="F2111" t="s">
        <v>724</v>
      </c>
      <c r="G2111" t="s">
        <v>725</v>
      </c>
      <c r="H2111" t="n">
        <v>40.020401877551</v>
      </c>
      <c r="I2111" t="n">
        <v>-105.251965632653</v>
      </c>
      <c r="J2111" t="s">
        <v>35</v>
      </c>
      <c r="K2111" t="s">
        <v>120</v>
      </c>
      <c r="L2111"/>
      <c r="M2111" t="n">
        <v>1970</v>
      </c>
      <c r="N2111" t="n">
        <v>1970</v>
      </c>
      <c r="O2111" t="s">
        <v>726</v>
      </c>
      <c r="P2111" t="n">
        <v>1</v>
      </c>
      <c r="Q2111" t="n">
        <v>1</v>
      </c>
      <c r="R2111" t="n">
        <v>1</v>
      </c>
      <c r="S2111" t="n">
        <v>1955</v>
      </c>
      <c r="T2111" t="s">
        <v>13792</v>
      </c>
      <c r="U2111" t="s">
        <v>13793</v>
      </c>
      <c r="V2111" t="s">
        <v>74</v>
      </c>
      <c r="W2111"/>
      <c r="X2111"/>
      <c r="Y2111" t="s">
        <v>13794</v>
      </c>
      <c r="Z2111"/>
      <c r="AA2111"/>
      <c r="AB2111" t="s">
        <v>6306</v>
      </c>
      <c r="AC2111" t="n">
        <v>246</v>
      </c>
      <c r="AD2111"/>
      <c r="AE2111"/>
      <c r="AF2111" t="s">
        <v>13795</v>
      </c>
      <c r="AG2111" t="n">
        <v>35</v>
      </c>
    </row>
    <row r="2112">
      <c r="A2112" t="s">
        <v>13796</v>
      </c>
      <c r="B2112" t="s">
        <v>28</v>
      </c>
      <c r="C2112" t="s">
        <v>65</v>
      </c>
      <c r="D2112" t="s">
        <v>13797</v>
      </c>
      <c r="E2112" t="s">
        <v>723</v>
      </c>
      <c r="F2112" t="s">
        <v>724</v>
      </c>
      <c r="G2112" t="s">
        <v>817</v>
      </c>
      <c r="H2112" t="n">
        <v>40.0264036997944</v>
      </c>
      <c r="I2112" t="n">
        <v>-105.25366820383</v>
      </c>
      <c r="J2112" t="s">
        <v>35</v>
      </c>
      <c r="K2112" t="s">
        <v>70</v>
      </c>
      <c r="L2112"/>
      <c r="M2112" t="n">
        <v>1970</v>
      </c>
      <c r="N2112" t="n">
        <v>1988</v>
      </c>
      <c r="O2112" t="s">
        <v>13798</v>
      </c>
      <c r="P2112" t="n">
        <v>6</v>
      </c>
      <c r="Q2112" t="n">
        <v>2</v>
      </c>
      <c r="R2112" t="n">
        <v>2</v>
      </c>
      <c r="S2112" t="n">
        <v>1944</v>
      </c>
      <c r="T2112" t="s">
        <v>13799</v>
      </c>
      <c r="U2112" t="s">
        <v>13800</v>
      </c>
      <c r="V2112" t="s">
        <v>74</v>
      </c>
      <c r="W2112"/>
      <c r="X2112"/>
      <c r="Y2112" t="s">
        <v>13801</v>
      </c>
      <c r="Z2112"/>
      <c r="AA2112" t="s">
        <v>13802</v>
      </c>
      <c r="AB2112" t="s">
        <v>13803</v>
      </c>
      <c r="AC2112" t="n">
        <v>160</v>
      </c>
      <c r="AD2112"/>
      <c r="AE2112"/>
      <c r="AF2112" t="s">
        <v>13804</v>
      </c>
      <c r="AG2112" t="n">
        <v>29</v>
      </c>
    </row>
    <row r="2113">
      <c r="A2113" t="s">
        <v>13805</v>
      </c>
      <c r="B2113" t="s">
        <v>28</v>
      </c>
      <c r="C2113" t="s">
        <v>65</v>
      </c>
      <c r="D2113" t="s">
        <v>13806</v>
      </c>
      <c r="E2113" t="s">
        <v>723</v>
      </c>
      <c r="F2113" t="s">
        <v>724</v>
      </c>
      <c r="G2113" t="s">
        <v>725</v>
      </c>
      <c r="H2113" t="n">
        <v>40.0242838935886</v>
      </c>
      <c r="I2113" t="n">
        <v>-105.247450222001</v>
      </c>
      <c r="J2113" t="s">
        <v>35</v>
      </c>
      <c r="K2113" t="s">
        <v>120</v>
      </c>
      <c r="L2113"/>
      <c r="M2113" t="n">
        <v>1973</v>
      </c>
      <c r="N2113" t="n">
        <v>1992</v>
      </c>
      <c r="O2113" t="s">
        <v>1016</v>
      </c>
      <c r="P2113" t="n">
        <v>7</v>
      </c>
      <c r="Q2113" t="n">
        <v>10</v>
      </c>
      <c r="R2113" t="n">
        <v>1</v>
      </c>
      <c r="S2113" t="n">
        <v>1970</v>
      </c>
      <c r="T2113" t="s">
        <v>13807</v>
      </c>
      <c r="U2113" t="s">
        <v>13808</v>
      </c>
      <c r="V2113" t="s">
        <v>74</v>
      </c>
      <c r="W2113"/>
      <c r="X2113"/>
      <c r="Y2113" t="s">
        <v>13809</v>
      </c>
      <c r="Z2113"/>
      <c r="AA2113" t="s">
        <v>13810</v>
      </c>
      <c r="AB2113"/>
      <c r="AC2113"/>
      <c r="AD2113"/>
      <c r="AE2113"/>
      <c r="AF2113" t="s">
        <v>13811</v>
      </c>
      <c r="AG2113" t="n">
        <v>18</v>
      </c>
    </row>
    <row r="2114">
      <c r="A2114" t="s">
        <v>13812</v>
      </c>
      <c r="B2114" t="s">
        <v>28</v>
      </c>
      <c r="C2114" t="s">
        <v>65</v>
      </c>
      <c r="D2114" t="s">
        <v>13813</v>
      </c>
      <c r="E2114" t="s">
        <v>723</v>
      </c>
      <c r="F2114" t="s">
        <v>724</v>
      </c>
      <c r="G2114" t="s">
        <v>725</v>
      </c>
      <c r="H2114" t="n">
        <v>40.0177582240983</v>
      </c>
      <c r="I2114" t="n">
        <v>-105.226969611779</v>
      </c>
      <c r="J2114" t="s">
        <v>35</v>
      </c>
      <c r="K2114" t="s">
        <v>796</v>
      </c>
      <c r="L2114" t="s">
        <v>1808</v>
      </c>
      <c r="M2114" t="n">
        <v>1973</v>
      </c>
      <c r="N2114" t="n">
        <v>1990</v>
      </c>
      <c r="O2114" t="s">
        <v>416</v>
      </c>
      <c r="P2114" t="n">
        <v>6</v>
      </c>
      <c r="Q2114" t="n">
        <v>7</v>
      </c>
      <c r="R2114" t="n">
        <v>4</v>
      </c>
      <c r="S2114" t="n">
        <v>1965</v>
      </c>
      <c r="T2114" t="s">
        <v>13814</v>
      </c>
      <c r="U2114" t="s">
        <v>13815</v>
      </c>
      <c r="V2114" t="s">
        <v>74</v>
      </c>
      <c r="W2114"/>
      <c r="X2114"/>
      <c r="Y2114" t="s">
        <v>13816</v>
      </c>
      <c r="Z2114"/>
      <c r="AA2114" t="s">
        <v>13817</v>
      </c>
      <c r="AB2114" t="s">
        <v>837</v>
      </c>
      <c r="AC2114" t="n">
        <v>160</v>
      </c>
      <c r="AD2114"/>
      <c r="AE2114"/>
      <c r="AF2114" t="s">
        <v>13818</v>
      </c>
      <c r="AG2114" t="n">
        <v>20</v>
      </c>
    </row>
    <row r="2115">
      <c r="A2115" t="s">
        <v>13819</v>
      </c>
      <c r="B2115" t="s">
        <v>28</v>
      </c>
      <c r="C2115" t="s">
        <v>65</v>
      </c>
      <c r="D2115" t="s">
        <v>13820</v>
      </c>
      <c r="E2115" t="s">
        <v>723</v>
      </c>
      <c r="F2115" t="s">
        <v>724</v>
      </c>
      <c r="G2115" t="s">
        <v>725</v>
      </c>
      <c r="H2115" t="n">
        <v>40.0257463428868</v>
      </c>
      <c r="I2115" t="n">
        <v>-105.237178386895</v>
      </c>
      <c r="J2115" t="s">
        <v>35</v>
      </c>
      <c r="K2115" t="s">
        <v>70</v>
      </c>
      <c r="L2115" t="s">
        <v>202</v>
      </c>
      <c r="M2115" t="n">
        <v>1973</v>
      </c>
      <c r="N2115" t="n">
        <v>1973</v>
      </c>
      <c r="O2115" t="s">
        <v>121</v>
      </c>
      <c r="P2115" t="n">
        <v>1</v>
      </c>
      <c r="Q2115" t="n">
        <v>1</v>
      </c>
      <c r="R2115" t="n">
        <v>1</v>
      </c>
      <c r="S2115" t="n">
        <v>1971</v>
      </c>
      <c r="T2115" t="s">
        <v>13821</v>
      </c>
      <c r="U2115" t="s">
        <v>13822</v>
      </c>
      <c r="V2115" t="s">
        <v>74</v>
      </c>
      <c r="W2115"/>
      <c r="X2115"/>
      <c r="Y2115" t="s">
        <v>13823</v>
      </c>
      <c r="Z2115"/>
      <c r="AA2115" t="s">
        <v>13824</v>
      </c>
      <c r="AB2115"/>
      <c r="AC2115"/>
      <c r="AD2115" t="s">
        <v>875</v>
      </c>
      <c r="AE2115" t="n">
        <v>247</v>
      </c>
      <c r="AF2115" t="s">
        <v>876</v>
      </c>
      <c r="AG2115" t="n">
        <v>4</v>
      </c>
    </row>
    <row r="2116">
      <c r="A2116" t="s">
        <v>13825</v>
      </c>
      <c r="B2116" t="s">
        <v>28</v>
      </c>
      <c r="C2116" t="s">
        <v>24</v>
      </c>
      <c r="D2116" t="s">
        <v>13826</v>
      </c>
      <c r="E2116" t="s">
        <v>723</v>
      </c>
      <c r="F2116" t="s">
        <v>724</v>
      </c>
      <c r="G2116" t="s">
        <v>725</v>
      </c>
      <c r="H2116" t="n">
        <v>40.031892041987</v>
      </c>
      <c r="I2116" t="n">
        <v>-105.178499638867</v>
      </c>
      <c r="J2116" t="s">
        <v>4109</v>
      </c>
      <c r="K2116" t="s">
        <v>796</v>
      </c>
      <c r="L2116"/>
      <c r="M2116" t="n">
        <v>1973</v>
      </c>
      <c r="N2116" t="n">
        <v>1990</v>
      </c>
      <c r="O2116" t="s">
        <v>264</v>
      </c>
      <c r="P2116" t="n">
        <v>4</v>
      </c>
      <c r="Q2116" t="n">
        <v>4</v>
      </c>
      <c r="R2116" t="n">
        <v>1</v>
      </c>
      <c r="S2116" t="n">
        <v>1957</v>
      </c>
      <c r="T2116" t="s">
        <v>13827</v>
      </c>
      <c r="U2116" t="s">
        <v>13828</v>
      </c>
      <c r="V2116" t="s">
        <v>74</v>
      </c>
      <c r="W2116"/>
      <c r="X2116"/>
      <c r="Y2116" t="s">
        <v>13829</v>
      </c>
      <c r="Z2116"/>
      <c r="AA2116" t="s">
        <v>13830</v>
      </c>
      <c r="AB2116"/>
      <c r="AC2116"/>
      <c r="AD2116"/>
      <c r="AE2116"/>
      <c r="AF2116" t="s">
        <v>961</v>
      </c>
      <c r="AG2116" t="n">
        <v>18</v>
      </c>
    </row>
    <row r="2117">
      <c r="A2117" t="s">
        <v>13831</v>
      </c>
      <c r="B2117" t="s">
        <v>28</v>
      </c>
      <c r="C2117" t="s">
        <v>65</v>
      </c>
      <c r="D2117" t="s">
        <v>13832</v>
      </c>
      <c r="E2117" t="s">
        <v>723</v>
      </c>
      <c r="F2117" t="s">
        <v>724</v>
      </c>
      <c r="G2117" t="s">
        <v>863</v>
      </c>
      <c r="H2117" t="n">
        <v>40.0280027915934</v>
      </c>
      <c r="I2117" t="n">
        <v>-105.256030695378</v>
      </c>
      <c r="J2117" t="s">
        <v>35</v>
      </c>
      <c r="K2117" t="s">
        <v>141</v>
      </c>
      <c r="L2117"/>
      <c r="M2117" t="n">
        <v>1973</v>
      </c>
      <c r="N2117" t="n">
        <v>1990</v>
      </c>
      <c r="O2117" t="s">
        <v>13833</v>
      </c>
      <c r="P2117" t="n">
        <v>4</v>
      </c>
      <c r="Q2117" t="n">
        <v>3</v>
      </c>
      <c r="R2117" t="n">
        <v>2</v>
      </c>
      <c r="S2117" t="n">
        <v>1967</v>
      </c>
      <c r="T2117" t="s">
        <v>13834</v>
      </c>
      <c r="U2117" t="s">
        <v>13835</v>
      </c>
      <c r="V2117" t="s">
        <v>74</v>
      </c>
      <c r="W2117"/>
      <c r="X2117"/>
      <c r="Y2117" t="s">
        <v>13836</v>
      </c>
      <c r="Z2117"/>
      <c r="AA2117"/>
      <c r="AB2117" t="s">
        <v>853</v>
      </c>
      <c r="AC2117" t="n">
        <v>158</v>
      </c>
      <c r="AD2117"/>
      <c r="AE2117"/>
      <c r="AF2117" t="s">
        <v>13837</v>
      </c>
      <c r="AG2117" t="n">
        <v>16</v>
      </c>
    </row>
    <row r="2118">
      <c r="A2118" t="s">
        <v>13838</v>
      </c>
      <c r="B2118" t="s">
        <v>28</v>
      </c>
      <c r="C2118" t="s">
        <v>65</v>
      </c>
      <c r="D2118" t="s">
        <v>13839</v>
      </c>
      <c r="E2118" t="s">
        <v>723</v>
      </c>
      <c r="F2118" t="s">
        <v>724</v>
      </c>
      <c r="G2118" t="s">
        <v>725</v>
      </c>
      <c r="H2118" t="n">
        <v>40.0182465306123</v>
      </c>
      <c r="I2118" t="n">
        <v>-105.272970612245</v>
      </c>
      <c r="J2118" t="s">
        <v>35</v>
      </c>
      <c r="K2118" t="s">
        <v>120</v>
      </c>
      <c r="L2118"/>
      <c r="M2118" t="n">
        <v>1973</v>
      </c>
      <c r="N2118" t="n">
        <v>1974</v>
      </c>
      <c r="O2118" t="s">
        <v>121</v>
      </c>
      <c r="P2118" t="n">
        <v>2</v>
      </c>
      <c r="Q2118" t="n">
        <v>1</v>
      </c>
      <c r="R2118" t="n">
        <v>1</v>
      </c>
      <c r="S2118" t="n">
        <v>1969</v>
      </c>
      <c r="T2118" t="s">
        <v>13840</v>
      </c>
      <c r="U2118" t="s">
        <v>13841</v>
      </c>
      <c r="V2118" t="s">
        <v>74</v>
      </c>
      <c r="W2118"/>
      <c r="X2118"/>
      <c r="Y2118" t="s">
        <v>13842</v>
      </c>
      <c r="Z2118"/>
      <c r="AA2118"/>
      <c r="AB2118" t="s">
        <v>13843</v>
      </c>
      <c r="AC2118" t="n">
        <v>235</v>
      </c>
      <c r="AD2118"/>
      <c r="AE2118"/>
      <c r="AF2118" t="s">
        <v>13844</v>
      </c>
      <c r="AG2118" t="n">
        <v>17</v>
      </c>
    </row>
    <row r="2119">
      <c r="A2119" t="s">
        <v>13845</v>
      </c>
      <c r="B2119" t="s">
        <v>28</v>
      </c>
      <c r="C2119" t="s">
        <v>65</v>
      </c>
      <c r="D2119" t="s">
        <v>13846</v>
      </c>
      <c r="E2119" t="s">
        <v>738</v>
      </c>
      <c r="F2119" t="s">
        <v>724</v>
      </c>
      <c r="G2119" t="s">
        <v>739</v>
      </c>
      <c r="H2119" t="n">
        <v>40.1579033265306</v>
      </c>
      <c r="I2119" t="n">
        <v>-105.112035959184</v>
      </c>
      <c r="J2119" t="s">
        <v>35</v>
      </c>
      <c r="K2119" t="s">
        <v>70</v>
      </c>
      <c r="L2119"/>
      <c r="M2119" t="n">
        <v>1973</v>
      </c>
      <c r="N2119" t="n">
        <v>1992</v>
      </c>
      <c r="O2119" t="s">
        <v>121</v>
      </c>
      <c r="P2119" t="n">
        <v>3</v>
      </c>
      <c r="Q2119" t="n">
        <v>3</v>
      </c>
      <c r="R2119" t="n">
        <v>1</v>
      </c>
      <c r="S2119" t="n">
        <v>1959</v>
      </c>
      <c r="T2119" t="s">
        <v>13847</v>
      </c>
      <c r="U2119" t="s">
        <v>13848</v>
      </c>
      <c r="V2119" t="s">
        <v>74</v>
      </c>
      <c r="W2119"/>
      <c r="X2119"/>
      <c r="Y2119" t="s">
        <v>13849</v>
      </c>
      <c r="Z2119"/>
      <c r="AA2119"/>
      <c r="AB2119" t="s">
        <v>6343</v>
      </c>
      <c r="AC2119" t="n">
        <v>120</v>
      </c>
      <c r="AD2119" t="s">
        <v>1156</v>
      </c>
      <c r="AE2119" t="n">
        <v>136</v>
      </c>
      <c r="AF2119" t="s">
        <v>13850</v>
      </c>
      <c r="AG2119" t="n">
        <v>41</v>
      </c>
    </row>
    <row r="2120">
      <c r="A2120" t="s">
        <v>13851</v>
      </c>
      <c r="B2120" t="s">
        <v>28</v>
      </c>
      <c r="C2120" t="s">
        <v>65</v>
      </c>
      <c r="D2120" t="s">
        <v>13852</v>
      </c>
      <c r="E2120" t="s">
        <v>723</v>
      </c>
      <c r="F2120" t="s">
        <v>724</v>
      </c>
      <c r="G2120" t="s">
        <v>725</v>
      </c>
      <c r="H2120" t="n">
        <v>40.0161005515442</v>
      </c>
      <c r="I2120" t="n">
        <v>-105.186885368777</v>
      </c>
      <c r="J2120" t="s">
        <v>35</v>
      </c>
      <c r="K2120" t="s">
        <v>767</v>
      </c>
      <c r="L2120"/>
      <c r="M2120" t="n">
        <v>1974</v>
      </c>
      <c r="N2120" t="n">
        <v>1990</v>
      </c>
      <c r="O2120" t="s">
        <v>13853</v>
      </c>
      <c r="P2120" t="n">
        <v>5</v>
      </c>
      <c r="Q2120" t="n">
        <v>6</v>
      </c>
      <c r="R2120" t="n">
        <v>5</v>
      </c>
      <c r="S2120" t="n">
        <v>1930</v>
      </c>
      <c r="T2120" t="s">
        <v>13854</v>
      </c>
      <c r="U2120" t="s">
        <v>13855</v>
      </c>
      <c r="V2120" t="s">
        <v>74</v>
      </c>
      <c r="W2120"/>
      <c r="X2120"/>
      <c r="Y2120" t="s">
        <v>13856</v>
      </c>
      <c r="Z2120"/>
      <c r="AA2120"/>
      <c r="AB2120"/>
      <c r="AC2120"/>
      <c r="AD2120"/>
      <c r="AE2120"/>
      <c r="AF2120" t="s">
        <v>13857</v>
      </c>
      <c r="AG2120" t="n">
        <v>49</v>
      </c>
    </row>
    <row r="2121">
      <c r="A2121" t="s">
        <v>13858</v>
      </c>
      <c r="B2121" t="s">
        <v>28</v>
      </c>
      <c r="C2121" t="s">
        <v>65</v>
      </c>
      <c r="D2121" t="s">
        <v>13859</v>
      </c>
      <c r="E2121" t="s">
        <v>723</v>
      </c>
      <c r="F2121" t="s">
        <v>724</v>
      </c>
      <c r="G2121" t="s">
        <v>817</v>
      </c>
      <c r="H2121" t="n">
        <v>40.0292468730159</v>
      </c>
      <c r="I2121" t="n">
        <v>-105.220958888889</v>
      </c>
      <c r="J2121" t="s">
        <v>35</v>
      </c>
      <c r="K2121" t="s">
        <v>1282</v>
      </c>
      <c r="L2121"/>
      <c r="M2121" t="n">
        <v>1974</v>
      </c>
      <c r="N2121" t="n">
        <v>1990</v>
      </c>
      <c r="O2121" t="s">
        <v>540</v>
      </c>
      <c r="P2121" t="n">
        <v>6</v>
      </c>
      <c r="Q2121" t="n">
        <v>6</v>
      </c>
      <c r="R2121" t="n">
        <v>2</v>
      </c>
      <c r="S2121" t="n">
        <v>1970</v>
      </c>
      <c r="T2121" t="s">
        <v>13860</v>
      </c>
      <c r="U2121" t="s">
        <v>13861</v>
      </c>
      <c r="V2121" t="s">
        <v>74</v>
      </c>
      <c r="W2121"/>
      <c r="X2121"/>
      <c r="Y2121" t="s">
        <v>13862</v>
      </c>
      <c r="Z2121"/>
      <c r="AA2121" t="s">
        <v>13863</v>
      </c>
      <c r="AB2121"/>
      <c r="AC2121"/>
      <c r="AD2121"/>
      <c r="AE2121"/>
      <c r="AF2121" t="s">
        <v>13864</v>
      </c>
      <c r="AG2121" t="n">
        <v>81</v>
      </c>
    </row>
    <row r="2122">
      <c r="A2122" t="s">
        <v>13865</v>
      </c>
      <c r="B2122" t="s">
        <v>28</v>
      </c>
      <c r="C2122" t="s">
        <v>65</v>
      </c>
      <c r="D2122" t="s">
        <v>13866</v>
      </c>
      <c r="E2122" t="s">
        <v>723</v>
      </c>
      <c r="F2122" t="s">
        <v>724</v>
      </c>
      <c r="G2122" t="s">
        <v>817</v>
      </c>
      <c r="H2122" t="n">
        <v>40.0225127798107</v>
      </c>
      <c r="I2122" t="n">
        <v>-105.247406994802</v>
      </c>
      <c r="J2122" t="s">
        <v>35</v>
      </c>
      <c r="K2122" t="s">
        <v>120</v>
      </c>
      <c r="L2122"/>
      <c r="M2122" t="n">
        <v>1974</v>
      </c>
      <c r="N2122" t="n">
        <v>1990</v>
      </c>
      <c r="O2122" t="s">
        <v>210</v>
      </c>
      <c r="P2122" t="n">
        <v>3</v>
      </c>
      <c r="Q2122" t="n">
        <v>4</v>
      </c>
      <c r="R2122" t="n">
        <v>1</v>
      </c>
      <c r="S2122" t="n">
        <v>1970</v>
      </c>
      <c r="T2122" t="s">
        <v>13867</v>
      </c>
      <c r="U2122" t="s">
        <v>13868</v>
      </c>
      <c r="V2122" t="s">
        <v>74</v>
      </c>
      <c r="W2122"/>
      <c r="X2122"/>
      <c r="Y2122" t="s">
        <v>13869</v>
      </c>
      <c r="Z2122"/>
      <c r="AA2122"/>
      <c r="AB2122"/>
      <c r="AC2122"/>
      <c r="AD2122"/>
      <c r="AE2122"/>
      <c r="AF2122" t="s">
        <v>13870</v>
      </c>
      <c r="AG2122" t="n">
        <v>11</v>
      </c>
    </row>
    <row r="2123">
      <c r="A2123" t="s">
        <v>13871</v>
      </c>
      <c r="B2123" t="s">
        <v>28</v>
      </c>
      <c r="C2123" t="s">
        <v>24</v>
      </c>
      <c r="D2123" t="s">
        <v>13872</v>
      </c>
      <c r="E2123" t="s">
        <v>883</v>
      </c>
      <c r="F2123" t="s">
        <v>724</v>
      </c>
      <c r="G2123" t="s">
        <v>884</v>
      </c>
      <c r="H2123" t="n">
        <v>39.999212</v>
      </c>
      <c r="I2123" t="n">
        <v>-105.091611</v>
      </c>
      <c r="J2123" t="s">
        <v>4109</v>
      </c>
      <c r="K2123" t="s">
        <v>120</v>
      </c>
      <c r="L2123"/>
      <c r="M2123" t="n">
        <v>1974</v>
      </c>
      <c r="N2123" t="n">
        <v>1974</v>
      </c>
      <c r="O2123" t="s">
        <v>210</v>
      </c>
      <c r="P2123" t="n">
        <v>1</v>
      </c>
      <c r="Q2123" t="n">
        <v>1</v>
      </c>
      <c r="R2123" t="n">
        <v>1</v>
      </c>
      <c r="S2123" t="n">
        <v>1973</v>
      </c>
      <c r="T2123" t="s">
        <v>13873</v>
      </c>
      <c r="U2123" t="s">
        <v>13874</v>
      </c>
      <c r="V2123" t="s">
        <v>74</v>
      </c>
      <c r="W2123"/>
      <c r="X2123"/>
      <c r="Y2123" t="s">
        <v>13875</v>
      </c>
      <c r="Z2123"/>
      <c r="AA2123" t="s">
        <v>13876</v>
      </c>
      <c r="AB2123"/>
      <c r="AC2123"/>
      <c r="AD2123"/>
      <c r="AE2123"/>
      <c r="AF2123" t="s">
        <v>13877</v>
      </c>
      <c r="AG2123" t="n">
        <v>171</v>
      </c>
    </row>
    <row r="2124">
      <c r="A2124" t="s">
        <v>13878</v>
      </c>
      <c r="B2124" t="s">
        <v>28</v>
      </c>
      <c r="C2124" t="s">
        <v>24</v>
      </c>
      <c r="D2124" t="s">
        <v>13879</v>
      </c>
      <c r="E2124" t="s">
        <v>738</v>
      </c>
      <c r="F2124" t="s">
        <v>724</v>
      </c>
      <c r="G2124" t="s">
        <v>739</v>
      </c>
      <c r="H2124" t="n">
        <v>40.1798578163265</v>
      </c>
      <c r="I2124" t="n">
        <v>-105.101131836735</v>
      </c>
      <c r="J2124" t="s">
        <v>4109</v>
      </c>
      <c r="K2124" t="s">
        <v>315</v>
      </c>
      <c r="L2124"/>
      <c r="M2124" t="n">
        <v>1974</v>
      </c>
      <c r="N2124" t="n">
        <v>1983</v>
      </c>
      <c r="O2124" t="s">
        <v>264</v>
      </c>
      <c r="P2124" t="n">
        <v>2</v>
      </c>
      <c r="Q2124" t="n">
        <v>2</v>
      </c>
      <c r="R2124" t="n">
        <v>1</v>
      </c>
      <c r="S2124" t="n">
        <v>1957</v>
      </c>
      <c r="T2124" t="s">
        <v>13880</v>
      </c>
      <c r="U2124" t="s">
        <v>13881</v>
      </c>
      <c r="V2124" t="s">
        <v>74</v>
      </c>
      <c r="W2124"/>
      <c r="X2124"/>
      <c r="Y2124" t="s">
        <v>13882</v>
      </c>
      <c r="Z2124"/>
      <c r="AA2124" t="s">
        <v>13883</v>
      </c>
      <c r="AB2124"/>
      <c r="AC2124"/>
      <c r="AD2124"/>
      <c r="AE2124"/>
      <c r="AF2124" t="s">
        <v>13884</v>
      </c>
      <c r="AG2124" t="n">
        <v>50</v>
      </c>
    </row>
    <row r="2125">
      <c r="A2125" t="s">
        <v>13885</v>
      </c>
      <c r="B2125" t="s">
        <v>28</v>
      </c>
      <c r="C2125" t="s">
        <v>65</v>
      </c>
      <c r="D2125" t="s">
        <v>13886</v>
      </c>
      <c r="E2125" t="s">
        <v>723</v>
      </c>
      <c r="F2125" t="s">
        <v>724</v>
      </c>
      <c r="G2125" t="s">
        <v>817</v>
      </c>
      <c r="H2125" t="n">
        <v>40.0219497005302</v>
      </c>
      <c r="I2125" t="n">
        <v>-105.250028184459</v>
      </c>
      <c r="J2125" t="s">
        <v>35</v>
      </c>
      <c r="K2125" t="s">
        <v>133</v>
      </c>
      <c r="L2125"/>
      <c r="M2125" t="n">
        <v>1977</v>
      </c>
      <c r="N2125" t="n">
        <v>1990</v>
      </c>
      <c r="O2125" t="s">
        <v>351</v>
      </c>
      <c r="P2125" t="n">
        <v>3</v>
      </c>
      <c r="Q2125" t="n">
        <v>3</v>
      </c>
      <c r="R2125" t="n">
        <v>1</v>
      </c>
      <c r="S2125" t="n">
        <v>1972</v>
      </c>
      <c r="T2125" t="s">
        <v>13887</v>
      </c>
      <c r="U2125" t="s">
        <v>13888</v>
      </c>
      <c r="V2125" t="s">
        <v>74</v>
      </c>
      <c r="W2125"/>
      <c r="X2125"/>
      <c r="Y2125" t="s">
        <v>13889</v>
      </c>
      <c r="Z2125"/>
      <c r="AA2125"/>
      <c r="AB2125" t="s">
        <v>6294</v>
      </c>
      <c r="AC2125" t="n">
        <v>191</v>
      </c>
      <c r="AD2125"/>
      <c r="AE2125"/>
      <c r="AF2125" t="s">
        <v>13890</v>
      </c>
      <c r="AG2125" t="n">
        <v>32</v>
      </c>
    </row>
    <row r="2126">
      <c r="A2126" t="s">
        <v>13891</v>
      </c>
      <c r="B2126" t="s">
        <v>28</v>
      </c>
      <c r="C2126" t="s">
        <v>65</v>
      </c>
      <c r="D2126" t="s">
        <v>13892</v>
      </c>
      <c r="E2126" t="s">
        <v>723</v>
      </c>
      <c r="F2126" t="s">
        <v>724</v>
      </c>
      <c r="G2126" t="s">
        <v>725</v>
      </c>
      <c r="H2126" t="n">
        <v>40.01469921397</v>
      </c>
      <c r="I2126" t="n">
        <v>-105.219984018999</v>
      </c>
      <c r="J2126" t="s">
        <v>35</v>
      </c>
      <c r="K2126" t="s">
        <v>3942</v>
      </c>
      <c r="L2126"/>
      <c r="M2126" t="n">
        <v>1977</v>
      </c>
      <c r="N2126" t="n">
        <v>1992</v>
      </c>
      <c r="O2126" t="s">
        <v>3881</v>
      </c>
      <c r="P2126" t="n">
        <v>6</v>
      </c>
      <c r="Q2126" t="n">
        <v>16</v>
      </c>
      <c r="R2126" t="n">
        <v>9</v>
      </c>
      <c r="S2126" t="n">
        <v>1968</v>
      </c>
      <c r="T2126" t="s">
        <v>13893</v>
      </c>
      <c r="U2126" t="s">
        <v>13894</v>
      </c>
      <c r="V2126" t="s">
        <v>74</v>
      </c>
      <c r="W2126"/>
      <c r="X2126"/>
      <c r="Y2126" t="s">
        <v>13895</v>
      </c>
      <c r="Z2126"/>
      <c r="AA2126" t="s">
        <v>13896</v>
      </c>
      <c r="AB2126"/>
      <c r="AC2126"/>
      <c r="AD2126"/>
      <c r="AE2126"/>
      <c r="AF2126" t="s">
        <v>13897</v>
      </c>
      <c r="AG2126" t="n">
        <v>7</v>
      </c>
    </row>
    <row r="2127">
      <c r="A2127" t="s">
        <v>13898</v>
      </c>
      <c r="B2127" t="s">
        <v>28</v>
      </c>
      <c r="C2127" t="s">
        <v>65</v>
      </c>
      <c r="D2127" t="s">
        <v>13899</v>
      </c>
      <c r="E2127" t="s">
        <v>723</v>
      </c>
      <c r="F2127" t="s">
        <v>724</v>
      </c>
      <c r="G2127" t="s">
        <v>817</v>
      </c>
      <c r="H2127" t="n">
        <v>40.0184402281265</v>
      </c>
      <c r="I2127" t="n">
        <v>-105.230054293553</v>
      </c>
      <c r="J2127" t="s">
        <v>35</v>
      </c>
      <c r="K2127" t="s">
        <v>533</v>
      </c>
      <c r="L2127"/>
      <c r="M2127" t="n">
        <v>1977</v>
      </c>
      <c r="N2127" t="n">
        <v>1992</v>
      </c>
      <c r="O2127" t="s">
        <v>2482</v>
      </c>
      <c r="P2127" t="n">
        <v>5</v>
      </c>
      <c r="Q2127" t="n">
        <v>4</v>
      </c>
      <c r="R2127" t="n">
        <v>2</v>
      </c>
      <c r="S2127" t="n">
        <v>1972</v>
      </c>
      <c r="T2127" t="s">
        <v>13900</v>
      </c>
      <c r="U2127" t="s">
        <v>13901</v>
      </c>
      <c r="V2127" t="s">
        <v>74</v>
      </c>
      <c r="W2127"/>
      <c r="X2127"/>
      <c r="Y2127" t="s">
        <v>13902</v>
      </c>
      <c r="Z2127"/>
      <c r="AA2127" t="s">
        <v>13903</v>
      </c>
      <c r="AB2127"/>
      <c r="AC2127"/>
      <c r="AD2127"/>
      <c r="AE2127"/>
      <c r="AF2127" t="s">
        <v>13904</v>
      </c>
      <c r="AG2127" t="n">
        <v>10</v>
      </c>
    </row>
    <row r="2128">
      <c r="A2128" t="s">
        <v>13905</v>
      </c>
      <c r="B2128" t="s">
        <v>28</v>
      </c>
      <c r="C2128" t="s">
        <v>65</v>
      </c>
      <c r="D2128" t="s">
        <v>13906</v>
      </c>
      <c r="E2128" t="s">
        <v>723</v>
      </c>
      <c r="F2128" t="s">
        <v>724</v>
      </c>
      <c r="G2128" t="s">
        <v>817</v>
      </c>
      <c r="H2128" t="n">
        <v>40.020081377158</v>
      </c>
      <c r="I2128" t="n">
        <v>-105.218847199395</v>
      </c>
      <c r="J2128" t="s">
        <v>35</v>
      </c>
      <c r="K2128" t="s">
        <v>141</v>
      </c>
      <c r="L2128" t="s">
        <v>554</v>
      </c>
      <c r="M2128" t="n">
        <v>1977</v>
      </c>
      <c r="N2128" t="n">
        <v>1992</v>
      </c>
      <c r="O2128" t="s">
        <v>540</v>
      </c>
      <c r="P2128" t="n">
        <v>6</v>
      </c>
      <c r="Q2128" t="n">
        <v>15</v>
      </c>
      <c r="R2128" t="n">
        <v>7</v>
      </c>
      <c r="S2128" t="n">
        <v>1962</v>
      </c>
      <c r="T2128" t="s">
        <v>13907</v>
      </c>
      <c r="U2128" t="s">
        <v>13908</v>
      </c>
      <c r="V2128" t="s">
        <v>74</v>
      </c>
      <c r="W2128"/>
      <c r="X2128"/>
      <c r="Y2128" t="s">
        <v>13909</v>
      </c>
      <c r="Z2128"/>
      <c r="AA2128" t="s">
        <v>13910</v>
      </c>
      <c r="AB2128"/>
      <c r="AC2128"/>
      <c r="AD2128" t="s">
        <v>13911</v>
      </c>
      <c r="AE2128" t="n">
        <v>167</v>
      </c>
      <c r="AF2128" t="s">
        <v>13912</v>
      </c>
      <c r="AG2128" t="n">
        <v>44</v>
      </c>
    </row>
    <row r="2129">
      <c r="A2129" t="s">
        <v>13913</v>
      </c>
      <c r="B2129" t="s">
        <v>28</v>
      </c>
      <c r="C2129" t="s">
        <v>24</v>
      </c>
      <c r="D2129" t="s">
        <v>13914</v>
      </c>
      <c r="E2129" t="s">
        <v>738</v>
      </c>
      <c r="F2129" t="s">
        <v>724</v>
      </c>
      <c r="G2129" t="s">
        <v>739</v>
      </c>
      <c r="H2129" t="n">
        <v>40.1432661836735</v>
      </c>
      <c r="I2129" t="n">
        <v>-105.115582183673</v>
      </c>
      <c r="J2129" t="s">
        <v>4109</v>
      </c>
      <c r="K2129" t="s">
        <v>70</v>
      </c>
      <c r="L2129"/>
      <c r="M2129" t="n">
        <v>1977</v>
      </c>
      <c r="N2129" t="n">
        <v>1977</v>
      </c>
      <c r="O2129" t="s">
        <v>228</v>
      </c>
      <c r="P2129" t="n">
        <v>1</v>
      </c>
      <c r="Q2129" t="n">
        <v>1</v>
      </c>
      <c r="R2129" t="n">
        <v>1</v>
      </c>
      <c r="S2129" t="n">
        <v>1969</v>
      </c>
      <c r="T2129" t="s">
        <v>13915</v>
      </c>
      <c r="U2129" t="s">
        <v>13916</v>
      </c>
      <c r="V2129" t="s">
        <v>74</v>
      </c>
      <c r="W2129"/>
      <c r="X2129"/>
      <c r="Y2129" t="s">
        <v>13917</v>
      </c>
      <c r="Z2129"/>
      <c r="AA2129" t="s">
        <v>13918</v>
      </c>
      <c r="AB2129"/>
      <c r="AC2129"/>
      <c r="AD2129"/>
      <c r="AE2129"/>
      <c r="AF2129" t="s">
        <v>13919</v>
      </c>
      <c r="AG2129" t="n">
        <v>214</v>
      </c>
    </row>
    <row r="2130">
      <c r="A2130" t="s">
        <v>13920</v>
      </c>
      <c r="B2130" t="s">
        <v>28</v>
      </c>
      <c r="C2130" t="s">
        <v>65</v>
      </c>
      <c r="D2130" t="s">
        <v>13921</v>
      </c>
      <c r="E2130" t="s">
        <v>723</v>
      </c>
      <c r="F2130" t="s">
        <v>724</v>
      </c>
      <c r="G2130" t="s">
        <v>817</v>
      </c>
      <c r="H2130" t="n">
        <v>40.0243188719091</v>
      </c>
      <c r="I2130" t="n">
        <v>-105.238375792601</v>
      </c>
      <c r="J2130" t="s">
        <v>35</v>
      </c>
      <c r="K2130" t="s">
        <v>126</v>
      </c>
      <c r="L2130" t="s">
        <v>2445</v>
      </c>
      <c r="M2130" t="n">
        <v>1980</v>
      </c>
      <c r="N2130" t="n">
        <v>1990</v>
      </c>
      <c r="O2130" t="s">
        <v>582</v>
      </c>
      <c r="P2130" t="n">
        <v>4</v>
      </c>
      <c r="Q2130" t="n">
        <v>11</v>
      </c>
      <c r="R2130" t="n">
        <v>3</v>
      </c>
      <c r="S2130" t="n">
        <v>1963</v>
      </c>
      <c r="T2130" t="s">
        <v>13922</v>
      </c>
      <c r="U2130" t="s">
        <v>13923</v>
      </c>
      <c r="V2130" t="s">
        <v>74</v>
      </c>
      <c r="W2130"/>
      <c r="X2130"/>
      <c r="Y2130" t="s">
        <v>13924</v>
      </c>
      <c r="Z2130"/>
      <c r="AA2130" t="s">
        <v>13925</v>
      </c>
      <c r="AB2130"/>
      <c r="AC2130"/>
      <c r="AD2130"/>
      <c r="AE2130"/>
      <c r="AF2130" t="s">
        <v>13926</v>
      </c>
      <c r="AG2130" t="n">
        <v>31</v>
      </c>
    </row>
    <row r="2131">
      <c r="A2131" t="s">
        <v>13927</v>
      </c>
      <c r="B2131" t="s">
        <v>28</v>
      </c>
      <c r="C2131" t="s">
        <v>24</v>
      </c>
      <c r="D2131" t="s">
        <v>13928</v>
      </c>
      <c r="E2131" t="s">
        <v>723</v>
      </c>
      <c r="F2131" t="s">
        <v>724</v>
      </c>
      <c r="G2131" t="s">
        <v>725</v>
      </c>
      <c r="H2131" t="n">
        <v>40.0640968257584</v>
      </c>
      <c r="I2131" t="n">
        <v>-105.29940321874</v>
      </c>
      <c r="J2131" t="s">
        <v>4109</v>
      </c>
      <c r="K2131" t="s">
        <v>120</v>
      </c>
      <c r="L2131"/>
      <c r="M2131" t="n">
        <v>1980</v>
      </c>
      <c r="N2131" t="n">
        <v>1992</v>
      </c>
      <c r="O2131" t="s">
        <v>255</v>
      </c>
      <c r="P2131" t="n">
        <v>2</v>
      </c>
      <c r="Q2131" t="n">
        <v>2</v>
      </c>
      <c r="R2131" t="n">
        <v>1</v>
      </c>
      <c r="S2131" t="n">
        <v>1973</v>
      </c>
      <c r="T2131" t="s">
        <v>13929</v>
      </c>
      <c r="U2131" t="s">
        <v>13930</v>
      </c>
      <c r="V2131" t="s">
        <v>74</v>
      </c>
      <c r="W2131"/>
      <c r="X2131"/>
      <c r="Y2131" t="s">
        <v>13931</v>
      </c>
      <c r="Z2131"/>
      <c r="AA2131" t="s">
        <v>13932</v>
      </c>
      <c r="AB2131"/>
      <c r="AC2131"/>
      <c r="AD2131"/>
      <c r="AE2131"/>
      <c r="AF2131" t="s">
        <v>13933</v>
      </c>
      <c r="AG2131" t="n">
        <v>137</v>
      </c>
    </row>
    <row r="2132">
      <c r="A2132" t="s">
        <v>13934</v>
      </c>
      <c r="B2132" t="s">
        <v>28</v>
      </c>
      <c r="C2132" t="s">
        <v>65</v>
      </c>
      <c r="D2132" t="s">
        <v>13935</v>
      </c>
      <c r="E2132" t="s">
        <v>723</v>
      </c>
      <c r="F2132" t="s">
        <v>724</v>
      </c>
      <c r="G2132" t="s">
        <v>817</v>
      </c>
      <c r="H2132" t="n">
        <v>40.029197</v>
      </c>
      <c r="I2132" t="n">
        <v>-105.252398</v>
      </c>
      <c r="J2132" t="s">
        <v>35</v>
      </c>
      <c r="K2132" t="s">
        <v>796</v>
      </c>
      <c r="L2132"/>
      <c r="M2132" t="n">
        <v>1980</v>
      </c>
      <c r="N2132" t="n">
        <v>1983</v>
      </c>
      <c r="O2132" t="s">
        <v>528</v>
      </c>
      <c r="P2132" t="n">
        <v>2</v>
      </c>
      <c r="Q2132" t="n">
        <v>2</v>
      </c>
      <c r="R2132" t="n">
        <v>2</v>
      </c>
      <c r="S2132" t="n">
        <v>1964</v>
      </c>
      <c r="T2132" t="s">
        <v>13936</v>
      </c>
      <c r="U2132" t="s">
        <v>13937</v>
      </c>
      <c r="V2132" t="s">
        <v>74</v>
      </c>
      <c r="W2132"/>
      <c r="X2132"/>
      <c r="Y2132" t="s">
        <v>13938</v>
      </c>
      <c r="Z2132" t="s">
        <v>13939</v>
      </c>
      <c r="AA2132" t="s">
        <v>13940</v>
      </c>
      <c r="AB2132"/>
      <c r="AC2132"/>
      <c r="AD2132" t="s">
        <v>13941</v>
      </c>
      <c r="AE2132" t="n">
        <v>184</v>
      </c>
      <c r="AF2132" t="s">
        <v>13942</v>
      </c>
      <c r="AG2132" t="n">
        <v>12</v>
      </c>
    </row>
    <row r="2133">
      <c r="A2133" t="s">
        <v>13943</v>
      </c>
      <c r="B2133" t="s">
        <v>28</v>
      </c>
      <c r="C2133" t="s">
        <v>65</v>
      </c>
      <c r="D2133" t="s">
        <v>13944</v>
      </c>
      <c r="E2133" t="s">
        <v>723</v>
      </c>
      <c r="F2133" t="s">
        <v>724</v>
      </c>
      <c r="G2133" t="s">
        <v>725</v>
      </c>
      <c r="H2133" t="n">
        <v>40.0176901587786</v>
      </c>
      <c r="I2133" t="n">
        <v>-105.228628353373</v>
      </c>
      <c r="J2133" t="s">
        <v>35</v>
      </c>
      <c r="K2133" t="s">
        <v>120</v>
      </c>
      <c r="L2133"/>
      <c r="M2133" t="n">
        <v>1980</v>
      </c>
      <c r="N2133" t="n">
        <v>1983</v>
      </c>
      <c r="O2133" t="s">
        <v>264</v>
      </c>
      <c r="P2133" t="n">
        <v>2</v>
      </c>
      <c r="Q2133" t="n">
        <v>2</v>
      </c>
      <c r="R2133" t="n">
        <v>1</v>
      </c>
      <c r="S2133" t="n">
        <v>1973</v>
      </c>
      <c r="T2133" t="s">
        <v>13945</v>
      </c>
      <c r="U2133" t="s">
        <v>13946</v>
      </c>
      <c r="V2133" t="s">
        <v>74</v>
      </c>
      <c r="W2133"/>
      <c r="X2133"/>
      <c r="Y2133" t="s">
        <v>13947</v>
      </c>
      <c r="Z2133"/>
      <c r="AA2133" t="s">
        <v>13948</v>
      </c>
      <c r="AB2133" t="s">
        <v>837</v>
      </c>
      <c r="AC2133" t="n">
        <v>191</v>
      </c>
      <c r="AD2133"/>
      <c r="AE2133"/>
      <c r="AF2133" t="s">
        <v>13949</v>
      </c>
      <c r="AG2133" t="n">
        <v>16</v>
      </c>
    </row>
    <row r="2134">
      <c r="A2134" t="s">
        <v>13950</v>
      </c>
      <c r="B2134" t="s">
        <v>28</v>
      </c>
      <c r="C2134" t="s">
        <v>65</v>
      </c>
      <c r="D2134" t="s">
        <v>13951</v>
      </c>
      <c r="E2134" t="s">
        <v>723</v>
      </c>
      <c r="F2134" t="s">
        <v>724</v>
      </c>
      <c r="G2134" t="s">
        <v>817</v>
      </c>
      <c r="H2134" t="n">
        <v>40.0200925821468</v>
      </c>
      <c r="I2134" t="n">
        <v>-105.252459898794</v>
      </c>
      <c r="J2134" t="s">
        <v>35</v>
      </c>
      <c r="K2134" t="s">
        <v>527</v>
      </c>
      <c r="L2134"/>
      <c r="M2134" t="n">
        <v>1980</v>
      </c>
      <c r="N2134" t="n">
        <v>1992</v>
      </c>
      <c r="O2134" t="s">
        <v>320</v>
      </c>
      <c r="P2134" t="n">
        <v>5</v>
      </c>
      <c r="Q2134" t="n">
        <v>6</v>
      </c>
      <c r="R2134" t="n">
        <v>4</v>
      </c>
      <c r="S2134" t="n">
        <v>1974</v>
      </c>
      <c r="T2134" t="s">
        <v>13952</v>
      </c>
      <c r="U2134" t="s">
        <v>13953</v>
      </c>
      <c r="V2134" t="s">
        <v>74</v>
      </c>
      <c r="W2134"/>
      <c r="X2134"/>
      <c r="Y2134" t="s">
        <v>13954</v>
      </c>
      <c r="Z2134"/>
      <c r="AA2134" t="s">
        <v>13955</v>
      </c>
      <c r="AB2134"/>
      <c r="AC2134"/>
      <c r="AD2134"/>
      <c r="AE2134"/>
      <c r="AF2134" t="s">
        <v>13956</v>
      </c>
      <c r="AG2134" t="n">
        <v>61</v>
      </c>
    </row>
    <row r="2135">
      <c r="A2135" t="s">
        <v>13957</v>
      </c>
      <c r="B2135" t="s">
        <v>28</v>
      </c>
      <c r="C2135" t="s">
        <v>65</v>
      </c>
      <c r="D2135" t="s">
        <v>13958</v>
      </c>
      <c r="E2135" t="s">
        <v>723</v>
      </c>
      <c r="F2135" t="s">
        <v>724</v>
      </c>
      <c r="G2135" t="s">
        <v>725</v>
      </c>
      <c r="H2135" t="n">
        <v>40.01453675</v>
      </c>
      <c r="I2135" t="n">
        <v>-105.291233693878</v>
      </c>
      <c r="J2135" t="s">
        <v>35</v>
      </c>
      <c r="K2135" t="s">
        <v>120</v>
      </c>
      <c r="L2135"/>
      <c r="M2135" t="n">
        <v>1980</v>
      </c>
      <c r="N2135" t="n">
        <v>1990</v>
      </c>
      <c r="O2135" t="s">
        <v>528</v>
      </c>
      <c r="P2135" t="n">
        <v>4</v>
      </c>
      <c r="Q2135" t="n">
        <v>2</v>
      </c>
      <c r="R2135" t="n">
        <v>1</v>
      </c>
      <c r="S2135" t="n">
        <v>1971</v>
      </c>
      <c r="T2135" t="s">
        <v>13959</v>
      </c>
      <c r="U2135" t="s">
        <v>13960</v>
      </c>
      <c r="V2135" t="s">
        <v>74</v>
      </c>
      <c r="W2135"/>
      <c r="X2135"/>
      <c r="Y2135" t="s">
        <v>13961</v>
      </c>
      <c r="Z2135"/>
      <c r="AA2135"/>
      <c r="AB2135" t="s">
        <v>10917</v>
      </c>
      <c r="AC2135" t="n">
        <v>201</v>
      </c>
      <c r="AD2135"/>
      <c r="AE2135"/>
      <c r="AF2135" t="s">
        <v>10910</v>
      </c>
      <c r="AG2135" t="n">
        <v>19</v>
      </c>
    </row>
    <row r="2136">
      <c r="A2136" t="s">
        <v>13962</v>
      </c>
      <c r="B2136" t="s">
        <v>28</v>
      </c>
      <c r="C2136" t="s">
        <v>65</v>
      </c>
      <c r="D2136" t="s">
        <v>13963</v>
      </c>
      <c r="E2136" t="s">
        <v>738</v>
      </c>
      <c r="F2136" t="s">
        <v>724</v>
      </c>
      <c r="G2136" t="s">
        <v>739</v>
      </c>
      <c r="H2136" t="n">
        <v>40.1587584285714</v>
      </c>
      <c r="I2136" t="n">
        <v>-105.113144265306</v>
      </c>
      <c r="J2136" t="s">
        <v>35</v>
      </c>
      <c r="K2136" t="s">
        <v>616</v>
      </c>
      <c r="L2136"/>
      <c r="M2136" t="n">
        <v>1980</v>
      </c>
      <c r="N2136" t="n">
        <v>1990</v>
      </c>
      <c r="O2136" t="s">
        <v>540</v>
      </c>
      <c r="P2136" t="n">
        <v>4</v>
      </c>
      <c r="Q2136" t="n">
        <v>2</v>
      </c>
      <c r="R2136" t="n">
        <v>1</v>
      </c>
      <c r="S2136" t="n">
        <v>1970</v>
      </c>
      <c r="T2136" t="s">
        <v>13964</v>
      </c>
      <c r="U2136" t="s">
        <v>13965</v>
      </c>
      <c r="V2136" t="s">
        <v>74</v>
      </c>
      <c r="W2136"/>
      <c r="X2136"/>
      <c r="Y2136" t="s">
        <v>13966</v>
      </c>
      <c r="Z2136"/>
      <c r="AA2136"/>
      <c r="AB2136" t="s">
        <v>6343</v>
      </c>
      <c r="AC2136" t="n">
        <v>98</v>
      </c>
      <c r="AD2136" t="s">
        <v>1156</v>
      </c>
      <c r="AE2136" t="n">
        <v>220</v>
      </c>
      <c r="AF2136" t="s">
        <v>13967</v>
      </c>
      <c r="AG2136" t="n">
        <v>23</v>
      </c>
    </row>
    <row r="2137">
      <c r="A2137" t="s">
        <v>13968</v>
      </c>
      <c r="B2137" t="s">
        <v>28</v>
      </c>
      <c r="C2137" t="s">
        <v>65</v>
      </c>
      <c r="D2137" t="s">
        <v>13969</v>
      </c>
      <c r="E2137" t="s">
        <v>738</v>
      </c>
      <c r="F2137" t="s">
        <v>724</v>
      </c>
      <c r="G2137" t="s">
        <v>739</v>
      </c>
      <c r="H2137" t="n">
        <v>40.1553863573433</v>
      </c>
      <c r="I2137" t="n">
        <v>-105.111803610171</v>
      </c>
      <c r="J2137" t="s">
        <v>35</v>
      </c>
      <c r="K2137" t="s">
        <v>70</v>
      </c>
      <c r="L2137"/>
      <c r="M2137" t="n">
        <v>1980</v>
      </c>
      <c r="N2137" t="n">
        <v>1983</v>
      </c>
      <c r="O2137" t="s">
        <v>528</v>
      </c>
      <c r="P2137" t="n">
        <v>2</v>
      </c>
      <c r="Q2137" t="n">
        <v>1</v>
      </c>
      <c r="R2137" t="n">
        <v>1</v>
      </c>
      <c r="S2137" t="n">
        <v>1978</v>
      </c>
      <c r="T2137" t="s">
        <v>13970</v>
      </c>
      <c r="U2137" t="s">
        <v>13971</v>
      </c>
      <c r="V2137" t="s">
        <v>74</v>
      </c>
      <c r="W2137"/>
      <c r="X2137"/>
      <c r="Y2137" t="s">
        <v>13972</v>
      </c>
      <c r="Z2137"/>
      <c r="AA2137" t="s">
        <v>13973</v>
      </c>
      <c r="AB2137"/>
      <c r="AC2137"/>
      <c r="AD2137" t="s">
        <v>1156</v>
      </c>
      <c r="AE2137" t="n">
        <v>154</v>
      </c>
      <c r="AF2137" t="s">
        <v>1134</v>
      </c>
      <c r="AG2137" t="n">
        <v>10</v>
      </c>
    </row>
    <row r="2138">
      <c r="A2138" t="s">
        <v>13974</v>
      </c>
      <c r="B2138" t="s">
        <v>28</v>
      </c>
      <c r="C2138" t="s">
        <v>65</v>
      </c>
      <c r="D2138" t="s">
        <v>13975</v>
      </c>
      <c r="E2138" t="s">
        <v>738</v>
      </c>
      <c r="F2138" t="s">
        <v>724</v>
      </c>
      <c r="G2138" t="s">
        <v>739</v>
      </c>
      <c r="H2138" t="n">
        <v>40.1518774868901</v>
      </c>
      <c r="I2138" t="n">
        <v>-105.121424317116</v>
      </c>
      <c r="J2138" t="s">
        <v>35</v>
      </c>
      <c r="K2138" t="s">
        <v>141</v>
      </c>
      <c r="L2138" t="s">
        <v>202</v>
      </c>
      <c r="M2138" t="n">
        <v>1980</v>
      </c>
      <c r="N2138" t="n">
        <v>1990</v>
      </c>
      <c r="O2138" t="s">
        <v>540</v>
      </c>
      <c r="P2138" t="n">
        <v>4</v>
      </c>
      <c r="Q2138" t="n">
        <v>7</v>
      </c>
      <c r="R2138" t="n">
        <v>5</v>
      </c>
      <c r="S2138" t="n">
        <v>1965</v>
      </c>
      <c r="T2138" t="s">
        <v>13976</v>
      </c>
      <c r="U2138" t="s">
        <v>13977</v>
      </c>
      <c r="V2138" t="s">
        <v>74</v>
      </c>
      <c r="W2138"/>
      <c r="X2138"/>
      <c r="Y2138" t="s">
        <v>13978</v>
      </c>
      <c r="Z2138"/>
      <c r="AA2138"/>
      <c r="AB2138"/>
      <c r="AC2138"/>
      <c r="AD2138" t="s">
        <v>1134</v>
      </c>
      <c r="AE2138" t="n">
        <v>210</v>
      </c>
      <c r="AF2138" t="s">
        <v>13979</v>
      </c>
      <c r="AG2138" t="n">
        <v>92</v>
      </c>
    </row>
    <row r="2139">
      <c r="A2139" t="s">
        <v>13980</v>
      </c>
      <c r="B2139" t="s">
        <v>28</v>
      </c>
      <c r="C2139" t="s">
        <v>24</v>
      </c>
      <c r="D2139" t="s">
        <v>13981</v>
      </c>
      <c r="E2139" t="s">
        <v>738</v>
      </c>
      <c r="F2139" t="s">
        <v>724</v>
      </c>
      <c r="G2139" t="s">
        <v>739</v>
      </c>
      <c r="H2139" t="n">
        <v>40.1549699585166</v>
      </c>
      <c r="I2139" t="n">
        <v>-105.112645246266</v>
      </c>
      <c r="J2139" t="s">
        <v>4109</v>
      </c>
      <c r="K2139" t="s">
        <v>120</v>
      </c>
      <c r="L2139"/>
      <c r="M2139" t="n">
        <v>1980</v>
      </c>
      <c r="N2139" t="n">
        <v>1990</v>
      </c>
      <c r="O2139" t="s">
        <v>540</v>
      </c>
      <c r="P2139" t="n">
        <v>4</v>
      </c>
      <c r="Q2139" t="n">
        <v>3</v>
      </c>
      <c r="R2139" t="n">
        <v>3</v>
      </c>
      <c r="S2139" t="n">
        <v>1976</v>
      </c>
      <c r="T2139" t="s">
        <v>13982</v>
      </c>
      <c r="U2139" t="s">
        <v>13983</v>
      </c>
      <c r="V2139" t="s">
        <v>74</v>
      </c>
      <c r="W2139"/>
      <c r="X2139"/>
      <c r="Y2139" t="s">
        <v>13984</v>
      </c>
      <c r="Z2139"/>
      <c r="AA2139" t="s">
        <v>13985</v>
      </c>
      <c r="AB2139"/>
      <c r="AC2139"/>
      <c r="AD2139" t="s">
        <v>1156</v>
      </c>
      <c r="AE2139" t="n">
        <v>221</v>
      </c>
      <c r="AF2139" t="s">
        <v>13714</v>
      </c>
      <c r="AG2139" t="n">
        <v>59</v>
      </c>
    </row>
    <row r="2140">
      <c r="A2140" t="s">
        <v>13986</v>
      </c>
      <c r="B2140" t="s">
        <v>28</v>
      </c>
      <c r="C2140" t="s">
        <v>24</v>
      </c>
      <c r="D2140" t="s">
        <v>13987</v>
      </c>
      <c r="E2140" t="s">
        <v>738</v>
      </c>
      <c r="F2140" t="s">
        <v>724</v>
      </c>
      <c r="G2140" t="s">
        <v>739</v>
      </c>
      <c r="H2140" t="n">
        <v>40.155183</v>
      </c>
      <c r="I2140" t="n">
        <v>-105.12373</v>
      </c>
      <c r="J2140" t="s">
        <v>4109</v>
      </c>
      <c r="K2140" t="s">
        <v>120</v>
      </c>
      <c r="L2140"/>
      <c r="M2140" t="n">
        <v>1980</v>
      </c>
      <c r="N2140" t="n">
        <v>1980</v>
      </c>
      <c r="O2140" t="s">
        <v>255</v>
      </c>
      <c r="P2140" t="n">
        <v>1</v>
      </c>
      <c r="Q2140" t="n">
        <v>1</v>
      </c>
      <c r="R2140" t="n">
        <v>1</v>
      </c>
      <c r="S2140" t="n">
        <v>1971</v>
      </c>
      <c r="T2140" t="s">
        <v>13988</v>
      </c>
      <c r="U2140" t="s">
        <v>13989</v>
      </c>
      <c r="V2140" t="s">
        <v>74</v>
      </c>
      <c r="W2140"/>
      <c r="X2140"/>
      <c r="Y2140" t="s">
        <v>13990</v>
      </c>
      <c r="Z2140"/>
      <c r="AA2140" t="s">
        <v>13991</v>
      </c>
      <c r="AB2140"/>
      <c r="AC2140"/>
      <c r="AD2140"/>
      <c r="AE2140"/>
      <c r="AF2140" t="s">
        <v>13992</v>
      </c>
      <c r="AG2140" t="n">
        <v>32</v>
      </c>
    </row>
    <row r="2141">
      <c r="A2141" t="s">
        <v>13993</v>
      </c>
      <c r="B2141" t="s">
        <v>28</v>
      </c>
      <c r="C2141" t="s">
        <v>24</v>
      </c>
      <c r="D2141" t="s">
        <v>13994</v>
      </c>
      <c r="E2141" t="s">
        <v>738</v>
      </c>
      <c r="F2141" t="s">
        <v>724</v>
      </c>
      <c r="G2141" t="s">
        <v>739</v>
      </c>
      <c r="H2141" t="n">
        <v>40.1535571034085</v>
      </c>
      <c r="I2141" t="n">
        <v>-105.114560768033</v>
      </c>
      <c r="J2141" t="s">
        <v>4109</v>
      </c>
      <c r="K2141" t="s">
        <v>81</v>
      </c>
      <c r="L2141" t="s">
        <v>202</v>
      </c>
      <c r="M2141" t="n">
        <v>1980</v>
      </c>
      <c r="N2141" t="n">
        <v>1992</v>
      </c>
      <c r="O2141" t="s">
        <v>6152</v>
      </c>
      <c r="P2141" t="n">
        <v>5</v>
      </c>
      <c r="Q2141" t="n">
        <v>12</v>
      </c>
      <c r="R2141" t="n">
        <v>10</v>
      </c>
      <c r="S2141" t="n">
        <v>1972</v>
      </c>
      <c r="T2141" t="s">
        <v>13995</v>
      </c>
      <c r="U2141" t="s">
        <v>13996</v>
      </c>
      <c r="V2141" t="s">
        <v>74</v>
      </c>
      <c r="W2141"/>
      <c r="X2141"/>
      <c r="Y2141" t="s">
        <v>13997</v>
      </c>
      <c r="Z2141"/>
      <c r="AA2141" t="s">
        <v>13998</v>
      </c>
      <c r="AB2141" t="s">
        <v>6439</v>
      </c>
      <c r="AC2141" t="n">
        <v>227</v>
      </c>
      <c r="AD2141" t="s">
        <v>13999</v>
      </c>
      <c r="AE2141" t="n">
        <v>215</v>
      </c>
      <c r="AF2141" t="s">
        <v>14000</v>
      </c>
      <c r="AG2141" t="n">
        <v>8</v>
      </c>
    </row>
    <row r="2142">
      <c r="A2142" t="s">
        <v>14001</v>
      </c>
      <c r="B2142" t="s">
        <v>28</v>
      </c>
      <c r="C2142" t="s">
        <v>24</v>
      </c>
      <c r="D2142" t="s">
        <v>14002</v>
      </c>
      <c r="E2142" t="s">
        <v>738</v>
      </c>
      <c r="F2142" t="s">
        <v>724</v>
      </c>
      <c r="G2142" t="s">
        <v>739</v>
      </c>
      <c r="H2142" t="n">
        <v>40.143769755102</v>
      </c>
      <c r="I2142" t="n">
        <v>-105.115581755102</v>
      </c>
      <c r="J2142" t="s">
        <v>4109</v>
      </c>
      <c r="K2142" t="s">
        <v>70</v>
      </c>
      <c r="L2142"/>
      <c r="M2142" t="n">
        <v>1980</v>
      </c>
      <c r="N2142" t="n">
        <v>1980</v>
      </c>
      <c r="O2142" t="s">
        <v>255</v>
      </c>
      <c r="P2142" t="n">
        <v>1</v>
      </c>
      <c r="Q2142" t="n">
        <v>2</v>
      </c>
      <c r="R2142" t="n">
        <v>1</v>
      </c>
      <c r="S2142" t="n">
        <v>1977</v>
      </c>
      <c r="T2142" t="s">
        <v>14003</v>
      </c>
      <c r="U2142" t="s">
        <v>14004</v>
      </c>
      <c r="V2142" t="s">
        <v>74</v>
      </c>
      <c r="W2142"/>
      <c r="X2142"/>
      <c r="Y2142" t="s">
        <v>14005</v>
      </c>
      <c r="Z2142"/>
      <c r="AA2142" t="s">
        <v>14006</v>
      </c>
      <c r="AB2142"/>
      <c r="AC2142"/>
      <c r="AD2142"/>
      <c r="AE2142"/>
      <c r="AF2142" t="s">
        <v>13919</v>
      </c>
      <c r="AG2142" t="n">
        <v>158</v>
      </c>
    </row>
    <row r="2143">
      <c r="A2143" t="s">
        <v>14007</v>
      </c>
      <c r="B2143" t="s">
        <v>28</v>
      </c>
      <c r="C2143" t="s">
        <v>65</v>
      </c>
      <c r="D2143" t="s">
        <v>14008</v>
      </c>
      <c r="E2143" t="s">
        <v>723</v>
      </c>
      <c r="F2143" t="s">
        <v>724</v>
      </c>
      <c r="G2143" t="s">
        <v>4171</v>
      </c>
      <c r="H2143" t="n">
        <v>40.0155318028006</v>
      </c>
      <c r="I2143" t="n">
        <v>-105.230065318468</v>
      </c>
      <c r="J2143" t="s">
        <v>35</v>
      </c>
      <c r="K2143" t="s">
        <v>120</v>
      </c>
      <c r="L2143"/>
      <c r="M2143" t="n">
        <v>1980</v>
      </c>
      <c r="N2143" t="n">
        <v>1983</v>
      </c>
      <c r="O2143" t="s">
        <v>264</v>
      </c>
      <c r="P2143" t="n">
        <v>2</v>
      </c>
      <c r="Q2143" t="n">
        <v>3</v>
      </c>
      <c r="R2143" t="n">
        <v>2</v>
      </c>
      <c r="S2143" t="n">
        <v>1955</v>
      </c>
      <c r="T2143" t="s">
        <v>14009</v>
      </c>
      <c r="U2143" t="s">
        <v>14010</v>
      </c>
      <c r="V2143" t="s">
        <v>74</v>
      </c>
      <c r="W2143"/>
      <c r="X2143"/>
      <c r="Y2143" t="s">
        <v>14011</v>
      </c>
      <c r="Z2143"/>
      <c r="AA2143"/>
      <c r="AB2143"/>
      <c r="AC2143"/>
      <c r="AD2143" t="s">
        <v>14012</v>
      </c>
      <c r="AE2143" t="n">
        <v>150</v>
      </c>
      <c r="AF2143" t="s">
        <v>14013</v>
      </c>
      <c r="AG2143" t="n">
        <v>49</v>
      </c>
    </row>
    <row r="2144">
      <c r="A2144" t="s">
        <v>14014</v>
      </c>
      <c r="B2144" t="s">
        <v>28</v>
      </c>
      <c r="C2144" t="s">
        <v>65</v>
      </c>
      <c r="D2144" t="s">
        <v>14015</v>
      </c>
      <c r="E2144" t="s">
        <v>723</v>
      </c>
      <c r="F2144" t="s">
        <v>724</v>
      </c>
      <c r="G2144" t="s">
        <v>817</v>
      </c>
      <c r="H2144" t="n">
        <v>40.0260522564372</v>
      </c>
      <c r="I2144" t="n">
        <v>-105.248663572305</v>
      </c>
      <c r="J2144" t="s">
        <v>35</v>
      </c>
      <c r="K2144" t="s">
        <v>2896</v>
      </c>
      <c r="L2144"/>
      <c r="M2144" t="n">
        <v>1983</v>
      </c>
      <c r="N2144" t="n">
        <v>1990</v>
      </c>
      <c r="O2144" t="s">
        <v>310</v>
      </c>
      <c r="P2144" t="n">
        <v>3</v>
      </c>
      <c r="Q2144" t="n">
        <v>12</v>
      </c>
      <c r="R2144" t="n">
        <v>4</v>
      </c>
      <c r="S2144" t="n">
        <v>1961</v>
      </c>
      <c r="T2144" t="s">
        <v>14016</v>
      </c>
      <c r="U2144" t="s">
        <v>14017</v>
      </c>
      <c r="V2144" t="s">
        <v>74</v>
      </c>
      <c r="W2144"/>
      <c r="X2144"/>
      <c r="Y2144" t="s">
        <v>14018</v>
      </c>
      <c r="Z2144"/>
      <c r="AA2144" t="s">
        <v>14019</v>
      </c>
      <c r="AB2144"/>
      <c r="AC2144"/>
      <c r="AD2144"/>
      <c r="AE2144"/>
      <c r="AF2144" t="s">
        <v>14020</v>
      </c>
      <c r="AG2144" t="n">
        <v>17</v>
      </c>
    </row>
    <row r="2145">
      <c r="A2145" t="s">
        <v>14021</v>
      </c>
      <c r="B2145" t="s">
        <v>28</v>
      </c>
      <c r="C2145" t="s">
        <v>65</v>
      </c>
      <c r="D2145" t="s">
        <v>14022</v>
      </c>
      <c r="E2145" t="s">
        <v>723</v>
      </c>
      <c r="F2145" t="s">
        <v>724</v>
      </c>
      <c r="G2145" t="s">
        <v>817</v>
      </c>
      <c r="H2145" t="n">
        <v>40.0790444270293</v>
      </c>
      <c r="I2145" t="n">
        <v>-105.195172801532</v>
      </c>
      <c r="J2145" t="s">
        <v>35</v>
      </c>
      <c r="K2145" t="s">
        <v>796</v>
      </c>
      <c r="L2145" t="s">
        <v>202</v>
      </c>
      <c r="M2145" t="n">
        <v>1983</v>
      </c>
      <c r="N2145" t="n">
        <v>1990</v>
      </c>
      <c r="O2145" t="s">
        <v>271</v>
      </c>
      <c r="P2145" t="n">
        <v>3</v>
      </c>
      <c r="Q2145" t="n">
        <v>3</v>
      </c>
      <c r="R2145" t="n">
        <v>3</v>
      </c>
      <c r="S2145" t="n">
        <v>1976</v>
      </c>
      <c r="T2145" t="s">
        <v>14023</v>
      </c>
      <c r="U2145" t="s">
        <v>14024</v>
      </c>
      <c r="V2145" t="s">
        <v>74</v>
      </c>
      <c r="W2145"/>
      <c r="X2145"/>
      <c r="Y2145" t="s">
        <v>14025</v>
      </c>
      <c r="Z2145"/>
      <c r="AA2145"/>
      <c r="AB2145"/>
      <c r="AC2145"/>
      <c r="AD2145" t="s">
        <v>14026</v>
      </c>
      <c r="AE2145" t="n">
        <v>124</v>
      </c>
      <c r="AF2145" t="s">
        <v>14027</v>
      </c>
      <c r="AG2145" t="n">
        <v>14</v>
      </c>
    </row>
    <row r="2146">
      <c r="A2146" t="s">
        <v>14028</v>
      </c>
      <c r="B2146" t="s">
        <v>28</v>
      </c>
      <c r="C2146" t="s">
        <v>65</v>
      </c>
      <c r="D2146" t="s">
        <v>14029</v>
      </c>
      <c r="E2146" t="s">
        <v>723</v>
      </c>
      <c r="F2146" t="s">
        <v>724</v>
      </c>
      <c r="G2146" t="s">
        <v>863</v>
      </c>
      <c r="H2146" t="n">
        <v>40.0146348658537</v>
      </c>
      <c r="I2146" t="n">
        <v>-105.186800146341</v>
      </c>
      <c r="J2146" t="s">
        <v>35</v>
      </c>
      <c r="K2146" t="s">
        <v>141</v>
      </c>
      <c r="L2146"/>
      <c r="M2146" t="n">
        <v>1983</v>
      </c>
      <c r="N2146" t="n">
        <v>1992</v>
      </c>
      <c r="O2146" t="s">
        <v>1003</v>
      </c>
      <c r="P2146" t="n">
        <v>2</v>
      </c>
      <c r="Q2146" t="n">
        <v>2</v>
      </c>
      <c r="R2146" t="n">
        <v>2</v>
      </c>
      <c r="S2146" t="n">
        <v>1979</v>
      </c>
      <c r="T2146" t="s">
        <v>14030</v>
      </c>
      <c r="U2146" t="s">
        <v>14031</v>
      </c>
      <c r="V2146" t="s">
        <v>74</v>
      </c>
      <c r="W2146"/>
      <c r="X2146"/>
      <c r="Y2146" t="s">
        <v>14032</v>
      </c>
      <c r="Z2146"/>
      <c r="AA2146"/>
      <c r="AB2146"/>
      <c r="AC2146"/>
      <c r="AD2146"/>
      <c r="AE2146"/>
      <c r="AF2146" t="s">
        <v>14033</v>
      </c>
      <c r="AG2146" t="n">
        <v>41</v>
      </c>
    </row>
    <row r="2147">
      <c r="A2147" t="s">
        <v>14034</v>
      </c>
      <c r="B2147" t="s">
        <v>28</v>
      </c>
      <c r="C2147" t="s">
        <v>65</v>
      </c>
      <c r="D2147" t="s">
        <v>14035</v>
      </c>
      <c r="E2147" t="s">
        <v>723</v>
      </c>
      <c r="F2147" t="s">
        <v>724</v>
      </c>
      <c r="G2147" t="s">
        <v>817</v>
      </c>
      <c r="H2147" t="n">
        <v>40.0736309753772</v>
      </c>
      <c r="I2147" t="n">
        <v>-105.202292556845</v>
      </c>
      <c r="J2147" t="s">
        <v>35</v>
      </c>
      <c r="K2147" t="s">
        <v>1495</v>
      </c>
      <c r="L2147"/>
      <c r="M2147" t="n">
        <v>1983</v>
      </c>
      <c r="N2147" t="n">
        <v>1992</v>
      </c>
      <c r="O2147" t="s">
        <v>293</v>
      </c>
      <c r="P2147" t="n">
        <v>4</v>
      </c>
      <c r="Q2147" t="n">
        <v>13</v>
      </c>
      <c r="R2147" t="n">
        <v>3</v>
      </c>
      <c r="S2147" t="n">
        <v>1945</v>
      </c>
      <c r="T2147" t="s">
        <v>14036</v>
      </c>
      <c r="U2147" t="s">
        <v>14037</v>
      </c>
      <c r="V2147" t="s">
        <v>74</v>
      </c>
      <c r="W2147"/>
      <c r="X2147"/>
      <c r="Y2147" t="s">
        <v>14038</v>
      </c>
      <c r="Z2147"/>
      <c r="AA2147" t="s">
        <v>14039</v>
      </c>
      <c r="AB2147"/>
      <c r="AC2147"/>
      <c r="AD2147" t="s">
        <v>1105</v>
      </c>
      <c r="AE2147" t="n">
        <v>197</v>
      </c>
      <c r="AF2147" t="s">
        <v>14040</v>
      </c>
      <c r="AG2147" t="n">
        <v>43</v>
      </c>
    </row>
    <row r="2148">
      <c r="A2148" t="s">
        <v>14041</v>
      </c>
      <c r="B2148" t="s">
        <v>28</v>
      </c>
      <c r="C2148" t="s">
        <v>65</v>
      </c>
      <c r="D2148" t="s">
        <v>14042</v>
      </c>
      <c r="E2148" t="s">
        <v>723</v>
      </c>
      <c r="F2148" t="s">
        <v>724</v>
      </c>
      <c r="G2148" t="s">
        <v>817</v>
      </c>
      <c r="H2148" t="n">
        <v>40.0167486904181</v>
      </c>
      <c r="I2148" t="n">
        <v>-105.228165314607</v>
      </c>
      <c r="J2148" t="s">
        <v>35</v>
      </c>
      <c r="K2148" t="s">
        <v>70</v>
      </c>
      <c r="L2148"/>
      <c r="M2148" t="n">
        <v>1983</v>
      </c>
      <c r="N2148" t="n">
        <v>1983</v>
      </c>
      <c r="O2148" t="s">
        <v>264</v>
      </c>
      <c r="P2148" t="n">
        <v>1</v>
      </c>
      <c r="Q2148" t="n">
        <v>1</v>
      </c>
      <c r="R2148" t="n">
        <v>1</v>
      </c>
      <c r="S2148" t="n">
        <v>1979</v>
      </c>
      <c r="T2148" t="s">
        <v>14043</v>
      </c>
      <c r="U2148" t="s">
        <v>14044</v>
      </c>
      <c r="V2148" t="s">
        <v>74</v>
      </c>
      <c r="W2148"/>
      <c r="X2148"/>
      <c r="Y2148" t="s">
        <v>14045</v>
      </c>
      <c r="Z2148"/>
      <c r="AA2148"/>
      <c r="AB2148" t="s">
        <v>837</v>
      </c>
      <c r="AC2148" t="n">
        <v>91</v>
      </c>
      <c r="AD2148"/>
      <c r="AE2148"/>
      <c r="AF2148" t="s">
        <v>14046</v>
      </c>
      <c r="AG2148" t="n">
        <v>11</v>
      </c>
    </row>
    <row r="2149">
      <c r="A2149" t="s">
        <v>14047</v>
      </c>
      <c r="B2149" t="s">
        <v>28</v>
      </c>
      <c r="C2149" t="s">
        <v>65</v>
      </c>
      <c r="D2149" t="s">
        <v>14048</v>
      </c>
      <c r="E2149" t="s">
        <v>723</v>
      </c>
      <c r="F2149" t="s">
        <v>724</v>
      </c>
      <c r="G2149" t="s">
        <v>817</v>
      </c>
      <c r="H2149" t="n">
        <v>40.0360113873871</v>
      </c>
      <c r="I2149" t="n">
        <v>-105.24277184515</v>
      </c>
      <c r="J2149" t="s">
        <v>35</v>
      </c>
      <c r="K2149" t="s">
        <v>120</v>
      </c>
      <c r="L2149"/>
      <c r="M2149" t="n">
        <v>1983</v>
      </c>
      <c r="N2149" t="n">
        <v>1990</v>
      </c>
      <c r="O2149" t="s">
        <v>293</v>
      </c>
      <c r="P2149" t="n">
        <v>2</v>
      </c>
      <c r="Q2149" t="n">
        <v>2</v>
      </c>
      <c r="R2149" t="n">
        <v>2</v>
      </c>
      <c r="S2149" t="n">
        <v>1973</v>
      </c>
      <c r="T2149" t="s">
        <v>14049</v>
      </c>
      <c r="U2149" t="s">
        <v>14050</v>
      </c>
      <c r="V2149" t="s">
        <v>74</v>
      </c>
      <c r="W2149"/>
      <c r="X2149"/>
      <c r="Y2149" t="s">
        <v>14051</v>
      </c>
      <c r="Z2149"/>
      <c r="AA2149"/>
      <c r="AB2149"/>
      <c r="AC2149"/>
      <c r="AD2149"/>
      <c r="AE2149"/>
      <c r="AF2149" t="s">
        <v>14052</v>
      </c>
      <c r="AG2149" t="n">
        <v>14</v>
      </c>
    </row>
    <row r="2150">
      <c r="A2150" t="s">
        <v>14053</v>
      </c>
      <c r="B2150" t="s">
        <v>28</v>
      </c>
      <c r="C2150" t="s">
        <v>65</v>
      </c>
      <c r="D2150" t="s">
        <v>14054</v>
      </c>
      <c r="E2150" t="s">
        <v>723</v>
      </c>
      <c r="F2150" t="s">
        <v>724</v>
      </c>
      <c r="G2150" t="s">
        <v>4171</v>
      </c>
      <c r="H2150" t="n">
        <v>40.0253297175536</v>
      </c>
      <c r="I2150" t="n">
        <v>-105.21852813847</v>
      </c>
      <c r="J2150" t="s">
        <v>35</v>
      </c>
      <c r="K2150" t="s">
        <v>120</v>
      </c>
      <c r="L2150"/>
      <c r="M2150" t="n">
        <v>1983</v>
      </c>
      <c r="N2150" t="n">
        <v>1992</v>
      </c>
      <c r="O2150" t="s">
        <v>264</v>
      </c>
      <c r="P2150" t="n">
        <v>2</v>
      </c>
      <c r="Q2150" t="n">
        <v>2</v>
      </c>
      <c r="R2150" t="n">
        <v>1</v>
      </c>
      <c r="S2150" t="n">
        <v>1980</v>
      </c>
      <c r="T2150" t="s">
        <v>14055</v>
      </c>
      <c r="U2150" t="s">
        <v>14056</v>
      </c>
      <c r="V2150" t="s">
        <v>74</v>
      </c>
      <c r="W2150"/>
      <c r="X2150"/>
      <c r="Y2150" t="s">
        <v>14057</v>
      </c>
      <c r="Z2150"/>
      <c r="AA2150"/>
      <c r="AB2150"/>
      <c r="AC2150"/>
      <c r="AD2150" t="s">
        <v>859</v>
      </c>
      <c r="AE2150" t="n">
        <v>176</v>
      </c>
      <c r="AF2150" t="s">
        <v>860</v>
      </c>
      <c r="AG2150" t="n">
        <v>28</v>
      </c>
    </row>
    <row r="2151">
      <c r="A2151" t="s">
        <v>14058</v>
      </c>
      <c r="B2151" t="s">
        <v>28</v>
      </c>
      <c r="C2151" t="s">
        <v>65</v>
      </c>
      <c r="D2151" t="s">
        <v>14059</v>
      </c>
      <c r="E2151" t="s">
        <v>738</v>
      </c>
      <c r="F2151" t="s">
        <v>724</v>
      </c>
      <c r="G2151" t="s">
        <v>739</v>
      </c>
      <c r="H2151" t="n">
        <v>40.1502997959184</v>
      </c>
      <c r="I2151" t="n">
        <v>-105.115550244898</v>
      </c>
      <c r="J2151" t="s">
        <v>35</v>
      </c>
      <c r="K2151" t="s">
        <v>120</v>
      </c>
      <c r="L2151" t="s">
        <v>202</v>
      </c>
      <c r="M2151" t="n">
        <v>1983</v>
      </c>
      <c r="N2151" t="n">
        <v>1990</v>
      </c>
      <c r="O2151" t="s">
        <v>293</v>
      </c>
      <c r="P2151" t="n">
        <v>2</v>
      </c>
      <c r="Q2151" t="n">
        <v>2</v>
      </c>
      <c r="R2151" t="n">
        <v>2</v>
      </c>
      <c r="S2151" t="n">
        <v>1980</v>
      </c>
      <c r="T2151" t="s">
        <v>14060</v>
      </c>
      <c r="U2151" t="s">
        <v>14061</v>
      </c>
      <c r="V2151" t="s">
        <v>74</v>
      </c>
      <c r="W2151"/>
      <c r="X2151"/>
      <c r="Y2151" t="s">
        <v>14062</v>
      </c>
      <c r="Z2151"/>
      <c r="AA2151"/>
      <c r="AB2151"/>
      <c r="AC2151"/>
      <c r="AD2151" t="s">
        <v>905</v>
      </c>
      <c r="AE2151" t="n">
        <v>205</v>
      </c>
      <c r="AF2151" t="s">
        <v>906</v>
      </c>
      <c r="AG2151" t="n">
        <v>27</v>
      </c>
    </row>
    <row r="2152">
      <c r="A2152" t="s">
        <v>14063</v>
      </c>
      <c r="B2152" t="s">
        <v>28</v>
      </c>
      <c r="C2152" t="s">
        <v>65</v>
      </c>
      <c r="D2152" t="s">
        <v>14064</v>
      </c>
      <c r="E2152" t="s">
        <v>723</v>
      </c>
      <c r="F2152" t="s">
        <v>724</v>
      </c>
      <c r="G2152" t="s">
        <v>817</v>
      </c>
      <c r="H2152" t="n">
        <v>40.0273088282828</v>
      </c>
      <c r="I2152" t="n">
        <v>-105.243808925926</v>
      </c>
      <c r="J2152" t="s">
        <v>35</v>
      </c>
      <c r="K2152" t="s">
        <v>120</v>
      </c>
      <c r="L2152"/>
      <c r="M2152" t="n">
        <v>1983</v>
      </c>
      <c r="N2152" t="n">
        <v>1992</v>
      </c>
      <c r="O2152" t="s">
        <v>293</v>
      </c>
      <c r="P2152" t="n">
        <v>3</v>
      </c>
      <c r="Q2152" t="n">
        <v>3</v>
      </c>
      <c r="R2152" t="n">
        <v>2</v>
      </c>
      <c r="S2152" t="n">
        <v>1974</v>
      </c>
      <c r="T2152" t="s">
        <v>14065</v>
      </c>
      <c r="U2152" t="s">
        <v>14066</v>
      </c>
      <c r="V2152" t="s">
        <v>74</v>
      </c>
      <c r="W2152"/>
      <c r="X2152"/>
      <c r="Y2152" t="s">
        <v>14067</v>
      </c>
      <c r="Z2152"/>
      <c r="AA2152" t="s">
        <v>14068</v>
      </c>
      <c r="AB2152"/>
      <c r="AC2152"/>
      <c r="AD2152" t="s">
        <v>820</v>
      </c>
      <c r="AE2152" t="n">
        <v>226</v>
      </c>
      <c r="AF2152" t="s">
        <v>832</v>
      </c>
      <c r="AG2152" t="n">
        <v>10</v>
      </c>
    </row>
    <row r="2153">
      <c r="A2153" t="s">
        <v>14069</v>
      </c>
      <c r="B2153" t="s">
        <v>28</v>
      </c>
      <c r="C2153" t="s">
        <v>65</v>
      </c>
      <c r="D2153" t="s">
        <v>14070</v>
      </c>
      <c r="E2153" t="s">
        <v>883</v>
      </c>
      <c r="F2153" t="s">
        <v>724</v>
      </c>
      <c r="G2153" t="s">
        <v>884</v>
      </c>
      <c r="H2153" t="n">
        <v>39.9893790470997</v>
      </c>
      <c r="I2153" t="n">
        <v>-105.071757682205</v>
      </c>
      <c r="J2153" t="s">
        <v>35</v>
      </c>
      <c r="K2153" t="s">
        <v>270</v>
      </c>
      <c r="L2153"/>
      <c r="M2153" t="n">
        <v>1983</v>
      </c>
      <c r="N2153" t="n">
        <v>1990</v>
      </c>
      <c r="O2153" t="s">
        <v>271</v>
      </c>
      <c r="P2153" t="n">
        <v>3</v>
      </c>
      <c r="Q2153" t="n">
        <v>2</v>
      </c>
      <c r="R2153" t="n">
        <v>2</v>
      </c>
      <c r="S2153" t="n">
        <v>1978</v>
      </c>
      <c r="T2153" t="s">
        <v>14071</v>
      </c>
      <c r="U2153" t="s">
        <v>14072</v>
      </c>
      <c r="V2153" t="s">
        <v>74</v>
      </c>
      <c r="W2153"/>
      <c r="X2153"/>
      <c r="Y2153" t="s">
        <v>14073</v>
      </c>
      <c r="Z2153"/>
      <c r="AA2153"/>
      <c r="AB2153"/>
      <c r="AC2153"/>
      <c r="AD2153"/>
      <c r="AE2153"/>
      <c r="AF2153" t="s">
        <v>14074</v>
      </c>
      <c r="AG2153" t="n">
        <v>56</v>
      </c>
    </row>
    <row r="2154">
      <c r="A2154" t="s">
        <v>14075</v>
      </c>
      <c r="B2154" t="s">
        <v>28</v>
      </c>
      <c r="C2154" t="s">
        <v>65</v>
      </c>
      <c r="D2154" t="s">
        <v>14076</v>
      </c>
      <c r="E2154" t="s">
        <v>738</v>
      </c>
      <c r="F2154" t="s">
        <v>724</v>
      </c>
      <c r="G2154" t="s">
        <v>739</v>
      </c>
      <c r="H2154" t="n">
        <v>40.1587310961683</v>
      </c>
      <c r="I2154" t="n">
        <v>-105.108855636862</v>
      </c>
      <c r="J2154" t="s">
        <v>35</v>
      </c>
      <c r="K2154" t="s">
        <v>796</v>
      </c>
      <c r="L2154"/>
      <c r="M2154" t="n">
        <v>1983</v>
      </c>
      <c r="N2154" t="n">
        <v>1992</v>
      </c>
      <c r="O2154" t="s">
        <v>2061</v>
      </c>
      <c r="P2154" t="n">
        <v>4</v>
      </c>
      <c r="Q2154" t="n">
        <v>2</v>
      </c>
      <c r="R2154" t="n">
        <v>2</v>
      </c>
      <c r="S2154" t="n">
        <v>1977</v>
      </c>
      <c r="T2154" t="s">
        <v>14077</v>
      </c>
      <c r="U2154" t="s">
        <v>14078</v>
      </c>
      <c r="V2154" t="s">
        <v>74</v>
      </c>
      <c r="W2154"/>
      <c r="X2154"/>
      <c r="Y2154" t="s">
        <v>14079</v>
      </c>
      <c r="Z2154"/>
      <c r="AA2154" t="s">
        <v>14080</v>
      </c>
      <c r="AB2154" t="s">
        <v>14081</v>
      </c>
      <c r="AC2154" t="n">
        <v>159</v>
      </c>
      <c r="AD2154" t="s">
        <v>1156</v>
      </c>
      <c r="AE2154" t="n">
        <v>146</v>
      </c>
      <c r="AF2154" t="s">
        <v>14082</v>
      </c>
      <c r="AG2154" t="n">
        <v>3</v>
      </c>
    </row>
    <row r="2155">
      <c r="A2155" t="s">
        <v>14083</v>
      </c>
      <c r="B2155" t="s">
        <v>28</v>
      </c>
      <c r="C2155" t="s">
        <v>65</v>
      </c>
      <c r="D2155" t="s">
        <v>14084</v>
      </c>
      <c r="E2155" t="s">
        <v>738</v>
      </c>
      <c r="F2155" t="s">
        <v>724</v>
      </c>
      <c r="G2155" t="s">
        <v>739</v>
      </c>
      <c r="H2155" t="n">
        <v>40.1548422250332</v>
      </c>
      <c r="I2155" t="n">
        <v>-105.109101362838</v>
      </c>
      <c r="J2155" t="s">
        <v>35</v>
      </c>
      <c r="K2155" t="s">
        <v>796</v>
      </c>
      <c r="L2155"/>
      <c r="M2155" t="n">
        <v>1983</v>
      </c>
      <c r="N2155" t="n">
        <v>1992</v>
      </c>
      <c r="O2155" t="s">
        <v>2061</v>
      </c>
      <c r="P2155" t="n">
        <v>4</v>
      </c>
      <c r="Q2155" t="n">
        <v>5</v>
      </c>
      <c r="R2155" t="n">
        <v>4</v>
      </c>
      <c r="S2155" t="n">
        <v>1974</v>
      </c>
      <c r="T2155" t="s">
        <v>14085</v>
      </c>
      <c r="U2155" t="s">
        <v>14086</v>
      </c>
      <c r="V2155" t="s">
        <v>74</v>
      </c>
      <c r="W2155"/>
      <c r="X2155"/>
      <c r="Y2155" t="s">
        <v>14087</v>
      </c>
      <c r="Z2155"/>
      <c r="AA2155" t="s">
        <v>14088</v>
      </c>
      <c r="AB2155"/>
      <c r="AC2155"/>
      <c r="AD2155"/>
      <c r="AE2155"/>
      <c r="AF2155" t="s">
        <v>14089</v>
      </c>
      <c r="AG2155" t="n">
        <v>4</v>
      </c>
    </row>
    <row r="2156">
      <c r="A2156" t="s">
        <v>14090</v>
      </c>
      <c r="B2156" t="s">
        <v>28</v>
      </c>
      <c r="C2156" t="s">
        <v>65</v>
      </c>
      <c r="D2156" t="s">
        <v>14091</v>
      </c>
      <c r="E2156" t="s">
        <v>738</v>
      </c>
      <c r="F2156" t="s">
        <v>724</v>
      </c>
      <c r="G2156" t="s">
        <v>739</v>
      </c>
      <c r="H2156" t="n">
        <v>40.1493025394547</v>
      </c>
      <c r="I2156" t="n">
        <v>-105.121455498978</v>
      </c>
      <c r="J2156" t="s">
        <v>35</v>
      </c>
      <c r="K2156" t="s">
        <v>120</v>
      </c>
      <c r="L2156" t="s">
        <v>202</v>
      </c>
      <c r="M2156" t="n">
        <v>1983</v>
      </c>
      <c r="N2156" t="n">
        <v>1983</v>
      </c>
      <c r="O2156" t="s">
        <v>264</v>
      </c>
      <c r="P2156" t="n">
        <v>1</v>
      </c>
      <c r="Q2156" t="n">
        <v>1</v>
      </c>
      <c r="R2156" t="n">
        <v>1</v>
      </c>
      <c r="S2156" t="n">
        <v>1978</v>
      </c>
      <c r="T2156" t="s">
        <v>14092</v>
      </c>
      <c r="U2156" t="s">
        <v>14093</v>
      </c>
      <c r="V2156" t="s">
        <v>74</v>
      </c>
      <c r="W2156"/>
      <c r="X2156"/>
      <c r="Y2156" t="s">
        <v>14094</v>
      </c>
      <c r="Z2156"/>
      <c r="AA2156"/>
      <c r="AB2156" t="s">
        <v>6403</v>
      </c>
      <c r="AC2156" t="n">
        <v>108</v>
      </c>
      <c r="AD2156" t="s">
        <v>6404</v>
      </c>
      <c r="AE2156" t="n">
        <v>219</v>
      </c>
      <c r="AF2156" t="s">
        <v>14095</v>
      </c>
      <c r="AG2156" t="n">
        <v>63</v>
      </c>
    </row>
    <row r="2157">
      <c r="A2157" t="s">
        <v>14096</v>
      </c>
      <c r="B2157" t="s">
        <v>28</v>
      </c>
      <c r="C2157" t="s">
        <v>65</v>
      </c>
      <c r="D2157" t="s">
        <v>14097</v>
      </c>
      <c r="E2157" t="s">
        <v>738</v>
      </c>
      <c r="F2157" t="s">
        <v>724</v>
      </c>
      <c r="G2157" t="s">
        <v>739</v>
      </c>
      <c r="H2157" t="n">
        <v>40.1531315408163</v>
      </c>
      <c r="I2157" t="n">
        <v>-105.112722357143</v>
      </c>
      <c r="J2157" t="s">
        <v>35</v>
      </c>
      <c r="K2157" t="s">
        <v>141</v>
      </c>
      <c r="L2157" t="s">
        <v>554</v>
      </c>
      <c r="M2157" t="n">
        <v>1983</v>
      </c>
      <c r="N2157" t="n">
        <v>1990</v>
      </c>
      <c r="O2157" t="s">
        <v>271</v>
      </c>
      <c r="P2157" t="n">
        <v>3</v>
      </c>
      <c r="Q2157" t="n">
        <v>3</v>
      </c>
      <c r="R2157" t="n">
        <v>3</v>
      </c>
      <c r="S2157" t="n">
        <v>1964</v>
      </c>
      <c r="T2157" t="s">
        <v>14098</v>
      </c>
      <c r="U2157" t="s">
        <v>14099</v>
      </c>
      <c r="V2157" t="s">
        <v>74</v>
      </c>
      <c r="W2157"/>
      <c r="X2157"/>
      <c r="Y2157" t="s">
        <v>14100</v>
      </c>
      <c r="Z2157"/>
      <c r="AA2157"/>
      <c r="AB2157" t="s">
        <v>6439</v>
      </c>
      <c r="AC2157" t="n">
        <v>99</v>
      </c>
      <c r="AD2157"/>
      <c r="AE2157"/>
      <c r="AF2157" t="s">
        <v>14101</v>
      </c>
      <c r="AG2157" t="n">
        <v>2</v>
      </c>
    </row>
    <row r="2158">
      <c r="A2158" t="s">
        <v>14102</v>
      </c>
      <c r="B2158" t="s">
        <v>28</v>
      </c>
      <c r="C2158" t="s">
        <v>24</v>
      </c>
      <c r="D2158" t="s">
        <v>14103</v>
      </c>
      <c r="E2158" t="s">
        <v>738</v>
      </c>
      <c r="F2158" t="s">
        <v>724</v>
      </c>
      <c r="G2158" t="s">
        <v>739</v>
      </c>
      <c r="H2158" t="n">
        <v>40.1588386766157</v>
      </c>
      <c r="I2158" t="n">
        <v>-105.055324088129</v>
      </c>
      <c r="J2158" t="s">
        <v>4109</v>
      </c>
      <c r="K2158" t="s">
        <v>1282</v>
      </c>
      <c r="L2158"/>
      <c r="M2158" t="n">
        <v>1983</v>
      </c>
      <c r="N2158" t="n">
        <v>1983</v>
      </c>
      <c r="O2158" t="s">
        <v>264</v>
      </c>
      <c r="P2158" t="n">
        <v>1</v>
      </c>
      <c r="Q2158" t="n">
        <v>1</v>
      </c>
      <c r="R2158" t="n">
        <v>1</v>
      </c>
      <c r="S2158" t="n">
        <v>1976</v>
      </c>
      <c r="T2158" t="s">
        <v>14104</v>
      </c>
      <c r="U2158" t="s">
        <v>14105</v>
      </c>
      <c r="V2158" t="s">
        <v>74</v>
      </c>
      <c r="W2158"/>
      <c r="X2158"/>
      <c r="Y2158" t="s">
        <v>14106</v>
      </c>
      <c r="Z2158"/>
      <c r="AA2158" t="s">
        <v>14107</v>
      </c>
      <c r="AB2158"/>
      <c r="AC2158"/>
      <c r="AD2158"/>
      <c r="AE2158"/>
      <c r="AF2158" t="s">
        <v>14108</v>
      </c>
      <c r="AG2158" t="n">
        <v>150</v>
      </c>
    </row>
    <row r="2159">
      <c r="A2159" t="s">
        <v>14109</v>
      </c>
      <c r="B2159" t="s">
        <v>28</v>
      </c>
      <c r="C2159" t="s">
        <v>65</v>
      </c>
      <c r="D2159" t="s">
        <v>14110</v>
      </c>
      <c r="E2159" t="s">
        <v>738</v>
      </c>
      <c r="F2159" t="s">
        <v>724</v>
      </c>
      <c r="G2159" t="s">
        <v>739</v>
      </c>
      <c r="H2159" t="n">
        <v>40.1550321172653</v>
      </c>
      <c r="I2159" t="n">
        <v>-105.110477583259</v>
      </c>
      <c r="J2159" t="s">
        <v>35</v>
      </c>
      <c r="K2159" t="s">
        <v>141</v>
      </c>
      <c r="L2159" t="s">
        <v>202</v>
      </c>
      <c r="M2159" t="n">
        <v>1983</v>
      </c>
      <c r="N2159" t="n">
        <v>1992</v>
      </c>
      <c r="O2159" t="s">
        <v>271</v>
      </c>
      <c r="P2159" t="n">
        <v>4</v>
      </c>
      <c r="Q2159" t="n">
        <v>8</v>
      </c>
      <c r="R2159" t="n">
        <v>6</v>
      </c>
      <c r="S2159" t="n">
        <v>1969</v>
      </c>
      <c r="T2159" t="s">
        <v>14111</v>
      </c>
      <c r="U2159" t="s">
        <v>14112</v>
      </c>
      <c r="V2159" t="s">
        <v>74</v>
      </c>
      <c r="W2159"/>
      <c r="X2159"/>
      <c r="Y2159" t="s">
        <v>14113</v>
      </c>
      <c r="Z2159"/>
      <c r="AA2159"/>
      <c r="AB2159"/>
      <c r="AC2159"/>
      <c r="AD2159" t="s">
        <v>1156</v>
      </c>
      <c r="AE2159" t="n">
        <v>210</v>
      </c>
      <c r="AF2159" t="s">
        <v>1157</v>
      </c>
      <c r="AG2159" t="n">
        <v>5</v>
      </c>
    </row>
    <row r="2160">
      <c r="A2160" t="s">
        <v>14114</v>
      </c>
      <c r="B2160" t="s">
        <v>28</v>
      </c>
      <c r="C2160" t="s">
        <v>24</v>
      </c>
      <c r="D2160" t="s">
        <v>14115</v>
      </c>
      <c r="E2160" t="s">
        <v>723</v>
      </c>
      <c r="F2160" t="s">
        <v>724</v>
      </c>
      <c r="G2160" t="s">
        <v>725</v>
      </c>
      <c r="H2160" t="n">
        <v>40.0212961428571</v>
      </c>
      <c r="I2160" t="n">
        <v>-105.273929857143</v>
      </c>
      <c r="J2160" t="s">
        <v>4109</v>
      </c>
      <c r="K2160" t="s">
        <v>120</v>
      </c>
      <c r="L2160"/>
      <c r="M2160" t="n">
        <v>1988</v>
      </c>
      <c r="N2160" t="n">
        <v>1988</v>
      </c>
      <c r="O2160" t="s">
        <v>325</v>
      </c>
      <c r="P2160" t="n">
        <v>1</v>
      </c>
      <c r="Q2160" t="n">
        <v>1</v>
      </c>
      <c r="R2160" t="n">
        <v>1</v>
      </c>
      <c r="S2160" t="n">
        <v>1987</v>
      </c>
      <c r="T2160" t="s">
        <v>14116</v>
      </c>
      <c r="U2160" t="s">
        <v>14117</v>
      </c>
      <c r="V2160" t="s">
        <v>74</v>
      </c>
      <c r="W2160"/>
      <c r="X2160"/>
      <c r="Y2160" t="s">
        <v>14118</v>
      </c>
      <c r="Z2160"/>
      <c r="AA2160" t="s">
        <v>14119</v>
      </c>
      <c r="AB2160"/>
      <c r="AC2160"/>
      <c r="AD2160"/>
      <c r="AE2160"/>
      <c r="AF2160" t="s">
        <v>14120</v>
      </c>
      <c r="AG2160" t="n">
        <v>240</v>
      </c>
    </row>
    <row r="2161">
      <c r="A2161" t="s">
        <v>14121</v>
      </c>
      <c r="B2161" t="s">
        <v>28</v>
      </c>
      <c r="C2161" t="s">
        <v>24</v>
      </c>
      <c r="D2161" t="s">
        <v>14122</v>
      </c>
      <c r="E2161" t="s">
        <v>723</v>
      </c>
      <c r="F2161" t="s">
        <v>724</v>
      </c>
      <c r="G2161" t="s">
        <v>863</v>
      </c>
      <c r="H2161" t="n">
        <v>40.0000559103537</v>
      </c>
      <c r="I2161" t="n">
        <v>-105.25318528849</v>
      </c>
      <c r="J2161" t="s">
        <v>4109</v>
      </c>
      <c r="K2161" t="s">
        <v>120</v>
      </c>
      <c r="L2161"/>
      <c r="M2161" t="n">
        <v>1988</v>
      </c>
      <c r="N2161" t="n">
        <v>1988</v>
      </c>
      <c r="O2161" t="s">
        <v>325</v>
      </c>
      <c r="P2161" t="n">
        <v>1</v>
      </c>
      <c r="Q2161" t="n">
        <v>1</v>
      </c>
      <c r="R2161" t="n">
        <v>1</v>
      </c>
      <c r="S2161" t="n">
        <v>1984</v>
      </c>
      <c r="T2161" t="s">
        <v>14123</v>
      </c>
      <c r="U2161" t="s">
        <v>14124</v>
      </c>
      <c r="V2161" t="s">
        <v>74</v>
      </c>
      <c r="W2161"/>
      <c r="X2161"/>
      <c r="Y2161" t="s">
        <v>14125</v>
      </c>
      <c r="Z2161"/>
      <c r="AA2161" t="s">
        <v>14126</v>
      </c>
      <c r="AB2161"/>
      <c r="AC2161"/>
      <c r="AD2161"/>
      <c r="AE2161"/>
      <c r="AF2161" t="s">
        <v>14127</v>
      </c>
      <c r="AG2161" t="n">
        <v>24</v>
      </c>
    </row>
    <row r="2162">
      <c r="A2162" t="s">
        <v>14128</v>
      </c>
      <c r="B2162" t="s">
        <v>28</v>
      </c>
      <c r="C2162" t="s">
        <v>65</v>
      </c>
      <c r="D2162" t="s">
        <v>14129</v>
      </c>
      <c r="E2162" t="s">
        <v>723</v>
      </c>
      <c r="F2162" t="s">
        <v>724</v>
      </c>
      <c r="G2162" t="s">
        <v>863</v>
      </c>
      <c r="H2162" t="n">
        <v>40.0147374791968</v>
      </c>
      <c r="I2162" t="n">
        <v>-105.197598248245</v>
      </c>
      <c r="J2162" t="s">
        <v>35</v>
      </c>
      <c r="K2162" t="s">
        <v>141</v>
      </c>
      <c r="L2162"/>
      <c r="M2162" t="n">
        <v>1988</v>
      </c>
      <c r="N2162" t="n">
        <v>1992</v>
      </c>
      <c r="O2162" t="s">
        <v>320</v>
      </c>
      <c r="P2162" t="n">
        <v>3</v>
      </c>
      <c r="Q2162" t="n">
        <v>2</v>
      </c>
      <c r="R2162" t="n">
        <v>2</v>
      </c>
      <c r="S2162" t="n">
        <v>1974</v>
      </c>
      <c r="T2162" t="s">
        <v>14130</v>
      </c>
      <c r="U2162" t="s">
        <v>14131</v>
      </c>
      <c r="V2162" t="s">
        <v>74</v>
      </c>
      <c r="W2162"/>
      <c r="X2162"/>
      <c r="Y2162" t="s">
        <v>14132</v>
      </c>
      <c r="Z2162"/>
      <c r="AA2162"/>
      <c r="AB2162"/>
      <c r="AC2162"/>
      <c r="AD2162"/>
      <c r="AE2162"/>
      <c r="AF2162" t="s">
        <v>991</v>
      </c>
      <c r="AG2162" t="n">
        <v>23</v>
      </c>
    </row>
    <row r="2163">
      <c r="A2163" t="s">
        <v>14133</v>
      </c>
      <c r="B2163" t="s">
        <v>28</v>
      </c>
      <c r="C2163" t="s">
        <v>65</v>
      </c>
      <c r="D2163" t="s">
        <v>14134</v>
      </c>
      <c r="E2163" t="s">
        <v>723</v>
      </c>
      <c r="F2163" t="s">
        <v>724</v>
      </c>
      <c r="G2163"/>
      <c r="H2163" t="n">
        <v>40.0291752047901</v>
      </c>
      <c r="I2163" t="n">
        <v>-105.254420825827</v>
      </c>
      <c r="J2163" t="s">
        <v>35</v>
      </c>
      <c r="K2163" t="s">
        <v>120</v>
      </c>
      <c r="L2163"/>
      <c r="M2163" t="n">
        <v>1988</v>
      </c>
      <c r="N2163" t="n">
        <v>1992</v>
      </c>
      <c r="O2163" t="s">
        <v>325</v>
      </c>
      <c r="P2163" t="n">
        <v>2</v>
      </c>
      <c r="Q2163" t="n">
        <v>2</v>
      </c>
      <c r="R2163" t="n">
        <v>1</v>
      </c>
      <c r="S2163" t="n">
        <v>1976</v>
      </c>
      <c r="T2163" t="s">
        <v>14135</v>
      </c>
      <c r="U2163" t="s">
        <v>14136</v>
      </c>
      <c r="V2163" t="s">
        <v>74</v>
      </c>
      <c r="W2163"/>
      <c r="X2163"/>
      <c r="Y2163" t="s">
        <v>14137</v>
      </c>
      <c r="Z2163"/>
      <c r="AA2163"/>
      <c r="AB2163" t="s">
        <v>853</v>
      </c>
      <c r="AC2163" t="n">
        <v>221</v>
      </c>
      <c r="AD2163"/>
      <c r="AE2163"/>
      <c r="AF2163" t="s">
        <v>12137</v>
      </c>
      <c r="AG2163" t="n">
        <v>3</v>
      </c>
    </row>
    <row r="2164">
      <c r="A2164" t="s">
        <v>14138</v>
      </c>
      <c r="B2164" t="s">
        <v>28</v>
      </c>
      <c r="C2164" t="s">
        <v>65</v>
      </c>
      <c r="D2164" t="s">
        <v>14139</v>
      </c>
      <c r="E2164" t="s">
        <v>723</v>
      </c>
      <c r="F2164" t="s">
        <v>724</v>
      </c>
      <c r="G2164" t="s">
        <v>863</v>
      </c>
      <c r="H2164" t="n">
        <v>39.9979195430693</v>
      </c>
      <c r="I2164" t="n">
        <v>-105.236511569713</v>
      </c>
      <c r="J2164" t="s">
        <v>35</v>
      </c>
      <c r="K2164" t="s">
        <v>89</v>
      </c>
      <c r="L2164"/>
      <c r="M2164" t="n">
        <v>1988</v>
      </c>
      <c r="N2164" t="n">
        <v>1988</v>
      </c>
      <c r="O2164" t="s">
        <v>325</v>
      </c>
      <c r="P2164" t="n">
        <v>1</v>
      </c>
      <c r="Q2164" t="n">
        <v>1</v>
      </c>
      <c r="R2164" t="n">
        <v>1</v>
      </c>
      <c r="S2164" t="n">
        <v>1985</v>
      </c>
      <c r="T2164" t="s">
        <v>14140</v>
      </c>
      <c r="U2164" t="s">
        <v>14141</v>
      </c>
      <c r="V2164" t="s">
        <v>74</v>
      </c>
      <c r="W2164"/>
      <c r="X2164"/>
      <c r="Y2164" t="s">
        <v>14142</v>
      </c>
      <c r="Z2164"/>
      <c r="AA2164"/>
      <c r="AB2164"/>
      <c r="AC2164"/>
      <c r="AD2164"/>
      <c r="AE2164"/>
      <c r="AF2164" t="s">
        <v>14143</v>
      </c>
      <c r="AG2164" t="n">
        <v>18</v>
      </c>
    </row>
    <row r="2165">
      <c r="A2165" t="s">
        <v>14144</v>
      </c>
      <c r="B2165" t="s">
        <v>28</v>
      </c>
      <c r="C2165" t="s">
        <v>65</v>
      </c>
      <c r="D2165" t="s">
        <v>14145</v>
      </c>
      <c r="E2165" t="s">
        <v>723</v>
      </c>
      <c r="F2165" t="s">
        <v>724</v>
      </c>
      <c r="G2165" t="s">
        <v>817</v>
      </c>
      <c r="H2165" t="n">
        <v>40.0642312864009</v>
      </c>
      <c r="I2165" t="n">
        <v>-105.210246460844</v>
      </c>
      <c r="J2165" t="s">
        <v>35</v>
      </c>
      <c r="K2165" t="s">
        <v>270</v>
      </c>
      <c r="L2165" t="s">
        <v>202</v>
      </c>
      <c r="M2165" t="n">
        <v>1988</v>
      </c>
      <c r="N2165" t="n">
        <v>1992</v>
      </c>
      <c r="O2165" t="s">
        <v>320</v>
      </c>
      <c r="P2165" t="n">
        <v>3</v>
      </c>
      <c r="Q2165" t="n">
        <v>3</v>
      </c>
      <c r="R2165" t="n">
        <v>3</v>
      </c>
      <c r="S2165" t="n">
        <v>1977</v>
      </c>
      <c r="T2165" t="s">
        <v>14146</v>
      </c>
      <c r="U2165" t="s">
        <v>14147</v>
      </c>
      <c r="V2165" t="s">
        <v>74</v>
      </c>
      <c r="W2165"/>
      <c r="X2165"/>
      <c r="Y2165" t="s">
        <v>14148</v>
      </c>
      <c r="Z2165"/>
      <c r="AA2165"/>
      <c r="AB2165"/>
      <c r="AC2165"/>
      <c r="AD2165"/>
      <c r="AE2165"/>
      <c r="AF2165" t="s">
        <v>14149</v>
      </c>
      <c r="AG2165" t="n">
        <v>25</v>
      </c>
    </row>
    <row r="2166">
      <c r="A2166" t="s">
        <v>14150</v>
      </c>
      <c r="B2166" t="s">
        <v>28</v>
      </c>
      <c r="C2166" t="s">
        <v>65</v>
      </c>
      <c r="D2166" t="s">
        <v>14151</v>
      </c>
      <c r="E2166" t="s">
        <v>723</v>
      </c>
      <c r="F2166" t="s">
        <v>724</v>
      </c>
      <c r="G2166" t="s">
        <v>817</v>
      </c>
      <c r="H2166" t="n">
        <v>40.0687688875607</v>
      </c>
      <c r="I2166" t="n">
        <v>-105.209804535939</v>
      </c>
      <c r="J2166" t="s">
        <v>35</v>
      </c>
      <c r="K2166" t="s">
        <v>120</v>
      </c>
      <c r="L2166"/>
      <c r="M2166" t="n">
        <v>1988</v>
      </c>
      <c r="N2166" t="n">
        <v>1992</v>
      </c>
      <c r="O2166" t="s">
        <v>320</v>
      </c>
      <c r="P2166" t="n">
        <v>3</v>
      </c>
      <c r="Q2166" t="n">
        <v>2</v>
      </c>
      <c r="R2166" t="n">
        <v>2</v>
      </c>
      <c r="S2166" t="n">
        <v>1968</v>
      </c>
      <c r="T2166" t="s">
        <v>14152</v>
      </c>
      <c r="U2166" t="s">
        <v>14153</v>
      </c>
      <c r="V2166" t="s">
        <v>74</v>
      </c>
      <c r="W2166"/>
      <c r="X2166"/>
      <c r="Y2166" t="s">
        <v>14154</v>
      </c>
      <c r="Z2166"/>
      <c r="AA2166"/>
      <c r="AB2166"/>
      <c r="AC2166"/>
      <c r="AD2166"/>
      <c r="AE2166"/>
      <c r="AF2166" t="s">
        <v>6327</v>
      </c>
      <c r="AG2166" t="n">
        <v>17</v>
      </c>
    </row>
    <row r="2167">
      <c r="A2167" t="s">
        <v>14155</v>
      </c>
      <c r="B2167" t="s">
        <v>28</v>
      </c>
      <c r="C2167" t="s">
        <v>65</v>
      </c>
      <c r="D2167" t="s">
        <v>14156</v>
      </c>
      <c r="E2167" t="s">
        <v>723</v>
      </c>
      <c r="F2167" t="s">
        <v>724</v>
      </c>
      <c r="G2167" t="s">
        <v>817</v>
      </c>
      <c r="H2167" t="n">
        <v>40.0147067827047</v>
      </c>
      <c r="I2167" t="n">
        <v>-105.21930588371</v>
      </c>
      <c r="J2167" t="s">
        <v>35</v>
      </c>
      <c r="K2167" t="s">
        <v>1282</v>
      </c>
      <c r="L2167"/>
      <c r="M2167" t="n">
        <v>1988</v>
      </c>
      <c r="N2167" t="n">
        <v>1992</v>
      </c>
      <c r="O2167" t="s">
        <v>357</v>
      </c>
      <c r="P2167" t="n">
        <v>3</v>
      </c>
      <c r="Q2167" t="n">
        <v>7</v>
      </c>
      <c r="R2167" t="n">
        <v>3</v>
      </c>
      <c r="S2167" t="n">
        <v>1962</v>
      </c>
      <c r="T2167" t="s">
        <v>14157</v>
      </c>
      <c r="U2167" t="s">
        <v>14158</v>
      </c>
      <c r="V2167" t="s">
        <v>74</v>
      </c>
      <c r="W2167"/>
      <c r="X2167"/>
      <c r="Y2167" t="s">
        <v>14159</v>
      </c>
      <c r="Z2167"/>
      <c r="AA2167" t="s">
        <v>14160</v>
      </c>
      <c r="AB2167"/>
      <c r="AC2167"/>
      <c r="AD2167"/>
      <c r="AE2167"/>
      <c r="AF2167" t="s">
        <v>14161</v>
      </c>
      <c r="AG2167" t="n">
        <v>2</v>
      </c>
    </row>
    <row r="2168">
      <c r="A2168" t="s">
        <v>14162</v>
      </c>
      <c r="B2168" t="s">
        <v>28</v>
      </c>
      <c r="C2168" t="s">
        <v>24</v>
      </c>
      <c r="D2168" t="s">
        <v>14163</v>
      </c>
      <c r="E2168" t="s">
        <v>738</v>
      </c>
      <c r="F2168" t="s">
        <v>724</v>
      </c>
      <c r="G2168" t="s">
        <v>739</v>
      </c>
      <c r="H2168" t="n">
        <v>40.15229</v>
      </c>
      <c r="I2168" t="n">
        <v>-105.115557</v>
      </c>
      <c r="J2168" t="s">
        <v>4109</v>
      </c>
      <c r="K2168" t="s">
        <v>120</v>
      </c>
      <c r="L2168"/>
      <c r="M2168" t="n">
        <v>1988</v>
      </c>
      <c r="N2168" t="n">
        <v>1988</v>
      </c>
      <c r="O2168" t="s">
        <v>325</v>
      </c>
      <c r="P2168" t="n">
        <v>1</v>
      </c>
      <c r="Q2168" t="n">
        <v>1</v>
      </c>
      <c r="R2168" t="n">
        <v>1</v>
      </c>
      <c r="S2168" t="n">
        <v>1980</v>
      </c>
      <c r="T2168" t="s">
        <v>14164</v>
      </c>
      <c r="U2168" t="s">
        <v>14165</v>
      </c>
      <c r="V2168" t="s">
        <v>74</v>
      </c>
      <c r="W2168"/>
      <c r="X2168"/>
      <c r="Y2168" t="s">
        <v>14166</v>
      </c>
      <c r="Z2168"/>
      <c r="AA2168" t="s">
        <v>14167</v>
      </c>
      <c r="AB2168"/>
      <c r="AC2168"/>
      <c r="AD2168"/>
      <c r="AE2168"/>
      <c r="AF2168" t="s">
        <v>14168</v>
      </c>
      <c r="AG2168" t="n">
        <v>39</v>
      </c>
    </row>
    <row r="2169">
      <c r="A2169" t="s">
        <v>14169</v>
      </c>
      <c r="B2169" t="s">
        <v>28</v>
      </c>
      <c r="C2169" t="s">
        <v>65</v>
      </c>
      <c r="D2169" t="s">
        <v>14170</v>
      </c>
      <c r="E2169" t="s">
        <v>738</v>
      </c>
      <c r="F2169" t="s">
        <v>724</v>
      </c>
      <c r="G2169" t="s">
        <v>739</v>
      </c>
      <c r="H2169" t="n">
        <v>40.1486203469388</v>
      </c>
      <c r="I2169" t="n">
        <v>-105.115562244898</v>
      </c>
      <c r="J2169" t="s">
        <v>35</v>
      </c>
      <c r="K2169" t="s">
        <v>527</v>
      </c>
      <c r="L2169" t="s">
        <v>202</v>
      </c>
      <c r="M2169" t="n">
        <v>1988</v>
      </c>
      <c r="N2169" t="n">
        <v>1988</v>
      </c>
      <c r="O2169" t="s">
        <v>325</v>
      </c>
      <c r="P2169" t="n">
        <v>1</v>
      </c>
      <c r="Q2169" t="n">
        <v>2</v>
      </c>
      <c r="R2169" t="n">
        <v>2</v>
      </c>
      <c r="S2169" t="n">
        <v>1976</v>
      </c>
      <c r="T2169" t="s">
        <v>14171</v>
      </c>
      <c r="U2169" t="s">
        <v>14172</v>
      </c>
      <c r="V2169" t="s">
        <v>74</v>
      </c>
      <c r="W2169"/>
      <c r="X2169"/>
      <c r="Y2169" t="s">
        <v>14173</v>
      </c>
      <c r="Z2169"/>
      <c r="AA2169" t="s">
        <v>14174</v>
      </c>
      <c r="AB2169"/>
      <c r="AC2169"/>
      <c r="AD2169" t="s">
        <v>14175</v>
      </c>
      <c r="AE2169" t="n">
        <v>142</v>
      </c>
      <c r="AF2169" t="s">
        <v>14176</v>
      </c>
      <c r="AG2169" t="n">
        <v>79</v>
      </c>
    </row>
    <row r="2170">
      <c r="A2170" t="s">
        <v>14177</v>
      </c>
      <c r="B2170" t="s">
        <v>28</v>
      </c>
      <c r="C2170" t="s">
        <v>65</v>
      </c>
      <c r="D2170" t="s">
        <v>14178</v>
      </c>
      <c r="E2170" t="s">
        <v>738</v>
      </c>
      <c r="F2170" t="s">
        <v>724</v>
      </c>
      <c r="G2170" t="s">
        <v>739</v>
      </c>
      <c r="H2170" t="n">
        <v>40.2097448675629</v>
      </c>
      <c r="I2170" t="n">
        <v>-104.974455</v>
      </c>
      <c r="J2170" t="s">
        <v>35</v>
      </c>
      <c r="K2170" t="s">
        <v>120</v>
      </c>
      <c r="L2170"/>
      <c r="M2170" t="n">
        <v>1988</v>
      </c>
      <c r="N2170" t="n">
        <v>1990</v>
      </c>
      <c r="O2170" t="s">
        <v>310</v>
      </c>
      <c r="P2170" t="n">
        <v>2</v>
      </c>
      <c r="Q2170" t="n">
        <v>1</v>
      </c>
      <c r="R2170" t="n">
        <v>1</v>
      </c>
      <c r="S2170" t="n">
        <v>1979</v>
      </c>
      <c r="T2170" t="s">
        <v>14179</v>
      </c>
      <c r="U2170" t="s">
        <v>14180</v>
      </c>
      <c r="V2170" t="s">
        <v>74</v>
      </c>
      <c r="W2170"/>
      <c r="X2170"/>
      <c r="Y2170" t="s">
        <v>14181</v>
      </c>
      <c r="Z2170"/>
      <c r="AA2170" t="s">
        <v>14182</v>
      </c>
      <c r="AB2170"/>
      <c r="AC2170"/>
      <c r="AD2170"/>
      <c r="AE2170"/>
      <c r="AF2170" t="s">
        <v>14183</v>
      </c>
      <c r="AG2170" t="n">
        <v>33</v>
      </c>
    </row>
    <row r="2171">
      <c r="A2171" t="s">
        <v>14184</v>
      </c>
      <c r="B2171" t="s">
        <v>28</v>
      </c>
      <c r="C2171" t="s">
        <v>65</v>
      </c>
      <c r="D2171" t="s">
        <v>14185</v>
      </c>
      <c r="E2171" t="s">
        <v>738</v>
      </c>
      <c r="F2171" t="s">
        <v>724</v>
      </c>
      <c r="G2171" t="s">
        <v>14186</v>
      </c>
      <c r="H2171" t="n">
        <v>40.1559538174545</v>
      </c>
      <c r="I2171" t="n">
        <v>-105.109415557775</v>
      </c>
      <c r="J2171" t="s">
        <v>35</v>
      </c>
      <c r="K2171" t="s">
        <v>527</v>
      </c>
      <c r="L2171" t="s">
        <v>1310</v>
      </c>
      <c r="M2171" t="n">
        <v>1988</v>
      </c>
      <c r="N2171" t="n">
        <v>1992</v>
      </c>
      <c r="O2171" t="s">
        <v>320</v>
      </c>
      <c r="P2171" t="n">
        <v>3</v>
      </c>
      <c r="Q2171" t="n">
        <v>4</v>
      </c>
      <c r="R2171" t="n">
        <v>4</v>
      </c>
      <c r="S2171" t="n">
        <v>1969</v>
      </c>
      <c r="T2171" t="s">
        <v>14187</v>
      </c>
      <c r="U2171" t="s">
        <v>14188</v>
      </c>
      <c r="V2171" t="s">
        <v>74</v>
      </c>
      <c r="W2171"/>
      <c r="X2171"/>
      <c r="Y2171" t="s">
        <v>14189</v>
      </c>
      <c r="Z2171"/>
      <c r="AA2171"/>
      <c r="AB2171"/>
      <c r="AC2171"/>
      <c r="AD2171" t="s">
        <v>1156</v>
      </c>
      <c r="AE2171" t="n">
        <v>197</v>
      </c>
      <c r="AF2171" t="s">
        <v>14190</v>
      </c>
      <c r="AG2171" t="n">
        <v>98</v>
      </c>
    </row>
    <row r="2172">
      <c r="A2172" t="s">
        <v>14191</v>
      </c>
      <c r="B2172" t="s">
        <v>28</v>
      </c>
      <c r="C2172" t="s">
        <v>65</v>
      </c>
      <c r="D2172" t="s">
        <v>14192</v>
      </c>
      <c r="E2172" t="s">
        <v>723</v>
      </c>
      <c r="F2172" t="s">
        <v>724</v>
      </c>
      <c r="G2172" t="s">
        <v>817</v>
      </c>
      <c r="H2172" t="n">
        <v>40.0169296348684</v>
      </c>
      <c r="I2172" t="n">
        <v>-105.243789020213</v>
      </c>
      <c r="J2172" t="s">
        <v>35</v>
      </c>
      <c r="K2172" t="s">
        <v>133</v>
      </c>
      <c r="L2172"/>
      <c r="M2172" t="n">
        <v>1990</v>
      </c>
      <c r="N2172" t="n">
        <v>1992</v>
      </c>
      <c r="O2172" t="s">
        <v>1016</v>
      </c>
      <c r="P2172" t="n">
        <v>2</v>
      </c>
      <c r="Q2172" t="n">
        <v>1</v>
      </c>
      <c r="R2172" t="n">
        <v>1</v>
      </c>
      <c r="S2172" t="n">
        <v>1985</v>
      </c>
      <c r="T2172" t="s">
        <v>14193</v>
      </c>
      <c r="U2172" t="s">
        <v>14194</v>
      </c>
      <c r="V2172" t="s">
        <v>74</v>
      </c>
      <c r="W2172"/>
      <c r="X2172"/>
      <c r="Y2172" t="s">
        <v>14195</v>
      </c>
      <c r="Z2172"/>
      <c r="AA2172" t="s">
        <v>14196</v>
      </c>
      <c r="AB2172"/>
      <c r="AC2172"/>
      <c r="AD2172"/>
      <c r="AE2172"/>
      <c r="AF2172" t="s">
        <v>14197</v>
      </c>
      <c r="AG2172" t="n">
        <v>1</v>
      </c>
    </row>
    <row r="2173">
      <c r="A2173" t="s">
        <v>14198</v>
      </c>
      <c r="B2173" t="s">
        <v>28</v>
      </c>
      <c r="C2173" t="s">
        <v>24</v>
      </c>
      <c r="D2173" t="s">
        <v>14199</v>
      </c>
      <c r="E2173" t="s">
        <v>723</v>
      </c>
      <c r="F2173" t="s">
        <v>724</v>
      </c>
      <c r="G2173" t="s">
        <v>14200</v>
      </c>
      <c r="H2173" t="n">
        <v>40.0623785217851</v>
      </c>
      <c r="I2173" t="n">
        <v>-105.282120226545</v>
      </c>
      <c r="J2173" t="s">
        <v>4109</v>
      </c>
      <c r="K2173" t="s">
        <v>120</v>
      </c>
      <c r="L2173"/>
      <c r="M2173" t="n">
        <v>1990</v>
      </c>
      <c r="N2173" t="n">
        <v>1990</v>
      </c>
      <c r="O2173" t="s">
        <v>351</v>
      </c>
      <c r="P2173" t="n">
        <v>1</v>
      </c>
      <c r="Q2173" t="n">
        <v>1</v>
      </c>
      <c r="R2173" t="n">
        <v>1</v>
      </c>
      <c r="S2173" t="n">
        <v>1979</v>
      </c>
      <c r="T2173" t="s">
        <v>14201</v>
      </c>
      <c r="U2173" t="s">
        <v>14202</v>
      </c>
      <c r="V2173" t="s">
        <v>74</v>
      </c>
      <c r="W2173"/>
      <c r="X2173"/>
      <c r="Y2173" t="s">
        <v>14203</v>
      </c>
      <c r="Z2173"/>
      <c r="AA2173" t="s">
        <v>14204</v>
      </c>
      <c r="AB2173"/>
      <c r="AC2173"/>
      <c r="AD2173"/>
      <c r="AE2173"/>
      <c r="AF2173" t="s">
        <v>14205</v>
      </c>
      <c r="AG2173" t="n">
        <v>58</v>
      </c>
    </row>
    <row r="2174">
      <c r="A2174" t="s">
        <v>14206</v>
      </c>
      <c r="B2174" t="s">
        <v>28</v>
      </c>
      <c r="C2174" t="s">
        <v>65</v>
      </c>
      <c r="D2174" t="s">
        <v>14207</v>
      </c>
      <c r="E2174" t="s">
        <v>723</v>
      </c>
      <c r="F2174" t="s">
        <v>724</v>
      </c>
      <c r="G2174" t="s">
        <v>817</v>
      </c>
      <c r="H2174" t="n">
        <v>40.06782</v>
      </c>
      <c r="I2174" t="n">
        <v>-105.21085</v>
      </c>
      <c r="J2174" t="s">
        <v>35</v>
      </c>
      <c r="K2174" t="s">
        <v>120</v>
      </c>
      <c r="L2174" t="s">
        <v>202</v>
      </c>
      <c r="M2174" t="n">
        <v>1990</v>
      </c>
      <c r="N2174" t="n">
        <v>1990</v>
      </c>
      <c r="O2174" t="s">
        <v>351</v>
      </c>
      <c r="P2174" t="n">
        <v>1</v>
      </c>
      <c r="Q2174" t="n">
        <v>1</v>
      </c>
      <c r="R2174" t="n">
        <v>1</v>
      </c>
      <c r="S2174" t="n">
        <v>1976</v>
      </c>
      <c r="T2174" t="s">
        <v>14208</v>
      </c>
      <c r="U2174" t="s">
        <v>14209</v>
      </c>
      <c r="V2174" t="s">
        <v>74</v>
      </c>
      <c r="W2174"/>
      <c r="X2174"/>
      <c r="Y2174" t="s">
        <v>14210</v>
      </c>
      <c r="Z2174"/>
      <c r="AA2174"/>
      <c r="AB2174"/>
      <c r="AC2174"/>
      <c r="AD2174"/>
      <c r="AE2174"/>
      <c r="AF2174" t="s">
        <v>14211</v>
      </c>
      <c r="AG2174" t="n">
        <v>9</v>
      </c>
    </row>
    <row r="2175">
      <c r="A2175" t="s">
        <v>14212</v>
      </c>
      <c r="B2175" t="s">
        <v>28</v>
      </c>
      <c r="C2175" t="s">
        <v>65</v>
      </c>
      <c r="D2175" t="s">
        <v>14213</v>
      </c>
      <c r="E2175" t="s">
        <v>723</v>
      </c>
      <c r="F2175" t="s">
        <v>724</v>
      </c>
      <c r="G2175" t="s">
        <v>817</v>
      </c>
      <c r="H2175" t="n">
        <v>40.016511494465</v>
      </c>
      <c r="I2175" t="n">
        <v>-105.243628445322</v>
      </c>
      <c r="J2175" t="s">
        <v>35</v>
      </c>
      <c r="K2175" t="s">
        <v>120</v>
      </c>
      <c r="L2175"/>
      <c r="M2175" t="n">
        <v>1990</v>
      </c>
      <c r="N2175" t="n">
        <v>1992</v>
      </c>
      <c r="O2175" t="s">
        <v>1016</v>
      </c>
      <c r="P2175" t="n">
        <v>2</v>
      </c>
      <c r="Q2175" t="n">
        <v>2</v>
      </c>
      <c r="R2175" t="n">
        <v>1</v>
      </c>
      <c r="S2175" t="n">
        <v>1976</v>
      </c>
      <c r="T2175" t="s">
        <v>14214</v>
      </c>
      <c r="U2175" t="s">
        <v>14215</v>
      </c>
      <c r="V2175" t="s">
        <v>74</v>
      </c>
      <c r="W2175"/>
      <c r="X2175"/>
      <c r="Y2175" t="s">
        <v>14216</v>
      </c>
      <c r="Z2175"/>
      <c r="AA2175" t="s">
        <v>14217</v>
      </c>
      <c r="AB2175"/>
      <c r="AC2175"/>
      <c r="AD2175"/>
      <c r="AE2175"/>
      <c r="AF2175" t="s">
        <v>14197</v>
      </c>
      <c r="AG2175" t="n">
        <v>50</v>
      </c>
    </row>
    <row r="2176">
      <c r="A2176" t="s">
        <v>14218</v>
      </c>
      <c r="B2176" t="s">
        <v>28</v>
      </c>
      <c r="C2176" t="s">
        <v>65</v>
      </c>
      <c r="D2176" t="s">
        <v>14219</v>
      </c>
      <c r="E2176" t="s">
        <v>738</v>
      </c>
      <c r="F2176" t="s">
        <v>724</v>
      </c>
      <c r="G2176" t="s">
        <v>739</v>
      </c>
      <c r="H2176" t="n">
        <v>40.1497685306122</v>
      </c>
      <c r="I2176" t="n">
        <v>-105.115554163265</v>
      </c>
      <c r="J2176" t="s">
        <v>35</v>
      </c>
      <c r="K2176" t="s">
        <v>120</v>
      </c>
      <c r="L2176"/>
      <c r="M2176" t="n">
        <v>1990</v>
      </c>
      <c r="N2176" t="n">
        <v>1990</v>
      </c>
      <c r="O2176" t="s">
        <v>351</v>
      </c>
      <c r="P2176" t="n">
        <v>1</v>
      </c>
      <c r="Q2176" t="n">
        <v>1</v>
      </c>
      <c r="R2176" t="n">
        <v>1</v>
      </c>
      <c r="S2176" t="n">
        <v>1980</v>
      </c>
      <c r="T2176" t="s">
        <v>14220</v>
      </c>
      <c r="U2176" t="s">
        <v>14221</v>
      </c>
      <c r="V2176" t="s">
        <v>74</v>
      </c>
      <c r="W2176"/>
      <c r="X2176"/>
      <c r="Y2176" t="s">
        <v>14222</v>
      </c>
      <c r="Z2176"/>
      <c r="AA2176" t="s">
        <v>14223</v>
      </c>
      <c r="AB2176"/>
      <c r="AC2176"/>
      <c r="AD2176" t="s">
        <v>14175</v>
      </c>
      <c r="AE2176" t="n">
        <v>185</v>
      </c>
      <c r="AF2176" t="s">
        <v>14224</v>
      </c>
      <c r="AG2176" t="n">
        <v>30</v>
      </c>
    </row>
    <row r="2177">
      <c r="A2177" t="s">
        <v>14225</v>
      </c>
      <c r="B2177" t="s">
        <v>28</v>
      </c>
      <c r="C2177" t="s">
        <v>24</v>
      </c>
      <c r="D2177" t="s">
        <v>14226</v>
      </c>
      <c r="E2177" t="s">
        <v>738</v>
      </c>
      <c r="F2177" t="s">
        <v>724</v>
      </c>
      <c r="G2177" t="s">
        <v>739</v>
      </c>
      <c r="H2177" t="n">
        <v>40.1465415508363</v>
      </c>
      <c r="I2177" t="n">
        <v>-105.133673365977</v>
      </c>
      <c r="J2177" t="s">
        <v>4109</v>
      </c>
      <c r="K2177" t="s">
        <v>120</v>
      </c>
      <c r="L2177"/>
      <c r="M2177" t="n">
        <v>1990</v>
      </c>
      <c r="N2177" t="n">
        <v>1992</v>
      </c>
      <c r="O2177" t="s">
        <v>351</v>
      </c>
      <c r="P2177" t="n">
        <v>2</v>
      </c>
      <c r="Q2177" t="n">
        <v>3</v>
      </c>
      <c r="R2177" t="n">
        <v>2</v>
      </c>
      <c r="S2177" t="n">
        <v>1980</v>
      </c>
      <c r="T2177" t="s">
        <v>14227</v>
      </c>
      <c r="U2177" t="s">
        <v>14228</v>
      </c>
      <c r="V2177" t="s">
        <v>74</v>
      </c>
      <c r="W2177"/>
      <c r="X2177"/>
      <c r="Y2177" t="s">
        <v>14229</v>
      </c>
      <c r="Z2177"/>
      <c r="AA2177" t="s">
        <v>14230</v>
      </c>
      <c r="AB2177"/>
      <c r="AC2177"/>
      <c r="AD2177"/>
      <c r="AE2177"/>
      <c r="AF2177" t="s">
        <v>14231</v>
      </c>
      <c r="AG2177" t="n">
        <v>15</v>
      </c>
    </row>
    <row r="2178">
      <c r="A2178" t="s">
        <v>14232</v>
      </c>
      <c r="B2178" t="s">
        <v>28</v>
      </c>
      <c r="C2178" t="s">
        <v>65</v>
      </c>
      <c r="D2178" t="s">
        <v>14233</v>
      </c>
      <c r="E2178" t="s">
        <v>738</v>
      </c>
      <c r="F2178" t="s">
        <v>724</v>
      </c>
      <c r="G2178" t="s">
        <v>739</v>
      </c>
      <c r="H2178" t="n">
        <v>40.1582350357143</v>
      </c>
      <c r="I2178" t="n">
        <v>-105.112568577922</v>
      </c>
      <c r="J2178" t="s">
        <v>35</v>
      </c>
      <c r="K2178" t="s">
        <v>141</v>
      </c>
      <c r="L2178"/>
      <c r="M2178" t="n">
        <v>1990</v>
      </c>
      <c r="N2178" t="n">
        <v>1992</v>
      </c>
      <c r="O2178" t="s">
        <v>351</v>
      </c>
      <c r="P2178" t="n">
        <v>2</v>
      </c>
      <c r="Q2178" t="n">
        <v>2</v>
      </c>
      <c r="R2178" t="n">
        <v>1</v>
      </c>
      <c r="S2178" t="n">
        <v>1979</v>
      </c>
      <c r="T2178" t="s">
        <v>14234</v>
      </c>
      <c r="U2178" t="s">
        <v>14235</v>
      </c>
      <c r="V2178" t="s">
        <v>74</v>
      </c>
      <c r="W2178"/>
      <c r="X2178"/>
      <c r="Y2178" t="s">
        <v>14236</v>
      </c>
      <c r="Z2178"/>
      <c r="AA2178" t="s">
        <v>14237</v>
      </c>
      <c r="AB2178" t="s">
        <v>6343</v>
      </c>
      <c r="AC2178" t="n">
        <v>83</v>
      </c>
      <c r="AD2178" t="s">
        <v>1156</v>
      </c>
      <c r="AE2178" t="n">
        <v>186</v>
      </c>
      <c r="AF2178" t="s">
        <v>14238</v>
      </c>
      <c r="AG2178" t="n">
        <v>13</v>
      </c>
    </row>
    <row r="2179">
      <c r="A2179" t="s">
        <v>14239</v>
      </c>
      <c r="B2179" t="s">
        <v>28</v>
      </c>
      <c r="C2179" t="s">
        <v>65</v>
      </c>
      <c r="D2179" t="s">
        <v>14240</v>
      </c>
      <c r="E2179" t="s">
        <v>738</v>
      </c>
      <c r="F2179" t="s">
        <v>724</v>
      </c>
      <c r="G2179" t="s">
        <v>739</v>
      </c>
      <c r="H2179" t="n">
        <v>40.1433232558336</v>
      </c>
      <c r="I2179" t="n">
        <v>-105.123666093835</v>
      </c>
      <c r="J2179" t="s">
        <v>35</v>
      </c>
      <c r="K2179" t="s">
        <v>141</v>
      </c>
      <c r="L2179"/>
      <c r="M2179" t="n">
        <v>1990</v>
      </c>
      <c r="N2179" t="n">
        <v>1992</v>
      </c>
      <c r="O2179" t="s">
        <v>357</v>
      </c>
      <c r="P2179" t="n">
        <v>2</v>
      </c>
      <c r="Q2179" t="n">
        <v>2</v>
      </c>
      <c r="R2179" t="n">
        <v>2</v>
      </c>
      <c r="S2179" t="n">
        <v>1978</v>
      </c>
      <c r="T2179" t="s">
        <v>14241</v>
      </c>
      <c r="U2179" t="s">
        <v>14242</v>
      </c>
      <c r="V2179" t="s">
        <v>74</v>
      </c>
      <c r="W2179"/>
      <c r="X2179"/>
      <c r="Y2179" t="s">
        <v>14243</v>
      </c>
      <c r="Z2179"/>
      <c r="AA2179" t="s">
        <v>14244</v>
      </c>
      <c r="AB2179"/>
      <c r="AC2179"/>
      <c r="AD2179" t="s">
        <v>14245</v>
      </c>
      <c r="AE2179" t="n">
        <v>217</v>
      </c>
      <c r="AF2179" t="s">
        <v>1007</v>
      </c>
      <c r="AG2179" t="n">
        <v>46</v>
      </c>
    </row>
    <row r="2180">
      <c r="A2180" t="s">
        <v>14246</v>
      </c>
      <c r="B2180" t="s">
        <v>28</v>
      </c>
      <c r="C2180" t="s">
        <v>65</v>
      </c>
      <c r="D2180" t="s">
        <v>14247</v>
      </c>
      <c r="E2180" t="s">
        <v>738</v>
      </c>
      <c r="F2180" t="s">
        <v>724</v>
      </c>
      <c r="G2180" t="s">
        <v>739</v>
      </c>
      <c r="H2180" t="n">
        <v>40.1440802244898</v>
      </c>
      <c r="I2180" t="n">
        <v>-105.121487897959</v>
      </c>
      <c r="J2180" t="s">
        <v>35</v>
      </c>
      <c r="K2180" t="s">
        <v>120</v>
      </c>
      <c r="L2180"/>
      <c r="M2180" t="n">
        <v>1990</v>
      </c>
      <c r="N2180" t="n">
        <v>1990</v>
      </c>
      <c r="O2180" t="s">
        <v>351</v>
      </c>
      <c r="P2180" t="n">
        <v>1</v>
      </c>
      <c r="Q2180" t="n">
        <v>1</v>
      </c>
      <c r="R2180" t="n">
        <v>1</v>
      </c>
      <c r="S2180" t="n">
        <v>1984</v>
      </c>
      <c r="T2180" t="s">
        <v>14248</v>
      </c>
      <c r="U2180" t="s">
        <v>14249</v>
      </c>
      <c r="V2180" t="s">
        <v>74</v>
      </c>
      <c r="W2180"/>
      <c r="X2180"/>
      <c r="Y2180" t="s">
        <v>14250</v>
      </c>
      <c r="Z2180"/>
      <c r="AA2180"/>
      <c r="AB2180"/>
      <c r="AC2180"/>
      <c r="AD2180" t="s">
        <v>1006</v>
      </c>
      <c r="AE2180" t="n">
        <v>107</v>
      </c>
      <c r="AF2180" t="s">
        <v>6405</v>
      </c>
      <c r="AG2180" t="n">
        <v>21</v>
      </c>
    </row>
    <row r="2181">
      <c r="A2181" t="s">
        <v>14251</v>
      </c>
      <c r="B2181" t="s">
        <v>28</v>
      </c>
      <c r="C2181" t="s">
        <v>65</v>
      </c>
      <c r="D2181" t="s">
        <v>14252</v>
      </c>
      <c r="E2181" t="s">
        <v>738</v>
      </c>
      <c r="F2181" t="s">
        <v>724</v>
      </c>
      <c r="G2181" t="s">
        <v>739</v>
      </c>
      <c r="H2181" t="n">
        <v>40.1549981645541</v>
      </c>
      <c r="I2181" t="n">
        <v>-105.202012135507</v>
      </c>
      <c r="J2181" t="s">
        <v>35</v>
      </c>
      <c r="K2181" t="s">
        <v>141</v>
      </c>
      <c r="L2181"/>
      <c r="M2181" t="n">
        <v>1990</v>
      </c>
      <c r="N2181" t="n">
        <v>1990</v>
      </c>
      <c r="O2181" t="s">
        <v>351</v>
      </c>
      <c r="P2181" t="n">
        <v>1</v>
      </c>
      <c r="Q2181" t="n">
        <v>1</v>
      </c>
      <c r="R2181" t="n">
        <v>1</v>
      </c>
      <c r="S2181" t="n">
        <v>1978</v>
      </c>
      <c r="T2181" t="s">
        <v>14253</v>
      </c>
      <c r="U2181" t="s">
        <v>14254</v>
      </c>
      <c r="V2181" t="s">
        <v>74</v>
      </c>
      <c r="W2181"/>
      <c r="X2181"/>
      <c r="Y2181" t="s">
        <v>14255</v>
      </c>
      <c r="Z2181"/>
      <c r="AA2181" t="s">
        <v>14256</v>
      </c>
      <c r="AB2181" t="s">
        <v>14257</v>
      </c>
      <c r="AC2181" t="n">
        <v>112</v>
      </c>
      <c r="AD2181"/>
      <c r="AE2181"/>
      <c r="AF2181" t="s">
        <v>14258</v>
      </c>
      <c r="AG2181" t="n">
        <v>118</v>
      </c>
    </row>
    <row r="2182">
      <c r="A2182" t="s">
        <v>14259</v>
      </c>
      <c r="B2182" t="s">
        <v>28</v>
      </c>
      <c r="C2182" t="s">
        <v>24</v>
      </c>
      <c r="D2182" t="s">
        <v>14260</v>
      </c>
      <c r="E2182" t="s">
        <v>738</v>
      </c>
      <c r="F2182" t="s">
        <v>724</v>
      </c>
      <c r="G2182" t="s">
        <v>739</v>
      </c>
      <c r="H2182" t="n">
        <v>40.105348</v>
      </c>
      <c r="I2182" t="n">
        <v>-105.173457</v>
      </c>
      <c r="J2182" t="s">
        <v>4109</v>
      </c>
      <c r="K2182" t="s">
        <v>120</v>
      </c>
      <c r="L2182"/>
      <c r="M2182" t="n">
        <v>1992</v>
      </c>
      <c r="N2182" t="n">
        <v>1992</v>
      </c>
      <c r="O2182" t="s">
        <v>1016</v>
      </c>
      <c r="P2182" t="n">
        <v>1</v>
      </c>
      <c r="Q2182" t="n">
        <v>1</v>
      </c>
      <c r="R2182" t="n">
        <v>1</v>
      </c>
      <c r="S2182"/>
      <c r="T2182" t="s">
        <v>14261</v>
      </c>
      <c r="U2182" t="s">
        <v>14262</v>
      </c>
      <c r="V2182" t="s">
        <v>74</v>
      </c>
      <c r="W2182"/>
      <c r="X2182"/>
      <c r="Y2182" t="s">
        <v>14263</v>
      </c>
      <c r="Z2182"/>
      <c r="AA2182"/>
      <c r="AB2182"/>
      <c r="AC2182"/>
      <c r="AD2182"/>
      <c r="AE2182"/>
      <c r="AF2182" t="s">
        <v>14264</v>
      </c>
      <c r="AG2182" t="n">
        <v>178</v>
      </c>
    </row>
    <row r="2183">
      <c r="A2183" t="s">
        <v>14265</v>
      </c>
      <c r="B2183" t="s">
        <v>28</v>
      </c>
      <c r="C2183" t="s">
        <v>65</v>
      </c>
      <c r="D2183" t="s">
        <v>14266</v>
      </c>
      <c r="E2183" t="s">
        <v>1164</v>
      </c>
      <c r="F2183" t="s">
        <v>1165</v>
      </c>
      <c r="G2183" t="s">
        <v>1166</v>
      </c>
      <c r="H2183" t="n">
        <v>39.9162488575884</v>
      </c>
      <c r="I2183" t="n">
        <v>-105.089595975635</v>
      </c>
      <c r="J2183" t="s">
        <v>35</v>
      </c>
      <c r="K2183" t="s">
        <v>14267</v>
      </c>
      <c r="L2183"/>
      <c r="M2183" t="n">
        <v>1967</v>
      </c>
      <c r="N2183" t="n">
        <v>1990</v>
      </c>
      <c r="O2183" t="s">
        <v>14268</v>
      </c>
      <c r="P2183" t="n">
        <v>10</v>
      </c>
      <c r="Q2183" t="n">
        <v>12</v>
      </c>
      <c r="R2183" t="n">
        <v>8</v>
      </c>
      <c r="S2183" t="n">
        <v>1956</v>
      </c>
      <c r="T2183" t="s">
        <v>14269</v>
      </c>
      <c r="U2183" t="s">
        <v>14270</v>
      </c>
      <c r="V2183" t="s">
        <v>74</v>
      </c>
      <c r="W2183"/>
      <c r="X2183"/>
      <c r="Y2183" t="s">
        <v>14271</v>
      </c>
      <c r="Z2183"/>
      <c r="AA2183" t="s">
        <v>14272</v>
      </c>
      <c r="AB2183"/>
      <c r="AC2183"/>
      <c r="AD2183"/>
      <c r="AE2183"/>
      <c r="AF2183" t="s">
        <v>14273</v>
      </c>
      <c r="AG2183" t="n">
        <v>2</v>
      </c>
    </row>
    <row r="2184">
      <c r="A2184" t="s">
        <v>14274</v>
      </c>
      <c r="B2184" t="s">
        <v>28</v>
      </c>
      <c r="C2184" t="s">
        <v>65</v>
      </c>
      <c r="D2184" t="s">
        <v>14275</v>
      </c>
      <c r="E2184" t="s">
        <v>1164</v>
      </c>
      <c r="F2184" t="s">
        <v>1165</v>
      </c>
      <c r="G2184" t="s">
        <v>1166</v>
      </c>
      <c r="H2184" t="n">
        <v>39.9203802245373</v>
      </c>
      <c r="I2184" t="n">
        <v>-105.095369578984</v>
      </c>
      <c r="J2184" t="s">
        <v>35</v>
      </c>
      <c r="K2184" t="s">
        <v>141</v>
      </c>
      <c r="L2184" t="s">
        <v>554</v>
      </c>
      <c r="M2184" t="n">
        <v>1968</v>
      </c>
      <c r="N2184" t="n">
        <v>1992</v>
      </c>
      <c r="O2184" t="s">
        <v>14276</v>
      </c>
      <c r="P2184" t="n">
        <v>8</v>
      </c>
      <c r="Q2184" t="n">
        <v>5</v>
      </c>
      <c r="R2184" t="n">
        <v>4</v>
      </c>
      <c r="S2184" t="n">
        <v>1947</v>
      </c>
      <c r="T2184" t="s">
        <v>14277</v>
      </c>
      <c r="U2184" t="s">
        <v>14278</v>
      </c>
      <c r="V2184" t="s">
        <v>74</v>
      </c>
      <c r="W2184"/>
      <c r="X2184"/>
      <c r="Y2184" t="s">
        <v>14279</v>
      </c>
      <c r="Z2184"/>
      <c r="AA2184"/>
      <c r="AB2184"/>
      <c r="AC2184"/>
      <c r="AD2184"/>
      <c r="AE2184"/>
      <c r="AF2184" t="s">
        <v>1228</v>
      </c>
      <c r="AG2184" t="n">
        <v>109</v>
      </c>
    </row>
    <row r="2185">
      <c r="A2185" t="s">
        <v>14280</v>
      </c>
      <c r="B2185" t="s">
        <v>28</v>
      </c>
      <c r="C2185" t="s">
        <v>65</v>
      </c>
      <c r="D2185" t="s">
        <v>14281</v>
      </c>
      <c r="E2185" t="s">
        <v>1164</v>
      </c>
      <c r="F2185" t="s">
        <v>1165</v>
      </c>
      <c r="G2185" t="s">
        <v>1166</v>
      </c>
      <c r="H2185" t="n">
        <v>39.928634</v>
      </c>
      <c r="I2185" t="n">
        <v>-105.114118</v>
      </c>
      <c r="J2185" t="s">
        <v>35</v>
      </c>
      <c r="K2185" t="s">
        <v>527</v>
      </c>
      <c r="L2185" t="s">
        <v>202</v>
      </c>
      <c r="M2185" t="n">
        <v>1970</v>
      </c>
      <c r="N2185" t="n">
        <v>1990</v>
      </c>
      <c r="O2185" t="s">
        <v>14282</v>
      </c>
      <c r="P2185" t="n">
        <v>7</v>
      </c>
      <c r="Q2185" t="n">
        <v>8</v>
      </c>
      <c r="R2185" t="n">
        <v>3</v>
      </c>
      <c r="S2185" t="n">
        <v>1944</v>
      </c>
      <c r="T2185" t="s">
        <v>14283</v>
      </c>
      <c r="U2185" t="s">
        <v>14284</v>
      </c>
      <c r="V2185" t="s">
        <v>74</v>
      </c>
      <c r="W2185"/>
      <c r="X2185"/>
      <c r="Y2185" t="s">
        <v>14285</v>
      </c>
      <c r="Z2185"/>
      <c r="AA2185" t="s">
        <v>14286</v>
      </c>
      <c r="AB2185"/>
      <c r="AC2185"/>
      <c r="AD2185"/>
      <c r="AE2185"/>
      <c r="AF2185"/>
      <c r="AG2185"/>
    </row>
    <row r="2186">
      <c r="A2186" t="s">
        <v>14287</v>
      </c>
      <c r="B2186" t="s">
        <v>28</v>
      </c>
      <c r="C2186" t="s">
        <v>65</v>
      </c>
      <c r="D2186" t="s">
        <v>14288</v>
      </c>
      <c r="E2186" t="s">
        <v>1164</v>
      </c>
      <c r="F2186" t="s">
        <v>1165</v>
      </c>
      <c r="G2186" t="s">
        <v>1166</v>
      </c>
      <c r="H2186" t="n">
        <v>39.9205659905815</v>
      </c>
      <c r="I2186" t="n">
        <v>-105.094195772559</v>
      </c>
      <c r="J2186" t="s">
        <v>35</v>
      </c>
      <c r="K2186" t="s">
        <v>89</v>
      </c>
      <c r="L2186"/>
      <c r="M2186" t="n">
        <v>1973</v>
      </c>
      <c r="N2186" t="n">
        <v>1980</v>
      </c>
      <c r="O2186" t="s">
        <v>255</v>
      </c>
      <c r="P2186" t="n">
        <v>2</v>
      </c>
      <c r="Q2186" t="n">
        <v>2</v>
      </c>
      <c r="R2186" t="n">
        <v>1</v>
      </c>
      <c r="S2186" t="n">
        <v>1975</v>
      </c>
      <c r="T2186" t="s">
        <v>14289</v>
      </c>
      <c r="U2186" t="s">
        <v>14290</v>
      </c>
      <c r="V2186" t="s">
        <v>74</v>
      </c>
      <c r="W2186"/>
      <c r="X2186"/>
      <c r="Y2186" t="s">
        <v>14291</v>
      </c>
      <c r="Z2186"/>
      <c r="AA2186"/>
      <c r="AB2186" t="s">
        <v>6473</v>
      </c>
      <c r="AC2186" t="n">
        <v>249</v>
      </c>
      <c r="AD2186"/>
      <c r="AE2186"/>
      <c r="AF2186" t="s">
        <v>6474</v>
      </c>
      <c r="AG2186" t="n">
        <v>55</v>
      </c>
    </row>
    <row r="2187">
      <c r="A2187" t="s">
        <v>14292</v>
      </c>
      <c r="B2187" t="s">
        <v>28</v>
      </c>
      <c r="C2187" t="s">
        <v>65</v>
      </c>
      <c r="D2187" t="s">
        <v>14293</v>
      </c>
      <c r="E2187" t="s">
        <v>1164</v>
      </c>
      <c r="F2187" t="s">
        <v>1165</v>
      </c>
      <c r="G2187" t="s">
        <v>1166</v>
      </c>
      <c r="H2187" t="n">
        <v>39.9232097769623</v>
      </c>
      <c r="I2187" t="n">
        <v>-105.106308170909</v>
      </c>
      <c r="J2187" t="s">
        <v>35</v>
      </c>
      <c r="K2187" t="s">
        <v>527</v>
      </c>
      <c r="L2187"/>
      <c r="M2187" t="n">
        <v>1973</v>
      </c>
      <c r="N2187" t="n">
        <v>1973</v>
      </c>
      <c r="O2187" t="s">
        <v>121</v>
      </c>
      <c r="P2187" t="n">
        <v>1</v>
      </c>
      <c r="Q2187" t="n">
        <v>1</v>
      </c>
      <c r="R2187" t="n">
        <v>1</v>
      </c>
      <c r="S2187" t="n">
        <v>1969</v>
      </c>
      <c r="T2187" t="s">
        <v>14294</v>
      </c>
      <c r="U2187" t="s">
        <v>14295</v>
      </c>
      <c r="V2187" t="s">
        <v>74</v>
      </c>
      <c r="W2187"/>
      <c r="X2187"/>
      <c r="Y2187" t="s">
        <v>14296</v>
      </c>
      <c r="Z2187"/>
      <c r="AA2187"/>
      <c r="AB2187" t="s">
        <v>14297</v>
      </c>
      <c r="AC2187" t="n">
        <v>216</v>
      </c>
      <c r="AD2187"/>
      <c r="AE2187"/>
      <c r="AF2187" t="s">
        <v>14298</v>
      </c>
      <c r="AG2187" t="n">
        <v>21</v>
      </c>
    </row>
    <row r="2188">
      <c r="A2188" t="s">
        <v>14299</v>
      </c>
      <c r="B2188" t="s">
        <v>28</v>
      </c>
      <c r="C2188" t="s">
        <v>65</v>
      </c>
      <c r="D2188" t="s">
        <v>14300</v>
      </c>
      <c r="E2188" t="s">
        <v>1164</v>
      </c>
      <c r="F2188" t="s">
        <v>1165</v>
      </c>
      <c r="G2188" t="s">
        <v>1166</v>
      </c>
      <c r="H2188" t="n">
        <v>39.9578826296296</v>
      </c>
      <c r="I2188" t="n">
        <v>-105.086085225589</v>
      </c>
      <c r="J2188" t="s">
        <v>35</v>
      </c>
      <c r="K2188" t="s">
        <v>70</v>
      </c>
      <c r="L2188"/>
      <c r="M2188" t="n">
        <v>1977</v>
      </c>
      <c r="N2188" t="n">
        <v>1992</v>
      </c>
      <c r="O2188" t="s">
        <v>2902</v>
      </c>
      <c r="P2188" t="n">
        <v>3</v>
      </c>
      <c r="Q2188" t="n">
        <v>3</v>
      </c>
      <c r="R2188" t="n">
        <v>2</v>
      </c>
      <c r="S2188" t="n">
        <v>1965</v>
      </c>
      <c r="T2188" t="s">
        <v>14301</v>
      </c>
      <c r="U2188" t="s">
        <v>14302</v>
      </c>
      <c r="V2188" t="s">
        <v>74</v>
      </c>
      <c r="W2188"/>
      <c r="X2188"/>
      <c r="Y2188" t="s">
        <v>14303</v>
      </c>
      <c r="Z2188"/>
      <c r="AA2188" t="s">
        <v>14304</v>
      </c>
      <c r="AB2188"/>
      <c r="AC2188"/>
      <c r="AD2188"/>
      <c r="AE2188"/>
      <c r="AF2188" t="s">
        <v>14305</v>
      </c>
      <c r="AG2188" t="n">
        <v>26</v>
      </c>
    </row>
    <row r="2189">
      <c r="A2189" t="s">
        <v>14306</v>
      </c>
      <c r="B2189" t="s">
        <v>28</v>
      </c>
      <c r="C2189" t="s">
        <v>65</v>
      </c>
      <c r="D2189" t="s">
        <v>14307</v>
      </c>
      <c r="E2189" t="s">
        <v>1164</v>
      </c>
      <c r="F2189" t="s">
        <v>1165</v>
      </c>
      <c r="G2189" t="s">
        <v>1166</v>
      </c>
      <c r="H2189" t="n">
        <v>39.925713</v>
      </c>
      <c r="I2189" t="n">
        <v>-105.091861</v>
      </c>
      <c r="J2189" t="s">
        <v>35</v>
      </c>
      <c r="K2189" t="s">
        <v>533</v>
      </c>
      <c r="L2189"/>
      <c r="M2189" t="n">
        <v>1977</v>
      </c>
      <c r="N2189" t="n">
        <v>1990</v>
      </c>
      <c r="O2189" t="s">
        <v>1949</v>
      </c>
      <c r="P2189" t="n">
        <v>5</v>
      </c>
      <c r="Q2189" t="n">
        <v>5</v>
      </c>
      <c r="R2189" t="n">
        <v>3</v>
      </c>
      <c r="S2189" t="n">
        <v>1974</v>
      </c>
      <c r="T2189" t="s">
        <v>14308</v>
      </c>
      <c r="U2189" t="s">
        <v>14309</v>
      </c>
      <c r="V2189" t="s">
        <v>74</v>
      </c>
      <c r="W2189"/>
      <c r="X2189"/>
      <c r="Y2189" t="s">
        <v>14310</v>
      </c>
      <c r="Z2189"/>
      <c r="AA2189"/>
      <c r="AB2189"/>
      <c r="AC2189"/>
      <c r="AD2189" t="s">
        <v>14311</v>
      </c>
      <c r="AE2189" t="n">
        <v>127</v>
      </c>
      <c r="AF2189" t="s">
        <v>14312</v>
      </c>
      <c r="AG2189" t="n">
        <v>28</v>
      </c>
    </row>
    <row r="2190">
      <c r="A2190" t="s">
        <v>14313</v>
      </c>
      <c r="B2190" t="s">
        <v>28</v>
      </c>
      <c r="C2190" t="s">
        <v>24</v>
      </c>
      <c r="D2190" t="s">
        <v>14314</v>
      </c>
      <c r="E2190" t="s">
        <v>1164</v>
      </c>
      <c r="F2190" t="s">
        <v>1165</v>
      </c>
      <c r="G2190" t="s">
        <v>1166</v>
      </c>
      <c r="H2190" t="n">
        <v>39.986663</v>
      </c>
      <c r="I2190" t="n">
        <v>-104.978326</v>
      </c>
      <c r="J2190" t="s">
        <v>4109</v>
      </c>
      <c r="K2190" t="s">
        <v>141</v>
      </c>
      <c r="L2190"/>
      <c r="M2190" t="n">
        <v>1980</v>
      </c>
      <c r="N2190" t="n">
        <v>1988</v>
      </c>
      <c r="O2190" t="s">
        <v>1668</v>
      </c>
      <c r="P2190" t="n">
        <v>3</v>
      </c>
      <c r="Q2190" t="n">
        <v>3</v>
      </c>
      <c r="R2190" t="n">
        <v>2</v>
      </c>
      <c r="S2190" t="n">
        <v>1979</v>
      </c>
      <c r="T2190" t="s">
        <v>14315</v>
      </c>
      <c r="U2190" t="s">
        <v>14316</v>
      </c>
      <c r="V2190" t="s">
        <v>74</v>
      </c>
      <c r="W2190"/>
      <c r="X2190"/>
      <c r="Y2190" t="s">
        <v>14317</v>
      </c>
      <c r="Z2190"/>
      <c r="AA2190" t="s">
        <v>14318</v>
      </c>
      <c r="AB2190"/>
      <c r="AC2190"/>
      <c r="AD2190"/>
      <c r="AE2190"/>
      <c r="AF2190" t="s">
        <v>14319</v>
      </c>
      <c r="AG2190" t="n">
        <v>235</v>
      </c>
    </row>
    <row r="2191">
      <c r="A2191" t="s">
        <v>14320</v>
      </c>
      <c r="B2191" t="s">
        <v>28</v>
      </c>
      <c r="C2191" t="s">
        <v>65</v>
      </c>
      <c r="D2191" t="s">
        <v>14321</v>
      </c>
      <c r="E2191" t="s">
        <v>1164</v>
      </c>
      <c r="F2191" t="s">
        <v>1165</v>
      </c>
      <c r="G2191" t="s">
        <v>1166</v>
      </c>
      <c r="H2191" t="n">
        <v>39.909884</v>
      </c>
      <c r="I2191" t="n">
        <v>-105.072713</v>
      </c>
      <c r="J2191" t="s">
        <v>35</v>
      </c>
      <c r="K2191" t="s">
        <v>141</v>
      </c>
      <c r="L2191"/>
      <c r="M2191" t="n">
        <v>1980</v>
      </c>
      <c r="N2191" t="n">
        <v>1992</v>
      </c>
      <c r="O2191" t="s">
        <v>6152</v>
      </c>
      <c r="P2191" t="n">
        <v>5</v>
      </c>
      <c r="Q2191" t="n">
        <v>7</v>
      </c>
      <c r="R2191" t="n">
        <v>6</v>
      </c>
      <c r="S2191" t="n">
        <v>1969</v>
      </c>
      <c r="T2191" t="s">
        <v>14322</v>
      </c>
      <c r="U2191" t="s">
        <v>14323</v>
      </c>
      <c r="V2191" t="s">
        <v>74</v>
      </c>
      <c r="W2191"/>
      <c r="X2191"/>
      <c r="Y2191" t="s">
        <v>14324</v>
      </c>
      <c r="Z2191"/>
      <c r="AA2191" t="s">
        <v>14325</v>
      </c>
      <c r="AB2191"/>
      <c r="AC2191"/>
      <c r="AD2191"/>
      <c r="AE2191"/>
      <c r="AF2191" t="s">
        <v>11055</v>
      </c>
      <c r="AG2191" t="n">
        <v>44</v>
      </c>
    </row>
    <row r="2192">
      <c r="A2192" t="s">
        <v>14326</v>
      </c>
      <c r="B2192" t="s">
        <v>28</v>
      </c>
      <c r="C2192" t="s">
        <v>65</v>
      </c>
      <c r="D2192" t="s">
        <v>14327</v>
      </c>
      <c r="E2192" t="s">
        <v>1164</v>
      </c>
      <c r="F2192" t="s">
        <v>1165</v>
      </c>
      <c r="G2192" t="s">
        <v>1166</v>
      </c>
      <c r="H2192" t="n">
        <v>39.924298857096</v>
      </c>
      <c r="I2192" t="n">
        <v>-105.09536399471</v>
      </c>
      <c r="J2192" t="s">
        <v>35</v>
      </c>
      <c r="K2192" t="s">
        <v>89</v>
      </c>
      <c r="L2192"/>
      <c r="M2192" t="n">
        <v>1983</v>
      </c>
      <c r="N2192" t="n">
        <v>1990</v>
      </c>
      <c r="O2192" t="s">
        <v>293</v>
      </c>
      <c r="P2192" t="n">
        <v>2</v>
      </c>
      <c r="Q2192" t="n">
        <v>1</v>
      </c>
      <c r="R2192" t="n">
        <v>1</v>
      </c>
      <c r="S2192" t="n">
        <v>1977</v>
      </c>
      <c r="T2192" t="s">
        <v>14328</v>
      </c>
      <c r="U2192" t="s">
        <v>14329</v>
      </c>
      <c r="V2192" t="s">
        <v>74</v>
      </c>
      <c r="W2192"/>
      <c r="X2192"/>
      <c r="Y2192" t="s">
        <v>14330</v>
      </c>
      <c r="Z2192"/>
      <c r="AA2192" t="s">
        <v>14331</v>
      </c>
      <c r="AB2192" t="s">
        <v>1203</v>
      </c>
      <c r="AC2192" t="n">
        <v>188</v>
      </c>
      <c r="AD2192"/>
      <c r="AE2192"/>
      <c r="AF2192" t="s">
        <v>14332</v>
      </c>
      <c r="AG2192" t="n">
        <v>16</v>
      </c>
    </row>
    <row r="2193">
      <c r="A2193" t="s">
        <v>14333</v>
      </c>
      <c r="B2193" t="s">
        <v>28</v>
      </c>
      <c r="C2193" t="s">
        <v>65</v>
      </c>
      <c r="D2193" t="s">
        <v>14334</v>
      </c>
      <c r="E2193" t="s">
        <v>1164</v>
      </c>
      <c r="F2193" t="s">
        <v>1165</v>
      </c>
      <c r="G2193" t="s">
        <v>1166</v>
      </c>
      <c r="H2193" t="n">
        <v>39.921558287897</v>
      </c>
      <c r="I2193" t="n">
        <v>-105.10270277995</v>
      </c>
      <c r="J2193" t="s">
        <v>35</v>
      </c>
      <c r="K2193" t="s">
        <v>141</v>
      </c>
      <c r="L2193"/>
      <c r="M2193" t="n">
        <v>1983</v>
      </c>
      <c r="N2193" t="n">
        <v>1983</v>
      </c>
      <c r="O2193" t="s">
        <v>264</v>
      </c>
      <c r="P2193" t="n">
        <v>1</v>
      </c>
      <c r="Q2193" t="n">
        <v>1</v>
      </c>
      <c r="R2193" t="n">
        <v>1</v>
      </c>
      <c r="S2193" t="n">
        <v>1979</v>
      </c>
      <c r="T2193" t="s">
        <v>14335</v>
      </c>
      <c r="U2193" t="s">
        <v>14336</v>
      </c>
      <c r="V2193" t="s">
        <v>74</v>
      </c>
      <c r="W2193"/>
      <c r="X2193"/>
      <c r="Y2193" t="s">
        <v>14337</v>
      </c>
      <c r="Z2193"/>
      <c r="AA2193" t="s">
        <v>14338</v>
      </c>
      <c r="AB2193"/>
      <c r="AC2193"/>
      <c r="AD2193" t="s">
        <v>1188</v>
      </c>
      <c r="AE2193" t="n">
        <v>207</v>
      </c>
      <c r="AF2193" t="s">
        <v>1189</v>
      </c>
      <c r="AG2193" t="n">
        <v>3</v>
      </c>
    </row>
    <row r="2194">
      <c r="A2194" t="s">
        <v>14339</v>
      </c>
      <c r="B2194" t="s">
        <v>28</v>
      </c>
      <c r="C2194" t="s">
        <v>65</v>
      </c>
      <c r="D2194" t="s">
        <v>14340</v>
      </c>
      <c r="E2194" t="s">
        <v>1164</v>
      </c>
      <c r="F2194" t="s">
        <v>1165</v>
      </c>
      <c r="G2194" t="s">
        <v>1166</v>
      </c>
      <c r="H2194" t="n">
        <v>39.9272890652423</v>
      </c>
      <c r="I2194" t="n">
        <v>-105.096326719767</v>
      </c>
      <c r="J2194" t="s">
        <v>35</v>
      </c>
      <c r="K2194" t="s">
        <v>220</v>
      </c>
      <c r="L2194" t="s">
        <v>202</v>
      </c>
      <c r="M2194" t="n">
        <v>1988</v>
      </c>
      <c r="N2194" t="n">
        <v>1992</v>
      </c>
      <c r="O2194" t="s">
        <v>320</v>
      </c>
      <c r="P2194" t="n">
        <v>3</v>
      </c>
      <c r="Q2194" t="n">
        <v>2</v>
      </c>
      <c r="R2194" t="n">
        <v>2</v>
      </c>
      <c r="S2194" t="n">
        <v>1972</v>
      </c>
      <c r="T2194" t="s">
        <v>14341</v>
      </c>
      <c r="U2194" t="s">
        <v>14342</v>
      </c>
      <c r="V2194" t="s">
        <v>74</v>
      </c>
      <c r="W2194"/>
      <c r="X2194"/>
      <c r="Y2194" t="s">
        <v>14343</v>
      </c>
      <c r="Z2194"/>
      <c r="AA2194" t="s">
        <v>14344</v>
      </c>
      <c r="AB2194"/>
      <c r="AC2194"/>
      <c r="AD2194" t="s">
        <v>14345</v>
      </c>
      <c r="AE2194" t="n">
        <v>214</v>
      </c>
      <c r="AF2194" t="s">
        <v>14346</v>
      </c>
      <c r="AG2194" t="n">
        <v>36</v>
      </c>
    </row>
    <row r="2195">
      <c r="A2195" t="s">
        <v>14347</v>
      </c>
      <c r="B2195" t="s">
        <v>28</v>
      </c>
      <c r="C2195" t="s">
        <v>65</v>
      </c>
      <c r="D2195" t="s">
        <v>14348</v>
      </c>
      <c r="E2195" t="s">
        <v>1164</v>
      </c>
      <c r="F2195" t="s">
        <v>1165</v>
      </c>
      <c r="G2195" t="s">
        <v>1166</v>
      </c>
      <c r="H2195" t="n">
        <v>39.9088471367977</v>
      </c>
      <c r="I2195" t="n">
        <v>-105.076610910609</v>
      </c>
      <c r="J2195" t="s">
        <v>35</v>
      </c>
      <c r="K2195" t="s">
        <v>141</v>
      </c>
      <c r="L2195"/>
      <c r="M2195" t="n">
        <v>1988</v>
      </c>
      <c r="N2195" t="n">
        <v>1990</v>
      </c>
      <c r="O2195" t="s">
        <v>310</v>
      </c>
      <c r="P2195" t="n">
        <v>2</v>
      </c>
      <c r="Q2195" t="n">
        <v>5</v>
      </c>
      <c r="R2195" t="n">
        <v>5</v>
      </c>
      <c r="S2195" t="n">
        <v>1971</v>
      </c>
      <c r="T2195" t="s">
        <v>14349</v>
      </c>
      <c r="U2195" t="s">
        <v>14350</v>
      </c>
      <c r="V2195" t="s">
        <v>74</v>
      </c>
      <c r="W2195"/>
      <c r="X2195"/>
      <c r="Y2195" t="s">
        <v>14351</v>
      </c>
      <c r="Z2195"/>
      <c r="AA2195" t="s">
        <v>14352</v>
      </c>
      <c r="AB2195" t="s">
        <v>6498</v>
      </c>
      <c r="AC2195" t="n">
        <v>234</v>
      </c>
      <c r="AD2195"/>
      <c r="AE2195"/>
      <c r="AF2195" t="s">
        <v>14353</v>
      </c>
      <c r="AG2195" t="n">
        <v>26</v>
      </c>
    </row>
    <row r="2196">
      <c r="A2196" t="s">
        <v>14354</v>
      </c>
      <c r="B2196" t="s">
        <v>28</v>
      </c>
      <c r="C2196" t="s">
        <v>65</v>
      </c>
      <c r="D2196" t="s">
        <v>14355</v>
      </c>
      <c r="E2196" t="s">
        <v>1164</v>
      </c>
      <c r="F2196" t="s">
        <v>1165</v>
      </c>
      <c r="G2196" t="s">
        <v>1166</v>
      </c>
      <c r="H2196" t="n">
        <v>39.9098771543624</v>
      </c>
      <c r="I2196" t="n">
        <v>-105.074847697987</v>
      </c>
      <c r="J2196" t="s">
        <v>35</v>
      </c>
      <c r="K2196" t="s">
        <v>527</v>
      </c>
      <c r="L2196"/>
      <c r="M2196" t="n">
        <v>1988</v>
      </c>
      <c r="N2196" t="n">
        <v>1992</v>
      </c>
      <c r="O2196" t="s">
        <v>4855</v>
      </c>
      <c r="P2196" t="n">
        <v>2</v>
      </c>
      <c r="Q2196" t="n">
        <v>2</v>
      </c>
      <c r="R2196" t="n">
        <v>2</v>
      </c>
      <c r="S2196" t="n">
        <v>1982</v>
      </c>
      <c r="T2196" t="s">
        <v>14356</v>
      </c>
      <c r="U2196" t="s">
        <v>14357</v>
      </c>
      <c r="V2196" t="s">
        <v>74</v>
      </c>
      <c r="W2196"/>
      <c r="X2196"/>
      <c r="Y2196" t="s">
        <v>14358</v>
      </c>
      <c r="Z2196"/>
      <c r="AA2196" t="s">
        <v>14359</v>
      </c>
      <c r="AB2196"/>
      <c r="AC2196"/>
      <c r="AD2196"/>
      <c r="AE2196"/>
      <c r="AF2196" t="s">
        <v>14360</v>
      </c>
      <c r="AG2196" t="n">
        <v>1</v>
      </c>
    </row>
    <row r="2197">
      <c r="A2197" t="s">
        <v>14361</v>
      </c>
      <c r="B2197" t="s">
        <v>28</v>
      </c>
      <c r="C2197" t="s">
        <v>65</v>
      </c>
      <c r="D2197" t="s">
        <v>14362</v>
      </c>
      <c r="E2197" t="s">
        <v>1164</v>
      </c>
      <c r="F2197" t="s">
        <v>1165</v>
      </c>
      <c r="G2197" t="s">
        <v>1166</v>
      </c>
      <c r="H2197" t="n">
        <v>39.9098752416107</v>
      </c>
      <c r="I2197" t="n">
        <v>-105.075444157718</v>
      </c>
      <c r="J2197" t="s">
        <v>35</v>
      </c>
      <c r="K2197" t="s">
        <v>120</v>
      </c>
      <c r="L2197"/>
      <c r="M2197" t="n">
        <v>1988</v>
      </c>
      <c r="N2197" t="n">
        <v>1992</v>
      </c>
      <c r="O2197" t="s">
        <v>320</v>
      </c>
      <c r="P2197" t="n">
        <v>3</v>
      </c>
      <c r="Q2197" t="n">
        <v>4</v>
      </c>
      <c r="R2197" t="n">
        <v>4</v>
      </c>
      <c r="S2197" t="n">
        <v>1963</v>
      </c>
      <c r="T2197" t="s">
        <v>14363</v>
      </c>
      <c r="U2197" t="s">
        <v>14364</v>
      </c>
      <c r="V2197" t="s">
        <v>74</v>
      </c>
      <c r="W2197"/>
      <c r="X2197"/>
      <c r="Y2197" t="s">
        <v>14365</v>
      </c>
      <c r="Z2197"/>
      <c r="AA2197"/>
      <c r="AB2197" t="s">
        <v>6498</v>
      </c>
      <c r="AC2197" t="n">
        <v>241</v>
      </c>
      <c r="AD2197"/>
      <c r="AE2197"/>
      <c r="AF2197" t="s">
        <v>14366</v>
      </c>
      <c r="AG2197" t="n">
        <v>37</v>
      </c>
    </row>
    <row r="2198">
      <c r="A2198" t="s">
        <v>14367</v>
      </c>
      <c r="B2198" t="s">
        <v>28</v>
      </c>
      <c r="C2198" t="s">
        <v>65</v>
      </c>
      <c r="D2198" t="s">
        <v>14368</v>
      </c>
      <c r="E2198" t="s">
        <v>1164</v>
      </c>
      <c r="F2198" t="s">
        <v>1165</v>
      </c>
      <c r="G2198" t="s">
        <v>1166</v>
      </c>
      <c r="H2198" t="n">
        <v>39.920180072394</v>
      </c>
      <c r="I2198" t="n">
        <v>-105.111097809249</v>
      </c>
      <c r="J2198" t="s">
        <v>35</v>
      </c>
      <c r="K2198" t="s">
        <v>89</v>
      </c>
      <c r="L2198"/>
      <c r="M2198" t="n">
        <v>1990</v>
      </c>
      <c r="N2198" t="n">
        <v>1990</v>
      </c>
      <c r="O2198" t="s">
        <v>351</v>
      </c>
      <c r="P2198" t="n">
        <v>1</v>
      </c>
      <c r="Q2198" t="n">
        <v>2</v>
      </c>
      <c r="R2198" t="n">
        <v>1</v>
      </c>
      <c r="S2198" t="n">
        <v>1979</v>
      </c>
      <c r="T2198" t="s">
        <v>14369</v>
      </c>
      <c r="U2198" t="s">
        <v>14370</v>
      </c>
      <c r="V2198" t="s">
        <v>74</v>
      </c>
      <c r="W2198"/>
      <c r="X2198"/>
      <c r="Y2198" t="s">
        <v>14371</v>
      </c>
      <c r="Z2198"/>
      <c r="AA2198"/>
      <c r="AB2198"/>
      <c r="AC2198"/>
      <c r="AD2198"/>
      <c r="AE2198"/>
      <c r="AF2198" t="s">
        <v>14372</v>
      </c>
      <c r="AG2198" t="n">
        <v>32</v>
      </c>
    </row>
    <row r="2199">
      <c r="A2199" t="s">
        <v>14373</v>
      </c>
      <c r="B2199" t="s">
        <v>28</v>
      </c>
      <c r="C2199" t="s">
        <v>65</v>
      </c>
      <c r="D2199" t="s">
        <v>14374</v>
      </c>
      <c r="E2199" t="s">
        <v>1164</v>
      </c>
      <c r="F2199" t="s">
        <v>1165</v>
      </c>
      <c r="G2199" t="s">
        <v>1166</v>
      </c>
      <c r="H2199" t="n">
        <v>39.9098727248322</v>
      </c>
      <c r="I2199" t="n">
        <v>-105.076228973154</v>
      </c>
      <c r="J2199" t="s">
        <v>35</v>
      </c>
      <c r="K2199" t="s">
        <v>120</v>
      </c>
      <c r="L2199"/>
      <c r="M2199" t="n">
        <v>1990</v>
      </c>
      <c r="N2199" t="n">
        <v>1990</v>
      </c>
      <c r="O2199" t="s">
        <v>351</v>
      </c>
      <c r="P2199" t="n">
        <v>1</v>
      </c>
      <c r="Q2199" t="n">
        <v>1</v>
      </c>
      <c r="R2199" t="n">
        <v>1</v>
      </c>
      <c r="S2199" t="n">
        <v>1987</v>
      </c>
      <c r="T2199" t="s">
        <v>14375</v>
      </c>
      <c r="U2199" t="s">
        <v>14376</v>
      </c>
      <c r="V2199" t="s">
        <v>74</v>
      </c>
      <c r="W2199"/>
      <c r="X2199"/>
      <c r="Y2199" t="s">
        <v>14377</v>
      </c>
      <c r="Z2199"/>
      <c r="AA2199"/>
      <c r="AB2199" t="s">
        <v>6498</v>
      </c>
      <c r="AC2199" t="n">
        <v>180</v>
      </c>
      <c r="AD2199"/>
      <c r="AE2199"/>
      <c r="AF2199" t="s">
        <v>4366</v>
      </c>
      <c r="AG2199" t="n">
        <v>22</v>
      </c>
    </row>
    <row r="2200">
      <c r="A2200" t="s">
        <v>14378</v>
      </c>
      <c r="B2200" t="s">
        <v>28</v>
      </c>
      <c r="C2200" t="s">
        <v>25</v>
      </c>
      <c r="D2200" t="s">
        <v>14379</v>
      </c>
      <c r="E2200" t="s">
        <v>1164</v>
      </c>
      <c r="F2200" t="s">
        <v>1165</v>
      </c>
      <c r="G2200" t="s">
        <v>1166</v>
      </c>
      <c r="H2200" t="n">
        <v>39.9266540023706</v>
      </c>
      <c r="I2200" t="n">
        <v>-105.095359879621</v>
      </c>
      <c r="J2200" t="s">
        <v>4109</v>
      </c>
      <c r="K2200" t="s">
        <v>120</v>
      </c>
      <c r="L2200"/>
      <c r="M2200" t="n">
        <v>1992</v>
      </c>
      <c r="N2200" t="n">
        <v>1992</v>
      </c>
      <c r="O2200" t="s">
        <v>1016</v>
      </c>
      <c r="P2200" t="n">
        <v>1</v>
      </c>
      <c r="Q2200" t="n">
        <v>1</v>
      </c>
      <c r="R2200" t="n">
        <v>1</v>
      </c>
      <c r="S2200"/>
      <c r="T2200" t="s">
        <v>14380</v>
      </c>
      <c r="U2200" t="s">
        <v>14381</v>
      </c>
      <c r="V2200" t="s">
        <v>4175</v>
      </c>
      <c r="W2200"/>
      <c r="X2200"/>
      <c r="Y2200" t="s">
        <v>14382</v>
      </c>
      <c r="Z2200"/>
      <c r="AA2200" t="s">
        <v>14383</v>
      </c>
      <c r="AB2200"/>
      <c r="AC2200"/>
      <c r="AD2200"/>
      <c r="AE2200"/>
      <c r="AF2200" t="s">
        <v>14384</v>
      </c>
      <c r="AG2200" t="n">
        <v>128</v>
      </c>
    </row>
    <row r="2201">
      <c r="A2201" t="s">
        <v>14385</v>
      </c>
      <c r="B2201" t="s">
        <v>28</v>
      </c>
      <c r="C2201" t="s">
        <v>65</v>
      </c>
      <c r="D2201" t="s">
        <v>14386</v>
      </c>
      <c r="E2201" t="s">
        <v>1239</v>
      </c>
      <c r="F2201" t="s">
        <v>1240</v>
      </c>
      <c r="G2201" t="s">
        <v>1241</v>
      </c>
      <c r="H2201" t="n">
        <v>38.535676</v>
      </c>
      <c r="I2201" t="n">
        <v>-105.990683469388</v>
      </c>
      <c r="J2201" t="s">
        <v>35</v>
      </c>
      <c r="K2201" t="s">
        <v>315</v>
      </c>
      <c r="L2201"/>
      <c r="M2201" t="n">
        <v>1992</v>
      </c>
      <c r="N2201" t="n">
        <v>1992</v>
      </c>
      <c r="O2201" t="s">
        <v>1016</v>
      </c>
      <c r="P2201" t="n">
        <v>1</v>
      </c>
      <c r="Q2201" t="n">
        <v>1</v>
      </c>
      <c r="R2201" t="n">
        <v>1</v>
      </c>
      <c r="S2201"/>
      <c r="T2201" t="s">
        <v>14387</v>
      </c>
      <c r="U2201" t="s">
        <v>14388</v>
      </c>
      <c r="V2201" t="s">
        <v>74</v>
      </c>
      <c r="W2201"/>
      <c r="X2201"/>
      <c r="Y2201" t="s">
        <v>14389</v>
      </c>
      <c r="Z2201"/>
      <c r="AA2201" t="s">
        <v>14390</v>
      </c>
      <c r="AB2201"/>
      <c r="AC2201"/>
      <c r="AD2201"/>
      <c r="AE2201"/>
      <c r="AF2201" t="s">
        <v>14391</v>
      </c>
      <c r="AG2201" t="n">
        <v>15</v>
      </c>
    </row>
    <row r="2202">
      <c r="A2202" t="s">
        <v>14392</v>
      </c>
      <c r="B2202" t="s">
        <v>28</v>
      </c>
      <c r="C2202" t="s">
        <v>65</v>
      </c>
      <c r="D2202" t="s">
        <v>14393</v>
      </c>
      <c r="E2202" t="s">
        <v>1253</v>
      </c>
      <c r="F2202" t="s">
        <v>1254</v>
      </c>
      <c r="G2202" t="s">
        <v>1255</v>
      </c>
      <c r="H2202" t="n">
        <v>38.745673</v>
      </c>
      <c r="I2202" t="n">
        <v>-108.069525</v>
      </c>
      <c r="J2202" t="s">
        <v>35</v>
      </c>
      <c r="K2202" t="s">
        <v>315</v>
      </c>
      <c r="L2202"/>
      <c r="M2202" t="n">
        <v>1973</v>
      </c>
      <c r="N2202" t="n">
        <v>1977</v>
      </c>
      <c r="O2202" t="s">
        <v>121</v>
      </c>
      <c r="P2202" t="n">
        <v>2</v>
      </c>
      <c r="Q2202" t="n">
        <v>2</v>
      </c>
      <c r="R2202" t="n">
        <v>1</v>
      </c>
      <c r="S2202" t="n">
        <v>1968</v>
      </c>
      <c r="T2202" t="s">
        <v>14394</v>
      </c>
      <c r="U2202" t="s">
        <v>14395</v>
      </c>
      <c r="V2202" t="s">
        <v>74</v>
      </c>
      <c r="W2202"/>
      <c r="X2202"/>
      <c r="Y2202" t="s">
        <v>14396</v>
      </c>
      <c r="Z2202"/>
      <c r="AA2202"/>
      <c r="AB2202"/>
      <c r="AC2202"/>
      <c r="AD2202"/>
      <c r="AE2202"/>
      <c r="AF2202" t="s">
        <v>1259</v>
      </c>
      <c r="AG2202" t="n">
        <v>16</v>
      </c>
    </row>
    <row r="2203">
      <c r="A2203" t="s">
        <v>14397</v>
      </c>
      <c r="B2203" t="s">
        <v>28</v>
      </c>
      <c r="C2203" t="s">
        <v>24</v>
      </c>
      <c r="D2203" t="s">
        <v>14398</v>
      </c>
      <c r="E2203" t="s">
        <v>1253</v>
      </c>
      <c r="F2203" t="s">
        <v>1254</v>
      </c>
      <c r="G2203" t="s">
        <v>1255</v>
      </c>
      <c r="H2203" t="n">
        <v>38.72996</v>
      </c>
      <c r="I2203" t="n">
        <v>-108.069562</v>
      </c>
      <c r="J2203" t="s">
        <v>4109</v>
      </c>
      <c r="K2203" t="s">
        <v>315</v>
      </c>
      <c r="L2203"/>
      <c r="M2203" t="n">
        <v>1980</v>
      </c>
      <c r="N2203" t="n">
        <v>1980</v>
      </c>
      <c r="O2203" t="s">
        <v>255</v>
      </c>
      <c r="P2203" t="n">
        <v>1</v>
      </c>
      <c r="Q2203" t="n">
        <v>1</v>
      </c>
      <c r="R2203" t="n">
        <v>1</v>
      </c>
      <c r="S2203" t="n">
        <v>1979</v>
      </c>
      <c r="T2203" t="s">
        <v>14399</v>
      </c>
      <c r="U2203" t="s">
        <v>14400</v>
      </c>
      <c r="V2203" t="s">
        <v>74</v>
      </c>
      <c r="W2203"/>
      <c r="X2203"/>
      <c r="Y2203" t="s">
        <v>14401</v>
      </c>
      <c r="Z2203"/>
      <c r="AA2203"/>
      <c r="AB2203"/>
      <c r="AC2203"/>
      <c r="AD2203"/>
      <c r="AE2203"/>
      <c r="AF2203" t="s">
        <v>14402</v>
      </c>
      <c r="AG2203" t="n">
        <v>192</v>
      </c>
    </row>
    <row r="2204">
      <c r="A2204" t="s">
        <v>14403</v>
      </c>
      <c r="B2204" t="s">
        <v>28</v>
      </c>
      <c r="C2204" t="s">
        <v>65</v>
      </c>
      <c r="D2204" t="s">
        <v>14404</v>
      </c>
      <c r="E2204" t="s">
        <v>1253</v>
      </c>
      <c r="F2204" t="s">
        <v>1254</v>
      </c>
      <c r="G2204" t="s">
        <v>1255</v>
      </c>
      <c r="H2204" t="n">
        <v>38.7541146790698</v>
      </c>
      <c r="I2204" t="n">
        <v>-108.034115813954</v>
      </c>
      <c r="J2204" t="s">
        <v>35</v>
      </c>
      <c r="K2204" t="s">
        <v>70</v>
      </c>
      <c r="L2204"/>
      <c r="M2204" t="n">
        <v>1983</v>
      </c>
      <c r="N2204" t="n">
        <v>1990</v>
      </c>
      <c r="O2204" t="s">
        <v>293</v>
      </c>
      <c r="P2204" t="n">
        <v>3</v>
      </c>
      <c r="Q2204" t="n">
        <v>3</v>
      </c>
      <c r="R2204" t="n">
        <v>1</v>
      </c>
      <c r="S2204" t="n">
        <v>1951</v>
      </c>
      <c r="T2204" t="s">
        <v>14405</v>
      </c>
      <c r="U2204" t="s">
        <v>14406</v>
      </c>
      <c r="V2204" t="s">
        <v>74</v>
      </c>
      <c r="W2204"/>
      <c r="X2204"/>
      <c r="Y2204" t="s">
        <v>14407</v>
      </c>
      <c r="Z2204"/>
      <c r="AA2204" t="s">
        <v>14408</v>
      </c>
      <c r="AB2204"/>
      <c r="AC2204"/>
      <c r="AD2204"/>
      <c r="AE2204"/>
      <c r="AF2204" t="s">
        <v>1271</v>
      </c>
      <c r="AG2204" t="n">
        <v>29</v>
      </c>
    </row>
    <row r="2205">
      <c r="A2205" t="s">
        <v>14409</v>
      </c>
      <c r="B2205" t="s">
        <v>28</v>
      </c>
      <c r="C2205" t="s">
        <v>24</v>
      </c>
      <c r="D2205" t="s">
        <v>14410</v>
      </c>
      <c r="E2205" t="s">
        <v>79</v>
      </c>
      <c r="F2205" t="s">
        <v>1274</v>
      </c>
      <c r="G2205"/>
      <c r="H2205" t="n">
        <v>39.667682</v>
      </c>
      <c r="I2205" t="n">
        <v>-104.987572</v>
      </c>
      <c r="J2205" t="s">
        <v>4109</v>
      </c>
      <c r="K2205" t="s">
        <v>120</v>
      </c>
      <c r="L2205"/>
      <c r="M2205" t="n">
        <v>1965</v>
      </c>
      <c r="N2205" t="n">
        <v>1967</v>
      </c>
      <c r="O2205" t="s">
        <v>1275</v>
      </c>
      <c r="P2205" t="n">
        <v>2</v>
      </c>
      <c r="Q2205" t="n">
        <v>2</v>
      </c>
      <c r="R2205" t="n">
        <v>1</v>
      </c>
      <c r="S2205" t="n">
        <v>1963</v>
      </c>
      <c r="T2205" t="s">
        <v>14411</v>
      </c>
      <c r="U2205" t="s">
        <v>14412</v>
      </c>
      <c r="V2205" t="s">
        <v>74</v>
      </c>
      <c r="W2205"/>
      <c r="X2205"/>
      <c r="Y2205" t="s">
        <v>14413</v>
      </c>
      <c r="Z2205"/>
      <c r="AA2205" t="s">
        <v>14414</v>
      </c>
      <c r="AB2205"/>
      <c r="AC2205"/>
      <c r="AD2205"/>
      <c r="AE2205"/>
      <c r="AF2205" t="s">
        <v>14415</v>
      </c>
      <c r="AG2205" t="n">
        <v>23</v>
      </c>
    </row>
    <row r="2206">
      <c r="A2206" t="s">
        <v>14416</v>
      </c>
      <c r="B2206" t="s">
        <v>28</v>
      </c>
      <c r="C2206" t="s">
        <v>65</v>
      </c>
      <c r="D2206" t="s">
        <v>14417</v>
      </c>
      <c r="E2206" t="s">
        <v>79</v>
      </c>
      <c r="F2206" t="s">
        <v>1274</v>
      </c>
      <c r="G2206"/>
      <c r="H2206" t="n">
        <v>39.665332</v>
      </c>
      <c r="I2206" t="n">
        <v>-105.02512</v>
      </c>
      <c r="J2206" t="s">
        <v>35</v>
      </c>
      <c r="K2206" t="s">
        <v>70</v>
      </c>
      <c r="L2206"/>
      <c r="M2206" t="n">
        <v>1965</v>
      </c>
      <c r="N2206" t="n">
        <v>1965</v>
      </c>
      <c r="O2206" t="s">
        <v>1275</v>
      </c>
      <c r="P2206" t="n">
        <v>1</v>
      </c>
      <c r="Q2206" t="n">
        <v>1</v>
      </c>
      <c r="R2206" t="n">
        <v>1</v>
      </c>
      <c r="S2206"/>
      <c r="T2206" t="s">
        <v>14418</v>
      </c>
      <c r="U2206" t="s">
        <v>14419</v>
      </c>
      <c r="V2206" t="s">
        <v>74</v>
      </c>
      <c r="W2206"/>
      <c r="X2206"/>
      <c r="Y2206" t="s">
        <v>14420</v>
      </c>
      <c r="Z2206"/>
      <c r="AA2206" t="s">
        <v>14421</v>
      </c>
      <c r="AB2206"/>
      <c r="AC2206"/>
      <c r="AD2206"/>
      <c r="AE2206"/>
      <c r="AF2206" t="s">
        <v>14422</v>
      </c>
      <c r="AG2206" t="n">
        <v>8</v>
      </c>
    </row>
    <row r="2207">
      <c r="A2207" t="s">
        <v>14423</v>
      </c>
      <c r="B2207" t="s">
        <v>28</v>
      </c>
      <c r="C2207" t="s">
        <v>65</v>
      </c>
      <c r="D2207" t="s">
        <v>14424</v>
      </c>
      <c r="E2207" t="s">
        <v>386</v>
      </c>
      <c r="F2207" t="s">
        <v>1274</v>
      </c>
      <c r="G2207"/>
      <c r="H2207" t="n">
        <v>39.611788</v>
      </c>
      <c r="I2207" t="n">
        <v>-105.017312</v>
      </c>
      <c r="J2207" t="s">
        <v>35</v>
      </c>
      <c r="K2207" t="s">
        <v>201</v>
      </c>
      <c r="L2207"/>
      <c r="M2207" t="n">
        <v>1965</v>
      </c>
      <c r="N2207" t="n">
        <v>1983</v>
      </c>
      <c r="O2207" t="s">
        <v>14425</v>
      </c>
      <c r="P2207" t="n">
        <v>9</v>
      </c>
      <c r="Q2207" t="n">
        <v>4</v>
      </c>
      <c r="R2207" t="n">
        <v>3</v>
      </c>
      <c r="S2207" t="n">
        <v>1922</v>
      </c>
      <c r="T2207" t="s">
        <v>14426</v>
      </c>
      <c r="U2207" t="s">
        <v>14427</v>
      </c>
      <c r="V2207" t="s">
        <v>74</v>
      </c>
      <c r="W2207"/>
      <c r="X2207"/>
      <c r="Y2207" t="s">
        <v>14428</v>
      </c>
      <c r="Z2207"/>
      <c r="AA2207"/>
      <c r="AB2207" t="s">
        <v>14429</v>
      </c>
      <c r="AC2207" t="n">
        <v>90</v>
      </c>
      <c r="AD2207"/>
      <c r="AE2207"/>
      <c r="AF2207" t="s">
        <v>13138</v>
      </c>
      <c r="AG2207" t="n">
        <v>102</v>
      </c>
    </row>
    <row r="2208">
      <c r="A2208" t="s">
        <v>14430</v>
      </c>
      <c r="B2208" t="s">
        <v>28</v>
      </c>
      <c r="C2208" t="s">
        <v>24</v>
      </c>
      <c r="D2208" t="s">
        <v>14431</v>
      </c>
      <c r="E2208" t="s">
        <v>386</v>
      </c>
      <c r="F2208" t="s">
        <v>1274</v>
      </c>
      <c r="G2208"/>
      <c r="H2208" t="n">
        <v>39.6137299609492</v>
      </c>
      <c r="I2208" t="n">
        <v>-105.01808989103</v>
      </c>
      <c r="J2208" t="s">
        <v>35</v>
      </c>
      <c r="K2208" t="s">
        <v>70</v>
      </c>
      <c r="L2208"/>
      <c r="M2208" t="n">
        <v>1965</v>
      </c>
      <c r="N2208" t="n">
        <v>1988</v>
      </c>
      <c r="O2208" t="s">
        <v>4172</v>
      </c>
      <c r="P2208" t="n">
        <v>5</v>
      </c>
      <c r="Q2208" t="n">
        <v>8</v>
      </c>
      <c r="R2208" t="n">
        <v>1</v>
      </c>
      <c r="S2208" t="n">
        <v>1888</v>
      </c>
      <c r="T2208" t="s">
        <v>14432</v>
      </c>
      <c r="U2208" t="s">
        <v>14433</v>
      </c>
      <c r="V2208" t="s">
        <v>4175</v>
      </c>
      <c r="W2208"/>
      <c r="X2208"/>
      <c r="Y2208" t="s">
        <v>14434</v>
      </c>
      <c r="Z2208"/>
      <c r="AA2208" t="s">
        <v>14435</v>
      </c>
      <c r="AB2208"/>
      <c r="AC2208"/>
      <c r="AD2208"/>
      <c r="AE2208"/>
      <c r="AF2208" t="s">
        <v>10783</v>
      </c>
      <c r="AG2208" t="n">
        <v>62</v>
      </c>
    </row>
    <row r="2209">
      <c r="A2209" t="s">
        <v>14436</v>
      </c>
      <c r="B2209" t="s">
        <v>28</v>
      </c>
      <c r="C2209" t="s">
        <v>24</v>
      </c>
      <c r="D2209" t="s">
        <v>14437</v>
      </c>
      <c r="E2209" t="s">
        <v>79</v>
      </c>
      <c r="F2209" t="s">
        <v>1274</v>
      </c>
      <c r="G2209"/>
      <c r="H2209" t="n">
        <v>39.7228756370697</v>
      </c>
      <c r="I2209" t="n">
        <v>-105.001482634314</v>
      </c>
      <c r="J2209" t="s">
        <v>4109</v>
      </c>
      <c r="K2209" t="s">
        <v>70</v>
      </c>
      <c r="L2209"/>
      <c r="M2209" t="n">
        <v>1965</v>
      </c>
      <c r="N2209" t="n">
        <v>1968</v>
      </c>
      <c r="O2209" t="s">
        <v>1275</v>
      </c>
      <c r="P2209" t="n">
        <v>2</v>
      </c>
      <c r="Q2209" t="n">
        <v>3</v>
      </c>
      <c r="R2209" t="n">
        <v>2</v>
      </c>
      <c r="S2209" t="n">
        <v>1924</v>
      </c>
      <c r="T2209" t="s">
        <v>14438</v>
      </c>
      <c r="U2209" t="s">
        <v>14439</v>
      </c>
      <c r="V2209" t="s">
        <v>74</v>
      </c>
      <c r="W2209"/>
      <c r="X2209"/>
      <c r="Y2209" t="s">
        <v>14440</v>
      </c>
      <c r="Z2209"/>
      <c r="AA2209"/>
      <c r="AB2209" t="s">
        <v>14441</v>
      </c>
      <c r="AC2209" t="n">
        <v>140</v>
      </c>
      <c r="AD2209" t="s">
        <v>2076</v>
      </c>
      <c r="AE2209" t="n">
        <v>153</v>
      </c>
      <c r="AF2209" t="s">
        <v>14442</v>
      </c>
      <c r="AG2209" t="n">
        <v>42</v>
      </c>
    </row>
    <row r="2210">
      <c r="A2210" t="s">
        <v>14443</v>
      </c>
      <c r="B2210" t="s">
        <v>28</v>
      </c>
      <c r="C2210" t="s">
        <v>24</v>
      </c>
      <c r="D2210" t="s">
        <v>14444</v>
      </c>
      <c r="E2210" t="s">
        <v>79</v>
      </c>
      <c r="F2210" t="s">
        <v>1274</v>
      </c>
      <c r="G2210"/>
      <c r="H2210" t="n">
        <v>39.7340091338396</v>
      </c>
      <c r="I2210" t="n">
        <v>-105.015984652027</v>
      </c>
      <c r="J2210" t="s">
        <v>4109</v>
      </c>
      <c r="K2210" t="s">
        <v>5187</v>
      </c>
      <c r="L2210"/>
      <c r="M2210" t="n">
        <v>1965</v>
      </c>
      <c r="N2210" t="n">
        <v>1992</v>
      </c>
      <c r="O2210" t="s">
        <v>14445</v>
      </c>
      <c r="P2210" t="n">
        <v>2</v>
      </c>
      <c r="Q2210" t="n">
        <v>2</v>
      </c>
      <c r="R2210" t="n">
        <v>2</v>
      </c>
      <c r="S2210"/>
      <c r="T2210" t="s">
        <v>14446</v>
      </c>
      <c r="U2210" t="s">
        <v>14447</v>
      </c>
      <c r="V2210" t="s">
        <v>74</v>
      </c>
      <c r="W2210"/>
      <c r="X2210"/>
      <c r="Y2210" t="s">
        <v>14448</v>
      </c>
      <c r="Z2210"/>
      <c r="AA2210"/>
      <c r="AB2210" t="s">
        <v>14449</v>
      </c>
      <c r="AC2210" t="n">
        <v>210</v>
      </c>
      <c r="AD2210"/>
      <c r="AE2210"/>
      <c r="AF2210" t="s">
        <v>14450</v>
      </c>
      <c r="AG2210" t="n">
        <v>7</v>
      </c>
    </row>
    <row r="2211">
      <c r="A2211" t="s">
        <v>14451</v>
      </c>
      <c r="B2211" t="s">
        <v>28</v>
      </c>
      <c r="C2211" t="s">
        <v>24</v>
      </c>
      <c r="D2211" t="s">
        <v>14452</v>
      </c>
      <c r="E2211" t="s">
        <v>79</v>
      </c>
      <c r="F2211" t="s">
        <v>1274</v>
      </c>
      <c r="G2211"/>
      <c r="H2211" t="n">
        <v>39.7232686674365</v>
      </c>
      <c r="I2211" t="n">
        <v>-104.987483138193</v>
      </c>
      <c r="J2211" t="s">
        <v>4109</v>
      </c>
      <c r="K2211" t="s">
        <v>120</v>
      </c>
      <c r="L2211"/>
      <c r="M2211" t="n">
        <v>1965</v>
      </c>
      <c r="N2211" t="n">
        <v>1988</v>
      </c>
      <c r="O2211" t="s">
        <v>1275</v>
      </c>
      <c r="P2211" t="n">
        <v>9</v>
      </c>
      <c r="Q2211" t="n">
        <v>6</v>
      </c>
      <c r="R2211" t="n">
        <v>1</v>
      </c>
      <c r="S2211" t="n">
        <v>1916</v>
      </c>
      <c r="T2211" t="s">
        <v>14453</v>
      </c>
      <c r="U2211" t="s">
        <v>14454</v>
      </c>
      <c r="V2211" t="s">
        <v>74</v>
      </c>
      <c r="W2211"/>
      <c r="X2211"/>
      <c r="Y2211" t="s">
        <v>14455</v>
      </c>
      <c r="Z2211"/>
      <c r="AA2211" t="s">
        <v>14456</v>
      </c>
      <c r="AB2211" t="s">
        <v>14457</v>
      </c>
      <c r="AC2211" t="n">
        <v>223</v>
      </c>
      <c r="AD2211"/>
      <c r="AE2211"/>
      <c r="AF2211" t="s">
        <v>4410</v>
      </c>
      <c r="AG2211" t="n">
        <v>46</v>
      </c>
    </row>
    <row r="2212">
      <c r="A2212" t="s">
        <v>14458</v>
      </c>
      <c r="B2212" t="s">
        <v>28</v>
      </c>
      <c r="C2212" t="s">
        <v>24</v>
      </c>
      <c r="D2212" t="s">
        <v>14459</v>
      </c>
      <c r="E2212" t="s">
        <v>79</v>
      </c>
      <c r="F2212" t="s">
        <v>1274</v>
      </c>
      <c r="G2212"/>
      <c r="H2212" t="n">
        <v>39.735266</v>
      </c>
      <c r="I2212" t="n">
        <v>-104.9976</v>
      </c>
      <c r="J2212" t="s">
        <v>4109</v>
      </c>
      <c r="K2212" t="s">
        <v>70</v>
      </c>
      <c r="L2212"/>
      <c r="M2212" t="n">
        <v>1965</v>
      </c>
      <c r="N2212" t="n">
        <v>1992</v>
      </c>
      <c r="O2212" t="s">
        <v>1428</v>
      </c>
      <c r="P2212" t="n">
        <v>5</v>
      </c>
      <c r="Q2212" t="n">
        <v>4</v>
      </c>
      <c r="R2212" t="n">
        <v>2</v>
      </c>
      <c r="S2212" t="n">
        <v>1947</v>
      </c>
      <c r="T2212" t="s">
        <v>14460</v>
      </c>
      <c r="U2212" t="s">
        <v>14461</v>
      </c>
      <c r="V2212" t="s">
        <v>74</v>
      </c>
      <c r="W2212"/>
      <c r="X2212"/>
      <c r="Y2212" t="s">
        <v>14462</v>
      </c>
      <c r="Z2212"/>
      <c r="AA2212" t="s">
        <v>14463</v>
      </c>
      <c r="AB2212"/>
      <c r="AC2212"/>
      <c r="AD2212"/>
      <c r="AE2212"/>
      <c r="AF2212" t="s">
        <v>1757</v>
      </c>
      <c r="AG2212" t="n">
        <v>110</v>
      </c>
    </row>
    <row r="2213">
      <c r="A2213" t="s">
        <v>14464</v>
      </c>
      <c r="B2213" t="s">
        <v>28</v>
      </c>
      <c r="C2213" t="s">
        <v>65</v>
      </c>
      <c r="D2213" t="s">
        <v>14465</v>
      </c>
      <c r="E2213" t="s">
        <v>79</v>
      </c>
      <c r="F2213" t="s">
        <v>1274</v>
      </c>
      <c r="G2213"/>
      <c r="H2213" t="n">
        <v>39.7304191785711</v>
      </c>
      <c r="I2213" t="n">
        <v>-105.019279177835</v>
      </c>
      <c r="J2213" t="s">
        <v>35</v>
      </c>
      <c r="K2213" t="s">
        <v>270</v>
      </c>
      <c r="L2213"/>
      <c r="M2213" t="n">
        <v>1965</v>
      </c>
      <c r="N2213" t="n">
        <v>1983</v>
      </c>
      <c r="O2213" t="s">
        <v>7703</v>
      </c>
      <c r="P2213" t="n">
        <v>10</v>
      </c>
      <c r="Q2213" t="n">
        <v>9</v>
      </c>
      <c r="R2213" t="n">
        <v>3</v>
      </c>
      <c r="S2213" t="n">
        <v>1893</v>
      </c>
      <c r="T2213" t="s">
        <v>14466</v>
      </c>
      <c r="U2213" t="s">
        <v>14467</v>
      </c>
      <c r="V2213" t="s">
        <v>74</v>
      </c>
      <c r="W2213"/>
      <c r="X2213"/>
      <c r="Y2213" t="s">
        <v>14468</v>
      </c>
      <c r="Z2213"/>
      <c r="AA2213" t="s">
        <v>14469</v>
      </c>
      <c r="AB2213"/>
      <c r="AC2213"/>
      <c r="AD2213"/>
      <c r="AE2213"/>
      <c r="AF2213" t="s">
        <v>11228</v>
      </c>
      <c r="AG2213" t="n">
        <v>29</v>
      </c>
    </row>
    <row r="2214">
      <c r="A2214" t="s">
        <v>14470</v>
      </c>
      <c r="B2214" t="s">
        <v>28</v>
      </c>
      <c r="C2214" t="s">
        <v>24</v>
      </c>
      <c r="D2214" t="s">
        <v>14471</v>
      </c>
      <c r="E2214" t="s">
        <v>79</v>
      </c>
      <c r="F2214" t="s">
        <v>1274</v>
      </c>
      <c r="G2214"/>
      <c r="H2214" t="n">
        <v>39.7211658585244</v>
      </c>
      <c r="I2214" t="n">
        <v>-105.019643571422</v>
      </c>
      <c r="J2214" t="s">
        <v>35</v>
      </c>
      <c r="K2214" t="s">
        <v>70</v>
      </c>
      <c r="L2214"/>
      <c r="M2214" t="n">
        <v>1965</v>
      </c>
      <c r="N2214" t="n">
        <v>1967</v>
      </c>
      <c r="O2214" t="s">
        <v>4172</v>
      </c>
      <c r="P2214" t="n">
        <v>3</v>
      </c>
      <c r="Q2214" t="n">
        <v>1</v>
      </c>
      <c r="R2214" t="n">
        <v>1</v>
      </c>
      <c r="S2214" t="n">
        <v>1963</v>
      </c>
      <c r="T2214" t="s">
        <v>14472</v>
      </c>
      <c r="U2214" t="s">
        <v>14473</v>
      </c>
      <c r="V2214" t="s">
        <v>4175</v>
      </c>
      <c r="W2214"/>
      <c r="X2214"/>
      <c r="Y2214" t="s">
        <v>14474</v>
      </c>
      <c r="Z2214"/>
      <c r="AA2214"/>
      <c r="AB2214" t="s">
        <v>14475</v>
      </c>
      <c r="AC2214" t="n">
        <v>121</v>
      </c>
      <c r="AD2214"/>
      <c r="AE2214"/>
      <c r="AF2214" t="s">
        <v>14476</v>
      </c>
      <c r="AG2214" t="n">
        <v>16</v>
      </c>
    </row>
    <row r="2215">
      <c r="A2215" t="s">
        <v>14477</v>
      </c>
      <c r="B2215" t="s">
        <v>28</v>
      </c>
      <c r="C2215" t="s">
        <v>65</v>
      </c>
      <c r="D2215" t="s">
        <v>14478</v>
      </c>
      <c r="E2215" t="s">
        <v>79</v>
      </c>
      <c r="F2215" t="s">
        <v>1274</v>
      </c>
      <c r="G2215"/>
      <c r="H2215" t="n">
        <v>39.7562126122449</v>
      </c>
      <c r="I2215" t="n">
        <v>-104.983145734694</v>
      </c>
      <c r="J2215" t="s">
        <v>35</v>
      </c>
      <c r="K2215" t="s">
        <v>767</v>
      </c>
      <c r="L2215"/>
      <c r="M2215" t="n">
        <v>1965</v>
      </c>
      <c r="N2215" t="n">
        <v>1983</v>
      </c>
      <c r="O2215" t="s">
        <v>14479</v>
      </c>
      <c r="P2215" t="n">
        <v>9</v>
      </c>
      <c r="Q2215" t="n">
        <v>4</v>
      </c>
      <c r="R2215" t="n">
        <v>3</v>
      </c>
      <c r="S2215" t="n">
        <v>1973</v>
      </c>
      <c r="T2215" t="s">
        <v>14480</v>
      </c>
      <c r="U2215" t="s">
        <v>14481</v>
      </c>
      <c r="V2215" t="s">
        <v>74</v>
      </c>
      <c r="W2215"/>
      <c r="X2215"/>
      <c r="Y2215" t="s">
        <v>14482</v>
      </c>
      <c r="Z2215"/>
      <c r="AA2215"/>
      <c r="AB2215" t="s">
        <v>6687</v>
      </c>
      <c r="AC2215" t="n">
        <v>218</v>
      </c>
      <c r="AD2215"/>
      <c r="AE2215"/>
      <c r="AF2215" t="s">
        <v>14483</v>
      </c>
      <c r="AG2215" t="n">
        <v>21</v>
      </c>
    </row>
    <row r="2216">
      <c r="A2216" t="s">
        <v>14484</v>
      </c>
      <c r="B2216" t="s">
        <v>28</v>
      </c>
      <c r="C2216" t="s">
        <v>65</v>
      </c>
      <c r="D2216" t="s">
        <v>14485</v>
      </c>
      <c r="E2216" t="s">
        <v>79</v>
      </c>
      <c r="F2216" t="s">
        <v>1274</v>
      </c>
      <c r="G2216"/>
      <c r="H2216" t="n">
        <v>39.7130373520408</v>
      </c>
      <c r="I2216" t="n">
        <v>-105.005239870748</v>
      </c>
      <c r="J2216" t="s">
        <v>35</v>
      </c>
      <c r="K2216" t="s">
        <v>767</v>
      </c>
      <c r="L2216" t="s">
        <v>554</v>
      </c>
      <c r="M2216" t="n">
        <v>1965</v>
      </c>
      <c r="N2216" t="n">
        <v>1992</v>
      </c>
      <c r="O2216" t="s">
        <v>14486</v>
      </c>
      <c r="P2216" t="n">
        <v>8</v>
      </c>
      <c r="Q2216" t="n">
        <v>8</v>
      </c>
      <c r="R2216" t="n">
        <v>4</v>
      </c>
      <c r="S2216" t="n">
        <v>1944</v>
      </c>
      <c r="T2216" t="s">
        <v>14487</v>
      </c>
      <c r="U2216" t="s">
        <v>14488</v>
      </c>
      <c r="V2216" t="s">
        <v>74</v>
      </c>
      <c r="W2216"/>
      <c r="X2216"/>
      <c r="Y2216" t="s">
        <v>14489</v>
      </c>
      <c r="Z2216"/>
      <c r="AA2216" t="s">
        <v>14490</v>
      </c>
      <c r="AB2216" t="s">
        <v>2089</v>
      </c>
      <c r="AC2216" t="n">
        <v>169</v>
      </c>
      <c r="AD2216"/>
      <c r="AE2216"/>
      <c r="AF2216" t="s">
        <v>1990</v>
      </c>
      <c r="AG2216" t="n">
        <v>12</v>
      </c>
    </row>
    <row r="2217">
      <c r="A2217" t="s">
        <v>14491</v>
      </c>
      <c r="B2217" t="s">
        <v>28</v>
      </c>
      <c r="C2217" t="s">
        <v>65</v>
      </c>
      <c r="D2217" t="s">
        <v>14492</v>
      </c>
      <c r="E2217" t="s">
        <v>79</v>
      </c>
      <c r="F2217" t="s">
        <v>1274</v>
      </c>
      <c r="G2217"/>
      <c r="H2217" t="n">
        <v>39.6804372215038</v>
      </c>
      <c r="I2217" t="n">
        <v>-104.991110363668</v>
      </c>
      <c r="J2217" t="s">
        <v>35</v>
      </c>
      <c r="K2217" t="s">
        <v>885</v>
      </c>
      <c r="L2217"/>
      <c r="M2217" t="n">
        <v>1965</v>
      </c>
      <c r="N2217" t="n">
        <v>1990</v>
      </c>
      <c r="O2217" t="s">
        <v>14493</v>
      </c>
      <c r="P2217" t="n">
        <v>9</v>
      </c>
      <c r="Q2217" t="n">
        <v>9</v>
      </c>
      <c r="R2217" t="n">
        <v>7</v>
      </c>
      <c r="S2217" t="n">
        <v>1955</v>
      </c>
      <c r="T2217" t="s">
        <v>14494</v>
      </c>
      <c r="U2217" t="s">
        <v>14495</v>
      </c>
      <c r="V2217" t="s">
        <v>74</v>
      </c>
      <c r="W2217"/>
      <c r="X2217"/>
      <c r="Y2217" t="s">
        <v>14496</v>
      </c>
      <c r="Z2217"/>
      <c r="AA2217"/>
      <c r="AB2217"/>
      <c r="AC2217"/>
      <c r="AD2217"/>
      <c r="AE2217"/>
      <c r="AF2217" t="s">
        <v>1432</v>
      </c>
      <c r="AG2217" t="n">
        <v>39</v>
      </c>
    </row>
    <row r="2218">
      <c r="A2218" t="s">
        <v>14497</v>
      </c>
      <c r="B2218" t="s">
        <v>28</v>
      </c>
      <c r="C2218" t="s">
        <v>65</v>
      </c>
      <c r="D2218" t="s">
        <v>14498</v>
      </c>
      <c r="E2218" t="s">
        <v>79</v>
      </c>
      <c r="F2218" t="s">
        <v>1274</v>
      </c>
      <c r="G2218"/>
      <c r="H2218" t="n">
        <v>39.6942579944653</v>
      </c>
      <c r="I2218" t="n">
        <v>-104.997995935967</v>
      </c>
      <c r="J2218" t="s">
        <v>35</v>
      </c>
      <c r="K2218" t="s">
        <v>783</v>
      </c>
      <c r="L2218"/>
      <c r="M2218" t="n">
        <v>1965</v>
      </c>
      <c r="N2218" t="n">
        <v>1988</v>
      </c>
      <c r="O2218" t="s">
        <v>134</v>
      </c>
      <c r="P2218" t="n">
        <v>7</v>
      </c>
      <c r="Q2218" t="n">
        <v>9</v>
      </c>
      <c r="R2218" t="n">
        <v>3</v>
      </c>
      <c r="S2218" t="n">
        <v>1944</v>
      </c>
      <c r="T2218" t="s">
        <v>14499</v>
      </c>
      <c r="U2218" t="s">
        <v>14500</v>
      </c>
      <c r="V2218" t="s">
        <v>74</v>
      </c>
      <c r="W2218"/>
      <c r="X2218"/>
      <c r="Y2218" t="s">
        <v>14501</v>
      </c>
      <c r="Z2218"/>
      <c r="AA2218" t="s">
        <v>14502</v>
      </c>
      <c r="AB2218"/>
      <c r="AC2218"/>
      <c r="AD2218"/>
      <c r="AE2218"/>
      <c r="AF2218" t="s">
        <v>14503</v>
      </c>
      <c r="AG2218" t="n">
        <v>20</v>
      </c>
    </row>
    <row r="2219">
      <c r="A2219" t="s">
        <v>14504</v>
      </c>
      <c r="B2219" t="s">
        <v>28</v>
      </c>
      <c r="C2219" t="s">
        <v>65</v>
      </c>
      <c r="D2219" t="s">
        <v>14505</v>
      </c>
      <c r="E2219" t="s">
        <v>79</v>
      </c>
      <c r="F2219" t="s">
        <v>1274</v>
      </c>
      <c r="G2219"/>
      <c r="H2219" t="n">
        <v>39.7838843416883</v>
      </c>
      <c r="I2219" t="n">
        <v>-104.999228462853</v>
      </c>
      <c r="J2219" t="s">
        <v>35</v>
      </c>
      <c r="K2219" t="s">
        <v>81</v>
      </c>
      <c r="L2219"/>
      <c r="M2219" t="n">
        <v>1965</v>
      </c>
      <c r="N2219" t="n">
        <v>1980</v>
      </c>
      <c r="O2219" t="s">
        <v>14506</v>
      </c>
      <c r="P2219" t="n">
        <v>7</v>
      </c>
      <c r="Q2219" t="n">
        <v>5</v>
      </c>
      <c r="R2219" t="n">
        <v>4</v>
      </c>
      <c r="S2219" t="n">
        <v>1945</v>
      </c>
      <c r="T2219" t="s">
        <v>14507</v>
      </c>
      <c r="U2219" t="s">
        <v>14508</v>
      </c>
      <c r="V2219" t="s">
        <v>74</v>
      </c>
      <c r="W2219"/>
      <c r="X2219"/>
      <c r="Y2219" t="s">
        <v>14509</v>
      </c>
      <c r="Z2219"/>
      <c r="AA2219" t="s">
        <v>14510</v>
      </c>
      <c r="AB2219"/>
      <c r="AC2219"/>
      <c r="AD2219"/>
      <c r="AE2219"/>
      <c r="AF2219" t="s">
        <v>8807</v>
      </c>
      <c r="AG2219" t="n">
        <v>29</v>
      </c>
    </row>
    <row r="2220">
      <c r="A2220" t="s">
        <v>14511</v>
      </c>
      <c r="B2220" t="s">
        <v>28</v>
      </c>
      <c r="C2220" t="s">
        <v>65</v>
      </c>
      <c r="D2220" t="s">
        <v>14512</v>
      </c>
      <c r="E2220" t="s">
        <v>79</v>
      </c>
      <c r="F2220" t="s">
        <v>1274</v>
      </c>
      <c r="G2220"/>
      <c r="H2220" t="n">
        <v>39.7862399958163</v>
      </c>
      <c r="I2220" t="n">
        <v>-104.959277160879</v>
      </c>
      <c r="J2220" t="s">
        <v>35</v>
      </c>
      <c r="K2220" t="s">
        <v>89</v>
      </c>
      <c r="L2220"/>
      <c r="M2220" t="n">
        <v>1965</v>
      </c>
      <c r="N2220" t="n">
        <v>1992</v>
      </c>
      <c r="O2220" t="s">
        <v>14513</v>
      </c>
      <c r="P2220" t="n">
        <v>10</v>
      </c>
      <c r="Q2220" t="n">
        <v>4</v>
      </c>
      <c r="R2220" t="n">
        <v>3</v>
      </c>
      <c r="S2220" t="n">
        <v>1923</v>
      </c>
      <c r="T2220" t="s">
        <v>14514</v>
      </c>
      <c r="U2220" t="s">
        <v>14515</v>
      </c>
      <c r="V2220" t="s">
        <v>74</v>
      </c>
      <c r="W2220"/>
      <c r="X2220"/>
      <c r="Y2220" t="s">
        <v>14516</v>
      </c>
      <c r="Z2220"/>
      <c r="AA2220" t="s">
        <v>14517</v>
      </c>
      <c r="AB2220"/>
      <c r="AC2220"/>
      <c r="AD2220" t="s">
        <v>14518</v>
      </c>
      <c r="AE2220" t="n">
        <v>167</v>
      </c>
      <c r="AF2220" t="s">
        <v>14519</v>
      </c>
      <c r="AG2220" t="n">
        <v>30</v>
      </c>
    </row>
    <row r="2221">
      <c r="A2221" t="s">
        <v>14520</v>
      </c>
      <c r="B2221" t="s">
        <v>28</v>
      </c>
      <c r="C2221" t="s">
        <v>24</v>
      </c>
      <c r="D2221" t="s">
        <v>14521</v>
      </c>
      <c r="E2221" t="s">
        <v>79</v>
      </c>
      <c r="F2221" t="s">
        <v>1274</v>
      </c>
      <c r="G2221"/>
      <c r="H2221" t="n">
        <v>39.7445170316297</v>
      </c>
      <c r="I2221" t="n">
        <v>-105.009101094555</v>
      </c>
      <c r="J2221" t="s">
        <v>4109</v>
      </c>
      <c r="K2221" t="s">
        <v>70</v>
      </c>
      <c r="L2221"/>
      <c r="M2221" t="n">
        <v>1965</v>
      </c>
      <c r="N2221" t="n">
        <v>1974</v>
      </c>
      <c r="O2221" t="s">
        <v>210</v>
      </c>
      <c r="P2221" t="n">
        <v>3</v>
      </c>
      <c r="Q2221" t="n">
        <v>3</v>
      </c>
      <c r="R2221" t="n">
        <v>1</v>
      </c>
      <c r="S2221" t="n">
        <v>1885</v>
      </c>
      <c r="T2221" t="s">
        <v>14522</v>
      </c>
      <c r="U2221" t="s">
        <v>14523</v>
      </c>
      <c r="V2221" t="s">
        <v>74</v>
      </c>
      <c r="W2221"/>
      <c r="X2221"/>
      <c r="Y2221" t="s">
        <v>14524</v>
      </c>
      <c r="Z2221"/>
      <c r="AA2221" t="s">
        <v>14525</v>
      </c>
      <c r="AB2221" t="s">
        <v>6970</v>
      </c>
      <c r="AC2221" t="n">
        <v>223</v>
      </c>
      <c r="AD2221"/>
      <c r="AE2221"/>
      <c r="AF2221" t="s">
        <v>14526</v>
      </c>
      <c r="AG2221" t="n">
        <v>24</v>
      </c>
    </row>
    <row r="2222">
      <c r="A2222" t="s">
        <v>14527</v>
      </c>
      <c r="B2222" t="s">
        <v>28</v>
      </c>
      <c r="C2222" t="s">
        <v>65</v>
      </c>
      <c r="D2222" t="s">
        <v>14528</v>
      </c>
      <c r="E2222" t="s">
        <v>79</v>
      </c>
      <c r="F2222" t="s">
        <v>1274</v>
      </c>
      <c r="G2222"/>
      <c r="H2222" t="n">
        <v>39.7011498244362</v>
      </c>
      <c r="I2222" t="n">
        <v>-105.001528355698</v>
      </c>
      <c r="J2222" t="s">
        <v>35</v>
      </c>
      <c r="K2222" t="s">
        <v>14529</v>
      </c>
      <c r="L2222" t="s">
        <v>98</v>
      </c>
      <c r="M2222" t="n">
        <v>1965</v>
      </c>
      <c r="N2222" t="n">
        <v>1990</v>
      </c>
      <c r="O2222" t="s">
        <v>14530</v>
      </c>
      <c r="P2222" t="n">
        <v>8</v>
      </c>
      <c r="Q2222" t="n">
        <v>1</v>
      </c>
      <c r="R2222" t="n">
        <v>1</v>
      </c>
      <c r="S2222" t="n">
        <v>1946</v>
      </c>
      <c r="T2222" t="s">
        <v>14531</v>
      </c>
      <c r="U2222" t="s">
        <v>14532</v>
      </c>
      <c r="V2222" t="s">
        <v>74</v>
      </c>
      <c r="W2222"/>
      <c r="X2222"/>
      <c r="Y2222" t="s">
        <v>14533</v>
      </c>
      <c r="Z2222"/>
      <c r="AA2222"/>
      <c r="AB2222"/>
      <c r="AC2222"/>
      <c r="AD2222" t="s">
        <v>1478</v>
      </c>
      <c r="AE2222" t="n">
        <v>207</v>
      </c>
      <c r="AF2222" t="s">
        <v>1805</v>
      </c>
      <c r="AG2222" t="n">
        <v>10</v>
      </c>
    </row>
    <row r="2223">
      <c r="A2223" t="s">
        <v>14534</v>
      </c>
      <c r="B2223" t="s">
        <v>28</v>
      </c>
      <c r="C2223" t="s">
        <v>65</v>
      </c>
      <c r="D2223" t="s">
        <v>14535</v>
      </c>
      <c r="E2223" t="s">
        <v>79</v>
      </c>
      <c r="F2223" t="s">
        <v>1274</v>
      </c>
      <c r="G2223"/>
      <c r="H2223" t="n">
        <v>39.7521094140166</v>
      </c>
      <c r="I2223" t="n">
        <v>-104.988444845736</v>
      </c>
      <c r="J2223" t="s">
        <v>35</v>
      </c>
      <c r="K2223" t="s">
        <v>5212</v>
      </c>
      <c r="L2223"/>
      <c r="M2223" t="n">
        <v>1965</v>
      </c>
      <c r="N2223" t="n">
        <v>1990</v>
      </c>
      <c r="O2223" t="s">
        <v>14536</v>
      </c>
      <c r="P2223" t="n">
        <v>12</v>
      </c>
      <c r="Q2223" t="n">
        <v>7</v>
      </c>
      <c r="R2223" t="n">
        <v>2</v>
      </c>
      <c r="S2223" t="n">
        <v>1925</v>
      </c>
      <c r="T2223" t="s">
        <v>14537</v>
      </c>
      <c r="U2223" t="s">
        <v>14538</v>
      </c>
      <c r="V2223" t="s">
        <v>74</v>
      </c>
      <c r="W2223"/>
      <c r="X2223"/>
      <c r="Y2223" t="s">
        <v>14539</v>
      </c>
      <c r="Z2223"/>
      <c r="AA2223"/>
      <c r="AB2223" t="s">
        <v>1577</v>
      </c>
      <c r="AC2223" t="n">
        <v>108</v>
      </c>
      <c r="AD2223"/>
      <c r="AE2223"/>
      <c r="AF2223" t="s">
        <v>14540</v>
      </c>
      <c r="AG2223" t="n">
        <v>51</v>
      </c>
    </row>
    <row r="2224">
      <c r="A2224" t="s">
        <v>14541</v>
      </c>
      <c r="B2224" t="s">
        <v>28</v>
      </c>
      <c r="C2224" t="s">
        <v>65</v>
      </c>
      <c r="D2224" t="s">
        <v>14542</v>
      </c>
      <c r="E2224" t="s">
        <v>79</v>
      </c>
      <c r="F2224" t="s">
        <v>1274</v>
      </c>
      <c r="G2224"/>
      <c r="H2224" t="n">
        <v>39.7207343649617</v>
      </c>
      <c r="I2224" t="n">
        <v>-105.005536591695</v>
      </c>
      <c r="J2224" t="s">
        <v>35</v>
      </c>
      <c r="K2224" t="s">
        <v>1242</v>
      </c>
      <c r="L2224"/>
      <c r="M2224" t="n">
        <v>1965</v>
      </c>
      <c r="N2224" t="n">
        <v>1983</v>
      </c>
      <c r="O2224" t="s">
        <v>14543</v>
      </c>
      <c r="P2224" t="n">
        <v>9</v>
      </c>
      <c r="Q2224" t="n">
        <v>10</v>
      </c>
      <c r="R2224" t="n">
        <v>3</v>
      </c>
      <c r="S2224" t="n">
        <v>1906</v>
      </c>
      <c r="T2224" t="s">
        <v>14544</v>
      </c>
      <c r="U2224" t="s">
        <v>14545</v>
      </c>
      <c r="V2224" t="s">
        <v>74</v>
      </c>
      <c r="W2224"/>
      <c r="X2224"/>
      <c r="Y2224" t="s">
        <v>14546</v>
      </c>
      <c r="Z2224"/>
      <c r="AA2224" t="s">
        <v>14547</v>
      </c>
      <c r="AB2224"/>
      <c r="AC2224"/>
      <c r="AD2224"/>
      <c r="AE2224"/>
      <c r="AF2224" t="s">
        <v>2148</v>
      </c>
      <c r="AG2224" t="n">
        <v>42</v>
      </c>
    </row>
    <row r="2225">
      <c r="A2225" t="s">
        <v>14548</v>
      </c>
      <c r="B2225" t="s">
        <v>28</v>
      </c>
      <c r="C2225" t="s">
        <v>24</v>
      </c>
      <c r="D2225" t="s">
        <v>14549</v>
      </c>
      <c r="E2225" t="s">
        <v>79</v>
      </c>
      <c r="F2225" t="s">
        <v>1274</v>
      </c>
      <c r="G2225"/>
      <c r="H2225" t="n">
        <v>39.7201272666971</v>
      </c>
      <c r="I2225" t="n">
        <v>-104.99281741754</v>
      </c>
      <c r="J2225" t="s">
        <v>4109</v>
      </c>
      <c r="K2225" t="s">
        <v>70</v>
      </c>
      <c r="L2225"/>
      <c r="M2225" t="n">
        <v>1965</v>
      </c>
      <c r="N2225" t="n">
        <v>1965</v>
      </c>
      <c r="O2225" t="s">
        <v>1275</v>
      </c>
      <c r="P2225" t="n">
        <v>1</v>
      </c>
      <c r="Q2225" t="n">
        <v>1</v>
      </c>
      <c r="R2225" t="n">
        <v>1</v>
      </c>
      <c r="S2225"/>
      <c r="T2225" t="s">
        <v>14550</v>
      </c>
      <c r="U2225" t="s">
        <v>14551</v>
      </c>
      <c r="V2225" t="s">
        <v>74</v>
      </c>
      <c r="W2225"/>
      <c r="X2225"/>
      <c r="Y2225" t="s">
        <v>14552</v>
      </c>
      <c r="Z2225"/>
      <c r="AA2225" t="s">
        <v>14553</v>
      </c>
      <c r="AB2225"/>
      <c r="AC2225"/>
      <c r="AD2225"/>
      <c r="AE2225"/>
      <c r="AF2225" t="s">
        <v>14554</v>
      </c>
      <c r="AG2225" t="n">
        <v>216</v>
      </c>
    </row>
    <row r="2226">
      <c r="A2226" t="s">
        <v>14555</v>
      </c>
      <c r="B2226" t="s">
        <v>28</v>
      </c>
      <c r="C2226" t="s">
        <v>24</v>
      </c>
      <c r="D2226" t="s">
        <v>14556</v>
      </c>
      <c r="E2226" t="s">
        <v>79</v>
      </c>
      <c r="F2226" t="s">
        <v>1274</v>
      </c>
      <c r="G2226"/>
      <c r="H2226" t="n">
        <v>39.7426605955162</v>
      </c>
      <c r="I2226" t="n">
        <v>-105.007741935211</v>
      </c>
      <c r="J2226" t="s">
        <v>4109</v>
      </c>
      <c r="K2226" t="s">
        <v>133</v>
      </c>
      <c r="L2226"/>
      <c r="M2226" t="n">
        <v>1965</v>
      </c>
      <c r="N2226" t="n">
        <v>1974</v>
      </c>
      <c r="O2226" t="s">
        <v>1275</v>
      </c>
      <c r="P2226" t="n">
        <v>5</v>
      </c>
      <c r="Q2226" t="n">
        <v>7</v>
      </c>
      <c r="R2226" t="n">
        <v>1</v>
      </c>
      <c r="S2226" t="n">
        <v>1945</v>
      </c>
      <c r="T2226" t="s">
        <v>14557</v>
      </c>
      <c r="U2226" t="s">
        <v>14558</v>
      </c>
      <c r="V2226" t="s">
        <v>74</v>
      </c>
      <c r="W2226"/>
      <c r="X2226"/>
      <c r="Y2226" t="s">
        <v>14559</v>
      </c>
      <c r="Z2226"/>
      <c r="AA2226"/>
      <c r="AB2226" t="s">
        <v>2216</v>
      </c>
      <c r="AC2226" t="n">
        <v>203</v>
      </c>
      <c r="AD2226"/>
      <c r="AE2226"/>
      <c r="AF2226" t="s">
        <v>1320</v>
      </c>
      <c r="AG2226" t="n">
        <v>19</v>
      </c>
    </row>
    <row r="2227">
      <c r="A2227" t="s">
        <v>14560</v>
      </c>
      <c r="B2227" t="s">
        <v>28</v>
      </c>
      <c r="C2227" t="s">
        <v>65</v>
      </c>
      <c r="D2227" t="s">
        <v>14561</v>
      </c>
      <c r="E2227" t="s">
        <v>79</v>
      </c>
      <c r="F2227" t="s">
        <v>1274</v>
      </c>
      <c r="G2227" t="s">
        <v>1509</v>
      </c>
      <c r="H2227" t="n">
        <v>39.748117576418</v>
      </c>
      <c r="I2227" t="n">
        <v>-104.995360749529</v>
      </c>
      <c r="J2227" t="s">
        <v>35</v>
      </c>
      <c r="K2227" t="s">
        <v>89</v>
      </c>
      <c r="L2227"/>
      <c r="M2227" t="n">
        <v>1965</v>
      </c>
      <c r="N2227" t="n">
        <v>1970</v>
      </c>
      <c r="O2227" t="s">
        <v>1349</v>
      </c>
      <c r="P2227" t="n">
        <v>5</v>
      </c>
      <c r="Q2227" t="n">
        <v>4</v>
      </c>
      <c r="R2227" t="n">
        <v>1</v>
      </c>
      <c r="S2227" t="n">
        <v>1945</v>
      </c>
      <c r="T2227" t="s">
        <v>14562</v>
      </c>
      <c r="U2227" t="s">
        <v>14563</v>
      </c>
      <c r="V2227" t="s">
        <v>74</v>
      </c>
      <c r="W2227"/>
      <c r="X2227"/>
      <c r="Y2227" t="s">
        <v>14564</v>
      </c>
      <c r="Z2227"/>
      <c r="AA2227" t="s">
        <v>14565</v>
      </c>
      <c r="AB2227" t="s">
        <v>11192</v>
      </c>
      <c r="AC2227" t="n">
        <v>151</v>
      </c>
      <c r="AD2227" t="s">
        <v>1853</v>
      </c>
      <c r="AE2227" t="n">
        <v>187</v>
      </c>
      <c r="AF2227" t="s">
        <v>14566</v>
      </c>
      <c r="AG2227" t="n">
        <v>51</v>
      </c>
    </row>
    <row r="2228">
      <c r="A2228" t="s">
        <v>14567</v>
      </c>
      <c r="B2228" t="s">
        <v>28</v>
      </c>
      <c r="C2228" t="s">
        <v>24</v>
      </c>
      <c r="D2228" t="s">
        <v>14568</v>
      </c>
      <c r="E2228" t="s">
        <v>79</v>
      </c>
      <c r="F2228" t="s">
        <v>1274</v>
      </c>
      <c r="G2228"/>
      <c r="H2228" t="n">
        <v>39.7329147759132</v>
      </c>
      <c r="I2228" t="n">
        <v>-105.025161592066</v>
      </c>
      <c r="J2228" t="s">
        <v>4109</v>
      </c>
      <c r="K2228" t="s">
        <v>70</v>
      </c>
      <c r="L2228"/>
      <c r="M2228" t="n">
        <v>1965</v>
      </c>
      <c r="N2228" t="n">
        <v>1970</v>
      </c>
      <c r="O2228" t="s">
        <v>11175</v>
      </c>
      <c r="P2228" t="n">
        <v>4</v>
      </c>
      <c r="Q2228" t="n">
        <v>2</v>
      </c>
      <c r="R2228" t="n">
        <v>2</v>
      </c>
      <c r="S2228" t="n">
        <v>1933</v>
      </c>
      <c r="T2228" t="s">
        <v>14569</v>
      </c>
      <c r="U2228" t="s">
        <v>14570</v>
      </c>
      <c r="V2228" t="s">
        <v>74</v>
      </c>
      <c r="W2228"/>
      <c r="X2228"/>
      <c r="Y2228" t="s">
        <v>14571</v>
      </c>
      <c r="Z2228"/>
      <c r="AA2228" t="s">
        <v>14572</v>
      </c>
      <c r="AB2228"/>
      <c r="AC2228"/>
      <c r="AD2228"/>
      <c r="AE2228"/>
      <c r="AF2228" t="s">
        <v>14573</v>
      </c>
      <c r="AG2228" t="n">
        <v>13</v>
      </c>
    </row>
    <row r="2229">
      <c r="A2229" t="s">
        <v>14574</v>
      </c>
      <c r="B2229" t="s">
        <v>28</v>
      </c>
      <c r="C2229" t="s">
        <v>65</v>
      </c>
      <c r="D2229" t="s">
        <v>14575</v>
      </c>
      <c r="E2229" t="s">
        <v>79</v>
      </c>
      <c r="F2229" t="s">
        <v>1274</v>
      </c>
      <c r="G2229" t="s">
        <v>1516</v>
      </c>
      <c r="H2229" t="n">
        <v>39.7091310634612</v>
      </c>
      <c r="I2229" t="n">
        <v>-105.006248628151</v>
      </c>
      <c r="J2229" t="s">
        <v>35</v>
      </c>
      <c r="K2229" t="s">
        <v>141</v>
      </c>
      <c r="L2229"/>
      <c r="M2229" t="n">
        <v>1965</v>
      </c>
      <c r="N2229" t="n">
        <v>1973</v>
      </c>
      <c r="O2229" t="s">
        <v>3153</v>
      </c>
      <c r="P2229" t="n">
        <v>3</v>
      </c>
      <c r="Q2229" t="n">
        <v>2</v>
      </c>
      <c r="R2229" t="n">
        <v>2</v>
      </c>
      <c r="S2229" t="n">
        <v>1965</v>
      </c>
      <c r="T2229" t="s">
        <v>14576</v>
      </c>
      <c r="U2229" t="s">
        <v>14577</v>
      </c>
      <c r="V2229" t="s">
        <v>74</v>
      </c>
      <c r="W2229"/>
      <c r="X2229"/>
      <c r="Y2229" t="s">
        <v>14578</v>
      </c>
      <c r="Z2229"/>
      <c r="AA2229"/>
      <c r="AB2229"/>
      <c r="AC2229"/>
      <c r="AD2229"/>
      <c r="AE2229"/>
      <c r="AF2229" t="s">
        <v>1742</v>
      </c>
      <c r="AG2229" t="n">
        <v>25</v>
      </c>
    </row>
    <row r="2230">
      <c r="A2230" t="s">
        <v>14579</v>
      </c>
      <c r="B2230" t="s">
        <v>28</v>
      </c>
      <c r="C2230" t="s">
        <v>65</v>
      </c>
      <c r="D2230" t="s">
        <v>14580</v>
      </c>
      <c r="E2230" t="s">
        <v>79</v>
      </c>
      <c r="F2230" t="s">
        <v>1274</v>
      </c>
      <c r="G2230"/>
      <c r="H2230" t="n">
        <v>39.7616193696141</v>
      </c>
      <c r="I2230" t="n">
        <v>-104.98312821725</v>
      </c>
      <c r="J2230" t="s">
        <v>35</v>
      </c>
      <c r="K2230" t="s">
        <v>120</v>
      </c>
      <c r="L2230" t="s">
        <v>2901</v>
      </c>
      <c r="M2230" t="n">
        <v>1965</v>
      </c>
      <c r="N2230" t="n">
        <v>1990</v>
      </c>
      <c r="O2230" t="s">
        <v>14581</v>
      </c>
      <c r="P2230" t="n">
        <v>4</v>
      </c>
      <c r="Q2230" t="n">
        <v>3</v>
      </c>
      <c r="R2230" t="n">
        <v>2</v>
      </c>
      <c r="S2230" t="n">
        <v>1970</v>
      </c>
      <c r="T2230" t="s">
        <v>14582</v>
      </c>
      <c r="U2230" t="s">
        <v>14583</v>
      </c>
      <c r="V2230" t="s">
        <v>74</v>
      </c>
      <c r="W2230"/>
      <c r="X2230"/>
      <c r="Y2230" t="s">
        <v>14584</v>
      </c>
      <c r="Z2230"/>
      <c r="AA2230"/>
      <c r="AB2230" t="s">
        <v>14585</v>
      </c>
      <c r="AC2230" t="n">
        <v>102</v>
      </c>
      <c r="AD2230" t="s">
        <v>6699</v>
      </c>
      <c r="AE2230" t="n">
        <v>134</v>
      </c>
      <c r="AF2230" t="s">
        <v>14586</v>
      </c>
      <c r="AG2230" t="n">
        <v>24</v>
      </c>
    </row>
    <row r="2231">
      <c r="A2231" t="s">
        <v>14587</v>
      </c>
      <c r="B2231" t="s">
        <v>28</v>
      </c>
      <c r="C2231" t="s">
        <v>65</v>
      </c>
      <c r="D2231" t="s">
        <v>14588</v>
      </c>
      <c r="E2231" t="s">
        <v>79</v>
      </c>
      <c r="F2231" t="s">
        <v>1274</v>
      </c>
      <c r="G2231"/>
      <c r="H2231" t="n">
        <v>39.7483942689076</v>
      </c>
      <c r="I2231" t="n">
        <v>-104.986279788716</v>
      </c>
      <c r="J2231" t="s">
        <v>35</v>
      </c>
      <c r="K2231" t="s">
        <v>1548</v>
      </c>
      <c r="L2231"/>
      <c r="M2231" t="n">
        <v>1965</v>
      </c>
      <c r="N2231" t="n">
        <v>1990</v>
      </c>
      <c r="O2231" t="s">
        <v>2874</v>
      </c>
      <c r="P2231" t="n">
        <v>9</v>
      </c>
      <c r="Q2231" t="n">
        <v>9</v>
      </c>
      <c r="R2231" t="n">
        <v>1</v>
      </c>
      <c r="S2231" t="n">
        <v>1873</v>
      </c>
      <c r="T2231" t="s">
        <v>14589</v>
      </c>
      <c r="U2231" t="s">
        <v>14590</v>
      </c>
      <c r="V2231" t="s">
        <v>74</v>
      </c>
      <c r="W2231"/>
      <c r="X2231"/>
      <c r="Y2231" t="s">
        <v>14591</v>
      </c>
      <c r="Z2231"/>
      <c r="AA2231" t="s">
        <v>14592</v>
      </c>
      <c r="AB2231" t="s">
        <v>1363</v>
      </c>
      <c r="AC2231" t="n">
        <v>174</v>
      </c>
      <c r="AD2231"/>
      <c r="AE2231"/>
      <c r="AF2231" t="s">
        <v>14593</v>
      </c>
      <c r="AG2231" t="n">
        <v>39</v>
      </c>
    </row>
    <row r="2232">
      <c r="A2232" t="s">
        <v>14594</v>
      </c>
      <c r="B2232" t="s">
        <v>28</v>
      </c>
      <c r="C2232" t="s">
        <v>24</v>
      </c>
      <c r="D2232" t="s">
        <v>14595</v>
      </c>
      <c r="E2232" t="s">
        <v>79</v>
      </c>
      <c r="F2232" t="s">
        <v>1274</v>
      </c>
      <c r="G2232"/>
      <c r="H2232" t="n">
        <v>39.7375955220538</v>
      </c>
      <c r="I2232" t="n">
        <v>-104.998725218306</v>
      </c>
      <c r="J2232" t="s">
        <v>4109</v>
      </c>
      <c r="K2232" t="s">
        <v>70</v>
      </c>
      <c r="L2232"/>
      <c r="M2232" t="n">
        <v>1965</v>
      </c>
      <c r="N2232" t="n">
        <v>1968</v>
      </c>
      <c r="O2232" t="s">
        <v>388</v>
      </c>
      <c r="P2232" t="n">
        <v>4</v>
      </c>
      <c r="Q2232" t="n">
        <v>3</v>
      </c>
      <c r="R2232" t="n">
        <v>1</v>
      </c>
      <c r="S2232" t="n">
        <v>1948</v>
      </c>
      <c r="T2232" t="s">
        <v>14596</v>
      </c>
      <c r="U2232" t="s">
        <v>14597</v>
      </c>
      <c r="V2232" t="s">
        <v>74</v>
      </c>
      <c r="W2232"/>
      <c r="X2232"/>
      <c r="Y2232" t="s">
        <v>14598</v>
      </c>
      <c r="Z2232"/>
      <c r="AA2232"/>
      <c r="AB2232"/>
      <c r="AC2232"/>
      <c r="AD2232"/>
      <c r="AE2232"/>
      <c r="AF2232" t="s">
        <v>14599</v>
      </c>
      <c r="AG2232" t="n">
        <v>4</v>
      </c>
    </row>
    <row r="2233">
      <c r="A2233" t="s">
        <v>14600</v>
      </c>
      <c r="B2233" t="s">
        <v>28</v>
      </c>
      <c r="C2233" t="s">
        <v>65</v>
      </c>
      <c r="D2233" t="s">
        <v>14601</v>
      </c>
      <c r="E2233" t="s">
        <v>79</v>
      </c>
      <c r="F2233" t="s">
        <v>1274</v>
      </c>
      <c r="G2233" t="s">
        <v>1824</v>
      </c>
      <c r="H2233" t="n">
        <v>39.7038510956181</v>
      </c>
      <c r="I2233" t="n">
        <v>-104.987398882311</v>
      </c>
      <c r="J2233" t="s">
        <v>35</v>
      </c>
      <c r="K2233" t="s">
        <v>1282</v>
      </c>
      <c r="L2233"/>
      <c r="M2233" t="n">
        <v>1965</v>
      </c>
      <c r="N2233" t="n">
        <v>1983</v>
      </c>
      <c r="O2233" t="s">
        <v>7077</v>
      </c>
      <c r="P2233" t="n">
        <v>4</v>
      </c>
      <c r="Q2233" t="n">
        <v>5</v>
      </c>
      <c r="R2233" t="n">
        <v>2</v>
      </c>
      <c r="S2233" t="n">
        <v>1924</v>
      </c>
      <c r="T2233" t="s">
        <v>14602</v>
      </c>
      <c r="U2233" t="s">
        <v>14603</v>
      </c>
      <c r="V2233" t="s">
        <v>74</v>
      </c>
      <c r="W2233"/>
      <c r="X2233"/>
      <c r="Y2233" t="s">
        <v>14604</v>
      </c>
      <c r="Z2233"/>
      <c r="AA2233" t="s">
        <v>14605</v>
      </c>
      <c r="AB2233"/>
      <c r="AC2233"/>
      <c r="AD2233"/>
      <c r="AE2233"/>
      <c r="AF2233" t="s">
        <v>14606</v>
      </c>
      <c r="AG2233" t="n">
        <v>15</v>
      </c>
    </row>
    <row r="2234">
      <c r="A2234" t="s">
        <v>14607</v>
      </c>
      <c r="B2234" t="s">
        <v>28</v>
      </c>
      <c r="C2234" t="s">
        <v>65</v>
      </c>
      <c r="D2234" t="s">
        <v>14608</v>
      </c>
      <c r="E2234" t="s">
        <v>79</v>
      </c>
      <c r="F2234" t="s">
        <v>1274</v>
      </c>
      <c r="G2234"/>
      <c r="H2234" t="n">
        <v>39.7572503446942</v>
      </c>
      <c r="I2234" t="n">
        <v>-104.98703276742</v>
      </c>
      <c r="J2234" t="s">
        <v>35</v>
      </c>
      <c r="K2234" t="s">
        <v>120</v>
      </c>
      <c r="L2234"/>
      <c r="M2234" t="n">
        <v>1965</v>
      </c>
      <c r="N2234" t="n">
        <v>1990</v>
      </c>
      <c r="O2234" t="s">
        <v>1275</v>
      </c>
      <c r="P2234" t="n">
        <v>2</v>
      </c>
      <c r="Q2234" t="n">
        <v>2</v>
      </c>
      <c r="R2234" t="n">
        <v>1</v>
      </c>
      <c r="S2234" t="n">
        <v>1982</v>
      </c>
      <c r="T2234" t="s">
        <v>14609</v>
      </c>
      <c r="U2234" t="s">
        <v>14610</v>
      </c>
      <c r="V2234" t="s">
        <v>74</v>
      </c>
      <c r="W2234"/>
      <c r="X2234"/>
      <c r="Y2234" t="s">
        <v>14611</v>
      </c>
      <c r="Z2234"/>
      <c r="AA2234" t="s">
        <v>14612</v>
      </c>
      <c r="AB2234" t="s">
        <v>14613</v>
      </c>
      <c r="AC2234" t="n">
        <v>118</v>
      </c>
      <c r="AD2234"/>
      <c r="AE2234"/>
      <c r="AF2234" t="s">
        <v>1326</v>
      </c>
      <c r="AG2234" t="n">
        <v>34</v>
      </c>
    </row>
    <row r="2235">
      <c r="A2235" t="s">
        <v>14614</v>
      </c>
      <c r="B2235" t="s">
        <v>28</v>
      </c>
      <c r="C2235" t="s">
        <v>65</v>
      </c>
      <c r="D2235" t="s">
        <v>14615</v>
      </c>
      <c r="E2235" t="s">
        <v>79</v>
      </c>
      <c r="F2235" t="s">
        <v>1274</v>
      </c>
      <c r="G2235" t="s">
        <v>1574</v>
      </c>
      <c r="H2235" t="n">
        <v>39.7530798811697</v>
      </c>
      <c r="I2235" t="n">
        <v>-104.988925077251</v>
      </c>
      <c r="J2235" t="s">
        <v>35</v>
      </c>
      <c r="K2235" t="s">
        <v>70</v>
      </c>
      <c r="L2235"/>
      <c r="M2235" t="n">
        <v>1965</v>
      </c>
      <c r="N2235" t="n">
        <v>1973</v>
      </c>
      <c r="O2235" t="s">
        <v>2349</v>
      </c>
      <c r="P2235" t="n">
        <v>4</v>
      </c>
      <c r="Q2235" t="n">
        <v>2</v>
      </c>
      <c r="R2235" t="n">
        <v>1</v>
      </c>
      <c r="S2235" t="n">
        <v>1937</v>
      </c>
      <c r="T2235" t="s">
        <v>14616</v>
      </c>
      <c r="U2235" t="s">
        <v>14617</v>
      </c>
      <c r="V2235" t="s">
        <v>74</v>
      </c>
      <c r="W2235"/>
      <c r="X2235"/>
      <c r="Y2235" t="s">
        <v>14618</v>
      </c>
      <c r="Z2235"/>
      <c r="AA2235" t="s">
        <v>14619</v>
      </c>
      <c r="AB2235" t="s">
        <v>1292</v>
      </c>
      <c r="AC2235" t="n">
        <v>114</v>
      </c>
      <c r="AD2235"/>
      <c r="AE2235"/>
      <c r="AF2235" t="s">
        <v>6604</v>
      </c>
      <c r="AG2235" t="n">
        <v>6</v>
      </c>
    </row>
    <row r="2236">
      <c r="A2236" t="s">
        <v>14620</v>
      </c>
      <c r="B2236" t="s">
        <v>28</v>
      </c>
      <c r="C2236" t="s">
        <v>65</v>
      </c>
      <c r="D2236" t="s">
        <v>14621</v>
      </c>
      <c r="E2236" t="s">
        <v>79</v>
      </c>
      <c r="F2236" t="s">
        <v>1274</v>
      </c>
      <c r="G2236"/>
      <c r="H2236" t="n">
        <v>39.7385</v>
      </c>
      <c r="I2236" t="n">
        <v>-105.012580647722</v>
      </c>
      <c r="J2236" t="s">
        <v>35</v>
      </c>
      <c r="K2236" t="s">
        <v>234</v>
      </c>
      <c r="L2236"/>
      <c r="M2236" t="n">
        <v>1965</v>
      </c>
      <c r="N2236" t="n">
        <v>1983</v>
      </c>
      <c r="O2236" t="s">
        <v>14622</v>
      </c>
      <c r="P2236" t="n">
        <v>7</v>
      </c>
      <c r="Q2236" t="n">
        <v>4</v>
      </c>
      <c r="R2236" t="n">
        <v>3</v>
      </c>
      <c r="S2236" t="n">
        <v>1946</v>
      </c>
      <c r="T2236" t="s">
        <v>14623</v>
      </c>
      <c r="U2236" t="s">
        <v>14624</v>
      </c>
      <c r="V2236" t="s">
        <v>74</v>
      </c>
      <c r="W2236"/>
      <c r="X2236"/>
      <c r="Y2236" t="s">
        <v>14625</v>
      </c>
      <c r="Z2236"/>
      <c r="AA2236"/>
      <c r="AB2236" t="s">
        <v>1512</v>
      </c>
      <c r="AC2236" t="n">
        <v>179</v>
      </c>
      <c r="AD2236"/>
      <c r="AE2236"/>
      <c r="AF2236" t="s">
        <v>14626</v>
      </c>
      <c r="AG2236" t="n">
        <v>22</v>
      </c>
    </row>
    <row r="2237">
      <c r="A2237" t="s">
        <v>14627</v>
      </c>
      <c r="B2237" t="s">
        <v>28</v>
      </c>
      <c r="C2237" t="s">
        <v>65</v>
      </c>
      <c r="D2237" t="s">
        <v>14628</v>
      </c>
      <c r="E2237" t="s">
        <v>79</v>
      </c>
      <c r="F2237" t="s">
        <v>1274</v>
      </c>
      <c r="G2237"/>
      <c r="H2237" t="n">
        <v>39.6781532086651</v>
      </c>
      <c r="I2237" t="n">
        <v>-105.000622094728</v>
      </c>
      <c r="J2237" t="s">
        <v>35</v>
      </c>
      <c r="K2237" t="s">
        <v>141</v>
      </c>
      <c r="L2237" t="s">
        <v>747</v>
      </c>
      <c r="M2237" t="n">
        <v>1965</v>
      </c>
      <c r="N2237" t="n">
        <v>1990</v>
      </c>
      <c r="O2237" t="s">
        <v>14629</v>
      </c>
      <c r="P2237" t="n">
        <v>11</v>
      </c>
      <c r="Q2237" t="n">
        <v>9</v>
      </c>
      <c r="R2237" t="n">
        <v>6</v>
      </c>
      <c r="S2237" t="n">
        <v>1954</v>
      </c>
      <c r="T2237" t="s">
        <v>14630</v>
      </c>
      <c r="U2237" t="s">
        <v>14631</v>
      </c>
      <c r="V2237" t="s">
        <v>74</v>
      </c>
      <c r="W2237"/>
      <c r="X2237"/>
      <c r="Y2237" t="s">
        <v>14632</v>
      </c>
      <c r="Z2237" t="s">
        <v>14633</v>
      </c>
      <c r="AA2237" t="s">
        <v>14634</v>
      </c>
      <c r="AB2237"/>
      <c r="AC2237"/>
      <c r="AD2237" t="s">
        <v>8989</v>
      </c>
      <c r="AE2237" t="n">
        <v>222</v>
      </c>
      <c r="AF2237" t="s">
        <v>14635</v>
      </c>
      <c r="AG2237" t="n">
        <v>8</v>
      </c>
    </row>
    <row r="2238">
      <c r="A2238" t="s">
        <v>14636</v>
      </c>
      <c r="B2238" t="s">
        <v>28</v>
      </c>
      <c r="C2238" t="s">
        <v>65</v>
      </c>
      <c r="D2238" t="s">
        <v>14637</v>
      </c>
      <c r="E2238" t="s">
        <v>79</v>
      </c>
      <c r="F2238" t="s">
        <v>1274</v>
      </c>
      <c r="G2238"/>
      <c r="H2238" t="n">
        <v>39.762959</v>
      </c>
      <c r="I2238" t="n">
        <v>-104.981394</v>
      </c>
      <c r="J2238" t="s">
        <v>35</v>
      </c>
      <c r="K2238" t="s">
        <v>201</v>
      </c>
      <c r="L2238"/>
      <c r="M2238" t="n">
        <v>1965</v>
      </c>
      <c r="N2238" t="n">
        <v>1988</v>
      </c>
      <c r="O2238" t="s">
        <v>14638</v>
      </c>
      <c r="P2238" t="n">
        <v>4</v>
      </c>
      <c r="Q2238" t="n">
        <v>4</v>
      </c>
      <c r="R2238" t="n">
        <v>4</v>
      </c>
      <c r="S2238" t="n">
        <v>1940</v>
      </c>
      <c r="T2238" t="s">
        <v>14639</v>
      </c>
      <c r="U2238" t="s">
        <v>14640</v>
      </c>
      <c r="V2238" t="s">
        <v>74</v>
      </c>
      <c r="W2238"/>
      <c r="X2238"/>
      <c r="Y2238" t="s">
        <v>14641</v>
      </c>
      <c r="Z2238"/>
      <c r="AA2238"/>
      <c r="AB2238" t="s">
        <v>1711</v>
      </c>
      <c r="AC2238" t="n">
        <v>76</v>
      </c>
      <c r="AD2238" t="s">
        <v>6898</v>
      </c>
      <c r="AE2238" t="n">
        <v>114</v>
      </c>
      <c r="AF2238" t="s">
        <v>14642</v>
      </c>
      <c r="AG2238" t="n">
        <v>20</v>
      </c>
    </row>
    <row r="2239">
      <c r="A2239" t="s">
        <v>14643</v>
      </c>
      <c r="B2239" t="s">
        <v>28</v>
      </c>
      <c r="C2239" t="s">
        <v>65</v>
      </c>
      <c r="D2239" t="s">
        <v>14644</v>
      </c>
      <c r="E2239" t="s">
        <v>79</v>
      </c>
      <c r="F2239" t="s">
        <v>1274</v>
      </c>
      <c r="G2239"/>
      <c r="H2239" t="n">
        <v>39.7079847414966</v>
      </c>
      <c r="I2239" t="n">
        <v>-105.001504612245</v>
      </c>
      <c r="J2239" t="s">
        <v>35</v>
      </c>
      <c r="K2239" t="s">
        <v>120</v>
      </c>
      <c r="L2239"/>
      <c r="M2239" t="n">
        <v>1965</v>
      </c>
      <c r="N2239" t="n">
        <v>1990</v>
      </c>
      <c r="O2239" t="s">
        <v>14645</v>
      </c>
      <c r="P2239" t="n">
        <v>9</v>
      </c>
      <c r="Q2239" t="n">
        <v>5</v>
      </c>
      <c r="R2239" t="n">
        <v>5</v>
      </c>
      <c r="S2239" t="n">
        <v>1963</v>
      </c>
      <c r="T2239" t="s">
        <v>14646</v>
      </c>
      <c r="U2239" t="s">
        <v>14647</v>
      </c>
      <c r="V2239" t="s">
        <v>74</v>
      </c>
      <c r="W2239"/>
      <c r="X2239"/>
      <c r="Y2239" t="s">
        <v>14648</v>
      </c>
      <c r="Z2239"/>
      <c r="AA2239"/>
      <c r="AB2239" t="s">
        <v>1959</v>
      </c>
      <c r="AC2239" t="n">
        <v>195</v>
      </c>
      <c r="AD2239"/>
      <c r="AE2239"/>
      <c r="AF2239" t="s">
        <v>1960</v>
      </c>
      <c r="AG2239" t="n">
        <v>3</v>
      </c>
    </row>
    <row r="2240">
      <c r="A2240" t="s">
        <v>14649</v>
      </c>
      <c r="B2240" t="s">
        <v>28</v>
      </c>
      <c r="C2240" t="s">
        <v>24</v>
      </c>
      <c r="D2240" t="s">
        <v>14650</v>
      </c>
      <c r="E2240" t="s">
        <v>79</v>
      </c>
      <c r="F2240" t="s">
        <v>1274</v>
      </c>
      <c r="G2240"/>
      <c r="H2240" t="n">
        <v>39.732488877551</v>
      </c>
      <c r="I2240" t="n">
        <v>-105.001579</v>
      </c>
      <c r="J2240" t="s">
        <v>4109</v>
      </c>
      <c r="K2240" t="s">
        <v>70</v>
      </c>
      <c r="L2240"/>
      <c r="M2240" t="n">
        <v>1965</v>
      </c>
      <c r="N2240" t="n">
        <v>1965</v>
      </c>
      <c r="O2240" t="s">
        <v>1275</v>
      </c>
      <c r="P2240" t="n">
        <v>1</v>
      </c>
      <c r="Q2240" t="n">
        <v>1</v>
      </c>
      <c r="R2240" t="n">
        <v>1</v>
      </c>
      <c r="S2240"/>
      <c r="T2240" t="s">
        <v>14651</v>
      </c>
      <c r="U2240" t="s">
        <v>14652</v>
      </c>
      <c r="V2240" t="s">
        <v>74</v>
      </c>
      <c r="W2240"/>
      <c r="X2240"/>
      <c r="Y2240" t="s">
        <v>14653</v>
      </c>
      <c r="Z2240"/>
      <c r="AA2240"/>
      <c r="AB2240" t="s">
        <v>14654</v>
      </c>
      <c r="AC2240" t="n">
        <v>218</v>
      </c>
      <c r="AD2240"/>
      <c r="AE2240"/>
      <c r="AF2240" t="s">
        <v>14655</v>
      </c>
      <c r="AG2240" t="n">
        <v>35</v>
      </c>
    </row>
    <row r="2241">
      <c r="A2241" t="s">
        <v>14656</v>
      </c>
      <c r="B2241" t="s">
        <v>28</v>
      </c>
      <c r="C2241" t="s">
        <v>24</v>
      </c>
      <c r="D2241" t="s">
        <v>14657</v>
      </c>
      <c r="E2241" t="s">
        <v>79</v>
      </c>
      <c r="F2241" t="s">
        <v>1274</v>
      </c>
      <c r="G2241"/>
      <c r="H2241" t="n">
        <v>39.7407082028973</v>
      </c>
      <c r="I2241" t="n">
        <v>-105.009238057162</v>
      </c>
      <c r="J2241" t="s">
        <v>4109</v>
      </c>
      <c r="K2241" t="s">
        <v>120</v>
      </c>
      <c r="L2241"/>
      <c r="M2241" t="n">
        <v>1965</v>
      </c>
      <c r="N2241" t="n">
        <v>1990</v>
      </c>
      <c r="O2241" t="s">
        <v>8093</v>
      </c>
      <c r="P2241" t="n">
        <v>3</v>
      </c>
      <c r="Q2241" t="n">
        <v>2</v>
      </c>
      <c r="R2241" t="n">
        <v>1</v>
      </c>
      <c r="S2241" t="n">
        <v>1925</v>
      </c>
      <c r="T2241" t="s">
        <v>14658</v>
      </c>
      <c r="U2241" t="s">
        <v>14659</v>
      </c>
      <c r="V2241" t="s">
        <v>74</v>
      </c>
      <c r="W2241"/>
      <c r="X2241"/>
      <c r="Y2241" t="s">
        <v>14660</v>
      </c>
      <c r="Z2241"/>
      <c r="AA2241"/>
      <c r="AB2241" t="s">
        <v>9196</v>
      </c>
      <c r="AC2241" t="n">
        <v>165</v>
      </c>
      <c r="AD2241"/>
      <c r="AE2241"/>
      <c r="AF2241" t="s">
        <v>9197</v>
      </c>
      <c r="AG2241" t="n">
        <v>82</v>
      </c>
    </row>
    <row r="2242">
      <c r="A2242" t="s">
        <v>14661</v>
      </c>
      <c r="B2242" t="s">
        <v>28</v>
      </c>
      <c r="C2242" t="s">
        <v>65</v>
      </c>
      <c r="D2242" t="s">
        <v>14662</v>
      </c>
      <c r="E2242" t="s">
        <v>79</v>
      </c>
      <c r="F2242" t="s">
        <v>1274</v>
      </c>
      <c r="G2242"/>
      <c r="H2242" t="n">
        <v>39.7516156415362</v>
      </c>
      <c r="I2242" t="n">
        <v>-104.992565538845</v>
      </c>
      <c r="J2242" t="s">
        <v>35</v>
      </c>
      <c r="K2242" t="s">
        <v>141</v>
      </c>
      <c r="L2242" t="s">
        <v>2204</v>
      </c>
      <c r="M2242" t="n">
        <v>1965</v>
      </c>
      <c r="N2242" t="n">
        <v>1970</v>
      </c>
      <c r="O2242" t="s">
        <v>11163</v>
      </c>
      <c r="P2242" t="n">
        <v>5</v>
      </c>
      <c r="Q2242" t="n">
        <v>10</v>
      </c>
      <c r="R2242" t="n">
        <v>5</v>
      </c>
      <c r="S2242" t="n">
        <v>1908</v>
      </c>
      <c r="T2242" t="s">
        <v>14663</v>
      </c>
      <c r="U2242" t="s">
        <v>14664</v>
      </c>
      <c r="V2242" t="s">
        <v>74</v>
      </c>
      <c r="W2242"/>
      <c r="X2242"/>
      <c r="Y2242" t="s">
        <v>14665</v>
      </c>
      <c r="Z2242"/>
      <c r="AA2242" t="s">
        <v>14666</v>
      </c>
      <c r="AB2242" t="s">
        <v>1852</v>
      </c>
      <c r="AC2242" t="n">
        <v>159</v>
      </c>
      <c r="AD2242"/>
      <c r="AE2242"/>
      <c r="AF2242" t="s">
        <v>1854</v>
      </c>
      <c r="AG2242" t="n">
        <v>65</v>
      </c>
    </row>
    <row r="2243">
      <c r="A2243" t="s">
        <v>14667</v>
      </c>
      <c r="B2243" t="s">
        <v>28</v>
      </c>
      <c r="C2243" t="s">
        <v>65</v>
      </c>
      <c r="D2243" t="s">
        <v>14668</v>
      </c>
      <c r="E2243" t="s">
        <v>79</v>
      </c>
      <c r="F2243" t="s">
        <v>1274</v>
      </c>
      <c r="G2243" t="s">
        <v>1638</v>
      </c>
      <c r="H2243" t="n">
        <v>39.763076</v>
      </c>
      <c r="I2243" t="n">
        <v>-105.001686</v>
      </c>
      <c r="J2243" t="s">
        <v>35</v>
      </c>
      <c r="K2243" t="s">
        <v>1639</v>
      </c>
      <c r="L2243"/>
      <c r="M2243" t="n">
        <v>1965</v>
      </c>
      <c r="N2243" t="n">
        <v>1990</v>
      </c>
      <c r="O2243" t="s">
        <v>1375</v>
      </c>
      <c r="P2243" t="n">
        <v>7</v>
      </c>
      <c r="Q2243" t="n">
        <v>5</v>
      </c>
      <c r="R2243" t="n">
        <v>1</v>
      </c>
      <c r="S2243" t="n">
        <v>1920</v>
      </c>
      <c r="T2243" t="s">
        <v>14669</v>
      </c>
      <c r="U2243" t="s">
        <v>14670</v>
      </c>
      <c r="V2243" t="s">
        <v>74</v>
      </c>
      <c r="W2243"/>
      <c r="X2243"/>
      <c r="Y2243" t="s">
        <v>14671</v>
      </c>
      <c r="Z2243"/>
      <c r="AA2243"/>
      <c r="AB2243"/>
      <c r="AC2243"/>
      <c r="AD2243"/>
      <c r="AE2243"/>
      <c r="AF2243" t="s">
        <v>14672</v>
      </c>
      <c r="AG2243" t="n">
        <v>41</v>
      </c>
    </row>
    <row r="2244">
      <c r="A2244" t="s">
        <v>14673</v>
      </c>
      <c r="B2244" t="s">
        <v>28</v>
      </c>
      <c r="C2244" t="s">
        <v>65</v>
      </c>
      <c r="D2244" t="s">
        <v>14674</v>
      </c>
      <c r="E2244" t="s">
        <v>79</v>
      </c>
      <c r="F2244" t="s">
        <v>1274</v>
      </c>
      <c r="G2244"/>
      <c r="H2244" t="n">
        <v>39.7694505614024</v>
      </c>
      <c r="I2244" t="n">
        <v>-105.006456005349</v>
      </c>
      <c r="J2244" t="s">
        <v>35</v>
      </c>
      <c r="K2244" t="s">
        <v>315</v>
      </c>
      <c r="L2244"/>
      <c r="M2244" t="n">
        <v>1965</v>
      </c>
      <c r="N2244" t="n">
        <v>1992</v>
      </c>
      <c r="O2244" t="s">
        <v>716</v>
      </c>
      <c r="P2244" t="n">
        <v>8</v>
      </c>
      <c r="Q2244" t="n">
        <v>5</v>
      </c>
      <c r="R2244" t="n">
        <v>1</v>
      </c>
      <c r="S2244" t="n">
        <v>1948</v>
      </c>
      <c r="T2244" t="s">
        <v>14675</v>
      </c>
      <c r="U2244" t="s">
        <v>14676</v>
      </c>
      <c r="V2244" t="s">
        <v>74</v>
      </c>
      <c r="W2244"/>
      <c r="X2244"/>
      <c r="Y2244" t="s">
        <v>14677</v>
      </c>
      <c r="Z2244"/>
      <c r="AA2244"/>
      <c r="AB2244"/>
      <c r="AC2244"/>
      <c r="AD2244"/>
      <c r="AE2244"/>
      <c r="AF2244" t="s">
        <v>14678</v>
      </c>
      <c r="AG2244" t="n">
        <v>19</v>
      </c>
    </row>
    <row r="2245">
      <c r="A2245" t="s">
        <v>14679</v>
      </c>
      <c r="B2245" t="s">
        <v>28</v>
      </c>
      <c r="C2245" t="s">
        <v>24</v>
      </c>
      <c r="D2245" t="s">
        <v>14680</v>
      </c>
      <c r="E2245" t="s">
        <v>79</v>
      </c>
      <c r="F2245" t="s">
        <v>1274</v>
      </c>
      <c r="G2245"/>
      <c r="H2245" t="n">
        <v>39.7316333475405</v>
      </c>
      <c r="I2245" t="n">
        <v>-105.025157226595</v>
      </c>
      <c r="J2245" t="s">
        <v>4109</v>
      </c>
      <c r="K2245" t="s">
        <v>120</v>
      </c>
      <c r="L2245"/>
      <c r="M2245" t="n">
        <v>1965</v>
      </c>
      <c r="N2245" t="n">
        <v>1970</v>
      </c>
      <c r="O2245" t="s">
        <v>1587</v>
      </c>
      <c r="P2245" t="n">
        <v>4</v>
      </c>
      <c r="Q2245" t="n">
        <v>3</v>
      </c>
      <c r="R2245" t="n">
        <v>2</v>
      </c>
      <c r="S2245" t="n">
        <v>1952</v>
      </c>
      <c r="T2245" t="s">
        <v>14681</v>
      </c>
      <c r="U2245" t="s">
        <v>14682</v>
      </c>
      <c r="V2245" t="s">
        <v>74</v>
      </c>
      <c r="W2245"/>
      <c r="X2245"/>
      <c r="Y2245" t="s">
        <v>14683</v>
      </c>
      <c r="Z2245"/>
      <c r="AA2245"/>
      <c r="AB2245"/>
      <c r="AC2245"/>
      <c r="AD2245"/>
      <c r="AE2245"/>
      <c r="AF2245" t="s">
        <v>14684</v>
      </c>
      <c r="AG2245" t="n">
        <v>37</v>
      </c>
    </row>
    <row r="2246">
      <c r="A2246" t="s">
        <v>14685</v>
      </c>
      <c r="B2246" t="s">
        <v>28</v>
      </c>
      <c r="C2246" t="s">
        <v>24</v>
      </c>
      <c r="D2246" t="s">
        <v>14686</v>
      </c>
      <c r="E2246" t="s">
        <v>79</v>
      </c>
      <c r="F2246" t="s">
        <v>1274</v>
      </c>
      <c r="G2246"/>
      <c r="H2246" t="n">
        <v>39.7197144482466</v>
      </c>
      <c r="I2246" t="n">
        <v>-104.998578</v>
      </c>
      <c r="J2246" t="s">
        <v>4109</v>
      </c>
      <c r="K2246" t="s">
        <v>89</v>
      </c>
      <c r="L2246"/>
      <c r="M2246" t="n">
        <v>1965</v>
      </c>
      <c r="N2246" t="n">
        <v>1983</v>
      </c>
      <c r="O2246" t="s">
        <v>1275</v>
      </c>
      <c r="P2246" t="n">
        <v>4</v>
      </c>
      <c r="Q2246" t="n">
        <v>3</v>
      </c>
      <c r="R2246" t="n">
        <v>1</v>
      </c>
      <c r="S2246" t="n">
        <v>1949</v>
      </c>
      <c r="T2246" t="s">
        <v>14687</v>
      </c>
      <c r="U2246" t="s">
        <v>14688</v>
      </c>
      <c r="V2246" t="s">
        <v>74</v>
      </c>
      <c r="W2246"/>
      <c r="X2246"/>
      <c r="Y2246" t="s">
        <v>14689</v>
      </c>
      <c r="Z2246"/>
      <c r="AA2246"/>
      <c r="AB2246" t="s">
        <v>4245</v>
      </c>
      <c r="AC2246" t="n">
        <v>217</v>
      </c>
      <c r="AD2246"/>
      <c r="AE2246"/>
      <c r="AF2246" t="s">
        <v>14690</v>
      </c>
      <c r="AG2246" t="n">
        <v>20</v>
      </c>
    </row>
    <row r="2247">
      <c r="A2247" t="s">
        <v>14691</v>
      </c>
      <c r="B2247" t="s">
        <v>28</v>
      </c>
      <c r="C2247" t="s">
        <v>65</v>
      </c>
      <c r="D2247" t="s">
        <v>14692</v>
      </c>
      <c r="E2247" t="s">
        <v>79</v>
      </c>
      <c r="F2247" t="s">
        <v>1274</v>
      </c>
      <c r="G2247"/>
      <c r="H2247" t="n">
        <v>39.756188444774</v>
      </c>
      <c r="I2247" t="n">
        <v>-105.00892270183</v>
      </c>
      <c r="J2247" t="s">
        <v>35</v>
      </c>
      <c r="K2247" t="s">
        <v>1639</v>
      </c>
      <c r="L2247"/>
      <c r="M2247" t="n">
        <v>1965</v>
      </c>
      <c r="N2247" t="n">
        <v>1980</v>
      </c>
      <c r="O2247" t="s">
        <v>14693</v>
      </c>
      <c r="P2247" t="n">
        <v>6</v>
      </c>
      <c r="Q2247" t="n">
        <v>6</v>
      </c>
      <c r="R2247" t="n">
        <v>5</v>
      </c>
      <c r="S2247" t="n">
        <v>1908</v>
      </c>
      <c r="T2247" t="s">
        <v>14694</v>
      </c>
      <c r="U2247" t="s">
        <v>14695</v>
      </c>
      <c r="V2247" t="s">
        <v>74</v>
      </c>
      <c r="W2247"/>
      <c r="X2247"/>
      <c r="Y2247" t="s">
        <v>14696</v>
      </c>
      <c r="Z2247"/>
      <c r="AA2247" t="s">
        <v>14697</v>
      </c>
      <c r="AB2247" t="s">
        <v>1300</v>
      </c>
      <c r="AC2247" t="n">
        <v>231</v>
      </c>
      <c r="AD2247"/>
      <c r="AE2247"/>
      <c r="AF2247" t="s">
        <v>11147</v>
      </c>
      <c r="AG2247" t="n">
        <v>16</v>
      </c>
    </row>
    <row r="2248">
      <c r="A2248" t="s">
        <v>14698</v>
      </c>
      <c r="B2248" t="s">
        <v>28</v>
      </c>
      <c r="C2248" t="s">
        <v>65</v>
      </c>
      <c r="D2248" t="s">
        <v>14699</v>
      </c>
      <c r="E2248" t="s">
        <v>79</v>
      </c>
      <c r="F2248" t="s">
        <v>1274</v>
      </c>
      <c r="G2248"/>
      <c r="H2248" t="n">
        <v>39.7478346579482</v>
      </c>
      <c r="I2248" t="n">
        <v>-104.992225091876</v>
      </c>
      <c r="J2248" t="s">
        <v>35</v>
      </c>
      <c r="K2248" t="s">
        <v>70</v>
      </c>
      <c r="L2248"/>
      <c r="M2248" t="n">
        <v>1965</v>
      </c>
      <c r="N2248" t="n">
        <v>1990</v>
      </c>
      <c r="O2248" t="s">
        <v>1275</v>
      </c>
      <c r="P2248" t="n">
        <v>10</v>
      </c>
      <c r="Q2248" t="n">
        <v>9</v>
      </c>
      <c r="R2248" t="n">
        <v>1</v>
      </c>
      <c r="S2248" t="n">
        <v>1879</v>
      </c>
      <c r="T2248" t="s">
        <v>14700</v>
      </c>
      <c r="U2248" t="s">
        <v>14701</v>
      </c>
      <c r="V2248" t="s">
        <v>74</v>
      </c>
      <c r="W2248"/>
      <c r="X2248"/>
      <c r="Y2248" t="s">
        <v>14702</v>
      </c>
      <c r="Z2248"/>
      <c r="AA2248"/>
      <c r="AB2248"/>
      <c r="AC2248"/>
      <c r="AD2248"/>
      <c r="AE2248"/>
      <c r="AF2248" t="s">
        <v>14703</v>
      </c>
      <c r="AG2248" t="n">
        <v>30</v>
      </c>
    </row>
    <row r="2249">
      <c r="A2249" t="s">
        <v>14704</v>
      </c>
      <c r="B2249" t="s">
        <v>28</v>
      </c>
      <c r="C2249" t="s">
        <v>65</v>
      </c>
      <c r="D2249" t="s">
        <v>14705</v>
      </c>
      <c r="E2249" t="s">
        <v>79</v>
      </c>
      <c r="F2249" t="s">
        <v>1274</v>
      </c>
      <c r="G2249"/>
      <c r="H2249" t="n">
        <v>39.7111813043478</v>
      </c>
      <c r="I2249" t="n">
        <v>-105.002419521739</v>
      </c>
      <c r="J2249" t="s">
        <v>35</v>
      </c>
      <c r="K2249" t="s">
        <v>120</v>
      </c>
      <c r="L2249"/>
      <c r="M2249" t="n">
        <v>1965</v>
      </c>
      <c r="N2249" t="n">
        <v>1990</v>
      </c>
      <c r="O2249" t="s">
        <v>264</v>
      </c>
      <c r="P2249" t="n">
        <v>7</v>
      </c>
      <c r="Q2249" t="n">
        <v>1</v>
      </c>
      <c r="R2249" t="n">
        <v>1</v>
      </c>
      <c r="S2249" t="n">
        <v>1929</v>
      </c>
      <c r="T2249" t="s">
        <v>14706</v>
      </c>
      <c r="U2249" t="s">
        <v>14707</v>
      </c>
      <c r="V2249" t="s">
        <v>74</v>
      </c>
      <c r="W2249"/>
      <c r="X2249"/>
      <c r="Y2249" t="s">
        <v>14708</v>
      </c>
      <c r="Z2249"/>
      <c r="AA2249"/>
      <c r="AB2249" t="s">
        <v>7041</v>
      </c>
      <c r="AC2249" t="n">
        <v>151</v>
      </c>
      <c r="AD2249"/>
      <c r="AE2249"/>
      <c r="AF2249" t="s">
        <v>14709</v>
      </c>
      <c r="AG2249" t="n">
        <v>15</v>
      </c>
    </row>
    <row r="2250">
      <c r="A2250" t="s">
        <v>14710</v>
      </c>
      <c r="B2250" t="s">
        <v>28</v>
      </c>
      <c r="C2250" t="s">
        <v>24</v>
      </c>
      <c r="D2250" t="s">
        <v>14711</v>
      </c>
      <c r="E2250" t="s">
        <v>79</v>
      </c>
      <c r="F2250" t="s">
        <v>1274</v>
      </c>
      <c r="G2250"/>
      <c r="H2250" t="n">
        <v>39.74203</v>
      </c>
      <c r="I2250" t="n">
        <v>-105.001125</v>
      </c>
      <c r="J2250" t="s">
        <v>4109</v>
      </c>
      <c r="K2250" t="s">
        <v>141</v>
      </c>
      <c r="L2250"/>
      <c r="M2250" t="n">
        <v>1965</v>
      </c>
      <c r="N2250" t="n">
        <v>1973</v>
      </c>
      <c r="O2250" t="s">
        <v>14712</v>
      </c>
      <c r="P2250" t="n">
        <v>6</v>
      </c>
      <c r="Q2250" t="n">
        <v>3</v>
      </c>
      <c r="R2250" t="n">
        <v>2</v>
      </c>
      <c r="S2250" t="n">
        <v>1896</v>
      </c>
      <c r="T2250" t="s">
        <v>14713</v>
      </c>
      <c r="U2250" t="s">
        <v>14714</v>
      </c>
      <c r="V2250" t="s">
        <v>74</v>
      </c>
      <c r="W2250"/>
      <c r="X2250"/>
      <c r="Y2250" t="s">
        <v>14715</v>
      </c>
      <c r="Z2250"/>
      <c r="AA2250" t="s">
        <v>14716</v>
      </c>
      <c r="AB2250"/>
      <c r="AC2250"/>
      <c r="AD2250"/>
      <c r="AE2250"/>
      <c r="AF2250" t="s">
        <v>4275</v>
      </c>
      <c r="AG2250" t="n">
        <v>84</v>
      </c>
    </row>
    <row r="2251">
      <c r="A2251" t="s">
        <v>14717</v>
      </c>
      <c r="B2251" t="s">
        <v>28</v>
      </c>
      <c r="C2251" t="s">
        <v>65</v>
      </c>
      <c r="D2251" t="s">
        <v>14718</v>
      </c>
      <c r="E2251" t="s">
        <v>79</v>
      </c>
      <c r="F2251" t="s">
        <v>1274</v>
      </c>
      <c r="G2251"/>
      <c r="H2251" t="n">
        <v>39.6812080599944</v>
      </c>
      <c r="I2251" t="n">
        <v>-104.989953582749</v>
      </c>
      <c r="J2251" t="s">
        <v>35</v>
      </c>
      <c r="K2251" t="s">
        <v>120</v>
      </c>
      <c r="L2251" t="s">
        <v>554</v>
      </c>
      <c r="M2251" t="n">
        <v>1965</v>
      </c>
      <c r="N2251" t="n">
        <v>1980</v>
      </c>
      <c r="O2251" t="s">
        <v>10913</v>
      </c>
      <c r="P2251" t="n">
        <v>5</v>
      </c>
      <c r="Q2251" t="n">
        <v>3</v>
      </c>
      <c r="R2251" t="n">
        <v>2</v>
      </c>
      <c r="S2251" t="n">
        <v>1967</v>
      </c>
      <c r="T2251" t="s">
        <v>14719</v>
      </c>
      <c r="U2251" t="s">
        <v>14720</v>
      </c>
      <c r="V2251" t="s">
        <v>74</v>
      </c>
      <c r="W2251"/>
      <c r="X2251"/>
      <c r="Y2251" t="s">
        <v>14721</v>
      </c>
      <c r="Z2251"/>
      <c r="AA2251" t="s">
        <v>14722</v>
      </c>
      <c r="AB2251" t="s">
        <v>7581</v>
      </c>
      <c r="AC2251" t="n">
        <v>203</v>
      </c>
      <c r="AD2251" t="s">
        <v>7582</v>
      </c>
      <c r="AE2251" t="n">
        <v>208</v>
      </c>
      <c r="AF2251" t="s">
        <v>11579</v>
      </c>
      <c r="AG2251" t="n">
        <v>8</v>
      </c>
    </row>
    <row r="2252">
      <c r="A2252" t="s">
        <v>14723</v>
      </c>
      <c r="B2252" t="s">
        <v>28</v>
      </c>
      <c r="C2252" t="s">
        <v>65</v>
      </c>
      <c r="D2252" t="s">
        <v>14724</v>
      </c>
      <c r="E2252" t="s">
        <v>79</v>
      </c>
      <c r="F2252" t="s">
        <v>1274</v>
      </c>
      <c r="G2252"/>
      <c r="H2252" t="n">
        <v>39.7574351628057</v>
      </c>
      <c r="I2252" t="n">
        <v>-105.018969095564</v>
      </c>
      <c r="J2252" t="s">
        <v>35</v>
      </c>
      <c r="K2252" t="s">
        <v>141</v>
      </c>
      <c r="L2252"/>
      <c r="M2252" t="n">
        <v>1965</v>
      </c>
      <c r="N2252" t="n">
        <v>1983</v>
      </c>
      <c r="O2252" t="s">
        <v>14725</v>
      </c>
      <c r="P2252" t="n">
        <v>6</v>
      </c>
      <c r="Q2252" t="n">
        <v>1</v>
      </c>
      <c r="R2252" t="n">
        <v>1</v>
      </c>
      <c r="S2252" t="n">
        <v>1962</v>
      </c>
      <c r="T2252" t="s">
        <v>14726</v>
      </c>
      <c r="U2252" t="s">
        <v>14727</v>
      </c>
      <c r="V2252" t="s">
        <v>74</v>
      </c>
      <c r="W2252"/>
      <c r="X2252"/>
      <c r="Y2252" t="s">
        <v>14728</v>
      </c>
      <c r="Z2252"/>
      <c r="AA2252" t="s">
        <v>14729</v>
      </c>
      <c r="AB2252"/>
      <c r="AC2252"/>
      <c r="AD2252"/>
      <c r="AE2252"/>
      <c r="AF2252" t="s">
        <v>1444</v>
      </c>
      <c r="AG2252" t="n">
        <v>26</v>
      </c>
    </row>
    <row r="2253">
      <c r="A2253" t="s">
        <v>14730</v>
      </c>
      <c r="B2253" t="s">
        <v>28</v>
      </c>
      <c r="C2253" t="s">
        <v>65</v>
      </c>
      <c r="D2253" t="s">
        <v>14731</v>
      </c>
      <c r="E2253" t="s">
        <v>79</v>
      </c>
      <c r="F2253" t="s">
        <v>1274</v>
      </c>
      <c r="G2253" t="s">
        <v>1653</v>
      </c>
      <c r="H2253" t="n">
        <v>39.7863456182569</v>
      </c>
      <c r="I2253" t="n">
        <v>-104.942914890003</v>
      </c>
      <c r="J2253" t="s">
        <v>35</v>
      </c>
      <c r="K2253" t="s">
        <v>783</v>
      </c>
      <c r="L2253"/>
      <c r="M2253" t="n">
        <v>1965</v>
      </c>
      <c r="N2253" t="n">
        <v>1990</v>
      </c>
      <c r="O2253" t="s">
        <v>14732</v>
      </c>
      <c r="P2253" t="n">
        <v>10</v>
      </c>
      <c r="Q2253" t="n">
        <v>6</v>
      </c>
      <c r="R2253" t="n">
        <v>4</v>
      </c>
      <c r="S2253" t="n">
        <v>1867</v>
      </c>
      <c r="T2253" t="s">
        <v>14733</v>
      </c>
      <c r="U2253" t="s">
        <v>14734</v>
      </c>
      <c r="V2253" t="s">
        <v>74</v>
      </c>
      <c r="W2253"/>
      <c r="X2253"/>
      <c r="Y2253" t="s">
        <v>14735</v>
      </c>
      <c r="Z2253"/>
      <c r="AA2253" t="s">
        <v>14736</v>
      </c>
      <c r="AB2253"/>
      <c r="AC2253"/>
      <c r="AD2253"/>
      <c r="AE2253"/>
      <c r="AF2253" t="s">
        <v>14737</v>
      </c>
      <c r="AG2253" t="n">
        <v>2</v>
      </c>
    </row>
    <row r="2254">
      <c r="A2254" t="s">
        <v>14738</v>
      </c>
      <c r="B2254" t="s">
        <v>28</v>
      </c>
      <c r="C2254" t="s">
        <v>24</v>
      </c>
      <c r="D2254" t="s">
        <v>14739</v>
      </c>
      <c r="E2254" t="s">
        <v>79</v>
      </c>
      <c r="F2254" t="s">
        <v>1274</v>
      </c>
      <c r="G2254"/>
      <c r="H2254" t="n">
        <v>39.7234954739229</v>
      </c>
      <c r="I2254" t="n">
        <v>-105.000185646259</v>
      </c>
      <c r="J2254" t="s">
        <v>4109</v>
      </c>
      <c r="K2254" t="s">
        <v>201</v>
      </c>
      <c r="L2254"/>
      <c r="M2254" t="n">
        <v>1965</v>
      </c>
      <c r="N2254" t="n">
        <v>1990</v>
      </c>
      <c r="O2254" t="s">
        <v>10539</v>
      </c>
      <c r="P2254" t="n">
        <v>12</v>
      </c>
      <c r="Q2254" t="n">
        <v>11</v>
      </c>
      <c r="R2254" t="n">
        <v>10</v>
      </c>
      <c r="S2254" t="n">
        <v>1934</v>
      </c>
      <c r="T2254" t="s">
        <v>14740</v>
      </c>
      <c r="U2254" t="s">
        <v>14741</v>
      </c>
      <c r="V2254" t="s">
        <v>74</v>
      </c>
      <c r="W2254"/>
      <c r="X2254"/>
      <c r="Y2254" t="s">
        <v>14742</v>
      </c>
      <c r="Z2254"/>
      <c r="AA2254" t="s">
        <v>14743</v>
      </c>
      <c r="AB2254" t="s">
        <v>14441</v>
      </c>
      <c r="AC2254" t="n">
        <v>137</v>
      </c>
      <c r="AD2254" t="s">
        <v>2076</v>
      </c>
      <c r="AE2254" t="n">
        <v>176</v>
      </c>
      <c r="AF2254" t="s">
        <v>2077</v>
      </c>
      <c r="AG2254" t="n">
        <v>12</v>
      </c>
    </row>
    <row r="2255">
      <c r="A2255" t="s">
        <v>14744</v>
      </c>
      <c r="B2255" t="s">
        <v>28</v>
      </c>
      <c r="C2255" t="s">
        <v>65</v>
      </c>
      <c r="D2255" t="s">
        <v>14745</v>
      </c>
      <c r="E2255" t="s">
        <v>79</v>
      </c>
      <c r="F2255" t="s">
        <v>1274</v>
      </c>
      <c r="G2255"/>
      <c r="H2255" t="n">
        <v>39.6774663983189</v>
      </c>
      <c r="I2255" t="n">
        <v>-105.000621387136</v>
      </c>
      <c r="J2255" t="s">
        <v>35</v>
      </c>
      <c r="K2255" t="s">
        <v>2896</v>
      </c>
      <c r="L2255"/>
      <c r="M2255" t="n">
        <v>1965</v>
      </c>
      <c r="N2255" t="n">
        <v>1990</v>
      </c>
      <c r="O2255" t="s">
        <v>14746</v>
      </c>
      <c r="P2255" t="n">
        <v>8</v>
      </c>
      <c r="Q2255" t="n">
        <v>8</v>
      </c>
      <c r="R2255" t="n">
        <v>4</v>
      </c>
      <c r="S2255" t="n">
        <v>1963</v>
      </c>
      <c r="T2255" t="s">
        <v>14747</v>
      </c>
      <c r="U2255" t="s">
        <v>14748</v>
      </c>
      <c r="V2255" t="s">
        <v>74</v>
      </c>
      <c r="W2255"/>
      <c r="X2255"/>
      <c r="Y2255" t="s">
        <v>14749</v>
      </c>
      <c r="Z2255"/>
      <c r="AA2255" t="s">
        <v>14750</v>
      </c>
      <c r="AB2255"/>
      <c r="AC2255"/>
      <c r="AD2255" t="s">
        <v>8989</v>
      </c>
      <c r="AE2255" t="n">
        <v>158</v>
      </c>
      <c r="AF2255" t="s">
        <v>14751</v>
      </c>
      <c r="AG2255" t="n">
        <v>61</v>
      </c>
    </row>
    <row r="2256">
      <c r="A2256" t="s">
        <v>14752</v>
      </c>
      <c r="B2256" t="s">
        <v>28</v>
      </c>
      <c r="C2256" t="s">
        <v>24</v>
      </c>
      <c r="D2256" t="s">
        <v>14753</v>
      </c>
      <c r="E2256" t="s">
        <v>79</v>
      </c>
      <c r="F2256" t="s">
        <v>1274</v>
      </c>
      <c r="G2256"/>
      <c r="H2256" t="n">
        <v>39.7249117071872</v>
      </c>
      <c r="I2256" t="n">
        <v>-104.998574519965</v>
      </c>
      <c r="J2256" t="s">
        <v>4109</v>
      </c>
      <c r="K2256" t="s">
        <v>201</v>
      </c>
      <c r="L2256"/>
      <c r="M2256" t="n">
        <v>1965</v>
      </c>
      <c r="N2256" t="n">
        <v>1992</v>
      </c>
      <c r="O2256" t="s">
        <v>14754</v>
      </c>
      <c r="P2256" t="n">
        <v>12</v>
      </c>
      <c r="Q2256" t="n">
        <v>10</v>
      </c>
      <c r="R2256" t="n">
        <v>4</v>
      </c>
      <c r="S2256" t="n">
        <v>1920</v>
      </c>
      <c r="T2256" t="s">
        <v>14755</v>
      </c>
      <c r="U2256" t="s">
        <v>14756</v>
      </c>
      <c r="V2256" t="s">
        <v>74</v>
      </c>
      <c r="W2256"/>
      <c r="X2256"/>
      <c r="Y2256" t="s">
        <v>14757</v>
      </c>
      <c r="Z2256" t="s">
        <v>14758</v>
      </c>
      <c r="AA2256"/>
      <c r="AB2256" t="s">
        <v>2023</v>
      </c>
      <c r="AC2256" t="n">
        <v>112</v>
      </c>
      <c r="AD2256"/>
      <c r="AE2256"/>
      <c r="AF2256" t="s">
        <v>9837</v>
      </c>
      <c r="AG2256" t="n">
        <v>7</v>
      </c>
    </row>
    <row r="2257">
      <c r="A2257" t="s">
        <v>14759</v>
      </c>
      <c r="B2257" t="s">
        <v>28</v>
      </c>
      <c r="C2257" t="s">
        <v>65</v>
      </c>
      <c r="D2257" t="s">
        <v>14760</v>
      </c>
      <c r="E2257" t="s">
        <v>79</v>
      </c>
      <c r="F2257" t="s">
        <v>1274</v>
      </c>
      <c r="G2257" t="s">
        <v>1555</v>
      </c>
      <c r="H2257" t="n">
        <v>39.7357097512252</v>
      </c>
      <c r="I2257" t="n">
        <v>-104.998704776803</v>
      </c>
      <c r="J2257" t="s">
        <v>35</v>
      </c>
      <c r="K2257" t="s">
        <v>5784</v>
      </c>
      <c r="L2257"/>
      <c r="M2257" t="n">
        <v>1965</v>
      </c>
      <c r="N2257" t="n">
        <v>1988</v>
      </c>
      <c r="O2257" t="s">
        <v>14761</v>
      </c>
      <c r="P2257" t="n">
        <v>8</v>
      </c>
      <c r="Q2257" t="n">
        <v>8</v>
      </c>
      <c r="R2257" t="n">
        <v>4</v>
      </c>
      <c r="S2257" t="n">
        <v>1935</v>
      </c>
      <c r="T2257" t="s">
        <v>14762</v>
      </c>
      <c r="U2257" t="s">
        <v>14763</v>
      </c>
      <c r="V2257" t="s">
        <v>74</v>
      </c>
      <c r="W2257"/>
      <c r="X2257"/>
      <c r="Y2257" t="s">
        <v>14764</v>
      </c>
      <c r="Z2257"/>
      <c r="AA2257" t="s">
        <v>14765</v>
      </c>
      <c r="AB2257"/>
      <c r="AC2257"/>
      <c r="AD2257"/>
      <c r="AE2257"/>
      <c r="AF2257" t="s">
        <v>1757</v>
      </c>
      <c r="AG2257" t="n">
        <v>8</v>
      </c>
    </row>
    <row r="2258">
      <c r="A2258" t="s">
        <v>14766</v>
      </c>
      <c r="B2258" t="s">
        <v>28</v>
      </c>
      <c r="C2258" t="s">
        <v>24</v>
      </c>
      <c r="D2258" t="s">
        <v>14767</v>
      </c>
      <c r="E2258" t="s">
        <v>79</v>
      </c>
      <c r="F2258" t="s">
        <v>1274</v>
      </c>
      <c r="G2258"/>
      <c r="H2258" t="n">
        <v>39.7295671703177</v>
      </c>
      <c r="I2258" t="n">
        <v>-104.998619293718</v>
      </c>
      <c r="J2258" t="s">
        <v>4109</v>
      </c>
      <c r="K2258" t="s">
        <v>70</v>
      </c>
      <c r="L2258"/>
      <c r="M2258" t="n">
        <v>1965</v>
      </c>
      <c r="N2258" t="n">
        <v>1990</v>
      </c>
      <c r="O2258" t="s">
        <v>14768</v>
      </c>
      <c r="P2258" t="n">
        <v>11</v>
      </c>
      <c r="Q2258" t="n">
        <v>13</v>
      </c>
      <c r="R2258" t="n">
        <v>4</v>
      </c>
      <c r="S2258" t="n">
        <v>1919</v>
      </c>
      <c r="T2258" t="s">
        <v>14769</v>
      </c>
      <c r="U2258" t="s">
        <v>14770</v>
      </c>
      <c r="V2258" t="s">
        <v>74</v>
      </c>
      <c r="W2258"/>
      <c r="X2258"/>
      <c r="Y2258" t="s">
        <v>14771</v>
      </c>
      <c r="Z2258"/>
      <c r="AA2258" t="s">
        <v>14772</v>
      </c>
      <c r="AB2258" t="s">
        <v>1995</v>
      </c>
      <c r="AC2258" t="n">
        <v>149</v>
      </c>
      <c r="AD2258"/>
      <c r="AE2258"/>
      <c r="AF2258" t="s">
        <v>14773</v>
      </c>
      <c r="AG2258" t="n">
        <v>21</v>
      </c>
    </row>
    <row r="2259">
      <c r="A2259" t="s">
        <v>14774</v>
      </c>
      <c r="B2259" t="s">
        <v>28</v>
      </c>
      <c r="C2259" t="s">
        <v>65</v>
      </c>
      <c r="D2259" t="s">
        <v>14775</v>
      </c>
      <c r="E2259" t="s">
        <v>79</v>
      </c>
      <c r="F2259" t="s">
        <v>1274</v>
      </c>
      <c r="G2259" t="s">
        <v>1574</v>
      </c>
      <c r="H2259" t="n">
        <v>39.7556011673997</v>
      </c>
      <c r="I2259" t="n">
        <v>-104.992650048318</v>
      </c>
      <c r="J2259" t="s">
        <v>35</v>
      </c>
      <c r="K2259" t="s">
        <v>141</v>
      </c>
      <c r="L2259"/>
      <c r="M2259" t="n">
        <v>1966</v>
      </c>
      <c r="N2259" t="n">
        <v>1983</v>
      </c>
      <c r="O2259" t="s">
        <v>228</v>
      </c>
      <c r="P2259" t="n">
        <v>5</v>
      </c>
      <c r="Q2259" t="n">
        <v>4</v>
      </c>
      <c r="R2259" t="n">
        <v>1</v>
      </c>
      <c r="S2259" t="n">
        <v>1977</v>
      </c>
      <c r="T2259" t="s">
        <v>14776</v>
      </c>
      <c r="U2259" t="s">
        <v>14777</v>
      </c>
      <c r="V2259" t="s">
        <v>74</v>
      </c>
      <c r="W2259"/>
      <c r="X2259"/>
      <c r="Y2259" t="s">
        <v>14778</v>
      </c>
      <c r="Z2259"/>
      <c r="AA2259" t="s">
        <v>14779</v>
      </c>
      <c r="AB2259" t="s">
        <v>1384</v>
      </c>
      <c r="AC2259" t="n">
        <v>99</v>
      </c>
      <c r="AD2259"/>
      <c r="AE2259"/>
      <c r="AF2259" t="s">
        <v>1672</v>
      </c>
      <c r="AG2259" t="n">
        <v>2</v>
      </c>
    </row>
    <row r="2260">
      <c r="A2260" t="s">
        <v>14780</v>
      </c>
      <c r="B2260" t="s">
        <v>28</v>
      </c>
      <c r="C2260" t="s">
        <v>24</v>
      </c>
      <c r="D2260" t="s">
        <v>14781</v>
      </c>
      <c r="E2260" t="s">
        <v>79</v>
      </c>
      <c r="F2260" t="s">
        <v>1274</v>
      </c>
      <c r="G2260" t="s">
        <v>1612</v>
      </c>
      <c r="H2260" t="n">
        <v>39.720263</v>
      </c>
      <c r="I2260" t="n">
        <v>-105.02096818227</v>
      </c>
      <c r="J2260" t="s">
        <v>35</v>
      </c>
      <c r="K2260" t="s">
        <v>120</v>
      </c>
      <c r="L2260"/>
      <c r="M2260" t="n">
        <v>1966</v>
      </c>
      <c r="N2260" t="n">
        <v>1966</v>
      </c>
      <c r="O2260" t="s">
        <v>4172</v>
      </c>
      <c r="P2260" t="n">
        <v>1</v>
      </c>
      <c r="Q2260" t="n">
        <v>1</v>
      </c>
      <c r="R2260" t="n">
        <v>1</v>
      </c>
      <c r="S2260" t="n">
        <v>1936</v>
      </c>
      <c r="T2260" t="s">
        <v>14782</v>
      </c>
      <c r="U2260" t="s">
        <v>14783</v>
      </c>
      <c r="V2260" t="s">
        <v>4175</v>
      </c>
      <c r="W2260"/>
      <c r="X2260"/>
      <c r="Y2260" t="s">
        <v>14784</v>
      </c>
      <c r="Z2260"/>
      <c r="AA2260"/>
      <c r="AB2260"/>
      <c r="AC2260"/>
      <c r="AD2260"/>
      <c r="AE2260"/>
      <c r="AF2260" t="s">
        <v>14785</v>
      </c>
      <c r="AG2260" t="n">
        <v>8</v>
      </c>
    </row>
    <row r="2261">
      <c r="A2261" t="s">
        <v>14786</v>
      </c>
      <c r="B2261" t="s">
        <v>28</v>
      </c>
      <c r="C2261" t="s">
        <v>65</v>
      </c>
      <c r="D2261" t="s">
        <v>14787</v>
      </c>
      <c r="E2261" t="s">
        <v>79</v>
      </c>
      <c r="F2261" t="s">
        <v>1274</v>
      </c>
      <c r="G2261" t="s">
        <v>1516</v>
      </c>
      <c r="H2261" t="n">
        <v>39.6913651392475</v>
      </c>
      <c r="I2261" t="n">
        <v>-104.99803054729</v>
      </c>
      <c r="J2261" t="s">
        <v>35</v>
      </c>
      <c r="K2261" t="s">
        <v>70</v>
      </c>
      <c r="L2261"/>
      <c r="M2261" t="n">
        <v>1966</v>
      </c>
      <c r="N2261" t="n">
        <v>1983</v>
      </c>
      <c r="O2261" t="s">
        <v>14788</v>
      </c>
      <c r="P2261" t="n">
        <v>8</v>
      </c>
      <c r="Q2261" t="n">
        <v>2</v>
      </c>
      <c r="R2261" t="n">
        <v>1</v>
      </c>
      <c r="S2261" t="n">
        <v>1964</v>
      </c>
      <c r="T2261" t="s">
        <v>14789</v>
      </c>
      <c r="U2261" t="s">
        <v>14790</v>
      </c>
      <c r="V2261" t="s">
        <v>74</v>
      </c>
      <c r="W2261"/>
      <c r="X2261"/>
      <c r="Y2261" t="s">
        <v>14791</v>
      </c>
      <c r="Z2261"/>
      <c r="AA2261"/>
      <c r="AB2261"/>
      <c r="AC2261"/>
      <c r="AD2261"/>
      <c r="AE2261"/>
      <c r="AF2261" t="s">
        <v>1287</v>
      </c>
      <c r="AG2261" t="n">
        <v>47</v>
      </c>
    </row>
    <row r="2262">
      <c r="A2262" t="s">
        <v>14792</v>
      </c>
      <c r="B2262" t="s">
        <v>28</v>
      </c>
      <c r="C2262" t="s">
        <v>65</v>
      </c>
      <c r="D2262" t="s">
        <v>14793</v>
      </c>
      <c r="E2262" t="s">
        <v>79</v>
      </c>
      <c r="F2262" t="s">
        <v>1274</v>
      </c>
      <c r="G2262" t="s">
        <v>1540</v>
      </c>
      <c r="H2262" t="n">
        <v>39.7714610395604</v>
      </c>
      <c r="I2262" t="n">
        <v>-105.044012232967</v>
      </c>
      <c r="J2262" t="s">
        <v>35</v>
      </c>
      <c r="K2262" t="s">
        <v>70</v>
      </c>
      <c r="L2262"/>
      <c r="M2262" t="n">
        <v>1966</v>
      </c>
      <c r="N2262" t="n">
        <v>1990</v>
      </c>
      <c r="O2262" t="s">
        <v>388</v>
      </c>
      <c r="P2262" t="n">
        <v>10</v>
      </c>
      <c r="Q2262" t="n">
        <v>2</v>
      </c>
      <c r="R2262" t="n">
        <v>1</v>
      </c>
      <c r="S2262" t="n">
        <v>1918</v>
      </c>
      <c r="T2262" t="s">
        <v>14794</v>
      </c>
      <c r="U2262" t="s">
        <v>14795</v>
      </c>
      <c r="V2262" t="s">
        <v>74</v>
      </c>
      <c r="W2262"/>
      <c r="X2262"/>
      <c r="Y2262" t="s">
        <v>14796</v>
      </c>
      <c r="Z2262"/>
      <c r="AA2262" t="s">
        <v>14797</v>
      </c>
      <c r="AB2262" t="s">
        <v>7032</v>
      </c>
      <c r="AC2262" t="n">
        <v>188</v>
      </c>
      <c r="AD2262"/>
      <c r="AE2262"/>
      <c r="AF2262" t="s">
        <v>14798</v>
      </c>
      <c r="AG2262" t="n">
        <v>38</v>
      </c>
    </row>
    <row r="2263">
      <c r="A2263" t="s">
        <v>14799</v>
      </c>
      <c r="B2263" t="s">
        <v>28</v>
      </c>
      <c r="C2263" t="s">
        <v>24</v>
      </c>
      <c r="D2263" t="s">
        <v>14800</v>
      </c>
      <c r="E2263" t="s">
        <v>79</v>
      </c>
      <c r="F2263" t="s">
        <v>1274</v>
      </c>
      <c r="G2263" t="s">
        <v>1555</v>
      </c>
      <c r="H2263" t="n">
        <v>39.742313</v>
      </c>
      <c r="I2263" t="n">
        <v>-104.999335</v>
      </c>
      <c r="J2263" t="s">
        <v>4109</v>
      </c>
      <c r="K2263" t="s">
        <v>533</v>
      </c>
      <c r="L2263"/>
      <c r="M2263" t="n">
        <v>1966</v>
      </c>
      <c r="N2263" t="n">
        <v>1974</v>
      </c>
      <c r="O2263" t="s">
        <v>3494</v>
      </c>
      <c r="P2263" t="n">
        <v>6</v>
      </c>
      <c r="Q2263" t="n">
        <v>3</v>
      </c>
      <c r="R2263" t="n">
        <v>1</v>
      </c>
      <c r="S2263" t="n">
        <v>1906</v>
      </c>
      <c r="T2263" t="s">
        <v>14801</v>
      </c>
      <c r="U2263" t="s">
        <v>14802</v>
      </c>
      <c r="V2263" t="s">
        <v>74</v>
      </c>
      <c r="W2263"/>
      <c r="X2263"/>
      <c r="Y2263" t="s">
        <v>14803</v>
      </c>
      <c r="Z2263"/>
      <c r="AA2263" t="s">
        <v>14804</v>
      </c>
      <c r="AB2263"/>
      <c r="AC2263"/>
      <c r="AD2263"/>
      <c r="AE2263"/>
      <c r="AF2263" t="s">
        <v>4275</v>
      </c>
      <c r="AG2263" t="n">
        <v>200</v>
      </c>
    </row>
    <row r="2264">
      <c r="A2264" t="s">
        <v>14805</v>
      </c>
      <c r="B2264" t="s">
        <v>28</v>
      </c>
      <c r="C2264" t="s">
        <v>65</v>
      </c>
      <c r="D2264" t="s">
        <v>14806</v>
      </c>
      <c r="E2264" t="s">
        <v>79</v>
      </c>
      <c r="F2264" t="s">
        <v>1274</v>
      </c>
      <c r="G2264" t="s">
        <v>1574</v>
      </c>
      <c r="H2264" t="n">
        <v>39.7571</v>
      </c>
      <c r="I2264" t="n">
        <v>-104.990714</v>
      </c>
      <c r="J2264" t="s">
        <v>35</v>
      </c>
      <c r="K2264" t="s">
        <v>533</v>
      </c>
      <c r="L2264"/>
      <c r="M2264" t="n">
        <v>1966</v>
      </c>
      <c r="N2264" t="n">
        <v>1967</v>
      </c>
      <c r="O2264" t="s">
        <v>716</v>
      </c>
      <c r="P2264" t="n">
        <v>2</v>
      </c>
      <c r="Q2264" t="n">
        <v>1</v>
      </c>
      <c r="R2264" t="n">
        <v>1</v>
      </c>
      <c r="S2264" t="n">
        <v>1931</v>
      </c>
      <c r="T2264" t="s">
        <v>14807</v>
      </c>
      <c r="U2264" t="s">
        <v>14808</v>
      </c>
      <c r="V2264" t="s">
        <v>74</v>
      </c>
      <c r="W2264"/>
      <c r="X2264"/>
      <c r="Y2264" t="s">
        <v>14809</v>
      </c>
      <c r="Z2264"/>
      <c r="AA2264"/>
      <c r="AB2264" t="s">
        <v>1325</v>
      </c>
      <c r="AC2264" t="n">
        <v>123</v>
      </c>
      <c r="AD2264"/>
      <c r="AE2264"/>
      <c r="AF2264" t="s">
        <v>14810</v>
      </c>
      <c r="AG2264" t="n">
        <v>1</v>
      </c>
    </row>
    <row r="2265">
      <c r="A2265" t="s">
        <v>14811</v>
      </c>
      <c r="B2265" t="s">
        <v>28</v>
      </c>
      <c r="C2265" t="s">
        <v>24</v>
      </c>
      <c r="D2265" t="s">
        <v>14812</v>
      </c>
      <c r="E2265" t="s">
        <v>79</v>
      </c>
      <c r="F2265" t="s">
        <v>1274</v>
      </c>
      <c r="G2265" t="s">
        <v>1555</v>
      </c>
      <c r="H2265" t="n">
        <v>39.7359046699466</v>
      </c>
      <c r="I2265" t="n">
        <v>-105.010390873745</v>
      </c>
      <c r="J2265" t="s">
        <v>4109</v>
      </c>
      <c r="K2265" t="s">
        <v>120</v>
      </c>
      <c r="L2265"/>
      <c r="M2265" t="n">
        <v>1966</v>
      </c>
      <c r="N2265" t="n">
        <v>1974</v>
      </c>
      <c r="O2265" t="s">
        <v>716</v>
      </c>
      <c r="P2265" t="n">
        <v>3</v>
      </c>
      <c r="Q2265" t="n">
        <v>2</v>
      </c>
      <c r="R2265" t="n">
        <v>1</v>
      </c>
      <c r="S2265" t="n">
        <v>1959</v>
      </c>
      <c r="T2265" t="s">
        <v>14813</v>
      </c>
      <c r="U2265" t="s">
        <v>14814</v>
      </c>
      <c r="V2265" t="s">
        <v>74</v>
      </c>
      <c r="W2265"/>
      <c r="X2265"/>
      <c r="Y2265" t="s">
        <v>14815</v>
      </c>
      <c r="Z2265"/>
      <c r="AA2265"/>
      <c r="AB2265" t="s">
        <v>9021</v>
      </c>
      <c r="AC2265" t="n">
        <v>129</v>
      </c>
      <c r="AD2265" t="s">
        <v>6971</v>
      </c>
      <c r="AE2265" t="n">
        <v>249</v>
      </c>
      <c r="AF2265" t="s">
        <v>9022</v>
      </c>
      <c r="AG2265" t="n">
        <v>94</v>
      </c>
    </row>
    <row r="2266">
      <c r="A2266" t="s">
        <v>14816</v>
      </c>
      <c r="B2266" t="s">
        <v>28</v>
      </c>
      <c r="C2266" t="s">
        <v>65</v>
      </c>
      <c r="D2266" t="s">
        <v>14817</v>
      </c>
      <c r="E2266" t="s">
        <v>79</v>
      </c>
      <c r="F2266" t="s">
        <v>1274</v>
      </c>
      <c r="G2266" t="s">
        <v>1881</v>
      </c>
      <c r="H2266" t="n">
        <v>39.7692250361767</v>
      </c>
      <c r="I2266" t="n">
        <v>-104.926688179405</v>
      </c>
      <c r="J2266" t="s">
        <v>35</v>
      </c>
      <c r="K2266" t="s">
        <v>1495</v>
      </c>
      <c r="L2266"/>
      <c r="M2266" t="n">
        <v>1966</v>
      </c>
      <c r="N2266" t="n">
        <v>1990</v>
      </c>
      <c r="O2266" t="s">
        <v>14818</v>
      </c>
      <c r="P2266" t="n">
        <v>6</v>
      </c>
      <c r="Q2266" t="n">
        <v>6</v>
      </c>
      <c r="R2266" t="n">
        <v>4</v>
      </c>
      <c r="S2266" t="n">
        <v>1926</v>
      </c>
      <c r="T2266" t="s">
        <v>14819</v>
      </c>
      <c r="U2266" t="s">
        <v>14820</v>
      </c>
      <c r="V2266" t="s">
        <v>74</v>
      </c>
      <c r="W2266"/>
      <c r="X2266"/>
      <c r="Y2266" t="s">
        <v>14821</v>
      </c>
      <c r="Z2266"/>
      <c r="AA2266" t="s">
        <v>14822</v>
      </c>
      <c r="AB2266" t="s">
        <v>8072</v>
      </c>
      <c r="AC2266" t="n">
        <v>105</v>
      </c>
      <c r="AD2266" t="s">
        <v>8073</v>
      </c>
      <c r="AE2266" t="n">
        <v>136</v>
      </c>
      <c r="AF2266" t="s">
        <v>14823</v>
      </c>
      <c r="AG2266" t="n">
        <v>2</v>
      </c>
    </row>
    <row r="2267">
      <c r="A2267" t="s">
        <v>14824</v>
      </c>
      <c r="B2267" t="s">
        <v>28</v>
      </c>
      <c r="C2267" t="s">
        <v>65</v>
      </c>
      <c r="D2267" t="s">
        <v>14825</v>
      </c>
      <c r="E2267" t="s">
        <v>79</v>
      </c>
      <c r="F2267" t="s">
        <v>1274</v>
      </c>
      <c r="G2267" t="s">
        <v>1516</v>
      </c>
      <c r="H2267" t="n">
        <v>39.6785490204082</v>
      </c>
      <c r="I2267" t="n">
        <v>-104.991137102041</v>
      </c>
      <c r="J2267" t="s">
        <v>35</v>
      </c>
      <c r="K2267" t="s">
        <v>120</v>
      </c>
      <c r="L2267"/>
      <c r="M2267" t="n">
        <v>1966</v>
      </c>
      <c r="N2267" t="n">
        <v>1990</v>
      </c>
      <c r="O2267" t="s">
        <v>13153</v>
      </c>
      <c r="P2267" t="n">
        <v>8</v>
      </c>
      <c r="Q2267" t="n">
        <v>2</v>
      </c>
      <c r="R2267" t="n">
        <v>2</v>
      </c>
      <c r="S2267" t="n">
        <v>1948</v>
      </c>
      <c r="T2267" t="s">
        <v>14826</v>
      </c>
      <c r="U2267" t="s">
        <v>14827</v>
      </c>
      <c r="V2267" t="s">
        <v>74</v>
      </c>
      <c r="W2267"/>
      <c r="X2267"/>
      <c r="Y2267" t="s">
        <v>14828</v>
      </c>
      <c r="Z2267"/>
      <c r="AA2267"/>
      <c r="AB2267" t="s">
        <v>11444</v>
      </c>
      <c r="AC2267" t="n">
        <v>90</v>
      </c>
      <c r="AD2267" t="s">
        <v>1431</v>
      </c>
      <c r="AE2267" t="n">
        <v>216</v>
      </c>
      <c r="AF2267" t="s">
        <v>14829</v>
      </c>
      <c r="AG2267" t="n">
        <v>23</v>
      </c>
    </row>
    <row r="2268">
      <c r="A2268" t="s">
        <v>14830</v>
      </c>
      <c r="B2268" t="s">
        <v>28</v>
      </c>
      <c r="C2268" t="s">
        <v>65</v>
      </c>
      <c r="D2268" t="s">
        <v>14831</v>
      </c>
      <c r="E2268" t="s">
        <v>79</v>
      </c>
      <c r="F2268" t="s">
        <v>1274</v>
      </c>
      <c r="G2268" t="s">
        <v>1516</v>
      </c>
      <c r="H2268" t="n">
        <v>39.6741217842471</v>
      </c>
      <c r="I2268" t="n">
        <v>-104.992272514859</v>
      </c>
      <c r="J2268" t="s">
        <v>35</v>
      </c>
      <c r="K2268" t="s">
        <v>141</v>
      </c>
      <c r="L2268" t="s">
        <v>1337</v>
      </c>
      <c r="M2268" t="n">
        <v>1966</v>
      </c>
      <c r="N2268" t="n">
        <v>1992</v>
      </c>
      <c r="O2268" t="s">
        <v>521</v>
      </c>
      <c r="P2268" t="n">
        <v>11</v>
      </c>
      <c r="Q2268" t="n">
        <v>6</v>
      </c>
      <c r="R2268" t="n">
        <v>3</v>
      </c>
      <c r="S2268" t="n">
        <v>1943</v>
      </c>
      <c r="T2268" t="s">
        <v>14832</v>
      </c>
      <c r="U2268" t="s">
        <v>14833</v>
      </c>
      <c r="V2268" t="s">
        <v>74</v>
      </c>
      <c r="W2268"/>
      <c r="X2268"/>
      <c r="Y2268" t="s">
        <v>14834</v>
      </c>
      <c r="Z2268"/>
      <c r="AA2268" t="s">
        <v>14835</v>
      </c>
      <c r="AB2268" t="s">
        <v>1370</v>
      </c>
      <c r="AC2268" t="n">
        <v>239</v>
      </c>
      <c r="AD2268" t="s">
        <v>1371</v>
      </c>
      <c r="AE2268" t="n">
        <v>157</v>
      </c>
      <c r="AF2268" t="s">
        <v>14836</v>
      </c>
      <c r="AG2268" t="n">
        <v>6</v>
      </c>
    </row>
    <row r="2269">
      <c r="A2269" t="s">
        <v>14837</v>
      </c>
      <c r="B2269" t="s">
        <v>28</v>
      </c>
      <c r="C2269" t="s">
        <v>65</v>
      </c>
      <c r="D2269" t="s">
        <v>14838</v>
      </c>
      <c r="E2269" t="s">
        <v>79</v>
      </c>
      <c r="F2269" t="s">
        <v>1274</v>
      </c>
      <c r="G2269" t="s">
        <v>1516</v>
      </c>
      <c r="H2269" t="n">
        <v>39.6791242426304</v>
      </c>
      <c r="I2269" t="n">
        <v>-104.991113027211</v>
      </c>
      <c r="J2269" t="s">
        <v>35</v>
      </c>
      <c r="K2269" t="s">
        <v>141</v>
      </c>
      <c r="L2269"/>
      <c r="M2269" t="n">
        <v>1966</v>
      </c>
      <c r="N2269" t="n">
        <v>1990</v>
      </c>
      <c r="O2269" t="s">
        <v>14839</v>
      </c>
      <c r="P2269" t="n">
        <v>7</v>
      </c>
      <c r="Q2269" t="n">
        <v>4</v>
      </c>
      <c r="R2269" t="n">
        <v>3</v>
      </c>
      <c r="S2269" t="n">
        <v>1954</v>
      </c>
      <c r="T2269" t="s">
        <v>14840</v>
      </c>
      <c r="U2269" t="s">
        <v>14841</v>
      </c>
      <c r="V2269" t="s">
        <v>74</v>
      </c>
      <c r="W2269"/>
      <c r="X2269"/>
      <c r="Y2269" t="s">
        <v>14842</v>
      </c>
      <c r="Z2269"/>
      <c r="AA2269"/>
      <c r="AB2269" t="s">
        <v>11444</v>
      </c>
      <c r="AC2269" t="n">
        <v>140</v>
      </c>
      <c r="AD2269" t="s">
        <v>1431</v>
      </c>
      <c r="AE2269" t="n">
        <v>222</v>
      </c>
      <c r="AF2269" t="s">
        <v>11445</v>
      </c>
      <c r="AG2269" t="n">
        <v>23</v>
      </c>
    </row>
    <row r="2270">
      <c r="A2270" t="s">
        <v>14843</v>
      </c>
      <c r="B2270" t="s">
        <v>28</v>
      </c>
      <c r="C2270" t="s">
        <v>65</v>
      </c>
      <c r="D2270" t="s">
        <v>14844</v>
      </c>
      <c r="E2270" t="s">
        <v>79</v>
      </c>
      <c r="F2270" t="s">
        <v>1274</v>
      </c>
      <c r="G2270" t="s">
        <v>1881</v>
      </c>
      <c r="H2270" t="n">
        <v>39.7714183347317</v>
      </c>
      <c r="I2270" t="n">
        <v>-104.927699010222</v>
      </c>
      <c r="J2270" t="s">
        <v>35</v>
      </c>
      <c r="K2270" t="s">
        <v>120</v>
      </c>
      <c r="L2270"/>
      <c r="M2270" t="n">
        <v>1966</v>
      </c>
      <c r="N2270" t="n">
        <v>1974</v>
      </c>
      <c r="O2270" t="s">
        <v>1613</v>
      </c>
      <c r="P2270" t="n">
        <v>4</v>
      </c>
      <c r="Q2270" t="n">
        <v>4</v>
      </c>
      <c r="R2270" t="n">
        <v>3</v>
      </c>
      <c r="S2270" t="n">
        <v>1961</v>
      </c>
      <c r="T2270" t="s">
        <v>14845</v>
      </c>
      <c r="U2270" t="s">
        <v>14846</v>
      </c>
      <c r="V2270" t="s">
        <v>74</v>
      </c>
      <c r="W2270"/>
      <c r="X2270"/>
      <c r="Y2270" t="s">
        <v>14847</v>
      </c>
      <c r="Z2270"/>
      <c r="AA2270"/>
      <c r="AB2270" t="s">
        <v>8072</v>
      </c>
      <c r="AC2270" t="n">
        <v>155</v>
      </c>
      <c r="AD2270" t="s">
        <v>14848</v>
      </c>
      <c r="AE2270" t="n">
        <v>195</v>
      </c>
      <c r="AF2270" t="s">
        <v>14849</v>
      </c>
      <c r="AG2270" t="n">
        <v>39</v>
      </c>
    </row>
    <row r="2271">
      <c r="A2271" t="s">
        <v>14850</v>
      </c>
      <c r="B2271" t="s">
        <v>28</v>
      </c>
      <c r="C2271" t="s">
        <v>65</v>
      </c>
      <c r="D2271" t="s">
        <v>14851</v>
      </c>
      <c r="E2271" t="s">
        <v>79</v>
      </c>
      <c r="F2271" t="s">
        <v>1274</v>
      </c>
      <c r="G2271" t="s">
        <v>1574</v>
      </c>
      <c r="H2271" t="n">
        <v>39.753478</v>
      </c>
      <c r="I2271" t="n">
        <v>-104.988421</v>
      </c>
      <c r="J2271" t="s">
        <v>35</v>
      </c>
      <c r="K2271" t="s">
        <v>120</v>
      </c>
      <c r="L2271"/>
      <c r="M2271" t="n">
        <v>1966</v>
      </c>
      <c r="N2271" t="n">
        <v>1990</v>
      </c>
      <c r="O2271" t="s">
        <v>1517</v>
      </c>
      <c r="P2271" t="n">
        <v>8</v>
      </c>
      <c r="Q2271" t="n">
        <v>4</v>
      </c>
      <c r="R2271" t="n">
        <v>1</v>
      </c>
      <c r="S2271" t="n">
        <v>1909</v>
      </c>
      <c r="T2271" t="s">
        <v>14852</v>
      </c>
      <c r="U2271" t="s">
        <v>14853</v>
      </c>
      <c r="V2271" t="s">
        <v>74</v>
      </c>
      <c r="W2271"/>
      <c r="X2271"/>
      <c r="Y2271" t="s">
        <v>14854</v>
      </c>
      <c r="Z2271"/>
      <c r="AA2271" t="s">
        <v>14855</v>
      </c>
      <c r="AB2271" t="s">
        <v>1292</v>
      </c>
      <c r="AC2271" t="n">
        <v>125</v>
      </c>
      <c r="AD2271"/>
      <c r="AE2271"/>
      <c r="AF2271" t="s">
        <v>14856</v>
      </c>
      <c r="AG2271" t="n">
        <v>11</v>
      </c>
    </row>
    <row r="2272">
      <c r="A2272" t="s">
        <v>14857</v>
      </c>
      <c r="B2272" t="s">
        <v>28</v>
      </c>
      <c r="C2272" t="s">
        <v>65</v>
      </c>
      <c r="D2272" t="s">
        <v>14858</v>
      </c>
      <c r="E2272" t="s">
        <v>79</v>
      </c>
      <c r="F2272" t="s">
        <v>1274</v>
      </c>
      <c r="G2272" t="s">
        <v>1555</v>
      </c>
      <c r="H2272" t="n">
        <v>39.7297673531405</v>
      </c>
      <c r="I2272" t="n">
        <v>-105.013982770571</v>
      </c>
      <c r="J2272" t="s">
        <v>35</v>
      </c>
      <c r="K2272" t="s">
        <v>201</v>
      </c>
      <c r="L2272"/>
      <c r="M2272" t="n">
        <v>1966</v>
      </c>
      <c r="N2272" t="n">
        <v>1992</v>
      </c>
      <c r="O2272" t="s">
        <v>14859</v>
      </c>
      <c r="P2272" t="n">
        <v>10</v>
      </c>
      <c r="Q2272" t="n">
        <v>4</v>
      </c>
      <c r="R2272" t="n">
        <v>3</v>
      </c>
      <c r="S2272" t="n">
        <v>1952</v>
      </c>
      <c r="T2272" t="s">
        <v>14860</v>
      </c>
      <c r="U2272" t="s">
        <v>14861</v>
      </c>
      <c r="V2272" t="s">
        <v>74</v>
      </c>
      <c r="W2272"/>
      <c r="X2272"/>
      <c r="Y2272" t="s">
        <v>14862</v>
      </c>
      <c r="Z2272"/>
      <c r="AA2272"/>
      <c r="AB2272"/>
      <c r="AC2272"/>
      <c r="AD2272" t="s">
        <v>4365</v>
      </c>
      <c r="AE2272" t="n">
        <v>184</v>
      </c>
      <c r="AF2272" t="s">
        <v>14863</v>
      </c>
      <c r="AG2272" t="n">
        <v>37</v>
      </c>
    </row>
    <row r="2273">
      <c r="A2273" t="s">
        <v>14864</v>
      </c>
      <c r="B2273" t="s">
        <v>28</v>
      </c>
      <c r="C2273" t="s">
        <v>65</v>
      </c>
      <c r="D2273" t="s">
        <v>14865</v>
      </c>
      <c r="E2273" t="s">
        <v>79</v>
      </c>
      <c r="F2273" t="s">
        <v>1274</v>
      </c>
      <c r="G2273" t="s">
        <v>1569</v>
      </c>
      <c r="H2273" t="n">
        <v>39.6839192240448</v>
      </c>
      <c r="I2273" t="n">
        <v>-104.980478611248</v>
      </c>
      <c r="J2273" t="s">
        <v>35</v>
      </c>
      <c r="K2273" t="s">
        <v>141</v>
      </c>
      <c r="L2273"/>
      <c r="M2273" t="n">
        <v>1966</v>
      </c>
      <c r="N2273" t="n">
        <v>1983</v>
      </c>
      <c r="O2273" t="s">
        <v>1173</v>
      </c>
      <c r="P2273" t="n">
        <v>6</v>
      </c>
      <c r="Q2273" t="n">
        <v>3</v>
      </c>
      <c r="R2273" t="n">
        <v>2</v>
      </c>
      <c r="S2273" t="n">
        <v>1947</v>
      </c>
      <c r="T2273" t="s">
        <v>14866</v>
      </c>
      <c r="U2273" t="s">
        <v>14867</v>
      </c>
      <c r="V2273" t="s">
        <v>74</v>
      </c>
      <c r="W2273"/>
      <c r="X2273"/>
      <c r="Y2273" t="s">
        <v>14868</v>
      </c>
      <c r="Z2273"/>
      <c r="AA2273"/>
      <c r="AB2273" t="s">
        <v>1406</v>
      </c>
      <c r="AC2273" t="n">
        <v>229</v>
      </c>
      <c r="AD2273"/>
      <c r="AE2273"/>
      <c r="AF2273" t="s">
        <v>1407</v>
      </c>
      <c r="AG2273" t="n">
        <v>9</v>
      </c>
    </row>
    <row r="2274">
      <c r="A2274" t="s">
        <v>14869</v>
      </c>
      <c r="B2274" t="s">
        <v>28</v>
      </c>
      <c r="C2274" t="s">
        <v>24</v>
      </c>
      <c r="D2274" t="s">
        <v>14870</v>
      </c>
      <c r="E2274" t="s">
        <v>79</v>
      </c>
      <c r="F2274" t="s">
        <v>1274</v>
      </c>
      <c r="G2274" t="s">
        <v>1881</v>
      </c>
      <c r="H2274" t="n">
        <v>39.7317937195895</v>
      </c>
      <c r="I2274" t="n">
        <v>-104.924601063975</v>
      </c>
      <c r="J2274" t="s">
        <v>35</v>
      </c>
      <c r="K2274" t="s">
        <v>70</v>
      </c>
      <c r="L2274"/>
      <c r="M2274" t="n">
        <v>1966</v>
      </c>
      <c r="N2274" t="n">
        <v>1966</v>
      </c>
      <c r="O2274" t="s">
        <v>4172</v>
      </c>
      <c r="P2274" t="n">
        <v>1</v>
      </c>
      <c r="Q2274" t="n">
        <v>1</v>
      </c>
      <c r="R2274" t="n">
        <v>1</v>
      </c>
      <c r="S2274"/>
      <c r="T2274" t="s">
        <v>14871</v>
      </c>
      <c r="U2274" t="s">
        <v>14872</v>
      </c>
      <c r="V2274" t="s">
        <v>4175</v>
      </c>
      <c r="W2274"/>
      <c r="X2274"/>
      <c r="Y2274" t="s">
        <v>14873</v>
      </c>
      <c r="Z2274"/>
      <c r="AA2274" t="s">
        <v>14874</v>
      </c>
      <c r="AB2274"/>
      <c r="AC2274"/>
      <c r="AD2274"/>
      <c r="AE2274"/>
      <c r="AF2274" t="s">
        <v>14875</v>
      </c>
      <c r="AG2274" t="n">
        <v>18</v>
      </c>
    </row>
    <row r="2275">
      <c r="A2275" t="s">
        <v>14876</v>
      </c>
      <c r="B2275" t="s">
        <v>28</v>
      </c>
      <c r="C2275" t="s">
        <v>65</v>
      </c>
      <c r="D2275" t="s">
        <v>14877</v>
      </c>
      <c r="E2275" t="s">
        <v>79</v>
      </c>
      <c r="F2275" t="s">
        <v>1274</v>
      </c>
      <c r="G2275" t="s">
        <v>1516</v>
      </c>
      <c r="H2275" t="n">
        <v>39.7149088250479</v>
      </c>
      <c r="I2275" t="n">
        <v>-104.995238757658</v>
      </c>
      <c r="J2275" t="s">
        <v>35</v>
      </c>
      <c r="K2275" t="s">
        <v>81</v>
      </c>
      <c r="L2275"/>
      <c r="M2275" t="n">
        <v>1966</v>
      </c>
      <c r="N2275" t="n">
        <v>1990</v>
      </c>
      <c r="O2275" t="s">
        <v>14878</v>
      </c>
      <c r="P2275" t="n">
        <v>9</v>
      </c>
      <c r="Q2275" t="n">
        <v>4</v>
      </c>
      <c r="R2275" t="n">
        <v>3</v>
      </c>
      <c r="S2275" t="n">
        <v>1947</v>
      </c>
      <c r="T2275" t="s">
        <v>14879</v>
      </c>
      <c r="U2275" t="s">
        <v>14880</v>
      </c>
      <c r="V2275" t="s">
        <v>74</v>
      </c>
      <c r="W2275"/>
      <c r="X2275"/>
      <c r="Y2275" t="s">
        <v>14881</v>
      </c>
      <c r="Z2275"/>
      <c r="AA2275" t="s">
        <v>14882</v>
      </c>
      <c r="AB2275" t="s">
        <v>1687</v>
      </c>
      <c r="AC2275" t="n">
        <v>155</v>
      </c>
      <c r="AD2275"/>
      <c r="AE2275"/>
      <c r="AF2275" t="s">
        <v>14883</v>
      </c>
      <c r="AG2275" t="n">
        <v>15</v>
      </c>
    </row>
    <row r="2276">
      <c r="A2276" t="s">
        <v>14884</v>
      </c>
      <c r="B2276" t="s">
        <v>28</v>
      </c>
      <c r="C2276" t="s">
        <v>65</v>
      </c>
      <c r="D2276" t="s">
        <v>14885</v>
      </c>
      <c r="E2276" t="s">
        <v>79</v>
      </c>
      <c r="F2276" t="s">
        <v>1274</v>
      </c>
      <c r="G2276" t="s">
        <v>1612</v>
      </c>
      <c r="H2276" t="n">
        <v>39.7099419118343</v>
      </c>
      <c r="I2276" t="n">
        <v>-105.034571104439</v>
      </c>
      <c r="J2276" t="s">
        <v>35</v>
      </c>
      <c r="K2276" t="s">
        <v>315</v>
      </c>
      <c r="L2276"/>
      <c r="M2276" t="n">
        <v>1966</v>
      </c>
      <c r="N2276" t="n">
        <v>1990</v>
      </c>
      <c r="O2276" t="s">
        <v>351</v>
      </c>
      <c r="P2276" t="n">
        <v>8</v>
      </c>
      <c r="Q2276" t="n">
        <v>5</v>
      </c>
      <c r="R2276" t="n">
        <v>1</v>
      </c>
      <c r="S2276" t="n">
        <v>1942</v>
      </c>
      <c r="T2276" t="s">
        <v>14886</v>
      </c>
      <c r="U2276" t="s">
        <v>14887</v>
      </c>
      <c r="V2276" t="s">
        <v>74</v>
      </c>
      <c r="W2276"/>
      <c r="X2276"/>
      <c r="Y2276" t="s">
        <v>14888</v>
      </c>
      <c r="Z2276"/>
      <c r="AA2276"/>
      <c r="AB2276" t="s">
        <v>2037</v>
      </c>
      <c r="AC2276" t="n">
        <v>247</v>
      </c>
      <c r="AD2276"/>
      <c r="AE2276"/>
      <c r="AF2276" t="s">
        <v>14889</v>
      </c>
      <c r="AG2276" t="n">
        <v>28</v>
      </c>
    </row>
    <row r="2277">
      <c r="A2277" t="s">
        <v>14890</v>
      </c>
      <c r="B2277" t="s">
        <v>28</v>
      </c>
      <c r="C2277" t="s">
        <v>65</v>
      </c>
      <c r="D2277" t="s">
        <v>14891</v>
      </c>
      <c r="E2277" t="s">
        <v>79</v>
      </c>
      <c r="F2277" t="s">
        <v>1274</v>
      </c>
      <c r="G2277" t="s">
        <v>1612</v>
      </c>
      <c r="H2277" t="n">
        <v>39.7142496022571</v>
      </c>
      <c r="I2277" t="n">
        <v>-105.025084002098</v>
      </c>
      <c r="J2277" t="s">
        <v>35</v>
      </c>
      <c r="K2277" t="s">
        <v>126</v>
      </c>
      <c r="L2277"/>
      <c r="M2277" t="n">
        <v>1966</v>
      </c>
      <c r="N2277" t="n">
        <v>1990</v>
      </c>
      <c r="O2277" t="s">
        <v>14892</v>
      </c>
      <c r="P2277" t="n">
        <v>8</v>
      </c>
      <c r="Q2277" t="n">
        <v>3</v>
      </c>
      <c r="R2277" t="n">
        <v>2</v>
      </c>
      <c r="S2277" t="n">
        <v>1960</v>
      </c>
      <c r="T2277" t="s">
        <v>14893</v>
      </c>
      <c r="U2277" t="s">
        <v>14894</v>
      </c>
      <c r="V2277" t="s">
        <v>74</v>
      </c>
      <c r="W2277"/>
      <c r="X2277"/>
      <c r="Y2277" t="s">
        <v>14895</v>
      </c>
      <c r="Z2277"/>
      <c r="AA2277"/>
      <c r="AB2277"/>
      <c r="AC2277"/>
      <c r="AD2277"/>
      <c r="AE2277"/>
      <c r="AF2277" t="s">
        <v>14896</v>
      </c>
      <c r="AG2277" t="n">
        <v>24</v>
      </c>
    </row>
    <row r="2278">
      <c r="A2278" t="s">
        <v>14897</v>
      </c>
      <c r="B2278" t="s">
        <v>28</v>
      </c>
      <c r="C2278" t="s">
        <v>65</v>
      </c>
      <c r="D2278" t="s">
        <v>14898</v>
      </c>
      <c r="E2278" t="s">
        <v>79</v>
      </c>
      <c r="F2278" t="s">
        <v>1274</v>
      </c>
      <c r="G2278" t="s">
        <v>1516</v>
      </c>
      <c r="H2278" t="n">
        <v>39.7087900025911</v>
      </c>
      <c r="I2278" t="n">
        <v>-105.003868463439</v>
      </c>
      <c r="J2278" t="s">
        <v>35</v>
      </c>
      <c r="K2278" t="s">
        <v>120</v>
      </c>
      <c r="L2278"/>
      <c r="M2278" t="n">
        <v>1966</v>
      </c>
      <c r="N2278" t="n">
        <v>1990</v>
      </c>
      <c r="O2278" t="s">
        <v>14899</v>
      </c>
      <c r="P2278" t="n">
        <v>9</v>
      </c>
      <c r="Q2278" t="n">
        <v>5</v>
      </c>
      <c r="R2278" t="n">
        <v>4</v>
      </c>
      <c r="S2278" t="n">
        <v>1960</v>
      </c>
      <c r="T2278" t="s">
        <v>14900</v>
      </c>
      <c r="U2278" t="s">
        <v>14901</v>
      </c>
      <c r="V2278" t="s">
        <v>74</v>
      </c>
      <c r="W2278"/>
      <c r="X2278"/>
      <c r="Y2278" t="s">
        <v>14902</v>
      </c>
      <c r="Z2278"/>
      <c r="AA2278"/>
      <c r="AB2278" t="s">
        <v>1959</v>
      </c>
      <c r="AC2278" t="n">
        <v>232</v>
      </c>
      <c r="AD2278"/>
      <c r="AE2278"/>
      <c r="AF2278" t="s">
        <v>11293</v>
      </c>
      <c r="AG2278" t="n">
        <v>47</v>
      </c>
    </row>
    <row r="2279">
      <c r="A2279" t="s">
        <v>14903</v>
      </c>
      <c r="B2279" t="s">
        <v>28</v>
      </c>
      <c r="C2279" t="s">
        <v>65</v>
      </c>
      <c r="D2279" t="s">
        <v>14904</v>
      </c>
      <c r="E2279" t="s">
        <v>79</v>
      </c>
      <c r="F2279" t="s">
        <v>1274</v>
      </c>
      <c r="G2279" t="s">
        <v>1691</v>
      </c>
      <c r="H2279" t="n">
        <v>39.6784665889869</v>
      </c>
      <c r="I2279" t="n">
        <v>-104.926784800744</v>
      </c>
      <c r="J2279" t="s">
        <v>35</v>
      </c>
      <c r="K2279" t="s">
        <v>120</v>
      </c>
      <c r="L2279" t="s">
        <v>202</v>
      </c>
      <c r="M2279" t="n">
        <v>1966</v>
      </c>
      <c r="N2279" t="n">
        <v>1990</v>
      </c>
      <c r="O2279" t="s">
        <v>14905</v>
      </c>
      <c r="P2279" t="n">
        <v>9</v>
      </c>
      <c r="Q2279" t="n">
        <v>3</v>
      </c>
      <c r="R2279" t="n">
        <v>1</v>
      </c>
      <c r="S2279" t="n">
        <v>1935</v>
      </c>
      <c r="T2279" t="s">
        <v>14906</v>
      </c>
      <c r="U2279" t="s">
        <v>14907</v>
      </c>
      <c r="V2279" t="s">
        <v>74</v>
      </c>
      <c r="W2279"/>
      <c r="X2279"/>
      <c r="Y2279" t="s">
        <v>14908</v>
      </c>
      <c r="Z2279"/>
      <c r="AA2279" t="s">
        <v>14909</v>
      </c>
      <c r="AB2279"/>
      <c r="AC2279"/>
      <c r="AD2279" t="s">
        <v>14910</v>
      </c>
      <c r="AE2279" t="n">
        <v>135</v>
      </c>
      <c r="AF2279" t="s">
        <v>14911</v>
      </c>
      <c r="AG2279" t="n">
        <v>1</v>
      </c>
    </row>
    <row r="2280">
      <c r="A2280" t="s">
        <v>14912</v>
      </c>
      <c r="B2280" t="s">
        <v>28</v>
      </c>
      <c r="C2280" t="s">
        <v>24</v>
      </c>
      <c r="D2280" t="s">
        <v>14913</v>
      </c>
      <c r="E2280" t="s">
        <v>79</v>
      </c>
      <c r="F2280" t="s">
        <v>1274</v>
      </c>
      <c r="G2280" t="s">
        <v>1509</v>
      </c>
      <c r="H2280" t="n">
        <v>39.7456529338017</v>
      </c>
      <c r="I2280" t="n">
        <v>-104.990362286388</v>
      </c>
      <c r="J2280" t="s">
        <v>4109</v>
      </c>
      <c r="K2280" t="s">
        <v>270</v>
      </c>
      <c r="L2280"/>
      <c r="M2280" t="n">
        <v>1966</v>
      </c>
      <c r="N2280" t="n">
        <v>1992</v>
      </c>
      <c r="O2280" t="s">
        <v>6152</v>
      </c>
      <c r="P2280" t="n">
        <v>6</v>
      </c>
      <c r="Q2280" t="n">
        <v>4</v>
      </c>
      <c r="R2280" t="n">
        <v>2</v>
      </c>
      <c r="S2280" t="n">
        <v>1899</v>
      </c>
      <c r="T2280" t="s">
        <v>14914</v>
      </c>
      <c r="U2280" t="s">
        <v>14915</v>
      </c>
      <c r="V2280" t="s">
        <v>74</v>
      </c>
      <c r="W2280"/>
      <c r="X2280"/>
      <c r="Y2280" t="s">
        <v>14916</v>
      </c>
      <c r="Z2280"/>
      <c r="AA2280" t="s">
        <v>14917</v>
      </c>
      <c r="AB2280"/>
      <c r="AC2280"/>
      <c r="AD2280" t="s">
        <v>14918</v>
      </c>
      <c r="AE2280" t="n">
        <v>133</v>
      </c>
      <c r="AF2280" t="s">
        <v>14919</v>
      </c>
      <c r="AG2280" t="n">
        <v>1</v>
      </c>
    </row>
    <row r="2281">
      <c r="A2281" t="s">
        <v>14920</v>
      </c>
      <c r="B2281" t="s">
        <v>28</v>
      </c>
      <c r="C2281" t="s">
        <v>65</v>
      </c>
      <c r="D2281" t="s">
        <v>14921</v>
      </c>
      <c r="E2281" t="s">
        <v>79</v>
      </c>
      <c r="F2281" t="s">
        <v>1274</v>
      </c>
      <c r="G2281" t="s">
        <v>1440</v>
      </c>
      <c r="H2281" t="n">
        <v>39.7765746564118</v>
      </c>
      <c r="I2281" t="n">
        <v>-105.012356753291</v>
      </c>
      <c r="J2281" t="s">
        <v>35</v>
      </c>
      <c r="K2281" t="s">
        <v>120</v>
      </c>
      <c r="L2281"/>
      <c r="M2281" t="n">
        <v>1966</v>
      </c>
      <c r="N2281" t="n">
        <v>1970</v>
      </c>
      <c r="O2281" t="s">
        <v>2771</v>
      </c>
      <c r="P2281" t="n">
        <v>3</v>
      </c>
      <c r="Q2281" t="n">
        <v>1</v>
      </c>
      <c r="R2281" t="n">
        <v>1</v>
      </c>
      <c r="S2281" t="n">
        <v>1946</v>
      </c>
      <c r="T2281" t="s">
        <v>14922</v>
      </c>
      <c r="U2281" t="s">
        <v>14923</v>
      </c>
      <c r="V2281" t="s">
        <v>74</v>
      </c>
      <c r="W2281"/>
      <c r="X2281"/>
      <c r="Y2281" t="s">
        <v>14924</v>
      </c>
      <c r="Z2281"/>
      <c r="AA2281"/>
      <c r="AB2281"/>
      <c r="AC2281"/>
      <c r="AD2281"/>
      <c r="AE2281"/>
      <c r="AF2281" t="s">
        <v>14925</v>
      </c>
      <c r="AG2281" t="n">
        <v>24</v>
      </c>
    </row>
    <row r="2282">
      <c r="A2282" t="s">
        <v>14926</v>
      </c>
      <c r="B2282" t="s">
        <v>28</v>
      </c>
      <c r="C2282" t="s">
        <v>65</v>
      </c>
      <c r="D2282" t="s">
        <v>14927</v>
      </c>
      <c r="E2282" t="s">
        <v>79</v>
      </c>
      <c r="F2282" t="s">
        <v>1274</v>
      </c>
      <c r="G2282" t="s">
        <v>1653</v>
      </c>
      <c r="H2282" t="n">
        <v>39.7050476466784</v>
      </c>
      <c r="I2282" t="n">
        <v>-104.999191038702</v>
      </c>
      <c r="J2282" t="s">
        <v>35</v>
      </c>
      <c r="K2282" t="s">
        <v>70</v>
      </c>
      <c r="L2282"/>
      <c r="M2282" t="n">
        <v>1966</v>
      </c>
      <c r="N2282" t="n">
        <v>1980</v>
      </c>
      <c r="O2282" t="s">
        <v>255</v>
      </c>
      <c r="P2282" t="n">
        <v>3</v>
      </c>
      <c r="Q2282" t="n">
        <v>3</v>
      </c>
      <c r="R2282" t="n">
        <v>1</v>
      </c>
      <c r="S2282" t="n">
        <v>1959</v>
      </c>
      <c r="T2282" t="s">
        <v>14928</v>
      </c>
      <c r="U2282" t="s">
        <v>14929</v>
      </c>
      <c r="V2282" t="s">
        <v>74</v>
      </c>
      <c r="W2282"/>
      <c r="X2282"/>
      <c r="Y2282" t="s">
        <v>14930</v>
      </c>
      <c r="Z2282"/>
      <c r="AA2282" t="s">
        <v>14931</v>
      </c>
      <c r="AB2282" t="s">
        <v>11200</v>
      </c>
      <c r="AC2282" t="n">
        <v>214</v>
      </c>
      <c r="AD2282"/>
      <c r="AE2282"/>
      <c r="AF2282" t="s">
        <v>14932</v>
      </c>
      <c r="AG2282" t="n">
        <v>2</v>
      </c>
    </row>
    <row r="2283">
      <c r="A2283" t="s">
        <v>14933</v>
      </c>
      <c r="B2283" t="s">
        <v>28</v>
      </c>
      <c r="C2283" t="s">
        <v>65</v>
      </c>
      <c r="D2283" t="s">
        <v>14934</v>
      </c>
      <c r="E2283" t="s">
        <v>79</v>
      </c>
      <c r="F2283" t="s">
        <v>1274</v>
      </c>
      <c r="G2283" t="s">
        <v>7400</v>
      </c>
      <c r="H2283" t="n">
        <v>39.735289</v>
      </c>
      <c r="I2283" t="n">
        <v>-105.005272</v>
      </c>
      <c r="J2283" t="s">
        <v>35</v>
      </c>
      <c r="K2283" t="s">
        <v>89</v>
      </c>
      <c r="L2283"/>
      <c r="M2283" t="n">
        <v>1966</v>
      </c>
      <c r="N2283" t="n">
        <v>1990</v>
      </c>
      <c r="O2283" t="s">
        <v>14935</v>
      </c>
      <c r="P2283" t="n">
        <v>7</v>
      </c>
      <c r="Q2283" t="n">
        <v>5</v>
      </c>
      <c r="R2283" t="n">
        <v>5</v>
      </c>
      <c r="S2283" t="n">
        <v>1901</v>
      </c>
      <c r="T2283" t="s">
        <v>14936</v>
      </c>
      <c r="U2283" t="s">
        <v>14937</v>
      </c>
      <c r="V2283" t="s">
        <v>74</v>
      </c>
      <c r="W2283"/>
      <c r="X2283"/>
      <c r="Y2283" t="s">
        <v>14938</v>
      </c>
      <c r="Z2283"/>
      <c r="AA2283"/>
      <c r="AB2283" t="s">
        <v>14939</v>
      </c>
      <c r="AC2283" t="n">
        <v>162</v>
      </c>
      <c r="AD2283" t="s">
        <v>7083</v>
      </c>
      <c r="AE2283" t="n">
        <v>156</v>
      </c>
      <c r="AF2283" t="s">
        <v>14940</v>
      </c>
      <c r="AG2283" t="n">
        <v>49</v>
      </c>
    </row>
    <row r="2284">
      <c r="A2284" t="s">
        <v>14941</v>
      </c>
      <c r="B2284" t="s">
        <v>28</v>
      </c>
      <c r="C2284" t="s">
        <v>65</v>
      </c>
      <c r="D2284" t="s">
        <v>14942</v>
      </c>
      <c r="E2284" t="s">
        <v>79</v>
      </c>
      <c r="F2284" t="s">
        <v>1274</v>
      </c>
      <c r="G2284" t="s">
        <v>1555</v>
      </c>
      <c r="H2284" t="n">
        <v>39.7246218979592</v>
      </c>
      <c r="I2284" t="n">
        <v>-104.98919</v>
      </c>
      <c r="J2284" t="s">
        <v>35</v>
      </c>
      <c r="K2284" t="s">
        <v>527</v>
      </c>
      <c r="L2284"/>
      <c r="M2284" t="n">
        <v>1966</v>
      </c>
      <c r="N2284" t="n">
        <v>1990</v>
      </c>
      <c r="O2284" t="s">
        <v>740</v>
      </c>
      <c r="P2284" t="n">
        <v>6</v>
      </c>
      <c r="Q2284" t="n">
        <v>3</v>
      </c>
      <c r="R2284" t="n">
        <v>2</v>
      </c>
      <c r="S2284" t="n">
        <v>1940</v>
      </c>
      <c r="T2284" t="s">
        <v>14943</v>
      </c>
      <c r="U2284" t="s">
        <v>14944</v>
      </c>
      <c r="V2284" t="s">
        <v>74</v>
      </c>
      <c r="W2284"/>
      <c r="X2284"/>
      <c r="Y2284" t="s">
        <v>14945</v>
      </c>
      <c r="Z2284"/>
      <c r="AA2284" t="s">
        <v>14946</v>
      </c>
      <c r="AB2284"/>
      <c r="AC2284"/>
      <c r="AD2284"/>
      <c r="AE2284"/>
      <c r="AF2284" t="s">
        <v>14947</v>
      </c>
      <c r="AG2284" t="n">
        <v>33</v>
      </c>
    </row>
    <row r="2285">
      <c r="A2285" t="s">
        <v>14948</v>
      </c>
      <c r="B2285" t="s">
        <v>28</v>
      </c>
      <c r="C2285" t="s">
        <v>65</v>
      </c>
      <c r="D2285" t="s">
        <v>14949</v>
      </c>
      <c r="E2285" t="s">
        <v>79</v>
      </c>
      <c r="F2285" t="s">
        <v>1274</v>
      </c>
      <c r="G2285" t="s">
        <v>1691</v>
      </c>
      <c r="H2285" t="n">
        <v>39.6784615615213</v>
      </c>
      <c r="I2285" t="n">
        <v>-104.916138270693</v>
      </c>
      <c r="J2285" t="s">
        <v>35</v>
      </c>
      <c r="K2285" t="s">
        <v>70</v>
      </c>
      <c r="L2285"/>
      <c r="M2285" t="n">
        <v>1966</v>
      </c>
      <c r="N2285" t="n">
        <v>1974</v>
      </c>
      <c r="O2285" t="s">
        <v>4255</v>
      </c>
      <c r="P2285" t="n">
        <v>5</v>
      </c>
      <c r="Q2285" t="n">
        <v>3</v>
      </c>
      <c r="R2285" t="n">
        <v>1</v>
      </c>
      <c r="S2285" t="n">
        <v>1967</v>
      </c>
      <c r="T2285" t="s">
        <v>14950</v>
      </c>
      <c r="U2285" t="s">
        <v>14951</v>
      </c>
      <c r="V2285" t="s">
        <v>74</v>
      </c>
      <c r="W2285"/>
      <c r="X2285"/>
      <c r="Y2285" t="s">
        <v>14952</v>
      </c>
      <c r="Z2285"/>
      <c r="AA2285" t="s">
        <v>14953</v>
      </c>
      <c r="AB2285"/>
      <c r="AC2285"/>
      <c r="AD2285"/>
      <c r="AE2285"/>
      <c r="AF2285" t="s">
        <v>14954</v>
      </c>
      <c r="AG2285" t="n">
        <v>24</v>
      </c>
    </row>
    <row r="2286">
      <c r="A2286" t="s">
        <v>14955</v>
      </c>
      <c r="B2286" t="s">
        <v>28</v>
      </c>
      <c r="C2286" t="s">
        <v>65</v>
      </c>
      <c r="D2286" t="s">
        <v>14956</v>
      </c>
      <c r="E2286" t="s">
        <v>79</v>
      </c>
      <c r="F2286" t="s">
        <v>1274</v>
      </c>
      <c r="G2286" t="s">
        <v>1516</v>
      </c>
      <c r="H2286" t="n">
        <v>39.7056349654978</v>
      </c>
      <c r="I2286" t="n">
        <v>-105.001614038932</v>
      </c>
      <c r="J2286" t="s">
        <v>35</v>
      </c>
      <c r="K2286" t="s">
        <v>234</v>
      </c>
      <c r="L2286"/>
      <c r="M2286" t="n">
        <v>1966</v>
      </c>
      <c r="N2286" t="n">
        <v>1983</v>
      </c>
      <c r="O2286" t="s">
        <v>14957</v>
      </c>
      <c r="P2286" t="n">
        <v>7</v>
      </c>
      <c r="Q2286" t="n">
        <v>3</v>
      </c>
      <c r="R2286" t="n">
        <v>2</v>
      </c>
      <c r="S2286" t="n">
        <v>1942</v>
      </c>
      <c r="T2286" t="s">
        <v>14958</v>
      </c>
      <c r="U2286" t="s">
        <v>14959</v>
      </c>
      <c r="V2286" t="s">
        <v>74</v>
      </c>
      <c r="W2286"/>
      <c r="X2286"/>
      <c r="Y2286" t="s">
        <v>14960</v>
      </c>
      <c r="Z2286"/>
      <c r="AA2286" t="s">
        <v>14961</v>
      </c>
      <c r="AB2286" t="s">
        <v>1804</v>
      </c>
      <c r="AC2286" t="n">
        <v>238</v>
      </c>
      <c r="AD2286"/>
      <c r="AE2286"/>
      <c r="AF2286" t="s">
        <v>14962</v>
      </c>
      <c r="AG2286" t="n">
        <v>9</v>
      </c>
    </row>
    <row r="2287">
      <c r="A2287" t="s">
        <v>14963</v>
      </c>
      <c r="B2287" t="s">
        <v>28</v>
      </c>
      <c r="C2287" t="s">
        <v>65</v>
      </c>
      <c r="D2287" t="s">
        <v>14964</v>
      </c>
      <c r="E2287" t="s">
        <v>79</v>
      </c>
      <c r="F2287" t="s">
        <v>1274</v>
      </c>
      <c r="G2287" t="s">
        <v>11156</v>
      </c>
      <c r="H2287" t="n">
        <v>39.7351096514179</v>
      </c>
      <c r="I2287" t="n">
        <v>-104.946099311943</v>
      </c>
      <c r="J2287" t="s">
        <v>35</v>
      </c>
      <c r="K2287" t="s">
        <v>70</v>
      </c>
      <c r="L2287"/>
      <c r="M2287" t="n">
        <v>1966</v>
      </c>
      <c r="N2287" t="n">
        <v>1983</v>
      </c>
      <c r="O2287" t="s">
        <v>14965</v>
      </c>
      <c r="P2287" t="n">
        <v>6</v>
      </c>
      <c r="Q2287" t="n">
        <v>4</v>
      </c>
      <c r="R2287" t="n">
        <v>2</v>
      </c>
      <c r="S2287" t="n">
        <v>1945</v>
      </c>
      <c r="T2287" t="s">
        <v>14966</v>
      </c>
      <c r="U2287" t="s">
        <v>14967</v>
      </c>
      <c r="V2287" t="s">
        <v>74</v>
      </c>
      <c r="W2287"/>
      <c r="X2287"/>
      <c r="Y2287" t="s">
        <v>14968</v>
      </c>
      <c r="Z2287"/>
      <c r="AA2287" t="s">
        <v>14969</v>
      </c>
      <c r="AB2287"/>
      <c r="AC2287"/>
      <c r="AD2287"/>
      <c r="AE2287"/>
      <c r="AF2287" t="s">
        <v>14970</v>
      </c>
      <c r="AG2287" t="n">
        <v>11</v>
      </c>
    </row>
    <row r="2288">
      <c r="A2288" t="s">
        <v>14971</v>
      </c>
      <c r="B2288" t="s">
        <v>28</v>
      </c>
      <c r="C2288" t="s">
        <v>65</v>
      </c>
      <c r="D2288" t="s">
        <v>14972</v>
      </c>
      <c r="E2288" t="s">
        <v>79</v>
      </c>
      <c r="F2288" t="s">
        <v>1274</v>
      </c>
      <c r="G2288" t="s">
        <v>1555</v>
      </c>
      <c r="H2288" t="n">
        <v>39.7301926984348</v>
      </c>
      <c r="I2288" t="n">
        <v>-105.012130762836</v>
      </c>
      <c r="J2288" t="s">
        <v>35</v>
      </c>
      <c r="K2288" t="s">
        <v>988</v>
      </c>
      <c r="L2288"/>
      <c r="M2288" t="n">
        <v>1966</v>
      </c>
      <c r="N2288" t="n">
        <v>1992</v>
      </c>
      <c r="O2288" t="s">
        <v>14973</v>
      </c>
      <c r="P2288" t="n">
        <v>10</v>
      </c>
      <c r="Q2288" t="n">
        <v>5</v>
      </c>
      <c r="R2288" t="n">
        <v>4</v>
      </c>
      <c r="S2288" t="n">
        <v>1935</v>
      </c>
      <c r="T2288" t="s">
        <v>14974</v>
      </c>
      <c r="U2288" t="s">
        <v>14975</v>
      </c>
      <c r="V2288" t="s">
        <v>74</v>
      </c>
      <c r="W2288"/>
      <c r="X2288"/>
      <c r="Y2288" t="s">
        <v>14976</v>
      </c>
      <c r="Z2288"/>
      <c r="AA2288"/>
      <c r="AB2288" t="s">
        <v>2064</v>
      </c>
      <c r="AC2288" t="n">
        <v>194</v>
      </c>
      <c r="AD2288" t="s">
        <v>14977</v>
      </c>
      <c r="AE2288" t="n">
        <v>177</v>
      </c>
      <c r="AF2288" t="s">
        <v>4366</v>
      </c>
      <c r="AG2288" t="n">
        <v>9</v>
      </c>
    </row>
    <row r="2289">
      <c r="A2289" t="s">
        <v>14978</v>
      </c>
      <c r="B2289" t="s">
        <v>28</v>
      </c>
      <c r="C2289" t="s">
        <v>24</v>
      </c>
      <c r="D2289" t="s">
        <v>14979</v>
      </c>
      <c r="E2289" t="s">
        <v>79</v>
      </c>
      <c r="F2289" t="s">
        <v>1274</v>
      </c>
      <c r="G2289" t="s">
        <v>1555</v>
      </c>
      <c r="H2289" t="n">
        <v>39.7391997016595</v>
      </c>
      <c r="I2289" t="n">
        <v>-105.005228829826</v>
      </c>
      <c r="J2289" t="s">
        <v>4109</v>
      </c>
      <c r="K2289" t="s">
        <v>1041</v>
      </c>
      <c r="L2289"/>
      <c r="M2289" t="n">
        <v>1966</v>
      </c>
      <c r="N2289" t="n">
        <v>1992</v>
      </c>
      <c r="O2289" t="s">
        <v>14980</v>
      </c>
      <c r="P2289" t="n">
        <v>12</v>
      </c>
      <c r="Q2289" t="n">
        <v>3</v>
      </c>
      <c r="R2289" t="n">
        <v>3</v>
      </c>
      <c r="S2289" t="n">
        <v>1932</v>
      </c>
      <c r="T2289" t="s">
        <v>14981</v>
      </c>
      <c r="U2289" t="s">
        <v>14982</v>
      </c>
      <c r="V2289" t="s">
        <v>74</v>
      </c>
      <c r="W2289"/>
      <c r="X2289"/>
      <c r="Y2289" t="s">
        <v>14983</v>
      </c>
      <c r="Z2289"/>
      <c r="AA2289"/>
      <c r="AB2289" t="s">
        <v>14984</v>
      </c>
      <c r="AC2289" t="n">
        <v>79</v>
      </c>
      <c r="AD2289"/>
      <c r="AE2289"/>
      <c r="AF2289" t="s">
        <v>14985</v>
      </c>
      <c r="AG2289" t="n">
        <v>2</v>
      </c>
    </row>
    <row r="2290">
      <c r="A2290" t="s">
        <v>14986</v>
      </c>
      <c r="B2290" t="s">
        <v>28</v>
      </c>
      <c r="C2290" t="s">
        <v>25</v>
      </c>
      <c r="D2290" t="s">
        <v>14987</v>
      </c>
      <c r="E2290" t="s">
        <v>79</v>
      </c>
      <c r="F2290" t="s">
        <v>1274</v>
      </c>
      <c r="G2290" t="s">
        <v>1911</v>
      </c>
      <c r="H2290" t="n">
        <v>39.7369741863612</v>
      </c>
      <c r="I2290" t="n">
        <v>-104.917260859361</v>
      </c>
      <c r="J2290" t="s">
        <v>4109</v>
      </c>
      <c r="K2290" t="s">
        <v>89</v>
      </c>
      <c r="L2290"/>
      <c r="M2290" t="n">
        <v>1966</v>
      </c>
      <c r="N2290" t="n">
        <v>1966</v>
      </c>
      <c r="O2290" t="s">
        <v>4172</v>
      </c>
      <c r="P2290" t="n">
        <v>1</v>
      </c>
      <c r="Q2290" t="n">
        <v>1</v>
      </c>
      <c r="R2290" t="n">
        <v>1</v>
      </c>
      <c r="S2290"/>
      <c r="T2290" t="s">
        <v>14988</v>
      </c>
      <c r="U2290" t="s">
        <v>14989</v>
      </c>
      <c r="V2290" t="s">
        <v>4175</v>
      </c>
      <c r="W2290"/>
      <c r="X2290"/>
      <c r="Y2290" t="s">
        <v>14990</v>
      </c>
      <c r="Z2290"/>
      <c r="AA2290" t="s">
        <v>14991</v>
      </c>
      <c r="AB2290"/>
      <c r="AC2290"/>
      <c r="AD2290"/>
      <c r="AE2290"/>
      <c r="AF2290" t="s">
        <v>14992</v>
      </c>
      <c r="AG2290" t="n">
        <v>118</v>
      </c>
    </row>
    <row r="2291">
      <c r="A2291" t="s">
        <v>14993</v>
      </c>
      <c r="B2291" t="s">
        <v>28</v>
      </c>
      <c r="C2291" t="s">
        <v>24</v>
      </c>
      <c r="D2291" t="s">
        <v>14994</v>
      </c>
      <c r="E2291" t="s">
        <v>79</v>
      </c>
      <c r="F2291" t="s">
        <v>1274</v>
      </c>
      <c r="G2291" t="s">
        <v>1574</v>
      </c>
      <c r="H2291" t="n">
        <v>39.7557840204725</v>
      </c>
      <c r="I2291" t="n">
        <v>-104.964721</v>
      </c>
      <c r="J2291" t="s">
        <v>4109</v>
      </c>
      <c r="K2291" t="s">
        <v>70</v>
      </c>
      <c r="L2291"/>
      <c r="M2291" t="n">
        <v>1966</v>
      </c>
      <c r="N2291" t="n">
        <v>1980</v>
      </c>
      <c r="O2291" t="s">
        <v>255</v>
      </c>
      <c r="P2291" t="n">
        <v>4</v>
      </c>
      <c r="Q2291" t="n">
        <v>2</v>
      </c>
      <c r="R2291" t="n">
        <v>1</v>
      </c>
      <c r="S2291" t="n">
        <v>1964</v>
      </c>
      <c r="T2291" t="s">
        <v>14995</v>
      </c>
      <c r="U2291" t="s">
        <v>14996</v>
      </c>
      <c r="V2291" t="s">
        <v>74</v>
      </c>
      <c r="W2291"/>
      <c r="X2291"/>
      <c r="Y2291" t="s">
        <v>14997</v>
      </c>
      <c r="Z2291"/>
      <c r="AA2291"/>
      <c r="AB2291"/>
      <c r="AC2291"/>
      <c r="AD2291"/>
      <c r="AE2291"/>
      <c r="AF2291" t="s">
        <v>14998</v>
      </c>
      <c r="AG2291" t="n">
        <v>15</v>
      </c>
    </row>
    <row r="2292">
      <c r="A2292" t="s">
        <v>14999</v>
      </c>
      <c r="B2292" t="s">
        <v>28</v>
      </c>
      <c r="C2292" t="s">
        <v>65</v>
      </c>
      <c r="D2292" t="s">
        <v>15000</v>
      </c>
      <c r="E2292" t="s">
        <v>79</v>
      </c>
      <c r="F2292" t="s">
        <v>1274</v>
      </c>
      <c r="G2292" t="s">
        <v>1653</v>
      </c>
      <c r="H2292" t="n">
        <v>39.778914</v>
      </c>
      <c r="I2292" t="n">
        <v>-104.945218</v>
      </c>
      <c r="J2292" t="s">
        <v>35</v>
      </c>
      <c r="K2292" t="s">
        <v>270</v>
      </c>
      <c r="L2292"/>
      <c r="M2292" t="n">
        <v>1966</v>
      </c>
      <c r="N2292" t="n">
        <v>1990</v>
      </c>
      <c r="O2292" t="s">
        <v>15001</v>
      </c>
      <c r="P2292" t="n">
        <v>7</v>
      </c>
      <c r="Q2292" t="n">
        <v>3</v>
      </c>
      <c r="R2292" t="n">
        <v>3</v>
      </c>
      <c r="S2292" t="n">
        <v>1951</v>
      </c>
      <c r="T2292" t="s">
        <v>15002</v>
      </c>
      <c r="U2292" t="s">
        <v>15003</v>
      </c>
      <c r="V2292" t="s">
        <v>74</v>
      </c>
      <c r="W2292"/>
      <c r="X2292"/>
      <c r="Y2292" t="s">
        <v>15004</v>
      </c>
      <c r="Z2292"/>
      <c r="AA2292" t="s">
        <v>15005</v>
      </c>
      <c r="AB2292"/>
      <c r="AC2292"/>
      <c r="AD2292" t="s">
        <v>4359</v>
      </c>
      <c r="AE2292" t="n">
        <v>114</v>
      </c>
      <c r="AF2292" t="s">
        <v>15006</v>
      </c>
      <c r="AG2292" t="n">
        <v>11</v>
      </c>
    </row>
    <row r="2293">
      <c r="A2293" t="s">
        <v>15007</v>
      </c>
      <c r="B2293" t="s">
        <v>28</v>
      </c>
      <c r="C2293" t="s">
        <v>65</v>
      </c>
      <c r="D2293" t="s">
        <v>15008</v>
      </c>
      <c r="E2293" t="s">
        <v>79</v>
      </c>
      <c r="F2293" t="s">
        <v>1274</v>
      </c>
      <c r="G2293" t="s">
        <v>1574</v>
      </c>
      <c r="H2293" t="n">
        <v>39.758147</v>
      </c>
      <c r="I2293" t="n">
        <v>-104.982393</v>
      </c>
      <c r="J2293" t="s">
        <v>35</v>
      </c>
      <c r="K2293" t="s">
        <v>89</v>
      </c>
      <c r="L2293"/>
      <c r="M2293" t="n">
        <v>1966</v>
      </c>
      <c r="N2293" t="n">
        <v>1980</v>
      </c>
      <c r="O2293" t="s">
        <v>255</v>
      </c>
      <c r="P2293" t="n">
        <v>5</v>
      </c>
      <c r="Q2293" t="n">
        <v>1</v>
      </c>
      <c r="R2293" t="n">
        <v>1</v>
      </c>
      <c r="S2293" t="n">
        <v>1936</v>
      </c>
      <c r="T2293" t="s">
        <v>15009</v>
      </c>
      <c r="U2293" t="s">
        <v>15010</v>
      </c>
      <c r="V2293" t="s">
        <v>74</v>
      </c>
      <c r="W2293"/>
      <c r="X2293"/>
      <c r="Y2293" t="s">
        <v>15011</v>
      </c>
      <c r="Z2293"/>
      <c r="AA2293"/>
      <c r="AB2293" t="s">
        <v>15012</v>
      </c>
      <c r="AC2293" t="n">
        <v>119</v>
      </c>
      <c r="AD2293"/>
      <c r="AE2293"/>
      <c r="AF2293" t="s">
        <v>6604</v>
      </c>
      <c r="AG2293" t="n">
        <v>35</v>
      </c>
    </row>
    <row r="2294">
      <c r="A2294" t="s">
        <v>15013</v>
      </c>
      <c r="B2294" t="s">
        <v>28</v>
      </c>
      <c r="C2294" t="s">
        <v>65</v>
      </c>
      <c r="D2294" t="s">
        <v>15014</v>
      </c>
      <c r="E2294" t="s">
        <v>79</v>
      </c>
      <c r="F2294" t="s">
        <v>1274</v>
      </c>
      <c r="G2294" t="s">
        <v>1574</v>
      </c>
      <c r="H2294" t="n">
        <v>39.7664882996918</v>
      </c>
      <c r="I2294" t="n">
        <v>-104.97855000362</v>
      </c>
      <c r="J2294" t="s">
        <v>35</v>
      </c>
      <c r="K2294" t="s">
        <v>141</v>
      </c>
      <c r="L2294"/>
      <c r="M2294" t="n">
        <v>1966</v>
      </c>
      <c r="N2294" t="n">
        <v>1990</v>
      </c>
      <c r="O2294" t="s">
        <v>15015</v>
      </c>
      <c r="P2294" t="n">
        <v>6</v>
      </c>
      <c r="Q2294" t="n">
        <v>5</v>
      </c>
      <c r="R2294" t="n">
        <v>3</v>
      </c>
      <c r="S2294" t="n">
        <v>1940</v>
      </c>
      <c r="T2294" t="s">
        <v>15016</v>
      </c>
      <c r="U2294" t="s">
        <v>15017</v>
      </c>
      <c r="V2294" t="s">
        <v>74</v>
      </c>
      <c r="W2294"/>
      <c r="X2294"/>
      <c r="Y2294" t="s">
        <v>15018</v>
      </c>
      <c r="Z2294"/>
      <c r="AA2294" t="s">
        <v>15019</v>
      </c>
      <c r="AB2294" t="s">
        <v>15020</v>
      </c>
      <c r="AC2294" t="n">
        <v>148</v>
      </c>
      <c r="AD2294" t="s">
        <v>1712</v>
      </c>
      <c r="AE2294" t="n">
        <v>204</v>
      </c>
      <c r="AF2294" t="s">
        <v>15021</v>
      </c>
      <c r="AG2294" t="n">
        <v>23</v>
      </c>
    </row>
    <row r="2295">
      <c r="A2295" t="s">
        <v>15022</v>
      </c>
      <c r="B2295" t="s">
        <v>28</v>
      </c>
      <c r="C2295" t="s">
        <v>25</v>
      </c>
      <c r="D2295" t="s">
        <v>15023</v>
      </c>
      <c r="E2295" t="s">
        <v>79</v>
      </c>
      <c r="F2295" t="s">
        <v>1274</v>
      </c>
      <c r="G2295" t="s">
        <v>1555</v>
      </c>
      <c r="H2295" t="n">
        <v>39.730188</v>
      </c>
      <c r="I2295" t="n">
        <v>-105.011207</v>
      </c>
      <c r="J2295" t="s">
        <v>4109</v>
      </c>
      <c r="K2295" t="s">
        <v>1041</v>
      </c>
      <c r="L2295"/>
      <c r="M2295" t="n">
        <v>1966</v>
      </c>
      <c r="N2295" t="n">
        <v>1966</v>
      </c>
      <c r="O2295" t="s">
        <v>4172</v>
      </c>
      <c r="P2295" t="n">
        <v>1</v>
      </c>
      <c r="Q2295" t="n">
        <v>1</v>
      </c>
      <c r="R2295" t="n">
        <v>1</v>
      </c>
      <c r="S2295" t="n">
        <v>1950</v>
      </c>
      <c r="T2295" t="s">
        <v>15024</v>
      </c>
      <c r="U2295" t="s">
        <v>15025</v>
      </c>
      <c r="V2295" t="s">
        <v>4175</v>
      </c>
      <c r="W2295"/>
      <c r="X2295"/>
      <c r="Y2295" t="s">
        <v>15026</v>
      </c>
      <c r="Z2295"/>
      <c r="AA2295"/>
      <c r="AB2295" t="s">
        <v>2064</v>
      </c>
      <c r="AC2295" t="n">
        <v>217</v>
      </c>
      <c r="AD2295" t="s">
        <v>14977</v>
      </c>
      <c r="AE2295" t="n">
        <v>186</v>
      </c>
      <c r="AF2295" t="s">
        <v>15027</v>
      </c>
      <c r="AG2295" t="n">
        <v>38</v>
      </c>
    </row>
    <row r="2296">
      <c r="A2296" t="s">
        <v>15028</v>
      </c>
      <c r="B2296" t="s">
        <v>28</v>
      </c>
      <c r="C2296" t="s">
        <v>65</v>
      </c>
      <c r="D2296" t="s">
        <v>15029</v>
      </c>
      <c r="E2296" t="s">
        <v>79</v>
      </c>
      <c r="F2296" t="s">
        <v>1274</v>
      </c>
      <c r="G2296" t="s">
        <v>1691</v>
      </c>
      <c r="H2296" t="n">
        <v>39.6779844854677</v>
      </c>
      <c r="I2296" t="n">
        <v>-104.936327119421</v>
      </c>
      <c r="J2296" t="s">
        <v>35</v>
      </c>
      <c r="K2296" t="s">
        <v>89</v>
      </c>
      <c r="L2296"/>
      <c r="M2296" t="n">
        <v>1966</v>
      </c>
      <c r="N2296" t="n">
        <v>1990</v>
      </c>
      <c r="O2296" t="s">
        <v>6519</v>
      </c>
      <c r="P2296" t="n">
        <v>6</v>
      </c>
      <c r="Q2296" t="n">
        <v>3</v>
      </c>
      <c r="R2296" t="n">
        <v>1</v>
      </c>
      <c r="S2296" t="n">
        <v>1913</v>
      </c>
      <c r="T2296" t="s">
        <v>15030</v>
      </c>
      <c r="U2296" t="s">
        <v>15031</v>
      </c>
      <c r="V2296" t="s">
        <v>74</v>
      </c>
      <c r="W2296"/>
      <c r="X2296"/>
      <c r="Y2296" t="s">
        <v>15032</v>
      </c>
      <c r="Z2296"/>
      <c r="AA2296"/>
      <c r="AB2296"/>
      <c r="AC2296"/>
      <c r="AD2296"/>
      <c r="AE2296"/>
      <c r="AF2296" t="s">
        <v>1699</v>
      </c>
      <c r="AG2296" t="n">
        <v>4</v>
      </c>
    </row>
    <row r="2297">
      <c r="A2297" t="s">
        <v>15033</v>
      </c>
      <c r="B2297" t="s">
        <v>28</v>
      </c>
      <c r="C2297" t="s">
        <v>25</v>
      </c>
      <c r="D2297" t="s">
        <v>15034</v>
      </c>
      <c r="E2297" t="s">
        <v>79</v>
      </c>
      <c r="F2297" t="s">
        <v>1274</v>
      </c>
      <c r="G2297" t="s">
        <v>1911</v>
      </c>
      <c r="H2297" t="n">
        <v>39.7402435310773</v>
      </c>
      <c r="I2297" t="n">
        <v>-104.940592539717</v>
      </c>
      <c r="J2297" t="s">
        <v>4109</v>
      </c>
      <c r="K2297" t="s">
        <v>70</v>
      </c>
      <c r="L2297"/>
      <c r="M2297" t="n">
        <v>1966</v>
      </c>
      <c r="N2297" t="n">
        <v>1974</v>
      </c>
      <c r="O2297" t="s">
        <v>4172</v>
      </c>
      <c r="P2297" t="n">
        <v>2</v>
      </c>
      <c r="Q2297" t="n">
        <v>2</v>
      </c>
      <c r="R2297" t="n">
        <v>1</v>
      </c>
      <c r="S2297" t="n">
        <v>1965</v>
      </c>
      <c r="T2297" t="s">
        <v>15035</v>
      </c>
      <c r="U2297" t="s">
        <v>15036</v>
      </c>
      <c r="V2297" t="s">
        <v>4175</v>
      </c>
      <c r="W2297"/>
      <c r="X2297"/>
      <c r="Y2297" t="s">
        <v>15037</v>
      </c>
      <c r="Z2297"/>
      <c r="AA2297" t="s">
        <v>15038</v>
      </c>
      <c r="AB2297" t="s">
        <v>15039</v>
      </c>
      <c r="AC2297" t="n">
        <v>163</v>
      </c>
      <c r="AD2297"/>
      <c r="AE2297"/>
      <c r="AF2297" t="s">
        <v>15040</v>
      </c>
      <c r="AG2297" t="n">
        <v>24</v>
      </c>
    </row>
    <row r="2298">
      <c r="A2298" t="s">
        <v>15041</v>
      </c>
      <c r="B2298" t="s">
        <v>28</v>
      </c>
      <c r="C2298" t="s">
        <v>65</v>
      </c>
      <c r="D2298" t="s">
        <v>15042</v>
      </c>
      <c r="E2298" t="s">
        <v>79</v>
      </c>
      <c r="F2298" t="s">
        <v>1274</v>
      </c>
      <c r="G2298" t="s">
        <v>1653</v>
      </c>
      <c r="H2298" t="n">
        <v>39.7757307121596</v>
      </c>
      <c r="I2298" t="n">
        <v>-104.917615918077</v>
      </c>
      <c r="J2298" t="s">
        <v>35</v>
      </c>
      <c r="K2298" t="s">
        <v>527</v>
      </c>
      <c r="L2298"/>
      <c r="M2298" t="n">
        <v>1966</v>
      </c>
      <c r="N2298" t="n">
        <v>1990</v>
      </c>
      <c r="O2298" t="s">
        <v>15043</v>
      </c>
      <c r="P2298" t="n">
        <v>6</v>
      </c>
      <c r="Q2298" t="n">
        <v>6</v>
      </c>
      <c r="R2298" t="n">
        <v>3</v>
      </c>
      <c r="S2298" t="n">
        <v>1953</v>
      </c>
      <c r="T2298" t="s">
        <v>15044</v>
      </c>
      <c r="U2298" t="s">
        <v>15045</v>
      </c>
      <c r="V2298" t="s">
        <v>74</v>
      </c>
      <c r="W2298"/>
      <c r="X2298"/>
      <c r="Y2298" t="s">
        <v>15046</v>
      </c>
      <c r="Z2298"/>
      <c r="AA2298" t="s">
        <v>15047</v>
      </c>
      <c r="AB2298" t="s">
        <v>8215</v>
      </c>
      <c r="AC2298" t="n">
        <v>175</v>
      </c>
      <c r="AD2298" t="s">
        <v>15048</v>
      </c>
      <c r="AE2298" t="n">
        <v>136</v>
      </c>
      <c r="AF2298" t="s">
        <v>15049</v>
      </c>
      <c r="AG2298" t="n">
        <v>49</v>
      </c>
    </row>
    <row r="2299">
      <c r="A2299" t="s">
        <v>15050</v>
      </c>
      <c r="B2299" t="s">
        <v>28</v>
      </c>
      <c r="C2299" t="s">
        <v>65</v>
      </c>
      <c r="D2299" t="s">
        <v>15051</v>
      </c>
      <c r="E2299" t="s">
        <v>79</v>
      </c>
      <c r="F2299" t="s">
        <v>1274</v>
      </c>
      <c r="G2299" t="s">
        <v>1509</v>
      </c>
      <c r="H2299" t="n">
        <v>39.7490574943731</v>
      </c>
      <c r="I2299" t="n">
        <v>-105.001077433991</v>
      </c>
      <c r="J2299" t="s">
        <v>35</v>
      </c>
      <c r="K2299" t="s">
        <v>120</v>
      </c>
      <c r="L2299" t="s">
        <v>554</v>
      </c>
      <c r="M2299" t="n">
        <v>1966</v>
      </c>
      <c r="N2299" t="n">
        <v>1992</v>
      </c>
      <c r="O2299" t="s">
        <v>14980</v>
      </c>
      <c r="P2299" t="n">
        <v>12</v>
      </c>
      <c r="Q2299" t="n">
        <v>9</v>
      </c>
      <c r="R2299" t="n">
        <v>7</v>
      </c>
      <c r="S2299" t="n">
        <v>1916</v>
      </c>
      <c r="T2299" t="s">
        <v>15052</v>
      </c>
      <c r="U2299" t="s">
        <v>15053</v>
      </c>
      <c r="V2299" t="s">
        <v>74</v>
      </c>
      <c r="W2299"/>
      <c r="X2299"/>
      <c r="Y2299" t="s">
        <v>15054</v>
      </c>
      <c r="Z2299"/>
      <c r="AA2299"/>
      <c r="AB2299" t="s">
        <v>6747</v>
      </c>
      <c r="AC2299" t="n">
        <v>149</v>
      </c>
      <c r="AD2299" t="s">
        <v>5328</v>
      </c>
      <c r="AE2299" t="n">
        <v>140</v>
      </c>
      <c r="AF2299" t="s">
        <v>1334</v>
      </c>
      <c r="AG2299" t="n">
        <v>18</v>
      </c>
    </row>
    <row r="2300">
      <c r="A2300" t="s">
        <v>15055</v>
      </c>
      <c r="B2300" t="s">
        <v>28</v>
      </c>
      <c r="C2300" t="s">
        <v>65</v>
      </c>
      <c r="D2300" t="s">
        <v>15056</v>
      </c>
      <c r="E2300" t="s">
        <v>79</v>
      </c>
      <c r="F2300" t="s">
        <v>1274</v>
      </c>
      <c r="G2300" t="s">
        <v>1440</v>
      </c>
      <c r="H2300" t="n">
        <v>39.7821999448552</v>
      </c>
      <c r="I2300" t="n">
        <v>-105.001691823072</v>
      </c>
      <c r="J2300" t="s">
        <v>35</v>
      </c>
      <c r="K2300" t="s">
        <v>89</v>
      </c>
      <c r="L2300"/>
      <c r="M2300" t="n">
        <v>1966</v>
      </c>
      <c r="N2300" t="n">
        <v>1990</v>
      </c>
      <c r="O2300" t="s">
        <v>388</v>
      </c>
      <c r="P2300" t="n">
        <v>8</v>
      </c>
      <c r="Q2300" t="n">
        <v>6</v>
      </c>
      <c r="R2300" t="n">
        <v>1</v>
      </c>
      <c r="S2300" t="n">
        <v>1962</v>
      </c>
      <c r="T2300" t="s">
        <v>15057</v>
      </c>
      <c r="U2300" t="s">
        <v>15058</v>
      </c>
      <c r="V2300" t="s">
        <v>74</v>
      </c>
      <c r="W2300"/>
      <c r="X2300"/>
      <c r="Y2300" t="s">
        <v>15059</v>
      </c>
      <c r="Z2300"/>
      <c r="AA2300"/>
      <c r="AB2300" t="s">
        <v>1918</v>
      </c>
      <c r="AC2300" t="n">
        <v>230</v>
      </c>
      <c r="AD2300"/>
      <c r="AE2300"/>
      <c r="AF2300" t="s">
        <v>15060</v>
      </c>
      <c r="AG2300" t="n">
        <v>40</v>
      </c>
    </row>
    <row r="2301">
      <c r="A2301" t="s">
        <v>15061</v>
      </c>
      <c r="B2301" t="s">
        <v>28</v>
      </c>
      <c r="C2301" t="s">
        <v>65</v>
      </c>
      <c r="D2301" t="s">
        <v>15062</v>
      </c>
      <c r="E2301" t="s">
        <v>79</v>
      </c>
      <c r="F2301" t="s">
        <v>1274</v>
      </c>
      <c r="G2301" t="s">
        <v>1516</v>
      </c>
      <c r="H2301" t="n">
        <v>39.6930187222222</v>
      </c>
      <c r="I2301" t="n">
        <v>-104.990774555556</v>
      </c>
      <c r="J2301" t="s">
        <v>35</v>
      </c>
      <c r="K2301" t="s">
        <v>141</v>
      </c>
      <c r="L2301"/>
      <c r="M2301" t="n">
        <v>1967</v>
      </c>
      <c r="N2301" t="n">
        <v>1990</v>
      </c>
      <c r="O2301" t="s">
        <v>15063</v>
      </c>
      <c r="P2301" t="n">
        <v>6</v>
      </c>
      <c r="Q2301" t="n">
        <v>3</v>
      </c>
      <c r="R2301" t="n">
        <v>3</v>
      </c>
      <c r="S2301" t="n">
        <v>1962</v>
      </c>
      <c r="T2301" t="s">
        <v>15064</v>
      </c>
      <c r="U2301" t="s">
        <v>15065</v>
      </c>
      <c r="V2301" t="s">
        <v>74</v>
      </c>
      <c r="W2301"/>
      <c r="X2301"/>
      <c r="Y2301" t="s">
        <v>15066</v>
      </c>
      <c r="Z2301"/>
      <c r="AA2301"/>
      <c r="AB2301" t="s">
        <v>1520</v>
      </c>
      <c r="AC2301" t="n">
        <v>229</v>
      </c>
      <c r="AD2301" t="s">
        <v>1521</v>
      </c>
      <c r="AE2301" t="n">
        <v>182</v>
      </c>
      <c r="AF2301" t="s">
        <v>1522</v>
      </c>
      <c r="AG2301" t="n">
        <v>24</v>
      </c>
    </row>
    <row r="2302">
      <c r="A2302" t="s">
        <v>15067</v>
      </c>
      <c r="B2302" t="s">
        <v>28</v>
      </c>
      <c r="C2302" t="s">
        <v>24</v>
      </c>
      <c r="D2302" t="s">
        <v>15068</v>
      </c>
      <c r="E2302" t="s">
        <v>79</v>
      </c>
      <c r="F2302" t="s">
        <v>1274</v>
      </c>
      <c r="G2302" t="s">
        <v>1516</v>
      </c>
      <c r="H2302" t="n">
        <v>39.7181355633333</v>
      </c>
      <c r="I2302" t="n">
        <v>-104.998575463333</v>
      </c>
      <c r="J2302" t="s">
        <v>4109</v>
      </c>
      <c r="K2302" t="s">
        <v>141</v>
      </c>
      <c r="L2302"/>
      <c r="M2302" t="n">
        <v>1967</v>
      </c>
      <c r="N2302" t="n">
        <v>1992</v>
      </c>
      <c r="O2302" t="s">
        <v>15069</v>
      </c>
      <c r="P2302" t="n">
        <v>9</v>
      </c>
      <c r="Q2302" t="n">
        <v>3</v>
      </c>
      <c r="R2302" t="n">
        <v>1</v>
      </c>
      <c r="S2302" t="n">
        <v>1900</v>
      </c>
      <c r="T2302" t="s">
        <v>15070</v>
      </c>
      <c r="U2302" t="s">
        <v>15071</v>
      </c>
      <c r="V2302" t="s">
        <v>74</v>
      </c>
      <c r="W2302"/>
      <c r="X2302"/>
      <c r="Y2302" t="s">
        <v>15072</v>
      </c>
      <c r="Z2302"/>
      <c r="AA2302"/>
      <c r="AB2302"/>
      <c r="AC2302"/>
      <c r="AD2302"/>
      <c r="AE2302"/>
      <c r="AF2302" t="s">
        <v>11421</v>
      </c>
      <c r="AG2302" t="n">
        <v>37</v>
      </c>
    </row>
    <row r="2303">
      <c r="A2303" t="s">
        <v>15073</v>
      </c>
      <c r="B2303" t="s">
        <v>28</v>
      </c>
      <c r="C2303" t="s">
        <v>65</v>
      </c>
      <c r="D2303" t="s">
        <v>15074</v>
      </c>
      <c r="E2303" t="s">
        <v>79</v>
      </c>
      <c r="F2303" t="s">
        <v>1274</v>
      </c>
      <c r="G2303" t="s">
        <v>1555</v>
      </c>
      <c r="H2303" t="n">
        <v>39.7302961758816</v>
      </c>
      <c r="I2303" t="n">
        <v>-105.019897657383</v>
      </c>
      <c r="J2303" t="s">
        <v>35</v>
      </c>
      <c r="K2303" t="s">
        <v>141</v>
      </c>
      <c r="L2303"/>
      <c r="M2303" t="n">
        <v>1967</v>
      </c>
      <c r="N2303" t="n">
        <v>1970</v>
      </c>
      <c r="O2303" t="s">
        <v>3494</v>
      </c>
      <c r="P2303" t="n">
        <v>3</v>
      </c>
      <c r="Q2303" t="n">
        <v>2</v>
      </c>
      <c r="R2303" t="n">
        <v>2</v>
      </c>
      <c r="S2303" t="n">
        <v>1964</v>
      </c>
      <c r="T2303" t="s">
        <v>15075</v>
      </c>
      <c r="U2303" t="s">
        <v>15076</v>
      </c>
      <c r="V2303" t="s">
        <v>74</v>
      </c>
      <c r="W2303"/>
      <c r="X2303"/>
      <c r="Y2303" t="s">
        <v>14468</v>
      </c>
      <c r="Z2303"/>
      <c r="AA2303"/>
      <c r="AB2303" t="s">
        <v>4268</v>
      </c>
      <c r="AC2303" t="n">
        <v>214</v>
      </c>
      <c r="AD2303"/>
      <c r="AE2303"/>
      <c r="AF2303" t="s">
        <v>11228</v>
      </c>
      <c r="AG2303" t="n">
        <v>29</v>
      </c>
    </row>
    <row r="2304">
      <c r="A2304" t="s">
        <v>15077</v>
      </c>
      <c r="B2304" t="s">
        <v>28</v>
      </c>
      <c r="C2304" t="s">
        <v>65</v>
      </c>
      <c r="D2304" t="s">
        <v>15078</v>
      </c>
      <c r="E2304" t="s">
        <v>79</v>
      </c>
      <c r="F2304" t="s">
        <v>1274</v>
      </c>
      <c r="G2304" t="s">
        <v>1440</v>
      </c>
      <c r="H2304" t="n">
        <v>39.7762525516348</v>
      </c>
      <c r="I2304" t="n">
        <v>-104.999383446935</v>
      </c>
      <c r="J2304" t="s">
        <v>35</v>
      </c>
      <c r="K2304" t="s">
        <v>141</v>
      </c>
      <c r="L2304"/>
      <c r="M2304" t="n">
        <v>1967</v>
      </c>
      <c r="N2304" t="n">
        <v>1990</v>
      </c>
      <c r="O2304" t="s">
        <v>15079</v>
      </c>
      <c r="P2304" t="n">
        <v>8</v>
      </c>
      <c r="Q2304" t="n">
        <v>4</v>
      </c>
      <c r="R2304" t="n">
        <v>4</v>
      </c>
      <c r="S2304" t="n">
        <v>1961</v>
      </c>
      <c r="T2304" t="s">
        <v>15080</v>
      </c>
      <c r="U2304" t="s">
        <v>15081</v>
      </c>
      <c r="V2304" t="s">
        <v>74</v>
      </c>
      <c r="W2304"/>
      <c r="X2304"/>
      <c r="Y2304" t="s">
        <v>15082</v>
      </c>
      <c r="Z2304"/>
      <c r="AA2304"/>
      <c r="AB2304" t="s">
        <v>9055</v>
      </c>
      <c r="AC2304" t="n">
        <v>86</v>
      </c>
      <c r="AD2304"/>
      <c r="AE2304"/>
      <c r="AF2304" t="s">
        <v>15083</v>
      </c>
      <c r="AG2304" t="n">
        <v>5</v>
      </c>
    </row>
    <row r="2305">
      <c r="A2305" t="s">
        <v>15084</v>
      </c>
      <c r="B2305" t="s">
        <v>28</v>
      </c>
      <c r="C2305" t="s">
        <v>65</v>
      </c>
      <c r="D2305" t="s">
        <v>15085</v>
      </c>
      <c r="E2305" t="s">
        <v>79</v>
      </c>
      <c r="F2305" t="s">
        <v>1274</v>
      </c>
      <c r="G2305" t="s">
        <v>1612</v>
      </c>
      <c r="H2305" t="n">
        <v>39.6992574134616</v>
      </c>
      <c r="I2305" t="n">
        <v>-105.02508</v>
      </c>
      <c r="J2305" t="s">
        <v>35</v>
      </c>
      <c r="K2305" t="s">
        <v>133</v>
      </c>
      <c r="L2305"/>
      <c r="M2305" t="n">
        <v>1967</v>
      </c>
      <c r="N2305" t="n">
        <v>1990</v>
      </c>
      <c r="O2305" t="s">
        <v>228</v>
      </c>
      <c r="P2305" t="n">
        <v>7</v>
      </c>
      <c r="Q2305" t="n">
        <v>3</v>
      </c>
      <c r="R2305" t="n">
        <v>1</v>
      </c>
      <c r="S2305" t="n">
        <v>1966</v>
      </c>
      <c r="T2305" t="s">
        <v>15086</v>
      </c>
      <c r="U2305" t="s">
        <v>15087</v>
      </c>
      <c r="V2305" t="s">
        <v>74</v>
      </c>
      <c r="W2305"/>
      <c r="X2305"/>
      <c r="Y2305" t="s">
        <v>15088</v>
      </c>
      <c r="Z2305"/>
      <c r="AA2305"/>
      <c r="AB2305" t="s">
        <v>15089</v>
      </c>
      <c r="AC2305" t="n">
        <v>144</v>
      </c>
      <c r="AD2305"/>
      <c r="AE2305"/>
      <c r="AF2305" t="s">
        <v>15090</v>
      </c>
      <c r="AG2305" t="n">
        <v>25</v>
      </c>
    </row>
    <row r="2306">
      <c r="A2306" t="s">
        <v>15091</v>
      </c>
      <c r="B2306" t="s">
        <v>28</v>
      </c>
      <c r="C2306" t="s">
        <v>24</v>
      </c>
      <c r="D2306" t="s">
        <v>15092</v>
      </c>
      <c r="E2306" t="s">
        <v>79</v>
      </c>
      <c r="F2306" t="s">
        <v>1274</v>
      </c>
      <c r="G2306" t="s">
        <v>1555</v>
      </c>
      <c r="H2306" t="n">
        <v>39.743524</v>
      </c>
      <c r="I2306" t="n">
        <v>-105.135535</v>
      </c>
      <c r="J2306" t="s">
        <v>4109</v>
      </c>
      <c r="K2306" t="s">
        <v>1041</v>
      </c>
      <c r="L2306"/>
      <c r="M2306" t="n">
        <v>1967</v>
      </c>
      <c r="N2306" t="n">
        <v>1967</v>
      </c>
      <c r="O2306" t="s">
        <v>388</v>
      </c>
      <c r="P2306" t="n">
        <v>1</v>
      </c>
      <c r="Q2306" t="n">
        <v>1</v>
      </c>
      <c r="R2306" t="n">
        <v>1</v>
      </c>
      <c r="S2306" t="n">
        <v>1946</v>
      </c>
      <c r="T2306" t="s">
        <v>15093</v>
      </c>
      <c r="U2306" t="s">
        <v>15094</v>
      </c>
      <c r="V2306" t="s">
        <v>74</v>
      </c>
      <c r="W2306"/>
      <c r="X2306"/>
      <c r="Y2306" t="s">
        <v>15095</v>
      </c>
      <c r="Z2306"/>
      <c r="AA2306"/>
      <c r="AB2306"/>
      <c r="AC2306"/>
      <c r="AD2306"/>
      <c r="AE2306"/>
      <c r="AF2306" t="s">
        <v>15096</v>
      </c>
      <c r="AG2306" t="n">
        <v>91</v>
      </c>
    </row>
    <row r="2307">
      <c r="A2307" t="s">
        <v>15097</v>
      </c>
      <c r="B2307" t="s">
        <v>28</v>
      </c>
      <c r="C2307" t="s">
        <v>65</v>
      </c>
      <c r="D2307" t="s">
        <v>15098</v>
      </c>
      <c r="E2307" t="s">
        <v>79</v>
      </c>
      <c r="F2307" t="s">
        <v>1274</v>
      </c>
      <c r="G2307" t="s">
        <v>1516</v>
      </c>
      <c r="H2307" t="n">
        <v>39.6748375106235</v>
      </c>
      <c r="I2307" t="n">
        <v>-104.998320187752</v>
      </c>
      <c r="J2307" t="s">
        <v>35</v>
      </c>
      <c r="K2307" t="s">
        <v>120</v>
      </c>
      <c r="L2307"/>
      <c r="M2307" t="n">
        <v>1967</v>
      </c>
      <c r="N2307" t="n">
        <v>1967</v>
      </c>
      <c r="O2307" t="s">
        <v>388</v>
      </c>
      <c r="P2307" t="n">
        <v>1</v>
      </c>
      <c r="Q2307" t="n">
        <v>1</v>
      </c>
      <c r="R2307" t="n">
        <v>1</v>
      </c>
      <c r="S2307"/>
      <c r="T2307" t="s">
        <v>15099</v>
      </c>
      <c r="U2307" t="s">
        <v>15100</v>
      </c>
      <c r="V2307" t="s">
        <v>74</v>
      </c>
      <c r="W2307"/>
      <c r="X2307"/>
      <c r="Y2307" t="s">
        <v>15101</v>
      </c>
      <c r="Z2307"/>
      <c r="AA2307" t="s">
        <v>15102</v>
      </c>
      <c r="AB2307"/>
      <c r="AC2307"/>
      <c r="AD2307" t="s">
        <v>8989</v>
      </c>
      <c r="AE2307" t="n">
        <v>196</v>
      </c>
      <c r="AF2307" t="s">
        <v>15103</v>
      </c>
      <c r="AG2307" t="n">
        <v>26</v>
      </c>
    </row>
    <row r="2308">
      <c r="A2308" t="s">
        <v>15104</v>
      </c>
      <c r="B2308" t="s">
        <v>28</v>
      </c>
      <c r="C2308" t="s">
        <v>65</v>
      </c>
      <c r="D2308" t="s">
        <v>15105</v>
      </c>
      <c r="E2308" t="s">
        <v>79</v>
      </c>
      <c r="F2308" t="s">
        <v>1274</v>
      </c>
      <c r="G2308" t="s">
        <v>1653</v>
      </c>
      <c r="H2308" t="n">
        <v>39.7870128491939</v>
      </c>
      <c r="I2308" t="n">
        <v>-104.942944902346</v>
      </c>
      <c r="J2308" t="s">
        <v>35</v>
      </c>
      <c r="K2308" t="s">
        <v>141</v>
      </c>
      <c r="L2308"/>
      <c r="M2308" t="n">
        <v>1967</v>
      </c>
      <c r="N2308" t="n">
        <v>1980</v>
      </c>
      <c r="O2308" t="s">
        <v>8406</v>
      </c>
      <c r="P2308" t="n">
        <v>5</v>
      </c>
      <c r="Q2308" t="n">
        <v>6</v>
      </c>
      <c r="R2308" t="n">
        <v>3</v>
      </c>
      <c r="S2308" t="n">
        <v>1962</v>
      </c>
      <c r="T2308" t="s">
        <v>15106</v>
      </c>
      <c r="U2308" t="s">
        <v>15107</v>
      </c>
      <c r="V2308" t="s">
        <v>74</v>
      </c>
      <c r="W2308"/>
      <c r="X2308"/>
      <c r="Y2308" t="s">
        <v>15108</v>
      </c>
      <c r="Z2308"/>
      <c r="AA2308" t="s">
        <v>15109</v>
      </c>
      <c r="AB2308"/>
      <c r="AC2308"/>
      <c r="AD2308"/>
      <c r="AE2308"/>
      <c r="AF2308" t="s">
        <v>15110</v>
      </c>
      <c r="AG2308" t="n">
        <v>30</v>
      </c>
    </row>
    <row r="2309">
      <c r="A2309" t="s">
        <v>15111</v>
      </c>
      <c r="B2309" t="s">
        <v>28</v>
      </c>
      <c r="C2309" t="s">
        <v>65</v>
      </c>
      <c r="D2309" t="s">
        <v>15112</v>
      </c>
      <c r="E2309" t="s">
        <v>79</v>
      </c>
      <c r="F2309" t="s">
        <v>1274</v>
      </c>
      <c r="G2309" t="s">
        <v>1516</v>
      </c>
      <c r="H2309" t="n">
        <v>39.6815820419378</v>
      </c>
      <c r="I2309" t="n">
        <v>-105.004082683938</v>
      </c>
      <c r="J2309" t="s">
        <v>35</v>
      </c>
      <c r="K2309" t="s">
        <v>141</v>
      </c>
      <c r="L2309" t="s">
        <v>202</v>
      </c>
      <c r="M2309" t="n">
        <v>1967</v>
      </c>
      <c r="N2309" t="n">
        <v>1990</v>
      </c>
      <c r="O2309" t="s">
        <v>15113</v>
      </c>
      <c r="P2309" t="n">
        <v>10</v>
      </c>
      <c r="Q2309" t="n">
        <v>10</v>
      </c>
      <c r="R2309" t="n">
        <v>8</v>
      </c>
      <c r="S2309" t="n">
        <v>1929</v>
      </c>
      <c r="T2309" t="s">
        <v>15114</v>
      </c>
      <c r="U2309" t="s">
        <v>15115</v>
      </c>
      <c r="V2309" t="s">
        <v>74</v>
      </c>
      <c r="W2309"/>
      <c r="X2309"/>
      <c r="Y2309" t="s">
        <v>15116</v>
      </c>
      <c r="Z2309"/>
      <c r="AA2309" t="s">
        <v>15117</v>
      </c>
      <c r="AB2309" t="s">
        <v>11451</v>
      </c>
      <c r="AC2309" t="n">
        <v>229</v>
      </c>
      <c r="AD2309"/>
      <c r="AE2309"/>
      <c r="AF2309" t="s">
        <v>15118</v>
      </c>
      <c r="AG2309" t="n">
        <v>30</v>
      </c>
    </row>
    <row r="2310">
      <c r="A2310" t="s">
        <v>15119</v>
      </c>
      <c r="B2310" t="s">
        <v>28</v>
      </c>
      <c r="C2310" t="s">
        <v>65</v>
      </c>
      <c r="D2310" t="s">
        <v>15120</v>
      </c>
      <c r="E2310" t="s">
        <v>79</v>
      </c>
      <c r="F2310" t="s">
        <v>1274</v>
      </c>
      <c r="G2310" t="s">
        <v>1574</v>
      </c>
      <c r="H2310" t="n">
        <v>39.7563070131722</v>
      </c>
      <c r="I2310" t="n">
        <v>-104.991726605205</v>
      </c>
      <c r="J2310" t="s">
        <v>35</v>
      </c>
      <c r="K2310" t="s">
        <v>6347</v>
      </c>
      <c r="L2310"/>
      <c r="M2310" t="n">
        <v>1967</v>
      </c>
      <c r="N2310" t="n">
        <v>1992</v>
      </c>
      <c r="O2310" t="s">
        <v>15121</v>
      </c>
      <c r="P2310" t="n">
        <v>10</v>
      </c>
      <c r="Q2310" t="n">
        <v>8</v>
      </c>
      <c r="R2310" t="n">
        <v>5</v>
      </c>
      <c r="S2310" t="n">
        <v>1899</v>
      </c>
      <c r="T2310" t="s">
        <v>15122</v>
      </c>
      <c r="U2310" t="s">
        <v>15123</v>
      </c>
      <c r="V2310" t="s">
        <v>74</v>
      </c>
      <c r="W2310"/>
      <c r="X2310"/>
      <c r="Y2310" t="s">
        <v>15124</v>
      </c>
      <c r="Z2310"/>
      <c r="AA2310"/>
      <c r="AB2310" t="s">
        <v>1384</v>
      </c>
      <c r="AC2310" t="n">
        <v>147</v>
      </c>
      <c r="AD2310"/>
      <c r="AE2310"/>
      <c r="AF2310" t="s">
        <v>15125</v>
      </c>
      <c r="AG2310" t="n">
        <v>23</v>
      </c>
    </row>
    <row r="2311">
      <c r="A2311" t="s">
        <v>15126</v>
      </c>
      <c r="B2311" t="s">
        <v>28</v>
      </c>
      <c r="C2311" t="s">
        <v>24</v>
      </c>
      <c r="D2311" t="s">
        <v>15127</v>
      </c>
      <c r="E2311" t="s">
        <v>79</v>
      </c>
      <c r="F2311" t="s">
        <v>1274</v>
      </c>
      <c r="G2311" t="s">
        <v>1653</v>
      </c>
      <c r="H2311" t="n">
        <v>39.8018185326633</v>
      </c>
      <c r="I2311" t="n">
        <v>-104.989788658292</v>
      </c>
      <c r="J2311" t="s">
        <v>4109</v>
      </c>
      <c r="K2311" t="s">
        <v>70</v>
      </c>
      <c r="L2311"/>
      <c r="M2311" t="n">
        <v>1968</v>
      </c>
      <c r="N2311" t="n">
        <v>1977</v>
      </c>
      <c r="O2311" t="s">
        <v>2349</v>
      </c>
      <c r="P2311" t="n">
        <v>3</v>
      </c>
      <c r="Q2311" t="n">
        <v>2</v>
      </c>
      <c r="R2311" t="n">
        <v>1</v>
      </c>
      <c r="S2311" t="n">
        <v>1933</v>
      </c>
      <c r="T2311" t="s">
        <v>15128</v>
      </c>
      <c r="U2311" t="s">
        <v>15129</v>
      </c>
      <c r="V2311" t="s">
        <v>74</v>
      </c>
      <c r="W2311"/>
      <c r="X2311"/>
      <c r="Y2311" t="s">
        <v>15130</v>
      </c>
      <c r="Z2311"/>
      <c r="AA2311" t="s">
        <v>15131</v>
      </c>
      <c r="AB2311"/>
      <c r="AC2311"/>
      <c r="AD2311"/>
      <c r="AE2311"/>
      <c r="AF2311" t="s">
        <v>15132</v>
      </c>
      <c r="AG2311" t="n">
        <v>206</v>
      </c>
    </row>
    <row r="2312">
      <c r="A2312" t="s">
        <v>15133</v>
      </c>
      <c r="B2312" t="s">
        <v>28</v>
      </c>
      <c r="C2312" t="s">
        <v>65</v>
      </c>
      <c r="D2312" t="s">
        <v>15134</v>
      </c>
      <c r="E2312" t="s">
        <v>79</v>
      </c>
      <c r="F2312" t="s">
        <v>1274</v>
      </c>
      <c r="G2312" t="s">
        <v>1881</v>
      </c>
      <c r="H2312" t="n">
        <v>39.771581</v>
      </c>
      <c r="I2312" t="n">
        <v>-104.894096</v>
      </c>
      <c r="J2312" t="s">
        <v>35</v>
      </c>
      <c r="K2312" t="s">
        <v>120</v>
      </c>
      <c r="L2312"/>
      <c r="M2312" t="n">
        <v>1968</v>
      </c>
      <c r="N2312" t="n">
        <v>1970</v>
      </c>
      <c r="O2312" t="s">
        <v>1587</v>
      </c>
      <c r="P2312" t="n">
        <v>2</v>
      </c>
      <c r="Q2312" t="n">
        <v>1</v>
      </c>
      <c r="R2312" t="n">
        <v>1</v>
      </c>
      <c r="S2312" t="n">
        <v>1945</v>
      </c>
      <c r="T2312" t="s">
        <v>15135</v>
      </c>
      <c r="U2312" t="s">
        <v>15136</v>
      </c>
      <c r="V2312" t="s">
        <v>74</v>
      </c>
      <c r="W2312"/>
      <c r="X2312"/>
      <c r="Y2312" t="s">
        <v>15137</v>
      </c>
      <c r="Z2312"/>
      <c r="AA2312"/>
      <c r="AB2312" t="s">
        <v>8294</v>
      </c>
      <c r="AC2312" t="n">
        <v>164</v>
      </c>
      <c r="AD2312" t="s">
        <v>1884</v>
      </c>
      <c r="AE2312" t="n">
        <v>190</v>
      </c>
      <c r="AF2312" t="s">
        <v>7507</v>
      </c>
      <c r="AG2312" t="n">
        <v>57</v>
      </c>
    </row>
    <row r="2313">
      <c r="A2313" t="s">
        <v>15138</v>
      </c>
      <c r="B2313" t="s">
        <v>28</v>
      </c>
      <c r="C2313" t="s">
        <v>24</v>
      </c>
      <c r="D2313" t="s">
        <v>15139</v>
      </c>
      <c r="E2313" t="s">
        <v>79</v>
      </c>
      <c r="F2313" t="s">
        <v>1274</v>
      </c>
      <c r="G2313" t="s">
        <v>1653</v>
      </c>
      <c r="H2313" t="n">
        <v>39.7864217130191</v>
      </c>
      <c r="I2313" t="n">
        <v>-104.940390982503</v>
      </c>
      <c r="J2313" t="s">
        <v>4109</v>
      </c>
      <c r="K2313" t="s">
        <v>89</v>
      </c>
      <c r="L2313"/>
      <c r="M2313" t="n">
        <v>1968</v>
      </c>
      <c r="N2313" t="n">
        <v>1990</v>
      </c>
      <c r="O2313" t="s">
        <v>121</v>
      </c>
      <c r="P2313" t="n">
        <v>7</v>
      </c>
      <c r="Q2313" t="n">
        <v>6</v>
      </c>
      <c r="R2313" t="n">
        <v>1</v>
      </c>
      <c r="S2313" t="n">
        <v>1924</v>
      </c>
      <c r="T2313" t="s">
        <v>15140</v>
      </c>
      <c r="U2313" t="s">
        <v>15141</v>
      </c>
      <c r="V2313" t="s">
        <v>74</v>
      </c>
      <c r="W2313"/>
      <c r="X2313"/>
      <c r="Y2313" t="s">
        <v>15142</v>
      </c>
      <c r="Z2313"/>
      <c r="AA2313" t="s">
        <v>15143</v>
      </c>
      <c r="AB2313"/>
      <c r="AC2313"/>
      <c r="AD2313"/>
      <c r="AE2313"/>
      <c r="AF2313" t="s">
        <v>15144</v>
      </c>
      <c r="AG2313" t="n">
        <v>167</v>
      </c>
    </row>
    <row r="2314">
      <c r="A2314" t="s">
        <v>15145</v>
      </c>
      <c r="B2314" t="s">
        <v>28</v>
      </c>
      <c r="C2314" t="s">
        <v>65</v>
      </c>
      <c r="D2314" t="s">
        <v>15146</v>
      </c>
      <c r="E2314" t="s">
        <v>79</v>
      </c>
      <c r="F2314" t="s">
        <v>1274</v>
      </c>
      <c r="G2314"/>
      <c r="H2314" t="n">
        <v>39.6970100120957</v>
      </c>
      <c r="I2314" t="n">
        <v>-104.992855885116</v>
      </c>
      <c r="J2314" t="s">
        <v>35</v>
      </c>
      <c r="K2314" t="s">
        <v>126</v>
      </c>
      <c r="L2314"/>
      <c r="M2314" t="n">
        <v>1968</v>
      </c>
      <c r="N2314" t="n">
        <v>1990</v>
      </c>
      <c r="O2314" t="s">
        <v>7838</v>
      </c>
      <c r="P2314" t="n">
        <v>8</v>
      </c>
      <c r="Q2314" t="n">
        <v>6</v>
      </c>
      <c r="R2314" t="n">
        <v>2</v>
      </c>
      <c r="S2314" t="n">
        <v>1942</v>
      </c>
      <c r="T2314" t="s">
        <v>15147</v>
      </c>
      <c r="U2314" t="s">
        <v>15148</v>
      </c>
      <c r="V2314" t="s">
        <v>74</v>
      </c>
      <c r="W2314"/>
      <c r="X2314"/>
      <c r="Y2314" t="s">
        <v>15149</v>
      </c>
      <c r="Z2314"/>
      <c r="AA2314"/>
      <c r="AB2314" t="s">
        <v>15150</v>
      </c>
      <c r="AC2314" t="n">
        <v>91</v>
      </c>
      <c r="AD2314" t="s">
        <v>8744</v>
      </c>
      <c r="AE2314" t="n">
        <v>193</v>
      </c>
      <c r="AF2314" t="s">
        <v>8745</v>
      </c>
      <c r="AG2314" t="n">
        <v>61</v>
      </c>
    </row>
    <row r="2315">
      <c r="A2315" t="s">
        <v>15151</v>
      </c>
      <c r="B2315" t="s">
        <v>28</v>
      </c>
      <c r="C2315" t="s">
        <v>65</v>
      </c>
      <c r="D2315" t="s">
        <v>15152</v>
      </c>
      <c r="E2315" t="s">
        <v>79</v>
      </c>
      <c r="F2315" t="s">
        <v>1274</v>
      </c>
      <c r="G2315" t="s">
        <v>1516</v>
      </c>
      <c r="H2315" t="n">
        <v>39.6760553466549</v>
      </c>
      <c r="I2315" t="n">
        <v>-105.001772</v>
      </c>
      <c r="J2315" t="s">
        <v>35</v>
      </c>
      <c r="K2315" t="s">
        <v>141</v>
      </c>
      <c r="L2315" t="s">
        <v>202</v>
      </c>
      <c r="M2315" t="n">
        <v>1968</v>
      </c>
      <c r="N2315" t="n">
        <v>1990</v>
      </c>
      <c r="O2315" t="s">
        <v>15153</v>
      </c>
      <c r="P2315" t="n">
        <v>4</v>
      </c>
      <c r="Q2315" t="n">
        <v>3</v>
      </c>
      <c r="R2315" t="n">
        <v>3</v>
      </c>
      <c r="S2315" t="n">
        <v>1967</v>
      </c>
      <c r="T2315" t="s">
        <v>15154</v>
      </c>
      <c r="U2315" t="s">
        <v>15155</v>
      </c>
      <c r="V2315" t="s">
        <v>74</v>
      </c>
      <c r="W2315"/>
      <c r="X2315"/>
      <c r="Y2315" t="s">
        <v>15156</v>
      </c>
      <c r="Z2315"/>
      <c r="AA2315"/>
      <c r="AB2315"/>
      <c r="AC2315"/>
      <c r="AD2315" t="s">
        <v>8989</v>
      </c>
      <c r="AE2315" t="n">
        <v>202</v>
      </c>
      <c r="AF2315" t="s">
        <v>15157</v>
      </c>
      <c r="AG2315" t="n">
        <v>2</v>
      </c>
    </row>
    <row r="2316">
      <c r="A2316" t="s">
        <v>15158</v>
      </c>
      <c r="B2316" t="s">
        <v>28</v>
      </c>
      <c r="C2316" t="s">
        <v>65</v>
      </c>
      <c r="D2316" t="s">
        <v>15159</v>
      </c>
      <c r="E2316" t="s">
        <v>79</v>
      </c>
      <c r="F2316" t="s">
        <v>1274</v>
      </c>
      <c r="G2316" t="s">
        <v>1653</v>
      </c>
      <c r="H2316" t="n">
        <v>39.7878399980445</v>
      </c>
      <c r="I2316" t="n">
        <v>-104.959263013491</v>
      </c>
      <c r="J2316" t="s">
        <v>35</v>
      </c>
      <c r="K2316" t="s">
        <v>89</v>
      </c>
      <c r="L2316"/>
      <c r="M2316" t="n">
        <v>1968</v>
      </c>
      <c r="N2316" t="n">
        <v>1974</v>
      </c>
      <c r="O2316" t="s">
        <v>7634</v>
      </c>
      <c r="P2316" t="n">
        <v>4</v>
      </c>
      <c r="Q2316" t="n">
        <v>2</v>
      </c>
      <c r="R2316" t="n">
        <v>2</v>
      </c>
      <c r="S2316" t="n">
        <v>1967</v>
      </c>
      <c r="T2316" t="s">
        <v>15160</v>
      </c>
      <c r="U2316" t="s">
        <v>15161</v>
      </c>
      <c r="V2316" t="s">
        <v>74</v>
      </c>
      <c r="W2316"/>
      <c r="X2316"/>
      <c r="Y2316" t="s">
        <v>15162</v>
      </c>
      <c r="Z2316"/>
      <c r="AA2316" t="s">
        <v>15163</v>
      </c>
      <c r="AB2316" t="s">
        <v>15164</v>
      </c>
      <c r="AC2316" t="n">
        <v>109</v>
      </c>
      <c r="AD2316"/>
      <c r="AE2316"/>
      <c r="AF2316" t="s">
        <v>15165</v>
      </c>
      <c r="AG2316" t="n">
        <v>23</v>
      </c>
    </row>
    <row r="2317">
      <c r="A2317" t="s">
        <v>15166</v>
      </c>
      <c r="B2317" t="s">
        <v>28</v>
      </c>
      <c r="C2317" t="s">
        <v>65</v>
      </c>
      <c r="D2317" t="s">
        <v>15167</v>
      </c>
      <c r="E2317" t="s">
        <v>79</v>
      </c>
      <c r="F2317" t="s">
        <v>1274</v>
      </c>
      <c r="G2317" t="s">
        <v>1516</v>
      </c>
      <c r="H2317" t="n">
        <v>39.6944451011698</v>
      </c>
      <c r="I2317" t="n">
        <v>-104.988671012521</v>
      </c>
      <c r="J2317" t="s">
        <v>35</v>
      </c>
      <c r="K2317" t="s">
        <v>120</v>
      </c>
      <c r="L2317"/>
      <c r="M2317" t="n">
        <v>1968</v>
      </c>
      <c r="N2317" t="n">
        <v>1990</v>
      </c>
      <c r="O2317" t="s">
        <v>15168</v>
      </c>
      <c r="P2317" t="n">
        <v>6</v>
      </c>
      <c r="Q2317" t="n">
        <v>3</v>
      </c>
      <c r="R2317" t="n">
        <v>2</v>
      </c>
      <c r="S2317" t="n">
        <v>1949</v>
      </c>
      <c r="T2317" t="s">
        <v>15169</v>
      </c>
      <c r="U2317" t="s">
        <v>15170</v>
      </c>
      <c r="V2317" t="s">
        <v>74</v>
      </c>
      <c r="W2317"/>
      <c r="X2317"/>
      <c r="Y2317" t="s">
        <v>15171</v>
      </c>
      <c r="Z2317"/>
      <c r="AA2317"/>
      <c r="AB2317" t="s">
        <v>1490</v>
      </c>
      <c r="AC2317" t="n">
        <v>90</v>
      </c>
      <c r="AD2317"/>
      <c r="AE2317"/>
      <c r="AF2317" t="s">
        <v>15172</v>
      </c>
      <c r="AG2317" t="n">
        <v>1</v>
      </c>
    </row>
    <row r="2318">
      <c r="A2318" t="s">
        <v>15173</v>
      </c>
      <c r="B2318" t="s">
        <v>28</v>
      </c>
      <c r="C2318" t="s">
        <v>65</v>
      </c>
      <c r="D2318" t="s">
        <v>15174</v>
      </c>
      <c r="E2318" t="s">
        <v>79</v>
      </c>
      <c r="F2318" t="s">
        <v>1274</v>
      </c>
      <c r="G2318" t="s">
        <v>1555</v>
      </c>
      <c r="H2318" t="n">
        <v>39.729308</v>
      </c>
      <c r="I2318" t="n">
        <v>-105.019284</v>
      </c>
      <c r="J2318" t="s">
        <v>35</v>
      </c>
      <c r="K2318" t="s">
        <v>89</v>
      </c>
      <c r="L2318"/>
      <c r="M2318" t="n">
        <v>1968</v>
      </c>
      <c r="N2318" t="n">
        <v>1992</v>
      </c>
      <c r="O2318" t="s">
        <v>15175</v>
      </c>
      <c r="P2318" t="n">
        <v>4</v>
      </c>
      <c r="Q2318" t="n">
        <v>2</v>
      </c>
      <c r="R2318" t="n">
        <v>1</v>
      </c>
      <c r="S2318" t="n">
        <v>1936</v>
      </c>
      <c r="T2318" t="s">
        <v>15176</v>
      </c>
      <c r="U2318" t="s">
        <v>15177</v>
      </c>
      <c r="V2318" t="s">
        <v>74</v>
      </c>
      <c r="W2318"/>
      <c r="X2318"/>
      <c r="Y2318" t="s">
        <v>15178</v>
      </c>
      <c r="Z2318"/>
      <c r="AA2318"/>
      <c r="AB2318" t="s">
        <v>4268</v>
      </c>
      <c r="AC2318" t="n">
        <v>236</v>
      </c>
      <c r="AD2318"/>
      <c r="AE2318"/>
      <c r="AF2318" t="s">
        <v>15179</v>
      </c>
      <c r="AG2318" t="n">
        <v>17</v>
      </c>
    </row>
    <row r="2319">
      <c r="A2319" t="s">
        <v>15180</v>
      </c>
      <c r="B2319" t="s">
        <v>28</v>
      </c>
      <c r="C2319" t="s">
        <v>65</v>
      </c>
      <c r="D2319" t="s">
        <v>15181</v>
      </c>
      <c r="E2319" t="s">
        <v>79</v>
      </c>
      <c r="F2319" t="s">
        <v>1274</v>
      </c>
      <c r="G2319" t="s">
        <v>1555</v>
      </c>
      <c r="H2319" t="n">
        <v>39.7293094078385</v>
      </c>
      <c r="I2319" t="n">
        <v>-105.018795695937</v>
      </c>
      <c r="J2319" t="s">
        <v>35</v>
      </c>
      <c r="K2319" t="s">
        <v>270</v>
      </c>
      <c r="L2319"/>
      <c r="M2319" t="n">
        <v>1968</v>
      </c>
      <c r="N2319" t="n">
        <v>1990</v>
      </c>
      <c r="O2319" t="s">
        <v>7749</v>
      </c>
      <c r="P2319" t="n">
        <v>4</v>
      </c>
      <c r="Q2319" t="n">
        <v>5</v>
      </c>
      <c r="R2319" t="n">
        <v>3</v>
      </c>
      <c r="S2319" t="n">
        <v>1947</v>
      </c>
      <c r="T2319" t="s">
        <v>15182</v>
      </c>
      <c r="U2319" t="s">
        <v>15183</v>
      </c>
      <c r="V2319" t="s">
        <v>74</v>
      </c>
      <c r="W2319"/>
      <c r="X2319"/>
      <c r="Y2319" t="s">
        <v>15184</v>
      </c>
      <c r="Z2319"/>
      <c r="AA2319"/>
      <c r="AB2319"/>
      <c r="AC2319"/>
      <c r="AD2319"/>
      <c r="AE2319"/>
      <c r="AF2319" t="s">
        <v>15185</v>
      </c>
      <c r="AG2319" t="n">
        <v>42</v>
      </c>
    </row>
    <row r="2320">
      <c r="A2320" t="s">
        <v>15186</v>
      </c>
      <c r="B2320" t="s">
        <v>28</v>
      </c>
      <c r="C2320" t="s">
        <v>65</v>
      </c>
      <c r="D2320" t="s">
        <v>15187</v>
      </c>
      <c r="E2320" t="s">
        <v>79</v>
      </c>
      <c r="F2320" t="s">
        <v>1274</v>
      </c>
      <c r="G2320" t="s">
        <v>1516</v>
      </c>
      <c r="H2320" t="n">
        <v>39.6757595097866</v>
      </c>
      <c r="I2320" t="n">
        <v>-105.001772</v>
      </c>
      <c r="J2320" t="s">
        <v>35</v>
      </c>
      <c r="K2320" t="s">
        <v>70</v>
      </c>
      <c r="L2320"/>
      <c r="M2320" t="n">
        <v>1968</v>
      </c>
      <c r="N2320" t="n">
        <v>1983</v>
      </c>
      <c r="O2320" t="s">
        <v>1173</v>
      </c>
      <c r="P2320" t="n">
        <v>5</v>
      </c>
      <c r="Q2320" t="n">
        <v>2</v>
      </c>
      <c r="R2320" t="n">
        <v>2</v>
      </c>
      <c r="S2320" t="n">
        <v>1949</v>
      </c>
      <c r="T2320" t="s">
        <v>15188</v>
      </c>
      <c r="U2320" t="s">
        <v>15189</v>
      </c>
      <c r="V2320" t="s">
        <v>74</v>
      </c>
      <c r="W2320"/>
      <c r="X2320"/>
      <c r="Y2320" t="s">
        <v>15190</v>
      </c>
      <c r="Z2320"/>
      <c r="AA2320"/>
      <c r="AB2320"/>
      <c r="AC2320"/>
      <c r="AD2320" t="s">
        <v>8989</v>
      </c>
      <c r="AE2320" t="n">
        <v>210</v>
      </c>
      <c r="AF2320" t="s">
        <v>15191</v>
      </c>
      <c r="AG2320" t="n">
        <v>10</v>
      </c>
    </row>
    <row r="2321">
      <c r="A2321" t="s">
        <v>15192</v>
      </c>
      <c r="B2321" t="s">
        <v>28</v>
      </c>
      <c r="C2321" t="s">
        <v>65</v>
      </c>
      <c r="D2321" t="s">
        <v>15193</v>
      </c>
      <c r="E2321" t="s">
        <v>79</v>
      </c>
      <c r="F2321" t="s">
        <v>1274</v>
      </c>
      <c r="G2321" t="s">
        <v>1516</v>
      </c>
      <c r="H2321" t="n">
        <v>39.670194396351</v>
      </c>
      <c r="I2321" t="n">
        <v>-104.995568254012</v>
      </c>
      <c r="J2321" t="s">
        <v>35</v>
      </c>
      <c r="K2321" t="s">
        <v>1495</v>
      </c>
      <c r="L2321"/>
      <c r="M2321" t="n">
        <v>1968</v>
      </c>
      <c r="N2321" t="n">
        <v>1988</v>
      </c>
      <c r="O2321" t="s">
        <v>15194</v>
      </c>
      <c r="P2321" t="n">
        <v>4</v>
      </c>
      <c r="Q2321" t="n">
        <v>5</v>
      </c>
      <c r="R2321" t="n">
        <v>4</v>
      </c>
      <c r="S2321" t="n">
        <v>1976</v>
      </c>
      <c r="T2321" t="s">
        <v>15195</v>
      </c>
      <c r="U2321" t="s">
        <v>15196</v>
      </c>
      <c r="V2321" t="s">
        <v>74</v>
      </c>
      <c r="W2321"/>
      <c r="X2321"/>
      <c r="Y2321" t="s">
        <v>15197</v>
      </c>
      <c r="Z2321"/>
      <c r="AA2321"/>
      <c r="AB2321" t="s">
        <v>8402</v>
      </c>
      <c r="AC2321" t="n">
        <v>225</v>
      </c>
      <c r="AD2321" t="s">
        <v>1664</v>
      </c>
      <c r="AE2321" t="n">
        <v>239</v>
      </c>
      <c r="AF2321" t="s">
        <v>15198</v>
      </c>
      <c r="AG2321" t="n">
        <v>6</v>
      </c>
    </row>
    <row r="2322">
      <c r="A2322" t="s">
        <v>15199</v>
      </c>
      <c r="B2322" t="s">
        <v>28</v>
      </c>
      <c r="C2322" t="s">
        <v>65</v>
      </c>
      <c r="D2322" t="s">
        <v>15200</v>
      </c>
      <c r="E2322" t="s">
        <v>79</v>
      </c>
      <c r="F2322" t="s">
        <v>1274</v>
      </c>
      <c r="G2322" t="s">
        <v>1516</v>
      </c>
      <c r="H2322" t="n">
        <v>39.7060691950889</v>
      </c>
      <c r="I2322" t="n">
        <v>-104.999189153573</v>
      </c>
      <c r="J2322" t="s">
        <v>35</v>
      </c>
      <c r="K2322" t="s">
        <v>141</v>
      </c>
      <c r="L2322" t="s">
        <v>202</v>
      </c>
      <c r="M2322" t="n">
        <v>1968</v>
      </c>
      <c r="N2322" t="n">
        <v>1990</v>
      </c>
      <c r="O2322" t="s">
        <v>8077</v>
      </c>
      <c r="P2322" t="n">
        <v>3</v>
      </c>
      <c r="Q2322" t="n">
        <v>2</v>
      </c>
      <c r="R2322" t="n">
        <v>2</v>
      </c>
      <c r="S2322" t="n">
        <v>1977</v>
      </c>
      <c r="T2322" t="s">
        <v>15201</v>
      </c>
      <c r="U2322" t="s">
        <v>15202</v>
      </c>
      <c r="V2322" t="s">
        <v>74</v>
      </c>
      <c r="W2322"/>
      <c r="X2322"/>
      <c r="Y2322" t="s">
        <v>15203</v>
      </c>
      <c r="Z2322"/>
      <c r="AA2322"/>
      <c r="AB2322"/>
      <c r="AC2322"/>
      <c r="AD2322"/>
      <c r="AE2322"/>
      <c r="AF2322" t="s">
        <v>15204</v>
      </c>
      <c r="AG2322" t="n">
        <v>4</v>
      </c>
    </row>
    <row r="2323">
      <c r="A2323" t="s">
        <v>15205</v>
      </c>
      <c r="B2323" t="s">
        <v>28</v>
      </c>
      <c r="C2323" t="s">
        <v>65</v>
      </c>
      <c r="D2323" t="s">
        <v>15206</v>
      </c>
      <c r="E2323" t="s">
        <v>79</v>
      </c>
      <c r="F2323" t="s">
        <v>1274</v>
      </c>
      <c r="G2323" t="s">
        <v>1881</v>
      </c>
      <c r="H2323" t="n">
        <v>39.7717006327158</v>
      </c>
      <c r="I2323" t="n">
        <v>-104.917612809784</v>
      </c>
      <c r="J2323" t="s">
        <v>35</v>
      </c>
      <c r="K2323" t="s">
        <v>81</v>
      </c>
      <c r="L2323"/>
      <c r="M2323" t="n">
        <v>1968</v>
      </c>
      <c r="N2323" t="n">
        <v>1990</v>
      </c>
      <c r="O2323" t="s">
        <v>15207</v>
      </c>
      <c r="P2323" t="n">
        <v>8</v>
      </c>
      <c r="Q2323" t="n">
        <v>5</v>
      </c>
      <c r="R2323" t="n">
        <v>4</v>
      </c>
      <c r="S2323" t="n">
        <v>1965</v>
      </c>
      <c r="T2323" t="s">
        <v>15208</v>
      </c>
      <c r="U2323" t="s">
        <v>15209</v>
      </c>
      <c r="V2323" t="s">
        <v>74</v>
      </c>
      <c r="W2323"/>
      <c r="X2323"/>
      <c r="Y2323" t="s">
        <v>15210</v>
      </c>
      <c r="Z2323"/>
      <c r="AA2323"/>
      <c r="AB2323"/>
      <c r="AC2323"/>
      <c r="AD2323" t="s">
        <v>2112</v>
      </c>
      <c r="AE2323" t="n">
        <v>140</v>
      </c>
      <c r="AF2323" t="s">
        <v>15211</v>
      </c>
      <c r="AG2323" t="n">
        <v>2</v>
      </c>
    </row>
    <row r="2324">
      <c r="A2324" t="s">
        <v>15212</v>
      </c>
      <c r="B2324" t="s">
        <v>28</v>
      </c>
      <c r="C2324" t="s">
        <v>65</v>
      </c>
      <c r="D2324" t="s">
        <v>15213</v>
      </c>
      <c r="E2324" t="s">
        <v>79</v>
      </c>
      <c r="F2324" t="s">
        <v>1274</v>
      </c>
      <c r="G2324" t="s">
        <v>1653</v>
      </c>
      <c r="H2324" t="n">
        <v>39.7793639934918</v>
      </c>
      <c r="I2324" t="n">
        <v>-104.942883554143</v>
      </c>
      <c r="J2324" t="s">
        <v>35</v>
      </c>
      <c r="K2324" t="s">
        <v>270</v>
      </c>
      <c r="L2324"/>
      <c r="M2324" t="n">
        <v>1968</v>
      </c>
      <c r="N2324" t="n">
        <v>1992</v>
      </c>
      <c r="O2324" t="s">
        <v>351</v>
      </c>
      <c r="P2324" t="n">
        <v>6</v>
      </c>
      <c r="Q2324" t="n">
        <v>4</v>
      </c>
      <c r="R2324" t="n">
        <v>1</v>
      </c>
      <c r="S2324" t="n">
        <v>1917</v>
      </c>
      <c r="T2324" t="s">
        <v>15214</v>
      </c>
      <c r="U2324" t="s">
        <v>15215</v>
      </c>
      <c r="V2324" t="s">
        <v>74</v>
      </c>
      <c r="W2324"/>
      <c r="X2324"/>
      <c r="Y2324" t="s">
        <v>15216</v>
      </c>
      <c r="Z2324"/>
      <c r="AA2324" t="s">
        <v>15217</v>
      </c>
      <c r="AB2324"/>
      <c r="AC2324"/>
      <c r="AD2324" t="s">
        <v>2017</v>
      </c>
      <c r="AE2324" t="n">
        <v>197</v>
      </c>
      <c r="AF2324" t="s">
        <v>15218</v>
      </c>
      <c r="AG2324" t="n">
        <v>7</v>
      </c>
    </row>
    <row r="2325">
      <c r="A2325" t="s">
        <v>15219</v>
      </c>
      <c r="B2325" t="s">
        <v>28</v>
      </c>
      <c r="C2325" t="s">
        <v>65</v>
      </c>
      <c r="D2325" t="s">
        <v>15220</v>
      </c>
      <c r="E2325" t="s">
        <v>79</v>
      </c>
      <c r="F2325" t="s">
        <v>1274</v>
      </c>
      <c r="G2325" t="s">
        <v>1555</v>
      </c>
      <c r="H2325" t="n">
        <v>39.728917325573</v>
      </c>
      <c r="I2325" t="n">
        <v>-105.000646992844</v>
      </c>
      <c r="J2325" t="s">
        <v>35</v>
      </c>
      <c r="K2325" t="s">
        <v>141</v>
      </c>
      <c r="L2325" t="s">
        <v>554</v>
      </c>
      <c r="M2325" t="n">
        <v>1968</v>
      </c>
      <c r="N2325" t="n">
        <v>1990</v>
      </c>
      <c r="O2325" t="s">
        <v>8331</v>
      </c>
      <c r="P2325" t="n">
        <v>8</v>
      </c>
      <c r="Q2325" t="n">
        <v>9</v>
      </c>
      <c r="R2325" t="n">
        <v>4</v>
      </c>
      <c r="S2325" t="n">
        <v>1937</v>
      </c>
      <c r="T2325" t="s">
        <v>15221</v>
      </c>
      <c r="U2325" t="s">
        <v>15222</v>
      </c>
      <c r="V2325" t="s">
        <v>74</v>
      </c>
      <c r="W2325"/>
      <c r="X2325"/>
      <c r="Y2325" t="s">
        <v>15223</v>
      </c>
      <c r="Z2325"/>
      <c r="AA2325"/>
      <c r="AB2325"/>
      <c r="AC2325"/>
      <c r="AD2325"/>
      <c r="AE2325"/>
      <c r="AF2325" t="s">
        <v>4522</v>
      </c>
      <c r="AG2325" t="n">
        <v>47</v>
      </c>
    </row>
    <row r="2326">
      <c r="A2326" t="s">
        <v>15224</v>
      </c>
      <c r="B2326" t="s">
        <v>28</v>
      </c>
      <c r="C2326" t="s">
        <v>65</v>
      </c>
      <c r="D2326" t="s">
        <v>15225</v>
      </c>
      <c r="E2326" t="s">
        <v>79</v>
      </c>
      <c r="F2326" t="s">
        <v>1274</v>
      </c>
      <c r="G2326" t="s">
        <v>1516</v>
      </c>
      <c r="H2326" t="n">
        <v>39.6934265832207</v>
      </c>
      <c r="I2326" t="n">
        <v>-104.990183335</v>
      </c>
      <c r="J2326" t="s">
        <v>35</v>
      </c>
      <c r="K2326" t="s">
        <v>3942</v>
      </c>
      <c r="L2326"/>
      <c r="M2326" t="n">
        <v>1968</v>
      </c>
      <c r="N2326" t="n">
        <v>1990</v>
      </c>
      <c r="O2326" t="s">
        <v>7294</v>
      </c>
      <c r="P2326" t="n">
        <v>5</v>
      </c>
      <c r="Q2326" t="n">
        <v>6</v>
      </c>
      <c r="R2326" t="n">
        <v>5</v>
      </c>
      <c r="S2326" t="n">
        <v>1967</v>
      </c>
      <c r="T2326" t="s">
        <v>15226</v>
      </c>
      <c r="U2326" t="s">
        <v>15227</v>
      </c>
      <c r="V2326" t="s">
        <v>74</v>
      </c>
      <c r="W2326"/>
      <c r="X2326"/>
      <c r="Y2326" t="s">
        <v>15228</v>
      </c>
      <c r="Z2326"/>
      <c r="AA2326"/>
      <c r="AB2326" t="s">
        <v>1490</v>
      </c>
      <c r="AC2326" t="n">
        <v>248</v>
      </c>
      <c r="AD2326" t="s">
        <v>1521</v>
      </c>
      <c r="AE2326" t="n">
        <v>229</v>
      </c>
      <c r="AF2326" t="s">
        <v>10344</v>
      </c>
      <c r="AG2326" t="n">
        <v>5</v>
      </c>
    </row>
    <row r="2327">
      <c r="A2327" t="s">
        <v>15229</v>
      </c>
      <c r="B2327" t="s">
        <v>28</v>
      </c>
      <c r="C2327" t="s">
        <v>65</v>
      </c>
      <c r="D2327" t="s">
        <v>15230</v>
      </c>
      <c r="E2327" t="s">
        <v>79</v>
      </c>
      <c r="F2327" t="s">
        <v>1274</v>
      </c>
      <c r="G2327" t="s">
        <v>1516</v>
      </c>
      <c r="H2327" t="n">
        <v>39.7176206118535</v>
      </c>
      <c r="I2327" t="n">
        <v>-105.001608829134</v>
      </c>
      <c r="J2327" t="s">
        <v>35</v>
      </c>
      <c r="K2327" t="s">
        <v>133</v>
      </c>
      <c r="L2327"/>
      <c r="M2327" t="n">
        <v>1970</v>
      </c>
      <c r="N2327" t="n">
        <v>1980</v>
      </c>
      <c r="O2327" t="s">
        <v>8257</v>
      </c>
      <c r="P2327" t="n">
        <v>5</v>
      </c>
      <c r="Q2327" t="n">
        <v>1</v>
      </c>
      <c r="R2327" t="n">
        <v>1</v>
      </c>
      <c r="S2327" t="n">
        <v>1965</v>
      </c>
      <c r="T2327" t="s">
        <v>15231</v>
      </c>
      <c r="U2327" t="s">
        <v>15232</v>
      </c>
      <c r="V2327" t="s">
        <v>74</v>
      </c>
      <c r="W2327"/>
      <c r="X2327"/>
      <c r="Y2327" t="s">
        <v>15233</v>
      </c>
      <c r="Z2327"/>
      <c r="AA2327" t="s">
        <v>15234</v>
      </c>
      <c r="AB2327" t="s">
        <v>1891</v>
      </c>
      <c r="AC2327" t="n">
        <v>238</v>
      </c>
      <c r="AD2327"/>
      <c r="AE2327"/>
      <c r="AF2327" t="s">
        <v>15235</v>
      </c>
      <c r="AG2327" t="n">
        <v>23</v>
      </c>
    </row>
    <row r="2328">
      <c r="A2328" t="s">
        <v>15236</v>
      </c>
      <c r="B2328" t="s">
        <v>28</v>
      </c>
      <c r="C2328" t="s">
        <v>65</v>
      </c>
      <c r="D2328" t="s">
        <v>15237</v>
      </c>
      <c r="E2328" t="s">
        <v>79</v>
      </c>
      <c r="F2328" t="s">
        <v>1274</v>
      </c>
      <c r="G2328" t="s">
        <v>1516</v>
      </c>
      <c r="H2328" t="n">
        <v>39.7111872463047</v>
      </c>
      <c r="I2328" t="n">
        <v>-105.005130435047</v>
      </c>
      <c r="J2328" t="s">
        <v>35</v>
      </c>
      <c r="K2328" t="s">
        <v>70</v>
      </c>
      <c r="L2328"/>
      <c r="M2328" t="n">
        <v>1970</v>
      </c>
      <c r="N2328" t="n">
        <v>1988</v>
      </c>
      <c r="O2328" t="s">
        <v>4587</v>
      </c>
      <c r="P2328" t="n">
        <v>7</v>
      </c>
      <c r="Q2328" t="n">
        <v>3</v>
      </c>
      <c r="R2328" t="n">
        <v>2</v>
      </c>
      <c r="S2328" t="n">
        <v>1961</v>
      </c>
      <c r="T2328" t="s">
        <v>15238</v>
      </c>
      <c r="U2328" t="s">
        <v>15239</v>
      </c>
      <c r="V2328" t="s">
        <v>74</v>
      </c>
      <c r="W2328"/>
      <c r="X2328"/>
      <c r="Y2328" t="s">
        <v>15240</v>
      </c>
      <c r="Z2328"/>
      <c r="AA2328" t="s">
        <v>15241</v>
      </c>
      <c r="AB2328"/>
      <c r="AC2328"/>
      <c r="AD2328"/>
      <c r="AE2328"/>
      <c r="AF2328" t="s">
        <v>15242</v>
      </c>
      <c r="AG2328" t="n">
        <v>2</v>
      </c>
    </row>
    <row r="2329">
      <c r="A2329" t="s">
        <v>15243</v>
      </c>
      <c r="B2329" t="s">
        <v>28</v>
      </c>
      <c r="C2329" t="s">
        <v>65</v>
      </c>
      <c r="D2329" t="s">
        <v>15244</v>
      </c>
      <c r="E2329" t="s">
        <v>79</v>
      </c>
      <c r="F2329" t="s">
        <v>1274</v>
      </c>
      <c r="G2329" t="s">
        <v>1516</v>
      </c>
      <c r="H2329" t="n">
        <v>39.6948634666801</v>
      </c>
      <c r="I2329" t="n">
        <v>-104.990158454775</v>
      </c>
      <c r="J2329" t="s">
        <v>35</v>
      </c>
      <c r="K2329" t="s">
        <v>4870</v>
      </c>
      <c r="L2329"/>
      <c r="M2329" t="n">
        <v>1970</v>
      </c>
      <c r="N2329" t="n">
        <v>1983</v>
      </c>
      <c r="O2329" t="s">
        <v>221</v>
      </c>
      <c r="P2329" t="n">
        <v>4</v>
      </c>
      <c r="Q2329" t="n">
        <v>6</v>
      </c>
      <c r="R2329" t="n">
        <v>2</v>
      </c>
      <c r="S2329" t="n">
        <v>1950</v>
      </c>
      <c r="T2329" t="s">
        <v>15245</v>
      </c>
      <c r="U2329" t="s">
        <v>15246</v>
      </c>
      <c r="V2329" t="s">
        <v>74</v>
      </c>
      <c r="W2329"/>
      <c r="X2329"/>
      <c r="Y2329" t="s">
        <v>15247</v>
      </c>
      <c r="Z2329"/>
      <c r="AA2329"/>
      <c r="AB2329" t="s">
        <v>1490</v>
      </c>
      <c r="AC2329" t="n">
        <v>221</v>
      </c>
      <c r="AD2329"/>
      <c r="AE2329"/>
      <c r="AF2329" t="s">
        <v>1584</v>
      </c>
      <c r="AG2329" t="n">
        <v>13</v>
      </c>
    </row>
    <row r="2330">
      <c r="A2330" t="s">
        <v>15248</v>
      </c>
      <c r="B2330" t="s">
        <v>28</v>
      </c>
      <c r="C2330" t="s">
        <v>65</v>
      </c>
      <c r="D2330" t="s">
        <v>15249</v>
      </c>
      <c r="E2330" t="s">
        <v>79</v>
      </c>
      <c r="F2330" t="s">
        <v>1274</v>
      </c>
      <c r="G2330" t="s">
        <v>1516</v>
      </c>
      <c r="H2330" t="n">
        <v>39.7177328127204</v>
      </c>
      <c r="I2330" t="n">
        <v>-105.003155056656</v>
      </c>
      <c r="J2330" t="s">
        <v>35</v>
      </c>
      <c r="K2330" t="s">
        <v>1495</v>
      </c>
      <c r="L2330"/>
      <c r="M2330" t="n">
        <v>1970</v>
      </c>
      <c r="N2330" t="n">
        <v>1983</v>
      </c>
      <c r="O2330" t="s">
        <v>1830</v>
      </c>
      <c r="P2330" t="n">
        <v>4</v>
      </c>
      <c r="Q2330" t="n">
        <v>4</v>
      </c>
      <c r="R2330" t="n">
        <v>2</v>
      </c>
      <c r="S2330" t="n">
        <v>1926</v>
      </c>
      <c r="T2330" t="s">
        <v>15250</v>
      </c>
      <c r="U2330" t="s">
        <v>15251</v>
      </c>
      <c r="V2330" t="s">
        <v>74</v>
      </c>
      <c r="W2330"/>
      <c r="X2330"/>
      <c r="Y2330" t="s">
        <v>15252</v>
      </c>
      <c r="Z2330"/>
      <c r="AA2330"/>
      <c r="AB2330" t="s">
        <v>15253</v>
      </c>
      <c r="AC2330" t="n">
        <v>238</v>
      </c>
      <c r="AD2330"/>
      <c r="AE2330"/>
      <c r="AF2330" t="s">
        <v>15254</v>
      </c>
      <c r="AG2330" t="n">
        <v>34</v>
      </c>
    </row>
    <row r="2331">
      <c r="A2331" t="s">
        <v>15255</v>
      </c>
      <c r="B2331" t="s">
        <v>28</v>
      </c>
      <c r="C2331" t="s">
        <v>65</v>
      </c>
      <c r="D2331" t="s">
        <v>15256</v>
      </c>
      <c r="E2331" t="s">
        <v>79</v>
      </c>
      <c r="F2331" t="s">
        <v>1274</v>
      </c>
      <c r="G2331" t="s">
        <v>1702</v>
      </c>
      <c r="H2331" t="n">
        <v>39.7832767532392</v>
      </c>
      <c r="I2331" t="n">
        <v>-104.863285047861</v>
      </c>
      <c r="J2331" t="s">
        <v>35</v>
      </c>
      <c r="K2331" t="s">
        <v>133</v>
      </c>
      <c r="L2331"/>
      <c r="M2331" t="n">
        <v>1970</v>
      </c>
      <c r="N2331" t="n">
        <v>1988</v>
      </c>
      <c r="O2331" t="s">
        <v>13798</v>
      </c>
      <c r="P2331" t="n">
        <v>6</v>
      </c>
      <c r="Q2331" t="n">
        <v>2</v>
      </c>
      <c r="R2331" t="n">
        <v>2</v>
      </c>
      <c r="S2331" t="n">
        <v>1960</v>
      </c>
      <c r="T2331" t="s">
        <v>15257</v>
      </c>
      <c r="U2331" t="s">
        <v>15258</v>
      </c>
      <c r="V2331" t="s">
        <v>74</v>
      </c>
      <c r="W2331"/>
      <c r="X2331"/>
      <c r="Y2331" t="s">
        <v>15259</v>
      </c>
      <c r="Z2331" t="s">
        <v>15260</v>
      </c>
      <c r="AA2331"/>
      <c r="AB2331"/>
      <c r="AC2331"/>
      <c r="AD2331"/>
      <c r="AE2331"/>
      <c r="AF2331" t="s">
        <v>15261</v>
      </c>
      <c r="AG2331" t="n">
        <v>19</v>
      </c>
    </row>
    <row r="2332">
      <c r="A2332" t="s">
        <v>15262</v>
      </c>
      <c r="B2332" t="s">
        <v>28</v>
      </c>
      <c r="C2332" t="s">
        <v>24</v>
      </c>
      <c r="D2332" t="s">
        <v>15263</v>
      </c>
      <c r="E2332" t="s">
        <v>79</v>
      </c>
      <c r="F2332" t="s">
        <v>1274</v>
      </c>
      <c r="G2332" t="s">
        <v>1509</v>
      </c>
      <c r="H2332" t="n">
        <v>39.721755030303</v>
      </c>
      <c r="I2332" t="n">
        <v>-104.872551747475</v>
      </c>
      <c r="J2332" t="s">
        <v>4109</v>
      </c>
      <c r="K2332" t="s">
        <v>70</v>
      </c>
      <c r="L2332"/>
      <c r="M2332" t="n">
        <v>1970</v>
      </c>
      <c r="N2332" t="n">
        <v>1974</v>
      </c>
      <c r="O2332" t="s">
        <v>4255</v>
      </c>
      <c r="P2332" t="n">
        <v>3</v>
      </c>
      <c r="Q2332" t="n">
        <v>1</v>
      </c>
      <c r="R2332" t="n">
        <v>1</v>
      </c>
      <c r="S2332" t="n">
        <v>1950</v>
      </c>
      <c r="T2332" t="s">
        <v>15264</v>
      </c>
      <c r="U2332" t="s">
        <v>15265</v>
      </c>
      <c r="V2332" t="s">
        <v>74</v>
      </c>
      <c r="W2332"/>
      <c r="X2332"/>
      <c r="Y2332" t="s">
        <v>15266</v>
      </c>
      <c r="Z2332"/>
      <c r="AA2332" t="s">
        <v>15267</v>
      </c>
      <c r="AB2332"/>
      <c r="AC2332"/>
      <c r="AD2332"/>
      <c r="AE2332"/>
      <c r="AF2332" t="s">
        <v>15268</v>
      </c>
      <c r="AG2332" t="n">
        <v>186</v>
      </c>
    </row>
    <row r="2333">
      <c r="A2333" t="s">
        <v>15269</v>
      </c>
      <c r="B2333" t="s">
        <v>28</v>
      </c>
      <c r="C2333" t="s">
        <v>65</v>
      </c>
      <c r="D2333" t="s">
        <v>15270</v>
      </c>
      <c r="E2333" t="s">
        <v>79</v>
      </c>
      <c r="F2333" t="s">
        <v>1274</v>
      </c>
      <c r="G2333" t="s">
        <v>1516</v>
      </c>
      <c r="H2333" t="n">
        <v>39.7066952083333</v>
      </c>
      <c r="I2333" t="n">
        <v>-104.999192291667</v>
      </c>
      <c r="J2333" t="s">
        <v>35</v>
      </c>
      <c r="K2333" t="s">
        <v>89</v>
      </c>
      <c r="L2333"/>
      <c r="M2333" t="n">
        <v>1970</v>
      </c>
      <c r="N2333" t="n">
        <v>1983</v>
      </c>
      <c r="O2333" t="s">
        <v>726</v>
      </c>
      <c r="P2333" t="n">
        <v>2</v>
      </c>
      <c r="Q2333" t="n">
        <v>2</v>
      </c>
      <c r="R2333" t="n">
        <v>1</v>
      </c>
      <c r="S2333" t="n">
        <v>1910</v>
      </c>
      <c r="T2333" t="s">
        <v>15271</v>
      </c>
      <c r="U2333" t="s">
        <v>15272</v>
      </c>
      <c r="V2333" t="s">
        <v>74</v>
      </c>
      <c r="W2333"/>
      <c r="X2333"/>
      <c r="Y2333" t="s">
        <v>15273</v>
      </c>
      <c r="Z2333"/>
      <c r="AA2333"/>
      <c r="AB2333"/>
      <c r="AC2333"/>
      <c r="AD2333"/>
      <c r="AE2333"/>
      <c r="AF2333" t="s">
        <v>15274</v>
      </c>
      <c r="AG2333" t="n">
        <v>4</v>
      </c>
    </row>
    <row r="2334">
      <c r="A2334" t="s">
        <v>15275</v>
      </c>
      <c r="B2334" t="s">
        <v>28</v>
      </c>
      <c r="C2334" t="s">
        <v>65</v>
      </c>
      <c r="D2334" t="s">
        <v>15276</v>
      </c>
      <c r="E2334" t="s">
        <v>79</v>
      </c>
      <c r="F2334" t="s">
        <v>1274</v>
      </c>
      <c r="G2334" t="s">
        <v>1516</v>
      </c>
      <c r="H2334" t="n">
        <v>39.7066586538461</v>
      </c>
      <c r="I2334" t="n">
        <v>-105.000446076923</v>
      </c>
      <c r="J2334" t="s">
        <v>35</v>
      </c>
      <c r="K2334" t="s">
        <v>120</v>
      </c>
      <c r="L2334" t="s">
        <v>202</v>
      </c>
      <c r="M2334" t="n">
        <v>1970</v>
      </c>
      <c r="N2334" t="n">
        <v>1992</v>
      </c>
      <c r="O2334" t="s">
        <v>255</v>
      </c>
      <c r="P2334" t="n">
        <v>7</v>
      </c>
      <c r="Q2334" t="n">
        <v>7</v>
      </c>
      <c r="R2334" t="n">
        <v>1</v>
      </c>
      <c r="S2334" t="n">
        <v>1962</v>
      </c>
      <c r="T2334" t="s">
        <v>15277</v>
      </c>
      <c r="U2334" t="s">
        <v>15278</v>
      </c>
      <c r="V2334" t="s">
        <v>74</v>
      </c>
      <c r="W2334"/>
      <c r="X2334"/>
      <c r="Y2334" t="s">
        <v>15279</v>
      </c>
      <c r="Z2334"/>
      <c r="AA2334" t="s">
        <v>15280</v>
      </c>
      <c r="AB2334"/>
      <c r="AC2334"/>
      <c r="AD2334"/>
      <c r="AE2334"/>
      <c r="AF2334" t="s">
        <v>15281</v>
      </c>
      <c r="AG2334" t="n">
        <v>5</v>
      </c>
    </row>
    <row r="2335">
      <c r="A2335" t="s">
        <v>15282</v>
      </c>
      <c r="B2335" t="s">
        <v>28</v>
      </c>
      <c r="C2335" t="s">
        <v>24</v>
      </c>
      <c r="D2335" t="s">
        <v>15283</v>
      </c>
      <c r="E2335" t="s">
        <v>79</v>
      </c>
      <c r="F2335" t="s">
        <v>1274</v>
      </c>
      <c r="G2335" t="s">
        <v>1440</v>
      </c>
      <c r="H2335" t="n">
        <v>39.7819766583555</v>
      </c>
      <c r="I2335" t="n">
        <v>-105.004552830889</v>
      </c>
      <c r="J2335" t="s">
        <v>35</v>
      </c>
      <c r="K2335" t="s">
        <v>120</v>
      </c>
      <c r="L2335"/>
      <c r="M2335" t="n">
        <v>1970</v>
      </c>
      <c r="N2335" t="n">
        <v>1992</v>
      </c>
      <c r="O2335" t="s">
        <v>121</v>
      </c>
      <c r="P2335" t="n">
        <v>8</v>
      </c>
      <c r="Q2335" t="n">
        <v>5</v>
      </c>
      <c r="R2335" t="n">
        <v>1</v>
      </c>
      <c r="S2335" t="n">
        <v>1889</v>
      </c>
      <c r="T2335" t="s">
        <v>15284</v>
      </c>
      <c r="U2335" t="s">
        <v>15285</v>
      </c>
      <c r="V2335" t="s">
        <v>4175</v>
      </c>
      <c r="W2335"/>
      <c r="X2335"/>
      <c r="Y2335" t="s">
        <v>15286</v>
      </c>
      <c r="Z2335"/>
      <c r="AA2335" t="s">
        <v>15287</v>
      </c>
      <c r="AB2335" t="s">
        <v>15288</v>
      </c>
      <c r="AC2335" t="n">
        <v>163</v>
      </c>
      <c r="AD2335"/>
      <c r="AE2335"/>
      <c r="AF2335" t="s">
        <v>15289</v>
      </c>
      <c r="AG2335" t="n">
        <v>3</v>
      </c>
    </row>
    <row r="2336">
      <c r="A2336" t="s">
        <v>15290</v>
      </c>
      <c r="B2336" t="s">
        <v>28</v>
      </c>
      <c r="C2336" t="s">
        <v>65</v>
      </c>
      <c r="D2336" t="s">
        <v>15291</v>
      </c>
      <c r="E2336" t="s">
        <v>79</v>
      </c>
      <c r="F2336" t="s">
        <v>1274</v>
      </c>
      <c r="G2336" t="s">
        <v>1574</v>
      </c>
      <c r="H2336" t="n">
        <v>39.7657765896263</v>
      </c>
      <c r="I2336" t="n">
        <v>-104.977763463356</v>
      </c>
      <c r="J2336" t="s">
        <v>35</v>
      </c>
      <c r="K2336" t="s">
        <v>1242</v>
      </c>
      <c r="L2336"/>
      <c r="M2336" t="n">
        <v>1970</v>
      </c>
      <c r="N2336" t="n">
        <v>1992</v>
      </c>
      <c r="O2336" t="s">
        <v>15292</v>
      </c>
      <c r="P2336" t="n">
        <v>9</v>
      </c>
      <c r="Q2336" t="n">
        <v>9</v>
      </c>
      <c r="R2336" t="n">
        <v>5</v>
      </c>
      <c r="S2336" t="n">
        <v>1955</v>
      </c>
      <c r="T2336" t="s">
        <v>15293</v>
      </c>
      <c r="U2336" t="s">
        <v>15294</v>
      </c>
      <c r="V2336" t="s">
        <v>74</v>
      </c>
      <c r="W2336"/>
      <c r="X2336"/>
      <c r="Y2336" t="s">
        <v>15295</v>
      </c>
      <c r="Z2336"/>
      <c r="AA2336" t="s">
        <v>15296</v>
      </c>
      <c r="AB2336" t="s">
        <v>1983</v>
      </c>
      <c r="AC2336" t="n">
        <v>117</v>
      </c>
      <c r="AD2336" t="s">
        <v>1712</v>
      </c>
      <c r="AE2336" t="n">
        <v>167</v>
      </c>
      <c r="AF2336" t="s">
        <v>1984</v>
      </c>
      <c r="AG2336" t="n">
        <v>17</v>
      </c>
    </row>
    <row r="2337">
      <c r="A2337" t="s">
        <v>15297</v>
      </c>
      <c r="B2337" t="s">
        <v>28</v>
      </c>
      <c r="C2337" t="s">
        <v>65</v>
      </c>
      <c r="D2337" t="s">
        <v>15298</v>
      </c>
      <c r="E2337" t="s">
        <v>79</v>
      </c>
      <c r="F2337" t="s">
        <v>1274</v>
      </c>
      <c r="G2337" t="s">
        <v>1516</v>
      </c>
      <c r="H2337" t="n">
        <v>39.6920028523531</v>
      </c>
      <c r="I2337" t="n">
        <v>-104.998025676776</v>
      </c>
      <c r="J2337" t="s">
        <v>35</v>
      </c>
      <c r="K2337" t="s">
        <v>796</v>
      </c>
      <c r="L2337"/>
      <c r="M2337" t="n">
        <v>1970</v>
      </c>
      <c r="N2337" t="n">
        <v>1988</v>
      </c>
      <c r="O2337" t="s">
        <v>15299</v>
      </c>
      <c r="P2337" t="n">
        <v>3</v>
      </c>
      <c r="Q2337" t="n">
        <v>2</v>
      </c>
      <c r="R2337" t="n">
        <v>2</v>
      </c>
      <c r="S2337" t="n">
        <v>1969</v>
      </c>
      <c r="T2337" t="s">
        <v>15300</v>
      </c>
      <c r="U2337" t="s">
        <v>15301</v>
      </c>
      <c r="V2337" t="s">
        <v>74</v>
      </c>
      <c r="W2337"/>
      <c r="X2337"/>
      <c r="Y2337" t="s">
        <v>15302</v>
      </c>
      <c r="Z2337"/>
      <c r="AA2337"/>
      <c r="AB2337" t="s">
        <v>1286</v>
      </c>
      <c r="AC2337" t="n">
        <v>236</v>
      </c>
      <c r="AD2337" t="s">
        <v>1478</v>
      </c>
      <c r="AE2337" t="n">
        <v>249</v>
      </c>
      <c r="AF2337" t="s">
        <v>1287</v>
      </c>
      <c r="AG2337" t="n">
        <v>24</v>
      </c>
    </row>
    <row r="2338">
      <c r="A2338" t="s">
        <v>15303</v>
      </c>
      <c r="B2338" t="s">
        <v>28</v>
      </c>
      <c r="C2338" t="s">
        <v>65</v>
      </c>
      <c r="D2338" t="s">
        <v>15304</v>
      </c>
      <c r="E2338" t="s">
        <v>79</v>
      </c>
      <c r="F2338" t="s">
        <v>1274</v>
      </c>
      <c r="G2338" t="s">
        <v>1516</v>
      </c>
      <c r="H2338" t="n">
        <v>39.6751020948219</v>
      </c>
      <c r="I2338" t="n">
        <v>-105.001772364379</v>
      </c>
      <c r="J2338" t="s">
        <v>35</v>
      </c>
      <c r="K2338" t="s">
        <v>1639</v>
      </c>
      <c r="L2338"/>
      <c r="M2338" t="n">
        <v>1970</v>
      </c>
      <c r="N2338" t="n">
        <v>1992</v>
      </c>
      <c r="O2338" t="s">
        <v>15305</v>
      </c>
      <c r="P2338" t="n">
        <v>5</v>
      </c>
      <c r="Q2338" t="n">
        <v>7</v>
      </c>
      <c r="R2338" t="n">
        <v>6</v>
      </c>
      <c r="S2338" t="n">
        <v>1944</v>
      </c>
      <c r="T2338" t="s">
        <v>15306</v>
      </c>
      <c r="U2338" t="s">
        <v>15307</v>
      </c>
      <c r="V2338" t="s">
        <v>74</v>
      </c>
      <c r="W2338"/>
      <c r="X2338"/>
      <c r="Y2338" t="s">
        <v>15308</v>
      </c>
      <c r="Z2338"/>
      <c r="AA2338"/>
      <c r="AB2338"/>
      <c r="AC2338"/>
      <c r="AD2338" t="s">
        <v>8989</v>
      </c>
      <c r="AE2338" t="n">
        <v>244</v>
      </c>
      <c r="AF2338" t="s">
        <v>15309</v>
      </c>
      <c r="AG2338" t="n">
        <v>2</v>
      </c>
    </row>
    <row r="2339">
      <c r="A2339" t="s">
        <v>15310</v>
      </c>
      <c r="B2339" t="s">
        <v>28</v>
      </c>
      <c r="C2339" t="s">
        <v>65</v>
      </c>
      <c r="D2339" t="s">
        <v>15311</v>
      </c>
      <c r="E2339" t="s">
        <v>79</v>
      </c>
      <c r="F2339" t="s">
        <v>1274</v>
      </c>
      <c r="G2339" t="s">
        <v>1653</v>
      </c>
      <c r="H2339" t="n">
        <v>39.786636244898</v>
      </c>
      <c r="I2339" t="n">
        <v>-104.944303938776</v>
      </c>
      <c r="J2339" t="s">
        <v>35</v>
      </c>
      <c r="K2339" t="s">
        <v>133</v>
      </c>
      <c r="L2339"/>
      <c r="M2339" t="n">
        <v>1970</v>
      </c>
      <c r="N2339" t="n">
        <v>1990</v>
      </c>
      <c r="O2339" t="s">
        <v>726</v>
      </c>
      <c r="P2339" t="n">
        <v>6</v>
      </c>
      <c r="Q2339" t="n">
        <v>2</v>
      </c>
      <c r="R2339" t="n">
        <v>1</v>
      </c>
      <c r="S2339" t="n">
        <v>1963</v>
      </c>
      <c r="T2339" t="s">
        <v>15312</v>
      </c>
      <c r="U2339" t="s">
        <v>15313</v>
      </c>
      <c r="V2339" t="s">
        <v>74</v>
      </c>
      <c r="W2339"/>
      <c r="X2339"/>
      <c r="Y2339" t="s">
        <v>15314</v>
      </c>
      <c r="Z2339"/>
      <c r="AA2339"/>
      <c r="AB2339"/>
      <c r="AC2339"/>
      <c r="AD2339"/>
      <c r="AE2339"/>
      <c r="AF2339" t="s">
        <v>15315</v>
      </c>
      <c r="AG2339" t="n">
        <v>74</v>
      </c>
    </row>
    <row r="2340">
      <c r="A2340" t="s">
        <v>15316</v>
      </c>
      <c r="B2340" t="s">
        <v>28</v>
      </c>
      <c r="C2340" t="s">
        <v>65</v>
      </c>
      <c r="D2340" t="s">
        <v>15317</v>
      </c>
      <c r="E2340" t="s">
        <v>79</v>
      </c>
      <c r="F2340" t="s">
        <v>1274</v>
      </c>
      <c r="G2340" t="s">
        <v>1555</v>
      </c>
      <c r="H2340" t="n">
        <v>39.7327947358247</v>
      </c>
      <c r="I2340" t="n">
        <v>-105.015148201608</v>
      </c>
      <c r="J2340" t="s">
        <v>35</v>
      </c>
      <c r="K2340" t="s">
        <v>89</v>
      </c>
      <c r="L2340"/>
      <c r="M2340" t="n">
        <v>1970</v>
      </c>
      <c r="N2340" t="n">
        <v>1970</v>
      </c>
      <c r="O2340" t="s">
        <v>726</v>
      </c>
      <c r="P2340" t="n">
        <v>1</v>
      </c>
      <c r="Q2340" t="n">
        <v>1</v>
      </c>
      <c r="R2340" t="n">
        <v>1</v>
      </c>
      <c r="S2340" t="n">
        <v>1946</v>
      </c>
      <c r="T2340" t="s">
        <v>15318</v>
      </c>
      <c r="U2340" t="s">
        <v>15319</v>
      </c>
      <c r="V2340" t="s">
        <v>74</v>
      </c>
      <c r="W2340"/>
      <c r="X2340"/>
      <c r="Y2340" t="s">
        <v>15320</v>
      </c>
      <c r="Z2340"/>
      <c r="AA2340"/>
      <c r="AB2340" t="s">
        <v>15321</v>
      </c>
      <c r="AC2340" t="n">
        <v>162</v>
      </c>
      <c r="AD2340"/>
      <c r="AE2340"/>
      <c r="AF2340" t="s">
        <v>15322</v>
      </c>
      <c r="AG2340" t="n">
        <v>37</v>
      </c>
    </row>
    <row r="2341">
      <c r="A2341" t="s">
        <v>15323</v>
      </c>
      <c r="B2341" t="s">
        <v>28</v>
      </c>
      <c r="C2341" t="s">
        <v>65</v>
      </c>
      <c r="D2341" t="s">
        <v>15324</v>
      </c>
      <c r="E2341" t="s">
        <v>79</v>
      </c>
      <c r="F2341" t="s">
        <v>1274</v>
      </c>
      <c r="G2341" t="s">
        <v>1824</v>
      </c>
      <c r="H2341" t="n">
        <v>39.7034519353637</v>
      </c>
      <c r="I2341" t="n">
        <v>-104.987488</v>
      </c>
      <c r="J2341" t="s">
        <v>35</v>
      </c>
      <c r="K2341" t="s">
        <v>70</v>
      </c>
      <c r="L2341"/>
      <c r="M2341" t="n">
        <v>1970</v>
      </c>
      <c r="N2341" t="n">
        <v>1973</v>
      </c>
      <c r="O2341" t="s">
        <v>726</v>
      </c>
      <c r="P2341" t="n">
        <v>2</v>
      </c>
      <c r="Q2341" t="n">
        <v>2</v>
      </c>
      <c r="R2341" t="n">
        <v>1</v>
      </c>
      <c r="S2341"/>
      <c r="T2341" t="s">
        <v>15325</v>
      </c>
      <c r="U2341" t="s">
        <v>15326</v>
      </c>
      <c r="V2341" t="s">
        <v>74</v>
      </c>
      <c r="W2341"/>
      <c r="X2341"/>
      <c r="Y2341" t="s">
        <v>15327</v>
      </c>
      <c r="Z2341"/>
      <c r="AA2341"/>
      <c r="AB2341"/>
      <c r="AC2341"/>
      <c r="AD2341"/>
      <c r="AE2341"/>
      <c r="AF2341" t="s">
        <v>4349</v>
      </c>
      <c r="AG2341" t="n">
        <v>10</v>
      </c>
    </row>
    <row r="2342">
      <c r="A2342" t="s">
        <v>15328</v>
      </c>
      <c r="B2342" t="s">
        <v>28</v>
      </c>
      <c r="C2342" t="s">
        <v>65</v>
      </c>
      <c r="D2342" t="s">
        <v>15329</v>
      </c>
      <c r="E2342" t="s">
        <v>79</v>
      </c>
      <c r="F2342" t="s">
        <v>1274</v>
      </c>
      <c r="G2342" t="s">
        <v>1516</v>
      </c>
      <c r="H2342" t="n">
        <v>39.6961685294105</v>
      </c>
      <c r="I2342" t="n">
        <v>-104.99915190733</v>
      </c>
      <c r="J2342" t="s">
        <v>35</v>
      </c>
      <c r="K2342" t="s">
        <v>120</v>
      </c>
      <c r="L2342" t="s">
        <v>1310</v>
      </c>
      <c r="M2342" t="n">
        <v>1970</v>
      </c>
      <c r="N2342" t="n">
        <v>1988</v>
      </c>
      <c r="O2342" t="s">
        <v>15330</v>
      </c>
      <c r="P2342" t="n">
        <v>4</v>
      </c>
      <c r="Q2342" t="n">
        <v>2</v>
      </c>
      <c r="R2342" t="n">
        <v>2</v>
      </c>
      <c r="S2342" t="n">
        <v>1968</v>
      </c>
      <c r="T2342" t="s">
        <v>15331</v>
      </c>
      <c r="U2342" t="s">
        <v>15332</v>
      </c>
      <c r="V2342" t="s">
        <v>74</v>
      </c>
      <c r="W2342"/>
      <c r="X2342"/>
      <c r="Y2342" t="s">
        <v>15333</v>
      </c>
      <c r="Z2342"/>
      <c r="AA2342"/>
      <c r="AB2342"/>
      <c r="AC2342"/>
      <c r="AD2342" t="s">
        <v>1565</v>
      </c>
      <c r="AE2342" t="n">
        <v>146</v>
      </c>
      <c r="AF2342" t="s">
        <v>7582</v>
      </c>
      <c r="AG2342" t="n">
        <v>33</v>
      </c>
    </row>
    <row r="2343">
      <c r="A2343" t="s">
        <v>15334</v>
      </c>
      <c r="B2343" t="s">
        <v>28</v>
      </c>
      <c r="C2343" t="s">
        <v>65</v>
      </c>
      <c r="D2343" t="s">
        <v>15335</v>
      </c>
      <c r="E2343" t="s">
        <v>79</v>
      </c>
      <c r="F2343" t="s">
        <v>1274</v>
      </c>
      <c r="G2343" t="s">
        <v>1967</v>
      </c>
      <c r="H2343" t="n">
        <v>39.80315</v>
      </c>
      <c r="I2343" t="n">
        <v>-105.025393</v>
      </c>
      <c r="J2343" t="s">
        <v>35</v>
      </c>
      <c r="K2343" t="s">
        <v>5187</v>
      </c>
      <c r="L2343"/>
      <c r="M2343" t="n">
        <v>1973</v>
      </c>
      <c r="N2343" t="n">
        <v>1980</v>
      </c>
      <c r="O2343" t="s">
        <v>2779</v>
      </c>
      <c r="P2343" t="n">
        <v>2</v>
      </c>
      <c r="Q2343" t="n">
        <v>3</v>
      </c>
      <c r="R2343" t="n">
        <v>3</v>
      </c>
      <c r="S2343" t="n">
        <v>1967</v>
      </c>
      <c r="T2343" t="s">
        <v>15336</v>
      </c>
      <c r="U2343" t="s">
        <v>15337</v>
      </c>
      <c r="V2343" t="s">
        <v>74</v>
      </c>
      <c r="W2343"/>
      <c r="X2343"/>
      <c r="Y2343" t="s">
        <v>15338</v>
      </c>
      <c r="Z2343"/>
      <c r="AA2343"/>
      <c r="AB2343" t="s">
        <v>5159</v>
      </c>
      <c r="AC2343" t="n">
        <v>91</v>
      </c>
      <c r="AD2343"/>
      <c r="AE2343"/>
      <c r="AF2343" t="s">
        <v>12653</v>
      </c>
      <c r="AG2343" t="n">
        <v>35</v>
      </c>
    </row>
    <row r="2344">
      <c r="A2344" t="s">
        <v>15339</v>
      </c>
      <c r="B2344" t="s">
        <v>28</v>
      </c>
      <c r="C2344" t="s">
        <v>65</v>
      </c>
      <c r="D2344" t="s">
        <v>15340</v>
      </c>
      <c r="E2344" t="s">
        <v>79</v>
      </c>
      <c r="F2344" t="s">
        <v>1274</v>
      </c>
      <c r="G2344" t="s">
        <v>2041</v>
      </c>
      <c r="H2344" t="n">
        <v>39.6763017301939</v>
      </c>
      <c r="I2344" t="n">
        <v>-104.891692325644</v>
      </c>
      <c r="J2344" t="s">
        <v>35</v>
      </c>
      <c r="K2344" t="s">
        <v>141</v>
      </c>
      <c r="L2344"/>
      <c r="M2344" t="n">
        <v>1973</v>
      </c>
      <c r="N2344" t="n">
        <v>1977</v>
      </c>
      <c r="O2344" t="s">
        <v>1857</v>
      </c>
      <c r="P2344" t="n">
        <v>3</v>
      </c>
      <c r="Q2344" t="n">
        <v>3</v>
      </c>
      <c r="R2344" t="n">
        <v>3</v>
      </c>
      <c r="S2344" t="n">
        <v>1959</v>
      </c>
      <c r="T2344" t="s">
        <v>15341</v>
      </c>
      <c r="U2344" t="s">
        <v>15342</v>
      </c>
      <c r="V2344" t="s">
        <v>74</v>
      </c>
      <c r="W2344"/>
      <c r="X2344"/>
      <c r="Y2344" t="s">
        <v>15343</v>
      </c>
      <c r="Z2344"/>
      <c r="AA2344"/>
      <c r="AB2344" t="s">
        <v>7933</v>
      </c>
      <c r="AC2344" t="n">
        <v>200</v>
      </c>
      <c r="AD2344"/>
      <c r="AE2344"/>
      <c r="AF2344" t="s">
        <v>15344</v>
      </c>
      <c r="AG2344" t="n">
        <v>39</v>
      </c>
    </row>
    <row r="2345">
      <c r="A2345" t="s">
        <v>15345</v>
      </c>
      <c r="B2345" t="s">
        <v>28</v>
      </c>
      <c r="C2345" t="s">
        <v>65</v>
      </c>
      <c r="D2345" t="s">
        <v>15346</v>
      </c>
      <c r="E2345" t="s">
        <v>79</v>
      </c>
      <c r="F2345" t="s">
        <v>1274</v>
      </c>
      <c r="G2345" t="s">
        <v>1509</v>
      </c>
      <c r="H2345" t="n">
        <v>39.744808030253</v>
      </c>
      <c r="I2345" t="n">
        <v>-104.992700026739</v>
      </c>
      <c r="J2345" t="s">
        <v>35</v>
      </c>
      <c r="K2345" t="s">
        <v>133</v>
      </c>
      <c r="L2345"/>
      <c r="M2345" t="n">
        <v>1973</v>
      </c>
      <c r="N2345" t="n">
        <v>1983</v>
      </c>
      <c r="O2345" t="s">
        <v>127</v>
      </c>
      <c r="P2345" t="n">
        <v>4</v>
      </c>
      <c r="Q2345" t="n">
        <v>2</v>
      </c>
      <c r="R2345" t="n">
        <v>1</v>
      </c>
      <c r="S2345" t="n">
        <v>1955</v>
      </c>
      <c r="T2345" t="s">
        <v>15347</v>
      </c>
      <c r="U2345" t="s">
        <v>15348</v>
      </c>
      <c r="V2345" t="s">
        <v>74</v>
      </c>
      <c r="W2345"/>
      <c r="X2345"/>
      <c r="Y2345" t="s">
        <v>15349</v>
      </c>
      <c r="Z2345"/>
      <c r="AA2345"/>
      <c r="AB2345" t="s">
        <v>6590</v>
      </c>
      <c r="AC2345" t="n">
        <v>240</v>
      </c>
      <c r="AD2345"/>
      <c r="AE2345"/>
      <c r="AF2345" t="s">
        <v>4405</v>
      </c>
      <c r="AG2345" t="n">
        <v>11</v>
      </c>
    </row>
    <row r="2346">
      <c r="A2346" t="s">
        <v>15350</v>
      </c>
      <c r="B2346" t="s">
        <v>28</v>
      </c>
      <c r="C2346" t="s">
        <v>65</v>
      </c>
      <c r="D2346" t="s">
        <v>15351</v>
      </c>
      <c r="E2346" t="s">
        <v>79</v>
      </c>
      <c r="F2346" t="s">
        <v>1274</v>
      </c>
      <c r="G2346" t="s">
        <v>1516</v>
      </c>
      <c r="H2346" t="n">
        <v>39.7165329980521</v>
      </c>
      <c r="I2346" t="n">
        <v>-105.000180836472</v>
      </c>
      <c r="J2346" t="s">
        <v>35</v>
      </c>
      <c r="K2346" t="s">
        <v>120</v>
      </c>
      <c r="L2346"/>
      <c r="M2346" t="n">
        <v>1973</v>
      </c>
      <c r="N2346" t="n">
        <v>1973</v>
      </c>
      <c r="O2346" t="s">
        <v>121</v>
      </c>
      <c r="P2346" t="n">
        <v>1</v>
      </c>
      <c r="Q2346" t="n">
        <v>1</v>
      </c>
      <c r="R2346" t="n">
        <v>1</v>
      </c>
      <c r="S2346" t="n">
        <v>1971</v>
      </c>
      <c r="T2346" t="s">
        <v>15352</v>
      </c>
      <c r="U2346" t="s">
        <v>15353</v>
      </c>
      <c r="V2346" t="s">
        <v>74</v>
      </c>
      <c r="W2346"/>
      <c r="X2346"/>
      <c r="Y2346" t="s">
        <v>15354</v>
      </c>
      <c r="Z2346"/>
      <c r="AA2346" t="s">
        <v>15355</v>
      </c>
      <c r="AB2346" t="s">
        <v>2132</v>
      </c>
      <c r="AC2346" t="n">
        <v>80</v>
      </c>
      <c r="AD2346"/>
      <c r="AE2346"/>
      <c r="AF2346" t="s">
        <v>4463</v>
      </c>
      <c r="AG2346" t="n">
        <v>2</v>
      </c>
    </row>
    <row r="2347">
      <c r="A2347" t="s">
        <v>15356</v>
      </c>
      <c r="B2347" t="s">
        <v>28</v>
      </c>
      <c r="C2347" t="s">
        <v>65</v>
      </c>
      <c r="D2347" t="s">
        <v>15357</v>
      </c>
      <c r="E2347" t="s">
        <v>79</v>
      </c>
      <c r="F2347" t="s">
        <v>1274</v>
      </c>
      <c r="G2347" t="s">
        <v>1516</v>
      </c>
      <c r="H2347" t="n">
        <v>39.6956266914257</v>
      </c>
      <c r="I2347" t="n">
        <v>-104.999154914756</v>
      </c>
      <c r="J2347" t="s">
        <v>35</v>
      </c>
      <c r="K2347" t="s">
        <v>120</v>
      </c>
      <c r="L2347"/>
      <c r="M2347" t="n">
        <v>1973</v>
      </c>
      <c r="N2347" t="n">
        <v>1990</v>
      </c>
      <c r="O2347" t="s">
        <v>10683</v>
      </c>
      <c r="P2347" t="n">
        <v>5</v>
      </c>
      <c r="Q2347" t="n">
        <v>1</v>
      </c>
      <c r="R2347" t="n">
        <v>1</v>
      </c>
      <c r="S2347" t="n">
        <v>1960</v>
      </c>
      <c r="T2347" t="s">
        <v>15358</v>
      </c>
      <c r="U2347" t="s">
        <v>15359</v>
      </c>
      <c r="V2347" t="s">
        <v>74</v>
      </c>
      <c r="W2347"/>
      <c r="X2347"/>
      <c r="Y2347" t="s">
        <v>15360</v>
      </c>
      <c r="Z2347"/>
      <c r="AA2347"/>
      <c r="AB2347"/>
      <c r="AC2347"/>
      <c r="AD2347" t="s">
        <v>1565</v>
      </c>
      <c r="AE2347" t="n">
        <v>167</v>
      </c>
      <c r="AF2347" t="s">
        <v>15361</v>
      </c>
      <c r="AG2347" t="n">
        <v>24</v>
      </c>
    </row>
    <row r="2348">
      <c r="A2348" t="s">
        <v>15362</v>
      </c>
      <c r="B2348" t="s">
        <v>28</v>
      </c>
      <c r="C2348" t="s">
        <v>65</v>
      </c>
      <c r="D2348" t="s">
        <v>15363</v>
      </c>
      <c r="E2348" t="s">
        <v>79</v>
      </c>
      <c r="F2348" t="s">
        <v>1274</v>
      </c>
      <c r="G2348" t="s">
        <v>1516</v>
      </c>
      <c r="H2348" t="n">
        <v>39.676672</v>
      </c>
      <c r="I2348" t="n">
        <v>-105.000621</v>
      </c>
      <c r="J2348" t="s">
        <v>35</v>
      </c>
      <c r="K2348" t="s">
        <v>89</v>
      </c>
      <c r="L2348"/>
      <c r="M2348" t="n">
        <v>1973</v>
      </c>
      <c r="N2348" t="n">
        <v>1988</v>
      </c>
      <c r="O2348" t="s">
        <v>325</v>
      </c>
      <c r="P2348" t="n">
        <v>5</v>
      </c>
      <c r="Q2348" t="n">
        <v>3</v>
      </c>
      <c r="R2348" t="n">
        <v>1</v>
      </c>
      <c r="S2348" t="n">
        <v>1962</v>
      </c>
      <c r="T2348" t="s">
        <v>15364</v>
      </c>
      <c r="U2348" t="s">
        <v>15365</v>
      </c>
      <c r="V2348" t="s">
        <v>74</v>
      </c>
      <c r="W2348"/>
      <c r="X2348"/>
      <c r="Y2348" t="s">
        <v>15366</v>
      </c>
      <c r="Z2348"/>
      <c r="AA2348"/>
      <c r="AB2348"/>
      <c r="AC2348"/>
      <c r="AD2348" t="s">
        <v>8989</v>
      </c>
      <c r="AE2348" t="n">
        <v>106</v>
      </c>
      <c r="AF2348" t="s">
        <v>14751</v>
      </c>
      <c r="AG2348" t="n">
        <v>28</v>
      </c>
    </row>
    <row r="2349">
      <c r="A2349" t="s">
        <v>15367</v>
      </c>
      <c r="B2349" t="s">
        <v>28</v>
      </c>
      <c r="C2349" t="s">
        <v>65</v>
      </c>
      <c r="D2349" t="s">
        <v>15368</v>
      </c>
      <c r="E2349" t="s">
        <v>79</v>
      </c>
      <c r="F2349" t="s">
        <v>1274</v>
      </c>
      <c r="G2349" t="s">
        <v>1516</v>
      </c>
      <c r="H2349" t="n">
        <v>39.6811398914624</v>
      </c>
      <c r="I2349" t="n">
        <v>-104.991108152053</v>
      </c>
      <c r="J2349" t="s">
        <v>35</v>
      </c>
      <c r="K2349" t="s">
        <v>81</v>
      </c>
      <c r="L2349"/>
      <c r="M2349" t="n">
        <v>1973</v>
      </c>
      <c r="N2349" t="n">
        <v>1990</v>
      </c>
      <c r="O2349" t="s">
        <v>10683</v>
      </c>
      <c r="P2349" t="n">
        <v>6</v>
      </c>
      <c r="Q2349" t="n">
        <v>7</v>
      </c>
      <c r="R2349" t="n">
        <v>5</v>
      </c>
      <c r="S2349" t="n">
        <v>1962</v>
      </c>
      <c r="T2349" t="s">
        <v>15369</v>
      </c>
      <c r="U2349" t="s">
        <v>15370</v>
      </c>
      <c r="V2349" t="s">
        <v>74</v>
      </c>
      <c r="W2349"/>
      <c r="X2349"/>
      <c r="Y2349" t="s">
        <v>15371</v>
      </c>
      <c r="Z2349"/>
      <c r="AA2349"/>
      <c r="AB2349" t="s">
        <v>7581</v>
      </c>
      <c r="AC2349" t="n">
        <v>233</v>
      </c>
      <c r="AD2349" t="s">
        <v>7582</v>
      </c>
      <c r="AE2349" t="n">
        <v>238</v>
      </c>
      <c r="AF2349" t="s">
        <v>8393</v>
      </c>
      <c r="AG2349" t="n">
        <v>6</v>
      </c>
    </row>
    <row r="2350">
      <c r="A2350" t="s">
        <v>15372</v>
      </c>
      <c r="B2350" t="s">
        <v>28</v>
      </c>
      <c r="C2350" t="s">
        <v>65</v>
      </c>
      <c r="D2350" t="s">
        <v>15373</v>
      </c>
      <c r="E2350" t="s">
        <v>79</v>
      </c>
      <c r="F2350" t="s">
        <v>1274</v>
      </c>
      <c r="G2350" t="s">
        <v>1516</v>
      </c>
      <c r="H2350" t="n">
        <v>39.6958784443079</v>
      </c>
      <c r="I2350" t="n">
        <v>-104.990139125888</v>
      </c>
      <c r="J2350" t="s">
        <v>35</v>
      </c>
      <c r="K2350" t="s">
        <v>81</v>
      </c>
      <c r="L2350"/>
      <c r="M2350" t="n">
        <v>1973</v>
      </c>
      <c r="N2350" t="n">
        <v>1990</v>
      </c>
      <c r="O2350" t="s">
        <v>15374</v>
      </c>
      <c r="P2350" t="n">
        <v>5</v>
      </c>
      <c r="Q2350" t="n">
        <v>7</v>
      </c>
      <c r="R2350" t="n">
        <v>5</v>
      </c>
      <c r="S2350" t="n">
        <v>1966</v>
      </c>
      <c r="T2350" t="s">
        <v>15375</v>
      </c>
      <c r="U2350" t="s">
        <v>15376</v>
      </c>
      <c r="V2350" t="s">
        <v>74</v>
      </c>
      <c r="W2350"/>
      <c r="X2350"/>
      <c r="Y2350" t="s">
        <v>15377</v>
      </c>
      <c r="Z2350"/>
      <c r="AA2350" t="s">
        <v>15378</v>
      </c>
      <c r="AB2350" t="s">
        <v>15150</v>
      </c>
      <c r="AC2350" t="n">
        <v>174</v>
      </c>
      <c r="AD2350" t="s">
        <v>8744</v>
      </c>
      <c r="AE2350" t="n">
        <v>219</v>
      </c>
      <c r="AF2350" t="s">
        <v>15379</v>
      </c>
      <c r="AG2350" t="n">
        <v>51</v>
      </c>
    </row>
    <row r="2351">
      <c r="A2351" t="s">
        <v>15380</v>
      </c>
      <c r="B2351" t="s">
        <v>28</v>
      </c>
      <c r="C2351" t="s">
        <v>65</v>
      </c>
      <c r="D2351" t="s">
        <v>15381</v>
      </c>
      <c r="E2351" t="s">
        <v>79</v>
      </c>
      <c r="F2351" t="s">
        <v>1274</v>
      </c>
      <c r="G2351" t="s">
        <v>2041</v>
      </c>
      <c r="H2351" t="n">
        <v>39.6770014606931</v>
      </c>
      <c r="I2351" t="n">
        <v>-104.891690131558</v>
      </c>
      <c r="J2351" t="s">
        <v>35</v>
      </c>
      <c r="K2351" t="s">
        <v>70</v>
      </c>
      <c r="L2351"/>
      <c r="M2351" t="n">
        <v>1973</v>
      </c>
      <c r="N2351" t="n">
        <v>1990</v>
      </c>
      <c r="O2351" t="s">
        <v>886</v>
      </c>
      <c r="P2351" t="n">
        <v>6</v>
      </c>
      <c r="Q2351" t="n">
        <v>2</v>
      </c>
      <c r="R2351" t="n">
        <v>2</v>
      </c>
      <c r="S2351" t="n">
        <v>1946</v>
      </c>
      <c r="T2351" t="s">
        <v>15382</v>
      </c>
      <c r="U2351" t="s">
        <v>15383</v>
      </c>
      <c r="V2351" t="s">
        <v>74</v>
      </c>
      <c r="W2351"/>
      <c r="X2351"/>
      <c r="Y2351" t="s">
        <v>15384</v>
      </c>
      <c r="Z2351"/>
      <c r="AA2351"/>
      <c r="AB2351" t="s">
        <v>7933</v>
      </c>
      <c r="AC2351" t="n">
        <v>122</v>
      </c>
      <c r="AD2351"/>
      <c r="AE2351"/>
      <c r="AF2351" t="s">
        <v>15385</v>
      </c>
      <c r="AG2351" t="n">
        <v>32</v>
      </c>
    </row>
    <row r="2352">
      <c r="A2352" t="s">
        <v>15386</v>
      </c>
      <c r="B2352" t="s">
        <v>28</v>
      </c>
      <c r="C2352" t="s">
        <v>65</v>
      </c>
      <c r="D2352" t="s">
        <v>15387</v>
      </c>
      <c r="E2352" t="s">
        <v>79</v>
      </c>
      <c r="F2352" t="s">
        <v>1274</v>
      </c>
      <c r="G2352" t="s">
        <v>1516</v>
      </c>
      <c r="H2352" t="n">
        <v>39.6799196416213</v>
      </c>
      <c r="I2352" t="n">
        <v>-105.001787819274</v>
      </c>
      <c r="J2352" t="s">
        <v>35</v>
      </c>
      <c r="K2352" t="s">
        <v>120</v>
      </c>
      <c r="L2352"/>
      <c r="M2352" t="n">
        <v>1973</v>
      </c>
      <c r="N2352" t="n">
        <v>1983</v>
      </c>
      <c r="O2352" t="s">
        <v>528</v>
      </c>
      <c r="P2352" t="n">
        <v>4</v>
      </c>
      <c r="Q2352" t="n">
        <v>3</v>
      </c>
      <c r="R2352" t="n">
        <v>1</v>
      </c>
      <c r="S2352" t="n">
        <v>1967</v>
      </c>
      <c r="T2352" t="s">
        <v>15388</v>
      </c>
      <c r="U2352" t="s">
        <v>15389</v>
      </c>
      <c r="V2352" t="s">
        <v>74</v>
      </c>
      <c r="W2352"/>
      <c r="X2352"/>
      <c r="Y2352" t="s">
        <v>15390</v>
      </c>
      <c r="Z2352"/>
      <c r="AA2352" t="s">
        <v>15391</v>
      </c>
      <c r="AB2352" t="s">
        <v>6709</v>
      </c>
      <c r="AC2352" t="n">
        <v>224</v>
      </c>
      <c r="AD2352"/>
      <c r="AE2352"/>
      <c r="AF2352" t="s">
        <v>15392</v>
      </c>
      <c r="AG2352" t="n">
        <v>110</v>
      </c>
    </row>
    <row r="2353">
      <c r="A2353" t="s">
        <v>15393</v>
      </c>
      <c r="B2353" t="s">
        <v>28</v>
      </c>
      <c r="C2353" t="s">
        <v>24</v>
      </c>
      <c r="D2353" t="s">
        <v>15394</v>
      </c>
      <c r="E2353" t="s">
        <v>79</v>
      </c>
      <c r="F2353" t="s">
        <v>1274</v>
      </c>
      <c r="G2353" t="s">
        <v>1516</v>
      </c>
      <c r="H2353" t="n">
        <v>39.6867445240454</v>
      </c>
      <c r="I2353" t="n">
        <v>-105.013062052604</v>
      </c>
      <c r="J2353" t="s">
        <v>4109</v>
      </c>
      <c r="K2353" t="s">
        <v>120</v>
      </c>
      <c r="L2353"/>
      <c r="M2353" t="n">
        <v>1973</v>
      </c>
      <c r="N2353" t="n">
        <v>1973</v>
      </c>
      <c r="O2353" t="s">
        <v>121</v>
      </c>
      <c r="P2353" t="n">
        <v>1</v>
      </c>
      <c r="Q2353" t="n">
        <v>1</v>
      </c>
      <c r="R2353" t="n">
        <v>1</v>
      </c>
      <c r="S2353" t="n">
        <v>1963</v>
      </c>
      <c r="T2353" t="s">
        <v>15395</v>
      </c>
      <c r="U2353" t="s">
        <v>15396</v>
      </c>
      <c r="V2353" t="s">
        <v>74</v>
      </c>
      <c r="W2353"/>
      <c r="X2353"/>
      <c r="Y2353" t="s">
        <v>15397</v>
      </c>
      <c r="Z2353"/>
      <c r="AA2353"/>
      <c r="AB2353"/>
      <c r="AC2353"/>
      <c r="AD2353"/>
      <c r="AE2353"/>
      <c r="AF2353" t="s">
        <v>15398</v>
      </c>
      <c r="AG2353" t="n">
        <v>202</v>
      </c>
    </row>
    <row r="2354">
      <c r="A2354" t="s">
        <v>15399</v>
      </c>
      <c r="B2354" t="s">
        <v>28</v>
      </c>
      <c r="C2354" t="s">
        <v>65</v>
      </c>
      <c r="D2354" t="s">
        <v>15400</v>
      </c>
      <c r="E2354" t="s">
        <v>79</v>
      </c>
      <c r="F2354" t="s">
        <v>1274</v>
      </c>
      <c r="G2354" t="s">
        <v>1516</v>
      </c>
      <c r="H2354" t="n">
        <v>39.7165370691174</v>
      </c>
      <c r="I2354" t="n">
        <v>-105.008613232965</v>
      </c>
      <c r="J2354" t="s">
        <v>35</v>
      </c>
      <c r="K2354" t="s">
        <v>1041</v>
      </c>
      <c r="L2354"/>
      <c r="M2354" t="n">
        <v>1973</v>
      </c>
      <c r="N2354" t="n">
        <v>1974</v>
      </c>
      <c r="O2354" t="s">
        <v>210</v>
      </c>
      <c r="P2354" t="n">
        <v>2</v>
      </c>
      <c r="Q2354" t="n">
        <v>1</v>
      </c>
      <c r="R2354" t="n">
        <v>1</v>
      </c>
      <c r="S2354" t="n">
        <v>1970</v>
      </c>
      <c r="T2354" t="s">
        <v>15401</v>
      </c>
      <c r="U2354" t="s">
        <v>15402</v>
      </c>
      <c r="V2354" t="s">
        <v>74</v>
      </c>
      <c r="W2354"/>
      <c r="X2354"/>
      <c r="Y2354" t="s">
        <v>15403</v>
      </c>
      <c r="Z2354"/>
      <c r="AA2354" t="s">
        <v>15404</v>
      </c>
      <c r="AB2354" t="s">
        <v>8173</v>
      </c>
      <c r="AC2354" t="n">
        <v>216</v>
      </c>
      <c r="AD2354"/>
      <c r="AE2354"/>
      <c r="AF2354" t="s">
        <v>8589</v>
      </c>
      <c r="AG2354" t="n">
        <v>3</v>
      </c>
    </row>
    <row r="2355">
      <c r="A2355" t="s">
        <v>15405</v>
      </c>
      <c r="B2355" t="s">
        <v>28</v>
      </c>
      <c r="C2355" t="s">
        <v>65</v>
      </c>
      <c r="D2355" t="s">
        <v>15406</v>
      </c>
      <c r="E2355" t="s">
        <v>79</v>
      </c>
      <c r="F2355" t="s">
        <v>1274</v>
      </c>
      <c r="G2355" t="s">
        <v>1612</v>
      </c>
      <c r="H2355" t="n">
        <v>39.711167</v>
      </c>
      <c r="I2355" t="n">
        <v>-105.02994</v>
      </c>
      <c r="J2355" t="s">
        <v>35</v>
      </c>
      <c r="K2355" t="s">
        <v>70</v>
      </c>
      <c r="L2355"/>
      <c r="M2355" t="n">
        <v>1973</v>
      </c>
      <c r="N2355" t="n">
        <v>1988</v>
      </c>
      <c r="O2355" t="s">
        <v>325</v>
      </c>
      <c r="P2355" t="n">
        <v>5</v>
      </c>
      <c r="Q2355" t="n">
        <v>5</v>
      </c>
      <c r="R2355" t="n">
        <v>1</v>
      </c>
      <c r="S2355" t="n">
        <v>1945</v>
      </c>
      <c r="T2355" t="s">
        <v>15407</v>
      </c>
      <c r="U2355" t="s">
        <v>15408</v>
      </c>
      <c r="V2355" t="s">
        <v>74</v>
      </c>
      <c r="W2355"/>
      <c r="X2355"/>
      <c r="Y2355" t="s">
        <v>15409</v>
      </c>
      <c r="Z2355"/>
      <c r="AA2355" t="s">
        <v>15410</v>
      </c>
      <c r="AB2355"/>
      <c r="AC2355"/>
      <c r="AD2355"/>
      <c r="AE2355"/>
      <c r="AF2355" t="s">
        <v>1925</v>
      </c>
      <c r="AG2355" t="n">
        <v>38</v>
      </c>
    </row>
    <row r="2356">
      <c r="A2356" t="s">
        <v>15411</v>
      </c>
      <c r="B2356" t="s">
        <v>28</v>
      </c>
      <c r="C2356" t="s">
        <v>24</v>
      </c>
      <c r="D2356" t="s">
        <v>15412</v>
      </c>
      <c r="E2356" t="s">
        <v>79</v>
      </c>
      <c r="F2356" t="s">
        <v>1274</v>
      </c>
      <c r="G2356" t="s">
        <v>1569</v>
      </c>
      <c r="H2356" t="n">
        <v>39.7438</v>
      </c>
      <c r="I2356" t="n">
        <v>-104.95359</v>
      </c>
      <c r="J2356" t="s">
        <v>4109</v>
      </c>
      <c r="K2356" t="s">
        <v>70</v>
      </c>
      <c r="L2356"/>
      <c r="M2356" t="n">
        <v>1973</v>
      </c>
      <c r="N2356" t="n">
        <v>1973</v>
      </c>
      <c r="O2356" t="s">
        <v>121</v>
      </c>
      <c r="P2356" t="n">
        <v>1</v>
      </c>
      <c r="Q2356" t="n">
        <v>1</v>
      </c>
      <c r="R2356" t="n">
        <v>1</v>
      </c>
      <c r="S2356" t="n">
        <v>1931</v>
      </c>
      <c r="T2356" t="s">
        <v>15413</v>
      </c>
      <c r="U2356" t="s">
        <v>15414</v>
      </c>
      <c r="V2356" t="s">
        <v>74</v>
      </c>
      <c r="W2356"/>
      <c r="X2356"/>
      <c r="Y2356" t="s">
        <v>15415</v>
      </c>
      <c r="Z2356"/>
      <c r="AA2356" t="s">
        <v>15416</v>
      </c>
      <c r="AB2356"/>
      <c r="AC2356"/>
      <c r="AD2356"/>
      <c r="AE2356"/>
      <c r="AF2356" t="s">
        <v>15417</v>
      </c>
      <c r="AG2356" t="n">
        <v>62</v>
      </c>
    </row>
    <row r="2357">
      <c r="A2357" t="s">
        <v>15418</v>
      </c>
      <c r="B2357" t="s">
        <v>28</v>
      </c>
      <c r="C2357" t="s">
        <v>24</v>
      </c>
      <c r="D2357" t="s">
        <v>15419</v>
      </c>
      <c r="E2357" t="s">
        <v>79</v>
      </c>
      <c r="F2357" t="s">
        <v>1274</v>
      </c>
      <c r="G2357" t="s">
        <v>1653</v>
      </c>
      <c r="H2357" t="n">
        <v>39.7937900809595</v>
      </c>
      <c r="I2357" t="n">
        <v>-104.944025630773</v>
      </c>
      <c r="J2357" t="s">
        <v>4109</v>
      </c>
      <c r="K2357" t="s">
        <v>282</v>
      </c>
      <c r="L2357" t="s">
        <v>202</v>
      </c>
      <c r="M2357" t="n">
        <v>1973</v>
      </c>
      <c r="N2357" t="n">
        <v>1980</v>
      </c>
      <c r="O2357" t="s">
        <v>8406</v>
      </c>
      <c r="P2357" t="n">
        <v>4</v>
      </c>
      <c r="Q2357" t="n">
        <v>2</v>
      </c>
      <c r="R2357" t="n">
        <v>1</v>
      </c>
      <c r="S2357" t="n">
        <v>1959</v>
      </c>
      <c r="T2357" t="s">
        <v>15420</v>
      </c>
      <c r="U2357" t="s">
        <v>15421</v>
      </c>
      <c r="V2357" t="s">
        <v>74</v>
      </c>
      <c r="W2357"/>
      <c r="X2357"/>
      <c r="Y2357" t="s">
        <v>15422</v>
      </c>
      <c r="Z2357"/>
      <c r="AA2357"/>
      <c r="AB2357" t="s">
        <v>7810</v>
      </c>
      <c r="AC2357" t="n">
        <v>177</v>
      </c>
      <c r="AD2357"/>
      <c r="AE2357"/>
      <c r="AF2357" t="s">
        <v>15423</v>
      </c>
      <c r="AG2357" t="n">
        <v>12</v>
      </c>
    </row>
    <row r="2358">
      <c r="A2358" t="s">
        <v>15424</v>
      </c>
      <c r="B2358" t="s">
        <v>28</v>
      </c>
      <c r="C2358" t="s">
        <v>65</v>
      </c>
      <c r="D2358" t="s">
        <v>15425</v>
      </c>
      <c r="E2358" t="s">
        <v>79</v>
      </c>
      <c r="F2358" t="s">
        <v>1274</v>
      </c>
      <c r="G2358" t="s">
        <v>1516</v>
      </c>
      <c r="H2358" t="n">
        <v>39.6880974251995</v>
      </c>
      <c r="I2358" t="n">
        <v>-104.988735563639</v>
      </c>
      <c r="J2358" t="s">
        <v>35</v>
      </c>
      <c r="K2358" t="s">
        <v>70</v>
      </c>
      <c r="L2358"/>
      <c r="M2358" t="n">
        <v>1973</v>
      </c>
      <c r="N2358" t="n">
        <v>1990</v>
      </c>
      <c r="O2358" t="s">
        <v>10683</v>
      </c>
      <c r="P2358" t="n">
        <v>5</v>
      </c>
      <c r="Q2358" t="n">
        <v>3</v>
      </c>
      <c r="R2358" t="n">
        <v>3</v>
      </c>
      <c r="S2358" t="n">
        <v>1965</v>
      </c>
      <c r="T2358" t="s">
        <v>15426</v>
      </c>
      <c r="U2358" t="s">
        <v>15427</v>
      </c>
      <c r="V2358" t="s">
        <v>74</v>
      </c>
      <c r="W2358"/>
      <c r="X2358"/>
      <c r="Y2358" t="s">
        <v>15428</v>
      </c>
      <c r="Z2358"/>
      <c r="AA2358"/>
      <c r="AB2358"/>
      <c r="AC2358"/>
      <c r="AD2358" t="s">
        <v>15429</v>
      </c>
      <c r="AE2358" t="n">
        <v>181</v>
      </c>
      <c r="AF2358" t="s">
        <v>15430</v>
      </c>
      <c r="AG2358" t="n">
        <v>13</v>
      </c>
    </row>
    <row r="2359">
      <c r="A2359" t="s">
        <v>15431</v>
      </c>
      <c r="B2359" t="s">
        <v>28</v>
      </c>
      <c r="C2359" t="s">
        <v>65</v>
      </c>
      <c r="D2359" t="s">
        <v>15432</v>
      </c>
      <c r="E2359" t="s">
        <v>79</v>
      </c>
      <c r="F2359" t="s">
        <v>1274</v>
      </c>
      <c r="G2359" t="s">
        <v>1516</v>
      </c>
      <c r="H2359" t="n">
        <v>39.682177</v>
      </c>
      <c r="I2359" t="n">
        <v>-105.001828</v>
      </c>
      <c r="J2359" t="s">
        <v>35</v>
      </c>
      <c r="K2359" t="s">
        <v>1242</v>
      </c>
      <c r="L2359"/>
      <c r="M2359" t="n">
        <v>1973</v>
      </c>
      <c r="N2359" t="n">
        <v>1992</v>
      </c>
      <c r="O2359" t="s">
        <v>15433</v>
      </c>
      <c r="P2359" t="n">
        <v>6</v>
      </c>
      <c r="Q2359" t="n">
        <v>4</v>
      </c>
      <c r="R2359" t="n">
        <v>2</v>
      </c>
      <c r="S2359" t="n">
        <v>1950</v>
      </c>
      <c r="T2359" t="s">
        <v>15434</v>
      </c>
      <c r="U2359" t="s">
        <v>15435</v>
      </c>
      <c r="V2359" t="s">
        <v>74</v>
      </c>
      <c r="W2359"/>
      <c r="X2359"/>
      <c r="Y2359" t="s">
        <v>15436</v>
      </c>
      <c r="Z2359"/>
      <c r="AA2359"/>
      <c r="AB2359"/>
      <c r="AC2359"/>
      <c r="AD2359"/>
      <c r="AE2359"/>
      <c r="AF2359" t="s">
        <v>15437</v>
      </c>
      <c r="AG2359" t="n">
        <v>47</v>
      </c>
    </row>
    <row r="2360">
      <c r="A2360" t="s">
        <v>15438</v>
      </c>
      <c r="B2360" t="s">
        <v>28</v>
      </c>
      <c r="C2360" t="s">
        <v>24</v>
      </c>
      <c r="D2360" t="s">
        <v>15439</v>
      </c>
      <c r="E2360" t="s">
        <v>79</v>
      </c>
      <c r="F2360" t="s">
        <v>1274</v>
      </c>
      <c r="G2360" t="s">
        <v>1881</v>
      </c>
      <c r="H2360" t="n">
        <v>39.7692150747268</v>
      </c>
      <c r="I2360" t="n">
        <v>-104.930231570353</v>
      </c>
      <c r="J2360" t="s">
        <v>4109</v>
      </c>
      <c r="K2360" t="s">
        <v>70</v>
      </c>
      <c r="L2360"/>
      <c r="M2360" t="n">
        <v>1973</v>
      </c>
      <c r="N2360" t="n">
        <v>1974</v>
      </c>
      <c r="O2360" t="s">
        <v>127</v>
      </c>
      <c r="P2360" t="n">
        <v>2</v>
      </c>
      <c r="Q2360" t="n">
        <v>1</v>
      </c>
      <c r="R2360" t="n">
        <v>1</v>
      </c>
      <c r="S2360" t="n">
        <v>1940</v>
      </c>
      <c r="T2360" t="s">
        <v>15440</v>
      </c>
      <c r="U2360" t="s">
        <v>15441</v>
      </c>
      <c r="V2360" t="s">
        <v>74</v>
      </c>
      <c r="W2360"/>
      <c r="X2360"/>
      <c r="Y2360" t="s">
        <v>15442</v>
      </c>
      <c r="Z2360"/>
      <c r="AA2360" t="s">
        <v>15443</v>
      </c>
      <c r="AB2360"/>
      <c r="AC2360"/>
      <c r="AD2360"/>
      <c r="AE2360"/>
      <c r="AF2360" t="s">
        <v>2012</v>
      </c>
      <c r="AG2360" t="n">
        <v>68</v>
      </c>
    </row>
    <row r="2361">
      <c r="A2361" t="s">
        <v>15444</v>
      </c>
      <c r="B2361" t="s">
        <v>28</v>
      </c>
      <c r="C2361" t="s">
        <v>65</v>
      </c>
      <c r="D2361" t="s">
        <v>15445</v>
      </c>
      <c r="E2361" t="s">
        <v>79</v>
      </c>
      <c r="F2361" t="s">
        <v>1274</v>
      </c>
      <c r="G2361" t="s">
        <v>1440</v>
      </c>
      <c r="H2361" t="n">
        <v>39.7736574539234</v>
      </c>
      <c r="I2361" t="n">
        <v>-104.999396851739</v>
      </c>
      <c r="J2361" t="s">
        <v>35</v>
      </c>
      <c r="K2361" t="s">
        <v>1282</v>
      </c>
      <c r="L2361"/>
      <c r="M2361" t="n">
        <v>1973</v>
      </c>
      <c r="N2361" t="n">
        <v>1990</v>
      </c>
      <c r="O2361" t="s">
        <v>127</v>
      </c>
      <c r="P2361" t="n">
        <v>5</v>
      </c>
      <c r="Q2361" t="n">
        <v>3</v>
      </c>
      <c r="R2361" t="n">
        <v>1</v>
      </c>
      <c r="S2361" t="n">
        <v>1960</v>
      </c>
      <c r="T2361" t="s">
        <v>15446</v>
      </c>
      <c r="U2361" t="s">
        <v>15447</v>
      </c>
      <c r="V2361" t="s">
        <v>74</v>
      </c>
      <c r="W2361"/>
      <c r="X2361"/>
      <c r="Y2361" t="s">
        <v>15448</v>
      </c>
      <c r="Z2361"/>
      <c r="AA2361" t="s">
        <v>15449</v>
      </c>
      <c r="AB2361"/>
      <c r="AC2361"/>
      <c r="AD2361"/>
      <c r="AE2361"/>
      <c r="AF2361" t="s">
        <v>15450</v>
      </c>
      <c r="AG2361" t="n">
        <v>24</v>
      </c>
    </row>
    <row r="2362">
      <c r="A2362" t="s">
        <v>15451</v>
      </c>
      <c r="B2362" t="s">
        <v>28</v>
      </c>
      <c r="C2362" t="s">
        <v>24</v>
      </c>
      <c r="D2362" t="s">
        <v>15452</v>
      </c>
      <c r="E2362" t="s">
        <v>79</v>
      </c>
      <c r="F2362" t="s">
        <v>1274</v>
      </c>
      <c r="G2362" t="s">
        <v>1555</v>
      </c>
      <c r="H2362" t="n">
        <v>39.7440135378145</v>
      </c>
      <c r="I2362" t="n">
        <v>-105.008730936592</v>
      </c>
      <c r="J2362" t="s">
        <v>4109</v>
      </c>
      <c r="K2362" t="s">
        <v>89</v>
      </c>
      <c r="L2362"/>
      <c r="M2362" t="n">
        <v>1973</v>
      </c>
      <c r="N2362" t="n">
        <v>1974</v>
      </c>
      <c r="O2362" t="s">
        <v>127</v>
      </c>
      <c r="P2362" t="n">
        <v>2</v>
      </c>
      <c r="Q2362" t="n">
        <v>1</v>
      </c>
      <c r="R2362" t="n">
        <v>1</v>
      </c>
      <c r="S2362" t="n">
        <v>1965</v>
      </c>
      <c r="T2362" t="s">
        <v>15453</v>
      </c>
      <c r="U2362" t="s">
        <v>15454</v>
      </c>
      <c r="V2362" t="s">
        <v>74</v>
      </c>
      <c r="W2362"/>
      <c r="X2362"/>
      <c r="Y2362" t="s">
        <v>15455</v>
      </c>
      <c r="Z2362"/>
      <c r="AA2362"/>
      <c r="AB2362" t="s">
        <v>15456</v>
      </c>
      <c r="AC2362" t="n">
        <v>232</v>
      </c>
      <c r="AD2362"/>
      <c r="AE2362"/>
      <c r="AF2362" t="s">
        <v>4371</v>
      </c>
      <c r="AG2362" t="n">
        <v>32</v>
      </c>
    </row>
    <row r="2363">
      <c r="A2363" t="s">
        <v>15457</v>
      </c>
      <c r="B2363" t="s">
        <v>28</v>
      </c>
      <c r="C2363" t="s">
        <v>65</v>
      </c>
      <c r="D2363" t="s">
        <v>15458</v>
      </c>
      <c r="E2363" t="s">
        <v>79</v>
      </c>
      <c r="F2363" t="s">
        <v>1274</v>
      </c>
      <c r="G2363" t="s">
        <v>1702</v>
      </c>
      <c r="H2363" t="n">
        <v>39.7788556121479</v>
      </c>
      <c r="I2363" t="n">
        <v>-104.862523057058</v>
      </c>
      <c r="J2363" t="s">
        <v>35</v>
      </c>
      <c r="K2363" t="s">
        <v>120</v>
      </c>
      <c r="L2363"/>
      <c r="M2363" t="n">
        <v>1973</v>
      </c>
      <c r="N2363" t="n">
        <v>1990</v>
      </c>
      <c r="O2363" t="s">
        <v>10683</v>
      </c>
      <c r="P2363" t="n">
        <v>6</v>
      </c>
      <c r="Q2363" t="n">
        <v>1</v>
      </c>
      <c r="R2363" t="n">
        <v>1</v>
      </c>
      <c r="S2363" t="n">
        <v>1949</v>
      </c>
      <c r="T2363" t="s">
        <v>15459</v>
      </c>
      <c r="U2363" t="s">
        <v>15460</v>
      </c>
      <c r="V2363" t="s">
        <v>74</v>
      </c>
      <c r="W2363"/>
      <c r="X2363"/>
      <c r="Y2363" t="s">
        <v>15461</v>
      </c>
      <c r="Z2363"/>
      <c r="AA2363" t="s">
        <v>15462</v>
      </c>
      <c r="AB2363"/>
      <c r="AC2363"/>
      <c r="AD2363"/>
      <c r="AE2363"/>
      <c r="AF2363" t="s">
        <v>15463</v>
      </c>
      <c r="AG2363" t="n">
        <v>25</v>
      </c>
    </row>
    <row r="2364">
      <c r="A2364" t="s">
        <v>15464</v>
      </c>
      <c r="B2364" t="s">
        <v>28</v>
      </c>
      <c r="C2364" t="s">
        <v>65</v>
      </c>
      <c r="D2364" t="s">
        <v>15465</v>
      </c>
      <c r="E2364" t="s">
        <v>79</v>
      </c>
      <c r="F2364" t="s">
        <v>1274</v>
      </c>
      <c r="G2364" t="s">
        <v>1516</v>
      </c>
      <c r="H2364" t="n">
        <v>39.6732909909791</v>
      </c>
      <c r="I2364" t="n">
        <v>-104.992269649354</v>
      </c>
      <c r="J2364" t="s">
        <v>35</v>
      </c>
      <c r="K2364" t="s">
        <v>141</v>
      </c>
      <c r="L2364"/>
      <c r="M2364" t="n">
        <v>1973</v>
      </c>
      <c r="N2364" t="n">
        <v>1992</v>
      </c>
      <c r="O2364" t="s">
        <v>15466</v>
      </c>
      <c r="P2364" t="n">
        <v>7</v>
      </c>
      <c r="Q2364" t="n">
        <v>6</v>
      </c>
      <c r="R2364" t="n">
        <v>6</v>
      </c>
      <c r="S2364" t="n">
        <v>1964</v>
      </c>
      <c r="T2364" t="s">
        <v>15467</v>
      </c>
      <c r="U2364" t="s">
        <v>15468</v>
      </c>
      <c r="V2364" t="s">
        <v>74</v>
      </c>
      <c r="W2364"/>
      <c r="X2364"/>
      <c r="Y2364" t="s">
        <v>15469</v>
      </c>
      <c r="Z2364"/>
      <c r="AA2364" t="s">
        <v>15470</v>
      </c>
      <c r="AB2364"/>
      <c r="AC2364"/>
      <c r="AD2364" t="s">
        <v>1371</v>
      </c>
      <c r="AE2364" t="n">
        <v>226</v>
      </c>
      <c r="AF2364" t="s">
        <v>15471</v>
      </c>
      <c r="AG2364" t="n">
        <v>84</v>
      </c>
    </row>
    <row r="2365">
      <c r="A2365" t="s">
        <v>15472</v>
      </c>
      <c r="B2365" t="s">
        <v>28</v>
      </c>
      <c r="C2365" t="s">
        <v>65</v>
      </c>
      <c r="D2365" t="s">
        <v>15473</v>
      </c>
      <c r="E2365" t="s">
        <v>79</v>
      </c>
      <c r="F2365" t="s">
        <v>1274</v>
      </c>
      <c r="G2365" t="s">
        <v>1574</v>
      </c>
      <c r="H2365" t="n">
        <v>39.7602483372813</v>
      </c>
      <c r="I2365" t="n">
        <v>-104.984888651792</v>
      </c>
      <c r="J2365" t="s">
        <v>35</v>
      </c>
      <c r="K2365" t="s">
        <v>1548</v>
      </c>
      <c r="L2365"/>
      <c r="M2365" t="n">
        <v>1973</v>
      </c>
      <c r="N2365" t="n">
        <v>1992</v>
      </c>
      <c r="O2365" t="s">
        <v>12754</v>
      </c>
      <c r="P2365" t="n">
        <v>7</v>
      </c>
      <c r="Q2365" t="n">
        <v>6</v>
      </c>
      <c r="R2365" t="n">
        <v>4</v>
      </c>
      <c r="S2365" t="n">
        <v>1965</v>
      </c>
      <c r="T2365" t="s">
        <v>15474</v>
      </c>
      <c r="U2365" t="s">
        <v>15475</v>
      </c>
      <c r="V2365" t="s">
        <v>74</v>
      </c>
      <c r="W2365"/>
      <c r="X2365"/>
      <c r="Y2365" t="s">
        <v>15476</v>
      </c>
      <c r="Z2365"/>
      <c r="AA2365" t="s">
        <v>15477</v>
      </c>
      <c r="AB2365" t="s">
        <v>15478</v>
      </c>
      <c r="AC2365" t="n">
        <v>105</v>
      </c>
      <c r="AD2365" t="s">
        <v>6699</v>
      </c>
      <c r="AE2365" t="n">
        <v>166</v>
      </c>
      <c r="AF2365" t="s">
        <v>15479</v>
      </c>
      <c r="AG2365" t="n">
        <v>55</v>
      </c>
    </row>
    <row r="2366">
      <c r="A2366" t="s">
        <v>15480</v>
      </c>
      <c r="B2366" t="s">
        <v>28</v>
      </c>
      <c r="C2366" t="s">
        <v>65</v>
      </c>
      <c r="D2366" t="s">
        <v>15481</v>
      </c>
      <c r="E2366" t="s">
        <v>79</v>
      </c>
      <c r="F2366" t="s">
        <v>1274</v>
      </c>
      <c r="G2366" t="s">
        <v>1555</v>
      </c>
      <c r="H2366" t="n">
        <v>39.7361084195527</v>
      </c>
      <c r="I2366" t="n">
        <v>-105.012484417747</v>
      </c>
      <c r="J2366" t="s">
        <v>35</v>
      </c>
      <c r="K2366" t="s">
        <v>1041</v>
      </c>
      <c r="L2366" t="s">
        <v>2476</v>
      </c>
      <c r="M2366" t="n">
        <v>1973</v>
      </c>
      <c r="N2366" t="n">
        <v>1990</v>
      </c>
      <c r="O2366" t="s">
        <v>351</v>
      </c>
      <c r="P2366" t="n">
        <v>6</v>
      </c>
      <c r="Q2366" t="n">
        <v>2</v>
      </c>
      <c r="R2366" t="n">
        <v>1</v>
      </c>
      <c r="S2366" t="n">
        <v>1937</v>
      </c>
      <c r="T2366" t="s">
        <v>15482</v>
      </c>
      <c r="U2366" t="s">
        <v>15483</v>
      </c>
      <c r="V2366" t="s">
        <v>74</v>
      </c>
      <c r="W2366"/>
      <c r="X2366"/>
      <c r="Y2366" t="s">
        <v>15484</v>
      </c>
      <c r="Z2366"/>
      <c r="AA2366" t="s">
        <v>15485</v>
      </c>
      <c r="AB2366" t="s">
        <v>9021</v>
      </c>
      <c r="AC2366" t="n">
        <v>135</v>
      </c>
      <c r="AD2366" t="s">
        <v>6971</v>
      </c>
      <c r="AE2366" t="n">
        <v>207</v>
      </c>
      <c r="AF2366" t="s">
        <v>7109</v>
      </c>
      <c r="AG2366" t="n">
        <v>6</v>
      </c>
    </row>
    <row r="2367">
      <c r="A2367" t="s">
        <v>15486</v>
      </c>
      <c r="B2367" t="s">
        <v>28</v>
      </c>
      <c r="C2367" t="s">
        <v>65</v>
      </c>
      <c r="D2367" t="s">
        <v>15487</v>
      </c>
      <c r="E2367" t="s">
        <v>79</v>
      </c>
      <c r="F2367" t="s">
        <v>1274</v>
      </c>
      <c r="G2367" t="s">
        <v>1555</v>
      </c>
      <c r="H2367" t="n">
        <v>39.7289030026975</v>
      </c>
      <c r="I2367" t="n">
        <v>-104.997571932341</v>
      </c>
      <c r="J2367" t="s">
        <v>35</v>
      </c>
      <c r="K2367" t="s">
        <v>141</v>
      </c>
      <c r="L2367"/>
      <c r="M2367" t="n">
        <v>1973</v>
      </c>
      <c r="N2367" t="n">
        <v>1990</v>
      </c>
      <c r="O2367" t="s">
        <v>15488</v>
      </c>
      <c r="P2367" t="n">
        <v>3</v>
      </c>
      <c r="Q2367" t="n">
        <v>2</v>
      </c>
      <c r="R2367" t="n">
        <v>2</v>
      </c>
      <c r="S2367" t="n">
        <v>1970</v>
      </c>
      <c r="T2367" t="s">
        <v>15489</v>
      </c>
      <c r="U2367" t="s">
        <v>15490</v>
      </c>
      <c r="V2367" t="s">
        <v>74</v>
      </c>
      <c r="W2367"/>
      <c r="X2367"/>
      <c r="Y2367" t="s">
        <v>15491</v>
      </c>
      <c r="Z2367"/>
      <c r="AA2367" t="s">
        <v>15492</v>
      </c>
      <c r="AB2367" t="s">
        <v>1995</v>
      </c>
      <c r="AC2367" t="n">
        <v>242</v>
      </c>
      <c r="AD2367"/>
      <c r="AE2367"/>
      <c r="AF2367" t="s">
        <v>4511</v>
      </c>
      <c r="AG2367" t="n">
        <v>25</v>
      </c>
    </row>
    <row r="2368">
      <c r="A2368" t="s">
        <v>15493</v>
      </c>
      <c r="B2368" t="s">
        <v>28</v>
      </c>
      <c r="C2368" t="s">
        <v>24</v>
      </c>
      <c r="D2368" t="s">
        <v>15494</v>
      </c>
      <c r="E2368" t="s">
        <v>79</v>
      </c>
      <c r="F2368" t="s">
        <v>1274</v>
      </c>
      <c r="G2368" t="s">
        <v>1516</v>
      </c>
      <c r="H2368" t="n">
        <v>39.7111696912961</v>
      </c>
      <c r="I2368" t="n">
        <v>-104.989981119639</v>
      </c>
      <c r="J2368" t="s">
        <v>35</v>
      </c>
      <c r="K2368" t="s">
        <v>133</v>
      </c>
      <c r="L2368"/>
      <c r="M2368" t="n">
        <v>1973</v>
      </c>
      <c r="N2368" t="n">
        <v>1980</v>
      </c>
      <c r="O2368" t="s">
        <v>121</v>
      </c>
      <c r="P2368" t="n">
        <v>2</v>
      </c>
      <c r="Q2368" t="n">
        <v>2</v>
      </c>
      <c r="R2368" t="n">
        <v>1</v>
      </c>
      <c r="S2368" t="n">
        <v>1954</v>
      </c>
      <c r="T2368" t="s">
        <v>15495</v>
      </c>
      <c r="U2368" t="s">
        <v>15496</v>
      </c>
      <c r="V2368" t="s">
        <v>4175</v>
      </c>
      <c r="W2368"/>
      <c r="X2368"/>
      <c r="Y2368" t="s">
        <v>15497</v>
      </c>
      <c r="Z2368"/>
      <c r="AA2368" t="s">
        <v>15498</v>
      </c>
      <c r="AB2368" t="s">
        <v>6681</v>
      </c>
      <c r="AC2368" t="n">
        <v>207</v>
      </c>
      <c r="AD2368" t="s">
        <v>2094</v>
      </c>
      <c r="AE2368" t="n">
        <v>249</v>
      </c>
      <c r="AF2368" t="s">
        <v>15499</v>
      </c>
      <c r="AG2368" t="n">
        <v>2</v>
      </c>
    </row>
    <row r="2369">
      <c r="A2369" t="s">
        <v>15500</v>
      </c>
      <c r="B2369" t="s">
        <v>28</v>
      </c>
      <c r="C2369" t="s">
        <v>24</v>
      </c>
      <c r="D2369" t="s">
        <v>15501</v>
      </c>
      <c r="E2369" t="s">
        <v>79</v>
      </c>
      <c r="F2369" t="s">
        <v>1274</v>
      </c>
      <c r="G2369" t="s">
        <v>7400</v>
      </c>
      <c r="H2369" t="n">
        <v>39.7458197142857</v>
      </c>
      <c r="I2369" t="n">
        <v>-104.986118428571</v>
      </c>
      <c r="J2369" t="s">
        <v>4109</v>
      </c>
      <c r="K2369" t="s">
        <v>120</v>
      </c>
      <c r="L2369"/>
      <c r="M2369" t="n">
        <v>1973</v>
      </c>
      <c r="N2369" t="n">
        <v>1988</v>
      </c>
      <c r="O2369" t="s">
        <v>121</v>
      </c>
      <c r="P2369" t="n">
        <v>2</v>
      </c>
      <c r="Q2369" t="n">
        <v>2</v>
      </c>
      <c r="R2369" t="n">
        <v>1</v>
      </c>
      <c r="S2369" t="n">
        <v>1920</v>
      </c>
      <c r="T2369" t="s">
        <v>15502</v>
      </c>
      <c r="U2369" t="s">
        <v>15503</v>
      </c>
      <c r="V2369" t="s">
        <v>74</v>
      </c>
      <c r="W2369"/>
      <c r="X2369"/>
      <c r="Y2369" t="s">
        <v>15504</v>
      </c>
      <c r="Z2369"/>
      <c r="AA2369" t="s">
        <v>15504</v>
      </c>
      <c r="AB2369" t="s">
        <v>15505</v>
      </c>
      <c r="AC2369" t="n">
        <v>182</v>
      </c>
      <c r="AD2369" t="s">
        <v>14918</v>
      </c>
      <c r="AE2369" t="n">
        <v>244</v>
      </c>
      <c r="AF2369" t="s">
        <v>15506</v>
      </c>
      <c r="AG2369" t="n">
        <v>49</v>
      </c>
    </row>
    <row r="2370">
      <c r="A2370" t="s">
        <v>15507</v>
      </c>
      <c r="B2370" t="s">
        <v>28</v>
      </c>
      <c r="C2370" t="s">
        <v>65</v>
      </c>
      <c r="D2370" t="s">
        <v>15508</v>
      </c>
      <c r="E2370" t="s">
        <v>79</v>
      </c>
      <c r="F2370" t="s">
        <v>1274</v>
      </c>
      <c r="G2370" t="s">
        <v>1516</v>
      </c>
      <c r="H2370" t="n">
        <v>39.6688408119636</v>
      </c>
      <c r="I2370" t="n">
        <v>-104.995918041661</v>
      </c>
      <c r="J2370" t="s">
        <v>35</v>
      </c>
      <c r="K2370" t="s">
        <v>767</v>
      </c>
      <c r="L2370" t="s">
        <v>1337</v>
      </c>
      <c r="M2370" t="n">
        <v>1973</v>
      </c>
      <c r="N2370" t="n">
        <v>1992</v>
      </c>
      <c r="O2370" t="s">
        <v>15509</v>
      </c>
      <c r="P2370" t="n">
        <v>7</v>
      </c>
      <c r="Q2370" t="n">
        <v>7</v>
      </c>
      <c r="R2370" t="n">
        <v>5</v>
      </c>
      <c r="S2370" t="n">
        <v>1970</v>
      </c>
      <c r="T2370" t="s">
        <v>15510</v>
      </c>
      <c r="U2370" t="s">
        <v>15511</v>
      </c>
      <c r="V2370" t="s">
        <v>74</v>
      </c>
      <c r="W2370"/>
      <c r="X2370"/>
      <c r="Y2370" t="s">
        <v>15512</v>
      </c>
      <c r="Z2370"/>
      <c r="AA2370" t="s">
        <v>15513</v>
      </c>
      <c r="AB2370" t="s">
        <v>5711</v>
      </c>
      <c r="AC2370" t="n">
        <v>207</v>
      </c>
      <c r="AD2370"/>
      <c r="AE2370"/>
      <c r="AF2370" t="s">
        <v>15514</v>
      </c>
      <c r="AG2370" t="n">
        <v>25</v>
      </c>
    </row>
    <row r="2371">
      <c r="A2371" t="s">
        <v>15515</v>
      </c>
      <c r="B2371" t="s">
        <v>28</v>
      </c>
      <c r="C2371" t="s">
        <v>65</v>
      </c>
      <c r="D2371" t="s">
        <v>15516</v>
      </c>
      <c r="E2371" t="s">
        <v>79</v>
      </c>
      <c r="F2371" t="s">
        <v>1274</v>
      </c>
      <c r="G2371" t="s">
        <v>1653</v>
      </c>
      <c r="H2371" t="n">
        <v>39.7838198346661</v>
      </c>
      <c r="I2371" t="n">
        <v>-104.909348238342</v>
      </c>
      <c r="J2371" t="s">
        <v>35</v>
      </c>
      <c r="K2371" t="s">
        <v>133</v>
      </c>
      <c r="L2371"/>
      <c r="M2371" t="n">
        <v>1974</v>
      </c>
      <c r="N2371" t="n">
        <v>1992</v>
      </c>
      <c r="O2371" t="s">
        <v>255</v>
      </c>
      <c r="P2371" t="n">
        <v>6</v>
      </c>
      <c r="Q2371" t="n">
        <v>2</v>
      </c>
      <c r="R2371" t="n">
        <v>1</v>
      </c>
      <c r="S2371" t="n">
        <v>1956</v>
      </c>
      <c r="T2371" t="s">
        <v>15517</v>
      </c>
      <c r="U2371" t="s">
        <v>15518</v>
      </c>
      <c r="V2371" t="s">
        <v>74</v>
      </c>
      <c r="W2371"/>
      <c r="X2371"/>
      <c r="Y2371" t="s">
        <v>15519</v>
      </c>
      <c r="Z2371"/>
      <c r="AA2371"/>
      <c r="AB2371"/>
      <c r="AC2371"/>
      <c r="AD2371"/>
      <c r="AE2371"/>
      <c r="AF2371" t="s">
        <v>15520</v>
      </c>
      <c r="AG2371" t="n">
        <v>2</v>
      </c>
    </row>
    <row r="2372">
      <c r="A2372" t="s">
        <v>15521</v>
      </c>
      <c r="B2372" t="s">
        <v>28</v>
      </c>
      <c r="C2372" t="s">
        <v>24</v>
      </c>
      <c r="D2372" t="s">
        <v>15522</v>
      </c>
      <c r="E2372" t="s">
        <v>79</v>
      </c>
      <c r="F2372" t="s">
        <v>1274</v>
      </c>
      <c r="G2372" t="s">
        <v>1691</v>
      </c>
      <c r="H2372" t="n">
        <v>39.785666</v>
      </c>
      <c r="I2372" t="n">
        <v>-105.062656</v>
      </c>
      <c r="J2372" t="s">
        <v>4109</v>
      </c>
      <c r="K2372" t="s">
        <v>89</v>
      </c>
      <c r="L2372"/>
      <c r="M2372" t="n">
        <v>1974</v>
      </c>
      <c r="N2372" t="n">
        <v>1974</v>
      </c>
      <c r="O2372" t="s">
        <v>210</v>
      </c>
      <c r="P2372" t="n">
        <v>1</v>
      </c>
      <c r="Q2372" t="n">
        <v>1</v>
      </c>
      <c r="R2372" t="n">
        <v>1</v>
      </c>
      <c r="S2372" t="n">
        <v>1946</v>
      </c>
      <c r="T2372" t="s">
        <v>15523</v>
      </c>
      <c r="U2372" t="s">
        <v>15524</v>
      </c>
      <c r="V2372" t="s">
        <v>74</v>
      </c>
      <c r="W2372"/>
      <c r="X2372"/>
      <c r="Y2372" t="s">
        <v>15525</v>
      </c>
      <c r="Z2372"/>
      <c r="AA2372" t="s">
        <v>15526</v>
      </c>
      <c r="AB2372"/>
      <c r="AC2372"/>
      <c r="AD2372"/>
      <c r="AE2372"/>
      <c r="AF2372" t="s">
        <v>15527</v>
      </c>
      <c r="AG2372" t="n">
        <v>210</v>
      </c>
    </row>
    <row r="2373">
      <c r="A2373" t="s">
        <v>15528</v>
      </c>
      <c r="B2373" t="s">
        <v>28</v>
      </c>
      <c r="C2373" t="s">
        <v>65</v>
      </c>
      <c r="D2373" t="s">
        <v>15529</v>
      </c>
      <c r="E2373" t="s">
        <v>79</v>
      </c>
      <c r="F2373" t="s">
        <v>1274</v>
      </c>
      <c r="G2373" t="s">
        <v>1653</v>
      </c>
      <c r="H2373" t="n">
        <v>39.7838133207262</v>
      </c>
      <c r="I2373" t="n">
        <v>-104.908672091381</v>
      </c>
      <c r="J2373" t="s">
        <v>35</v>
      </c>
      <c r="K2373" t="s">
        <v>89</v>
      </c>
      <c r="L2373" t="s">
        <v>202</v>
      </c>
      <c r="M2373" t="n">
        <v>1974</v>
      </c>
      <c r="N2373" t="n">
        <v>1983</v>
      </c>
      <c r="O2373" t="s">
        <v>4026</v>
      </c>
      <c r="P2373" t="n">
        <v>2</v>
      </c>
      <c r="Q2373" t="n">
        <v>2</v>
      </c>
      <c r="R2373" t="n">
        <v>2</v>
      </c>
      <c r="S2373" t="n">
        <v>1905</v>
      </c>
      <c r="T2373" t="s">
        <v>15530</v>
      </c>
      <c r="U2373" t="s">
        <v>15531</v>
      </c>
      <c r="V2373" t="s">
        <v>74</v>
      </c>
      <c r="W2373"/>
      <c r="X2373"/>
      <c r="Y2373" t="s">
        <v>15532</v>
      </c>
      <c r="Z2373"/>
      <c r="AA2373" t="s">
        <v>15533</v>
      </c>
      <c r="AB2373"/>
      <c r="AC2373"/>
      <c r="AD2373"/>
      <c r="AE2373"/>
      <c r="AF2373" t="s">
        <v>15534</v>
      </c>
      <c r="AG2373" t="n">
        <v>3</v>
      </c>
    </row>
    <row r="2374">
      <c r="A2374" t="s">
        <v>15535</v>
      </c>
      <c r="B2374" t="s">
        <v>28</v>
      </c>
      <c r="C2374" t="s">
        <v>65</v>
      </c>
      <c r="D2374" t="s">
        <v>15536</v>
      </c>
      <c r="E2374" t="s">
        <v>79</v>
      </c>
      <c r="F2374" t="s">
        <v>1274</v>
      </c>
      <c r="G2374" t="s">
        <v>1653</v>
      </c>
      <c r="H2374" t="n">
        <v>39.8019071389881</v>
      </c>
      <c r="I2374" t="n">
        <v>-104.966818120871</v>
      </c>
      <c r="J2374" t="s">
        <v>35</v>
      </c>
      <c r="K2374" t="s">
        <v>141</v>
      </c>
      <c r="L2374"/>
      <c r="M2374" t="n">
        <v>1974</v>
      </c>
      <c r="N2374" t="n">
        <v>1983</v>
      </c>
      <c r="O2374" t="s">
        <v>3860</v>
      </c>
      <c r="P2374" t="n">
        <v>3</v>
      </c>
      <c r="Q2374" t="n">
        <v>2</v>
      </c>
      <c r="R2374" t="n">
        <v>1</v>
      </c>
      <c r="S2374" t="n">
        <v>1915</v>
      </c>
      <c r="T2374" t="s">
        <v>15537</v>
      </c>
      <c r="U2374" t="s">
        <v>15538</v>
      </c>
      <c r="V2374" t="s">
        <v>74</v>
      </c>
      <c r="W2374"/>
      <c r="X2374"/>
      <c r="Y2374" t="s">
        <v>15539</v>
      </c>
      <c r="Z2374"/>
      <c r="AA2374" t="s">
        <v>15540</v>
      </c>
      <c r="AB2374"/>
      <c r="AC2374"/>
      <c r="AD2374" t="s">
        <v>15541</v>
      </c>
      <c r="AE2374" t="n">
        <v>188</v>
      </c>
      <c r="AF2374" t="s">
        <v>15542</v>
      </c>
      <c r="AG2374" t="n">
        <v>3</v>
      </c>
    </row>
    <row r="2375">
      <c r="A2375" t="s">
        <v>15543</v>
      </c>
      <c r="B2375" t="s">
        <v>28</v>
      </c>
      <c r="C2375" t="s">
        <v>24</v>
      </c>
      <c r="D2375" t="s">
        <v>15544</v>
      </c>
      <c r="E2375" t="s">
        <v>79</v>
      </c>
      <c r="F2375" t="s">
        <v>1274</v>
      </c>
      <c r="G2375" t="s">
        <v>1555</v>
      </c>
      <c r="H2375" t="n">
        <v>39.7241237414966</v>
      </c>
      <c r="I2375" t="n">
        <v>-104.998576812925</v>
      </c>
      <c r="J2375" t="s">
        <v>4109</v>
      </c>
      <c r="K2375" t="s">
        <v>141</v>
      </c>
      <c r="L2375"/>
      <c r="M2375" t="n">
        <v>1974</v>
      </c>
      <c r="N2375" t="n">
        <v>1990</v>
      </c>
      <c r="O2375" t="s">
        <v>4019</v>
      </c>
      <c r="P2375" t="n">
        <v>4</v>
      </c>
      <c r="Q2375" t="n">
        <v>3</v>
      </c>
      <c r="R2375" t="n">
        <v>2</v>
      </c>
      <c r="S2375" t="n">
        <v>1965</v>
      </c>
      <c r="T2375" t="s">
        <v>15545</v>
      </c>
      <c r="U2375" t="s">
        <v>15546</v>
      </c>
      <c r="V2375" t="s">
        <v>74</v>
      </c>
      <c r="W2375"/>
      <c r="X2375"/>
      <c r="Y2375" t="s">
        <v>15547</v>
      </c>
      <c r="Z2375" t="s">
        <v>15548</v>
      </c>
      <c r="AA2375"/>
      <c r="AB2375" t="s">
        <v>2023</v>
      </c>
      <c r="AC2375" t="n">
        <v>189</v>
      </c>
      <c r="AD2375"/>
      <c r="AE2375"/>
      <c r="AF2375" t="s">
        <v>15549</v>
      </c>
      <c r="AG2375" t="n">
        <v>20</v>
      </c>
    </row>
    <row r="2376">
      <c r="A2376" t="s">
        <v>15550</v>
      </c>
      <c r="B2376" t="s">
        <v>28</v>
      </c>
      <c r="C2376" t="s">
        <v>65</v>
      </c>
      <c r="D2376" t="s">
        <v>15551</v>
      </c>
      <c r="E2376" t="s">
        <v>79</v>
      </c>
      <c r="F2376" t="s">
        <v>1274</v>
      </c>
      <c r="G2376" t="s">
        <v>1555</v>
      </c>
      <c r="H2376" t="n">
        <v>39.7293143048771</v>
      </c>
      <c r="I2376" t="n">
        <v>-105.017791036769</v>
      </c>
      <c r="J2376" t="s">
        <v>35</v>
      </c>
      <c r="K2376" t="s">
        <v>141</v>
      </c>
      <c r="L2376"/>
      <c r="M2376" t="n">
        <v>1974</v>
      </c>
      <c r="N2376" t="n">
        <v>1990</v>
      </c>
      <c r="O2376" t="s">
        <v>3860</v>
      </c>
      <c r="P2376" t="n">
        <v>4</v>
      </c>
      <c r="Q2376" t="n">
        <v>4</v>
      </c>
      <c r="R2376" t="n">
        <v>2</v>
      </c>
      <c r="S2376" t="n">
        <v>1970</v>
      </c>
      <c r="T2376" t="s">
        <v>15552</v>
      </c>
      <c r="U2376" t="s">
        <v>15553</v>
      </c>
      <c r="V2376" t="s">
        <v>74</v>
      </c>
      <c r="W2376"/>
      <c r="X2376"/>
      <c r="Y2376" t="s">
        <v>15554</v>
      </c>
      <c r="Z2376"/>
      <c r="AA2376"/>
      <c r="AB2376"/>
      <c r="AC2376"/>
      <c r="AD2376"/>
      <c r="AE2376"/>
      <c r="AF2376" t="s">
        <v>11311</v>
      </c>
      <c r="AG2376" t="n">
        <v>21</v>
      </c>
    </row>
    <row r="2377">
      <c r="A2377" t="s">
        <v>15555</v>
      </c>
      <c r="B2377" t="s">
        <v>28</v>
      </c>
      <c r="C2377" t="s">
        <v>65</v>
      </c>
      <c r="D2377" t="s">
        <v>15556</v>
      </c>
      <c r="E2377" t="s">
        <v>79</v>
      </c>
      <c r="F2377" t="s">
        <v>1274</v>
      </c>
      <c r="G2377" t="s">
        <v>1702</v>
      </c>
      <c r="H2377" t="n">
        <v>39.7792694245804</v>
      </c>
      <c r="I2377" t="n">
        <v>-104.863275577998</v>
      </c>
      <c r="J2377" t="s">
        <v>35</v>
      </c>
      <c r="K2377" t="s">
        <v>2274</v>
      </c>
      <c r="L2377"/>
      <c r="M2377" t="n">
        <v>1974</v>
      </c>
      <c r="N2377" t="n">
        <v>1990</v>
      </c>
      <c r="O2377" t="s">
        <v>453</v>
      </c>
      <c r="P2377" t="n">
        <v>4</v>
      </c>
      <c r="Q2377" t="n">
        <v>3</v>
      </c>
      <c r="R2377" t="n">
        <v>3</v>
      </c>
      <c r="S2377" t="n">
        <v>1972</v>
      </c>
      <c r="T2377" t="s">
        <v>15557</v>
      </c>
      <c r="U2377" t="s">
        <v>15558</v>
      </c>
      <c r="V2377" t="s">
        <v>74</v>
      </c>
      <c r="W2377"/>
      <c r="X2377"/>
      <c r="Y2377" t="s">
        <v>15559</v>
      </c>
      <c r="Z2377"/>
      <c r="AA2377"/>
      <c r="AB2377"/>
      <c r="AC2377"/>
      <c r="AD2377"/>
      <c r="AE2377"/>
      <c r="AF2377" t="s">
        <v>15560</v>
      </c>
      <c r="AG2377" t="n">
        <v>6</v>
      </c>
    </row>
    <row r="2378">
      <c r="A2378" t="s">
        <v>15561</v>
      </c>
      <c r="B2378" t="s">
        <v>28</v>
      </c>
      <c r="C2378" t="s">
        <v>65</v>
      </c>
      <c r="D2378" t="s">
        <v>15562</v>
      </c>
      <c r="E2378" t="s">
        <v>79</v>
      </c>
      <c r="F2378" t="s">
        <v>1274</v>
      </c>
      <c r="G2378" t="s">
        <v>1440</v>
      </c>
      <c r="H2378" t="n">
        <v>39.7818784279162</v>
      </c>
      <c r="I2378" t="n">
        <v>-104.999478249112</v>
      </c>
      <c r="J2378" t="s">
        <v>35</v>
      </c>
      <c r="K2378" t="s">
        <v>70</v>
      </c>
      <c r="L2378"/>
      <c r="M2378" t="n">
        <v>1974</v>
      </c>
      <c r="N2378" t="n">
        <v>1983</v>
      </c>
      <c r="O2378" t="s">
        <v>264</v>
      </c>
      <c r="P2378" t="n">
        <v>2</v>
      </c>
      <c r="Q2378" t="n">
        <v>2</v>
      </c>
      <c r="R2378" t="n">
        <v>1</v>
      </c>
      <c r="S2378" t="n">
        <v>1970</v>
      </c>
      <c r="T2378" t="s">
        <v>15563</v>
      </c>
      <c r="U2378" t="s">
        <v>15564</v>
      </c>
      <c r="V2378" t="s">
        <v>74</v>
      </c>
      <c r="W2378"/>
      <c r="X2378"/>
      <c r="Y2378" t="s">
        <v>15565</v>
      </c>
      <c r="Z2378"/>
      <c r="AA2378"/>
      <c r="AB2378" t="s">
        <v>1918</v>
      </c>
      <c r="AC2378" t="n">
        <v>236</v>
      </c>
      <c r="AD2378"/>
      <c r="AE2378"/>
      <c r="AF2378" t="s">
        <v>15566</v>
      </c>
      <c r="AG2378" t="n">
        <v>51</v>
      </c>
    </row>
    <row r="2379">
      <c r="A2379" t="s">
        <v>15567</v>
      </c>
      <c r="B2379" t="s">
        <v>28</v>
      </c>
      <c r="C2379" t="s">
        <v>65</v>
      </c>
      <c r="D2379" t="s">
        <v>15568</v>
      </c>
      <c r="E2379" t="s">
        <v>79</v>
      </c>
      <c r="F2379" t="s">
        <v>1274</v>
      </c>
      <c r="G2379" t="s">
        <v>1440</v>
      </c>
      <c r="H2379" t="n">
        <v>39.780159655963</v>
      </c>
      <c r="I2379" t="n">
        <v>-105.004460784479</v>
      </c>
      <c r="J2379" t="s">
        <v>35</v>
      </c>
      <c r="K2379" t="s">
        <v>81</v>
      </c>
      <c r="L2379"/>
      <c r="M2379" t="n">
        <v>1974</v>
      </c>
      <c r="N2379" t="n">
        <v>1990</v>
      </c>
      <c r="O2379" t="s">
        <v>15569</v>
      </c>
      <c r="P2379" t="n">
        <v>5</v>
      </c>
      <c r="Q2379" t="n">
        <v>10</v>
      </c>
      <c r="R2379" t="n">
        <v>3</v>
      </c>
      <c r="S2379" t="n">
        <v>1908</v>
      </c>
      <c r="T2379" t="s">
        <v>15570</v>
      </c>
      <c r="U2379" t="s">
        <v>15571</v>
      </c>
      <c r="V2379" t="s">
        <v>74</v>
      </c>
      <c r="W2379"/>
      <c r="X2379"/>
      <c r="Y2379" t="s">
        <v>15572</v>
      </c>
      <c r="Z2379"/>
      <c r="AA2379" t="s">
        <v>15573</v>
      </c>
      <c r="AB2379"/>
      <c r="AC2379"/>
      <c r="AD2379"/>
      <c r="AE2379"/>
      <c r="AF2379" t="s">
        <v>1920</v>
      </c>
      <c r="AG2379" t="n">
        <v>21</v>
      </c>
    </row>
    <row r="2380">
      <c r="A2380" t="s">
        <v>15574</v>
      </c>
      <c r="B2380" t="s">
        <v>28</v>
      </c>
      <c r="C2380" t="s">
        <v>65</v>
      </c>
      <c r="D2380" t="s">
        <v>15575</v>
      </c>
      <c r="E2380" t="s">
        <v>79</v>
      </c>
      <c r="F2380" t="s">
        <v>1274</v>
      </c>
      <c r="G2380" t="s">
        <v>1653</v>
      </c>
      <c r="H2380" t="n">
        <v>39.7739239591837</v>
      </c>
      <c r="I2380" t="n">
        <v>-104.931744</v>
      </c>
      <c r="J2380" t="s">
        <v>35</v>
      </c>
      <c r="K2380" t="s">
        <v>141</v>
      </c>
      <c r="L2380"/>
      <c r="M2380" t="n">
        <v>1974</v>
      </c>
      <c r="N2380" t="n">
        <v>1974</v>
      </c>
      <c r="O2380" t="s">
        <v>210</v>
      </c>
      <c r="P2380" t="n">
        <v>1</v>
      </c>
      <c r="Q2380" t="n">
        <v>1</v>
      </c>
      <c r="R2380" t="n">
        <v>1</v>
      </c>
      <c r="S2380" t="n">
        <v>1971</v>
      </c>
      <c r="T2380" t="s">
        <v>15576</v>
      </c>
      <c r="U2380" t="s">
        <v>15577</v>
      </c>
      <c r="V2380" t="s">
        <v>74</v>
      </c>
      <c r="W2380"/>
      <c r="X2380"/>
      <c r="Y2380" t="s">
        <v>15578</v>
      </c>
      <c r="Z2380"/>
      <c r="AA2380"/>
      <c r="AB2380"/>
      <c r="AC2380"/>
      <c r="AD2380" t="s">
        <v>11547</v>
      </c>
      <c r="AE2380" t="n">
        <v>205</v>
      </c>
      <c r="AF2380" t="s">
        <v>15579</v>
      </c>
      <c r="AG2380" t="n">
        <v>18</v>
      </c>
    </row>
    <row r="2381">
      <c r="A2381" t="s">
        <v>15580</v>
      </c>
      <c r="B2381" t="s">
        <v>28</v>
      </c>
      <c r="C2381" t="s">
        <v>65</v>
      </c>
      <c r="D2381" t="s">
        <v>15581</v>
      </c>
      <c r="E2381" t="s">
        <v>79</v>
      </c>
      <c r="F2381" t="s">
        <v>1274</v>
      </c>
      <c r="G2381" t="s">
        <v>1516</v>
      </c>
      <c r="H2381" t="n">
        <v>39.6681888238598</v>
      </c>
      <c r="I2381" t="n">
        <v>-104.996087056286</v>
      </c>
      <c r="J2381" t="s">
        <v>35</v>
      </c>
      <c r="K2381" t="s">
        <v>1786</v>
      </c>
      <c r="L2381" t="s">
        <v>554</v>
      </c>
      <c r="M2381" t="n">
        <v>1974</v>
      </c>
      <c r="N2381" t="n">
        <v>1990</v>
      </c>
      <c r="O2381" t="s">
        <v>8513</v>
      </c>
      <c r="P2381" t="n">
        <v>6</v>
      </c>
      <c r="Q2381" t="n">
        <v>7</v>
      </c>
      <c r="R2381" t="n">
        <v>4</v>
      </c>
      <c r="S2381" t="n">
        <v>1967</v>
      </c>
      <c r="T2381" t="s">
        <v>15582</v>
      </c>
      <c r="U2381" t="s">
        <v>15583</v>
      </c>
      <c r="V2381" t="s">
        <v>74</v>
      </c>
      <c r="W2381"/>
      <c r="X2381"/>
      <c r="Y2381" t="s">
        <v>15584</v>
      </c>
      <c r="Z2381"/>
      <c r="AA2381" t="s">
        <v>15585</v>
      </c>
      <c r="AB2381" t="s">
        <v>5711</v>
      </c>
      <c r="AC2381" t="n">
        <v>133</v>
      </c>
      <c r="AD2381"/>
      <c r="AE2381"/>
      <c r="AF2381" t="s">
        <v>15586</v>
      </c>
      <c r="AG2381" t="n">
        <v>4</v>
      </c>
    </row>
    <row r="2382">
      <c r="A2382" t="s">
        <v>15587</v>
      </c>
      <c r="B2382" t="s">
        <v>28</v>
      </c>
      <c r="C2382" t="s">
        <v>65</v>
      </c>
      <c r="D2382" t="s">
        <v>15588</v>
      </c>
      <c r="E2382" t="s">
        <v>79</v>
      </c>
      <c r="F2382" t="s">
        <v>1274</v>
      </c>
      <c r="G2382" t="s">
        <v>15589</v>
      </c>
      <c r="H2382" t="n">
        <v>39.7729052065462</v>
      </c>
      <c r="I2382" t="n">
        <v>-104.856981266874</v>
      </c>
      <c r="J2382" t="s">
        <v>35</v>
      </c>
      <c r="K2382" t="s">
        <v>120</v>
      </c>
      <c r="L2382"/>
      <c r="M2382" t="n">
        <v>1974</v>
      </c>
      <c r="N2382" t="n">
        <v>1980</v>
      </c>
      <c r="O2382" t="s">
        <v>221</v>
      </c>
      <c r="P2382" t="n">
        <v>2</v>
      </c>
      <c r="Q2382" t="n">
        <v>2</v>
      </c>
      <c r="R2382" t="n">
        <v>2</v>
      </c>
      <c r="S2382" t="n">
        <v>1947</v>
      </c>
      <c r="T2382" t="s">
        <v>15590</v>
      </c>
      <c r="U2382" t="s">
        <v>15591</v>
      </c>
      <c r="V2382" t="s">
        <v>74</v>
      </c>
      <c r="W2382"/>
      <c r="X2382"/>
      <c r="Y2382" t="s">
        <v>15592</v>
      </c>
      <c r="Z2382"/>
      <c r="AA2382" t="s">
        <v>15593</v>
      </c>
      <c r="AB2382"/>
      <c r="AC2382"/>
      <c r="AD2382" t="s">
        <v>11572</v>
      </c>
      <c r="AE2382" t="n">
        <v>176</v>
      </c>
      <c r="AF2382" t="s">
        <v>15594</v>
      </c>
      <c r="AG2382" t="n">
        <v>55</v>
      </c>
    </row>
    <row r="2383">
      <c r="A2383" t="s">
        <v>15595</v>
      </c>
      <c r="B2383" t="s">
        <v>28</v>
      </c>
      <c r="C2383" t="s">
        <v>65</v>
      </c>
      <c r="D2383" t="s">
        <v>15596</v>
      </c>
      <c r="E2383" t="s">
        <v>79</v>
      </c>
      <c r="F2383" t="s">
        <v>1274</v>
      </c>
      <c r="G2383" t="s">
        <v>1702</v>
      </c>
      <c r="H2383" t="n">
        <v>39.7848176889192</v>
      </c>
      <c r="I2383" t="n">
        <v>-104.852649810183</v>
      </c>
      <c r="J2383" t="s">
        <v>35</v>
      </c>
      <c r="K2383" t="s">
        <v>120</v>
      </c>
      <c r="L2383"/>
      <c r="M2383" t="n">
        <v>1974</v>
      </c>
      <c r="N2383" t="n">
        <v>1988</v>
      </c>
      <c r="O2383" t="s">
        <v>228</v>
      </c>
      <c r="P2383" t="n">
        <v>3</v>
      </c>
      <c r="Q2383" t="n">
        <v>3</v>
      </c>
      <c r="R2383" t="n">
        <v>1</v>
      </c>
      <c r="S2383" t="n">
        <v>1962</v>
      </c>
      <c r="T2383" t="s">
        <v>15597</v>
      </c>
      <c r="U2383" t="s">
        <v>15598</v>
      </c>
      <c r="V2383" t="s">
        <v>74</v>
      </c>
      <c r="W2383"/>
      <c r="X2383"/>
      <c r="Y2383" t="s">
        <v>15599</v>
      </c>
      <c r="Z2383"/>
      <c r="AA2383" t="s">
        <v>15600</v>
      </c>
      <c r="AB2383"/>
      <c r="AC2383"/>
      <c r="AD2383"/>
      <c r="AE2383"/>
      <c r="AF2383" t="s">
        <v>15601</v>
      </c>
      <c r="AG2383" t="n">
        <v>47</v>
      </c>
    </row>
    <row r="2384">
      <c r="A2384" t="s">
        <v>15602</v>
      </c>
      <c r="B2384" t="s">
        <v>28</v>
      </c>
      <c r="C2384" t="s">
        <v>65</v>
      </c>
      <c r="D2384" t="s">
        <v>15603</v>
      </c>
      <c r="E2384" t="s">
        <v>79</v>
      </c>
      <c r="F2384" t="s">
        <v>1274</v>
      </c>
      <c r="G2384" t="s">
        <v>1516</v>
      </c>
      <c r="H2384" t="n">
        <v>39.6821244414894</v>
      </c>
      <c r="I2384" t="n">
        <v>-105.004079159575</v>
      </c>
      <c r="J2384" t="s">
        <v>35</v>
      </c>
      <c r="K2384" t="s">
        <v>234</v>
      </c>
      <c r="L2384"/>
      <c r="M2384" t="n">
        <v>1974</v>
      </c>
      <c r="N2384" t="n">
        <v>1980</v>
      </c>
      <c r="O2384" t="s">
        <v>1888</v>
      </c>
      <c r="P2384" t="n">
        <v>3</v>
      </c>
      <c r="Q2384" t="n">
        <v>3</v>
      </c>
      <c r="R2384" t="n">
        <v>3</v>
      </c>
      <c r="S2384" t="n">
        <v>1965</v>
      </c>
      <c r="T2384" t="s">
        <v>15604</v>
      </c>
      <c r="U2384" t="s">
        <v>15605</v>
      </c>
      <c r="V2384" t="s">
        <v>74</v>
      </c>
      <c r="W2384"/>
      <c r="X2384"/>
      <c r="Y2384" t="s">
        <v>15606</v>
      </c>
      <c r="Z2384"/>
      <c r="AA2384" t="s">
        <v>15607</v>
      </c>
      <c r="AB2384"/>
      <c r="AC2384"/>
      <c r="AD2384"/>
      <c r="AE2384"/>
      <c r="AF2384" t="s">
        <v>15118</v>
      </c>
      <c r="AG2384" t="n">
        <v>31</v>
      </c>
    </row>
    <row r="2385">
      <c r="A2385" t="s">
        <v>15608</v>
      </c>
      <c r="B2385" t="s">
        <v>28</v>
      </c>
      <c r="C2385" t="s">
        <v>65</v>
      </c>
      <c r="D2385" t="s">
        <v>15609</v>
      </c>
      <c r="E2385" t="s">
        <v>79</v>
      </c>
      <c r="F2385" t="s">
        <v>1274</v>
      </c>
      <c r="G2385" t="s">
        <v>1516</v>
      </c>
      <c r="H2385" t="n">
        <v>39.6782228911803</v>
      </c>
      <c r="I2385" t="n">
        <v>-104.999476447335</v>
      </c>
      <c r="J2385" t="s">
        <v>35</v>
      </c>
      <c r="K2385" t="s">
        <v>120</v>
      </c>
      <c r="L2385"/>
      <c r="M2385" t="n">
        <v>1974</v>
      </c>
      <c r="N2385" t="n">
        <v>1992</v>
      </c>
      <c r="O2385" t="s">
        <v>255</v>
      </c>
      <c r="P2385" t="n">
        <v>5</v>
      </c>
      <c r="Q2385" t="n">
        <v>5</v>
      </c>
      <c r="R2385" t="n">
        <v>1</v>
      </c>
      <c r="S2385" t="n">
        <v>1968</v>
      </c>
      <c r="T2385" t="s">
        <v>15610</v>
      </c>
      <c r="U2385" t="s">
        <v>15611</v>
      </c>
      <c r="V2385" t="s">
        <v>74</v>
      </c>
      <c r="W2385"/>
      <c r="X2385"/>
      <c r="Y2385" t="s">
        <v>15612</v>
      </c>
      <c r="Z2385"/>
      <c r="AA2385" t="s">
        <v>15613</v>
      </c>
      <c r="AB2385" t="s">
        <v>6780</v>
      </c>
      <c r="AC2385" t="n">
        <v>202</v>
      </c>
      <c r="AD2385" t="s">
        <v>8989</v>
      </c>
      <c r="AE2385" t="n">
        <v>206</v>
      </c>
      <c r="AF2385" t="s">
        <v>15614</v>
      </c>
      <c r="AG2385" t="n">
        <v>40</v>
      </c>
    </row>
    <row r="2386">
      <c r="A2386" t="s">
        <v>15615</v>
      </c>
      <c r="B2386" t="s">
        <v>28</v>
      </c>
      <c r="C2386" t="s">
        <v>65</v>
      </c>
      <c r="D2386" t="s">
        <v>15616</v>
      </c>
      <c r="E2386" t="s">
        <v>79</v>
      </c>
      <c r="F2386" t="s">
        <v>1274</v>
      </c>
      <c r="G2386" t="s">
        <v>1440</v>
      </c>
      <c r="H2386" t="n">
        <v>39.7692827103604</v>
      </c>
      <c r="I2386" t="n">
        <v>-105.024118084813</v>
      </c>
      <c r="J2386" t="s">
        <v>35</v>
      </c>
      <c r="K2386" t="s">
        <v>70</v>
      </c>
      <c r="L2386"/>
      <c r="M2386" t="n">
        <v>1974</v>
      </c>
      <c r="N2386" t="n">
        <v>1977</v>
      </c>
      <c r="O2386" t="s">
        <v>1830</v>
      </c>
      <c r="P2386" t="n">
        <v>2</v>
      </c>
      <c r="Q2386" t="n">
        <v>1</v>
      </c>
      <c r="R2386" t="n">
        <v>1</v>
      </c>
      <c r="S2386" t="n">
        <v>1951</v>
      </c>
      <c r="T2386" t="s">
        <v>15617</v>
      </c>
      <c r="U2386" t="s">
        <v>15618</v>
      </c>
      <c r="V2386" t="s">
        <v>74</v>
      </c>
      <c r="W2386"/>
      <c r="X2386"/>
      <c r="Y2386" t="s">
        <v>15619</v>
      </c>
      <c r="Z2386"/>
      <c r="AA2386"/>
      <c r="AB2386"/>
      <c r="AC2386"/>
      <c r="AD2386"/>
      <c r="AE2386"/>
      <c r="AF2386" t="s">
        <v>1259</v>
      </c>
      <c r="AG2386" t="n">
        <v>37</v>
      </c>
    </row>
    <row r="2387">
      <c r="A2387" t="s">
        <v>15620</v>
      </c>
      <c r="B2387" t="s">
        <v>28</v>
      </c>
      <c r="C2387" t="s">
        <v>65</v>
      </c>
      <c r="D2387" t="s">
        <v>15621</v>
      </c>
      <c r="E2387" t="s">
        <v>79</v>
      </c>
      <c r="F2387" t="s">
        <v>1274</v>
      </c>
      <c r="G2387" t="s">
        <v>1516</v>
      </c>
      <c r="H2387" t="n">
        <v>39.6731930818991</v>
      </c>
      <c r="I2387" t="n">
        <v>-105.000612</v>
      </c>
      <c r="J2387" t="s">
        <v>35</v>
      </c>
      <c r="K2387" t="s">
        <v>120</v>
      </c>
      <c r="L2387"/>
      <c r="M2387" t="n">
        <v>1974</v>
      </c>
      <c r="N2387" t="n">
        <v>1988</v>
      </c>
      <c r="O2387" t="s">
        <v>210</v>
      </c>
      <c r="P2387" t="n">
        <v>3</v>
      </c>
      <c r="Q2387" t="n">
        <v>3</v>
      </c>
      <c r="R2387" t="n">
        <v>1</v>
      </c>
      <c r="S2387" t="n">
        <v>1974</v>
      </c>
      <c r="T2387" t="s">
        <v>15622</v>
      </c>
      <c r="U2387" t="s">
        <v>15623</v>
      </c>
      <c r="V2387" t="s">
        <v>74</v>
      </c>
      <c r="W2387"/>
      <c r="X2387"/>
      <c r="Y2387" t="s">
        <v>15624</v>
      </c>
      <c r="Z2387"/>
      <c r="AA2387"/>
      <c r="AB2387"/>
      <c r="AC2387"/>
      <c r="AD2387"/>
      <c r="AE2387"/>
      <c r="AF2387" t="s">
        <v>15625</v>
      </c>
      <c r="AG2387" t="n">
        <v>18</v>
      </c>
    </row>
    <row r="2388">
      <c r="A2388" t="s">
        <v>15626</v>
      </c>
      <c r="B2388" t="s">
        <v>28</v>
      </c>
      <c r="C2388" t="s">
        <v>65</v>
      </c>
      <c r="D2388" t="s">
        <v>15627</v>
      </c>
      <c r="E2388" t="s">
        <v>79</v>
      </c>
      <c r="F2388" t="s">
        <v>1274</v>
      </c>
      <c r="G2388" t="s">
        <v>1516</v>
      </c>
      <c r="H2388" t="n">
        <v>39.6767967149902</v>
      </c>
      <c r="I2388" t="n">
        <v>-105.001772612582</v>
      </c>
      <c r="J2388" t="s">
        <v>35</v>
      </c>
      <c r="K2388" t="s">
        <v>141</v>
      </c>
      <c r="L2388"/>
      <c r="M2388" t="n">
        <v>1974</v>
      </c>
      <c r="N2388" t="n">
        <v>1983</v>
      </c>
      <c r="O2388" t="s">
        <v>3860</v>
      </c>
      <c r="P2388" t="n">
        <v>3</v>
      </c>
      <c r="Q2388" t="n">
        <v>2</v>
      </c>
      <c r="R2388" t="n">
        <v>2</v>
      </c>
      <c r="S2388" t="n">
        <v>1958</v>
      </c>
      <c r="T2388" t="s">
        <v>15628</v>
      </c>
      <c r="U2388" t="s">
        <v>15629</v>
      </c>
      <c r="V2388" t="s">
        <v>74</v>
      </c>
      <c r="W2388"/>
      <c r="X2388"/>
      <c r="Y2388" t="s">
        <v>15630</v>
      </c>
      <c r="Z2388"/>
      <c r="AA2388" t="s">
        <v>15631</v>
      </c>
      <c r="AB2388"/>
      <c r="AC2388"/>
      <c r="AD2388" t="s">
        <v>8989</v>
      </c>
      <c r="AE2388" t="n">
        <v>204</v>
      </c>
      <c r="AF2388" t="s">
        <v>15632</v>
      </c>
      <c r="AG2388" t="n">
        <v>4</v>
      </c>
    </row>
    <row r="2389">
      <c r="A2389" t="s">
        <v>15633</v>
      </c>
      <c r="B2389" t="s">
        <v>28</v>
      </c>
      <c r="C2389" t="s">
        <v>65</v>
      </c>
      <c r="D2389" t="s">
        <v>15634</v>
      </c>
      <c r="E2389" t="s">
        <v>79</v>
      </c>
      <c r="F2389" t="s">
        <v>1274</v>
      </c>
      <c r="G2389" t="s">
        <v>1881</v>
      </c>
      <c r="H2389" t="n">
        <v>39.7713553385808</v>
      </c>
      <c r="I2389" t="n">
        <v>-104.891549024016</v>
      </c>
      <c r="J2389" t="s">
        <v>35</v>
      </c>
      <c r="K2389" t="s">
        <v>70</v>
      </c>
      <c r="L2389"/>
      <c r="M2389" t="n">
        <v>1974</v>
      </c>
      <c r="N2389" t="n">
        <v>1992</v>
      </c>
      <c r="O2389" t="s">
        <v>1003</v>
      </c>
      <c r="P2389" t="n">
        <v>3</v>
      </c>
      <c r="Q2389" t="n">
        <v>2</v>
      </c>
      <c r="R2389" t="n">
        <v>1</v>
      </c>
      <c r="S2389" t="n">
        <v>1966</v>
      </c>
      <c r="T2389" t="s">
        <v>15635</v>
      </c>
      <c r="U2389" t="s">
        <v>15636</v>
      </c>
      <c r="V2389" t="s">
        <v>74</v>
      </c>
      <c r="W2389"/>
      <c r="X2389"/>
      <c r="Y2389" t="s">
        <v>15637</v>
      </c>
      <c r="Z2389"/>
      <c r="AA2389"/>
      <c r="AB2389" t="s">
        <v>1884</v>
      </c>
      <c r="AC2389" t="n">
        <v>166</v>
      </c>
      <c r="AD2389" t="s">
        <v>1884</v>
      </c>
      <c r="AE2389" t="n">
        <v>140</v>
      </c>
      <c r="AF2389" t="s">
        <v>11488</v>
      </c>
      <c r="AG2389" t="n">
        <v>8</v>
      </c>
    </row>
    <row r="2390">
      <c r="A2390" t="s">
        <v>15638</v>
      </c>
      <c r="B2390" t="s">
        <v>28</v>
      </c>
      <c r="C2390" t="s">
        <v>65</v>
      </c>
      <c r="D2390" t="s">
        <v>15639</v>
      </c>
      <c r="E2390" t="s">
        <v>79</v>
      </c>
      <c r="F2390" t="s">
        <v>1274</v>
      </c>
      <c r="G2390" t="s">
        <v>1516</v>
      </c>
      <c r="H2390" t="n">
        <v>39.674859</v>
      </c>
      <c r="I2390" t="n">
        <v>-105.000616</v>
      </c>
      <c r="J2390" t="s">
        <v>35</v>
      </c>
      <c r="K2390" t="s">
        <v>234</v>
      </c>
      <c r="L2390"/>
      <c r="M2390" t="n">
        <v>1974</v>
      </c>
      <c r="N2390" t="n">
        <v>1990</v>
      </c>
      <c r="O2390" t="s">
        <v>499</v>
      </c>
      <c r="P2390" t="n">
        <v>5</v>
      </c>
      <c r="Q2390" t="n">
        <v>2</v>
      </c>
      <c r="R2390" t="n">
        <v>2</v>
      </c>
      <c r="S2390" t="n">
        <v>1971</v>
      </c>
      <c r="T2390" t="s">
        <v>15640</v>
      </c>
      <c r="U2390" t="s">
        <v>15641</v>
      </c>
      <c r="V2390" t="s">
        <v>74</v>
      </c>
      <c r="W2390"/>
      <c r="X2390"/>
      <c r="Y2390" t="s">
        <v>15642</v>
      </c>
      <c r="Z2390"/>
      <c r="AA2390" t="s">
        <v>15643</v>
      </c>
      <c r="AB2390"/>
      <c r="AC2390"/>
      <c r="AD2390" t="s">
        <v>8989</v>
      </c>
      <c r="AE2390" t="n">
        <v>195</v>
      </c>
      <c r="AF2390" t="s">
        <v>15644</v>
      </c>
      <c r="AG2390" t="n">
        <v>37</v>
      </c>
    </row>
    <row r="2391">
      <c r="A2391" t="s">
        <v>15645</v>
      </c>
      <c r="B2391" t="s">
        <v>28</v>
      </c>
      <c r="C2391" t="s">
        <v>65</v>
      </c>
      <c r="D2391" t="s">
        <v>15646</v>
      </c>
      <c r="E2391" t="s">
        <v>79</v>
      </c>
      <c r="F2391" t="s">
        <v>1274</v>
      </c>
      <c r="G2391" t="s">
        <v>1516</v>
      </c>
      <c r="H2391" t="n">
        <v>39.6681229960915</v>
      </c>
      <c r="I2391" t="n">
        <v>-104.992291718811</v>
      </c>
      <c r="J2391" t="s">
        <v>35</v>
      </c>
      <c r="K2391" t="s">
        <v>70</v>
      </c>
      <c r="L2391"/>
      <c r="M2391" t="n">
        <v>1974</v>
      </c>
      <c r="N2391" t="n">
        <v>1983</v>
      </c>
      <c r="O2391" t="s">
        <v>3860</v>
      </c>
      <c r="P2391" t="n">
        <v>3</v>
      </c>
      <c r="Q2391" t="n">
        <v>1</v>
      </c>
      <c r="R2391" t="n">
        <v>1</v>
      </c>
      <c r="S2391" t="n">
        <v>1971</v>
      </c>
      <c r="T2391" t="s">
        <v>15647</v>
      </c>
      <c r="U2391" t="s">
        <v>15648</v>
      </c>
      <c r="V2391" t="s">
        <v>74</v>
      </c>
      <c r="W2391"/>
      <c r="X2391"/>
      <c r="Y2391" t="s">
        <v>15649</v>
      </c>
      <c r="Z2391"/>
      <c r="AA2391"/>
      <c r="AB2391" t="s">
        <v>8402</v>
      </c>
      <c r="AC2391" t="n">
        <v>226</v>
      </c>
      <c r="AD2391" t="s">
        <v>1664</v>
      </c>
      <c r="AE2391" t="n">
        <v>202</v>
      </c>
      <c r="AF2391" t="s">
        <v>15650</v>
      </c>
      <c r="AG2391" t="n">
        <v>3</v>
      </c>
    </row>
    <row r="2392">
      <c r="A2392" t="s">
        <v>15651</v>
      </c>
      <c r="B2392" t="s">
        <v>28</v>
      </c>
      <c r="C2392" t="s">
        <v>65</v>
      </c>
      <c r="D2392" t="s">
        <v>15652</v>
      </c>
      <c r="E2392" t="s">
        <v>79</v>
      </c>
      <c r="F2392" t="s">
        <v>1274</v>
      </c>
      <c r="G2392" t="s">
        <v>1516</v>
      </c>
      <c r="H2392" t="n">
        <v>39.7029348182417</v>
      </c>
      <c r="I2392" t="n">
        <v>-104.99918179685</v>
      </c>
      <c r="J2392" t="s">
        <v>35</v>
      </c>
      <c r="K2392" t="s">
        <v>89</v>
      </c>
      <c r="L2392"/>
      <c r="M2392" t="n">
        <v>1974</v>
      </c>
      <c r="N2392" t="n">
        <v>1980</v>
      </c>
      <c r="O2392" t="s">
        <v>255</v>
      </c>
      <c r="P2392" t="n">
        <v>2</v>
      </c>
      <c r="Q2392" t="n">
        <v>2</v>
      </c>
      <c r="R2392" t="n">
        <v>1</v>
      </c>
      <c r="S2392" t="n">
        <v>1969</v>
      </c>
      <c r="T2392" t="s">
        <v>15653</v>
      </c>
      <c r="U2392" t="s">
        <v>15654</v>
      </c>
      <c r="V2392" t="s">
        <v>74</v>
      </c>
      <c r="W2392"/>
      <c r="X2392"/>
      <c r="Y2392" t="s">
        <v>15655</v>
      </c>
      <c r="Z2392"/>
      <c r="AA2392"/>
      <c r="AB2392" t="s">
        <v>11200</v>
      </c>
      <c r="AC2392" t="n">
        <v>115</v>
      </c>
      <c r="AD2392"/>
      <c r="AE2392"/>
      <c r="AF2392" t="s">
        <v>15656</v>
      </c>
      <c r="AG2392" t="n">
        <v>43</v>
      </c>
    </row>
    <row r="2393">
      <c r="A2393" t="s">
        <v>15657</v>
      </c>
      <c r="B2393" t="s">
        <v>28</v>
      </c>
      <c r="C2393" t="s">
        <v>65</v>
      </c>
      <c r="D2393" t="s">
        <v>15658</v>
      </c>
      <c r="E2393" t="s">
        <v>79</v>
      </c>
      <c r="F2393" t="s">
        <v>1274</v>
      </c>
      <c r="G2393" t="s">
        <v>1911</v>
      </c>
      <c r="H2393" t="n">
        <v>39.7401435495153</v>
      </c>
      <c r="I2393" t="n">
        <v>-104.926590322504</v>
      </c>
      <c r="J2393" t="s">
        <v>35</v>
      </c>
      <c r="K2393" t="s">
        <v>527</v>
      </c>
      <c r="L2393"/>
      <c r="M2393" t="n">
        <v>1974</v>
      </c>
      <c r="N2393" t="n">
        <v>1977</v>
      </c>
      <c r="O2393" t="s">
        <v>210</v>
      </c>
      <c r="P2393" t="n">
        <v>2</v>
      </c>
      <c r="Q2393" t="n">
        <v>2</v>
      </c>
      <c r="R2393" t="n">
        <v>1</v>
      </c>
      <c r="S2393" t="n">
        <v>1972</v>
      </c>
      <c r="T2393" t="s">
        <v>15659</v>
      </c>
      <c r="U2393" t="s">
        <v>15660</v>
      </c>
      <c r="V2393" t="s">
        <v>74</v>
      </c>
      <c r="W2393"/>
      <c r="X2393"/>
      <c r="Y2393" t="s">
        <v>15661</v>
      </c>
      <c r="Z2393"/>
      <c r="AA2393" t="s">
        <v>15662</v>
      </c>
      <c r="AB2393" t="s">
        <v>8997</v>
      </c>
      <c r="AC2393" t="n">
        <v>237</v>
      </c>
      <c r="AD2393"/>
      <c r="AE2393"/>
      <c r="AF2393" t="s">
        <v>744</v>
      </c>
      <c r="AG2393" t="n">
        <v>8</v>
      </c>
    </row>
    <row r="2394">
      <c r="A2394" t="s">
        <v>15663</v>
      </c>
      <c r="B2394" t="s">
        <v>28</v>
      </c>
      <c r="C2394" t="s">
        <v>65</v>
      </c>
      <c r="D2394" t="s">
        <v>15664</v>
      </c>
      <c r="E2394" t="s">
        <v>79</v>
      </c>
      <c r="F2394" t="s">
        <v>1274</v>
      </c>
      <c r="G2394" t="s">
        <v>1702</v>
      </c>
      <c r="H2394" t="n">
        <v>39.7817056676255</v>
      </c>
      <c r="I2394" t="n">
        <v>-104.861322937735</v>
      </c>
      <c r="J2394" t="s">
        <v>35</v>
      </c>
      <c r="K2394" t="s">
        <v>70</v>
      </c>
      <c r="L2394"/>
      <c r="M2394" t="n">
        <v>1974</v>
      </c>
      <c r="N2394" t="n">
        <v>1990</v>
      </c>
      <c r="O2394" t="s">
        <v>255</v>
      </c>
      <c r="P2394" t="n">
        <v>4</v>
      </c>
      <c r="Q2394" t="n">
        <v>4</v>
      </c>
      <c r="R2394" t="n">
        <v>1</v>
      </c>
      <c r="S2394" t="n">
        <v>1954</v>
      </c>
      <c r="T2394" t="s">
        <v>15665</v>
      </c>
      <c r="U2394" t="s">
        <v>15666</v>
      </c>
      <c r="V2394" t="s">
        <v>74</v>
      </c>
      <c r="W2394"/>
      <c r="X2394"/>
      <c r="Y2394" t="s">
        <v>15667</v>
      </c>
      <c r="Z2394"/>
      <c r="AA2394" t="s">
        <v>15668</v>
      </c>
      <c r="AB2394"/>
      <c r="AC2394"/>
      <c r="AD2394"/>
      <c r="AE2394"/>
      <c r="AF2394" t="s">
        <v>15669</v>
      </c>
      <c r="AG2394" t="n">
        <v>1</v>
      </c>
    </row>
    <row r="2395">
      <c r="A2395" t="s">
        <v>15670</v>
      </c>
      <c r="B2395" t="s">
        <v>28</v>
      </c>
      <c r="C2395" t="s">
        <v>65</v>
      </c>
      <c r="D2395" t="s">
        <v>15671</v>
      </c>
      <c r="E2395" t="s">
        <v>79</v>
      </c>
      <c r="F2395" t="s">
        <v>1274</v>
      </c>
      <c r="G2395" t="s">
        <v>1516</v>
      </c>
      <c r="H2395" t="n">
        <v>39.7735344087809</v>
      </c>
      <c r="I2395" t="n">
        <v>-105.011221</v>
      </c>
      <c r="J2395" t="s">
        <v>35</v>
      </c>
      <c r="K2395" t="s">
        <v>315</v>
      </c>
      <c r="L2395"/>
      <c r="M2395" t="n">
        <v>1974</v>
      </c>
      <c r="N2395" t="n">
        <v>1974</v>
      </c>
      <c r="O2395" t="s">
        <v>210</v>
      </c>
      <c r="P2395" t="n">
        <v>1</v>
      </c>
      <c r="Q2395" t="n">
        <v>1</v>
      </c>
      <c r="R2395" t="n">
        <v>1</v>
      </c>
      <c r="S2395" t="n">
        <v>1962</v>
      </c>
      <c r="T2395" t="s">
        <v>15672</v>
      </c>
      <c r="U2395" t="s">
        <v>15673</v>
      </c>
      <c r="V2395" t="s">
        <v>74</v>
      </c>
      <c r="W2395"/>
      <c r="X2395"/>
      <c r="Y2395" t="s">
        <v>15674</v>
      </c>
      <c r="Z2395"/>
      <c r="AA2395"/>
      <c r="AB2395"/>
      <c r="AC2395"/>
      <c r="AD2395"/>
      <c r="AE2395"/>
      <c r="AF2395" t="s">
        <v>15675</v>
      </c>
      <c r="AG2395" t="n">
        <v>40</v>
      </c>
    </row>
    <row r="2396">
      <c r="A2396" t="s">
        <v>15676</v>
      </c>
      <c r="B2396" t="s">
        <v>28</v>
      </c>
      <c r="C2396" t="s">
        <v>24</v>
      </c>
      <c r="D2396" t="s">
        <v>15677</v>
      </c>
      <c r="E2396" t="s">
        <v>79</v>
      </c>
      <c r="F2396" t="s">
        <v>1274</v>
      </c>
      <c r="G2396" t="s">
        <v>1509</v>
      </c>
      <c r="H2396" t="n">
        <v>39.7413085834558</v>
      </c>
      <c r="I2396" t="n">
        <v>-104.987393316695</v>
      </c>
      <c r="J2396" t="s">
        <v>4109</v>
      </c>
      <c r="K2396" t="s">
        <v>120</v>
      </c>
      <c r="L2396"/>
      <c r="M2396" t="n">
        <v>1974</v>
      </c>
      <c r="N2396" t="n">
        <v>1990</v>
      </c>
      <c r="O2396" t="s">
        <v>325</v>
      </c>
      <c r="P2396" t="n">
        <v>5</v>
      </c>
      <c r="Q2396" t="n">
        <v>6</v>
      </c>
      <c r="R2396" t="n">
        <v>1</v>
      </c>
      <c r="S2396" t="n">
        <v>1895</v>
      </c>
      <c r="T2396" t="s">
        <v>15678</v>
      </c>
      <c r="U2396" t="s">
        <v>15679</v>
      </c>
      <c r="V2396" t="s">
        <v>74</v>
      </c>
      <c r="W2396"/>
      <c r="X2396"/>
      <c r="Y2396" t="s">
        <v>15680</v>
      </c>
      <c r="Z2396"/>
      <c r="AA2396" t="s">
        <v>15681</v>
      </c>
      <c r="AB2396" t="s">
        <v>9122</v>
      </c>
      <c r="AC2396" t="n">
        <v>192</v>
      </c>
      <c r="AD2396"/>
      <c r="AE2396"/>
      <c r="AF2396" t="s">
        <v>15682</v>
      </c>
      <c r="AG2396" t="n">
        <v>35</v>
      </c>
    </row>
    <row r="2397">
      <c r="A2397" t="s">
        <v>15683</v>
      </c>
      <c r="B2397" t="s">
        <v>28</v>
      </c>
      <c r="C2397" t="s">
        <v>24</v>
      </c>
      <c r="D2397" t="s">
        <v>15684</v>
      </c>
      <c r="E2397" t="s">
        <v>79</v>
      </c>
      <c r="F2397" t="s">
        <v>1274</v>
      </c>
      <c r="G2397" t="s">
        <v>1702</v>
      </c>
      <c r="H2397" t="n">
        <v>39.733647</v>
      </c>
      <c r="I2397" t="n">
        <v>-104.943319164776</v>
      </c>
      <c r="J2397" t="s">
        <v>4109</v>
      </c>
      <c r="K2397" t="s">
        <v>133</v>
      </c>
      <c r="L2397"/>
      <c r="M2397" t="n">
        <v>1977</v>
      </c>
      <c r="N2397" t="n">
        <v>1980</v>
      </c>
      <c r="O2397" t="s">
        <v>1949</v>
      </c>
      <c r="P2397" t="n">
        <v>2</v>
      </c>
      <c r="Q2397" t="n">
        <v>1</v>
      </c>
      <c r="R2397" t="n">
        <v>1</v>
      </c>
      <c r="S2397" t="n">
        <v>1975</v>
      </c>
      <c r="T2397" t="s">
        <v>15685</v>
      </c>
      <c r="U2397" t="s">
        <v>15686</v>
      </c>
      <c r="V2397" t="s">
        <v>74</v>
      </c>
      <c r="W2397"/>
      <c r="X2397"/>
      <c r="Y2397" t="s">
        <v>15687</v>
      </c>
      <c r="Z2397"/>
      <c r="AA2397" t="s">
        <v>15688</v>
      </c>
      <c r="AB2397"/>
      <c r="AC2397"/>
      <c r="AD2397"/>
      <c r="AE2397"/>
      <c r="AF2397" t="s">
        <v>15689</v>
      </c>
      <c r="AG2397" t="n">
        <v>97</v>
      </c>
    </row>
    <row r="2398">
      <c r="A2398" t="s">
        <v>15690</v>
      </c>
      <c r="B2398" t="s">
        <v>28</v>
      </c>
      <c r="C2398" t="s">
        <v>65</v>
      </c>
      <c r="D2398" t="s">
        <v>15691</v>
      </c>
      <c r="E2398" t="s">
        <v>79</v>
      </c>
      <c r="F2398" t="s">
        <v>1274</v>
      </c>
      <c r="G2398" t="s">
        <v>1702</v>
      </c>
      <c r="H2398" t="n">
        <v>39.767127744895</v>
      </c>
      <c r="I2398" t="n">
        <v>-104.833006836656</v>
      </c>
      <c r="J2398" t="s">
        <v>35</v>
      </c>
      <c r="K2398" t="s">
        <v>201</v>
      </c>
      <c r="L2398"/>
      <c r="M2398" t="n">
        <v>1977</v>
      </c>
      <c r="N2398" t="n">
        <v>1990</v>
      </c>
      <c r="O2398" t="s">
        <v>540</v>
      </c>
      <c r="P2398" t="n">
        <v>5</v>
      </c>
      <c r="Q2398" t="n">
        <v>6</v>
      </c>
      <c r="R2398" t="n">
        <v>4</v>
      </c>
      <c r="S2398" t="n">
        <v>1966</v>
      </c>
      <c r="T2398" t="s">
        <v>15692</v>
      </c>
      <c r="U2398" t="s">
        <v>15693</v>
      </c>
      <c r="V2398" t="s">
        <v>74</v>
      </c>
      <c r="W2398"/>
      <c r="X2398"/>
      <c r="Y2398" t="s">
        <v>15694</v>
      </c>
      <c r="Z2398"/>
      <c r="AA2398"/>
      <c r="AB2398" t="s">
        <v>11523</v>
      </c>
      <c r="AC2398" t="n">
        <v>185</v>
      </c>
      <c r="AD2398"/>
      <c r="AE2398"/>
      <c r="AF2398" t="s">
        <v>15695</v>
      </c>
      <c r="AG2398" t="n">
        <v>38</v>
      </c>
    </row>
    <row r="2399">
      <c r="A2399" t="s">
        <v>15696</v>
      </c>
      <c r="B2399" t="s">
        <v>28</v>
      </c>
      <c r="C2399" t="s">
        <v>65</v>
      </c>
      <c r="D2399" t="s">
        <v>15697</v>
      </c>
      <c r="E2399" t="s">
        <v>79</v>
      </c>
      <c r="F2399" t="s">
        <v>1274</v>
      </c>
      <c r="G2399" t="s">
        <v>2041</v>
      </c>
      <c r="H2399" t="n">
        <v>39.676634</v>
      </c>
      <c r="I2399" t="n">
        <v>-104.889329</v>
      </c>
      <c r="J2399" t="s">
        <v>35</v>
      </c>
      <c r="K2399" t="s">
        <v>133</v>
      </c>
      <c r="L2399" t="s">
        <v>554</v>
      </c>
      <c r="M2399" t="n">
        <v>1977</v>
      </c>
      <c r="N2399" t="n">
        <v>1990</v>
      </c>
      <c r="O2399" t="s">
        <v>1487</v>
      </c>
      <c r="P2399" t="n">
        <v>5</v>
      </c>
      <c r="Q2399" t="n">
        <v>3</v>
      </c>
      <c r="R2399" t="n">
        <v>2</v>
      </c>
      <c r="S2399" t="n">
        <v>1958</v>
      </c>
      <c r="T2399" t="s">
        <v>15698</v>
      </c>
      <c r="U2399" t="s">
        <v>15699</v>
      </c>
      <c r="V2399" t="s">
        <v>74</v>
      </c>
      <c r="W2399"/>
      <c r="X2399"/>
      <c r="Y2399" t="s">
        <v>15700</v>
      </c>
      <c r="Z2399"/>
      <c r="AA2399" t="s">
        <v>15701</v>
      </c>
      <c r="AB2399"/>
      <c r="AC2399"/>
      <c r="AD2399"/>
      <c r="AE2399"/>
      <c r="AF2399" t="s">
        <v>15702</v>
      </c>
      <c r="AG2399" t="n">
        <v>42</v>
      </c>
    </row>
    <row r="2400">
      <c r="A2400" t="s">
        <v>15703</v>
      </c>
      <c r="B2400" t="s">
        <v>28</v>
      </c>
      <c r="C2400" t="s">
        <v>65</v>
      </c>
      <c r="D2400" t="s">
        <v>15704</v>
      </c>
      <c r="E2400" t="s">
        <v>79</v>
      </c>
      <c r="F2400" t="s">
        <v>1274</v>
      </c>
      <c r="G2400" t="s">
        <v>1824</v>
      </c>
      <c r="H2400" t="n">
        <v>39.7138543444235</v>
      </c>
      <c r="I2400" t="n">
        <v>-104.987536228877</v>
      </c>
      <c r="J2400" t="s">
        <v>35</v>
      </c>
      <c r="K2400" t="s">
        <v>70</v>
      </c>
      <c r="L2400"/>
      <c r="M2400" t="n">
        <v>1977</v>
      </c>
      <c r="N2400" t="n">
        <v>1990</v>
      </c>
      <c r="O2400" t="s">
        <v>1949</v>
      </c>
      <c r="P2400" t="n">
        <v>3</v>
      </c>
      <c r="Q2400" t="n">
        <v>2</v>
      </c>
      <c r="R2400" t="n">
        <v>1</v>
      </c>
      <c r="S2400" t="n">
        <v>1986</v>
      </c>
      <c r="T2400" t="s">
        <v>15705</v>
      </c>
      <c r="U2400" t="s">
        <v>15706</v>
      </c>
      <c r="V2400" t="s">
        <v>74</v>
      </c>
      <c r="W2400"/>
      <c r="X2400"/>
      <c r="Y2400" t="s">
        <v>15707</v>
      </c>
      <c r="Z2400"/>
      <c r="AA2400"/>
      <c r="AB2400" t="s">
        <v>15708</v>
      </c>
      <c r="AC2400" t="n">
        <v>109</v>
      </c>
      <c r="AD2400"/>
      <c r="AE2400"/>
      <c r="AF2400" t="s">
        <v>15709</v>
      </c>
      <c r="AG2400" t="n">
        <v>3</v>
      </c>
    </row>
    <row r="2401">
      <c r="A2401" t="s">
        <v>15710</v>
      </c>
      <c r="B2401" t="s">
        <v>28</v>
      </c>
      <c r="C2401" t="s">
        <v>65</v>
      </c>
      <c r="D2401" t="s">
        <v>15711</v>
      </c>
      <c r="E2401" t="s">
        <v>79</v>
      </c>
      <c r="F2401" t="s">
        <v>1274</v>
      </c>
      <c r="G2401" t="s">
        <v>1516</v>
      </c>
      <c r="H2401" t="n">
        <v>39.6812552496304</v>
      </c>
      <c r="I2401" t="n">
        <v>-105.001791475136</v>
      </c>
      <c r="J2401" t="s">
        <v>35</v>
      </c>
      <c r="K2401" t="s">
        <v>315</v>
      </c>
      <c r="L2401"/>
      <c r="M2401" t="n">
        <v>1977</v>
      </c>
      <c r="N2401" t="n">
        <v>1983</v>
      </c>
      <c r="O2401" t="s">
        <v>3217</v>
      </c>
      <c r="P2401" t="n">
        <v>2</v>
      </c>
      <c r="Q2401" t="n">
        <v>1</v>
      </c>
      <c r="R2401" t="n">
        <v>1</v>
      </c>
      <c r="S2401" t="n">
        <v>1926</v>
      </c>
      <c r="T2401" t="s">
        <v>15712</v>
      </c>
      <c r="U2401" t="s">
        <v>15713</v>
      </c>
      <c r="V2401" t="s">
        <v>74</v>
      </c>
      <c r="W2401"/>
      <c r="X2401"/>
      <c r="Y2401" t="s">
        <v>15714</v>
      </c>
      <c r="Z2401"/>
      <c r="AA2401"/>
      <c r="AB2401"/>
      <c r="AC2401"/>
      <c r="AD2401"/>
      <c r="AE2401"/>
      <c r="AF2401" t="s">
        <v>15392</v>
      </c>
      <c r="AG2401" t="n">
        <v>38</v>
      </c>
    </row>
    <row r="2402">
      <c r="A2402" t="s">
        <v>15715</v>
      </c>
      <c r="B2402" t="s">
        <v>28</v>
      </c>
      <c r="C2402" t="s">
        <v>24</v>
      </c>
      <c r="D2402" t="s">
        <v>15716</v>
      </c>
      <c r="E2402" t="s">
        <v>79</v>
      </c>
      <c r="F2402" t="s">
        <v>1274</v>
      </c>
      <c r="G2402" t="s">
        <v>1516</v>
      </c>
      <c r="H2402" t="n">
        <v>39.718888694072</v>
      </c>
      <c r="I2402" t="n">
        <v>-105.01318</v>
      </c>
      <c r="J2402" t="s">
        <v>35</v>
      </c>
      <c r="K2402" t="s">
        <v>70</v>
      </c>
      <c r="L2402"/>
      <c r="M2402" t="n">
        <v>1977</v>
      </c>
      <c r="N2402" t="n">
        <v>1977</v>
      </c>
      <c r="O2402" t="s">
        <v>228</v>
      </c>
      <c r="P2402" t="n">
        <v>1</v>
      </c>
      <c r="Q2402" t="n">
        <v>1</v>
      </c>
      <c r="R2402" t="n">
        <v>1</v>
      </c>
      <c r="S2402" t="n">
        <v>1933</v>
      </c>
      <c r="T2402" t="s">
        <v>15717</v>
      </c>
      <c r="U2402" t="s">
        <v>15718</v>
      </c>
      <c r="V2402" t="s">
        <v>4175</v>
      </c>
      <c r="W2402"/>
      <c r="X2402"/>
      <c r="Y2402" t="s">
        <v>15719</v>
      </c>
      <c r="Z2402"/>
      <c r="AA2402"/>
      <c r="AB2402" t="s">
        <v>7220</v>
      </c>
      <c r="AC2402" t="n">
        <v>194</v>
      </c>
      <c r="AD2402" t="s">
        <v>7231</v>
      </c>
      <c r="AE2402" t="n">
        <v>161</v>
      </c>
      <c r="AF2402" t="s">
        <v>7355</v>
      </c>
      <c r="AG2402" t="n">
        <v>7</v>
      </c>
    </row>
    <row r="2403">
      <c r="A2403" t="s">
        <v>15720</v>
      </c>
      <c r="B2403" t="s">
        <v>28</v>
      </c>
      <c r="C2403" t="s">
        <v>65</v>
      </c>
      <c r="D2403" t="s">
        <v>15721</v>
      </c>
      <c r="E2403" t="s">
        <v>79</v>
      </c>
      <c r="F2403" t="s">
        <v>1274</v>
      </c>
      <c r="G2403" t="s">
        <v>1691</v>
      </c>
      <c r="H2403" t="n">
        <v>39.6792369399686</v>
      </c>
      <c r="I2403" t="n">
        <v>-104.92289948979</v>
      </c>
      <c r="J2403" t="s">
        <v>35</v>
      </c>
      <c r="K2403" t="s">
        <v>120</v>
      </c>
      <c r="L2403"/>
      <c r="M2403" t="n">
        <v>1977</v>
      </c>
      <c r="N2403" t="n">
        <v>1992</v>
      </c>
      <c r="O2403" t="s">
        <v>228</v>
      </c>
      <c r="P2403" t="n">
        <v>5</v>
      </c>
      <c r="Q2403" t="n">
        <v>5</v>
      </c>
      <c r="R2403" t="n">
        <v>1</v>
      </c>
      <c r="S2403" t="n">
        <v>1962</v>
      </c>
      <c r="T2403" t="s">
        <v>15722</v>
      </c>
      <c r="U2403" t="s">
        <v>15723</v>
      </c>
      <c r="V2403" t="s">
        <v>74</v>
      </c>
      <c r="W2403"/>
      <c r="X2403"/>
      <c r="Y2403" t="s">
        <v>15724</v>
      </c>
      <c r="Z2403"/>
      <c r="AA2403" t="s">
        <v>15725</v>
      </c>
      <c r="AB2403" t="s">
        <v>8164</v>
      </c>
      <c r="AC2403" t="n">
        <v>219</v>
      </c>
      <c r="AD2403"/>
      <c r="AE2403"/>
      <c r="AF2403" t="s">
        <v>11361</v>
      </c>
      <c r="AG2403" t="n">
        <v>31</v>
      </c>
    </row>
    <row r="2404">
      <c r="A2404" t="s">
        <v>15726</v>
      </c>
      <c r="B2404" t="s">
        <v>28</v>
      </c>
      <c r="C2404" t="s">
        <v>24</v>
      </c>
      <c r="D2404" t="s">
        <v>15727</v>
      </c>
      <c r="E2404" t="s">
        <v>79</v>
      </c>
      <c r="F2404" t="s">
        <v>1274</v>
      </c>
      <c r="G2404" t="s">
        <v>1555</v>
      </c>
      <c r="H2404" t="n">
        <v>39.6818509800511</v>
      </c>
      <c r="I2404" t="n">
        <v>-104.9924648384</v>
      </c>
      <c r="J2404" t="s">
        <v>4109</v>
      </c>
      <c r="K2404" t="s">
        <v>120</v>
      </c>
      <c r="L2404"/>
      <c r="M2404" t="n">
        <v>1977</v>
      </c>
      <c r="N2404" t="n">
        <v>1977</v>
      </c>
      <c r="O2404" t="s">
        <v>228</v>
      </c>
      <c r="P2404" t="n">
        <v>1</v>
      </c>
      <c r="Q2404" t="n">
        <v>1</v>
      </c>
      <c r="R2404" t="n">
        <v>1</v>
      </c>
      <c r="S2404" t="n">
        <v>1976</v>
      </c>
      <c r="T2404" t="s">
        <v>15728</v>
      </c>
      <c r="U2404" t="s">
        <v>15729</v>
      </c>
      <c r="V2404" t="s">
        <v>74</v>
      </c>
      <c r="W2404"/>
      <c r="X2404"/>
      <c r="Y2404" t="s">
        <v>15730</v>
      </c>
      <c r="Z2404"/>
      <c r="AA2404" t="s">
        <v>15731</v>
      </c>
      <c r="AB2404"/>
      <c r="AC2404"/>
      <c r="AD2404"/>
      <c r="AE2404"/>
      <c r="AF2404" t="s">
        <v>8393</v>
      </c>
      <c r="AG2404" t="n">
        <v>146</v>
      </c>
    </row>
    <row r="2405">
      <c r="A2405" t="s">
        <v>15732</v>
      </c>
      <c r="B2405" t="s">
        <v>28</v>
      </c>
      <c r="C2405" t="s">
        <v>65</v>
      </c>
      <c r="D2405" t="s">
        <v>15733</v>
      </c>
      <c r="E2405" t="s">
        <v>79</v>
      </c>
      <c r="F2405" t="s">
        <v>1274</v>
      </c>
      <c r="G2405" t="s">
        <v>1612</v>
      </c>
      <c r="H2405" t="n">
        <v>39.6894905311938</v>
      </c>
      <c r="I2405" t="n">
        <v>-105.043781426271</v>
      </c>
      <c r="J2405" t="s">
        <v>35</v>
      </c>
      <c r="K2405" t="s">
        <v>120</v>
      </c>
      <c r="L2405"/>
      <c r="M2405" t="n">
        <v>1977</v>
      </c>
      <c r="N2405" t="n">
        <v>1980</v>
      </c>
      <c r="O2405" t="s">
        <v>228</v>
      </c>
      <c r="P2405" t="n">
        <v>2</v>
      </c>
      <c r="Q2405" t="n">
        <v>2</v>
      </c>
      <c r="R2405" t="n">
        <v>1</v>
      </c>
      <c r="S2405" t="n">
        <v>1975</v>
      </c>
      <c r="T2405" t="s">
        <v>15734</v>
      </c>
      <c r="U2405" t="s">
        <v>15735</v>
      </c>
      <c r="V2405" t="s">
        <v>74</v>
      </c>
      <c r="W2405"/>
      <c r="X2405"/>
      <c r="Y2405" t="s">
        <v>15736</v>
      </c>
      <c r="Z2405"/>
      <c r="AA2405"/>
      <c r="AB2405" t="s">
        <v>15737</v>
      </c>
      <c r="AC2405" t="n">
        <v>108</v>
      </c>
      <c r="AD2405"/>
      <c r="AE2405"/>
      <c r="AF2405" t="s">
        <v>15738</v>
      </c>
      <c r="AG2405" t="n">
        <v>37</v>
      </c>
    </row>
    <row r="2406">
      <c r="A2406" t="s">
        <v>15739</v>
      </c>
      <c r="B2406" t="s">
        <v>28</v>
      </c>
      <c r="C2406" t="s">
        <v>65</v>
      </c>
      <c r="D2406" t="s">
        <v>15740</v>
      </c>
      <c r="E2406" t="s">
        <v>79</v>
      </c>
      <c r="F2406" t="s">
        <v>1274</v>
      </c>
      <c r="G2406" t="s">
        <v>1509</v>
      </c>
      <c r="H2406" t="n">
        <v>39.7530270548717</v>
      </c>
      <c r="I2406" t="n">
        <v>-104.994222915645</v>
      </c>
      <c r="J2406" t="s">
        <v>35</v>
      </c>
      <c r="K2406" t="s">
        <v>89</v>
      </c>
      <c r="L2406"/>
      <c r="M2406" t="n">
        <v>1977</v>
      </c>
      <c r="N2406" t="n">
        <v>1992</v>
      </c>
      <c r="O2406" t="s">
        <v>325</v>
      </c>
      <c r="P2406" t="n">
        <v>6</v>
      </c>
      <c r="Q2406" t="n">
        <v>9</v>
      </c>
      <c r="R2406" t="n">
        <v>1</v>
      </c>
      <c r="S2406" t="n">
        <v>1970</v>
      </c>
      <c r="T2406" t="s">
        <v>15741</v>
      </c>
      <c r="U2406" t="s">
        <v>15742</v>
      </c>
      <c r="V2406" t="s">
        <v>74</v>
      </c>
      <c r="W2406"/>
      <c r="X2406"/>
      <c r="Y2406" t="s">
        <v>15743</v>
      </c>
      <c r="Z2406"/>
      <c r="AA2406" t="s">
        <v>15744</v>
      </c>
      <c r="AB2406" t="s">
        <v>1852</v>
      </c>
      <c r="AC2406" t="n">
        <v>166</v>
      </c>
      <c r="AD2406"/>
      <c r="AE2406"/>
      <c r="AF2406" t="s">
        <v>15745</v>
      </c>
      <c r="AG2406" t="n">
        <v>12</v>
      </c>
    </row>
    <row r="2407">
      <c r="A2407" t="s">
        <v>15746</v>
      </c>
      <c r="B2407" t="s">
        <v>28</v>
      </c>
      <c r="C2407" t="s">
        <v>65</v>
      </c>
      <c r="D2407" t="s">
        <v>15747</v>
      </c>
      <c r="E2407" t="s">
        <v>79</v>
      </c>
      <c r="F2407" t="s">
        <v>1274</v>
      </c>
      <c r="G2407" t="s">
        <v>1516</v>
      </c>
      <c r="H2407" t="n">
        <v>39.6739334902111</v>
      </c>
      <c r="I2407" t="n">
        <v>-105.000613450386</v>
      </c>
      <c r="J2407" t="s">
        <v>35</v>
      </c>
      <c r="K2407" t="s">
        <v>120</v>
      </c>
      <c r="L2407"/>
      <c r="M2407" t="n">
        <v>1980</v>
      </c>
      <c r="N2407" t="n">
        <v>1980</v>
      </c>
      <c r="O2407" t="s">
        <v>255</v>
      </c>
      <c r="P2407" t="n">
        <v>1</v>
      </c>
      <c r="Q2407" t="n">
        <v>1</v>
      </c>
      <c r="R2407" t="n">
        <v>1</v>
      </c>
      <c r="S2407" t="n">
        <v>1977</v>
      </c>
      <c r="T2407" t="s">
        <v>15748</v>
      </c>
      <c r="U2407" t="s">
        <v>15749</v>
      </c>
      <c r="V2407" t="s">
        <v>74</v>
      </c>
      <c r="W2407"/>
      <c r="X2407"/>
      <c r="Y2407" t="s">
        <v>15750</v>
      </c>
      <c r="Z2407"/>
      <c r="AA2407"/>
      <c r="AB2407"/>
      <c r="AC2407"/>
      <c r="AD2407"/>
      <c r="AE2407"/>
      <c r="AF2407" t="s">
        <v>15751</v>
      </c>
      <c r="AG2407" t="n">
        <v>4</v>
      </c>
    </row>
    <row r="2408">
      <c r="A2408" t="s">
        <v>15752</v>
      </c>
      <c r="B2408" t="s">
        <v>28</v>
      </c>
      <c r="C2408" t="s">
        <v>65</v>
      </c>
      <c r="D2408" t="s">
        <v>15753</v>
      </c>
      <c r="E2408" t="s">
        <v>79</v>
      </c>
      <c r="F2408" t="s">
        <v>1274</v>
      </c>
      <c r="G2408" t="s">
        <v>1540</v>
      </c>
      <c r="H2408" t="n">
        <v>39.7957383032531</v>
      </c>
      <c r="I2408" t="n">
        <v>-105.043827468806</v>
      </c>
      <c r="J2408" t="s">
        <v>35</v>
      </c>
      <c r="K2408" t="s">
        <v>120</v>
      </c>
      <c r="L2408"/>
      <c r="M2408" t="n">
        <v>1980</v>
      </c>
      <c r="N2408" t="n">
        <v>1980</v>
      </c>
      <c r="O2408" t="s">
        <v>255</v>
      </c>
      <c r="P2408" t="n">
        <v>1</v>
      </c>
      <c r="Q2408" t="n">
        <v>1</v>
      </c>
      <c r="R2408" t="n">
        <v>1</v>
      </c>
      <c r="S2408"/>
      <c r="T2408" t="s">
        <v>15754</v>
      </c>
      <c r="U2408" t="s">
        <v>15755</v>
      </c>
      <c r="V2408" t="s">
        <v>74</v>
      </c>
      <c r="W2408"/>
      <c r="X2408"/>
      <c r="Y2408" t="s">
        <v>15756</v>
      </c>
      <c r="Z2408"/>
      <c r="AA2408"/>
      <c r="AB2408"/>
      <c r="AC2408"/>
      <c r="AD2408"/>
      <c r="AE2408"/>
      <c r="AF2408" t="s">
        <v>15757</v>
      </c>
      <c r="AG2408" t="n">
        <v>32</v>
      </c>
    </row>
    <row r="2409">
      <c r="A2409" t="s">
        <v>15758</v>
      </c>
      <c r="B2409" t="s">
        <v>28</v>
      </c>
      <c r="C2409" t="s">
        <v>24</v>
      </c>
      <c r="D2409" t="s">
        <v>15759</v>
      </c>
      <c r="E2409" t="s">
        <v>79</v>
      </c>
      <c r="F2409" t="s">
        <v>1274</v>
      </c>
      <c r="G2409" t="s">
        <v>1540</v>
      </c>
      <c r="H2409" t="n">
        <v>39.810994</v>
      </c>
      <c r="I2409" t="n">
        <v>-105.044090530612</v>
      </c>
      <c r="J2409" t="s">
        <v>4109</v>
      </c>
      <c r="K2409" t="s">
        <v>120</v>
      </c>
      <c r="L2409"/>
      <c r="M2409" t="n">
        <v>1980</v>
      </c>
      <c r="N2409" t="n">
        <v>1980</v>
      </c>
      <c r="O2409" t="s">
        <v>255</v>
      </c>
      <c r="P2409" t="n">
        <v>1</v>
      </c>
      <c r="Q2409" t="n">
        <v>1</v>
      </c>
      <c r="R2409" t="n">
        <v>1</v>
      </c>
      <c r="S2409" t="n">
        <v>1978</v>
      </c>
      <c r="T2409" t="s">
        <v>15760</v>
      </c>
      <c r="U2409" t="s">
        <v>15761</v>
      </c>
      <c r="V2409" t="s">
        <v>74</v>
      </c>
      <c r="W2409"/>
      <c r="X2409"/>
      <c r="Y2409" t="s">
        <v>15762</v>
      </c>
      <c r="Z2409"/>
      <c r="AA2409"/>
      <c r="AB2409"/>
      <c r="AC2409"/>
      <c r="AD2409"/>
      <c r="AE2409"/>
      <c r="AF2409" t="s">
        <v>15763</v>
      </c>
      <c r="AG2409" t="n">
        <v>142</v>
      </c>
    </row>
    <row r="2410">
      <c r="A2410" t="s">
        <v>15764</v>
      </c>
      <c r="B2410" t="s">
        <v>28</v>
      </c>
      <c r="C2410" t="s">
        <v>65</v>
      </c>
      <c r="D2410" t="s">
        <v>15765</v>
      </c>
      <c r="E2410" t="s">
        <v>79</v>
      </c>
      <c r="F2410" t="s">
        <v>1274</v>
      </c>
      <c r="G2410" t="s">
        <v>1653</v>
      </c>
      <c r="H2410" t="n">
        <v>39.8091532211701</v>
      </c>
      <c r="I2410" t="n">
        <v>-104.976121202583</v>
      </c>
      <c r="J2410" t="s">
        <v>35</v>
      </c>
      <c r="K2410" t="s">
        <v>120</v>
      </c>
      <c r="L2410"/>
      <c r="M2410" t="n">
        <v>1980</v>
      </c>
      <c r="N2410" t="n">
        <v>1990</v>
      </c>
      <c r="O2410" t="s">
        <v>310</v>
      </c>
      <c r="P2410" t="n">
        <v>3</v>
      </c>
      <c r="Q2410" t="n">
        <v>2</v>
      </c>
      <c r="R2410" t="n">
        <v>1</v>
      </c>
      <c r="S2410" t="n">
        <v>1975</v>
      </c>
      <c r="T2410" t="s">
        <v>15766</v>
      </c>
      <c r="U2410" t="s">
        <v>15767</v>
      </c>
      <c r="V2410" t="s">
        <v>74</v>
      </c>
      <c r="W2410"/>
      <c r="X2410"/>
      <c r="Y2410" t="s">
        <v>15768</v>
      </c>
      <c r="Z2410"/>
      <c r="AA2410"/>
      <c r="AB2410" t="s">
        <v>15769</v>
      </c>
      <c r="AC2410" t="n">
        <v>106</v>
      </c>
      <c r="AD2410"/>
      <c r="AE2410"/>
      <c r="AF2410" t="s">
        <v>15770</v>
      </c>
      <c r="AG2410" t="n">
        <v>12</v>
      </c>
    </row>
    <row r="2411">
      <c r="A2411" t="s">
        <v>15771</v>
      </c>
      <c r="B2411" t="s">
        <v>28</v>
      </c>
      <c r="C2411" t="s">
        <v>24</v>
      </c>
      <c r="D2411" t="s">
        <v>15772</v>
      </c>
      <c r="E2411" t="s">
        <v>79</v>
      </c>
      <c r="F2411" t="s">
        <v>1274</v>
      </c>
      <c r="G2411" t="s">
        <v>1653</v>
      </c>
      <c r="H2411" t="n">
        <v>39.7201715621865</v>
      </c>
      <c r="I2411" t="n">
        <v>-104.987472991204</v>
      </c>
      <c r="J2411" t="s">
        <v>4109</v>
      </c>
      <c r="K2411" t="s">
        <v>120</v>
      </c>
      <c r="L2411"/>
      <c r="M2411" t="n">
        <v>1980</v>
      </c>
      <c r="N2411" t="n">
        <v>1992</v>
      </c>
      <c r="O2411" t="s">
        <v>255</v>
      </c>
      <c r="P2411" t="n">
        <v>3</v>
      </c>
      <c r="Q2411" t="n">
        <v>2</v>
      </c>
      <c r="R2411" t="n">
        <v>1</v>
      </c>
      <c r="S2411" t="n">
        <v>1954</v>
      </c>
      <c r="T2411" t="s">
        <v>15773</v>
      </c>
      <c r="U2411" t="s">
        <v>15774</v>
      </c>
      <c r="V2411" t="s">
        <v>74</v>
      </c>
      <c r="W2411"/>
      <c r="X2411"/>
      <c r="Y2411" t="s">
        <v>15775</v>
      </c>
      <c r="Z2411"/>
      <c r="AA2411"/>
      <c r="AB2411" t="s">
        <v>14457</v>
      </c>
      <c r="AC2411" t="n">
        <v>121</v>
      </c>
      <c r="AD2411"/>
      <c r="AE2411"/>
      <c r="AF2411" t="s">
        <v>15776</v>
      </c>
      <c r="AG2411" t="n">
        <v>31</v>
      </c>
    </row>
    <row r="2412">
      <c r="A2412" t="s">
        <v>15777</v>
      </c>
      <c r="B2412" t="s">
        <v>28</v>
      </c>
      <c r="C2412" t="s">
        <v>65</v>
      </c>
      <c r="D2412" t="s">
        <v>15778</v>
      </c>
      <c r="E2412" t="s">
        <v>79</v>
      </c>
      <c r="F2412" t="s">
        <v>1274</v>
      </c>
      <c r="G2412" t="s">
        <v>1702</v>
      </c>
      <c r="H2412" t="n">
        <v>39.7728233661291</v>
      </c>
      <c r="I2412" t="n">
        <v>-104.838187336975</v>
      </c>
      <c r="J2412" t="s">
        <v>35</v>
      </c>
      <c r="K2412" t="s">
        <v>988</v>
      </c>
      <c r="L2412"/>
      <c r="M2412" t="n">
        <v>1980</v>
      </c>
      <c r="N2412" t="n">
        <v>1992</v>
      </c>
      <c r="O2412" t="s">
        <v>6152</v>
      </c>
      <c r="P2412" t="n">
        <v>5</v>
      </c>
      <c r="Q2412" t="n">
        <v>7</v>
      </c>
      <c r="R2412" t="n">
        <v>4</v>
      </c>
      <c r="S2412" t="n">
        <v>1975</v>
      </c>
      <c r="T2412" t="s">
        <v>15779</v>
      </c>
      <c r="U2412" t="s">
        <v>15780</v>
      </c>
      <c r="V2412" t="s">
        <v>74</v>
      </c>
      <c r="W2412"/>
      <c r="X2412"/>
      <c r="Y2412" t="s">
        <v>15781</v>
      </c>
      <c r="Z2412"/>
      <c r="AA2412" t="s">
        <v>15782</v>
      </c>
      <c r="AB2412"/>
      <c r="AC2412"/>
      <c r="AD2412"/>
      <c r="AE2412"/>
      <c r="AF2412" t="s">
        <v>15783</v>
      </c>
      <c r="AG2412" t="n">
        <v>11</v>
      </c>
    </row>
    <row r="2413">
      <c r="A2413" t="s">
        <v>15784</v>
      </c>
      <c r="B2413" t="s">
        <v>28</v>
      </c>
      <c r="C2413" t="s">
        <v>65</v>
      </c>
      <c r="D2413" t="s">
        <v>15785</v>
      </c>
      <c r="E2413" t="s">
        <v>79</v>
      </c>
      <c r="F2413" t="s">
        <v>1274</v>
      </c>
      <c r="G2413" t="s">
        <v>1702</v>
      </c>
      <c r="H2413" t="n">
        <v>39.7884394236181</v>
      </c>
      <c r="I2413" t="n">
        <v>-104.8506651936</v>
      </c>
      <c r="J2413" t="s">
        <v>35</v>
      </c>
      <c r="K2413" t="s">
        <v>141</v>
      </c>
      <c r="L2413"/>
      <c r="M2413" t="n">
        <v>1980</v>
      </c>
      <c r="N2413" t="n">
        <v>1992</v>
      </c>
      <c r="O2413" t="s">
        <v>528</v>
      </c>
      <c r="P2413" t="n">
        <v>5</v>
      </c>
      <c r="Q2413" t="n">
        <v>6</v>
      </c>
      <c r="R2413" t="n">
        <v>3</v>
      </c>
      <c r="S2413" t="n">
        <v>1960</v>
      </c>
      <c r="T2413" t="s">
        <v>15786</v>
      </c>
      <c r="U2413" t="s">
        <v>15787</v>
      </c>
      <c r="V2413" t="s">
        <v>74</v>
      </c>
      <c r="W2413"/>
      <c r="X2413"/>
      <c r="Y2413" t="s">
        <v>15788</v>
      </c>
      <c r="Z2413"/>
      <c r="AA2413"/>
      <c r="AB2413"/>
      <c r="AC2413"/>
      <c r="AD2413" t="s">
        <v>2160</v>
      </c>
      <c r="AE2413" t="n">
        <v>158</v>
      </c>
      <c r="AF2413" t="s">
        <v>15789</v>
      </c>
      <c r="AG2413" t="n">
        <v>42</v>
      </c>
    </row>
    <row r="2414">
      <c r="A2414" t="s">
        <v>15790</v>
      </c>
      <c r="B2414" t="s">
        <v>28</v>
      </c>
      <c r="C2414" t="s">
        <v>65</v>
      </c>
      <c r="D2414" t="s">
        <v>15791</v>
      </c>
      <c r="E2414" t="s">
        <v>79</v>
      </c>
      <c r="F2414" t="s">
        <v>1274</v>
      </c>
      <c r="G2414" t="s">
        <v>1702</v>
      </c>
      <c r="H2414" t="n">
        <v>39.7897703738955</v>
      </c>
      <c r="I2414" t="n">
        <v>-104.85066858694</v>
      </c>
      <c r="J2414" t="s">
        <v>35</v>
      </c>
      <c r="K2414" t="s">
        <v>141</v>
      </c>
      <c r="L2414"/>
      <c r="M2414" t="n">
        <v>1980</v>
      </c>
      <c r="N2414" t="n">
        <v>1992</v>
      </c>
      <c r="O2414" t="s">
        <v>6152</v>
      </c>
      <c r="P2414" t="n">
        <v>5</v>
      </c>
      <c r="Q2414" t="n">
        <v>2</v>
      </c>
      <c r="R2414" t="n">
        <v>2</v>
      </c>
      <c r="S2414" t="n">
        <v>1963</v>
      </c>
      <c r="T2414" t="s">
        <v>15792</v>
      </c>
      <c r="U2414" t="s">
        <v>15793</v>
      </c>
      <c r="V2414" t="s">
        <v>74</v>
      </c>
      <c r="W2414"/>
      <c r="X2414"/>
      <c r="Y2414" t="s">
        <v>15794</v>
      </c>
      <c r="Z2414"/>
      <c r="AA2414"/>
      <c r="AB2414"/>
      <c r="AC2414"/>
      <c r="AD2414" t="s">
        <v>15795</v>
      </c>
      <c r="AE2414" t="n">
        <v>158</v>
      </c>
      <c r="AF2414" t="s">
        <v>15796</v>
      </c>
      <c r="AG2414" t="n">
        <v>1</v>
      </c>
    </row>
    <row r="2415">
      <c r="A2415" t="s">
        <v>15797</v>
      </c>
      <c r="B2415" t="s">
        <v>28</v>
      </c>
      <c r="C2415" t="s">
        <v>24</v>
      </c>
      <c r="D2415" t="s">
        <v>15798</v>
      </c>
      <c r="E2415" t="s">
        <v>79</v>
      </c>
      <c r="F2415" t="s">
        <v>1274</v>
      </c>
      <c r="G2415" t="s">
        <v>1702</v>
      </c>
      <c r="H2415" t="n">
        <v>39.7219963408473</v>
      </c>
      <c r="I2415" t="n">
        <v>-104.854125292498</v>
      </c>
      <c r="J2415" t="s">
        <v>4109</v>
      </c>
      <c r="K2415" t="s">
        <v>533</v>
      </c>
      <c r="L2415"/>
      <c r="M2415" t="n">
        <v>1980</v>
      </c>
      <c r="N2415" t="n">
        <v>1980</v>
      </c>
      <c r="O2415" t="s">
        <v>255</v>
      </c>
      <c r="P2415" t="n">
        <v>1</v>
      </c>
      <c r="Q2415" t="n">
        <v>1</v>
      </c>
      <c r="R2415" t="n">
        <v>1</v>
      </c>
      <c r="S2415" t="n">
        <v>1950</v>
      </c>
      <c r="T2415" t="s">
        <v>15799</v>
      </c>
      <c r="U2415" t="s">
        <v>15800</v>
      </c>
      <c r="V2415" t="s">
        <v>74</v>
      </c>
      <c r="W2415"/>
      <c r="X2415"/>
      <c r="Y2415" t="s">
        <v>15801</v>
      </c>
      <c r="Z2415"/>
      <c r="AA2415"/>
      <c r="AB2415"/>
      <c r="AC2415"/>
      <c r="AD2415"/>
      <c r="AE2415"/>
      <c r="AF2415" t="s">
        <v>4063</v>
      </c>
      <c r="AG2415" t="n">
        <v>167</v>
      </c>
    </row>
    <row r="2416">
      <c r="A2416" t="s">
        <v>15802</v>
      </c>
      <c r="B2416" t="s">
        <v>28</v>
      </c>
      <c r="C2416" t="s">
        <v>65</v>
      </c>
      <c r="D2416" t="s">
        <v>15803</v>
      </c>
      <c r="E2416" t="s">
        <v>79</v>
      </c>
      <c r="F2416" t="s">
        <v>1274</v>
      </c>
      <c r="G2416" t="s">
        <v>1516</v>
      </c>
      <c r="H2416" t="n">
        <v>39.7182124800285</v>
      </c>
      <c r="I2416" t="n">
        <v>-105.003552236445</v>
      </c>
      <c r="J2416" t="s">
        <v>35</v>
      </c>
      <c r="K2416" t="s">
        <v>70</v>
      </c>
      <c r="L2416"/>
      <c r="M2416" t="n">
        <v>1980</v>
      </c>
      <c r="N2416" t="n">
        <v>1980</v>
      </c>
      <c r="O2416" t="s">
        <v>255</v>
      </c>
      <c r="P2416" t="n">
        <v>1</v>
      </c>
      <c r="Q2416" t="n">
        <v>1</v>
      </c>
      <c r="R2416" t="n">
        <v>1</v>
      </c>
      <c r="S2416" t="n">
        <v>1980</v>
      </c>
      <c r="T2416" t="s">
        <v>15804</v>
      </c>
      <c r="U2416" t="s">
        <v>15805</v>
      </c>
      <c r="V2416" t="s">
        <v>74</v>
      </c>
      <c r="W2416"/>
      <c r="X2416"/>
      <c r="Y2416" t="s">
        <v>15806</v>
      </c>
      <c r="Z2416"/>
      <c r="AA2416"/>
      <c r="AB2416" t="s">
        <v>15253</v>
      </c>
      <c r="AC2416" t="n">
        <v>248</v>
      </c>
      <c r="AD2416"/>
      <c r="AE2416"/>
      <c r="AF2416" t="s">
        <v>15254</v>
      </c>
      <c r="AG2416" t="n">
        <v>29</v>
      </c>
    </row>
    <row r="2417">
      <c r="A2417" t="s">
        <v>15807</v>
      </c>
      <c r="B2417" t="s">
        <v>28</v>
      </c>
      <c r="C2417" t="s">
        <v>65</v>
      </c>
      <c r="D2417" t="s">
        <v>15808</v>
      </c>
      <c r="E2417" t="s">
        <v>79</v>
      </c>
      <c r="F2417" t="s">
        <v>1274</v>
      </c>
      <c r="G2417" t="s">
        <v>1653</v>
      </c>
      <c r="H2417" t="n">
        <v>39.8113813198</v>
      </c>
      <c r="I2417" t="n">
        <v>-104.978049879379</v>
      </c>
      <c r="J2417" t="s">
        <v>35</v>
      </c>
      <c r="K2417" t="s">
        <v>70</v>
      </c>
      <c r="L2417"/>
      <c r="M2417" t="n">
        <v>1980</v>
      </c>
      <c r="N2417" t="n">
        <v>1990</v>
      </c>
      <c r="O2417" t="s">
        <v>310</v>
      </c>
      <c r="P2417" t="n">
        <v>4</v>
      </c>
      <c r="Q2417" t="n">
        <v>6</v>
      </c>
      <c r="R2417" t="n">
        <v>1</v>
      </c>
      <c r="S2417" t="n">
        <v>1940</v>
      </c>
      <c r="T2417" t="s">
        <v>15809</v>
      </c>
      <c r="U2417" t="s">
        <v>15810</v>
      </c>
      <c r="V2417" t="s">
        <v>74</v>
      </c>
      <c r="W2417"/>
      <c r="X2417"/>
      <c r="Y2417" t="s">
        <v>15811</v>
      </c>
      <c r="Z2417"/>
      <c r="AA2417"/>
      <c r="AB2417"/>
      <c r="AC2417"/>
      <c r="AD2417"/>
      <c r="AE2417"/>
      <c r="AF2417" t="s">
        <v>15812</v>
      </c>
      <c r="AG2417" t="n">
        <v>27</v>
      </c>
    </row>
    <row r="2418">
      <c r="A2418" t="s">
        <v>15813</v>
      </c>
      <c r="B2418" t="s">
        <v>28</v>
      </c>
      <c r="C2418" t="s">
        <v>65</v>
      </c>
      <c r="D2418" t="s">
        <v>15814</v>
      </c>
      <c r="E2418" t="s">
        <v>79</v>
      </c>
      <c r="F2418" t="s">
        <v>1274</v>
      </c>
      <c r="G2418" t="s">
        <v>1516</v>
      </c>
      <c r="H2418" t="n">
        <v>39.7111998855555</v>
      </c>
      <c r="I2418" t="n">
        <v>-105.008828967792</v>
      </c>
      <c r="J2418" t="s">
        <v>35</v>
      </c>
      <c r="K2418" t="s">
        <v>1548</v>
      </c>
      <c r="L2418"/>
      <c r="M2418" t="n">
        <v>1980</v>
      </c>
      <c r="N2418" t="n">
        <v>1990</v>
      </c>
      <c r="O2418" t="s">
        <v>3312</v>
      </c>
      <c r="P2418" t="n">
        <v>3</v>
      </c>
      <c r="Q2418" t="n">
        <v>3</v>
      </c>
      <c r="R2418" t="n">
        <v>2</v>
      </c>
      <c r="S2418" t="n">
        <v>1967</v>
      </c>
      <c r="T2418" t="s">
        <v>15815</v>
      </c>
      <c r="U2418" t="s">
        <v>15816</v>
      </c>
      <c r="V2418" t="s">
        <v>74</v>
      </c>
      <c r="W2418"/>
      <c r="X2418"/>
      <c r="Y2418" t="s">
        <v>15817</v>
      </c>
      <c r="Z2418" t="s">
        <v>15818</v>
      </c>
      <c r="AA2418"/>
      <c r="AB2418"/>
      <c r="AC2418"/>
      <c r="AD2418"/>
      <c r="AE2418"/>
      <c r="AF2418" t="s">
        <v>13622</v>
      </c>
      <c r="AG2418" t="n">
        <v>23</v>
      </c>
    </row>
    <row r="2419">
      <c r="A2419" t="s">
        <v>15819</v>
      </c>
      <c r="B2419" t="s">
        <v>28</v>
      </c>
      <c r="C2419" t="s">
        <v>65</v>
      </c>
      <c r="D2419" t="s">
        <v>15820</v>
      </c>
      <c r="E2419" t="s">
        <v>79</v>
      </c>
      <c r="F2419" t="s">
        <v>1274</v>
      </c>
      <c r="G2419" t="s">
        <v>1574</v>
      </c>
      <c r="H2419" t="n">
        <v>39.7556651151756</v>
      </c>
      <c r="I2419" t="n">
        <v>-104.990822186964</v>
      </c>
      <c r="J2419" t="s">
        <v>35</v>
      </c>
      <c r="K2419" t="s">
        <v>120</v>
      </c>
      <c r="L2419"/>
      <c r="M2419" t="n">
        <v>1980</v>
      </c>
      <c r="N2419" t="n">
        <v>1980</v>
      </c>
      <c r="O2419" t="s">
        <v>255</v>
      </c>
      <c r="P2419" t="n">
        <v>1</v>
      </c>
      <c r="Q2419" t="n">
        <v>1</v>
      </c>
      <c r="R2419" t="n">
        <v>1</v>
      </c>
      <c r="S2419"/>
      <c r="T2419" t="s">
        <v>15821</v>
      </c>
      <c r="U2419" t="s">
        <v>15822</v>
      </c>
      <c r="V2419" t="s">
        <v>74</v>
      </c>
      <c r="W2419"/>
      <c r="X2419"/>
      <c r="Y2419" t="s">
        <v>15823</v>
      </c>
      <c r="Z2419"/>
      <c r="AA2419"/>
      <c r="AB2419" t="s">
        <v>1384</v>
      </c>
      <c r="AC2419" t="n">
        <v>113</v>
      </c>
      <c r="AD2419"/>
      <c r="AE2419"/>
      <c r="AF2419" t="s">
        <v>2192</v>
      </c>
      <c r="AG2419" t="n">
        <v>3</v>
      </c>
    </row>
    <row r="2420">
      <c r="A2420" t="s">
        <v>15824</v>
      </c>
      <c r="B2420" t="s">
        <v>28</v>
      </c>
      <c r="C2420" t="s">
        <v>65</v>
      </c>
      <c r="D2420" t="s">
        <v>15825</v>
      </c>
      <c r="E2420" t="s">
        <v>79</v>
      </c>
      <c r="F2420" t="s">
        <v>1274</v>
      </c>
      <c r="G2420" t="s">
        <v>1516</v>
      </c>
      <c r="H2420" t="n">
        <v>39.71943</v>
      </c>
      <c r="I2420" t="n">
        <v>-105.001605</v>
      </c>
      <c r="J2420" t="s">
        <v>35</v>
      </c>
      <c r="K2420" t="s">
        <v>796</v>
      </c>
      <c r="L2420"/>
      <c r="M2420" t="n">
        <v>1980</v>
      </c>
      <c r="N2420" t="n">
        <v>1988</v>
      </c>
      <c r="O2420" t="s">
        <v>1668</v>
      </c>
      <c r="P2420" t="n">
        <v>3</v>
      </c>
      <c r="Q2420" t="n">
        <v>2</v>
      </c>
      <c r="R2420" t="n">
        <v>2</v>
      </c>
      <c r="S2420" t="n">
        <v>1977</v>
      </c>
      <c r="T2420" t="s">
        <v>15826</v>
      </c>
      <c r="U2420" t="s">
        <v>15827</v>
      </c>
      <c r="V2420" t="s">
        <v>74</v>
      </c>
      <c r="W2420"/>
      <c r="X2420"/>
      <c r="Y2420" t="s">
        <v>15828</v>
      </c>
      <c r="Z2420"/>
      <c r="AA2420" t="s">
        <v>15829</v>
      </c>
      <c r="AB2420"/>
      <c r="AC2420"/>
      <c r="AD2420"/>
      <c r="AE2420"/>
      <c r="AF2420" t="s">
        <v>15830</v>
      </c>
      <c r="AG2420" t="n">
        <v>34</v>
      </c>
    </row>
    <row r="2421">
      <c r="A2421" t="s">
        <v>15831</v>
      </c>
      <c r="B2421" t="s">
        <v>28</v>
      </c>
      <c r="C2421" t="s">
        <v>24</v>
      </c>
      <c r="D2421" t="s">
        <v>15832</v>
      </c>
      <c r="E2421" t="s">
        <v>79</v>
      </c>
      <c r="F2421" t="s">
        <v>1274</v>
      </c>
      <c r="G2421" t="s">
        <v>1516</v>
      </c>
      <c r="H2421" t="n">
        <v>39.7194842040816</v>
      </c>
      <c r="I2421" t="n">
        <v>-105.000182</v>
      </c>
      <c r="J2421" t="s">
        <v>4109</v>
      </c>
      <c r="K2421" t="s">
        <v>70</v>
      </c>
      <c r="L2421"/>
      <c r="M2421" t="n">
        <v>1980</v>
      </c>
      <c r="N2421" t="n">
        <v>1990</v>
      </c>
      <c r="O2421" t="s">
        <v>351</v>
      </c>
      <c r="P2421" t="n">
        <v>2</v>
      </c>
      <c r="Q2421" t="n">
        <v>2</v>
      </c>
      <c r="R2421" t="n">
        <v>1</v>
      </c>
      <c r="S2421" t="n">
        <v>1942</v>
      </c>
      <c r="T2421" t="s">
        <v>15833</v>
      </c>
      <c r="U2421" t="s">
        <v>15834</v>
      </c>
      <c r="V2421" t="s">
        <v>74</v>
      </c>
      <c r="W2421"/>
      <c r="X2421"/>
      <c r="Y2421" t="s">
        <v>15835</v>
      </c>
      <c r="Z2421"/>
      <c r="AA2421"/>
      <c r="AB2421"/>
      <c r="AC2421"/>
      <c r="AD2421"/>
      <c r="AE2421"/>
      <c r="AF2421" t="s">
        <v>3184</v>
      </c>
      <c r="AG2421" t="n">
        <v>10</v>
      </c>
    </row>
    <row r="2422">
      <c r="A2422" t="s">
        <v>15836</v>
      </c>
      <c r="B2422" t="s">
        <v>28</v>
      </c>
      <c r="C2422" t="s">
        <v>65</v>
      </c>
      <c r="D2422" t="s">
        <v>15837</v>
      </c>
      <c r="E2422" t="s">
        <v>79</v>
      </c>
      <c r="F2422" t="s">
        <v>1274</v>
      </c>
      <c r="G2422" t="s">
        <v>1702</v>
      </c>
      <c r="H2422" t="n">
        <v>39.7824431301534</v>
      </c>
      <c r="I2422" t="n">
        <v>-104.862057399967</v>
      </c>
      <c r="J2422" t="s">
        <v>35</v>
      </c>
      <c r="K2422" t="s">
        <v>120</v>
      </c>
      <c r="L2422"/>
      <c r="M2422" t="n">
        <v>1980</v>
      </c>
      <c r="N2422" t="n">
        <v>1990</v>
      </c>
      <c r="O2422" t="s">
        <v>582</v>
      </c>
      <c r="P2422" t="n">
        <v>3</v>
      </c>
      <c r="Q2422" t="n">
        <v>2</v>
      </c>
      <c r="R2422" t="n">
        <v>2</v>
      </c>
      <c r="S2422" t="n">
        <v>1968</v>
      </c>
      <c r="T2422" t="s">
        <v>15838</v>
      </c>
      <c r="U2422" t="s">
        <v>15839</v>
      </c>
      <c r="V2422" t="s">
        <v>74</v>
      </c>
      <c r="W2422"/>
      <c r="X2422"/>
      <c r="Y2422" t="s">
        <v>15840</v>
      </c>
      <c r="Z2422"/>
      <c r="AA2422"/>
      <c r="AB2422"/>
      <c r="AC2422"/>
      <c r="AD2422"/>
      <c r="AE2422"/>
      <c r="AF2422" t="s">
        <v>1706</v>
      </c>
      <c r="AG2422" t="n">
        <v>21</v>
      </c>
    </row>
    <row r="2423">
      <c r="A2423" t="s">
        <v>15841</v>
      </c>
      <c r="B2423" t="s">
        <v>28</v>
      </c>
      <c r="C2423" t="s">
        <v>65</v>
      </c>
      <c r="D2423" t="s">
        <v>15842</v>
      </c>
      <c r="E2423" t="s">
        <v>79</v>
      </c>
      <c r="F2423" t="s">
        <v>1274</v>
      </c>
      <c r="G2423" t="s">
        <v>1612</v>
      </c>
      <c r="H2423" t="n">
        <v>39.6796837347378</v>
      </c>
      <c r="I2423" t="n">
        <v>-105.025041800988</v>
      </c>
      <c r="J2423" t="s">
        <v>35</v>
      </c>
      <c r="K2423" t="s">
        <v>70</v>
      </c>
      <c r="L2423"/>
      <c r="M2423" t="n">
        <v>1980</v>
      </c>
      <c r="N2423" t="n">
        <v>1990</v>
      </c>
      <c r="O2423" t="s">
        <v>255</v>
      </c>
      <c r="P2423" t="n">
        <v>3</v>
      </c>
      <c r="Q2423" t="n">
        <v>2</v>
      </c>
      <c r="R2423" t="n">
        <v>1</v>
      </c>
      <c r="S2423" t="n">
        <v>1975</v>
      </c>
      <c r="T2423" t="s">
        <v>15843</v>
      </c>
      <c r="U2423" t="s">
        <v>15844</v>
      </c>
      <c r="V2423" t="s">
        <v>74</v>
      </c>
      <c r="W2423"/>
      <c r="X2423"/>
      <c r="Y2423" t="s">
        <v>15845</v>
      </c>
      <c r="Z2423"/>
      <c r="AA2423" t="s">
        <v>15846</v>
      </c>
      <c r="AB2423"/>
      <c r="AC2423"/>
      <c r="AD2423"/>
      <c r="AE2423"/>
      <c r="AF2423" t="s">
        <v>15847</v>
      </c>
      <c r="AG2423" t="n">
        <v>55</v>
      </c>
    </row>
    <row r="2424">
      <c r="A2424" t="s">
        <v>15848</v>
      </c>
      <c r="B2424" t="s">
        <v>28</v>
      </c>
      <c r="C2424" t="s">
        <v>65</v>
      </c>
      <c r="D2424" t="s">
        <v>15849</v>
      </c>
      <c r="E2424" t="s">
        <v>79</v>
      </c>
      <c r="F2424" t="s">
        <v>1274</v>
      </c>
      <c r="G2424" t="s">
        <v>1525</v>
      </c>
      <c r="H2424" t="n">
        <v>39.7315894358686</v>
      </c>
      <c r="I2424" t="n">
        <v>-104.986127415685</v>
      </c>
      <c r="J2424" t="s">
        <v>35</v>
      </c>
      <c r="K2424" t="s">
        <v>120</v>
      </c>
      <c r="L2424"/>
      <c r="M2424" t="n">
        <v>1980</v>
      </c>
      <c r="N2424" t="n">
        <v>1990</v>
      </c>
      <c r="O2424" t="s">
        <v>264</v>
      </c>
      <c r="P2424" t="n">
        <v>4</v>
      </c>
      <c r="Q2424" t="n">
        <v>3</v>
      </c>
      <c r="R2424" t="n">
        <v>1</v>
      </c>
      <c r="S2424" t="n">
        <v>1947</v>
      </c>
      <c r="T2424" t="s">
        <v>15850</v>
      </c>
      <c r="U2424" t="s">
        <v>15851</v>
      </c>
      <c r="V2424" t="s">
        <v>74</v>
      </c>
      <c r="W2424"/>
      <c r="X2424"/>
      <c r="Y2424" t="s">
        <v>15852</v>
      </c>
      <c r="Z2424"/>
      <c r="AA2424" t="s">
        <v>15853</v>
      </c>
      <c r="AB2424"/>
      <c r="AC2424"/>
      <c r="AD2424"/>
      <c r="AE2424"/>
      <c r="AF2424" t="s">
        <v>15854</v>
      </c>
      <c r="AG2424" t="n">
        <v>50</v>
      </c>
    </row>
    <row r="2425">
      <c r="A2425" t="s">
        <v>15855</v>
      </c>
      <c r="B2425" t="s">
        <v>28</v>
      </c>
      <c r="C2425" t="s">
        <v>24</v>
      </c>
      <c r="D2425" t="s">
        <v>15856</v>
      </c>
      <c r="E2425" t="s">
        <v>79</v>
      </c>
      <c r="F2425" t="s">
        <v>1274</v>
      </c>
      <c r="G2425" t="s">
        <v>1702</v>
      </c>
      <c r="H2425" t="n">
        <v>39.730446</v>
      </c>
      <c r="I2425" t="n">
        <v>-104.860689</v>
      </c>
      <c r="J2425" t="s">
        <v>4109</v>
      </c>
      <c r="K2425" t="s">
        <v>141</v>
      </c>
      <c r="L2425"/>
      <c r="M2425" t="n">
        <v>1980</v>
      </c>
      <c r="N2425" t="n">
        <v>1980</v>
      </c>
      <c r="O2425" t="s">
        <v>255</v>
      </c>
      <c r="P2425" t="n">
        <v>1</v>
      </c>
      <c r="Q2425" t="n">
        <v>1</v>
      </c>
      <c r="R2425" t="n">
        <v>1</v>
      </c>
      <c r="S2425" t="n">
        <v>1977</v>
      </c>
      <c r="T2425" t="s">
        <v>15857</v>
      </c>
      <c r="U2425" t="s">
        <v>15858</v>
      </c>
      <c r="V2425" t="s">
        <v>74</v>
      </c>
      <c r="W2425"/>
      <c r="X2425"/>
      <c r="Y2425" t="s">
        <v>15859</v>
      </c>
      <c r="Z2425"/>
      <c r="AA2425"/>
      <c r="AB2425"/>
      <c r="AC2425"/>
      <c r="AD2425"/>
      <c r="AE2425"/>
      <c r="AF2425" t="s">
        <v>5034</v>
      </c>
      <c r="AG2425" t="n">
        <v>168</v>
      </c>
    </row>
    <row r="2426">
      <c r="A2426" t="s">
        <v>15860</v>
      </c>
      <c r="B2426" t="s">
        <v>28</v>
      </c>
      <c r="C2426" t="s">
        <v>65</v>
      </c>
      <c r="D2426" t="s">
        <v>15861</v>
      </c>
      <c r="E2426" t="s">
        <v>79</v>
      </c>
      <c r="F2426" t="s">
        <v>1274</v>
      </c>
      <c r="G2426" t="s">
        <v>1702</v>
      </c>
      <c r="H2426" t="n">
        <v>39.7714014833888</v>
      </c>
      <c r="I2426" t="n">
        <v>-104.851717570792</v>
      </c>
      <c r="J2426" t="s">
        <v>35</v>
      </c>
      <c r="K2426" t="s">
        <v>234</v>
      </c>
      <c r="L2426"/>
      <c r="M2426" t="n">
        <v>1980</v>
      </c>
      <c r="N2426" t="n">
        <v>1990</v>
      </c>
      <c r="O2426" t="s">
        <v>271</v>
      </c>
      <c r="P2426" t="n">
        <v>4</v>
      </c>
      <c r="Q2426" t="n">
        <v>5</v>
      </c>
      <c r="R2426" t="n">
        <v>3</v>
      </c>
      <c r="S2426" t="n">
        <v>1950</v>
      </c>
      <c r="T2426" t="s">
        <v>15862</v>
      </c>
      <c r="U2426" t="s">
        <v>15863</v>
      </c>
      <c r="V2426" t="s">
        <v>74</v>
      </c>
      <c r="W2426"/>
      <c r="X2426"/>
      <c r="Y2426" t="s">
        <v>15864</v>
      </c>
      <c r="Z2426"/>
      <c r="AA2426"/>
      <c r="AB2426"/>
      <c r="AC2426"/>
      <c r="AD2426"/>
      <c r="AE2426"/>
      <c r="AF2426" t="s">
        <v>15865</v>
      </c>
      <c r="AG2426" t="n">
        <v>38</v>
      </c>
    </row>
    <row r="2427">
      <c r="A2427" t="s">
        <v>15866</v>
      </c>
      <c r="B2427" t="s">
        <v>28</v>
      </c>
      <c r="C2427" t="s">
        <v>65</v>
      </c>
      <c r="D2427" t="s">
        <v>15867</v>
      </c>
      <c r="E2427" t="s">
        <v>79</v>
      </c>
      <c r="F2427" t="s">
        <v>1274</v>
      </c>
      <c r="G2427" t="s">
        <v>1702</v>
      </c>
      <c r="H2427" t="n">
        <v>39.782434</v>
      </c>
      <c r="I2427" t="n">
        <v>-104.865728</v>
      </c>
      <c r="J2427" t="s">
        <v>35</v>
      </c>
      <c r="K2427" t="s">
        <v>133</v>
      </c>
      <c r="L2427"/>
      <c r="M2427" t="n">
        <v>1980</v>
      </c>
      <c r="N2427" t="n">
        <v>1983</v>
      </c>
      <c r="O2427" t="s">
        <v>528</v>
      </c>
      <c r="P2427" t="n">
        <v>2</v>
      </c>
      <c r="Q2427" t="n">
        <v>1</v>
      </c>
      <c r="R2427" t="n">
        <v>1</v>
      </c>
      <c r="S2427" t="n">
        <v>1970</v>
      </c>
      <c r="T2427" t="s">
        <v>15868</v>
      </c>
      <c r="U2427" t="s">
        <v>15869</v>
      </c>
      <c r="V2427" t="s">
        <v>74</v>
      </c>
      <c r="W2427"/>
      <c r="X2427"/>
      <c r="Y2427" t="s">
        <v>15870</v>
      </c>
      <c r="Z2427"/>
      <c r="AA2427" t="s">
        <v>15871</v>
      </c>
      <c r="AB2427" t="s">
        <v>15872</v>
      </c>
      <c r="AC2427" t="n">
        <v>214</v>
      </c>
      <c r="AD2427"/>
      <c r="AE2427"/>
      <c r="AF2427" t="s">
        <v>15873</v>
      </c>
      <c r="AG2427" t="n">
        <v>39</v>
      </c>
    </row>
    <row r="2428">
      <c r="A2428" t="s">
        <v>15874</v>
      </c>
      <c r="B2428" t="s">
        <v>28</v>
      </c>
      <c r="C2428" t="s">
        <v>65</v>
      </c>
      <c r="D2428" t="s">
        <v>15875</v>
      </c>
      <c r="E2428" t="s">
        <v>79</v>
      </c>
      <c r="F2428" t="s">
        <v>1274</v>
      </c>
      <c r="G2428" t="s">
        <v>1540</v>
      </c>
      <c r="H2428" t="n">
        <v>39.7934590089719</v>
      </c>
      <c r="I2428" t="n">
        <v>-105.043882723229</v>
      </c>
      <c r="J2428" t="s">
        <v>35</v>
      </c>
      <c r="K2428" t="s">
        <v>120</v>
      </c>
      <c r="L2428"/>
      <c r="M2428" t="n">
        <v>1983</v>
      </c>
      <c r="N2428" t="n">
        <v>1983</v>
      </c>
      <c r="O2428" t="s">
        <v>264</v>
      </c>
      <c r="P2428" t="n">
        <v>1</v>
      </c>
      <c r="Q2428" t="n">
        <v>1</v>
      </c>
      <c r="R2428" t="n">
        <v>1</v>
      </c>
      <c r="S2428" t="n">
        <v>1970</v>
      </c>
      <c r="T2428" t="s">
        <v>15876</v>
      </c>
      <c r="U2428" t="s">
        <v>15877</v>
      </c>
      <c r="V2428" t="s">
        <v>74</v>
      </c>
      <c r="W2428"/>
      <c r="X2428"/>
      <c r="Y2428" t="s">
        <v>15878</v>
      </c>
      <c r="Z2428"/>
      <c r="AA2428" t="s">
        <v>15879</v>
      </c>
      <c r="AB2428"/>
      <c r="AC2428"/>
      <c r="AD2428"/>
      <c r="AE2428"/>
      <c r="AF2428" t="s">
        <v>11536</v>
      </c>
      <c r="AG2428" t="n">
        <v>26</v>
      </c>
    </row>
    <row r="2429">
      <c r="A2429" t="s">
        <v>15880</v>
      </c>
      <c r="B2429" t="s">
        <v>28</v>
      </c>
      <c r="C2429" t="s">
        <v>24</v>
      </c>
      <c r="D2429" t="s">
        <v>15881</v>
      </c>
      <c r="E2429" t="s">
        <v>79</v>
      </c>
      <c r="F2429" t="s">
        <v>1274</v>
      </c>
      <c r="G2429" t="s">
        <v>1540</v>
      </c>
      <c r="H2429" t="n">
        <v>39.7938670983313</v>
      </c>
      <c r="I2429" t="n">
        <v>-105.043855037522</v>
      </c>
      <c r="J2429" t="s">
        <v>4109</v>
      </c>
      <c r="K2429" t="s">
        <v>120</v>
      </c>
      <c r="L2429"/>
      <c r="M2429" t="n">
        <v>1983</v>
      </c>
      <c r="N2429" t="n">
        <v>1983</v>
      </c>
      <c r="O2429" t="s">
        <v>264</v>
      </c>
      <c r="P2429" t="n">
        <v>1</v>
      </c>
      <c r="Q2429" t="n">
        <v>1</v>
      </c>
      <c r="R2429" t="n">
        <v>1</v>
      </c>
      <c r="S2429" t="n">
        <v>1973</v>
      </c>
      <c r="T2429" t="s">
        <v>15882</v>
      </c>
      <c r="U2429" t="s">
        <v>15883</v>
      </c>
      <c r="V2429" t="s">
        <v>74</v>
      </c>
      <c r="W2429"/>
      <c r="X2429"/>
      <c r="Y2429" t="s">
        <v>15884</v>
      </c>
      <c r="Z2429"/>
      <c r="AA2429" t="s">
        <v>15885</v>
      </c>
      <c r="AB2429"/>
      <c r="AC2429"/>
      <c r="AD2429"/>
      <c r="AE2429"/>
      <c r="AF2429" t="s">
        <v>11536</v>
      </c>
      <c r="AG2429" t="n">
        <v>19</v>
      </c>
    </row>
    <row r="2430">
      <c r="A2430" t="s">
        <v>15886</v>
      </c>
      <c r="B2430" t="s">
        <v>28</v>
      </c>
      <c r="C2430" t="s">
        <v>65</v>
      </c>
      <c r="D2430" t="s">
        <v>15887</v>
      </c>
      <c r="E2430" t="s">
        <v>79</v>
      </c>
      <c r="F2430" t="s">
        <v>1274</v>
      </c>
      <c r="G2430" t="s">
        <v>1702</v>
      </c>
      <c r="H2430" t="n">
        <v>39.7729114886882</v>
      </c>
      <c r="I2430" t="n">
        <v>-104.859925365183</v>
      </c>
      <c r="J2430" t="s">
        <v>35</v>
      </c>
      <c r="K2430" t="s">
        <v>70</v>
      </c>
      <c r="L2430"/>
      <c r="M2430" t="n">
        <v>1983</v>
      </c>
      <c r="N2430" t="n">
        <v>1983</v>
      </c>
      <c r="O2430" t="s">
        <v>264</v>
      </c>
      <c r="P2430" t="n">
        <v>1</v>
      </c>
      <c r="Q2430" t="n">
        <v>1</v>
      </c>
      <c r="R2430" t="n">
        <v>1</v>
      </c>
      <c r="S2430" t="n">
        <v>1974</v>
      </c>
      <c r="T2430" t="s">
        <v>15888</v>
      </c>
      <c r="U2430" t="s">
        <v>15889</v>
      </c>
      <c r="V2430" t="s">
        <v>74</v>
      </c>
      <c r="W2430"/>
      <c r="X2430"/>
      <c r="Y2430" t="s">
        <v>15890</v>
      </c>
      <c r="Z2430"/>
      <c r="AA2430"/>
      <c r="AB2430"/>
      <c r="AC2430"/>
      <c r="AD2430" t="s">
        <v>15891</v>
      </c>
      <c r="AE2430" t="n">
        <v>161</v>
      </c>
      <c r="AF2430" t="s">
        <v>15892</v>
      </c>
      <c r="AG2430" t="n">
        <v>4</v>
      </c>
    </row>
    <row r="2431">
      <c r="A2431" t="s">
        <v>15893</v>
      </c>
      <c r="B2431" t="s">
        <v>28</v>
      </c>
      <c r="C2431" t="s">
        <v>65</v>
      </c>
      <c r="D2431" t="s">
        <v>15894</v>
      </c>
      <c r="E2431" t="s">
        <v>79</v>
      </c>
      <c r="F2431" t="s">
        <v>1274</v>
      </c>
      <c r="G2431" t="s">
        <v>1702</v>
      </c>
      <c r="H2431" t="n">
        <v>39.7687211620762</v>
      </c>
      <c r="I2431" t="n">
        <v>-104.848601914532</v>
      </c>
      <c r="J2431" t="s">
        <v>35</v>
      </c>
      <c r="K2431" t="s">
        <v>120</v>
      </c>
      <c r="L2431"/>
      <c r="M2431" t="n">
        <v>1983</v>
      </c>
      <c r="N2431" t="n">
        <v>1983</v>
      </c>
      <c r="O2431" t="s">
        <v>264</v>
      </c>
      <c r="P2431" t="n">
        <v>1</v>
      </c>
      <c r="Q2431" t="n">
        <v>1</v>
      </c>
      <c r="R2431" t="n">
        <v>1</v>
      </c>
      <c r="S2431" t="n">
        <v>1979</v>
      </c>
      <c r="T2431" t="s">
        <v>15895</v>
      </c>
      <c r="U2431" t="s">
        <v>15896</v>
      </c>
      <c r="V2431" t="s">
        <v>74</v>
      </c>
      <c r="W2431"/>
      <c r="X2431"/>
      <c r="Y2431" t="s">
        <v>15897</v>
      </c>
      <c r="Z2431"/>
      <c r="AA2431"/>
      <c r="AB2431"/>
      <c r="AC2431"/>
      <c r="AD2431"/>
      <c r="AE2431"/>
      <c r="AF2431" t="s">
        <v>15898</v>
      </c>
      <c r="AG2431" t="n">
        <v>2</v>
      </c>
    </row>
    <row r="2432">
      <c r="A2432" t="s">
        <v>15899</v>
      </c>
      <c r="B2432" t="s">
        <v>28</v>
      </c>
      <c r="C2432" t="s">
        <v>24</v>
      </c>
      <c r="D2432" t="s">
        <v>15900</v>
      </c>
      <c r="E2432" t="s">
        <v>79</v>
      </c>
      <c r="F2432" t="s">
        <v>1274</v>
      </c>
      <c r="G2432" t="s">
        <v>1555</v>
      </c>
      <c r="H2432" t="n">
        <v>39.7276182051545</v>
      </c>
      <c r="I2432" t="n">
        <v>-105.012128530627</v>
      </c>
      <c r="J2432" t="s">
        <v>4109</v>
      </c>
      <c r="K2432" t="s">
        <v>133</v>
      </c>
      <c r="L2432"/>
      <c r="M2432" t="n">
        <v>1983</v>
      </c>
      <c r="N2432" t="n">
        <v>1992</v>
      </c>
      <c r="O2432" t="s">
        <v>320</v>
      </c>
      <c r="P2432" t="n">
        <v>4</v>
      </c>
      <c r="Q2432" t="n">
        <v>2</v>
      </c>
      <c r="R2432" t="n">
        <v>1</v>
      </c>
      <c r="S2432" t="n">
        <v>1952</v>
      </c>
      <c r="T2432" t="s">
        <v>15901</v>
      </c>
      <c r="U2432" t="s">
        <v>15902</v>
      </c>
      <c r="V2432" t="s">
        <v>74</v>
      </c>
      <c r="W2432"/>
      <c r="X2432"/>
      <c r="Y2432" t="s">
        <v>15903</v>
      </c>
      <c r="Z2432"/>
      <c r="AA2432" t="s">
        <v>15904</v>
      </c>
      <c r="AB2432"/>
      <c r="AC2432"/>
      <c r="AD2432" t="s">
        <v>14977</v>
      </c>
      <c r="AE2432" t="n">
        <v>112</v>
      </c>
      <c r="AF2432" t="s">
        <v>15905</v>
      </c>
      <c r="AG2432" t="n">
        <v>35</v>
      </c>
    </row>
    <row r="2433">
      <c r="A2433" t="s">
        <v>15906</v>
      </c>
      <c r="B2433" t="s">
        <v>28</v>
      </c>
      <c r="C2433" t="s">
        <v>65</v>
      </c>
      <c r="D2433" t="s">
        <v>15907</v>
      </c>
      <c r="E2433" t="s">
        <v>79</v>
      </c>
      <c r="F2433" t="s">
        <v>1274</v>
      </c>
      <c r="G2433" t="s">
        <v>1440</v>
      </c>
      <c r="H2433" t="n">
        <v>39.762041</v>
      </c>
      <c r="I2433" t="n">
        <v>-105.006441</v>
      </c>
      <c r="J2433" t="s">
        <v>35</v>
      </c>
      <c r="K2433" t="s">
        <v>315</v>
      </c>
      <c r="L2433"/>
      <c r="M2433" t="n">
        <v>1983</v>
      </c>
      <c r="N2433" t="n">
        <v>1990</v>
      </c>
      <c r="O2433" t="s">
        <v>271</v>
      </c>
      <c r="P2433" t="n">
        <v>3</v>
      </c>
      <c r="Q2433" t="n">
        <v>1</v>
      </c>
      <c r="R2433" t="n">
        <v>1</v>
      </c>
      <c r="S2433" t="n">
        <v>1971</v>
      </c>
      <c r="T2433" t="s">
        <v>15908</v>
      </c>
      <c r="U2433" t="s">
        <v>15909</v>
      </c>
      <c r="V2433" t="s">
        <v>74</v>
      </c>
      <c r="W2433"/>
      <c r="X2433"/>
      <c r="Y2433" t="s">
        <v>15910</v>
      </c>
      <c r="Z2433"/>
      <c r="AA2433"/>
      <c r="AB2433" t="s">
        <v>1341</v>
      </c>
      <c r="AC2433" t="n">
        <v>211</v>
      </c>
      <c r="AD2433" t="s">
        <v>1279</v>
      </c>
      <c r="AE2433" t="n">
        <v>216</v>
      </c>
      <c r="AF2433" t="s">
        <v>15911</v>
      </c>
      <c r="AG2433" t="n">
        <v>15</v>
      </c>
    </row>
    <row r="2434">
      <c r="A2434" t="s">
        <v>15912</v>
      </c>
      <c r="B2434" t="s">
        <v>28</v>
      </c>
      <c r="C2434" t="s">
        <v>65</v>
      </c>
      <c r="D2434" t="s">
        <v>15913</v>
      </c>
      <c r="E2434" t="s">
        <v>79</v>
      </c>
      <c r="F2434" t="s">
        <v>1274</v>
      </c>
      <c r="G2434" t="s">
        <v>1555</v>
      </c>
      <c r="H2434" t="n">
        <v>39.7368783919865</v>
      </c>
      <c r="I2434" t="n">
        <v>-105.004651349378</v>
      </c>
      <c r="J2434" t="s">
        <v>35</v>
      </c>
      <c r="K2434" t="s">
        <v>133</v>
      </c>
      <c r="L2434"/>
      <c r="M2434" t="n">
        <v>1983</v>
      </c>
      <c r="N2434" t="n">
        <v>1990</v>
      </c>
      <c r="O2434" t="s">
        <v>351</v>
      </c>
      <c r="P2434" t="n">
        <v>2</v>
      </c>
      <c r="Q2434" t="n">
        <v>1</v>
      </c>
      <c r="R2434" t="n">
        <v>1</v>
      </c>
      <c r="S2434" t="n">
        <v>1976</v>
      </c>
      <c r="T2434" t="s">
        <v>15914</v>
      </c>
      <c r="U2434" t="s">
        <v>15915</v>
      </c>
      <c r="V2434" t="s">
        <v>74</v>
      </c>
      <c r="W2434"/>
      <c r="X2434"/>
      <c r="Y2434" t="s">
        <v>15916</v>
      </c>
      <c r="Z2434"/>
      <c r="AA2434"/>
      <c r="AB2434" t="s">
        <v>8876</v>
      </c>
      <c r="AC2434" t="n">
        <v>91</v>
      </c>
      <c r="AD2434"/>
      <c r="AE2434"/>
      <c r="AF2434" t="s">
        <v>15917</v>
      </c>
      <c r="AG2434" t="n">
        <v>3</v>
      </c>
    </row>
    <row r="2435">
      <c r="A2435" t="s">
        <v>15918</v>
      </c>
      <c r="B2435" t="s">
        <v>28</v>
      </c>
      <c r="C2435" t="s">
        <v>24</v>
      </c>
      <c r="D2435" t="s">
        <v>15919</v>
      </c>
      <c r="E2435" t="s">
        <v>79</v>
      </c>
      <c r="F2435" t="s">
        <v>1274</v>
      </c>
      <c r="G2435" t="s">
        <v>1653</v>
      </c>
      <c r="H2435" t="n">
        <v>39.79281</v>
      </c>
      <c r="I2435" t="n">
        <v>-104.948717</v>
      </c>
      <c r="J2435" t="s">
        <v>4109</v>
      </c>
      <c r="K2435" t="s">
        <v>70</v>
      </c>
      <c r="L2435"/>
      <c r="M2435" t="n">
        <v>1983</v>
      </c>
      <c r="N2435" t="n">
        <v>1983</v>
      </c>
      <c r="O2435" t="s">
        <v>264</v>
      </c>
      <c r="P2435" t="n">
        <v>1</v>
      </c>
      <c r="Q2435" t="n">
        <v>1</v>
      </c>
      <c r="R2435" t="n">
        <v>1</v>
      </c>
      <c r="S2435" t="n">
        <v>1980</v>
      </c>
      <c r="T2435" t="s">
        <v>15920</v>
      </c>
      <c r="U2435" t="s">
        <v>15921</v>
      </c>
      <c r="V2435" t="s">
        <v>74</v>
      </c>
      <c r="W2435"/>
      <c r="X2435"/>
      <c r="Y2435" t="s">
        <v>15922</v>
      </c>
      <c r="Z2435"/>
      <c r="AA2435" t="s">
        <v>15923</v>
      </c>
      <c r="AB2435"/>
      <c r="AC2435"/>
      <c r="AD2435"/>
      <c r="AE2435"/>
      <c r="AF2435" t="s">
        <v>3184</v>
      </c>
      <c r="AG2435" t="n">
        <v>1</v>
      </c>
    </row>
    <row r="2436">
      <c r="A2436" t="s">
        <v>15924</v>
      </c>
      <c r="B2436" t="s">
        <v>28</v>
      </c>
      <c r="C2436" t="s">
        <v>65</v>
      </c>
      <c r="D2436" t="s">
        <v>15925</v>
      </c>
      <c r="E2436" t="s">
        <v>79</v>
      </c>
      <c r="F2436" t="s">
        <v>1274</v>
      </c>
      <c r="G2436" t="s">
        <v>1881</v>
      </c>
      <c r="H2436" t="n">
        <v>39.769253</v>
      </c>
      <c r="I2436" t="n">
        <v>-104.91817251984</v>
      </c>
      <c r="J2436" t="s">
        <v>35</v>
      </c>
      <c r="K2436" t="s">
        <v>89</v>
      </c>
      <c r="L2436"/>
      <c r="M2436" t="n">
        <v>1983</v>
      </c>
      <c r="N2436" t="n">
        <v>1990</v>
      </c>
      <c r="O2436" t="s">
        <v>293</v>
      </c>
      <c r="P2436" t="n">
        <v>2</v>
      </c>
      <c r="Q2436" t="n">
        <v>1</v>
      </c>
      <c r="R2436" t="n">
        <v>1</v>
      </c>
      <c r="S2436" t="n">
        <v>1925</v>
      </c>
      <c r="T2436" t="s">
        <v>15926</v>
      </c>
      <c r="U2436" t="s">
        <v>15927</v>
      </c>
      <c r="V2436" t="s">
        <v>74</v>
      </c>
      <c r="W2436"/>
      <c r="X2436"/>
      <c r="Y2436" t="s">
        <v>15928</v>
      </c>
      <c r="Z2436"/>
      <c r="AA2436"/>
      <c r="AB2436"/>
      <c r="AC2436"/>
      <c r="AD2436" t="s">
        <v>2112</v>
      </c>
      <c r="AE2436" t="n">
        <v>188</v>
      </c>
      <c r="AF2436" t="s">
        <v>15235</v>
      </c>
      <c r="AG2436" t="n">
        <v>18</v>
      </c>
    </row>
    <row r="2437">
      <c r="A2437" t="s">
        <v>15929</v>
      </c>
      <c r="B2437" t="s">
        <v>28</v>
      </c>
      <c r="C2437" t="s">
        <v>65</v>
      </c>
      <c r="D2437" t="s">
        <v>15930</v>
      </c>
      <c r="E2437" t="s">
        <v>79</v>
      </c>
      <c r="F2437" t="s">
        <v>1274</v>
      </c>
      <c r="G2437" t="s">
        <v>1516</v>
      </c>
      <c r="H2437" t="n">
        <v>39.7165853537448</v>
      </c>
      <c r="I2437" t="n">
        <v>-105.000618756516</v>
      </c>
      <c r="J2437" t="s">
        <v>35</v>
      </c>
      <c r="K2437" t="s">
        <v>120</v>
      </c>
      <c r="L2437"/>
      <c r="M2437" t="n">
        <v>1983</v>
      </c>
      <c r="N2437" t="n">
        <v>1983</v>
      </c>
      <c r="O2437" t="s">
        <v>264</v>
      </c>
      <c r="P2437" t="n">
        <v>1</v>
      </c>
      <c r="Q2437" t="n">
        <v>1</v>
      </c>
      <c r="R2437" t="n">
        <v>1</v>
      </c>
      <c r="S2437" t="n">
        <v>1955</v>
      </c>
      <c r="T2437" t="s">
        <v>15931</v>
      </c>
      <c r="U2437" t="s">
        <v>15932</v>
      </c>
      <c r="V2437" t="s">
        <v>74</v>
      </c>
      <c r="W2437"/>
      <c r="X2437"/>
      <c r="Y2437" t="s">
        <v>15933</v>
      </c>
      <c r="Z2437"/>
      <c r="AA2437" t="s">
        <v>15934</v>
      </c>
      <c r="AB2437" t="s">
        <v>2132</v>
      </c>
      <c r="AC2437" t="n">
        <v>96</v>
      </c>
      <c r="AD2437"/>
      <c r="AE2437"/>
      <c r="AF2437" t="s">
        <v>4463</v>
      </c>
      <c r="AG2437" t="n">
        <v>38</v>
      </c>
    </row>
    <row r="2438">
      <c r="A2438" t="s">
        <v>15935</v>
      </c>
      <c r="B2438" t="s">
        <v>28</v>
      </c>
      <c r="C2438" t="s">
        <v>65</v>
      </c>
      <c r="D2438" t="s">
        <v>15936</v>
      </c>
      <c r="E2438" t="s">
        <v>79</v>
      </c>
      <c r="F2438" t="s">
        <v>1274</v>
      </c>
      <c r="G2438" t="s">
        <v>1653</v>
      </c>
      <c r="H2438" t="n">
        <v>39.7737733028677</v>
      </c>
      <c r="I2438" t="n">
        <v>-104.922315745005</v>
      </c>
      <c r="J2438" t="s">
        <v>35</v>
      </c>
      <c r="K2438" t="s">
        <v>133</v>
      </c>
      <c r="L2438"/>
      <c r="M2438" t="n">
        <v>1983</v>
      </c>
      <c r="N2438" t="n">
        <v>1983</v>
      </c>
      <c r="O2438" t="s">
        <v>264</v>
      </c>
      <c r="P2438" t="n">
        <v>1</v>
      </c>
      <c r="Q2438" t="n">
        <v>1</v>
      </c>
      <c r="R2438" t="n">
        <v>1</v>
      </c>
      <c r="S2438" t="n">
        <v>1967</v>
      </c>
      <c r="T2438" t="s">
        <v>15937</v>
      </c>
      <c r="U2438" t="s">
        <v>15938</v>
      </c>
      <c r="V2438" t="s">
        <v>74</v>
      </c>
      <c r="W2438"/>
      <c r="X2438"/>
      <c r="Y2438" t="s">
        <v>15939</v>
      </c>
      <c r="Z2438"/>
      <c r="AA2438"/>
      <c r="AB2438"/>
      <c r="AC2438"/>
      <c r="AD2438" t="s">
        <v>11343</v>
      </c>
      <c r="AE2438" t="n">
        <v>209</v>
      </c>
      <c r="AF2438" t="s">
        <v>7128</v>
      </c>
      <c r="AG2438" t="n">
        <v>15</v>
      </c>
    </row>
    <row r="2439">
      <c r="A2439" t="s">
        <v>15940</v>
      </c>
      <c r="B2439" t="s">
        <v>28</v>
      </c>
      <c r="C2439" t="s">
        <v>24</v>
      </c>
      <c r="D2439" t="s">
        <v>15941</v>
      </c>
      <c r="E2439" t="s">
        <v>79</v>
      </c>
      <c r="F2439" t="s">
        <v>1274</v>
      </c>
      <c r="G2439" t="s">
        <v>1702</v>
      </c>
      <c r="H2439" t="n">
        <v>39.788776336171</v>
      </c>
      <c r="I2439" t="n">
        <v>-104.852672074813</v>
      </c>
      <c r="J2439" t="s">
        <v>4109</v>
      </c>
      <c r="K2439" t="s">
        <v>120</v>
      </c>
      <c r="L2439"/>
      <c r="M2439" t="n">
        <v>1983</v>
      </c>
      <c r="N2439" t="n">
        <v>1990</v>
      </c>
      <c r="O2439" t="s">
        <v>293</v>
      </c>
      <c r="P2439" t="n">
        <v>2</v>
      </c>
      <c r="Q2439" t="n">
        <v>2</v>
      </c>
      <c r="R2439" t="n">
        <v>2</v>
      </c>
      <c r="S2439" t="n">
        <v>1982</v>
      </c>
      <c r="T2439" t="s">
        <v>15942</v>
      </c>
      <c r="U2439" t="s">
        <v>15943</v>
      </c>
      <c r="V2439" t="s">
        <v>74</v>
      </c>
      <c r="W2439"/>
      <c r="X2439"/>
      <c r="Y2439" t="s">
        <v>15944</v>
      </c>
      <c r="Z2439"/>
      <c r="AA2439"/>
      <c r="AB2439"/>
      <c r="AC2439"/>
      <c r="AD2439" t="s">
        <v>15795</v>
      </c>
      <c r="AE2439" t="n">
        <v>140</v>
      </c>
      <c r="AF2439" t="s">
        <v>15945</v>
      </c>
      <c r="AG2439" t="n">
        <v>2</v>
      </c>
    </row>
    <row r="2440">
      <c r="A2440" t="s">
        <v>15946</v>
      </c>
      <c r="B2440" t="s">
        <v>28</v>
      </c>
      <c r="C2440" t="s">
        <v>65</v>
      </c>
      <c r="D2440" t="s">
        <v>15947</v>
      </c>
      <c r="E2440" t="s">
        <v>79</v>
      </c>
      <c r="F2440" t="s">
        <v>1274</v>
      </c>
      <c r="G2440" t="s">
        <v>1653</v>
      </c>
      <c r="H2440" t="n">
        <v>39.792797</v>
      </c>
      <c r="I2440" t="n">
        <v>-104.945103</v>
      </c>
      <c r="J2440" t="s">
        <v>35</v>
      </c>
      <c r="K2440" t="s">
        <v>315</v>
      </c>
      <c r="L2440"/>
      <c r="M2440" t="n">
        <v>1983</v>
      </c>
      <c r="N2440" t="n">
        <v>1988</v>
      </c>
      <c r="O2440" t="s">
        <v>283</v>
      </c>
      <c r="P2440" t="n">
        <v>2</v>
      </c>
      <c r="Q2440" t="n">
        <v>1</v>
      </c>
      <c r="R2440" t="n">
        <v>1</v>
      </c>
      <c r="S2440" t="n">
        <v>1952</v>
      </c>
      <c r="T2440" t="s">
        <v>15948</v>
      </c>
      <c r="U2440" t="s">
        <v>15949</v>
      </c>
      <c r="V2440" t="s">
        <v>74</v>
      </c>
      <c r="W2440"/>
      <c r="X2440"/>
      <c r="Y2440" t="s">
        <v>15950</v>
      </c>
      <c r="Z2440"/>
      <c r="AA2440" t="s">
        <v>15951</v>
      </c>
      <c r="AB2440" t="s">
        <v>15952</v>
      </c>
      <c r="AC2440" t="n">
        <v>219</v>
      </c>
      <c r="AD2440"/>
      <c r="AE2440"/>
      <c r="AF2440" t="s">
        <v>15953</v>
      </c>
      <c r="AG2440" t="n">
        <v>5</v>
      </c>
    </row>
    <row r="2441">
      <c r="A2441" t="s">
        <v>15954</v>
      </c>
      <c r="B2441" t="s">
        <v>28</v>
      </c>
      <c r="C2441" t="s">
        <v>65</v>
      </c>
      <c r="D2441" t="s">
        <v>15955</v>
      </c>
      <c r="E2441" t="s">
        <v>79</v>
      </c>
      <c r="F2441" t="s">
        <v>1274</v>
      </c>
      <c r="G2441" t="s">
        <v>1702</v>
      </c>
      <c r="H2441" t="n">
        <v>39.7801529405029</v>
      </c>
      <c r="I2441" t="n">
        <v>-104.86131860857</v>
      </c>
      <c r="J2441" t="s">
        <v>35</v>
      </c>
      <c r="K2441" t="s">
        <v>796</v>
      </c>
      <c r="L2441"/>
      <c r="M2441" t="n">
        <v>1983</v>
      </c>
      <c r="N2441" t="n">
        <v>1990</v>
      </c>
      <c r="O2441" t="s">
        <v>293</v>
      </c>
      <c r="P2441" t="n">
        <v>2</v>
      </c>
      <c r="Q2441" t="n">
        <v>1</v>
      </c>
      <c r="R2441" t="n">
        <v>1</v>
      </c>
      <c r="S2441" t="n">
        <v>1969</v>
      </c>
      <c r="T2441" t="s">
        <v>15956</v>
      </c>
      <c r="U2441" t="s">
        <v>15957</v>
      </c>
      <c r="V2441" t="s">
        <v>74</v>
      </c>
      <c r="W2441"/>
      <c r="X2441"/>
      <c r="Y2441" t="s">
        <v>15958</v>
      </c>
      <c r="Z2441"/>
      <c r="AA2441"/>
      <c r="AB2441"/>
      <c r="AC2441"/>
      <c r="AD2441"/>
      <c r="AE2441"/>
      <c r="AF2441" t="s">
        <v>15959</v>
      </c>
      <c r="AG2441" t="n">
        <v>8</v>
      </c>
    </row>
    <row r="2442">
      <c r="A2442" t="s">
        <v>15960</v>
      </c>
      <c r="B2442" t="s">
        <v>28</v>
      </c>
      <c r="C2442" t="s">
        <v>65</v>
      </c>
      <c r="D2442" t="s">
        <v>15961</v>
      </c>
      <c r="E2442" t="s">
        <v>79</v>
      </c>
      <c r="F2442" t="s">
        <v>1274</v>
      </c>
      <c r="G2442" t="s">
        <v>1516</v>
      </c>
      <c r="H2442" t="n">
        <v>39.67490516803</v>
      </c>
      <c r="I2442" t="n">
        <v>-104.999446421027</v>
      </c>
      <c r="J2442" t="s">
        <v>35</v>
      </c>
      <c r="K2442" t="s">
        <v>1639</v>
      </c>
      <c r="L2442"/>
      <c r="M2442" t="n">
        <v>1983</v>
      </c>
      <c r="N2442" t="n">
        <v>1990</v>
      </c>
      <c r="O2442" t="s">
        <v>271</v>
      </c>
      <c r="P2442" t="n">
        <v>3</v>
      </c>
      <c r="Q2442" t="n">
        <v>5</v>
      </c>
      <c r="R2442" t="n">
        <v>5</v>
      </c>
      <c r="S2442" t="n">
        <v>1965</v>
      </c>
      <c r="T2442" t="s">
        <v>15962</v>
      </c>
      <c r="U2442" t="s">
        <v>15963</v>
      </c>
      <c r="V2442" t="s">
        <v>74</v>
      </c>
      <c r="W2442"/>
      <c r="X2442"/>
      <c r="Y2442" t="s">
        <v>15964</v>
      </c>
      <c r="Z2442"/>
      <c r="AA2442" t="s">
        <v>15965</v>
      </c>
      <c r="AB2442"/>
      <c r="AC2442"/>
      <c r="AD2442" t="s">
        <v>8989</v>
      </c>
      <c r="AE2442" t="n">
        <v>163</v>
      </c>
      <c r="AF2442" t="s">
        <v>15966</v>
      </c>
      <c r="AG2442" t="n">
        <v>11</v>
      </c>
    </row>
    <row r="2443">
      <c r="A2443" t="s">
        <v>15967</v>
      </c>
      <c r="B2443" t="s">
        <v>28</v>
      </c>
      <c r="C2443" t="s">
        <v>24</v>
      </c>
      <c r="D2443" t="s">
        <v>15968</v>
      </c>
      <c r="E2443" t="s">
        <v>79</v>
      </c>
      <c r="F2443" t="s">
        <v>1274</v>
      </c>
      <c r="G2443" t="s">
        <v>1967</v>
      </c>
      <c r="H2443" t="n">
        <v>39.6530965352937</v>
      </c>
      <c r="I2443" t="n">
        <v>-104.910039292322</v>
      </c>
      <c r="J2443" t="s">
        <v>4109</v>
      </c>
      <c r="K2443" t="s">
        <v>70</v>
      </c>
      <c r="L2443"/>
      <c r="M2443" t="n">
        <v>1983</v>
      </c>
      <c r="N2443" t="n">
        <v>1983</v>
      </c>
      <c r="O2443" t="s">
        <v>264</v>
      </c>
      <c r="P2443" t="n">
        <v>1</v>
      </c>
      <c r="Q2443" t="n">
        <v>1</v>
      </c>
      <c r="R2443" t="n">
        <v>1</v>
      </c>
      <c r="S2443" t="n">
        <v>1976</v>
      </c>
      <c r="T2443" t="s">
        <v>15969</v>
      </c>
      <c r="U2443" t="s">
        <v>15970</v>
      </c>
      <c r="V2443" t="s">
        <v>74</v>
      </c>
      <c r="W2443"/>
      <c r="X2443"/>
      <c r="Y2443" t="s">
        <v>15971</v>
      </c>
      <c r="Z2443"/>
      <c r="AA2443" t="s">
        <v>15972</v>
      </c>
      <c r="AB2443"/>
      <c r="AC2443"/>
      <c r="AD2443"/>
      <c r="AE2443"/>
      <c r="AF2443" t="s">
        <v>15973</v>
      </c>
      <c r="AG2443" t="n">
        <v>133</v>
      </c>
    </row>
    <row r="2444">
      <c r="A2444" t="s">
        <v>15974</v>
      </c>
      <c r="B2444" t="s">
        <v>28</v>
      </c>
      <c r="C2444" t="s">
        <v>65</v>
      </c>
      <c r="D2444" t="s">
        <v>15975</v>
      </c>
      <c r="E2444" t="s">
        <v>79</v>
      </c>
      <c r="F2444" t="s">
        <v>1274</v>
      </c>
      <c r="G2444" t="s">
        <v>1516</v>
      </c>
      <c r="H2444" t="n">
        <v>39.7004490005481</v>
      </c>
      <c r="I2444" t="n">
        <v>-105.001525335199</v>
      </c>
      <c r="J2444" t="s">
        <v>35</v>
      </c>
      <c r="K2444" t="s">
        <v>133</v>
      </c>
      <c r="L2444"/>
      <c r="M2444" t="n">
        <v>1983</v>
      </c>
      <c r="N2444" t="n">
        <v>1983</v>
      </c>
      <c r="O2444" t="s">
        <v>264</v>
      </c>
      <c r="P2444" t="n">
        <v>1</v>
      </c>
      <c r="Q2444" t="n">
        <v>1</v>
      </c>
      <c r="R2444" t="n">
        <v>1</v>
      </c>
      <c r="S2444" t="n">
        <v>1979</v>
      </c>
      <c r="T2444" t="s">
        <v>15976</v>
      </c>
      <c r="U2444" t="s">
        <v>15977</v>
      </c>
      <c r="V2444" t="s">
        <v>74</v>
      </c>
      <c r="W2444"/>
      <c r="X2444"/>
      <c r="Y2444" t="s">
        <v>15978</v>
      </c>
      <c r="Z2444"/>
      <c r="AA2444"/>
      <c r="AB2444" t="s">
        <v>15979</v>
      </c>
      <c r="AC2444" t="n">
        <v>183</v>
      </c>
      <c r="AD2444" t="s">
        <v>1478</v>
      </c>
      <c r="AE2444" t="n">
        <v>139</v>
      </c>
      <c r="AF2444" t="s">
        <v>15980</v>
      </c>
      <c r="AG2444" t="n">
        <v>18</v>
      </c>
    </row>
    <row r="2445">
      <c r="A2445" t="s">
        <v>15981</v>
      </c>
      <c r="B2445" t="s">
        <v>28</v>
      </c>
      <c r="C2445" t="s">
        <v>65</v>
      </c>
      <c r="D2445" t="s">
        <v>15982</v>
      </c>
      <c r="E2445" t="s">
        <v>79</v>
      </c>
      <c r="F2445" t="s">
        <v>1274</v>
      </c>
      <c r="G2445" t="s">
        <v>1612</v>
      </c>
      <c r="H2445" t="n">
        <v>39.7111703333333</v>
      </c>
      <c r="I2445" t="n">
        <v>-105.019551666667</v>
      </c>
      <c r="J2445" t="s">
        <v>35</v>
      </c>
      <c r="K2445" t="s">
        <v>120</v>
      </c>
      <c r="L2445"/>
      <c r="M2445" t="n">
        <v>1983</v>
      </c>
      <c r="N2445" t="n">
        <v>1990</v>
      </c>
      <c r="O2445" t="s">
        <v>271</v>
      </c>
      <c r="P2445" t="n">
        <v>3</v>
      </c>
      <c r="Q2445" t="n">
        <v>2</v>
      </c>
      <c r="R2445" t="n">
        <v>2</v>
      </c>
      <c r="S2445" t="n">
        <v>1958</v>
      </c>
      <c r="T2445" t="s">
        <v>15983</v>
      </c>
      <c r="U2445" t="s">
        <v>15984</v>
      </c>
      <c r="V2445" t="s">
        <v>74</v>
      </c>
      <c r="W2445"/>
      <c r="X2445"/>
      <c r="Y2445" t="s">
        <v>15985</v>
      </c>
      <c r="Z2445"/>
      <c r="AA2445"/>
      <c r="AB2445"/>
      <c r="AC2445"/>
      <c r="AD2445"/>
      <c r="AE2445"/>
      <c r="AF2445" t="s">
        <v>15986</v>
      </c>
      <c r="AG2445" t="n">
        <v>10</v>
      </c>
    </row>
    <row r="2446">
      <c r="A2446" t="s">
        <v>15987</v>
      </c>
      <c r="B2446" t="s">
        <v>28</v>
      </c>
      <c r="C2446" t="s">
        <v>24</v>
      </c>
      <c r="D2446" t="s">
        <v>15988</v>
      </c>
      <c r="E2446" t="s">
        <v>79</v>
      </c>
      <c r="F2446" t="s">
        <v>1274</v>
      </c>
      <c r="G2446" t="s">
        <v>1440</v>
      </c>
      <c r="H2446" t="n">
        <v>39.7600165049559</v>
      </c>
      <c r="I2446" t="n">
        <v>-105.015834923347</v>
      </c>
      <c r="J2446" t="s">
        <v>4109</v>
      </c>
      <c r="K2446" t="s">
        <v>141</v>
      </c>
      <c r="L2446"/>
      <c r="M2446" t="n">
        <v>1983</v>
      </c>
      <c r="N2446" t="n">
        <v>1992</v>
      </c>
      <c r="O2446" t="s">
        <v>320</v>
      </c>
      <c r="P2446" t="n">
        <v>4</v>
      </c>
      <c r="Q2446" t="n">
        <v>4</v>
      </c>
      <c r="R2446" t="n">
        <v>1</v>
      </c>
      <c r="S2446" t="n">
        <v>1972</v>
      </c>
      <c r="T2446" t="s">
        <v>15989</v>
      </c>
      <c r="U2446" t="s">
        <v>15990</v>
      </c>
      <c r="V2446" t="s">
        <v>74</v>
      </c>
      <c r="W2446"/>
      <c r="X2446"/>
      <c r="Y2446" t="s">
        <v>15991</v>
      </c>
      <c r="Z2446"/>
      <c r="AA2446" t="s">
        <v>15992</v>
      </c>
      <c r="AB2446"/>
      <c r="AC2446"/>
      <c r="AD2446"/>
      <c r="AE2446"/>
      <c r="AF2446" t="s">
        <v>15993</v>
      </c>
      <c r="AG2446" t="n">
        <v>14</v>
      </c>
    </row>
    <row r="2447">
      <c r="A2447" t="s">
        <v>15994</v>
      </c>
      <c r="B2447" t="s">
        <v>28</v>
      </c>
      <c r="C2447" t="s">
        <v>65</v>
      </c>
      <c r="D2447" t="s">
        <v>15995</v>
      </c>
      <c r="E2447" t="s">
        <v>79</v>
      </c>
      <c r="F2447" t="s">
        <v>1274</v>
      </c>
      <c r="G2447" t="s">
        <v>1440</v>
      </c>
      <c r="H2447" t="n">
        <v>39.7548172413347</v>
      </c>
      <c r="I2447" t="n">
        <v>-105.017444649507</v>
      </c>
      <c r="J2447" t="s">
        <v>35</v>
      </c>
      <c r="K2447" t="s">
        <v>70</v>
      </c>
      <c r="L2447" t="s">
        <v>202</v>
      </c>
      <c r="M2447" t="n">
        <v>1988</v>
      </c>
      <c r="N2447" t="n">
        <v>1990</v>
      </c>
      <c r="O2447" t="s">
        <v>310</v>
      </c>
      <c r="P2447" t="n">
        <v>2</v>
      </c>
      <c r="Q2447" t="n">
        <v>2</v>
      </c>
      <c r="R2447" t="n">
        <v>2</v>
      </c>
      <c r="S2447" t="n">
        <v>1979</v>
      </c>
      <c r="T2447" t="s">
        <v>15996</v>
      </c>
      <c r="U2447" t="s">
        <v>15997</v>
      </c>
      <c r="V2447" t="s">
        <v>74</v>
      </c>
      <c r="W2447"/>
      <c r="X2447"/>
      <c r="Y2447" t="s">
        <v>15998</v>
      </c>
      <c r="Z2447"/>
      <c r="AA2447" t="s">
        <v>15999</v>
      </c>
      <c r="AB2447"/>
      <c r="AC2447"/>
      <c r="AD2447"/>
      <c r="AE2447"/>
      <c r="AF2447" t="s">
        <v>16000</v>
      </c>
      <c r="AG2447" t="n">
        <v>5</v>
      </c>
    </row>
    <row r="2448">
      <c r="A2448" t="s">
        <v>16001</v>
      </c>
      <c r="B2448" t="s">
        <v>28</v>
      </c>
      <c r="C2448" t="s">
        <v>65</v>
      </c>
      <c r="D2448" t="s">
        <v>16002</v>
      </c>
      <c r="E2448" t="s">
        <v>79</v>
      </c>
      <c r="F2448" t="s">
        <v>1274</v>
      </c>
      <c r="G2448" t="s">
        <v>1440</v>
      </c>
      <c r="H2448" t="n">
        <v>39.774233</v>
      </c>
      <c r="I2448" t="n">
        <v>-104.999391</v>
      </c>
      <c r="J2448" t="s">
        <v>35</v>
      </c>
      <c r="K2448" t="s">
        <v>70</v>
      </c>
      <c r="L2448"/>
      <c r="M2448" t="n">
        <v>1988</v>
      </c>
      <c r="N2448" t="n">
        <v>1990</v>
      </c>
      <c r="O2448" t="s">
        <v>310</v>
      </c>
      <c r="P2448" t="n">
        <v>2</v>
      </c>
      <c r="Q2448" t="n">
        <v>1</v>
      </c>
      <c r="R2448" t="n">
        <v>1</v>
      </c>
      <c r="S2448" t="n">
        <v>1978</v>
      </c>
      <c r="T2448" t="s">
        <v>16003</v>
      </c>
      <c r="U2448" t="s">
        <v>16004</v>
      </c>
      <c r="V2448" t="s">
        <v>74</v>
      </c>
      <c r="W2448"/>
      <c r="X2448"/>
      <c r="Y2448" t="s">
        <v>16005</v>
      </c>
      <c r="Z2448"/>
      <c r="AA2448"/>
      <c r="AB2448"/>
      <c r="AC2448"/>
      <c r="AD2448"/>
      <c r="AE2448"/>
      <c r="AF2448" t="s">
        <v>16006</v>
      </c>
      <c r="AG2448" t="n">
        <v>15</v>
      </c>
    </row>
    <row r="2449">
      <c r="A2449" t="s">
        <v>16007</v>
      </c>
      <c r="B2449" t="s">
        <v>28</v>
      </c>
      <c r="C2449" t="s">
        <v>24</v>
      </c>
      <c r="D2449" t="s">
        <v>16008</v>
      </c>
      <c r="E2449" t="s">
        <v>79</v>
      </c>
      <c r="F2449" t="s">
        <v>1274</v>
      </c>
      <c r="G2449" t="s">
        <v>1516</v>
      </c>
      <c r="H2449" t="n">
        <v>39.723766</v>
      </c>
      <c r="I2449" t="n">
        <v>-104.963473</v>
      </c>
      <c r="J2449" t="s">
        <v>4109</v>
      </c>
      <c r="K2449" t="s">
        <v>141</v>
      </c>
      <c r="L2449"/>
      <c r="M2449" t="n">
        <v>1988</v>
      </c>
      <c r="N2449" t="n">
        <v>1988</v>
      </c>
      <c r="O2449" t="s">
        <v>325</v>
      </c>
      <c r="P2449" t="n">
        <v>1</v>
      </c>
      <c r="Q2449" t="n">
        <v>2</v>
      </c>
      <c r="R2449" t="n">
        <v>2</v>
      </c>
      <c r="S2449" t="n">
        <v>1967</v>
      </c>
      <c r="T2449" t="s">
        <v>16009</v>
      </c>
      <c r="U2449" t="s">
        <v>16010</v>
      </c>
      <c r="V2449" t="s">
        <v>74</v>
      </c>
      <c r="W2449"/>
      <c r="X2449"/>
      <c r="Y2449" t="s">
        <v>16011</v>
      </c>
      <c r="Z2449"/>
      <c r="AA2449" t="s">
        <v>16012</v>
      </c>
      <c r="AB2449"/>
      <c r="AC2449"/>
      <c r="AD2449"/>
      <c r="AE2449"/>
      <c r="AF2449" t="s">
        <v>16013</v>
      </c>
      <c r="AG2449" t="n">
        <v>238</v>
      </c>
    </row>
    <row r="2450">
      <c r="A2450" t="s">
        <v>16014</v>
      </c>
      <c r="B2450" t="s">
        <v>28</v>
      </c>
      <c r="C2450" t="s">
        <v>24</v>
      </c>
      <c r="D2450" t="s">
        <v>16015</v>
      </c>
      <c r="E2450" t="s">
        <v>79</v>
      </c>
      <c r="F2450" t="s">
        <v>1274</v>
      </c>
      <c r="G2450" t="s">
        <v>1653</v>
      </c>
      <c r="H2450" t="n">
        <v>39.8004851776228</v>
      </c>
      <c r="I2450" t="n">
        <v>-104.981187134124</v>
      </c>
      <c r="J2450" t="s">
        <v>4109</v>
      </c>
      <c r="K2450" t="s">
        <v>70</v>
      </c>
      <c r="L2450"/>
      <c r="M2450" t="n">
        <v>1988</v>
      </c>
      <c r="N2450" t="n">
        <v>1990</v>
      </c>
      <c r="O2450" t="s">
        <v>310</v>
      </c>
      <c r="P2450" t="n">
        <v>2</v>
      </c>
      <c r="Q2450" t="n">
        <v>2</v>
      </c>
      <c r="R2450" t="n">
        <v>2</v>
      </c>
      <c r="S2450" t="n">
        <v>1977</v>
      </c>
      <c r="T2450" t="s">
        <v>16016</v>
      </c>
      <c r="U2450" t="s">
        <v>16017</v>
      </c>
      <c r="V2450" t="s">
        <v>74</v>
      </c>
      <c r="W2450"/>
      <c r="X2450"/>
      <c r="Y2450" t="s">
        <v>16018</v>
      </c>
      <c r="Z2450"/>
      <c r="AA2450" t="s">
        <v>16019</v>
      </c>
      <c r="AB2450"/>
      <c r="AC2450"/>
      <c r="AD2450"/>
      <c r="AE2450"/>
      <c r="AF2450" t="s">
        <v>16020</v>
      </c>
      <c r="AG2450" t="n">
        <v>140</v>
      </c>
    </row>
    <row r="2451">
      <c r="A2451" t="s">
        <v>16021</v>
      </c>
      <c r="B2451" t="s">
        <v>28</v>
      </c>
      <c r="C2451" t="s">
        <v>24</v>
      </c>
      <c r="D2451" t="s">
        <v>16022</v>
      </c>
      <c r="E2451" t="s">
        <v>79</v>
      </c>
      <c r="F2451" t="s">
        <v>1274</v>
      </c>
      <c r="G2451" t="s">
        <v>1555</v>
      </c>
      <c r="H2451" t="n">
        <v>39.7252354296653</v>
      </c>
      <c r="I2451" t="n">
        <v>-105.00749599329</v>
      </c>
      <c r="J2451" t="s">
        <v>4109</v>
      </c>
      <c r="K2451" t="s">
        <v>70</v>
      </c>
      <c r="L2451"/>
      <c r="M2451" t="n">
        <v>1988</v>
      </c>
      <c r="N2451" t="n">
        <v>1988</v>
      </c>
      <c r="O2451" t="s">
        <v>325</v>
      </c>
      <c r="P2451" t="n">
        <v>1</v>
      </c>
      <c r="Q2451" t="n">
        <v>1</v>
      </c>
      <c r="R2451" t="n">
        <v>1</v>
      </c>
      <c r="S2451" t="n">
        <v>1980</v>
      </c>
      <c r="T2451" t="s">
        <v>16023</v>
      </c>
      <c r="U2451" t="s">
        <v>16024</v>
      </c>
      <c r="V2451" t="s">
        <v>74</v>
      </c>
      <c r="W2451"/>
      <c r="X2451"/>
      <c r="Y2451" t="s">
        <v>16025</v>
      </c>
      <c r="Z2451"/>
      <c r="AA2451" t="s">
        <v>16026</v>
      </c>
      <c r="AB2451"/>
      <c r="AC2451"/>
      <c r="AD2451" t="s">
        <v>16027</v>
      </c>
      <c r="AE2451" t="n">
        <v>224</v>
      </c>
      <c r="AF2451" t="s">
        <v>16028</v>
      </c>
      <c r="AG2451" t="n">
        <v>34</v>
      </c>
    </row>
    <row r="2452">
      <c r="A2452" t="s">
        <v>16029</v>
      </c>
      <c r="B2452" t="s">
        <v>28</v>
      </c>
      <c r="C2452" t="s">
        <v>65</v>
      </c>
      <c r="D2452" t="s">
        <v>16030</v>
      </c>
      <c r="E2452" t="s">
        <v>79</v>
      </c>
      <c r="F2452" t="s">
        <v>1274</v>
      </c>
      <c r="G2452" t="s">
        <v>1516</v>
      </c>
      <c r="H2452" t="n">
        <v>39.7158812836559</v>
      </c>
      <c r="I2452" t="n">
        <v>-104.995169</v>
      </c>
      <c r="J2452" t="s">
        <v>35</v>
      </c>
      <c r="K2452" t="s">
        <v>120</v>
      </c>
      <c r="L2452"/>
      <c r="M2452" t="n">
        <v>1988</v>
      </c>
      <c r="N2452" t="n">
        <v>1990</v>
      </c>
      <c r="O2452" t="s">
        <v>310</v>
      </c>
      <c r="P2452" t="n">
        <v>2</v>
      </c>
      <c r="Q2452" t="n">
        <v>2</v>
      </c>
      <c r="R2452" t="n">
        <v>1</v>
      </c>
      <c r="S2452" t="n">
        <v>1978</v>
      </c>
      <c r="T2452" t="s">
        <v>16031</v>
      </c>
      <c r="U2452" t="s">
        <v>16032</v>
      </c>
      <c r="V2452" t="s">
        <v>74</v>
      </c>
      <c r="W2452"/>
      <c r="X2452"/>
      <c r="Y2452" t="s">
        <v>16033</v>
      </c>
      <c r="Z2452"/>
      <c r="AA2452" t="s">
        <v>16034</v>
      </c>
      <c r="AB2452" t="s">
        <v>1687</v>
      </c>
      <c r="AC2452" t="n">
        <v>173</v>
      </c>
      <c r="AD2452"/>
      <c r="AE2452"/>
      <c r="AF2452" t="s">
        <v>1537</v>
      </c>
      <c r="AG2452" t="n">
        <v>9</v>
      </c>
    </row>
    <row r="2453">
      <c r="A2453" t="s">
        <v>16035</v>
      </c>
      <c r="B2453" t="s">
        <v>28</v>
      </c>
      <c r="C2453" t="s">
        <v>24</v>
      </c>
      <c r="D2453" t="s">
        <v>16036</v>
      </c>
      <c r="E2453" t="s">
        <v>79</v>
      </c>
      <c r="F2453" t="s">
        <v>1274</v>
      </c>
      <c r="G2453" t="s">
        <v>1653</v>
      </c>
      <c r="H2453" t="n">
        <v>39.7870627316076</v>
      </c>
      <c r="I2453" t="n">
        <v>-104.940376296651</v>
      </c>
      <c r="J2453" t="s">
        <v>4109</v>
      </c>
      <c r="K2453" t="s">
        <v>70</v>
      </c>
      <c r="L2453"/>
      <c r="M2453" t="n">
        <v>1988</v>
      </c>
      <c r="N2453" t="n">
        <v>1990</v>
      </c>
      <c r="O2453" t="s">
        <v>351</v>
      </c>
      <c r="P2453" t="n">
        <v>2</v>
      </c>
      <c r="Q2453" t="n">
        <v>1</v>
      </c>
      <c r="R2453" t="n">
        <v>1</v>
      </c>
      <c r="S2453" t="n">
        <v>1977</v>
      </c>
      <c r="T2453" t="s">
        <v>16037</v>
      </c>
      <c r="U2453" t="s">
        <v>16038</v>
      </c>
      <c r="V2453" t="s">
        <v>74</v>
      </c>
      <c r="W2453"/>
      <c r="X2453"/>
      <c r="Y2453" t="s">
        <v>16039</v>
      </c>
      <c r="Z2453"/>
      <c r="AA2453" t="s">
        <v>16040</v>
      </c>
      <c r="AB2453"/>
      <c r="AC2453"/>
      <c r="AD2453"/>
      <c r="AE2453"/>
      <c r="AF2453" t="s">
        <v>16041</v>
      </c>
      <c r="AG2453" t="n">
        <v>104</v>
      </c>
    </row>
    <row r="2454">
      <c r="A2454" t="s">
        <v>16042</v>
      </c>
      <c r="B2454" t="s">
        <v>28</v>
      </c>
      <c r="C2454" t="s">
        <v>65</v>
      </c>
      <c r="D2454" t="s">
        <v>16043</v>
      </c>
      <c r="E2454" t="s">
        <v>79</v>
      </c>
      <c r="F2454" t="s">
        <v>1274</v>
      </c>
      <c r="G2454" t="s">
        <v>1612</v>
      </c>
      <c r="H2454" t="n">
        <v>39.7202692425274</v>
      </c>
      <c r="I2454" t="n">
        <v>-105.018620068205</v>
      </c>
      <c r="J2454" t="s">
        <v>35</v>
      </c>
      <c r="K2454" t="s">
        <v>120</v>
      </c>
      <c r="L2454"/>
      <c r="M2454" t="n">
        <v>1988</v>
      </c>
      <c r="N2454" t="n">
        <v>1990</v>
      </c>
      <c r="O2454" t="s">
        <v>351</v>
      </c>
      <c r="P2454" t="n">
        <v>2</v>
      </c>
      <c r="Q2454" t="n">
        <v>2</v>
      </c>
      <c r="R2454" t="n">
        <v>1</v>
      </c>
      <c r="S2454" t="n">
        <v>1962</v>
      </c>
      <c r="T2454" t="s">
        <v>16044</v>
      </c>
      <c r="U2454" t="s">
        <v>16045</v>
      </c>
      <c r="V2454" t="s">
        <v>74</v>
      </c>
      <c r="W2454"/>
      <c r="X2454"/>
      <c r="Y2454" t="s">
        <v>16046</v>
      </c>
      <c r="Z2454"/>
      <c r="AA2454"/>
      <c r="AB2454" t="s">
        <v>14475</v>
      </c>
      <c r="AC2454" t="n">
        <v>180</v>
      </c>
      <c r="AD2454"/>
      <c r="AE2454"/>
      <c r="AF2454" t="s">
        <v>16047</v>
      </c>
      <c r="AG2454" t="n">
        <v>21</v>
      </c>
    </row>
    <row r="2455">
      <c r="A2455" t="s">
        <v>16048</v>
      </c>
      <c r="B2455" t="s">
        <v>28</v>
      </c>
      <c r="C2455" t="s">
        <v>65</v>
      </c>
      <c r="D2455" t="s">
        <v>16049</v>
      </c>
      <c r="E2455" t="s">
        <v>79</v>
      </c>
      <c r="F2455" t="s">
        <v>1274</v>
      </c>
      <c r="G2455" t="s">
        <v>1702</v>
      </c>
      <c r="H2455" t="n">
        <v>39.7863795910195</v>
      </c>
      <c r="I2455" t="n">
        <v>-104.854860408111</v>
      </c>
      <c r="J2455" t="s">
        <v>35</v>
      </c>
      <c r="K2455" t="s">
        <v>133</v>
      </c>
      <c r="L2455"/>
      <c r="M2455" t="n">
        <v>1988</v>
      </c>
      <c r="N2455" t="n">
        <v>1990</v>
      </c>
      <c r="O2455" t="s">
        <v>310</v>
      </c>
      <c r="P2455" t="n">
        <v>2</v>
      </c>
      <c r="Q2455" t="n">
        <v>3</v>
      </c>
      <c r="R2455" t="n">
        <v>2</v>
      </c>
      <c r="S2455" t="n">
        <v>1984</v>
      </c>
      <c r="T2455" t="s">
        <v>16050</v>
      </c>
      <c r="U2455" t="s">
        <v>16051</v>
      </c>
      <c r="V2455" t="s">
        <v>74</v>
      </c>
      <c r="W2455"/>
      <c r="X2455"/>
      <c r="Y2455" t="s">
        <v>16052</v>
      </c>
      <c r="Z2455"/>
      <c r="AA2455"/>
      <c r="AB2455"/>
      <c r="AC2455"/>
      <c r="AD2455" t="s">
        <v>16053</v>
      </c>
      <c r="AE2455" t="n">
        <v>222</v>
      </c>
      <c r="AF2455" t="s">
        <v>16054</v>
      </c>
      <c r="AG2455" t="n">
        <v>2</v>
      </c>
    </row>
    <row r="2456">
      <c r="A2456" t="s">
        <v>16055</v>
      </c>
      <c r="B2456" t="s">
        <v>28</v>
      </c>
      <c r="C2456" t="s">
        <v>65</v>
      </c>
      <c r="D2456" t="s">
        <v>16056</v>
      </c>
      <c r="E2456" t="s">
        <v>79</v>
      </c>
      <c r="F2456" t="s">
        <v>1274</v>
      </c>
      <c r="G2456" t="s">
        <v>1702</v>
      </c>
      <c r="H2456" t="n">
        <v>39.7691871936599</v>
      </c>
      <c r="I2456" t="n">
        <v>-104.836434259934</v>
      </c>
      <c r="J2456" t="s">
        <v>35</v>
      </c>
      <c r="K2456" t="s">
        <v>89</v>
      </c>
      <c r="L2456"/>
      <c r="M2456" t="n">
        <v>1988</v>
      </c>
      <c r="N2456" t="n">
        <v>1990</v>
      </c>
      <c r="O2456" t="s">
        <v>351</v>
      </c>
      <c r="P2456" t="n">
        <v>2</v>
      </c>
      <c r="Q2456" t="n">
        <v>3</v>
      </c>
      <c r="R2456" t="n">
        <v>1</v>
      </c>
      <c r="S2456" t="n">
        <v>1978</v>
      </c>
      <c r="T2456" t="s">
        <v>16057</v>
      </c>
      <c r="U2456" t="s">
        <v>16058</v>
      </c>
      <c r="V2456" t="s">
        <v>74</v>
      </c>
      <c r="W2456"/>
      <c r="X2456"/>
      <c r="Y2456" t="s">
        <v>16059</v>
      </c>
      <c r="Z2456"/>
      <c r="AA2456" t="s">
        <v>16060</v>
      </c>
      <c r="AB2456"/>
      <c r="AC2456"/>
      <c r="AD2456"/>
      <c r="AE2456"/>
      <c r="AF2456" t="s">
        <v>16061</v>
      </c>
      <c r="AG2456" t="n">
        <v>96</v>
      </c>
    </row>
    <row r="2457">
      <c r="A2457" t="s">
        <v>16062</v>
      </c>
      <c r="B2457" t="s">
        <v>28</v>
      </c>
      <c r="C2457" t="s">
        <v>24</v>
      </c>
      <c r="D2457" t="s">
        <v>16063</v>
      </c>
      <c r="E2457" t="s">
        <v>79</v>
      </c>
      <c r="F2457" t="s">
        <v>1274</v>
      </c>
      <c r="G2457" t="s">
        <v>1555</v>
      </c>
      <c r="H2457" t="n">
        <v>39.7244249592676</v>
      </c>
      <c r="I2457" t="n">
        <v>-105.009271006851</v>
      </c>
      <c r="J2457" t="s">
        <v>4109</v>
      </c>
      <c r="K2457" t="s">
        <v>133</v>
      </c>
      <c r="L2457"/>
      <c r="M2457" t="n">
        <v>1988</v>
      </c>
      <c r="N2457" t="n">
        <v>1990</v>
      </c>
      <c r="O2457" t="s">
        <v>310</v>
      </c>
      <c r="P2457" t="n">
        <v>2</v>
      </c>
      <c r="Q2457" t="n">
        <v>3</v>
      </c>
      <c r="R2457" t="n">
        <v>2</v>
      </c>
      <c r="S2457" t="n">
        <v>1979</v>
      </c>
      <c r="T2457" t="s">
        <v>16064</v>
      </c>
      <c r="U2457" t="s">
        <v>16065</v>
      </c>
      <c r="V2457" t="s">
        <v>74</v>
      </c>
      <c r="W2457"/>
      <c r="X2457"/>
      <c r="Y2457" t="s">
        <v>16066</v>
      </c>
      <c r="Z2457"/>
      <c r="AA2457" t="s">
        <v>16067</v>
      </c>
      <c r="AB2457"/>
      <c r="AC2457"/>
      <c r="AD2457"/>
      <c r="AE2457"/>
      <c r="AF2457" t="s">
        <v>12994</v>
      </c>
      <c r="AG2457" t="n">
        <v>9</v>
      </c>
    </row>
    <row r="2458">
      <c r="A2458" t="s">
        <v>16068</v>
      </c>
      <c r="B2458" t="s">
        <v>28</v>
      </c>
      <c r="C2458" t="s">
        <v>24</v>
      </c>
      <c r="D2458" t="s">
        <v>16069</v>
      </c>
      <c r="E2458" t="s">
        <v>79</v>
      </c>
      <c r="F2458" t="s">
        <v>1274</v>
      </c>
      <c r="G2458" t="s">
        <v>1555</v>
      </c>
      <c r="H2458" t="n">
        <v>39.731230612295</v>
      </c>
      <c r="I2458" t="n">
        <v>-105.025156102269</v>
      </c>
      <c r="J2458" t="s">
        <v>4109</v>
      </c>
      <c r="K2458" t="s">
        <v>315</v>
      </c>
      <c r="L2458"/>
      <c r="M2458" t="n">
        <v>1988</v>
      </c>
      <c r="N2458" t="n">
        <v>1992</v>
      </c>
      <c r="O2458" t="s">
        <v>310</v>
      </c>
      <c r="P2458" t="n">
        <v>3</v>
      </c>
      <c r="Q2458" t="n">
        <v>1</v>
      </c>
      <c r="R2458" t="n">
        <v>1</v>
      </c>
      <c r="S2458" t="n">
        <v>1971</v>
      </c>
      <c r="T2458" t="s">
        <v>16070</v>
      </c>
      <c r="U2458" t="s">
        <v>16071</v>
      </c>
      <c r="V2458" t="s">
        <v>74</v>
      </c>
      <c r="W2458"/>
      <c r="X2458"/>
      <c r="Y2458" t="s">
        <v>16072</v>
      </c>
      <c r="Z2458"/>
      <c r="AA2458"/>
      <c r="AB2458"/>
      <c r="AC2458"/>
      <c r="AD2458"/>
      <c r="AE2458"/>
      <c r="AF2458" t="s">
        <v>14684</v>
      </c>
      <c r="AG2458" t="n">
        <v>8</v>
      </c>
    </row>
    <row r="2459">
      <c r="A2459" t="s">
        <v>16073</v>
      </c>
      <c r="B2459" t="s">
        <v>28</v>
      </c>
      <c r="C2459" t="s">
        <v>65</v>
      </c>
      <c r="D2459" t="s">
        <v>16074</v>
      </c>
      <c r="E2459" t="s">
        <v>79</v>
      </c>
      <c r="F2459" t="s">
        <v>1274</v>
      </c>
      <c r="G2459" t="s">
        <v>1516</v>
      </c>
      <c r="H2459" t="n">
        <v>39.702115</v>
      </c>
      <c r="I2459" t="n">
        <v>-104.994061333333</v>
      </c>
      <c r="J2459" t="s">
        <v>35</v>
      </c>
      <c r="K2459" t="s">
        <v>89</v>
      </c>
      <c r="L2459"/>
      <c r="M2459" t="n">
        <v>1988</v>
      </c>
      <c r="N2459" t="n">
        <v>1990</v>
      </c>
      <c r="O2459" t="s">
        <v>310</v>
      </c>
      <c r="P2459" t="n">
        <v>2</v>
      </c>
      <c r="Q2459" t="n">
        <v>2</v>
      </c>
      <c r="R2459" t="n">
        <v>2</v>
      </c>
      <c r="S2459" t="n">
        <v>1918</v>
      </c>
      <c r="T2459" t="s">
        <v>16075</v>
      </c>
      <c r="U2459" t="s">
        <v>16076</v>
      </c>
      <c r="V2459" t="s">
        <v>74</v>
      </c>
      <c r="W2459"/>
      <c r="X2459"/>
      <c r="Y2459" t="s">
        <v>16077</v>
      </c>
      <c r="Z2459"/>
      <c r="AA2459"/>
      <c r="AB2459"/>
      <c r="AC2459"/>
      <c r="AD2459"/>
      <c r="AE2459"/>
      <c r="AF2459"/>
      <c r="AG2459"/>
    </row>
    <row r="2460">
      <c r="A2460" t="s">
        <v>16078</v>
      </c>
      <c r="B2460" t="s">
        <v>28</v>
      </c>
      <c r="C2460" t="s">
        <v>24</v>
      </c>
      <c r="D2460" t="s">
        <v>16079</v>
      </c>
      <c r="E2460" t="s">
        <v>79</v>
      </c>
      <c r="F2460" t="s">
        <v>1274</v>
      </c>
      <c r="G2460" t="s">
        <v>1702</v>
      </c>
      <c r="H2460" t="n">
        <v>39.722431</v>
      </c>
      <c r="I2460" t="n">
        <v>-104.862936</v>
      </c>
      <c r="J2460" t="s">
        <v>4109</v>
      </c>
      <c r="K2460" t="s">
        <v>89</v>
      </c>
      <c r="L2460"/>
      <c r="M2460" t="n">
        <v>1988</v>
      </c>
      <c r="N2460" t="n">
        <v>1988</v>
      </c>
      <c r="O2460" t="s">
        <v>325</v>
      </c>
      <c r="P2460" t="n">
        <v>1</v>
      </c>
      <c r="Q2460" t="n">
        <v>1</v>
      </c>
      <c r="R2460" t="n">
        <v>1</v>
      </c>
      <c r="S2460" t="n">
        <v>1987</v>
      </c>
      <c r="T2460" t="s">
        <v>16080</v>
      </c>
      <c r="U2460" t="s">
        <v>16081</v>
      </c>
      <c r="V2460" t="s">
        <v>74</v>
      </c>
      <c r="W2460"/>
      <c r="X2460"/>
      <c r="Y2460" t="s">
        <v>16082</v>
      </c>
      <c r="Z2460"/>
      <c r="AA2460"/>
      <c r="AB2460"/>
      <c r="AC2460"/>
      <c r="AD2460"/>
      <c r="AE2460"/>
      <c r="AF2460" t="s">
        <v>16083</v>
      </c>
      <c r="AG2460" t="n">
        <v>108</v>
      </c>
    </row>
    <row r="2461">
      <c r="A2461" t="s">
        <v>16084</v>
      </c>
      <c r="B2461" t="s">
        <v>28</v>
      </c>
      <c r="C2461" t="s">
        <v>65</v>
      </c>
      <c r="D2461" t="s">
        <v>16085</v>
      </c>
      <c r="E2461" t="s">
        <v>79</v>
      </c>
      <c r="F2461" t="s">
        <v>1274</v>
      </c>
      <c r="G2461" t="s">
        <v>1653</v>
      </c>
      <c r="H2461" t="n">
        <v>39.8019208751804</v>
      </c>
      <c r="I2461" t="n">
        <v>-104.965553837656</v>
      </c>
      <c r="J2461" t="s">
        <v>35</v>
      </c>
      <c r="K2461" t="s">
        <v>120</v>
      </c>
      <c r="L2461" t="s">
        <v>9157</v>
      </c>
      <c r="M2461" t="n">
        <v>1990</v>
      </c>
      <c r="N2461" t="n">
        <v>1990</v>
      </c>
      <c r="O2461" t="s">
        <v>351</v>
      </c>
      <c r="P2461" t="n">
        <v>1</v>
      </c>
      <c r="Q2461" t="n">
        <v>2</v>
      </c>
      <c r="R2461" t="n">
        <v>1</v>
      </c>
      <c r="S2461" t="n">
        <v>1917</v>
      </c>
      <c r="T2461" t="s">
        <v>16086</v>
      </c>
      <c r="U2461" t="s">
        <v>16087</v>
      </c>
      <c r="V2461" t="s">
        <v>74</v>
      </c>
      <c r="W2461"/>
      <c r="X2461"/>
      <c r="Y2461" t="s">
        <v>16088</v>
      </c>
      <c r="Z2461"/>
      <c r="AA2461" t="s">
        <v>16089</v>
      </c>
      <c r="AB2461"/>
      <c r="AC2461"/>
      <c r="AD2461"/>
      <c r="AE2461"/>
      <c r="AF2461" t="s">
        <v>16090</v>
      </c>
      <c r="AG2461" t="n">
        <v>40</v>
      </c>
    </row>
    <row r="2462">
      <c r="A2462" t="s">
        <v>16091</v>
      </c>
      <c r="B2462" t="s">
        <v>28</v>
      </c>
      <c r="C2462" t="s">
        <v>65</v>
      </c>
      <c r="D2462" t="s">
        <v>16092</v>
      </c>
      <c r="E2462" t="s">
        <v>79</v>
      </c>
      <c r="F2462" t="s">
        <v>1274</v>
      </c>
      <c r="G2462" t="s">
        <v>1653</v>
      </c>
      <c r="H2462" t="n">
        <v>39.783975169226</v>
      </c>
      <c r="I2462" t="n">
        <v>-104.9472016283</v>
      </c>
      <c r="J2462" t="s">
        <v>35</v>
      </c>
      <c r="K2462" t="s">
        <v>270</v>
      </c>
      <c r="L2462"/>
      <c r="M2462" t="n">
        <v>1990</v>
      </c>
      <c r="N2462" t="n">
        <v>1992</v>
      </c>
      <c r="O2462" t="s">
        <v>357</v>
      </c>
      <c r="P2462" t="n">
        <v>2</v>
      </c>
      <c r="Q2462" t="n">
        <v>1</v>
      </c>
      <c r="R2462" t="n">
        <v>1</v>
      </c>
      <c r="S2462" t="n">
        <v>1982</v>
      </c>
      <c r="T2462" t="s">
        <v>16093</v>
      </c>
      <c r="U2462" t="s">
        <v>16094</v>
      </c>
      <c r="V2462" t="s">
        <v>74</v>
      </c>
      <c r="W2462"/>
      <c r="X2462"/>
      <c r="Y2462" t="s">
        <v>16095</v>
      </c>
      <c r="Z2462"/>
      <c r="AA2462"/>
      <c r="AB2462" t="s">
        <v>16096</v>
      </c>
      <c r="AC2462" t="n">
        <v>101</v>
      </c>
      <c r="AD2462"/>
      <c r="AE2462"/>
      <c r="AF2462" t="s">
        <v>16097</v>
      </c>
      <c r="AG2462" t="n">
        <v>52</v>
      </c>
    </row>
    <row r="2463">
      <c r="A2463" t="s">
        <v>16098</v>
      </c>
      <c r="B2463" t="s">
        <v>28</v>
      </c>
      <c r="C2463" t="s">
        <v>65</v>
      </c>
      <c r="D2463" t="s">
        <v>16099</v>
      </c>
      <c r="E2463" t="s">
        <v>79</v>
      </c>
      <c r="F2463" t="s">
        <v>1274</v>
      </c>
      <c r="G2463" t="s">
        <v>1555</v>
      </c>
      <c r="H2463" t="n">
        <v>39.7256639066021</v>
      </c>
      <c r="I2463" t="n">
        <v>-104.991372672526</v>
      </c>
      <c r="J2463" t="s">
        <v>35</v>
      </c>
      <c r="K2463" t="s">
        <v>133</v>
      </c>
      <c r="L2463"/>
      <c r="M2463" t="n">
        <v>1990</v>
      </c>
      <c r="N2463" t="n">
        <v>1992</v>
      </c>
      <c r="O2463" t="s">
        <v>1016</v>
      </c>
      <c r="P2463" t="n">
        <v>2</v>
      </c>
      <c r="Q2463" t="n">
        <v>2</v>
      </c>
      <c r="R2463" t="n">
        <v>1</v>
      </c>
      <c r="S2463" t="n">
        <v>1979</v>
      </c>
      <c r="T2463" t="s">
        <v>16100</v>
      </c>
      <c r="U2463" t="s">
        <v>16101</v>
      </c>
      <c r="V2463" t="s">
        <v>74</v>
      </c>
      <c r="W2463"/>
      <c r="X2463"/>
      <c r="Y2463" t="s">
        <v>16102</v>
      </c>
      <c r="Z2463"/>
      <c r="AA2463"/>
      <c r="AB2463"/>
      <c r="AC2463"/>
      <c r="AD2463"/>
      <c r="AE2463"/>
      <c r="AF2463" t="s">
        <v>9187</v>
      </c>
      <c r="AG2463" t="n">
        <v>2</v>
      </c>
    </row>
    <row r="2464">
      <c r="A2464" t="s">
        <v>16103</v>
      </c>
      <c r="B2464" t="s">
        <v>28</v>
      </c>
      <c r="C2464" t="s">
        <v>24</v>
      </c>
      <c r="D2464" t="s">
        <v>16104</v>
      </c>
      <c r="E2464" t="s">
        <v>79</v>
      </c>
      <c r="F2464" t="s">
        <v>1274</v>
      </c>
      <c r="G2464" t="s">
        <v>1702</v>
      </c>
      <c r="H2464" t="n">
        <v>39.7864044201824</v>
      </c>
      <c r="I2464" t="n">
        <v>-104.849551883164</v>
      </c>
      <c r="J2464" t="s">
        <v>4109</v>
      </c>
      <c r="K2464" t="s">
        <v>89</v>
      </c>
      <c r="L2464"/>
      <c r="M2464" t="n">
        <v>1990</v>
      </c>
      <c r="N2464" t="n">
        <v>1990</v>
      </c>
      <c r="O2464" t="s">
        <v>351</v>
      </c>
      <c r="P2464" t="n">
        <v>1</v>
      </c>
      <c r="Q2464" t="n">
        <v>1</v>
      </c>
      <c r="R2464" t="n">
        <v>1</v>
      </c>
      <c r="S2464" t="n">
        <v>1977</v>
      </c>
      <c r="T2464" t="s">
        <v>16105</v>
      </c>
      <c r="U2464" t="s">
        <v>16106</v>
      </c>
      <c r="V2464" t="s">
        <v>74</v>
      </c>
      <c r="W2464"/>
      <c r="X2464"/>
      <c r="Y2464" t="s">
        <v>16107</v>
      </c>
      <c r="Z2464"/>
      <c r="AA2464" t="s">
        <v>16108</v>
      </c>
      <c r="AB2464"/>
      <c r="AC2464"/>
      <c r="AD2464"/>
      <c r="AE2464"/>
      <c r="AF2464" t="s">
        <v>16109</v>
      </c>
      <c r="AG2464" t="n">
        <v>15</v>
      </c>
    </row>
    <row r="2465">
      <c r="A2465" t="s">
        <v>16110</v>
      </c>
      <c r="B2465" t="s">
        <v>28</v>
      </c>
      <c r="C2465" t="s">
        <v>65</v>
      </c>
      <c r="D2465" t="s">
        <v>16111</v>
      </c>
      <c r="E2465" t="s">
        <v>79</v>
      </c>
      <c r="F2465" t="s">
        <v>1274</v>
      </c>
      <c r="G2465" t="s">
        <v>2041</v>
      </c>
      <c r="H2465" t="n">
        <v>39.6940274576354</v>
      </c>
      <c r="I2465" t="n">
        <v>-104.89177384206</v>
      </c>
      <c r="J2465" t="s">
        <v>35</v>
      </c>
      <c r="K2465" t="s">
        <v>70</v>
      </c>
      <c r="L2465"/>
      <c r="M2465" t="n">
        <v>1990</v>
      </c>
      <c r="N2465" t="n">
        <v>1990</v>
      </c>
      <c r="O2465" t="s">
        <v>351</v>
      </c>
      <c r="P2465" t="n">
        <v>1</v>
      </c>
      <c r="Q2465" t="n">
        <v>1</v>
      </c>
      <c r="R2465" t="n">
        <v>1</v>
      </c>
      <c r="S2465" t="n">
        <v>1978</v>
      </c>
      <c r="T2465" t="s">
        <v>16112</v>
      </c>
      <c r="U2465" t="s">
        <v>16113</v>
      </c>
      <c r="V2465" t="s">
        <v>74</v>
      </c>
      <c r="W2465"/>
      <c r="X2465"/>
      <c r="Y2465" t="s">
        <v>16114</v>
      </c>
      <c r="Z2465"/>
      <c r="AA2465"/>
      <c r="AB2465" t="s">
        <v>9261</v>
      </c>
      <c r="AC2465" t="n">
        <v>197</v>
      </c>
      <c r="AD2465"/>
      <c r="AE2465"/>
      <c r="AF2465" t="s">
        <v>9262</v>
      </c>
      <c r="AG2465" t="n">
        <v>11</v>
      </c>
    </row>
    <row r="2466">
      <c r="A2466" t="s">
        <v>16115</v>
      </c>
      <c r="B2466" t="s">
        <v>28</v>
      </c>
      <c r="C2466" t="s">
        <v>65</v>
      </c>
      <c r="D2466" t="s">
        <v>16116</v>
      </c>
      <c r="E2466" t="s">
        <v>79</v>
      </c>
      <c r="F2466" t="s">
        <v>1274</v>
      </c>
      <c r="G2466" t="s">
        <v>1540</v>
      </c>
      <c r="H2466" t="n">
        <v>39.7910705638929</v>
      </c>
      <c r="I2466" t="n">
        <v>-105.058560204413</v>
      </c>
      <c r="J2466" t="s">
        <v>35</v>
      </c>
      <c r="K2466" t="s">
        <v>70</v>
      </c>
      <c r="L2466"/>
      <c r="M2466" t="n">
        <v>1990</v>
      </c>
      <c r="N2466" t="n">
        <v>1992</v>
      </c>
      <c r="O2466" t="s">
        <v>357</v>
      </c>
      <c r="P2466" t="n">
        <v>2</v>
      </c>
      <c r="Q2466" t="n">
        <v>1</v>
      </c>
      <c r="R2466" t="n">
        <v>1</v>
      </c>
      <c r="S2466" t="n">
        <v>1983</v>
      </c>
      <c r="T2466" t="s">
        <v>16117</v>
      </c>
      <c r="U2466" t="s">
        <v>16118</v>
      </c>
      <c r="V2466" t="s">
        <v>74</v>
      </c>
      <c r="W2466"/>
      <c r="X2466"/>
      <c r="Y2466" t="s">
        <v>16119</v>
      </c>
      <c r="Z2466"/>
      <c r="AA2466"/>
      <c r="AB2466"/>
      <c r="AC2466"/>
      <c r="AD2466"/>
      <c r="AE2466"/>
      <c r="AF2466" t="s">
        <v>16120</v>
      </c>
      <c r="AG2466" t="n">
        <v>9</v>
      </c>
    </row>
    <row r="2467">
      <c r="A2467" t="s">
        <v>16121</v>
      </c>
      <c r="B2467" t="s">
        <v>28</v>
      </c>
      <c r="C2467" t="s">
        <v>24</v>
      </c>
      <c r="D2467" t="s">
        <v>16122</v>
      </c>
      <c r="E2467" t="s">
        <v>79</v>
      </c>
      <c r="F2467" t="s">
        <v>1274</v>
      </c>
      <c r="G2467" t="s">
        <v>1516</v>
      </c>
      <c r="H2467" t="n">
        <v>39.6619497142857</v>
      </c>
      <c r="I2467" t="n">
        <v>-104.991153836735</v>
      </c>
      <c r="J2467" t="s">
        <v>4109</v>
      </c>
      <c r="K2467" t="s">
        <v>89</v>
      </c>
      <c r="L2467"/>
      <c r="M2467" t="n">
        <v>1990</v>
      </c>
      <c r="N2467" t="n">
        <v>1990</v>
      </c>
      <c r="O2467" t="s">
        <v>351</v>
      </c>
      <c r="P2467" t="n">
        <v>1</v>
      </c>
      <c r="Q2467" t="n">
        <v>1</v>
      </c>
      <c r="R2467" t="n">
        <v>1</v>
      </c>
      <c r="S2467" t="n">
        <v>1986</v>
      </c>
      <c r="T2467" t="s">
        <v>16123</v>
      </c>
      <c r="U2467" t="s">
        <v>16124</v>
      </c>
      <c r="V2467" t="s">
        <v>74</v>
      </c>
      <c r="W2467"/>
      <c r="X2467"/>
      <c r="Y2467" t="s">
        <v>16125</v>
      </c>
      <c r="Z2467"/>
      <c r="AA2467" t="s">
        <v>16126</v>
      </c>
      <c r="AB2467"/>
      <c r="AC2467"/>
      <c r="AD2467"/>
      <c r="AE2467"/>
      <c r="AF2467" t="s">
        <v>16127</v>
      </c>
      <c r="AG2467" t="n">
        <v>161</v>
      </c>
    </row>
    <row r="2468">
      <c r="A2468" t="s">
        <v>16128</v>
      </c>
      <c r="B2468" t="s">
        <v>28</v>
      </c>
      <c r="C2468" t="s">
        <v>24</v>
      </c>
      <c r="D2468" t="s">
        <v>16129</v>
      </c>
      <c r="E2468" t="s">
        <v>79</v>
      </c>
      <c r="F2468" t="s">
        <v>1274</v>
      </c>
      <c r="G2468" t="s">
        <v>1555</v>
      </c>
      <c r="H2468" t="n">
        <v>39.7414298125699</v>
      </c>
      <c r="I2468" t="n">
        <v>-105.009784073991</v>
      </c>
      <c r="J2468" t="s">
        <v>4109</v>
      </c>
      <c r="K2468" t="s">
        <v>315</v>
      </c>
      <c r="L2468"/>
      <c r="M2468" t="n">
        <v>1990</v>
      </c>
      <c r="N2468" t="n">
        <v>1990</v>
      </c>
      <c r="O2468" t="s">
        <v>351</v>
      </c>
      <c r="P2468" t="n">
        <v>1</v>
      </c>
      <c r="Q2468" t="n">
        <v>1</v>
      </c>
      <c r="R2468" t="n">
        <v>1</v>
      </c>
      <c r="S2468" t="n">
        <v>1908</v>
      </c>
      <c r="T2468" t="s">
        <v>16130</v>
      </c>
      <c r="U2468" t="s">
        <v>16131</v>
      </c>
      <c r="V2468" t="s">
        <v>74</v>
      </c>
      <c r="W2468"/>
      <c r="X2468"/>
      <c r="Y2468" t="s">
        <v>16132</v>
      </c>
      <c r="Z2468"/>
      <c r="AA2468"/>
      <c r="AB2468" t="s">
        <v>9196</v>
      </c>
      <c r="AC2468" t="n">
        <v>207</v>
      </c>
      <c r="AD2468"/>
      <c r="AE2468"/>
      <c r="AF2468" t="s">
        <v>9197</v>
      </c>
      <c r="AG2468" t="n">
        <v>11</v>
      </c>
    </row>
    <row r="2469">
      <c r="A2469" t="s">
        <v>16133</v>
      </c>
      <c r="B2469" t="s">
        <v>28</v>
      </c>
      <c r="C2469" t="s">
        <v>65</v>
      </c>
      <c r="D2469" t="s">
        <v>16134</v>
      </c>
      <c r="E2469" t="s">
        <v>79</v>
      </c>
      <c r="F2469" t="s">
        <v>1274</v>
      </c>
      <c r="G2469" t="s">
        <v>1702</v>
      </c>
      <c r="H2469" t="n">
        <v>39.782445</v>
      </c>
      <c r="I2469" t="n">
        <v>-104.859212343632</v>
      </c>
      <c r="J2469" t="s">
        <v>35</v>
      </c>
      <c r="K2469" t="s">
        <v>120</v>
      </c>
      <c r="L2469"/>
      <c r="M2469" t="n">
        <v>1990</v>
      </c>
      <c r="N2469" t="n">
        <v>1990</v>
      </c>
      <c r="O2469" t="s">
        <v>351</v>
      </c>
      <c r="P2469" t="n">
        <v>1</v>
      </c>
      <c r="Q2469" t="n">
        <v>1</v>
      </c>
      <c r="R2469" t="n">
        <v>1</v>
      </c>
      <c r="S2469" t="n">
        <v>1958</v>
      </c>
      <c r="T2469" t="s">
        <v>16135</v>
      </c>
      <c r="U2469" t="s">
        <v>16136</v>
      </c>
      <c r="V2469" t="s">
        <v>74</v>
      </c>
      <c r="W2469"/>
      <c r="X2469"/>
      <c r="Y2469" t="s">
        <v>16137</v>
      </c>
      <c r="Z2469"/>
      <c r="AA2469" t="s">
        <v>16138</v>
      </c>
      <c r="AB2469"/>
      <c r="AC2469"/>
      <c r="AD2469" t="s">
        <v>16139</v>
      </c>
      <c r="AE2469" t="n">
        <v>102</v>
      </c>
      <c r="AF2469" t="s">
        <v>16140</v>
      </c>
      <c r="AG2469" t="n">
        <v>37</v>
      </c>
    </row>
    <row r="2470">
      <c r="A2470" t="s">
        <v>16141</v>
      </c>
      <c r="B2470" t="s">
        <v>28</v>
      </c>
      <c r="C2470" t="s">
        <v>24</v>
      </c>
      <c r="D2470" t="s">
        <v>16142</v>
      </c>
      <c r="E2470" t="s">
        <v>79</v>
      </c>
      <c r="F2470" t="s">
        <v>1274</v>
      </c>
      <c r="G2470" t="s">
        <v>1555</v>
      </c>
      <c r="H2470" t="n">
        <v>39.727515</v>
      </c>
      <c r="I2470" t="n">
        <v>-105.022128</v>
      </c>
      <c r="J2470" t="s">
        <v>4109</v>
      </c>
      <c r="K2470" t="s">
        <v>70</v>
      </c>
      <c r="L2470"/>
      <c r="M2470" t="n">
        <v>1992</v>
      </c>
      <c r="N2470" t="n">
        <v>1992</v>
      </c>
      <c r="O2470" t="s">
        <v>1016</v>
      </c>
      <c r="P2470" t="n">
        <v>1</v>
      </c>
      <c r="Q2470" t="n">
        <v>1</v>
      </c>
      <c r="R2470" t="n">
        <v>1</v>
      </c>
      <c r="S2470"/>
      <c r="T2470" t="s">
        <v>16143</v>
      </c>
      <c r="U2470" t="s">
        <v>16144</v>
      </c>
      <c r="V2470" t="s">
        <v>74</v>
      </c>
      <c r="W2470"/>
      <c r="X2470"/>
      <c r="Y2470" t="s">
        <v>16145</v>
      </c>
      <c r="Z2470"/>
      <c r="AA2470"/>
      <c r="AB2470" t="s">
        <v>4268</v>
      </c>
      <c r="AC2470" t="n">
        <v>200</v>
      </c>
      <c r="AD2470"/>
      <c r="AE2470"/>
      <c r="AF2470" t="s">
        <v>4269</v>
      </c>
      <c r="AG2470" t="n">
        <v>2</v>
      </c>
    </row>
    <row r="2471">
      <c r="A2471" t="s">
        <v>16146</v>
      </c>
      <c r="B2471" t="s">
        <v>28</v>
      </c>
      <c r="C2471" t="s">
        <v>24</v>
      </c>
      <c r="D2471" t="s">
        <v>16147</v>
      </c>
      <c r="E2471" t="s">
        <v>79</v>
      </c>
      <c r="F2471" t="s">
        <v>1274</v>
      </c>
      <c r="G2471" t="s">
        <v>2041</v>
      </c>
      <c r="H2471" t="n">
        <v>39.7488003289652</v>
      </c>
      <c r="I2471" t="n">
        <v>-104.891668364676</v>
      </c>
      <c r="J2471" t="s">
        <v>4109</v>
      </c>
      <c r="K2471" t="s">
        <v>70</v>
      </c>
      <c r="L2471"/>
      <c r="M2471" t="n">
        <v>1992</v>
      </c>
      <c r="N2471" t="n">
        <v>1992</v>
      </c>
      <c r="O2471" t="s">
        <v>1016</v>
      </c>
      <c r="P2471" t="n">
        <v>1</v>
      </c>
      <c r="Q2471" t="n">
        <v>1</v>
      </c>
      <c r="R2471" t="n">
        <v>1</v>
      </c>
      <c r="S2471"/>
      <c r="T2471" t="s">
        <v>16148</v>
      </c>
      <c r="U2471" t="s">
        <v>16149</v>
      </c>
      <c r="V2471" t="s">
        <v>74</v>
      </c>
      <c r="W2471"/>
      <c r="X2471"/>
      <c r="Y2471" t="s">
        <v>16150</v>
      </c>
      <c r="Z2471"/>
      <c r="AA2471"/>
      <c r="AB2471"/>
      <c r="AC2471"/>
      <c r="AD2471"/>
      <c r="AE2471"/>
      <c r="AF2471" t="s">
        <v>16151</v>
      </c>
      <c r="AG2471" t="n">
        <v>32</v>
      </c>
    </row>
    <row r="2472">
      <c r="A2472" t="s">
        <v>16152</v>
      </c>
      <c r="B2472" t="s">
        <v>28</v>
      </c>
      <c r="C2472" t="s">
        <v>24</v>
      </c>
      <c r="D2472" t="s">
        <v>16153</v>
      </c>
      <c r="E2472" t="s">
        <v>79</v>
      </c>
      <c r="F2472" t="s">
        <v>1274</v>
      </c>
      <c r="G2472" t="s">
        <v>1612</v>
      </c>
      <c r="H2472" t="n">
        <v>39.7195158083632</v>
      </c>
      <c r="I2472" t="n">
        <v>-105.025100347483</v>
      </c>
      <c r="J2472" t="s">
        <v>4109</v>
      </c>
      <c r="K2472" t="s">
        <v>141</v>
      </c>
      <c r="L2472"/>
      <c r="M2472" t="n">
        <v>1992</v>
      </c>
      <c r="N2472" t="n">
        <v>1992</v>
      </c>
      <c r="O2472" t="s">
        <v>1016</v>
      </c>
      <c r="P2472" t="n">
        <v>1</v>
      </c>
      <c r="Q2472" t="n">
        <v>1</v>
      </c>
      <c r="R2472" t="n">
        <v>1</v>
      </c>
      <c r="S2472" t="n">
        <v>1937</v>
      </c>
      <c r="T2472" t="s">
        <v>16154</v>
      </c>
      <c r="U2472" t="s">
        <v>16155</v>
      </c>
      <c r="V2472" t="s">
        <v>74</v>
      </c>
      <c r="W2472"/>
      <c r="X2472"/>
      <c r="Y2472" t="s">
        <v>16156</v>
      </c>
      <c r="Z2472"/>
      <c r="AA2472"/>
      <c r="AB2472" t="s">
        <v>16157</v>
      </c>
      <c r="AC2472" t="n">
        <v>96</v>
      </c>
      <c r="AD2472"/>
      <c r="AE2472"/>
      <c r="AF2472" t="s">
        <v>16158</v>
      </c>
      <c r="AG2472" t="n">
        <v>17</v>
      </c>
    </row>
    <row r="2473">
      <c r="A2473" t="s">
        <v>16159</v>
      </c>
      <c r="B2473" t="s">
        <v>28</v>
      </c>
      <c r="C2473" t="s">
        <v>24</v>
      </c>
      <c r="D2473" t="s">
        <v>16160</v>
      </c>
      <c r="E2473" t="s">
        <v>79</v>
      </c>
      <c r="F2473" t="s">
        <v>1274</v>
      </c>
      <c r="G2473" t="s">
        <v>2041</v>
      </c>
      <c r="H2473" t="n">
        <v>39.7478436667011</v>
      </c>
      <c r="I2473" t="n">
        <v>-104.891677625685</v>
      </c>
      <c r="J2473" t="s">
        <v>4109</v>
      </c>
      <c r="K2473" t="s">
        <v>133</v>
      </c>
      <c r="L2473"/>
      <c r="M2473" t="n">
        <v>1992</v>
      </c>
      <c r="N2473" t="n">
        <v>1992</v>
      </c>
      <c r="O2473" t="s">
        <v>1016</v>
      </c>
      <c r="P2473" t="n">
        <v>1</v>
      </c>
      <c r="Q2473" t="n">
        <v>1</v>
      </c>
      <c r="R2473" t="n">
        <v>1</v>
      </c>
      <c r="S2473" t="n">
        <v>1977</v>
      </c>
      <c r="T2473" t="s">
        <v>16161</v>
      </c>
      <c r="U2473" t="s">
        <v>16162</v>
      </c>
      <c r="V2473" t="s">
        <v>74</v>
      </c>
      <c r="W2473"/>
      <c r="X2473"/>
      <c r="Y2473" t="s">
        <v>16163</v>
      </c>
      <c r="Z2473"/>
      <c r="AA2473" t="s">
        <v>16164</v>
      </c>
      <c r="AB2473"/>
      <c r="AC2473"/>
      <c r="AD2473"/>
      <c r="AE2473"/>
      <c r="AF2473" t="s">
        <v>16151</v>
      </c>
      <c r="AG2473" t="n">
        <v>75</v>
      </c>
    </row>
    <row r="2474">
      <c r="A2474" t="s">
        <v>16165</v>
      </c>
      <c r="B2474" t="s">
        <v>28</v>
      </c>
      <c r="C2474" t="s">
        <v>65</v>
      </c>
      <c r="D2474" t="s">
        <v>16166</v>
      </c>
      <c r="E2474" t="s">
        <v>79</v>
      </c>
      <c r="F2474" t="s">
        <v>1274</v>
      </c>
      <c r="G2474" t="s">
        <v>1653</v>
      </c>
      <c r="H2474" t="n">
        <v>39.8004210612245</v>
      </c>
      <c r="I2474" t="n">
        <v>-104.982822020408</v>
      </c>
      <c r="J2474" t="s">
        <v>35</v>
      </c>
      <c r="K2474" t="s">
        <v>70</v>
      </c>
      <c r="L2474"/>
      <c r="M2474" t="n">
        <v>1992</v>
      </c>
      <c r="N2474" t="n">
        <v>1992</v>
      </c>
      <c r="O2474" t="s">
        <v>1016</v>
      </c>
      <c r="P2474" t="n">
        <v>1</v>
      </c>
      <c r="Q2474" t="n">
        <v>1</v>
      </c>
      <c r="R2474" t="n">
        <v>1</v>
      </c>
      <c r="S2474" t="n">
        <v>1989</v>
      </c>
      <c r="T2474" t="s">
        <v>16167</v>
      </c>
      <c r="U2474" t="s">
        <v>16168</v>
      </c>
      <c r="V2474" t="s">
        <v>74</v>
      </c>
      <c r="W2474"/>
      <c r="X2474"/>
      <c r="Y2474" t="s">
        <v>16169</v>
      </c>
      <c r="Z2474"/>
      <c r="AA2474"/>
      <c r="AB2474"/>
      <c r="AC2474"/>
      <c r="AD2474"/>
      <c r="AE2474"/>
      <c r="AF2474" t="s">
        <v>16020</v>
      </c>
      <c r="AG2474" t="n">
        <v>19</v>
      </c>
    </row>
    <row r="2475">
      <c r="A2475" t="s">
        <v>16170</v>
      </c>
      <c r="B2475" t="s">
        <v>28</v>
      </c>
      <c r="C2475" t="s">
        <v>65</v>
      </c>
      <c r="D2475" t="s">
        <v>16171</v>
      </c>
      <c r="E2475" t="s">
        <v>79</v>
      </c>
      <c r="F2475" t="s">
        <v>1274</v>
      </c>
      <c r="G2475" t="s">
        <v>1911</v>
      </c>
      <c r="H2475" t="n">
        <v>39.740153</v>
      </c>
      <c r="I2475" t="n">
        <v>-104.893982204082</v>
      </c>
      <c r="J2475" t="s">
        <v>35</v>
      </c>
      <c r="K2475" t="s">
        <v>70</v>
      </c>
      <c r="L2475"/>
      <c r="M2475" t="n">
        <v>1992</v>
      </c>
      <c r="N2475" t="n">
        <v>1992</v>
      </c>
      <c r="O2475" t="s">
        <v>1016</v>
      </c>
      <c r="P2475" t="n">
        <v>1</v>
      </c>
      <c r="Q2475" t="n">
        <v>1</v>
      </c>
      <c r="R2475" t="n">
        <v>1</v>
      </c>
      <c r="S2475" t="n">
        <v>1962</v>
      </c>
      <c r="T2475" t="s">
        <v>16172</v>
      </c>
      <c r="U2475" t="s">
        <v>16173</v>
      </c>
      <c r="V2475" t="s">
        <v>74</v>
      </c>
      <c r="W2475"/>
      <c r="X2475"/>
      <c r="Y2475" t="s">
        <v>16174</v>
      </c>
      <c r="Z2475"/>
      <c r="AA2475"/>
      <c r="AB2475" t="s">
        <v>16175</v>
      </c>
      <c r="AC2475" t="n">
        <v>213</v>
      </c>
      <c r="AD2475"/>
      <c r="AE2475"/>
      <c r="AF2475" t="s">
        <v>16176</v>
      </c>
      <c r="AG2475" t="n">
        <v>31</v>
      </c>
    </row>
    <row r="2476">
      <c r="A2476" t="s">
        <v>16177</v>
      </c>
      <c r="B2476" t="s">
        <v>28</v>
      </c>
      <c r="C2476" t="s">
        <v>24</v>
      </c>
      <c r="D2476" t="s">
        <v>16178</v>
      </c>
      <c r="E2476" t="s">
        <v>2220</v>
      </c>
      <c r="F2476" t="s">
        <v>2221</v>
      </c>
      <c r="G2476" t="s">
        <v>2222</v>
      </c>
      <c r="H2476" t="n">
        <v>39.383535</v>
      </c>
      <c r="I2476" t="n">
        <v>-104.861979</v>
      </c>
      <c r="J2476" t="s">
        <v>4109</v>
      </c>
      <c r="K2476" t="s">
        <v>120</v>
      </c>
      <c r="L2476"/>
      <c r="M2476" t="n">
        <v>1974</v>
      </c>
      <c r="N2476" t="n">
        <v>1983</v>
      </c>
      <c r="O2476" t="s">
        <v>2439</v>
      </c>
      <c r="P2476" t="n">
        <v>4</v>
      </c>
      <c r="Q2476" t="n">
        <v>1</v>
      </c>
      <c r="R2476" t="n">
        <v>1</v>
      </c>
      <c r="S2476" t="n">
        <v>1972</v>
      </c>
      <c r="T2476" t="s">
        <v>16179</v>
      </c>
      <c r="U2476" t="s">
        <v>16180</v>
      </c>
      <c r="V2476" t="s">
        <v>74</v>
      </c>
      <c r="W2476"/>
      <c r="X2476"/>
      <c r="Y2476" t="s">
        <v>16181</v>
      </c>
      <c r="Z2476" t="s">
        <v>16182</v>
      </c>
      <c r="AA2476" t="s">
        <v>16183</v>
      </c>
      <c r="AB2476"/>
      <c r="AC2476"/>
      <c r="AD2476"/>
      <c r="AE2476"/>
      <c r="AF2476" t="s">
        <v>16184</v>
      </c>
      <c r="AG2476" t="n">
        <v>69</v>
      </c>
    </row>
    <row r="2477">
      <c r="A2477" t="s">
        <v>16185</v>
      </c>
      <c r="B2477" t="s">
        <v>28</v>
      </c>
      <c r="C2477" t="s">
        <v>24</v>
      </c>
      <c r="D2477" t="s">
        <v>16186</v>
      </c>
      <c r="E2477" t="s">
        <v>2220</v>
      </c>
      <c r="F2477" t="s">
        <v>2221</v>
      </c>
      <c r="G2477" t="s">
        <v>2222</v>
      </c>
      <c r="H2477" t="n">
        <v>39.3744404285714</v>
      </c>
      <c r="I2477" t="n">
        <v>-104.857310285714</v>
      </c>
      <c r="J2477" t="s">
        <v>4109</v>
      </c>
      <c r="K2477" t="s">
        <v>133</v>
      </c>
      <c r="L2477"/>
      <c r="M2477" t="n">
        <v>1980</v>
      </c>
      <c r="N2477" t="n">
        <v>1980</v>
      </c>
      <c r="O2477" t="s">
        <v>255</v>
      </c>
      <c r="P2477" t="n">
        <v>1</v>
      </c>
      <c r="Q2477" t="n">
        <v>1</v>
      </c>
      <c r="R2477" t="n">
        <v>1</v>
      </c>
      <c r="S2477" t="n">
        <v>1972</v>
      </c>
      <c r="T2477" t="s">
        <v>16187</v>
      </c>
      <c r="U2477" t="s">
        <v>16188</v>
      </c>
      <c r="V2477" t="s">
        <v>74</v>
      </c>
      <c r="W2477"/>
      <c r="X2477"/>
      <c r="Y2477" t="s">
        <v>16189</v>
      </c>
      <c r="Z2477"/>
      <c r="AA2477" t="s">
        <v>16190</v>
      </c>
      <c r="AB2477"/>
      <c r="AC2477"/>
      <c r="AD2477"/>
      <c r="AE2477"/>
      <c r="AF2477" t="s">
        <v>16191</v>
      </c>
      <c r="AG2477" t="n">
        <v>230</v>
      </c>
    </row>
    <row r="2478">
      <c r="A2478" t="s">
        <v>16192</v>
      </c>
      <c r="B2478" t="s">
        <v>28</v>
      </c>
      <c r="C2478" t="s">
        <v>24</v>
      </c>
      <c r="D2478" t="s">
        <v>16193</v>
      </c>
      <c r="E2478" t="s">
        <v>2220</v>
      </c>
      <c r="F2478" t="s">
        <v>2221</v>
      </c>
      <c r="G2478" t="s">
        <v>2222</v>
      </c>
      <c r="H2478" t="n">
        <v>39.3830368197855</v>
      </c>
      <c r="I2478" t="n">
        <v>-104.86343025737</v>
      </c>
      <c r="J2478" t="s">
        <v>4109</v>
      </c>
      <c r="K2478" t="s">
        <v>120</v>
      </c>
      <c r="L2478"/>
      <c r="M2478" t="n">
        <v>1980</v>
      </c>
      <c r="N2478" t="n">
        <v>1983</v>
      </c>
      <c r="O2478" t="s">
        <v>528</v>
      </c>
      <c r="P2478" t="n">
        <v>2</v>
      </c>
      <c r="Q2478" t="n">
        <v>1</v>
      </c>
      <c r="R2478" t="n">
        <v>1</v>
      </c>
      <c r="S2478" t="n">
        <v>1976</v>
      </c>
      <c r="T2478" t="s">
        <v>16194</v>
      </c>
      <c r="U2478" t="s">
        <v>16195</v>
      </c>
      <c r="V2478" t="s">
        <v>74</v>
      </c>
      <c r="W2478"/>
      <c r="X2478"/>
      <c r="Y2478" t="s">
        <v>16196</v>
      </c>
      <c r="Z2478" t="s">
        <v>16197</v>
      </c>
      <c r="AA2478" t="s">
        <v>16198</v>
      </c>
      <c r="AB2478"/>
      <c r="AC2478"/>
      <c r="AD2478"/>
      <c r="AE2478"/>
      <c r="AF2478" t="s">
        <v>16199</v>
      </c>
      <c r="AG2478" t="n">
        <v>18</v>
      </c>
    </row>
    <row r="2479">
      <c r="A2479" t="s">
        <v>16200</v>
      </c>
      <c r="B2479" t="s">
        <v>28</v>
      </c>
      <c r="C2479" t="s">
        <v>24</v>
      </c>
      <c r="D2479" t="s">
        <v>16201</v>
      </c>
      <c r="E2479" t="s">
        <v>2220</v>
      </c>
      <c r="F2479" t="s">
        <v>2221</v>
      </c>
      <c r="G2479"/>
      <c r="H2479" t="n">
        <v>39.41543</v>
      </c>
      <c r="I2479" t="n">
        <v>-104.881703</v>
      </c>
      <c r="J2479" t="s">
        <v>4109</v>
      </c>
      <c r="K2479" t="s">
        <v>234</v>
      </c>
      <c r="L2479"/>
      <c r="M2479" t="n">
        <v>1980</v>
      </c>
      <c r="N2479" t="n">
        <v>1990</v>
      </c>
      <c r="O2479" t="s">
        <v>540</v>
      </c>
      <c r="P2479" t="n">
        <v>4</v>
      </c>
      <c r="Q2479" t="n">
        <v>2</v>
      </c>
      <c r="R2479" t="n">
        <v>2</v>
      </c>
      <c r="S2479" t="n">
        <v>1977</v>
      </c>
      <c r="T2479" t="s">
        <v>16202</v>
      </c>
      <c r="U2479" t="s">
        <v>16203</v>
      </c>
      <c r="V2479" t="s">
        <v>74</v>
      </c>
      <c r="W2479"/>
      <c r="X2479"/>
      <c r="Y2479" t="s">
        <v>16204</v>
      </c>
      <c r="Z2479"/>
      <c r="AA2479" t="s">
        <v>16205</v>
      </c>
      <c r="AB2479"/>
      <c r="AC2479"/>
      <c r="AD2479"/>
      <c r="AE2479"/>
      <c r="AF2479" t="s">
        <v>16206</v>
      </c>
      <c r="AG2479" t="n">
        <v>82</v>
      </c>
    </row>
    <row r="2480">
      <c r="A2480" t="s">
        <v>16207</v>
      </c>
      <c r="B2480" t="s">
        <v>28</v>
      </c>
      <c r="C2480" t="s">
        <v>65</v>
      </c>
      <c r="D2480" t="s">
        <v>16208</v>
      </c>
      <c r="E2480" t="s">
        <v>2220</v>
      </c>
      <c r="F2480" t="s">
        <v>2221</v>
      </c>
      <c r="G2480" t="s">
        <v>2222</v>
      </c>
      <c r="H2480" t="n">
        <v>39.3799293080684</v>
      </c>
      <c r="I2480" t="n">
        <v>-104.865891</v>
      </c>
      <c r="J2480" t="s">
        <v>35</v>
      </c>
      <c r="K2480" t="s">
        <v>133</v>
      </c>
      <c r="L2480"/>
      <c r="M2480" t="n">
        <v>1983</v>
      </c>
      <c r="N2480" t="n">
        <v>1983</v>
      </c>
      <c r="O2480" t="s">
        <v>264</v>
      </c>
      <c r="P2480" t="n">
        <v>1</v>
      </c>
      <c r="Q2480" t="n">
        <v>1</v>
      </c>
      <c r="R2480" t="n">
        <v>1</v>
      </c>
      <c r="S2480" t="n">
        <v>1972</v>
      </c>
      <c r="T2480" t="s">
        <v>16209</v>
      </c>
      <c r="U2480" t="s">
        <v>16210</v>
      </c>
      <c r="V2480" t="s">
        <v>74</v>
      </c>
      <c r="W2480"/>
      <c r="X2480"/>
      <c r="Y2480" t="s">
        <v>16211</v>
      </c>
      <c r="Z2480"/>
      <c r="AA2480"/>
      <c r="AB2480"/>
      <c r="AC2480"/>
      <c r="AD2480"/>
      <c r="AE2480"/>
      <c r="AF2480" t="s">
        <v>16212</v>
      </c>
      <c r="AG2480" t="n">
        <v>7</v>
      </c>
    </row>
    <row r="2481">
      <c r="A2481" t="s">
        <v>16213</v>
      </c>
      <c r="B2481" t="s">
        <v>28</v>
      </c>
      <c r="C2481" t="s">
        <v>65</v>
      </c>
      <c r="D2481" t="s">
        <v>16214</v>
      </c>
      <c r="E2481" t="s">
        <v>386</v>
      </c>
      <c r="F2481" t="s">
        <v>2221</v>
      </c>
      <c r="G2481" t="s">
        <v>4575</v>
      </c>
      <c r="H2481" t="n">
        <v>39.4928336028582</v>
      </c>
      <c r="I2481" t="n">
        <v>-105.02660714608</v>
      </c>
      <c r="J2481" t="s">
        <v>35</v>
      </c>
      <c r="K2481" t="s">
        <v>70</v>
      </c>
      <c r="L2481"/>
      <c r="M2481" t="n">
        <v>1983</v>
      </c>
      <c r="N2481" t="n">
        <v>1990</v>
      </c>
      <c r="O2481" t="s">
        <v>271</v>
      </c>
      <c r="P2481" t="n">
        <v>3</v>
      </c>
      <c r="Q2481" t="n">
        <v>1</v>
      </c>
      <c r="R2481" t="n">
        <v>1</v>
      </c>
      <c r="S2481" t="n">
        <v>1967</v>
      </c>
      <c r="T2481" t="s">
        <v>16215</v>
      </c>
      <c r="U2481" t="s">
        <v>16216</v>
      </c>
      <c r="V2481" t="s">
        <v>74</v>
      </c>
      <c r="W2481"/>
      <c r="X2481"/>
      <c r="Y2481" t="s">
        <v>16217</v>
      </c>
      <c r="Z2481"/>
      <c r="AA2481" t="s">
        <v>16218</v>
      </c>
      <c r="AB2481"/>
      <c r="AC2481"/>
      <c r="AD2481"/>
      <c r="AE2481"/>
      <c r="AF2481" t="s">
        <v>16219</v>
      </c>
      <c r="AG2481" t="n">
        <v>106</v>
      </c>
    </row>
    <row r="2482">
      <c r="A2482" t="s">
        <v>16220</v>
      </c>
      <c r="B2482" t="s">
        <v>28</v>
      </c>
      <c r="C2482" t="s">
        <v>65</v>
      </c>
      <c r="D2482" t="s">
        <v>16221</v>
      </c>
      <c r="E2482" t="s">
        <v>386</v>
      </c>
      <c r="F2482" t="s">
        <v>2221</v>
      </c>
      <c r="G2482" t="s">
        <v>4575</v>
      </c>
      <c r="H2482" t="n">
        <v>39.5073092260938</v>
      </c>
      <c r="I2482" t="n">
        <v>-105.02280411379</v>
      </c>
      <c r="J2482" t="s">
        <v>35</v>
      </c>
      <c r="K2482" t="s">
        <v>141</v>
      </c>
      <c r="L2482"/>
      <c r="M2482" t="n">
        <v>1983</v>
      </c>
      <c r="N2482" t="n">
        <v>1990</v>
      </c>
      <c r="O2482" t="s">
        <v>293</v>
      </c>
      <c r="P2482" t="n">
        <v>2</v>
      </c>
      <c r="Q2482" t="n">
        <v>2</v>
      </c>
      <c r="R2482" t="n">
        <v>2</v>
      </c>
      <c r="S2482" t="n">
        <v>1977</v>
      </c>
      <c r="T2482" t="s">
        <v>16222</v>
      </c>
      <c r="U2482" t="s">
        <v>16223</v>
      </c>
      <c r="V2482" t="s">
        <v>74</v>
      </c>
      <c r="W2482"/>
      <c r="X2482"/>
      <c r="Y2482" t="s">
        <v>16224</v>
      </c>
      <c r="Z2482"/>
      <c r="AA2482"/>
      <c r="AB2482"/>
      <c r="AC2482"/>
      <c r="AD2482"/>
      <c r="AE2482"/>
      <c r="AF2482" t="s">
        <v>16225</v>
      </c>
      <c r="AG2482" t="n">
        <v>35</v>
      </c>
    </row>
    <row r="2483">
      <c r="A2483" t="s">
        <v>16226</v>
      </c>
      <c r="B2483" t="s">
        <v>28</v>
      </c>
      <c r="C2483" t="s">
        <v>24</v>
      </c>
      <c r="D2483" t="s">
        <v>16227</v>
      </c>
      <c r="E2483" t="s">
        <v>2220</v>
      </c>
      <c r="F2483" t="s">
        <v>2221</v>
      </c>
      <c r="G2483" t="s">
        <v>2222</v>
      </c>
      <c r="H2483" t="n">
        <v>39.4073837503782</v>
      </c>
      <c r="I2483" t="n">
        <v>-104.87156330273</v>
      </c>
      <c r="J2483" t="s">
        <v>4109</v>
      </c>
      <c r="K2483" t="s">
        <v>141</v>
      </c>
      <c r="L2483"/>
      <c r="M2483" t="n">
        <v>1988</v>
      </c>
      <c r="N2483" t="n">
        <v>1990</v>
      </c>
      <c r="O2483" t="s">
        <v>351</v>
      </c>
      <c r="P2483" t="n">
        <v>2</v>
      </c>
      <c r="Q2483" t="n">
        <v>2</v>
      </c>
      <c r="R2483" t="n">
        <v>1</v>
      </c>
      <c r="S2483" t="n">
        <v>1962</v>
      </c>
      <c r="T2483" t="s">
        <v>16228</v>
      </c>
      <c r="U2483" t="s">
        <v>16229</v>
      </c>
      <c r="V2483" t="s">
        <v>74</v>
      </c>
      <c r="W2483"/>
      <c r="X2483"/>
      <c r="Y2483" t="s">
        <v>16230</v>
      </c>
      <c r="Z2483"/>
      <c r="AA2483" t="s">
        <v>16231</v>
      </c>
      <c r="AB2483"/>
      <c r="AC2483"/>
      <c r="AD2483"/>
      <c r="AE2483"/>
      <c r="AF2483" t="s">
        <v>16232</v>
      </c>
      <c r="AG2483" t="n">
        <v>114</v>
      </c>
    </row>
    <row r="2484">
      <c r="A2484" t="s">
        <v>16233</v>
      </c>
      <c r="B2484" t="s">
        <v>28</v>
      </c>
      <c r="C2484" t="s">
        <v>24</v>
      </c>
      <c r="D2484" t="s">
        <v>16234</v>
      </c>
      <c r="E2484" t="s">
        <v>2220</v>
      </c>
      <c r="F2484" t="s">
        <v>2221</v>
      </c>
      <c r="G2484" t="s">
        <v>2222</v>
      </c>
      <c r="H2484" t="n">
        <v>39.3786854366345</v>
      </c>
      <c r="I2484" t="n">
        <v>-104.868834887568</v>
      </c>
      <c r="J2484" t="s">
        <v>4109</v>
      </c>
      <c r="K2484" t="s">
        <v>133</v>
      </c>
      <c r="L2484"/>
      <c r="M2484" t="n">
        <v>1988</v>
      </c>
      <c r="N2484" t="n">
        <v>1988</v>
      </c>
      <c r="O2484" t="s">
        <v>325</v>
      </c>
      <c r="P2484" t="n">
        <v>1</v>
      </c>
      <c r="Q2484" t="n">
        <v>1</v>
      </c>
      <c r="R2484" t="n">
        <v>1</v>
      </c>
      <c r="S2484" t="n">
        <v>1981</v>
      </c>
      <c r="T2484" t="s">
        <v>16235</v>
      </c>
      <c r="U2484" t="s">
        <v>16236</v>
      </c>
      <c r="V2484" t="s">
        <v>74</v>
      </c>
      <c r="W2484"/>
      <c r="X2484"/>
      <c r="Y2484" t="s">
        <v>16237</v>
      </c>
      <c r="Z2484"/>
      <c r="AA2484" t="s">
        <v>16238</v>
      </c>
      <c r="AB2484"/>
      <c r="AC2484"/>
      <c r="AD2484"/>
      <c r="AE2484"/>
      <c r="AF2484" t="s">
        <v>16239</v>
      </c>
      <c r="AG2484" t="n">
        <v>5</v>
      </c>
    </row>
    <row r="2485">
      <c r="A2485" t="s">
        <v>16240</v>
      </c>
      <c r="B2485" t="s">
        <v>28</v>
      </c>
      <c r="C2485" t="s">
        <v>65</v>
      </c>
      <c r="D2485" t="s">
        <v>16241</v>
      </c>
      <c r="E2485" t="s">
        <v>2220</v>
      </c>
      <c r="F2485" t="s">
        <v>2221</v>
      </c>
      <c r="G2485" t="s">
        <v>2222</v>
      </c>
      <c r="H2485" t="n">
        <v>39.3815045073397</v>
      </c>
      <c r="I2485" t="n">
        <v>-104.863926173021</v>
      </c>
      <c r="J2485" t="s">
        <v>35</v>
      </c>
      <c r="K2485" t="s">
        <v>141</v>
      </c>
      <c r="L2485"/>
      <c r="M2485" t="n">
        <v>1988</v>
      </c>
      <c r="N2485" t="n">
        <v>1990</v>
      </c>
      <c r="O2485" t="s">
        <v>310</v>
      </c>
      <c r="P2485" t="n">
        <v>2</v>
      </c>
      <c r="Q2485" t="n">
        <v>2</v>
      </c>
      <c r="R2485" t="n">
        <v>2</v>
      </c>
      <c r="S2485" t="n">
        <v>1972</v>
      </c>
      <c r="T2485" t="s">
        <v>16242</v>
      </c>
      <c r="U2485" t="s">
        <v>16243</v>
      </c>
      <c r="V2485" t="s">
        <v>74</v>
      </c>
      <c r="W2485"/>
      <c r="X2485"/>
      <c r="Y2485" t="s">
        <v>16244</v>
      </c>
      <c r="Z2485"/>
      <c r="AA2485" t="s">
        <v>16245</v>
      </c>
      <c r="AB2485"/>
      <c r="AC2485"/>
      <c r="AD2485"/>
      <c r="AE2485"/>
      <c r="AF2485" t="s">
        <v>16246</v>
      </c>
      <c r="AG2485" t="n">
        <v>12</v>
      </c>
    </row>
    <row r="2486">
      <c r="A2486" t="s">
        <v>16247</v>
      </c>
      <c r="B2486" t="s">
        <v>28</v>
      </c>
      <c r="C2486" t="s">
        <v>65</v>
      </c>
      <c r="D2486" t="s">
        <v>16248</v>
      </c>
      <c r="E2486" t="s">
        <v>2220</v>
      </c>
      <c r="F2486" t="s">
        <v>2221</v>
      </c>
      <c r="G2486" t="s">
        <v>2222</v>
      </c>
      <c r="H2486" t="n">
        <v>39.3832265460369</v>
      </c>
      <c r="I2486" t="n">
        <v>-104.863954880148</v>
      </c>
      <c r="J2486" t="s">
        <v>35</v>
      </c>
      <c r="K2486" t="s">
        <v>120</v>
      </c>
      <c r="L2486"/>
      <c r="M2486" t="n">
        <v>1988</v>
      </c>
      <c r="N2486" t="n">
        <v>1990</v>
      </c>
      <c r="O2486" t="s">
        <v>310</v>
      </c>
      <c r="P2486" t="n">
        <v>2</v>
      </c>
      <c r="Q2486" t="n">
        <v>1</v>
      </c>
      <c r="R2486" t="n">
        <v>1</v>
      </c>
      <c r="S2486" t="n">
        <v>1976</v>
      </c>
      <c r="T2486" t="s">
        <v>16249</v>
      </c>
      <c r="U2486" t="s">
        <v>16250</v>
      </c>
      <c r="V2486" t="s">
        <v>74</v>
      </c>
      <c r="W2486"/>
      <c r="X2486"/>
      <c r="Y2486" t="s">
        <v>16251</v>
      </c>
      <c r="Z2486" t="s">
        <v>16252</v>
      </c>
      <c r="AA2486" t="s">
        <v>16253</v>
      </c>
      <c r="AB2486"/>
      <c r="AC2486"/>
      <c r="AD2486"/>
      <c r="AE2486"/>
      <c r="AF2486" t="s">
        <v>16254</v>
      </c>
      <c r="AG2486" t="n">
        <v>6</v>
      </c>
    </row>
    <row r="2487">
      <c r="A2487" t="s">
        <v>16255</v>
      </c>
      <c r="B2487" t="s">
        <v>28</v>
      </c>
      <c r="C2487" t="s">
        <v>24</v>
      </c>
      <c r="D2487" t="s">
        <v>16256</v>
      </c>
      <c r="E2487" t="s">
        <v>16257</v>
      </c>
      <c r="F2487" t="s">
        <v>2221</v>
      </c>
      <c r="G2487" t="s">
        <v>16258</v>
      </c>
      <c r="H2487" t="n">
        <v>39.5534854445373</v>
      </c>
      <c r="I2487" t="n">
        <v>-104.996507151605</v>
      </c>
      <c r="J2487" t="s">
        <v>4109</v>
      </c>
      <c r="K2487" t="s">
        <v>89</v>
      </c>
      <c r="L2487"/>
      <c r="M2487" t="n">
        <v>1988</v>
      </c>
      <c r="N2487" t="n">
        <v>1990</v>
      </c>
      <c r="O2487" t="s">
        <v>351</v>
      </c>
      <c r="P2487" t="n">
        <v>2</v>
      </c>
      <c r="Q2487" t="n">
        <v>2</v>
      </c>
      <c r="R2487" t="n">
        <v>1</v>
      </c>
      <c r="S2487" t="n">
        <v>1983</v>
      </c>
      <c r="T2487" t="s">
        <v>16259</v>
      </c>
      <c r="U2487" t="s">
        <v>16260</v>
      </c>
      <c r="V2487" t="s">
        <v>74</v>
      </c>
      <c r="W2487"/>
      <c r="X2487"/>
      <c r="Y2487" t="s">
        <v>16261</v>
      </c>
      <c r="Z2487"/>
      <c r="AA2487" t="s">
        <v>16262</v>
      </c>
      <c r="AB2487"/>
      <c r="AC2487"/>
      <c r="AD2487"/>
      <c r="AE2487"/>
      <c r="AF2487" t="s">
        <v>16263</v>
      </c>
      <c r="AG2487" t="n">
        <v>66</v>
      </c>
    </row>
    <row r="2488">
      <c r="A2488" t="s">
        <v>16264</v>
      </c>
      <c r="B2488" t="s">
        <v>28</v>
      </c>
      <c r="C2488" t="s">
        <v>24</v>
      </c>
      <c r="D2488" t="s">
        <v>16265</v>
      </c>
      <c r="E2488" t="s">
        <v>4565</v>
      </c>
      <c r="F2488" t="s">
        <v>2221</v>
      </c>
      <c r="G2488" t="s">
        <v>4566</v>
      </c>
      <c r="H2488" t="n">
        <v>39.473042</v>
      </c>
      <c r="I2488" t="n">
        <v>-104.99128</v>
      </c>
      <c r="J2488" t="s">
        <v>4109</v>
      </c>
      <c r="K2488" t="s">
        <v>120</v>
      </c>
      <c r="L2488"/>
      <c r="M2488" t="n">
        <v>1988</v>
      </c>
      <c r="N2488" t="n">
        <v>1990</v>
      </c>
      <c r="O2488" t="s">
        <v>310</v>
      </c>
      <c r="P2488" t="n">
        <v>2</v>
      </c>
      <c r="Q2488" t="n">
        <v>2</v>
      </c>
      <c r="R2488" t="n">
        <v>2</v>
      </c>
      <c r="S2488" t="n">
        <v>1969</v>
      </c>
      <c r="T2488" t="s">
        <v>16266</v>
      </c>
      <c r="U2488" t="s">
        <v>16267</v>
      </c>
      <c r="V2488" t="s">
        <v>74</v>
      </c>
      <c r="W2488"/>
      <c r="X2488"/>
      <c r="Y2488" t="s">
        <v>16268</v>
      </c>
      <c r="Z2488"/>
      <c r="AA2488"/>
      <c r="AB2488"/>
      <c r="AC2488"/>
      <c r="AD2488"/>
      <c r="AE2488"/>
      <c r="AF2488"/>
      <c r="AG2488"/>
    </row>
    <row r="2489">
      <c r="A2489" t="s">
        <v>16269</v>
      </c>
      <c r="B2489" t="s">
        <v>28</v>
      </c>
      <c r="C2489" t="s">
        <v>65</v>
      </c>
      <c r="D2489" t="s">
        <v>16270</v>
      </c>
      <c r="E2489" t="s">
        <v>2246</v>
      </c>
      <c r="F2489" t="s">
        <v>2221</v>
      </c>
      <c r="G2489" t="s">
        <v>2247</v>
      </c>
      <c r="H2489" t="n">
        <v>39.5318410129833</v>
      </c>
      <c r="I2489" t="n">
        <v>-104.769600565962</v>
      </c>
      <c r="J2489" t="s">
        <v>35</v>
      </c>
      <c r="K2489" t="s">
        <v>133</v>
      </c>
      <c r="L2489"/>
      <c r="M2489" t="n">
        <v>1988</v>
      </c>
      <c r="N2489" t="n">
        <v>1990</v>
      </c>
      <c r="O2489" t="s">
        <v>351</v>
      </c>
      <c r="P2489" t="n">
        <v>2</v>
      </c>
      <c r="Q2489" t="n">
        <v>3</v>
      </c>
      <c r="R2489" t="n">
        <v>1</v>
      </c>
      <c r="S2489" t="n">
        <v>1977</v>
      </c>
      <c r="T2489" t="s">
        <v>16271</v>
      </c>
      <c r="U2489" t="s">
        <v>16272</v>
      </c>
      <c r="V2489" t="s">
        <v>74</v>
      </c>
      <c r="W2489"/>
      <c r="X2489"/>
      <c r="Y2489" t="s">
        <v>16273</v>
      </c>
      <c r="Z2489"/>
      <c r="AA2489" t="s">
        <v>16274</v>
      </c>
      <c r="AB2489"/>
      <c r="AC2489"/>
      <c r="AD2489"/>
      <c r="AE2489"/>
      <c r="AF2489" t="s">
        <v>16275</v>
      </c>
      <c r="AG2489" t="n">
        <v>38</v>
      </c>
    </row>
    <row r="2490">
      <c r="A2490" t="s">
        <v>16276</v>
      </c>
      <c r="B2490" t="s">
        <v>28</v>
      </c>
      <c r="C2490" t="s">
        <v>65</v>
      </c>
      <c r="D2490" t="s">
        <v>16277</v>
      </c>
      <c r="E2490" t="s">
        <v>2220</v>
      </c>
      <c r="F2490" t="s">
        <v>2221</v>
      </c>
      <c r="G2490" t="s">
        <v>2222</v>
      </c>
      <c r="H2490" t="n">
        <v>39.3758643680479</v>
      </c>
      <c r="I2490" t="n">
        <v>-104.869085201348</v>
      </c>
      <c r="J2490" t="s">
        <v>35</v>
      </c>
      <c r="K2490" t="s">
        <v>133</v>
      </c>
      <c r="L2490"/>
      <c r="M2490" t="n">
        <v>1990</v>
      </c>
      <c r="N2490" t="n">
        <v>1992</v>
      </c>
      <c r="O2490" t="s">
        <v>1016</v>
      </c>
      <c r="P2490" t="n">
        <v>2</v>
      </c>
      <c r="Q2490" t="n">
        <v>1</v>
      </c>
      <c r="R2490" t="n">
        <v>1</v>
      </c>
      <c r="S2490" t="n">
        <v>1954</v>
      </c>
      <c r="T2490" t="s">
        <v>16278</v>
      </c>
      <c r="U2490" t="s">
        <v>16279</v>
      </c>
      <c r="V2490" t="s">
        <v>74</v>
      </c>
      <c r="W2490"/>
      <c r="X2490"/>
      <c r="Y2490" t="s">
        <v>16280</v>
      </c>
      <c r="Z2490"/>
      <c r="AA2490"/>
      <c r="AB2490"/>
      <c r="AC2490"/>
      <c r="AD2490" t="s">
        <v>16281</v>
      </c>
      <c r="AE2490" t="n">
        <v>245</v>
      </c>
      <c r="AF2490" t="s">
        <v>16282</v>
      </c>
      <c r="AG2490" t="n">
        <v>31</v>
      </c>
    </row>
    <row r="2491">
      <c r="A2491" t="s">
        <v>16283</v>
      </c>
      <c r="B2491" t="s">
        <v>28</v>
      </c>
      <c r="C2491" t="s">
        <v>24</v>
      </c>
      <c r="D2491" t="s">
        <v>16284</v>
      </c>
      <c r="E2491" t="s">
        <v>386</v>
      </c>
      <c r="F2491" t="s">
        <v>2221</v>
      </c>
      <c r="G2491" t="s">
        <v>4575</v>
      </c>
      <c r="H2491" t="n">
        <v>39.5016584228762</v>
      </c>
      <c r="I2491" t="n">
        <v>-105.026763224093</v>
      </c>
      <c r="J2491" t="s">
        <v>4109</v>
      </c>
      <c r="K2491" t="s">
        <v>141</v>
      </c>
      <c r="L2491"/>
      <c r="M2491" t="n">
        <v>1990</v>
      </c>
      <c r="N2491" t="n">
        <v>1990</v>
      </c>
      <c r="O2491" t="s">
        <v>351</v>
      </c>
      <c r="P2491" t="n">
        <v>1</v>
      </c>
      <c r="Q2491" t="n">
        <v>2</v>
      </c>
      <c r="R2491" t="n">
        <v>1</v>
      </c>
      <c r="S2491" t="n">
        <v>1959</v>
      </c>
      <c r="T2491" t="s">
        <v>16285</v>
      </c>
      <c r="U2491" t="s">
        <v>16286</v>
      </c>
      <c r="V2491" t="s">
        <v>74</v>
      </c>
      <c r="W2491"/>
      <c r="X2491"/>
      <c r="Y2491" t="s">
        <v>16287</v>
      </c>
      <c r="Z2491"/>
      <c r="AA2491" t="s">
        <v>16288</v>
      </c>
      <c r="AB2491"/>
      <c r="AC2491"/>
      <c r="AD2491"/>
      <c r="AE2491"/>
      <c r="AF2491" t="s">
        <v>16289</v>
      </c>
      <c r="AG2491" t="n">
        <v>95</v>
      </c>
    </row>
    <row r="2492">
      <c r="A2492" t="s">
        <v>16290</v>
      </c>
      <c r="B2492" t="s">
        <v>28</v>
      </c>
      <c r="C2492" t="s">
        <v>24</v>
      </c>
      <c r="D2492" t="s">
        <v>16291</v>
      </c>
      <c r="E2492" t="s">
        <v>2220</v>
      </c>
      <c r="F2492" t="s">
        <v>2221</v>
      </c>
      <c r="G2492" t="s">
        <v>2222</v>
      </c>
      <c r="H2492" t="n">
        <v>39.4001611328709</v>
      </c>
      <c r="I2492" t="n">
        <v>-104.868170126574</v>
      </c>
      <c r="J2492" t="s">
        <v>35</v>
      </c>
      <c r="K2492" t="s">
        <v>120</v>
      </c>
      <c r="L2492"/>
      <c r="M2492" t="n">
        <v>1992</v>
      </c>
      <c r="N2492" t="n">
        <v>1992</v>
      </c>
      <c r="O2492" t="s">
        <v>1016</v>
      </c>
      <c r="P2492" t="n">
        <v>1</v>
      </c>
      <c r="Q2492" t="n">
        <v>1</v>
      </c>
      <c r="R2492" t="n">
        <v>1</v>
      </c>
      <c r="S2492" t="n">
        <v>1976</v>
      </c>
      <c r="T2492" t="s">
        <v>16292</v>
      </c>
      <c r="U2492" t="s">
        <v>16293</v>
      </c>
      <c r="V2492" t="s">
        <v>4175</v>
      </c>
      <c r="W2492"/>
      <c r="X2492"/>
      <c r="Y2492" t="s">
        <v>16294</v>
      </c>
      <c r="Z2492"/>
      <c r="AA2492" t="s">
        <v>16295</v>
      </c>
      <c r="AB2492"/>
      <c r="AC2492"/>
      <c r="AD2492"/>
      <c r="AE2492"/>
      <c r="AF2492" t="s">
        <v>16296</v>
      </c>
      <c r="AG2492" t="n">
        <v>102</v>
      </c>
    </row>
    <row r="2493">
      <c r="A2493" t="s">
        <v>16297</v>
      </c>
      <c r="B2493" t="s">
        <v>28</v>
      </c>
      <c r="C2493" t="s">
        <v>24</v>
      </c>
      <c r="D2493" t="s">
        <v>16298</v>
      </c>
      <c r="E2493" t="s">
        <v>2220</v>
      </c>
      <c r="F2493" t="s">
        <v>2221</v>
      </c>
      <c r="G2493" t="s">
        <v>2222</v>
      </c>
      <c r="H2493" t="n">
        <v>39.3854311036553</v>
      </c>
      <c r="I2493" t="n">
        <v>-104.86838873016</v>
      </c>
      <c r="J2493" t="s">
        <v>4109</v>
      </c>
      <c r="K2493" t="s">
        <v>70</v>
      </c>
      <c r="L2493"/>
      <c r="M2493" t="n">
        <v>1992</v>
      </c>
      <c r="N2493" t="n">
        <v>1992</v>
      </c>
      <c r="O2493" t="s">
        <v>1016</v>
      </c>
      <c r="P2493" t="n">
        <v>1</v>
      </c>
      <c r="Q2493" t="n">
        <v>1</v>
      </c>
      <c r="R2493" t="n">
        <v>1</v>
      </c>
      <c r="S2493" t="n">
        <v>1990</v>
      </c>
      <c r="T2493" t="s">
        <v>16299</v>
      </c>
      <c r="U2493" t="s">
        <v>16300</v>
      </c>
      <c r="V2493" t="s">
        <v>74</v>
      </c>
      <c r="W2493"/>
      <c r="X2493"/>
      <c r="Y2493" t="s">
        <v>16301</v>
      </c>
      <c r="Z2493"/>
      <c r="AA2493" t="s">
        <v>16302</v>
      </c>
      <c r="AB2493"/>
      <c r="AC2493"/>
      <c r="AD2493"/>
      <c r="AE2493"/>
      <c r="AF2493" t="s">
        <v>16303</v>
      </c>
      <c r="AG2493" t="n">
        <v>245</v>
      </c>
    </row>
    <row r="2494">
      <c r="A2494" t="s">
        <v>16304</v>
      </c>
      <c r="B2494" t="s">
        <v>28</v>
      </c>
      <c r="C2494" t="s">
        <v>24</v>
      </c>
      <c r="D2494" t="s">
        <v>16305</v>
      </c>
      <c r="E2494" t="s">
        <v>2246</v>
      </c>
      <c r="F2494" t="s">
        <v>2221</v>
      </c>
      <c r="G2494" t="s">
        <v>2247</v>
      </c>
      <c r="H2494" t="n">
        <v>39.5319896495706</v>
      </c>
      <c r="I2494" t="n">
        <v>-104.771422388926</v>
      </c>
      <c r="J2494" t="s">
        <v>4109</v>
      </c>
      <c r="K2494" t="s">
        <v>133</v>
      </c>
      <c r="L2494"/>
      <c r="M2494" t="n">
        <v>1992</v>
      </c>
      <c r="N2494" t="n">
        <v>1992</v>
      </c>
      <c r="O2494" t="s">
        <v>1016</v>
      </c>
      <c r="P2494" t="n">
        <v>1</v>
      </c>
      <c r="Q2494" t="n">
        <v>2</v>
      </c>
      <c r="R2494" t="n">
        <v>1</v>
      </c>
      <c r="S2494" t="n">
        <v>1986</v>
      </c>
      <c r="T2494" t="s">
        <v>16306</v>
      </c>
      <c r="U2494" t="s">
        <v>16307</v>
      </c>
      <c r="V2494" t="s">
        <v>74</v>
      </c>
      <c r="W2494"/>
      <c r="X2494"/>
      <c r="Y2494" t="s">
        <v>16308</v>
      </c>
      <c r="Z2494"/>
      <c r="AA2494" t="s">
        <v>16309</v>
      </c>
      <c r="AB2494"/>
      <c r="AC2494"/>
      <c r="AD2494"/>
      <c r="AE2494"/>
      <c r="AF2494" t="s">
        <v>16310</v>
      </c>
      <c r="AG2494" t="n">
        <v>62</v>
      </c>
    </row>
    <row r="2495">
      <c r="A2495" t="s">
        <v>16311</v>
      </c>
      <c r="B2495" t="s">
        <v>28</v>
      </c>
      <c r="C2495" t="s">
        <v>65</v>
      </c>
      <c r="D2495" t="s">
        <v>16312</v>
      </c>
      <c r="E2495" t="s">
        <v>2272</v>
      </c>
      <c r="F2495" t="s">
        <v>2267</v>
      </c>
      <c r="G2495" t="s">
        <v>2273</v>
      </c>
      <c r="H2495" t="n">
        <v>38.8374653506494</v>
      </c>
      <c r="I2495" t="n">
        <v>-104.774554565863</v>
      </c>
      <c r="J2495" t="s">
        <v>35</v>
      </c>
      <c r="K2495" t="s">
        <v>796</v>
      </c>
      <c r="L2495"/>
      <c r="M2495" t="n">
        <v>1966</v>
      </c>
      <c r="N2495" t="n">
        <v>1983</v>
      </c>
      <c r="O2495" t="s">
        <v>4592</v>
      </c>
      <c r="P2495" t="n">
        <v>7</v>
      </c>
      <c r="Q2495" t="n">
        <v>9</v>
      </c>
      <c r="R2495" t="n">
        <v>4</v>
      </c>
      <c r="S2495" t="n">
        <v>1956</v>
      </c>
      <c r="T2495" t="s">
        <v>16313</v>
      </c>
      <c r="U2495" t="s">
        <v>16314</v>
      </c>
      <c r="V2495" t="s">
        <v>74</v>
      </c>
      <c r="W2495"/>
      <c r="X2495"/>
      <c r="Y2495" t="s">
        <v>16315</v>
      </c>
      <c r="Z2495"/>
      <c r="AA2495" t="s">
        <v>16316</v>
      </c>
      <c r="AB2495" t="s">
        <v>2278</v>
      </c>
      <c r="AC2495" t="n">
        <v>229</v>
      </c>
      <c r="AD2495"/>
      <c r="AE2495"/>
      <c r="AF2495" t="s">
        <v>16317</v>
      </c>
      <c r="AG2495" t="n">
        <v>19</v>
      </c>
    </row>
    <row r="2496">
      <c r="A2496" t="s">
        <v>16318</v>
      </c>
      <c r="B2496" t="s">
        <v>28</v>
      </c>
      <c r="C2496" t="s">
        <v>65</v>
      </c>
      <c r="D2496" t="s">
        <v>16319</v>
      </c>
      <c r="E2496" t="s">
        <v>2272</v>
      </c>
      <c r="F2496" t="s">
        <v>2267</v>
      </c>
      <c r="G2496" t="s">
        <v>2326</v>
      </c>
      <c r="H2496" t="n">
        <v>38.8457455629922</v>
      </c>
      <c r="I2496" t="n">
        <v>-104.862235732284</v>
      </c>
      <c r="J2496" t="s">
        <v>35</v>
      </c>
      <c r="K2496" t="s">
        <v>70</v>
      </c>
      <c r="L2496"/>
      <c r="M2496" t="n">
        <v>1966</v>
      </c>
      <c r="N2496" t="n">
        <v>1990</v>
      </c>
      <c r="O2496" t="s">
        <v>740</v>
      </c>
      <c r="P2496" t="n">
        <v>7</v>
      </c>
      <c r="Q2496" t="n">
        <v>6</v>
      </c>
      <c r="R2496" t="n">
        <v>2</v>
      </c>
      <c r="S2496" t="n">
        <v>1951</v>
      </c>
      <c r="T2496" t="s">
        <v>16320</v>
      </c>
      <c r="U2496" t="s">
        <v>16321</v>
      </c>
      <c r="V2496" t="s">
        <v>74</v>
      </c>
      <c r="W2496"/>
      <c r="X2496"/>
      <c r="Y2496" t="s">
        <v>16322</v>
      </c>
      <c r="Z2496"/>
      <c r="AA2496"/>
      <c r="AB2496"/>
      <c r="AC2496"/>
      <c r="AD2496"/>
      <c r="AE2496"/>
      <c r="AF2496" t="s">
        <v>16323</v>
      </c>
      <c r="AG2496" t="n">
        <v>2</v>
      </c>
    </row>
    <row r="2497">
      <c r="A2497" t="s">
        <v>16324</v>
      </c>
      <c r="B2497" t="s">
        <v>28</v>
      </c>
      <c r="C2497" t="s">
        <v>65</v>
      </c>
      <c r="D2497" t="s">
        <v>16325</v>
      </c>
      <c r="E2497" t="s">
        <v>2272</v>
      </c>
      <c r="F2497" t="s">
        <v>2267</v>
      </c>
      <c r="G2497" t="s">
        <v>2282</v>
      </c>
      <c r="H2497" t="n">
        <v>38.8316449300725</v>
      </c>
      <c r="I2497" t="n">
        <v>-104.836398466896</v>
      </c>
      <c r="J2497" t="s">
        <v>35</v>
      </c>
      <c r="K2497" t="s">
        <v>120</v>
      </c>
      <c r="L2497"/>
      <c r="M2497" t="n">
        <v>1966</v>
      </c>
      <c r="N2497" t="n">
        <v>1990</v>
      </c>
      <c r="O2497" t="s">
        <v>106</v>
      </c>
      <c r="P2497" t="n">
        <v>8</v>
      </c>
      <c r="Q2497" t="n">
        <v>7</v>
      </c>
      <c r="R2497" t="n">
        <v>2</v>
      </c>
      <c r="S2497" t="n">
        <v>1949</v>
      </c>
      <c r="T2497" t="s">
        <v>16326</v>
      </c>
      <c r="U2497" t="s">
        <v>16327</v>
      </c>
      <c r="V2497" t="s">
        <v>74</v>
      </c>
      <c r="W2497"/>
      <c r="X2497"/>
      <c r="Y2497" t="s">
        <v>16328</v>
      </c>
      <c r="Z2497"/>
      <c r="AA2497" t="s">
        <v>16329</v>
      </c>
      <c r="AB2497" t="s">
        <v>2285</v>
      </c>
      <c r="AC2497" t="n">
        <v>140</v>
      </c>
      <c r="AD2497"/>
      <c r="AE2497"/>
      <c r="AF2497" t="s">
        <v>16330</v>
      </c>
      <c r="AG2497" t="n">
        <v>43</v>
      </c>
    </row>
    <row r="2498">
      <c r="A2498" t="s">
        <v>16331</v>
      </c>
      <c r="B2498" t="s">
        <v>28</v>
      </c>
      <c r="C2498" t="s">
        <v>65</v>
      </c>
      <c r="D2498" t="s">
        <v>16332</v>
      </c>
      <c r="E2498" t="s">
        <v>2272</v>
      </c>
      <c r="F2498" t="s">
        <v>2267</v>
      </c>
      <c r="G2498" t="s">
        <v>2296</v>
      </c>
      <c r="H2498" t="n">
        <v>38.892412</v>
      </c>
      <c r="I2498" t="n">
        <v>-104.814917</v>
      </c>
      <c r="J2498" t="s">
        <v>35</v>
      </c>
      <c r="K2498" t="s">
        <v>141</v>
      </c>
      <c r="L2498" t="s">
        <v>202</v>
      </c>
      <c r="M2498" t="n">
        <v>1966</v>
      </c>
      <c r="N2498" t="n">
        <v>1988</v>
      </c>
      <c r="O2498" t="s">
        <v>16333</v>
      </c>
      <c r="P2498" t="n">
        <v>5</v>
      </c>
      <c r="Q2498" t="n">
        <v>2</v>
      </c>
      <c r="R2498" t="n">
        <v>2</v>
      </c>
      <c r="S2498" t="n">
        <v>1947</v>
      </c>
      <c r="T2498" t="s">
        <v>16334</v>
      </c>
      <c r="U2498" t="s">
        <v>16335</v>
      </c>
      <c r="V2498" t="s">
        <v>74</v>
      </c>
      <c r="W2498"/>
      <c r="X2498"/>
      <c r="Y2498" t="s">
        <v>16336</v>
      </c>
      <c r="Z2498"/>
      <c r="AA2498"/>
      <c r="AB2498"/>
      <c r="AC2498"/>
      <c r="AD2498" t="s">
        <v>2312</v>
      </c>
      <c r="AE2498" t="n">
        <v>173</v>
      </c>
      <c r="AF2498" t="s">
        <v>16337</v>
      </c>
      <c r="AG2498" t="n">
        <v>81</v>
      </c>
    </row>
    <row r="2499">
      <c r="A2499" t="s">
        <v>16338</v>
      </c>
      <c r="B2499" t="s">
        <v>28</v>
      </c>
      <c r="C2499" t="s">
        <v>24</v>
      </c>
      <c r="D2499" t="s">
        <v>16339</v>
      </c>
      <c r="E2499" t="s">
        <v>2272</v>
      </c>
      <c r="F2499" t="s">
        <v>2267</v>
      </c>
      <c r="G2499" t="s">
        <v>2296</v>
      </c>
      <c r="H2499" t="n">
        <v>38.8766272346173</v>
      </c>
      <c r="I2499" t="n">
        <v>-104.818825104683</v>
      </c>
      <c r="J2499" t="s">
        <v>35</v>
      </c>
      <c r="K2499" t="s">
        <v>70</v>
      </c>
      <c r="L2499"/>
      <c r="M2499" t="n">
        <v>1966</v>
      </c>
      <c r="N2499" t="n">
        <v>1973</v>
      </c>
      <c r="O2499" t="s">
        <v>4172</v>
      </c>
      <c r="P2499" t="n">
        <v>3</v>
      </c>
      <c r="Q2499" t="n">
        <v>1</v>
      </c>
      <c r="R2499" t="n">
        <v>1</v>
      </c>
      <c r="S2499" t="n">
        <v>1956</v>
      </c>
      <c r="T2499" t="s">
        <v>16340</v>
      </c>
      <c r="U2499" t="s">
        <v>16341</v>
      </c>
      <c r="V2499" t="s">
        <v>4175</v>
      </c>
      <c r="W2499"/>
      <c r="X2499"/>
      <c r="Y2499" t="s">
        <v>16342</v>
      </c>
      <c r="Z2499"/>
      <c r="AA2499" t="s">
        <v>16343</v>
      </c>
      <c r="AB2499" t="s">
        <v>9407</v>
      </c>
      <c r="AC2499" t="n">
        <v>95</v>
      </c>
      <c r="AD2499" t="s">
        <v>9388</v>
      </c>
      <c r="AE2499" t="n">
        <v>102</v>
      </c>
      <c r="AF2499" t="s">
        <v>16344</v>
      </c>
      <c r="AG2499" t="n">
        <v>33</v>
      </c>
    </row>
    <row r="2500">
      <c r="A2500" t="s">
        <v>16345</v>
      </c>
      <c r="B2500" t="s">
        <v>28</v>
      </c>
      <c r="C2500" t="s">
        <v>65</v>
      </c>
      <c r="D2500" t="s">
        <v>16346</v>
      </c>
      <c r="E2500" t="s">
        <v>2272</v>
      </c>
      <c r="F2500" t="s">
        <v>2267</v>
      </c>
      <c r="G2500" t="s">
        <v>2296</v>
      </c>
      <c r="H2500" t="n">
        <v>38.8806620686961</v>
      </c>
      <c r="I2500" t="n">
        <v>-104.820920865423</v>
      </c>
      <c r="J2500" t="s">
        <v>35</v>
      </c>
      <c r="K2500" t="s">
        <v>16347</v>
      </c>
      <c r="L2500" t="s">
        <v>202</v>
      </c>
      <c r="M2500" t="n">
        <v>1966</v>
      </c>
      <c r="N2500" t="n">
        <v>1992</v>
      </c>
      <c r="O2500" t="s">
        <v>16348</v>
      </c>
      <c r="P2500" t="n">
        <v>12</v>
      </c>
      <c r="Q2500" t="n">
        <v>9</v>
      </c>
      <c r="R2500" t="n">
        <v>3</v>
      </c>
      <c r="S2500" t="n">
        <v>1903</v>
      </c>
      <c r="T2500" t="s">
        <v>16349</v>
      </c>
      <c r="U2500" t="s">
        <v>16350</v>
      </c>
      <c r="V2500" t="s">
        <v>74</v>
      </c>
      <c r="W2500"/>
      <c r="X2500"/>
      <c r="Y2500" t="s">
        <v>16351</v>
      </c>
      <c r="Z2500"/>
      <c r="AA2500" t="s">
        <v>16352</v>
      </c>
      <c r="AB2500"/>
      <c r="AC2500"/>
      <c r="AD2500" t="s">
        <v>16353</v>
      </c>
      <c r="AE2500" t="n">
        <v>220</v>
      </c>
      <c r="AF2500" t="s">
        <v>16354</v>
      </c>
      <c r="AG2500" t="n">
        <v>11</v>
      </c>
    </row>
    <row r="2501">
      <c r="A2501" t="s">
        <v>16355</v>
      </c>
      <c r="B2501" t="s">
        <v>28</v>
      </c>
      <c r="C2501" t="s">
        <v>65</v>
      </c>
      <c r="D2501" t="s">
        <v>16356</v>
      </c>
      <c r="E2501" t="s">
        <v>2272</v>
      </c>
      <c r="F2501" t="s">
        <v>2267</v>
      </c>
      <c r="G2501" t="s">
        <v>2289</v>
      </c>
      <c r="H2501" t="n">
        <v>38.8325921711548</v>
      </c>
      <c r="I2501" t="n">
        <v>-104.828940087254</v>
      </c>
      <c r="J2501" t="s">
        <v>35</v>
      </c>
      <c r="K2501" t="s">
        <v>1495</v>
      </c>
      <c r="L2501"/>
      <c r="M2501" t="n">
        <v>1966</v>
      </c>
      <c r="N2501" t="n">
        <v>1990</v>
      </c>
      <c r="O2501" t="s">
        <v>16357</v>
      </c>
      <c r="P2501" t="n">
        <v>6</v>
      </c>
      <c r="Q2501" t="n">
        <v>5</v>
      </c>
      <c r="R2501" t="n">
        <v>2</v>
      </c>
      <c r="S2501" t="n">
        <v>1900</v>
      </c>
      <c r="T2501" t="s">
        <v>16358</v>
      </c>
      <c r="U2501" t="s">
        <v>16359</v>
      </c>
      <c r="V2501" t="s">
        <v>74</v>
      </c>
      <c r="W2501"/>
      <c r="X2501"/>
      <c r="Y2501" t="s">
        <v>16360</v>
      </c>
      <c r="Z2501"/>
      <c r="AA2501" t="s">
        <v>16361</v>
      </c>
      <c r="AB2501" t="s">
        <v>16362</v>
      </c>
      <c r="AC2501" t="n">
        <v>187</v>
      </c>
      <c r="AD2501"/>
      <c r="AE2501"/>
      <c r="AF2501" t="s">
        <v>16363</v>
      </c>
      <c r="AG2501" t="n">
        <v>11</v>
      </c>
    </row>
    <row r="2502">
      <c r="A2502" t="s">
        <v>16364</v>
      </c>
      <c r="B2502" t="s">
        <v>28</v>
      </c>
      <c r="C2502" t="s">
        <v>24</v>
      </c>
      <c r="D2502" t="s">
        <v>16365</v>
      </c>
      <c r="E2502" t="s">
        <v>2272</v>
      </c>
      <c r="F2502" t="s">
        <v>2267</v>
      </c>
      <c r="G2502" t="s">
        <v>2273</v>
      </c>
      <c r="H2502" t="n">
        <v>38.87775</v>
      </c>
      <c r="I2502" t="n">
        <v>-104.811057</v>
      </c>
      <c r="J2502" t="s">
        <v>4109</v>
      </c>
      <c r="K2502" t="s">
        <v>2896</v>
      </c>
      <c r="L2502" t="s">
        <v>202</v>
      </c>
      <c r="M2502" t="n">
        <v>1966</v>
      </c>
      <c r="N2502" t="n">
        <v>1992</v>
      </c>
      <c r="O2502" t="s">
        <v>15113</v>
      </c>
      <c r="P2502" t="n">
        <v>12</v>
      </c>
      <c r="Q2502" t="n">
        <v>15</v>
      </c>
      <c r="R2502" t="n">
        <v>9</v>
      </c>
      <c r="S2502" t="n">
        <v>1909</v>
      </c>
      <c r="T2502" t="s">
        <v>16366</v>
      </c>
      <c r="U2502" t="s">
        <v>16367</v>
      </c>
      <c r="V2502" t="s">
        <v>74</v>
      </c>
      <c r="W2502"/>
      <c r="X2502"/>
      <c r="Y2502" t="s">
        <v>16368</v>
      </c>
      <c r="Z2502"/>
      <c r="AA2502" t="s">
        <v>16369</v>
      </c>
      <c r="AB2502"/>
      <c r="AC2502"/>
      <c r="AD2502"/>
      <c r="AE2502"/>
      <c r="AF2502" t="s">
        <v>16370</v>
      </c>
      <c r="AG2502" t="n">
        <v>169</v>
      </c>
    </row>
    <row r="2503">
      <c r="A2503" t="s">
        <v>16371</v>
      </c>
      <c r="B2503" t="s">
        <v>28</v>
      </c>
      <c r="C2503" t="s">
        <v>65</v>
      </c>
      <c r="D2503" t="s">
        <v>16372</v>
      </c>
      <c r="E2503" t="s">
        <v>2272</v>
      </c>
      <c r="F2503" t="s">
        <v>2267</v>
      </c>
      <c r="G2503" t="s">
        <v>2326</v>
      </c>
      <c r="H2503" t="n">
        <v>38.8412691223459</v>
      </c>
      <c r="I2503" t="n">
        <v>-104.857274980992</v>
      </c>
      <c r="J2503" t="s">
        <v>35</v>
      </c>
      <c r="K2503" t="s">
        <v>220</v>
      </c>
      <c r="L2503"/>
      <c r="M2503" t="n">
        <v>1966</v>
      </c>
      <c r="N2503" t="n">
        <v>1974</v>
      </c>
      <c r="O2503" t="s">
        <v>16373</v>
      </c>
      <c r="P2503" t="n">
        <v>3</v>
      </c>
      <c r="Q2503" t="n">
        <v>2</v>
      </c>
      <c r="R2503" t="n">
        <v>2</v>
      </c>
      <c r="S2503" t="n">
        <v>1965</v>
      </c>
      <c r="T2503" t="s">
        <v>16374</v>
      </c>
      <c r="U2503" t="s">
        <v>16375</v>
      </c>
      <c r="V2503" t="s">
        <v>74</v>
      </c>
      <c r="W2503"/>
      <c r="X2503"/>
      <c r="Y2503" t="s">
        <v>16376</v>
      </c>
      <c r="Z2503"/>
      <c r="AA2503"/>
      <c r="AB2503" t="s">
        <v>16377</v>
      </c>
      <c r="AC2503" t="n">
        <v>184</v>
      </c>
      <c r="AD2503"/>
      <c r="AE2503"/>
      <c r="AF2503" t="s">
        <v>16378</v>
      </c>
      <c r="AG2503" t="n">
        <v>2</v>
      </c>
    </row>
    <row r="2504">
      <c r="A2504" t="s">
        <v>16379</v>
      </c>
      <c r="B2504" t="s">
        <v>28</v>
      </c>
      <c r="C2504" t="s">
        <v>24</v>
      </c>
      <c r="D2504" t="s">
        <v>16380</v>
      </c>
      <c r="E2504" t="s">
        <v>2272</v>
      </c>
      <c r="F2504" t="s">
        <v>2267</v>
      </c>
      <c r="G2504" t="s">
        <v>2296</v>
      </c>
      <c r="H2504" t="n">
        <v>38.8750548311434</v>
      </c>
      <c r="I2504" t="n">
        <v>-104.829629639929</v>
      </c>
      <c r="J2504" t="s">
        <v>4109</v>
      </c>
      <c r="K2504" t="s">
        <v>315</v>
      </c>
      <c r="L2504"/>
      <c r="M2504" t="n">
        <v>1966</v>
      </c>
      <c r="N2504" t="n">
        <v>1973</v>
      </c>
      <c r="O2504" t="s">
        <v>1556</v>
      </c>
      <c r="P2504" t="n">
        <v>3</v>
      </c>
      <c r="Q2504" t="n">
        <v>2</v>
      </c>
      <c r="R2504" t="n">
        <v>1</v>
      </c>
      <c r="S2504" t="n">
        <v>1959</v>
      </c>
      <c r="T2504" t="s">
        <v>16381</v>
      </c>
      <c r="U2504" t="s">
        <v>16382</v>
      </c>
      <c r="V2504" t="s">
        <v>74</v>
      </c>
      <c r="W2504"/>
      <c r="X2504"/>
      <c r="Y2504" t="s">
        <v>16383</v>
      </c>
      <c r="Z2504"/>
      <c r="AA2504"/>
      <c r="AB2504"/>
      <c r="AC2504"/>
      <c r="AD2504" t="s">
        <v>16384</v>
      </c>
      <c r="AE2504" t="n">
        <v>240</v>
      </c>
      <c r="AF2504" t="s">
        <v>16385</v>
      </c>
      <c r="AG2504" t="n">
        <v>32</v>
      </c>
    </row>
    <row r="2505">
      <c r="A2505" t="s">
        <v>16386</v>
      </c>
      <c r="B2505" t="s">
        <v>28</v>
      </c>
      <c r="C2505" t="s">
        <v>24</v>
      </c>
      <c r="D2505" t="s">
        <v>16387</v>
      </c>
      <c r="E2505" t="s">
        <v>2272</v>
      </c>
      <c r="F2505" t="s">
        <v>2267</v>
      </c>
      <c r="G2505" t="s">
        <v>2326</v>
      </c>
      <c r="H2505" t="n">
        <v>38.8325068991</v>
      </c>
      <c r="I2505" t="n">
        <v>-104.825204519681</v>
      </c>
      <c r="J2505" t="s">
        <v>35</v>
      </c>
      <c r="K2505" t="s">
        <v>133</v>
      </c>
      <c r="L2505"/>
      <c r="M2505" t="n">
        <v>1966</v>
      </c>
      <c r="N2505" t="n">
        <v>1992</v>
      </c>
      <c r="O2505" t="s">
        <v>4172</v>
      </c>
      <c r="P2505" t="n">
        <v>6</v>
      </c>
      <c r="Q2505" t="n">
        <v>6</v>
      </c>
      <c r="R2505" t="n">
        <v>1</v>
      </c>
      <c r="S2505" t="n">
        <v>1954</v>
      </c>
      <c r="T2505" t="s">
        <v>16388</v>
      </c>
      <c r="U2505" t="s">
        <v>16389</v>
      </c>
      <c r="V2505" t="s">
        <v>4175</v>
      </c>
      <c r="W2505"/>
      <c r="X2505"/>
      <c r="Y2505" t="s">
        <v>16390</v>
      </c>
      <c r="Z2505"/>
      <c r="AA2505" t="s">
        <v>16391</v>
      </c>
      <c r="AB2505"/>
      <c r="AC2505"/>
      <c r="AD2505"/>
      <c r="AE2505"/>
      <c r="AF2505" t="s">
        <v>16392</v>
      </c>
      <c r="AG2505" t="n">
        <v>31</v>
      </c>
    </row>
    <row r="2506">
      <c r="A2506" t="s">
        <v>16393</v>
      </c>
      <c r="B2506" t="s">
        <v>28</v>
      </c>
      <c r="C2506" t="s">
        <v>24</v>
      </c>
      <c r="D2506" t="s">
        <v>16394</v>
      </c>
      <c r="E2506" t="s">
        <v>2272</v>
      </c>
      <c r="F2506" t="s">
        <v>2267</v>
      </c>
      <c r="G2506" t="s">
        <v>2273</v>
      </c>
      <c r="H2506" t="n">
        <v>38.836716</v>
      </c>
      <c r="I2506" t="n">
        <v>-104.779188</v>
      </c>
      <c r="J2506" t="s">
        <v>4109</v>
      </c>
      <c r="K2506" t="s">
        <v>70</v>
      </c>
      <c r="L2506"/>
      <c r="M2506" t="n">
        <v>1967</v>
      </c>
      <c r="N2506" t="n">
        <v>1967</v>
      </c>
      <c r="O2506" t="s">
        <v>388</v>
      </c>
      <c r="P2506" t="n">
        <v>1</v>
      </c>
      <c r="Q2506" t="n">
        <v>1</v>
      </c>
      <c r="R2506" t="n">
        <v>1</v>
      </c>
      <c r="S2506" t="n">
        <v>1955</v>
      </c>
      <c r="T2506" t="s">
        <v>16395</v>
      </c>
      <c r="U2506" t="s">
        <v>16396</v>
      </c>
      <c r="V2506" t="s">
        <v>74</v>
      </c>
      <c r="W2506"/>
      <c r="X2506"/>
      <c r="Y2506" t="s">
        <v>16397</v>
      </c>
      <c r="Z2506"/>
      <c r="AA2506" t="s">
        <v>16398</v>
      </c>
      <c r="AB2506"/>
      <c r="AC2506"/>
      <c r="AD2506"/>
      <c r="AE2506"/>
      <c r="AF2506" t="s">
        <v>16399</v>
      </c>
      <c r="AG2506" t="n">
        <v>13</v>
      </c>
    </row>
    <row r="2507">
      <c r="A2507" t="s">
        <v>16400</v>
      </c>
      <c r="B2507" t="s">
        <v>28</v>
      </c>
      <c r="C2507" t="s">
        <v>65</v>
      </c>
      <c r="D2507" t="s">
        <v>16401</v>
      </c>
      <c r="E2507" t="s">
        <v>2272</v>
      </c>
      <c r="F2507" t="s">
        <v>2267</v>
      </c>
      <c r="G2507" t="s">
        <v>2296</v>
      </c>
      <c r="H2507" t="n">
        <v>38.8927988518781</v>
      </c>
      <c r="I2507" t="n">
        <v>-104.814607577597</v>
      </c>
      <c r="J2507" t="s">
        <v>35</v>
      </c>
      <c r="K2507" t="s">
        <v>70</v>
      </c>
      <c r="L2507"/>
      <c r="M2507" t="n">
        <v>1967</v>
      </c>
      <c r="N2507" t="n">
        <v>1967</v>
      </c>
      <c r="O2507" t="s">
        <v>388</v>
      </c>
      <c r="P2507" t="n">
        <v>1</v>
      </c>
      <c r="Q2507" t="n">
        <v>1</v>
      </c>
      <c r="R2507" t="n">
        <v>1</v>
      </c>
      <c r="S2507" t="n">
        <v>1947</v>
      </c>
      <c r="T2507" t="s">
        <v>16402</v>
      </c>
      <c r="U2507" t="s">
        <v>16403</v>
      </c>
      <c r="V2507" t="s">
        <v>74</v>
      </c>
      <c r="W2507"/>
      <c r="X2507"/>
      <c r="Y2507" t="s">
        <v>16404</v>
      </c>
      <c r="Z2507"/>
      <c r="AA2507"/>
      <c r="AB2507"/>
      <c r="AC2507"/>
      <c r="AD2507" t="s">
        <v>2312</v>
      </c>
      <c r="AE2507" t="n">
        <v>218</v>
      </c>
      <c r="AF2507" t="s">
        <v>16337</v>
      </c>
      <c r="AG2507" t="n">
        <v>131</v>
      </c>
    </row>
    <row r="2508">
      <c r="A2508" t="s">
        <v>16405</v>
      </c>
      <c r="B2508" t="s">
        <v>28</v>
      </c>
      <c r="C2508" t="s">
        <v>65</v>
      </c>
      <c r="D2508" t="s">
        <v>16406</v>
      </c>
      <c r="E2508" t="s">
        <v>2272</v>
      </c>
      <c r="F2508" t="s">
        <v>2267</v>
      </c>
      <c r="G2508" t="s">
        <v>2326</v>
      </c>
      <c r="H2508" t="n">
        <v>38.8452434009623</v>
      </c>
      <c r="I2508" t="n">
        <v>-104.869327539643</v>
      </c>
      <c r="J2508" t="s">
        <v>35</v>
      </c>
      <c r="K2508" t="s">
        <v>133</v>
      </c>
      <c r="L2508"/>
      <c r="M2508" t="n">
        <v>1967</v>
      </c>
      <c r="N2508" t="n">
        <v>1990</v>
      </c>
      <c r="O2508" t="s">
        <v>1949</v>
      </c>
      <c r="P2508" t="n">
        <v>8</v>
      </c>
      <c r="Q2508" t="n">
        <v>7</v>
      </c>
      <c r="R2508" t="n">
        <v>1</v>
      </c>
      <c r="S2508" t="n">
        <v>1950</v>
      </c>
      <c r="T2508" t="s">
        <v>16407</v>
      </c>
      <c r="U2508" t="s">
        <v>16408</v>
      </c>
      <c r="V2508" t="s">
        <v>74</v>
      </c>
      <c r="W2508"/>
      <c r="X2508"/>
      <c r="Y2508" t="s">
        <v>16409</v>
      </c>
      <c r="Z2508"/>
      <c r="AA2508" t="s">
        <v>16410</v>
      </c>
      <c r="AB2508"/>
      <c r="AC2508"/>
      <c r="AD2508"/>
      <c r="AE2508"/>
      <c r="AF2508" t="s">
        <v>16411</v>
      </c>
      <c r="AG2508" t="n">
        <v>30</v>
      </c>
    </row>
    <row r="2509">
      <c r="A2509" t="s">
        <v>16412</v>
      </c>
      <c r="B2509" t="s">
        <v>28</v>
      </c>
      <c r="C2509" t="s">
        <v>65</v>
      </c>
      <c r="D2509" t="s">
        <v>16413</v>
      </c>
      <c r="E2509" t="s">
        <v>2272</v>
      </c>
      <c r="F2509" t="s">
        <v>2267</v>
      </c>
      <c r="G2509" t="s">
        <v>2273</v>
      </c>
      <c r="H2509" t="n">
        <v>38.8386949871986</v>
      </c>
      <c r="I2509" t="n">
        <v>-104.773228222408</v>
      </c>
      <c r="J2509" t="s">
        <v>35</v>
      </c>
      <c r="K2509" t="s">
        <v>120</v>
      </c>
      <c r="L2509"/>
      <c r="M2509" t="n">
        <v>1967</v>
      </c>
      <c r="N2509" t="n">
        <v>1992</v>
      </c>
      <c r="O2509" t="s">
        <v>1016</v>
      </c>
      <c r="P2509" t="n">
        <v>4</v>
      </c>
      <c r="Q2509" t="n">
        <v>4</v>
      </c>
      <c r="R2509" t="n">
        <v>1</v>
      </c>
      <c r="S2509" t="n">
        <v>1965</v>
      </c>
      <c r="T2509" t="s">
        <v>16414</v>
      </c>
      <c r="U2509" t="s">
        <v>16415</v>
      </c>
      <c r="V2509" t="s">
        <v>74</v>
      </c>
      <c r="W2509"/>
      <c r="X2509"/>
      <c r="Y2509" t="s">
        <v>16416</v>
      </c>
      <c r="Z2509"/>
      <c r="AA2509" t="s">
        <v>16417</v>
      </c>
      <c r="AB2509" t="s">
        <v>2278</v>
      </c>
      <c r="AC2509" t="n">
        <v>168</v>
      </c>
      <c r="AD2509"/>
      <c r="AE2509"/>
      <c r="AF2509" t="s">
        <v>16418</v>
      </c>
      <c r="AG2509" t="n">
        <v>32</v>
      </c>
    </row>
    <row r="2510">
      <c r="A2510" t="s">
        <v>16419</v>
      </c>
      <c r="B2510" t="s">
        <v>28</v>
      </c>
      <c r="C2510" t="s">
        <v>24</v>
      </c>
      <c r="D2510" t="s">
        <v>6273</v>
      </c>
      <c r="E2510" t="s">
        <v>2272</v>
      </c>
      <c r="F2510" t="s">
        <v>2267</v>
      </c>
      <c r="G2510" t="s">
        <v>2374</v>
      </c>
      <c r="H2510" t="n">
        <v>38.7595592004178</v>
      </c>
      <c r="I2510" t="n">
        <v>-104.738751657799</v>
      </c>
      <c r="J2510" t="s">
        <v>4109</v>
      </c>
      <c r="K2510" t="s">
        <v>120</v>
      </c>
      <c r="L2510"/>
      <c r="M2510" t="n">
        <v>1968</v>
      </c>
      <c r="N2510" t="n">
        <v>1983</v>
      </c>
      <c r="O2510" t="s">
        <v>1349</v>
      </c>
      <c r="P2510" t="n">
        <v>2</v>
      </c>
      <c r="Q2510" t="n">
        <v>2</v>
      </c>
      <c r="R2510" t="n">
        <v>1</v>
      </c>
      <c r="S2510" t="n">
        <v>1954</v>
      </c>
      <c r="T2510" t="s">
        <v>16420</v>
      </c>
      <c r="U2510" t="s">
        <v>16421</v>
      </c>
      <c r="V2510" t="s">
        <v>74</v>
      </c>
      <c r="W2510"/>
      <c r="X2510"/>
      <c r="Y2510" t="s">
        <v>16422</v>
      </c>
      <c r="Z2510"/>
      <c r="AA2510" t="s">
        <v>16423</v>
      </c>
      <c r="AB2510"/>
      <c r="AC2510"/>
      <c r="AD2510"/>
      <c r="AE2510"/>
      <c r="AF2510" t="s">
        <v>16424</v>
      </c>
      <c r="AG2510" t="n">
        <v>68</v>
      </c>
    </row>
    <row r="2511">
      <c r="A2511" t="s">
        <v>16425</v>
      </c>
      <c r="B2511" t="s">
        <v>28</v>
      </c>
      <c r="C2511" t="s">
        <v>65</v>
      </c>
      <c r="D2511" t="s">
        <v>16426</v>
      </c>
      <c r="E2511" t="s">
        <v>2272</v>
      </c>
      <c r="F2511" t="s">
        <v>2267</v>
      </c>
      <c r="G2511" t="s">
        <v>2296</v>
      </c>
      <c r="H2511" t="n">
        <v>38.8697784939074</v>
      </c>
      <c r="I2511" t="n">
        <v>-104.811166910032</v>
      </c>
      <c r="J2511" t="s">
        <v>35</v>
      </c>
      <c r="K2511" t="s">
        <v>133</v>
      </c>
      <c r="L2511" t="s">
        <v>1002</v>
      </c>
      <c r="M2511" t="n">
        <v>1970</v>
      </c>
      <c r="N2511" t="n">
        <v>1990</v>
      </c>
      <c r="O2511" t="s">
        <v>2361</v>
      </c>
      <c r="P2511" t="n">
        <v>8</v>
      </c>
      <c r="Q2511" t="n">
        <v>13</v>
      </c>
      <c r="R2511" t="n">
        <v>7</v>
      </c>
      <c r="S2511" t="n">
        <v>1964</v>
      </c>
      <c r="T2511" t="s">
        <v>16427</v>
      </c>
      <c r="U2511" t="s">
        <v>16428</v>
      </c>
      <c r="V2511" t="s">
        <v>74</v>
      </c>
      <c r="W2511"/>
      <c r="X2511"/>
      <c r="Y2511" t="s">
        <v>16429</v>
      </c>
      <c r="Z2511"/>
      <c r="AA2511" t="s">
        <v>16430</v>
      </c>
      <c r="AB2511"/>
      <c r="AC2511"/>
      <c r="AD2511"/>
      <c r="AE2511"/>
      <c r="AF2511" t="s">
        <v>16431</v>
      </c>
      <c r="AG2511" t="n">
        <v>5</v>
      </c>
    </row>
    <row r="2512">
      <c r="A2512" t="s">
        <v>16432</v>
      </c>
      <c r="B2512" t="s">
        <v>28</v>
      </c>
      <c r="C2512" t="s">
        <v>24</v>
      </c>
      <c r="D2512" t="s">
        <v>16433</v>
      </c>
      <c r="E2512" t="s">
        <v>2272</v>
      </c>
      <c r="F2512" t="s">
        <v>2267</v>
      </c>
      <c r="G2512" t="s">
        <v>9473</v>
      </c>
      <c r="H2512" t="n">
        <v>38.780822</v>
      </c>
      <c r="I2512" t="n">
        <v>-104.738789</v>
      </c>
      <c r="J2512" t="s">
        <v>4109</v>
      </c>
      <c r="K2512" t="s">
        <v>527</v>
      </c>
      <c r="L2512" t="s">
        <v>7087</v>
      </c>
      <c r="M2512" t="n">
        <v>1970</v>
      </c>
      <c r="N2512" t="n">
        <v>1992</v>
      </c>
      <c r="O2512" t="s">
        <v>16434</v>
      </c>
      <c r="P2512" t="n">
        <v>8</v>
      </c>
      <c r="Q2512" t="n">
        <v>3</v>
      </c>
      <c r="R2512" t="n">
        <v>3</v>
      </c>
      <c r="S2512" t="n">
        <v>1969</v>
      </c>
      <c r="T2512" t="s">
        <v>16435</v>
      </c>
      <c r="U2512" t="s">
        <v>16436</v>
      </c>
      <c r="V2512" t="s">
        <v>74</v>
      </c>
      <c r="W2512"/>
      <c r="X2512"/>
      <c r="Y2512" t="s">
        <v>16437</v>
      </c>
      <c r="Z2512"/>
      <c r="AA2512" t="s">
        <v>16438</v>
      </c>
      <c r="AB2512"/>
      <c r="AC2512"/>
      <c r="AD2512"/>
      <c r="AE2512"/>
      <c r="AF2512" t="s">
        <v>16439</v>
      </c>
      <c r="AG2512" t="n">
        <v>24</v>
      </c>
    </row>
    <row r="2513">
      <c r="A2513" t="s">
        <v>16440</v>
      </c>
      <c r="B2513" t="s">
        <v>28</v>
      </c>
      <c r="C2513" t="s">
        <v>65</v>
      </c>
      <c r="D2513" t="s">
        <v>16441</v>
      </c>
      <c r="E2513" t="s">
        <v>2272</v>
      </c>
      <c r="F2513" t="s">
        <v>2267</v>
      </c>
      <c r="G2513" t="s">
        <v>2374</v>
      </c>
      <c r="H2513" t="n">
        <v>38.87927269869</v>
      </c>
      <c r="I2513" t="n">
        <v>-104.820816687407</v>
      </c>
      <c r="J2513" t="s">
        <v>35</v>
      </c>
      <c r="K2513" t="s">
        <v>120</v>
      </c>
      <c r="L2513"/>
      <c r="M2513" t="n">
        <v>1970</v>
      </c>
      <c r="N2513" t="n">
        <v>1977</v>
      </c>
      <c r="O2513" t="s">
        <v>726</v>
      </c>
      <c r="P2513" t="n">
        <v>3</v>
      </c>
      <c r="Q2513" t="n">
        <v>3</v>
      </c>
      <c r="R2513" t="n">
        <v>1</v>
      </c>
      <c r="S2513" t="n">
        <v>1939</v>
      </c>
      <c r="T2513" t="s">
        <v>16442</v>
      </c>
      <c r="U2513" t="s">
        <v>16443</v>
      </c>
      <c r="V2513" t="s">
        <v>74</v>
      </c>
      <c r="W2513"/>
      <c r="X2513"/>
      <c r="Y2513" t="s">
        <v>16444</v>
      </c>
      <c r="Z2513"/>
      <c r="AA2513" t="s">
        <v>16445</v>
      </c>
      <c r="AB2513" t="s">
        <v>16446</v>
      </c>
      <c r="AC2513" t="n">
        <v>204</v>
      </c>
      <c r="AD2513" t="s">
        <v>16447</v>
      </c>
      <c r="AE2513" t="n">
        <v>215</v>
      </c>
      <c r="AF2513" t="s">
        <v>16448</v>
      </c>
      <c r="AG2513" t="n">
        <v>11</v>
      </c>
    </row>
    <row r="2514">
      <c r="A2514" t="s">
        <v>16449</v>
      </c>
      <c r="B2514" t="s">
        <v>28</v>
      </c>
      <c r="C2514" t="s">
        <v>65</v>
      </c>
      <c r="D2514" t="s">
        <v>16450</v>
      </c>
      <c r="E2514" t="s">
        <v>2272</v>
      </c>
      <c r="F2514" t="s">
        <v>2267</v>
      </c>
      <c r="G2514" t="s">
        <v>2374</v>
      </c>
      <c r="H2514" t="n">
        <v>38.8404746090583</v>
      </c>
      <c r="I2514" t="n">
        <v>-104.862312570626</v>
      </c>
      <c r="J2514" t="s">
        <v>35</v>
      </c>
      <c r="K2514" t="s">
        <v>70</v>
      </c>
      <c r="L2514"/>
      <c r="M2514" t="n">
        <v>1970</v>
      </c>
      <c r="N2514" t="n">
        <v>1983</v>
      </c>
      <c r="O2514" t="s">
        <v>264</v>
      </c>
      <c r="P2514" t="n">
        <v>5</v>
      </c>
      <c r="Q2514" t="n">
        <v>7</v>
      </c>
      <c r="R2514" t="n">
        <v>2</v>
      </c>
      <c r="S2514" t="n">
        <v>1948</v>
      </c>
      <c r="T2514" t="s">
        <v>16451</v>
      </c>
      <c r="U2514" t="s">
        <v>16452</v>
      </c>
      <c r="V2514" t="s">
        <v>74</v>
      </c>
      <c r="W2514"/>
      <c r="X2514"/>
      <c r="Y2514" t="s">
        <v>16453</v>
      </c>
      <c r="Z2514"/>
      <c r="AA2514"/>
      <c r="AB2514"/>
      <c r="AC2514"/>
      <c r="AD2514"/>
      <c r="AE2514"/>
      <c r="AF2514" t="s">
        <v>16454</v>
      </c>
      <c r="AG2514" t="n">
        <v>41</v>
      </c>
    </row>
    <row r="2515">
      <c r="A2515" t="s">
        <v>16455</v>
      </c>
      <c r="B2515" t="s">
        <v>28</v>
      </c>
      <c r="C2515" t="s">
        <v>65</v>
      </c>
      <c r="D2515" t="s">
        <v>16456</v>
      </c>
      <c r="E2515" t="s">
        <v>2272</v>
      </c>
      <c r="F2515" t="s">
        <v>2267</v>
      </c>
      <c r="G2515" t="s">
        <v>2412</v>
      </c>
      <c r="H2515" t="n">
        <v>38.960494</v>
      </c>
      <c r="I2515" t="n">
        <v>-104.682376</v>
      </c>
      <c r="J2515" t="s">
        <v>35</v>
      </c>
      <c r="K2515" t="s">
        <v>1041</v>
      </c>
      <c r="L2515"/>
      <c r="M2515" t="n">
        <v>1973</v>
      </c>
      <c r="N2515" t="n">
        <v>1973</v>
      </c>
      <c r="O2515" t="s">
        <v>121</v>
      </c>
      <c r="P2515" t="n">
        <v>1</v>
      </c>
      <c r="Q2515" t="n">
        <v>1</v>
      </c>
      <c r="R2515" t="n">
        <v>1</v>
      </c>
      <c r="S2515" t="n">
        <v>1971</v>
      </c>
      <c r="T2515" t="s">
        <v>16457</v>
      </c>
      <c r="U2515" t="s">
        <v>16458</v>
      </c>
      <c r="V2515" t="s">
        <v>74</v>
      </c>
      <c r="W2515"/>
      <c r="X2515"/>
      <c r="Y2515" t="s">
        <v>16459</v>
      </c>
      <c r="Z2515"/>
      <c r="AA2515" t="s">
        <v>16460</v>
      </c>
      <c r="AB2515"/>
      <c r="AC2515"/>
      <c r="AD2515"/>
      <c r="AE2515"/>
      <c r="AF2515" t="s">
        <v>16461</v>
      </c>
      <c r="AG2515" t="n">
        <v>21</v>
      </c>
    </row>
    <row r="2516">
      <c r="A2516" t="s">
        <v>16462</v>
      </c>
      <c r="B2516" t="s">
        <v>28</v>
      </c>
      <c r="C2516" t="s">
        <v>24</v>
      </c>
      <c r="D2516" t="s">
        <v>16463</v>
      </c>
      <c r="E2516" t="s">
        <v>2272</v>
      </c>
      <c r="F2516" t="s">
        <v>2267</v>
      </c>
      <c r="G2516" t="s">
        <v>2273</v>
      </c>
      <c r="H2516" t="n">
        <v>38.867273</v>
      </c>
      <c r="I2516" t="n">
        <v>-104.756988</v>
      </c>
      <c r="J2516" t="s">
        <v>4109</v>
      </c>
      <c r="K2516" t="s">
        <v>89</v>
      </c>
      <c r="L2516"/>
      <c r="M2516" t="n">
        <v>1973</v>
      </c>
      <c r="N2516" t="n">
        <v>1973</v>
      </c>
      <c r="O2516" t="s">
        <v>121</v>
      </c>
      <c r="P2516" t="n">
        <v>1</v>
      </c>
      <c r="Q2516" t="n">
        <v>1</v>
      </c>
      <c r="R2516" t="n">
        <v>1</v>
      </c>
      <c r="S2516" t="n">
        <v>1958</v>
      </c>
      <c r="T2516" t="s">
        <v>16464</v>
      </c>
      <c r="U2516" t="s">
        <v>16465</v>
      </c>
      <c r="V2516" t="s">
        <v>74</v>
      </c>
      <c r="W2516"/>
      <c r="X2516"/>
      <c r="Y2516" t="s">
        <v>16466</v>
      </c>
      <c r="Z2516"/>
      <c r="AA2516" t="s">
        <v>16467</v>
      </c>
      <c r="AB2516"/>
      <c r="AC2516"/>
      <c r="AD2516"/>
      <c r="AE2516"/>
      <c r="AF2516" t="s">
        <v>16468</v>
      </c>
      <c r="AG2516" t="n">
        <v>125</v>
      </c>
    </row>
    <row r="2517">
      <c r="A2517" t="s">
        <v>16469</v>
      </c>
      <c r="B2517" t="s">
        <v>28</v>
      </c>
      <c r="C2517" t="s">
        <v>24</v>
      </c>
      <c r="D2517" t="s">
        <v>16470</v>
      </c>
      <c r="E2517" t="s">
        <v>2272</v>
      </c>
      <c r="F2517" t="s">
        <v>2267</v>
      </c>
      <c r="G2517" t="s">
        <v>2475</v>
      </c>
      <c r="H2517" t="n">
        <v>38.8199996138663</v>
      </c>
      <c r="I2517" t="n">
        <v>-104.828496686231</v>
      </c>
      <c r="J2517" t="s">
        <v>4109</v>
      </c>
      <c r="K2517" t="s">
        <v>120</v>
      </c>
      <c r="L2517"/>
      <c r="M2517" t="n">
        <v>1973</v>
      </c>
      <c r="N2517" t="n">
        <v>1973</v>
      </c>
      <c r="O2517" t="s">
        <v>121</v>
      </c>
      <c r="P2517" t="n">
        <v>1</v>
      </c>
      <c r="Q2517" t="n">
        <v>1</v>
      </c>
      <c r="R2517" t="n">
        <v>1</v>
      </c>
      <c r="S2517" t="n">
        <v>1970</v>
      </c>
      <c r="T2517" t="s">
        <v>16471</v>
      </c>
      <c r="U2517" t="s">
        <v>16472</v>
      </c>
      <c r="V2517" t="s">
        <v>74</v>
      </c>
      <c r="W2517"/>
      <c r="X2517"/>
      <c r="Y2517" t="s">
        <v>16473</v>
      </c>
      <c r="Z2517"/>
      <c r="AA2517" t="s">
        <v>16474</v>
      </c>
      <c r="AB2517"/>
      <c r="AC2517"/>
      <c r="AD2517"/>
      <c r="AE2517"/>
      <c r="AF2517" t="s">
        <v>16475</v>
      </c>
      <c r="AG2517" t="n">
        <v>110</v>
      </c>
    </row>
    <row r="2518">
      <c r="A2518" t="s">
        <v>16476</v>
      </c>
      <c r="B2518" t="s">
        <v>28</v>
      </c>
      <c r="C2518" t="s">
        <v>65</v>
      </c>
      <c r="D2518" t="s">
        <v>16477</v>
      </c>
      <c r="E2518" t="s">
        <v>2272</v>
      </c>
      <c r="F2518" t="s">
        <v>2267</v>
      </c>
      <c r="G2518" t="s">
        <v>2296</v>
      </c>
      <c r="H2518" t="n">
        <v>38.8938886497594</v>
      </c>
      <c r="I2518" t="n">
        <v>-104.830909853737</v>
      </c>
      <c r="J2518" t="s">
        <v>35</v>
      </c>
      <c r="K2518" t="s">
        <v>70</v>
      </c>
      <c r="L2518"/>
      <c r="M2518" t="n">
        <v>1973</v>
      </c>
      <c r="N2518" t="n">
        <v>1988</v>
      </c>
      <c r="O2518" t="s">
        <v>1668</v>
      </c>
      <c r="P2518" t="n">
        <v>6</v>
      </c>
      <c r="Q2518" t="n">
        <v>2</v>
      </c>
      <c r="R2518" t="n">
        <v>1</v>
      </c>
      <c r="S2518" t="n">
        <v>1967</v>
      </c>
      <c r="T2518" t="s">
        <v>16478</v>
      </c>
      <c r="U2518" t="s">
        <v>16479</v>
      </c>
      <c r="V2518" t="s">
        <v>74</v>
      </c>
      <c r="W2518"/>
      <c r="X2518"/>
      <c r="Y2518" t="s">
        <v>16480</v>
      </c>
      <c r="Z2518"/>
      <c r="AA2518"/>
      <c r="AB2518" t="s">
        <v>9517</v>
      </c>
      <c r="AC2518" t="n">
        <v>243</v>
      </c>
      <c r="AD2518"/>
      <c r="AE2518"/>
      <c r="AF2518" t="s">
        <v>16481</v>
      </c>
      <c r="AG2518" t="n">
        <v>127</v>
      </c>
    </row>
    <row r="2519">
      <c r="A2519" t="s">
        <v>16482</v>
      </c>
      <c r="B2519" t="s">
        <v>28</v>
      </c>
      <c r="C2519" t="s">
        <v>24</v>
      </c>
      <c r="D2519" t="s">
        <v>16483</v>
      </c>
      <c r="E2519" t="s">
        <v>2272</v>
      </c>
      <c r="F2519" t="s">
        <v>2267</v>
      </c>
      <c r="G2519"/>
      <c r="H2519" t="n">
        <v>38.879972</v>
      </c>
      <c r="I2519" t="n">
        <v>-104.8209</v>
      </c>
      <c r="J2519" t="s">
        <v>4109</v>
      </c>
      <c r="K2519" t="s">
        <v>141</v>
      </c>
      <c r="L2519"/>
      <c r="M2519" t="n">
        <v>1973</v>
      </c>
      <c r="N2519" t="n">
        <v>1973</v>
      </c>
      <c r="O2519" t="s">
        <v>121</v>
      </c>
      <c r="P2519" t="n">
        <v>1</v>
      </c>
      <c r="Q2519" t="n">
        <v>1</v>
      </c>
      <c r="R2519" t="n">
        <v>1</v>
      </c>
      <c r="S2519" t="n">
        <v>1968</v>
      </c>
      <c r="T2519" t="s">
        <v>16484</v>
      </c>
      <c r="U2519" t="s">
        <v>16485</v>
      </c>
      <c r="V2519" t="s">
        <v>74</v>
      </c>
      <c r="W2519"/>
      <c r="X2519"/>
      <c r="Y2519" t="s">
        <v>16486</v>
      </c>
      <c r="Z2519" t="s">
        <v>16487</v>
      </c>
      <c r="AA2519" t="s">
        <v>16488</v>
      </c>
      <c r="AB2519"/>
      <c r="AC2519"/>
      <c r="AD2519"/>
      <c r="AE2519"/>
      <c r="AF2519" t="s">
        <v>16448</v>
      </c>
      <c r="AG2519" t="n">
        <v>79</v>
      </c>
    </row>
    <row r="2520">
      <c r="A2520" t="s">
        <v>16489</v>
      </c>
      <c r="B2520" t="s">
        <v>28</v>
      </c>
      <c r="C2520" t="s">
        <v>65</v>
      </c>
      <c r="D2520" t="s">
        <v>16490</v>
      </c>
      <c r="E2520" t="s">
        <v>2272</v>
      </c>
      <c r="F2520" t="s">
        <v>2267</v>
      </c>
      <c r="G2520" t="s">
        <v>2289</v>
      </c>
      <c r="H2520" t="n">
        <v>38.8263396938776</v>
      </c>
      <c r="I2520" t="n">
        <v>-104.820239979592</v>
      </c>
      <c r="J2520" t="s">
        <v>35</v>
      </c>
      <c r="K2520" t="s">
        <v>70</v>
      </c>
      <c r="L2520"/>
      <c r="M2520" t="n">
        <v>1973</v>
      </c>
      <c r="N2520" t="n">
        <v>1990</v>
      </c>
      <c r="O2520" t="s">
        <v>264</v>
      </c>
      <c r="P2520" t="n">
        <v>7</v>
      </c>
      <c r="Q2520" t="n">
        <v>5</v>
      </c>
      <c r="R2520" t="n">
        <v>1</v>
      </c>
      <c r="S2520" t="n">
        <v>1968</v>
      </c>
      <c r="T2520" t="s">
        <v>16491</v>
      </c>
      <c r="U2520" t="s">
        <v>16492</v>
      </c>
      <c r="V2520" t="s">
        <v>74</v>
      </c>
      <c r="W2520"/>
      <c r="X2520"/>
      <c r="Y2520" t="s">
        <v>16493</v>
      </c>
      <c r="Z2520"/>
      <c r="AA2520" t="s">
        <v>16494</v>
      </c>
      <c r="AB2520" t="s">
        <v>2335</v>
      </c>
      <c r="AC2520" t="n">
        <v>206</v>
      </c>
      <c r="AD2520"/>
      <c r="AE2520"/>
      <c r="AF2520" t="s">
        <v>16495</v>
      </c>
      <c r="AG2520" t="n">
        <v>22</v>
      </c>
    </row>
    <row r="2521">
      <c r="A2521" t="s">
        <v>16496</v>
      </c>
      <c r="B2521" t="s">
        <v>28</v>
      </c>
      <c r="C2521" t="s">
        <v>65</v>
      </c>
      <c r="D2521" t="s">
        <v>16497</v>
      </c>
      <c r="E2521" t="s">
        <v>2272</v>
      </c>
      <c r="F2521" t="s">
        <v>2267</v>
      </c>
      <c r="G2521" t="s">
        <v>2273</v>
      </c>
      <c r="H2521" t="n">
        <v>38.7935331337439</v>
      </c>
      <c r="I2521" t="n">
        <v>-104.774240924133</v>
      </c>
      <c r="J2521" t="s">
        <v>35</v>
      </c>
      <c r="K2521" t="s">
        <v>133</v>
      </c>
      <c r="L2521"/>
      <c r="M2521" t="n">
        <v>1973</v>
      </c>
      <c r="N2521" t="n">
        <v>1973</v>
      </c>
      <c r="O2521" t="s">
        <v>121</v>
      </c>
      <c r="P2521" t="n">
        <v>1</v>
      </c>
      <c r="Q2521" t="n">
        <v>1</v>
      </c>
      <c r="R2521" t="n">
        <v>1</v>
      </c>
      <c r="S2521" t="n">
        <v>1967</v>
      </c>
      <c r="T2521" t="s">
        <v>16498</v>
      </c>
      <c r="U2521" t="s">
        <v>16499</v>
      </c>
      <c r="V2521" t="s">
        <v>74</v>
      </c>
      <c r="W2521"/>
      <c r="X2521"/>
      <c r="Y2521" t="s">
        <v>16500</v>
      </c>
      <c r="Z2521"/>
      <c r="AA2521" t="s">
        <v>16501</v>
      </c>
      <c r="AB2521"/>
      <c r="AC2521"/>
      <c r="AD2521" t="s">
        <v>16502</v>
      </c>
      <c r="AE2521" t="n">
        <v>215</v>
      </c>
      <c r="AF2521" t="s">
        <v>16503</v>
      </c>
      <c r="AG2521" t="n">
        <v>2</v>
      </c>
    </row>
    <row r="2522">
      <c r="A2522" t="s">
        <v>16504</v>
      </c>
      <c r="B2522" t="s">
        <v>28</v>
      </c>
      <c r="C2522" t="s">
        <v>65</v>
      </c>
      <c r="D2522" t="s">
        <v>16505</v>
      </c>
      <c r="E2522" t="s">
        <v>2272</v>
      </c>
      <c r="F2522" t="s">
        <v>2267</v>
      </c>
      <c r="G2522" t="s">
        <v>2296</v>
      </c>
      <c r="H2522" t="n">
        <v>38.86450411206</v>
      </c>
      <c r="I2522" t="n">
        <v>-104.816528159887</v>
      </c>
      <c r="J2522" t="s">
        <v>35</v>
      </c>
      <c r="K2522" t="s">
        <v>133</v>
      </c>
      <c r="L2522"/>
      <c r="M2522" t="n">
        <v>1973</v>
      </c>
      <c r="N2522" t="n">
        <v>1974</v>
      </c>
      <c r="O2522" t="s">
        <v>127</v>
      </c>
      <c r="P2522" t="n">
        <v>2</v>
      </c>
      <c r="Q2522" t="n">
        <v>1</v>
      </c>
      <c r="R2522" t="n">
        <v>1</v>
      </c>
      <c r="S2522" t="n">
        <v>1945</v>
      </c>
      <c r="T2522" t="s">
        <v>16506</v>
      </c>
      <c r="U2522" t="s">
        <v>16507</v>
      </c>
      <c r="V2522" t="s">
        <v>74</v>
      </c>
      <c r="W2522"/>
      <c r="X2522"/>
      <c r="Y2522" t="s">
        <v>16508</v>
      </c>
      <c r="Z2522"/>
      <c r="AA2522" t="s">
        <v>16509</v>
      </c>
      <c r="AB2522"/>
      <c r="AC2522"/>
      <c r="AD2522"/>
      <c r="AE2522"/>
      <c r="AF2522" t="s">
        <v>16510</v>
      </c>
      <c r="AG2522" t="n">
        <v>15</v>
      </c>
    </row>
    <row r="2523">
      <c r="A2523" t="s">
        <v>16511</v>
      </c>
      <c r="B2523" t="s">
        <v>28</v>
      </c>
      <c r="C2523" t="s">
        <v>65</v>
      </c>
      <c r="D2523" t="s">
        <v>16512</v>
      </c>
      <c r="E2523" t="s">
        <v>2272</v>
      </c>
      <c r="F2523" t="s">
        <v>2267</v>
      </c>
      <c r="G2523" t="s">
        <v>2296</v>
      </c>
      <c r="H2523" t="n">
        <v>38.8742701835934</v>
      </c>
      <c r="I2523" t="n">
        <v>-104.811112480445</v>
      </c>
      <c r="J2523" t="s">
        <v>35</v>
      </c>
      <c r="K2523" t="s">
        <v>141</v>
      </c>
      <c r="L2523"/>
      <c r="M2523" t="n">
        <v>1973</v>
      </c>
      <c r="N2523" t="n">
        <v>1990</v>
      </c>
      <c r="O2523" t="s">
        <v>16513</v>
      </c>
      <c r="P2523" t="n">
        <v>7</v>
      </c>
      <c r="Q2523" t="n">
        <v>6</v>
      </c>
      <c r="R2523" t="n">
        <v>4</v>
      </c>
      <c r="S2523" t="n">
        <v>1951</v>
      </c>
      <c r="T2523" t="s">
        <v>16514</v>
      </c>
      <c r="U2523" t="s">
        <v>16515</v>
      </c>
      <c r="V2523" t="s">
        <v>74</v>
      </c>
      <c r="W2523"/>
      <c r="X2523"/>
      <c r="Y2523" t="s">
        <v>16516</v>
      </c>
      <c r="Z2523"/>
      <c r="AA2523" t="s">
        <v>16517</v>
      </c>
      <c r="AB2523"/>
      <c r="AC2523"/>
      <c r="AD2523" t="s">
        <v>9350</v>
      </c>
      <c r="AE2523" t="n">
        <v>195</v>
      </c>
      <c r="AF2523" t="s">
        <v>16518</v>
      </c>
      <c r="AG2523" t="n">
        <v>7</v>
      </c>
    </row>
    <row r="2524">
      <c r="A2524" t="s">
        <v>16519</v>
      </c>
      <c r="B2524" t="s">
        <v>28</v>
      </c>
      <c r="C2524" t="s">
        <v>65</v>
      </c>
      <c r="D2524" t="s">
        <v>16520</v>
      </c>
      <c r="E2524" t="s">
        <v>2272</v>
      </c>
      <c r="F2524" t="s">
        <v>2267</v>
      </c>
      <c r="G2524" t="s">
        <v>2423</v>
      </c>
      <c r="H2524" t="n">
        <v>38.7940448893745</v>
      </c>
      <c r="I2524" t="n">
        <v>-104.775522928902</v>
      </c>
      <c r="J2524" t="s">
        <v>35</v>
      </c>
      <c r="K2524" t="s">
        <v>16521</v>
      </c>
      <c r="L2524" t="s">
        <v>202</v>
      </c>
      <c r="M2524" t="n">
        <v>1973</v>
      </c>
      <c r="N2524" t="n">
        <v>1990</v>
      </c>
      <c r="O2524" t="s">
        <v>11514</v>
      </c>
      <c r="P2524" t="n">
        <v>6</v>
      </c>
      <c r="Q2524" t="n">
        <v>9</v>
      </c>
      <c r="R2524" t="n">
        <v>3</v>
      </c>
      <c r="S2524" t="n">
        <v>1963</v>
      </c>
      <c r="T2524" t="s">
        <v>16522</v>
      </c>
      <c r="U2524" t="s">
        <v>16523</v>
      </c>
      <c r="V2524" t="s">
        <v>74</v>
      </c>
      <c r="W2524"/>
      <c r="X2524"/>
      <c r="Y2524" t="s">
        <v>16524</v>
      </c>
      <c r="Z2524"/>
      <c r="AA2524" t="s">
        <v>16525</v>
      </c>
      <c r="AB2524"/>
      <c r="AC2524"/>
      <c r="AD2524"/>
      <c r="AE2524"/>
      <c r="AF2524" t="s">
        <v>16526</v>
      </c>
      <c r="AG2524" t="n">
        <v>1</v>
      </c>
    </row>
    <row r="2525">
      <c r="A2525" t="s">
        <v>16527</v>
      </c>
      <c r="B2525" t="s">
        <v>28</v>
      </c>
      <c r="C2525" t="s">
        <v>65</v>
      </c>
      <c r="D2525" t="s">
        <v>16528</v>
      </c>
      <c r="E2525" t="s">
        <v>2272</v>
      </c>
      <c r="F2525" t="s">
        <v>2267</v>
      </c>
      <c r="G2525" t="s">
        <v>2282</v>
      </c>
      <c r="H2525" t="n">
        <v>38.8302794733218</v>
      </c>
      <c r="I2525" t="n">
        <v>-104.842678032924</v>
      </c>
      <c r="J2525" t="s">
        <v>35</v>
      </c>
      <c r="K2525" t="s">
        <v>141</v>
      </c>
      <c r="L2525"/>
      <c r="M2525" t="n">
        <v>1973</v>
      </c>
      <c r="N2525" t="n">
        <v>1988</v>
      </c>
      <c r="O2525" t="s">
        <v>16529</v>
      </c>
      <c r="P2525" t="n">
        <v>4</v>
      </c>
      <c r="Q2525" t="n">
        <v>1</v>
      </c>
      <c r="R2525" t="n">
        <v>1</v>
      </c>
      <c r="S2525" t="n">
        <v>1954</v>
      </c>
      <c r="T2525" t="s">
        <v>16530</v>
      </c>
      <c r="U2525" t="s">
        <v>16531</v>
      </c>
      <c r="V2525" t="s">
        <v>74</v>
      </c>
      <c r="W2525"/>
      <c r="X2525"/>
      <c r="Y2525" t="s">
        <v>16532</v>
      </c>
      <c r="Z2525"/>
      <c r="AA2525" t="s">
        <v>16533</v>
      </c>
      <c r="AB2525"/>
      <c r="AC2525"/>
      <c r="AD2525"/>
      <c r="AE2525"/>
      <c r="AF2525" t="s">
        <v>16534</v>
      </c>
      <c r="AG2525" t="n">
        <v>11</v>
      </c>
    </row>
    <row r="2526">
      <c r="A2526" t="s">
        <v>16535</v>
      </c>
      <c r="B2526" t="s">
        <v>28</v>
      </c>
      <c r="C2526" t="s">
        <v>65</v>
      </c>
      <c r="D2526" t="s">
        <v>16536</v>
      </c>
      <c r="E2526" t="s">
        <v>2272</v>
      </c>
      <c r="F2526" t="s">
        <v>2267</v>
      </c>
      <c r="G2526" t="s">
        <v>16537</v>
      </c>
      <c r="H2526" t="n">
        <v>38.846618105281</v>
      </c>
      <c r="I2526" t="n">
        <v>-104.711862921602</v>
      </c>
      <c r="J2526" t="s">
        <v>35</v>
      </c>
      <c r="K2526" t="s">
        <v>70</v>
      </c>
      <c r="L2526"/>
      <c r="M2526" t="n">
        <v>1974</v>
      </c>
      <c r="N2526" t="n">
        <v>1983</v>
      </c>
      <c r="O2526" t="s">
        <v>528</v>
      </c>
      <c r="P2526" t="n">
        <v>3</v>
      </c>
      <c r="Q2526" t="n">
        <v>2</v>
      </c>
      <c r="R2526" t="n">
        <v>1</v>
      </c>
      <c r="S2526" t="n">
        <v>1970</v>
      </c>
      <c r="T2526" t="s">
        <v>16538</v>
      </c>
      <c r="U2526" t="s">
        <v>16539</v>
      </c>
      <c r="V2526" t="s">
        <v>74</v>
      </c>
      <c r="W2526"/>
      <c r="X2526"/>
      <c r="Y2526" t="s">
        <v>16540</v>
      </c>
      <c r="Z2526"/>
      <c r="AA2526" t="s">
        <v>16541</v>
      </c>
      <c r="AB2526"/>
      <c r="AC2526"/>
      <c r="AD2526" t="s">
        <v>16542</v>
      </c>
      <c r="AE2526" t="n">
        <v>218</v>
      </c>
      <c r="AF2526" t="s">
        <v>16543</v>
      </c>
      <c r="AG2526" t="n">
        <v>9</v>
      </c>
    </row>
    <row r="2527">
      <c r="A2527" t="s">
        <v>16544</v>
      </c>
      <c r="B2527" t="s">
        <v>28</v>
      </c>
      <c r="C2527" t="s">
        <v>65</v>
      </c>
      <c r="D2527" t="s">
        <v>16545</v>
      </c>
      <c r="E2527" t="s">
        <v>2272</v>
      </c>
      <c r="F2527" t="s">
        <v>2267</v>
      </c>
      <c r="G2527" t="s">
        <v>2273</v>
      </c>
      <c r="H2527" t="n">
        <v>38.838600796829</v>
      </c>
      <c r="I2527" t="n">
        <v>-104.774552319077</v>
      </c>
      <c r="J2527" t="s">
        <v>35</v>
      </c>
      <c r="K2527" t="s">
        <v>133</v>
      </c>
      <c r="L2527"/>
      <c r="M2527" t="n">
        <v>1974</v>
      </c>
      <c r="N2527" t="n">
        <v>1974</v>
      </c>
      <c r="O2527" t="s">
        <v>210</v>
      </c>
      <c r="P2527" t="n">
        <v>1</v>
      </c>
      <c r="Q2527" t="n">
        <v>1</v>
      </c>
      <c r="R2527" t="n">
        <v>1</v>
      </c>
      <c r="S2527" t="n">
        <v>1965</v>
      </c>
      <c r="T2527" t="s">
        <v>16546</v>
      </c>
      <c r="U2527" t="s">
        <v>16547</v>
      </c>
      <c r="V2527" t="s">
        <v>74</v>
      </c>
      <c r="W2527"/>
      <c r="X2527"/>
      <c r="Y2527" t="s">
        <v>16548</v>
      </c>
      <c r="Z2527"/>
      <c r="AA2527" t="s">
        <v>16549</v>
      </c>
      <c r="AB2527"/>
      <c r="AC2527"/>
      <c r="AD2527"/>
      <c r="AE2527"/>
      <c r="AF2527" t="s">
        <v>16550</v>
      </c>
      <c r="AG2527" t="n">
        <v>9</v>
      </c>
    </row>
    <row r="2528">
      <c r="A2528" t="s">
        <v>16551</v>
      </c>
      <c r="B2528" t="s">
        <v>28</v>
      </c>
      <c r="C2528" t="s">
        <v>24</v>
      </c>
      <c r="D2528" t="s">
        <v>16552</v>
      </c>
      <c r="E2528" t="s">
        <v>2272</v>
      </c>
      <c r="F2528" t="s">
        <v>2267</v>
      </c>
      <c r="G2528" t="s">
        <v>2475</v>
      </c>
      <c r="H2528" t="n">
        <v>38.8200486666667</v>
      </c>
      <c r="I2528" t="n">
        <v>-104.830223333333</v>
      </c>
      <c r="J2528" t="s">
        <v>4109</v>
      </c>
      <c r="K2528" t="s">
        <v>120</v>
      </c>
      <c r="L2528"/>
      <c r="M2528" t="n">
        <v>1974</v>
      </c>
      <c r="N2528" t="n">
        <v>1974</v>
      </c>
      <c r="O2528" t="s">
        <v>210</v>
      </c>
      <c r="P2528" t="n">
        <v>1</v>
      </c>
      <c r="Q2528" t="n">
        <v>1</v>
      </c>
      <c r="R2528" t="n">
        <v>1</v>
      </c>
      <c r="S2528" t="n">
        <v>1970</v>
      </c>
      <c r="T2528" t="s">
        <v>16553</v>
      </c>
      <c r="U2528" t="s">
        <v>16554</v>
      </c>
      <c r="V2528" t="s">
        <v>74</v>
      </c>
      <c r="W2528"/>
      <c r="X2528"/>
      <c r="Y2528" t="s">
        <v>16555</v>
      </c>
      <c r="Z2528"/>
      <c r="AA2528" t="s">
        <v>16556</v>
      </c>
      <c r="AB2528"/>
      <c r="AC2528"/>
      <c r="AD2528"/>
      <c r="AE2528"/>
      <c r="AF2528" t="s">
        <v>16475</v>
      </c>
      <c r="AG2528" t="n">
        <v>68</v>
      </c>
    </row>
    <row r="2529">
      <c r="A2529" t="s">
        <v>16557</v>
      </c>
      <c r="B2529" t="s">
        <v>28</v>
      </c>
      <c r="C2529" t="s">
        <v>65</v>
      </c>
      <c r="D2529" t="s">
        <v>16558</v>
      </c>
      <c r="E2529" t="s">
        <v>2272</v>
      </c>
      <c r="F2529" t="s">
        <v>2267</v>
      </c>
      <c r="G2529" t="s">
        <v>2273</v>
      </c>
      <c r="H2529" t="n">
        <v>38.8362651846714</v>
      </c>
      <c r="I2529" t="n">
        <v>-104.774553320669</v>
      </c>
      <c r="J2529" t="s">
        <v>35</v>
      </c>
      <c r="K2529" t="s">
        <v>120</v>
      </c>
      <c r="L2529"/>
      <c r="M2529" t="n">
        <v>1974</v>
      </c>
      <c r="N2529" t="n">
        <v>1977</v>
      </c>
      <c r="O2529" t="s">
        <v>210</v>
      </c>
      <c r="P2529" t="n">
        <v>2</v>
      </c>
      <c r="Q2529" t="n">
        <v>1</v>
      </c>
      <c r="R2529" t="n">
        <v>1</v>
      </c>
      <c r="S2529" t="n">
        <v>1956</v>
      </c>
      <c r="T2529" t="s">
        <v>16559</v>
      </c>
      <c r="U2529" t="s">
        <v>16560</v>
      </c>
      <c r="V2529" t="s">
        <v>74</v>
      </c>
      <c r="W2529"/>
      <c r="X2529"/>
      <c r="Y2529" t="s">
        <v>16561</v>
      </c>
      <c r="Z2529"/>
      <c r="AA2529"/>
      <c r="AB2529"/>
      <c r="AC2529"/>
      <c r="AD2529"/>
      <c r="AE2529"/>
      <c r="AF2529" t="s">
        <v>16562</v>
      </c>
      <c r="AG2529" t="n">
        <v>42</v>
      </c>
    </row>
    <row r="2530">
      <c r="A2530" t="s">
        <v>16563</v>
      </c>
      <c r="B2530" t="s">
        <v>28</v>
      </c>
      <c r="C2530" t="s">
        <v>25</v>
      </c>
      <c r="D2530" t="s">
        <v>16564</v>
      </c>
      <c r="E2530" t="s">
        <v>2272</v>
      </c>
      <c r="F2530" t="s">
        <v>2267</v>
      </c>
      <c r="G2530" t="s">
        <v>2273</v>
      </c>
      <c r="H2530" t="n">
        <v>38.8368115438364</v>
      </c>
      <c r="I2530" t="n">
        <v>-104.782272792764</v>
      </c>
      <c r="J2530" t="s">
        <v>4109</v>
      </c>
      <c r="K2530" t="s">
        <v>133</v>
      </c>
      <c r="L2530"/>
      <c r="M2530" t="n">
        <v>1974</v>
      </c>
      <c r="N2530" t="n">
        <v>1974</v>
      </c>
      <c r="O2530" t="s">
        <v>210</v>
      </c>
      <c r="P2530" t="n">
        <v>1</v>
      </c>
      <c r="Q2530" t="n">
        <v>1</v>
      </c>
      <c r="R2530" t="n">
        <v>1</v>
      </c>
      <c r="S2530" t="n">
        <v>1954</v>
      </c>
      <c r="T2530" t="s">
        <v>16565</v>
      </c>
      <c r="U2530" t="s">
        <v>16566</v>
      </c>
      <c r="V2530" t="s">
        <v>4175</v>
      </c>
      <c r="W2530"/>
      <c r="X2530"/>
      <c r="Y2530" t="s">
        <v>16567</v>
      </c>
      <c r="Z2530"/>
      <c r="AA2530" t="s">
        <v>16568</v>
      </c>
      <c r="AB2530"/>
      <c r="AC2530"/>
      <c r="AD2530"/>
      <c r="AE2530"/>
      <c r="AF2530" t="s">
        <v>16569</v>
      </c>
      <c r="AG2530" t="n">
        <v>4</v>
      </c>
    </row>
    <row r="2531">
      <c r="A2531" t="s">
        <v>16570</v>
      </c>
      <c r="B2531" t="s">
        <v>28</v>
      </c>
      <c r="C2531" t="s">
        <v>65</v>
      </c>
      <c r="D2531" t="s">
        <v>16571</v>
      </c>
      <c r="E2531" t="s">
        <v>2272</v>
      </c>
      <c r="F2531" t="s">
        <v>2267</v>
      </c>
      <c r="G2531" t="s">
        <v>2282</v>
      </c>
      <c r="H2531" t="n">
        <v>38.8314253142505</v>
      </c>
      <c r="I2531" t="n">
        <v>-104.843757836191</v>
      </c>
      <c r="J2531" t="s">
        <v>35</v>
      </c>
      <c r="K2531" t="s">
        <v>133</v>
      </c>
      <c r="L2531"/>
      <c r="M2531" t="n">
        <v>1974</v>
      </c>
      <c r="N2531" t="n">
        <v>1977</v>
      </c>
      <c r="O2531" t="s">
        <v>1830</v>
      </c>
      <c r="P2531" t="n">
        <v>2</v>
      </c>
      <c r="Q2531" t="n">
        <v>2</v>
      </c>
      <c r="R2531" t="n">
        <v>2</v>
      </c>
      <c r="S2531" t="n">
        <v>1972</v>
      </c>
      <c r="T2531" t="s">
        <v>16572</v>
      </c>
      <c r="U2531" t="s">
        <v>16573</v>
      </c>
      <c r="V2531" t="s">
        <v>74</v>
      </c>
      <c r="W2531"/>
      <c r="X2531"/>
      <c r="Y2531" t="s">
        <v>16574</v>
      </c>
      <c r="Z2531"/>
      <c r="AA2531"/>
      <c r="AB2531" t="s">
        <v>16575</v>
      </c>
      <c r="AC2531" t="n">
        <v>185</v>
      </c>
      <c r="AD2531"/>
      <c r="AE2531"/>
      <c r="AF2531" t="s">
        <v>16576</v>
      </c>
      <c r="AG2531" t="n">
        <v>8</v>
      </c>
    </row>
    <row r="2532">
      <c r="A2532" t="s">
        <v>16577</v>
      </c>
      <c r="B2532" t="s">
        <v>28</v>
      </c>
      <c r="C2532" t="s">
        <v>65</v>
      </c>
      <c r="D2532" t="s">
        <v>16578</v>
      </c>
      <c r="E2532" t="s">
        <v>2272</v>
      </c>
      <c r="F2532" t="s">
        <v>2267</v>
      </c>
      <c r="G2532" t="s">
        <v>2326</v>
      </c>
      <c r="H2532" t="n">
        <v>38.8499378084236</v>
      </c>
      <c r="I2532" t="n">
        <v>-104.867180461469</v>
      </c>
      <c r="J2532" t="s">
        <v>35</v>
      </c>
      <c r="K2532" t="s">
        <v>133</v>
      </c>
      <c r="L2532"/>
      <c r="M2532" t="n">
        <v>1977</v>
      </c>
      <c r="N2532" t="n">
        <v>1990</v>
      </c>
      <c r="O2532" t="s">
        <v>325</v>
      </c>
      <c r="P2532" t="n">
        <v>4</v>
      </c>
      <c r="Q2532" t="n">
        <v>3</v>
      </c>
      <c r="R2532" t="n">
        <v>1</v>
      </c>
      <c r="S2532" t="n">
        <v>1954</v>
      </c>
      <c r="T2532" t="s">
        <v>16579</v>
      </c>
      <c r="U2532" t="s">
        <v>16580</v>
      </c>
      <c r="V2532" t="s">
        <v>74</v>
      </c>
      <c r="W2532"/>
      <c r="X2532"/>
      <c r="Y2532" t="s">
        <v>16581</v>
      </c>
      <c r="Z2532"/>
      <c r="AA2532"/>
      <c r="AB2532"/>
      <c r="AC2532"/>
      <c r="AD2532"/>
      <c r="AE2532"/>
      <c r="AF2532" t="s">
        <v>16582</v>
      </c>
      <c r="AG2532" t="n">
        <v>11</v>
      </c>
    </row>
    <row r="2533">
      <c r="A2533" t="s">
        <v>16583</v>
      </c>
      <c r="B2533" t="s">
        <v>28</v>
      </c>
      <c r="C2533" t="s">
        <v>65</v>
      </c>
      <c r="D2533" t="s">
        <v>16584</v>
      </c>
      <c r="E2533" t="s">
        <v>2272</v>
      </c>
      <c r="F2533" t="s">
        <v>2267</v>
      </c>
      <c r="G2533" t="s">
        <v>2423</v>
      </c>
      <c r="H2533" t="n">
        <v>38.7945775197548</v>
      </c>
      <c r="I2533" t="n">
        <v>-104.773378503505</v>
      </c>
      <c r="J2533" t="s">
        <v>35</v>
      </c>
      <c r="K2533" t="s">
        <v>89</v>
      </c>
      <c r="L2533" t="s">
        <v>1002</v>
      </c>
      <c r="M2533" t="n">
        <v>1977</v>
      </c>
      <c r="N2533" t="n">
        <v>1990</v>
      </c>
      <c r="O2533" t="s">
        <v>555</v>
      </c>
      <c r="P2533" t="n">
        <v>5</v>
      </c>
      <c r="Q2533" t="n">
        <v>7</v>
      </c>
      <c r="R2533" t="n">
        <v>2</v>
      </c>
      <c r="S2533" t="n">
        <v>1973</v>
      </c>
      <c r="T2533" t="s">
        <v>16585</v>
      </c>
      <c r="U2533" t="s">
        <v>16586</v>
      </c>
      <c r="V2533" t="s">
        <v>74</v>
      </c>
      <c r="W2533"/>
      <c r="X2533"/>
      <c r="Y2533" t="s">
        <v>16587</v>
      </c>
      <c r="Z2533" t="s">
        <v>16588</v>
      </c>
      <c r="AA2533" t="s">
        <v>16589</v>
      </c>
      <c r="AB2533"/>
      <c r="AC2533"/>
      <c r="AD2533"/>
      <c r="AE2533"/>
      <c r="AF2533" t="s">
        <v>16503</v>
      </c>
      <c r="AG2533" t="n">
        <v>10</v>
      </c>
    </row>
    <row r="2534">
      <c r="A2534" t="s">
        <v>16590</v>
      </c>
      <c r="B2534" t="s">
        <v>28</v>
      </c>
      <c r="C2534" t="s">
        <v>65</v>
      </c>
      <c r="D2534" t="s">
        <v>16591</v>
      </c>
      <c r="E2534" t="s">
        <v>2272</v>
      </c>
      <c r="F2534" t="s">
        <v>2267</v>
      </c>
      <c r="G2534" t="s">
        <v>2423</v>
      </c>
      <c r="H2534" t="n">
        <v>38.7953007697606</v>
      </c>
      <c r="I2534" t="n">
        <v>-104.77684910894</v>
      </c>
      <c r="J2534" t="s">
        <v>35</v>
      </c>
      <c r="K2534" t="s">
        <v>141</v>
      </c>
      <c r="L2534"/>
      <c r="M2534" t="n">
        <v>1977</v>
      </c>
      <c r="N2534" t="n">
        <v>1992</v>
      </c>
      <c r="O2534" t="s">
        <v>521</v>
      </c>
      <c r="P2534" t="n">
        <v>6</v>
      </c>
      <c r="Q2534" t="n">
        <v>4</v>
      </c>
      <c r="R2534" t="n">
        <v>4</v>
      </c>
      <c r="S2534" t="n">
        <v>1964</v>
      </c>
      <c r="T2534" t="s">
        <v>16592</v>
      </c>
      <c r="U2534" t="s">
        <v>16593</v>
      </c>
      <c r="V2534" t="s">
        <v>74</v>
      </c>
      <c r="W2534"/>
      <c r="X2534"/>
      <c r="Y2534" t="s">
        <v>16594</v>
      </c>
      <c r="Z2534"/>
      <c r="AA2534"/>
      <c r="AB2534" t="s">
        <v>16595</v>
      </c>
      <c r="AC2534" t="n">
        <v>103</v>
      </c>
      <c r="AD2534"/>
      <c r="AE2534"/>
      <c r="AF2534" t="s">
        <v>16596</v>
      </c>
      <c r="AG2534" t="n">
        <v>47</v>
      </c>
    </row>
    <row r="2535">
      <c r="A2535" t="s">
        <v>16597</v>
      </c>
      <c r="B2535" t="s">
        <v>28</v>
      </c>
      <c r="C2535" t="s">
        <v>65</v>
      </c>
      <c r="D2535" t="s">
        <v>16598</v>
      </c>
      <c r="E2535" t="s">
        <v>2272</v>
      </c>
      <c r="F2535" t="s">
        <v>2267</v>
      </c>
      <c r="G2535" t="s">
        <v>2296</v>
      </c>
      <c r="H2535" t="n">
        <v>38.8358869292929</v>
      </c>
      <c r="I2535" t="n">
        <v>-104.819723141414</v>
      </c>
      <c r="J2535" t="s">
        <v>35</v>
      </c>
      <c r="K2535" t="s">
        <v>141</v>
      </c>
      <c r="L2535"/>
      <c r="M2535" t="n">
        <v>1977</v>
      </c>
      <c r="N2535" t="n">
        <v>1977</v>
      </c>
      <c r="O2535" t="s">
        <v>228</v>
      </c>
      <c r="P2535" t="n">
        <v>1</v>
      </c>
      <c r="Q2535" t="n">
        <v>1</v>
      </c>
      <c r="R2535" t="n">
        <v>1</v>
      </c>
      <c r="S2535" t="n">
        <v>1947</v>
      </c>
      <c r="T2535" t="s">
        <v>16599</v>
      </c>
      <c r="U2535" t="s">
        <v>16600</v>
      </c>
      <c r="V2535" t="s">
        <v>74</v>
      </c>
      <c r="W2535"/>
      <c r="X2535"/>
      <c r="Y2535" t="s">
        <v>16601</v>
      </c>
      <c r="Z2535"/>
      <c r="AA2535"/>
      <c r="AB2535" t="s">
        <v>2305</v>
      </c>
      <c r="AC2535" t="n">
        <v>149</v>
      </c>
      <c r="AD2535"/>
      <c r="AE2535"/>
      <c r="AF2535" t="s">
        <v>16602</v>
      </c>
      <c r="AG2535" t="n">
        <v>4</v>
      </c>
    </row>
    <row r="2536">
      <c r="A2536" t="s">
        <v>16603</v>
      </c>
      <c r="B2536" t="s">
        <v>28</v>
      </c>
      <c r="C2536" t="s">
        <v>65</v>
      </c>
      <c r="D2536" t="s">
        <v>16604</v>
      </c>
      <c r="E2536" t="s">
        <v>2272</v>
      </c>
      <c r="F2536" t="s">
        <v>2267</v>
      </c>
      <c r="G2536" t="s">
        <v>2326</v>
      </c>
      <c r="H2536" t="n">
        <v>38.846723</v>
      </c>
      <c r="I2536" t="n">
        <v>-104.861907</v>
      </c>
      <c r="J2536" t="s">
        <v>35</v>
      </c>
      <c r="K2536" t="s">
        <v>70</v>
      </c>
      <c r="L2536"/>
      <c r="M2536" t="n">
        <v>1977</v>
      </c>
      <c r="N2536" t="n">
        <v>1992</v>
      </c>
      <c r="O2536" t="s">
        <v>521</v>
      </c>
      <c r="P2536" t="n">
        <v>6</v>
      </c>
      <c r="Q2536" t="n">
        <v>1</v>
      </c>
      <c r="R2536" t="n">
        <v>1</v>
      </c>
      <c r="S2536" t="n">
        <v>1971</v>
      </c>
      <c r="T2536" t="s">
        <v>16605</v>
      </c>
      <c r="U2536" t="s">
        <v>16606</v>
      </c>
      <c r="V2536" t="s">
        <v>74</v>
      </c>
      <c r="W2536"/>
      <c r="X2536"/>
      <c r="Y2536" t="s">
        <v>16607</v>
      </c>
      <c r="Z2536"/>
      <c r="AA2536"/>
      <c r="AB2536"/>
      <c r="AC2536"/>
      <c r="AD2536"/>
      <c r="AE2536"/>
      <c r="AF2536" t="s">
        <v>16608</v>
      </c>
      <c r="AG2536" t="n">
        <v>32</v>
      </c>
    </row>
    <row r="2537">
      <c r="A2537" t="s">
        <v>16609</v>
      </c>
      <c r="B2537" t="s">
        <v>28</v>
      </c>
      <c r="C2537" t="s">
        <v>65</v>
      </c>
      <c r="D2537" t="s">
        <v>16610</v>
      </c>
      <c r="E2537" t="s">
        <v>2272</v>
      </c>
      <c r="F2537" t="s">
        <v>2267</v>
      </c>
      <c r="G2537" t="s">
        <v>2423</v>
      </c>
      <c r="H2537" t="n">
        <v>38.7940507819714</v>
      </c>
      <c r="I2537" t="n">
        <v>-104.773501916981</v>
      </c>
      <c r="J2537" t="s">
        <v>35</v>
      </c>
      <c r="K2537" t="s">
        <v>133</v>
      </c>
      <c r="L2537"/>
      <c r="M2537" t="n">
        <v>1977</v>
      </c>
      <c r="N2537" t="n">
        <v>1980</v>
      </c>
      <c r="O2537" t="s">
        <v>1949</v>
      </c>
      <c r="P2537" t="n">
        <v>2</v>
      </c>
      <c r="Q2537" t="n">
        <v>2</v>
      </c>
      <c r="R2537" t="n">
        <v>1</v>
      </c>
      <c r="S2537" t="n">
        <v>1962</v>
      </c>
      <c r="T2537" t="s">
        <v>16611</v>
      </c>
      <c r="U2537" t="s">
        <v>16612</v>
      </c>
      <c r="V2537" t="s">
        <v>74</v>
      </c>
      <c r="W2537"/>
      <c r="X2537"/>
      <c r="Y2537" t="s">
        <v>16613</v>
      </c>
      <c r="Z2537"/>
      <c r="AA2537" t="s">
        <v>16614</v>
      </c>
      <c r="AB2537"/>
      <c r="AC2537"/>
      <c r="AD2537" t="s">
        <v>16502</v>
      </c>
      <c r="AE2537" t="n">
        <v>222</v>
      </c>
      <c r="AF2537" t="s">
        <v>16615</v>
      </c>
      <c r="AG2537" t="n">
        <v>27</v>
      </c>
    </row>
    <row r="2538">
      <c r="A2538" t="s">
        <v>16616</v>
      </c>
      <c r="B2538" t="s">
        <v>28</v>
      </c>
      <c r="C2538" t="s">
        <v>24</v>
      </c>
      <c r="D2538" t="s">
        <v>16617</v>
      </c>
      <c r="E2538" t="s">
        <v>2272</v>
      </c>
      <c r="F2538" t="s">
        <v>2267</v>
      </c>
      <c r="G2538" t="s">
        <v>2273</v>
      </c>
      <c r="H2538" t="n">
        <v>38.836601</v>
      </c>
      <c r="I2538" t="n">
        <v>-104.775903</v>
      </c>
      <c r="J2538" t="s">
        <v>4109</v>
      </c>
      <c r="K2538" t="s">
        <v>220</v>
      </c>
      <c r="L2538"/>
      <c r="M2538" t="n">
        <v>1980</v>
      </c>
      <c r="N2538" t="n">
        <v>1980</v>
      </c>
      <c r="O2538" t="s">
        <v>255</v>
      </c>
      <c r="P2538" t="n">
        <v>1</v>
      </c>
      <c r="Q2538" t="n">
        <v>1</v>
      </c>
      <c r="R2538" t="n">
        <v>1</v>
      </c>
      <c r="S2538" t="n">
        <v>1963</v>
      </c>
      <c r="T2538" t="s">
        <v>16618</v>
      </c>
      <c r="U2538" t="s">
        <v>16619</v>
      </c>
      <c r="V2538" t="s">
        <v>74</v>
      </c>
      <c r="W2538"/>
      <c r="X2538"/>
      <c r="Y2538" t="s">
        <v>16620</v>
      </c>
      <c r="Z2538"/>
      <c r="AA2538" t="s">
        <v>16621</v>
      </c>
      <c r="AB2538"/>
      <c r="AC2538"/>
      <c r="AD2538"/>
      <c r="AE2538"/>
      <c r="AF2538" t="s">
        <v>11783</v>
      </c>
      <c r="AG2538" t="n">
        <v>77</v>
      </c>
    </row>
    <row r="2539">
      <c r="A2539" t="s">
        <v>16622</v>
      </c>
      <c r="B2539" t="s">
        <v>28</v>
      </c>
      <c r="C2539" t="s">
        <v>24</v>
      </c>
      <c r="D2539" t="s">
        <v>16623</v>
      </c>
      <c r="E2539" t="s">
        <v>2272</v>
      </c>
      <c r="F2539" t="s">
        <v>2267</v>
      </c>
      <c r="G2539" t="s">
        <v>2475</v>
      </c>
      <c r="H2539" t="n">
        <v>38.8140170051872</v>
      </c>
      <c r="I2539" t="n">
        <v>-104.819004082432</v>
      </c>
      <c r="J2539" t="s">
        <v>4109</v>
      </c>
      <c r="K2539" t="s">
        <v>120</v>
      </c>
      <c r="L2539"/>
      <c r="M2539" t="n">
        <v>1980</v>
      </c>
      <c r="N2539" t="n">
        <v>1983</v>
      </c>
      <c r="O2539" t="s">
        <v>528</v>
      </c>
      <c r="P2539" t="n">
        <v>2</v>
      </c>
      <c r="Q2539" t="n">
        <v>1</v>
      </c>
      <c r="R2539" t="n">
        <v>1</v>
      </c>
      <c r="S2539" t="n">
        <v>1979</v>
      </c>
      <c r="T2539" t="s">
        <v>16624</v>
      </c>
      <c r="U2539" t="s">
        <v>16625</v>
      </c>
      <c r="V2539" t="s">
        <v>74</v>
      </c>
      <c r="W2539"/>
      <c r="X2539"/>
      <c r="Y2539" t="s">
        <v>16626</v>
      </c>
      <c r="Z2539"/>
      <c r="AA2539" t="s">
        <v>16627</v>
      </c>
      <c r="AB2539"/>
      <c r="AC2539"/>
      <c r="AD2539"/>
      <c r="AE2539"/>
      <c r="AF2539" t="s">
        <v>16628</v>
      </c>
      <c r="AG2539" t="n">
        <v>64</v>
      </c>
    </row>
    <row r="2540">
      <c r="A2540" t="s">
        <v>16629</v>
      </c>
      <c r="B2540" t="s">
        <v>28</v>
      </c>
      <c r="C2540" t="s">
        <v>24</v>
      </c>
      <c r="D2540" t="s">
        <v>16630</v>
      </c>
      <c r="E2540" t="s">
        <v>2272</v>
      </c>
      <c r="F2540" t="s">
        <v>2267</v>
      </c>
      <c r="G2540" t="s">
        <v>2296</v>
      </c>
      <c r="H2540" t="n">
        <v>38.8784492469514</v>
      </c>
      <c r="I2540" t="n">
        <v>-104.832219485263</v>
      </c>
      <c r="J2540" t="s">
        <v>4109</v>
      </c>
      <c r="K2540" t="s">
        <v>89</v>
      </c>
      <c r="L2540"/>
      <c r="M2540" t="n">
        <v>1980</v>
      </c>
      <c r="N2540" t="n">
        <v>1980</v>
      </c>
      <c r="O2540" t="s">
        <v>255</v>
      </c>
      <c r="P2540" t="n">
        <v>1</v>
      </c>
      <c r="Q2540" t="n">
        <v>1</v>
      </c>
      <c r="R2540" t="n">
        <v>1</v>
      </c>
      <c r="S2540" t="n">
        <v>1979</v>
      </c>
      <c r="T2540" t="s">
        <v>16631</v>
      </c>
      <c r="U2540" t="s">
        <v>16632</v>
      </c>
      <c r="V2540" t="s">
        <v>74</v>
      </c>
      <c r="W2540"/>
      <c r="X2540"/>
      <c r="Y2540" t="s">
        <v>16633</v>
      </c>
      <c r="Z2540"/>
      <c r="AA2540" t="s">
        <v>16634</v>
      </c>
      <c r="AB2540"/>
      <c r="AC2540"/>
      <c r="AD2540"/>
      <c r="AE2540"/>
      <c r="AF2540" t="s">
        <v>16635</v>
      </c>
      <c r="AG2540" t="n">
        <v>221</v>
      </c>
    </row>
    <row r="2541">
      <c r="A2541" t="s">
        <v>16636</v>
      </c>
      <c r="B2541" t="s">
        <v>28</v>
      </c>
      <c r="C2541" t="s">
        <v>24</v>
      </c>
      <c r="D2541" t="s">
        <v>16637</v>
      </c>
      <c r="E2541" t="s">
        <v>2272</v>
      </c>
      <c r="F2541" t="s">
        <v>2267</v>
      </c>
      <c r="G2541" t="s">
        <v>2475</v>
      </c>
      <c r="H2541" t="n">
        <v>38.806680244898</v>
      </c>
      <c r="I2541" t="n">
        <v>-104.806504889796</v>
      </c>
      <c r="J2541" t="s">
        <v>4109</v>
      </c>
      <c r="K2541" t="s">
        <v>141</v>
      </c>
      <c r="L2541" t="s">
        <v>1002</v>
      </c>
      <c r="M2541" t="n">
        <v>1980</v>
      </c>
      <c r="N2541" t="n">
        <v>1990</v>
      </c>
      <c r="O2541" t="s">
        <v>582</v>
      </c>
      <c r="P2541" t="n">
        <v>3</v>
      </c>
      <c r="Q2541" t="n">
        <v>3</v>
      </c>
      <c r="R2541" t="n">
        <v>3</v>
      </c>
      <c r="S2541" t="n">
        <v>1974</v>
      </c>
      <c r="T2541" t="s">
        <v>16638</v>
      </c>
      <c r="U2541" t="s">
        <v>16639</v>
      </c>
      <c r="V2541" t="s">
        <v>74</v>
      </c>
      <c r="W2541"/>
      <c r="X2541"/>
      <c r="Y2541" t="s">
        <v>16640</v>
      </c>
      <c r="Z2541"/>
      <c r="AA2541" t="s">
        <v>16641</v>
      </c>
      <c r="AB2541"/>
      <c r="AC2541"/>
      <c r="AD2541"/>
      <c r="AE2541"/>
      <c r="AF2541" t="s">
        <v>16642</v>
      </c>
      <c r="AG2541" t="n">
        <v>4</v>
      </c>
    </row>
    <row r="2542">
      <c r="A2542" t="s">
        <v>16643</v>
      </c>
      <c r="B2542" t="s">
        <v>28</v>
      </c>
      <c r="C2542" t="s">
        <v>65</v>
      </c>
      <c r="D2542" t="s">
        <v>16644</v>
      </c>
      <c r="E2542" t="s">
        <v>2272</v>
      </c>
      <c r="F2542" t="s">
        <v>2267</v>
      </c>
      <c r="G2542" t="s">
        <v>2296</v>
      </c>
      <c r="H2542" t="n">
        <v>38.9176294009318</v>
      </c>
      <c r="I2542" t="n">
        <v>-104.814705343262</v>
      </c>
      <c r="J2542" t="s">
        <v>35</v>
      </c>
      <c r="K2542" t="s">
        <v>70</v>
      </c>
      <c r="L2542"/>
      <c r="M2542" t="n">
        <v>1980</v>
      </c>
      <c r="N2542" t="n">
        <v>1980</v>
      </c>
      <c r="O2542" t="s">
        <v>255</v>
      </c>
      <c r="P2542" t="n">
        <v>1</v>
      </c>
      <c r="Q2542" t="n">
        <v>1</v>
      </c>
      <c r="R2542" t="n">
        <v>1</v>
      </c>
      <c r="S2542" t="n">
        <v>1977</v>
      </c>
      <c r="T2542" t="s">
        <v>16645</v>
      </c>
      <c r="U2542" t="s">
        <v>16646</v>
      </c>
      <c r="V2542" t="s">
        <v>74</v>
      </c>
      <c r="W2542"/>
      <c r="X2542"/>
      <c r="Y2542" t="s">
        <v>16647</v>
      </c>
      <c r="Z2542"/>
      <c r="AA2542"/>
      <c r="AB2542"/>
      <c r="AC2542"/>
      <c r="AD2542" t="s">
        <v>16648</v>
      </c>
      <c r="AE2542" t="n">
        <v>201</v>
      </c>
      <c r="AF2542" t="s">
        <v>16649</v>
      </c>
      <c r="AG2542" t="n">
        <v>21</v>
      </c>
    </row>
    <row r="2543">
      <c r="A2543" t="s">
        <v>16650</v>
      </c>
      <c r="B2543" t="s">
        <v>28</v>
      </c>
      <c r="C2543" t="s">
        <v>65</v>
      </c>
      <c r="D2543" t="s">
        <v>16651</v>
      </c>
      <c r="E2543" t="s">
        <v>2272</v>
      </c>
      <c r="F2543" t="s">
        <v>2267</v>
      </c>
      <c r="G2543" t="s">
        <v>2423</v>
      </c>
      <c r="H2543" t="n">
        <v>38.7943662644981</v>
      </c>
      <c r="I2543" t="n">
        <v>-104.775855037576</v>
      </c>
      <c r="J2543" t="s">
        <v>35</v>
      </c>
      <c r="K2543" t="s">
        <v>133</v>
      </c>
      <c r="L2543"/>
      <c r="M2543" t="n">
        <v>1980</v>
      </c>
      <c r="N2543" t="n">
        <v>1983</v>
      </c>
      <c r="O2543" t="s">
        <v>528</v>
      </c>
      <c r="P2543" t="n">
        <v>2</v>
      </c>
      <c r="Q2543" t="n">
        <v>1</v>
      </c>
      <c r="R2543" t="n">
        <v>1</v>
      </c>
      <c r="S2543" t="n">
        <v>1973</v>
      </c>
      <c r="T2543" t="s">
        <v>16652</v>
      </c>
      <c r="U2543" t="s">
        <v>16653</v>
      </c>
      <c r="V2543" t="s">
        <v>74</v>
      </c>
      <c r="W2543"/>
      <c r="X2543"/>
      <c r="Y2543" t="s">
        <v>16654</v>
      </c>
      <c r="Z2543"/>
      <c r="AA2543" t="s">
        <v>16655</v>
      </c>
      <c r="AB2543" t="s">
        <v>16595</v>
      </c>
      <c r="AC2543" t="n">
        <v>216</v>
      </c>
      <c r="AD2543"/>
      <c r="AE2543"/>
      <c r="AF2543" t="s">
        <v>16656</v>
      </c>
      <c r="AG2543" t="n">
        <v>9</v>
      </c>
    </row>
    <row r="2544">
      <c r="A2544" t="s">
        <v>16657</v>
      </c>
      <c r="B2544" t="s">
        <v>28</v>
      </c>
      <c r="C2544" t="s">
        <v>65</v>
      </c>
      <c r="D2544" t="s">
        <v>16658</v>
      </c>
      <c r="E2544" t="s">
        <v>2272</v>
      </c>
      <c r="F2544" t="s">
        <v>2267</v>
      </c>
      <c r="G2544" t="s">
        <v>4608</v>
      </c>
      <c r="H2544" t="n">
        <v>38.9007246868687</v>
      </c>
      <c r="I2544" t="n">
        <v>-104.833917111111</v>
      </c>
      <c r="J2544" t="s">
        <v>35</v>
      </c>
      <c r="K2544" t="s">
        <v>141</v>
      </c>
      <c r="L2544"/>
      <c r="M2544" t="n">
        <v>1980</v>
      </c>
      <c r="N2544" t="n">
        <v>1980</v>
      </c>
      <c r="O2544" t="s">
        <v>255</v>
      </c>
      <c r="P2544" t="n">
        <v>1</v>
      </c>
      <c r="Q2544" t="n">
        <v>1</v>
      </c>
      <c r="R2544" t="n">
        <v>1</v>
      </c>
      <c r="S2544" t="n">
        <v>1973</v>
      </c>
      <c r="T2544" t="s">
        <v>16659</v>
      </c>
      <c r="U2544" t="s">
        <v>16660</v>
      </c>
      <c r="V2544" t="s">
        <v>74</v>
      </c>
      <c r="W2544"/>
      <c r="X2544"/>
      <c r="Y2544" t="s">
        <v>16661</v>
      </c>
      <c r="Z2544"/>
      <c r="AA2544" t="s">
        <v>16662</v>
      </c>
      <c r="AB2544"/>
      <c r="AC2544"/>
      <c r="AD2544"/>
      <c r="AE2544"/>
      <c r="AF2544" t="s">
        <v>16663</v>
      </c>
      <c r="AG2544" t="n">
        <v>41</v>
      </c>
    </row>
    <row r="2545">
      <c r="A2545" t="s">
        <v>16664</v>
      </c>
      <c r="B2545" t="s">
        <v>28</v>
      </c>
      <c r="C2545" t="s">
        <v>65</v>
      </c>
      <c r="D2545" t="s">
        <v>16665</v>
      </c>
      <c r="E2545" t="s">
        <v>2272</v>
      </c>
      <c r="F2545" t="s">
        <v>2267</v>
      </c>
      <c r="G2545" t="s">
        <v>16666</v>
      </c>
      <c r="H2545" t="n">
        <v>38.9006848960409</v>
      </c>
      <c r="I2545" t="n">
        <v>-104.838493316732</v>
      </c>
      <c r="J2545" t="s">
        <v>35</v>
      </c>
      <c r="K2545" t="s">
        <v>141</v>
      </c>
      <c r="L2545"/>
      <c r="M2545" t="n">
        <v>1980</v>
      </c>
      <c r="N2545" t="n">
        <v>1992</v>
      </c>
      <c r="O2545" t="s">
        <v>6152</v>
      </c>
      <c r="P2545" t="n">
        <v>5</v>
      </c>
      <c r="Q2545" t="n">
        <v>4</v>
      </c>
      <c r="R2545" t="n">
        <v>4</v>
      </c>
      <c r="S2545" t="n">
        <v>1975</v>
      </c>
      <c r="T2545" t="s">
        <v>16667</v>
      </c>
      <c r="U2545" t="s">
        <v>16668</v>
      </c>
      <c r="V2545" t="s">
        <v>74</v>
      </c>
      <c r="W2545"/>
      <c r="X2545"/>
      <c r="Y2545" t="s">
        <v>16669</v>
      </c>
      <c r="Z2545"/>
      <c r="AA2545"/>
      <c r="AB2545"/>
      <c r="AC2545"/>
      <c r="AD2545" t="s">
        <v>9460</v>
      </c>
      <c r="AE2545" t="n">
        <v>203</v>
      </c>
      <c r="AF2545" t="s">
        <v>16670</v>
      </c>
      <c r="AG2545" t="n">
        <v>8</v>
      </c>
    </row>
    <row r="2546">
      <c r="A2546" t="s">
        <v>16671</v>
      </c>
      <c r="B2546" t="s">
        <v>28</v>
      </c>
      <c r="C2546" t="s">
        <v>65</v>
      </c>
      <c r="D2546" t="s">
        <v>16672</v>
      </c>
      <c r="E2546" t="s">
        <v>2272</v>
      </c>
      <c r="F2546" t="s">
        <v>2267</v>
      </c>
      <c r="G2546" t="s">
        <v>2444</v>
      </c>
      <c r="H2546" t="n">
        <v>38.8640912802268</v>
      </c>
      <c r="I2546" t="n">
        <v>-104.712030562854</v>
      </c>
      <c r="J2546" t="s">
        <v>35</v>
      </c>
      <c r="K2546" t="s">
        <v>70</v>
      </c>
      <c r="L2546"/>
      <c r="M2546" t="n">
        <v>1980</v>
      </c>
      <c r="N2546" t="n">
        <v>1990</v>
      </c>
      <c r="O2546" t="s">
        <v>351</v>
      </c>
      <c r="P2546" t="n">
        <v>2</v>
      </c>
      <c r="Q2546" t="n">
        <v>2</v>
      </c>
      <c r="R2546" t="n">
        <v>1</v>
      </c>
      <c r="S2546" t="n">
        <v>1978</v>
      </c>
      <c r="T2546" t="s">
        <v>16673</v>
      </c>
      <c r="U2546" t="s">
        <v>16674</v>
      </c>
      <c r="V2546" t="s">
        <v>74</v>
      </c>
      <c r="W2546"/>
      <c r="X2546"/>
      <c r="Y2546" t="s">
        <v>16675</v>
      </c>
      <c r="Z2546"/>
      <c r="AA2546" t="s">
        <v>16676</v>
      </c>
      <c r="AB2546"/>
      <c r="AC2546"/>
      <c r="AD2546"/>
      <c r="AE2546"/>
      <c r="AF2546" t="s">
        <v>16677</v>
      </c>
      <c r="AG2546" t="n">
        <v>82</v>
      </c>
    </row>
    <row r="2547">
      <c r="A2547" t="s">
        <v>16678</v>
      </c>
      <c r="B2547" t="s">
        <v>28</v>
      </c>
      <c r="C2547" t="s">
        <v>65</v>
      </c>
      <c r="D2547" t="s">
        <v>16679</v>
      </c>
      <c r="E2547" t="s">
        <v>2272</v>
      </c>
      <c r="F2547" t="s">
        <v>2267</v>
      </c>
      <c r="G2547" t="s">
        <v>2289</v>
      </c>
      <c r="H2547" t="n">
        <v>38.8229253577128</v>
      </c>
      <c r="I2547" t="n">
        <v>-104.827726164197</v>
      </c>
      <c r="J2547" t="s">
        <v>35</v>
      </c>
      <c r="K2547" t="s">
        <v>120</v>
      </c>
      <c r="L2547"/>
      <c r="M2547" t="n">
        <v>1980</v>
      </c>
      <c r="N2547" t="n">
        <v>1990</v>
      </c>
      <c r="O2547" t="s">
        <v>540</v>
      </c>
      <c r="P2547" t="n">
        <v>4</v>
      </c>
      <c r="Q2547" t="n">
        <v>1</v>
      </c>
      <c r="R2547" t="n">
        <v>1</v>
      </c>
      <c r="S2547" t="n">
        <v>1973</v>
      </c>
      <c r="T2547" t="s">
        <v>16680</v>
      </c>
      <c r="U2547" t="s">
        <v>16681</v>
      </c>
      <c r="V2547" t="s">
        <v>74</v>
      </c>
      <c r="W2547"/>
      <c r="X2547"/>
      <c r="Y2547" t="s">
        <v>16682</v>
      </c>
      <c r="Z2547"/>
      <c r="AA2547"/>
      <c r="AB2547" t="s">
        <v>16683</v>
      </c>
      <c r="AC2547" t="n">
        <v>225</v>
      </c>
      <c r="AD2547"/>
      <c r="AE2547"/>
      <c r="AF2547" t="s">
        <v>16684</v>
      </c>
      <c r="AG2547" t="n">
        <v>3</v>
      </c>
    </row>
    <row r="2548">
      <c r="A2548" t="s">
        <v>16685</v>
      </c>
      <c r="B2548" t="s">
        <v>28</v>
      </c>
      <c r="C2548" t="s">
        <v>24</v>
      </c>
      <c r="D2548" t="s">
        <v>16686</v>
      </c>
      <c r="E2548" t="s">
        <v>2272</v>
      </c>
      <c r="F2548" t="s">
        <v>2267</v>
      </c>
      <c r="G2548" t="s">
        <v>16687</v>
      </c>
      <c r="H2548" t="n">
        <v>38.8820684897959</v>
      </c>
      <c r="I2548" t="n">
        <v>-104.682740530612</v>
      </c>
      <c r="J2548" t="s">
        <v>4109</v>
      </c>
      <c r="K2548" t="s">
        <v>120</v>
      </c>
      <c r="L2548"/>
      <c r="M2548" t="n">
        <v>1983</v>
      </c>
      <c r="N2548" t="n">
        <v>1990</v>
      </c>
      <c r="O2548" t="s">
        <v>293</v>
      </c>
      <c r="P2548" t="n">
        <v>3</v>
      </c>
      <c r="Q2548" t="n">
        <v>2</v>
      </c>
      <c r="R2548" t="n">
        <v>1</v>
      </c>
      <c r="S2548" t="n">
        <v>1962</v>
      </c>
      <c r="T2548" t="s">
        <v>16688</v>
      </c>
      <c r="U2548" t="s">
        <v>16689</v>
      </c>
      <c r="V2548" t="s">
        <v>74</v>
      </c>
      <c r="W2548"/>
      <c r="X2548"/>
      <c r="Y2548" t="s">
        <v>16690</v>
      </c>
      <c r="Z2548"/>
      <c r="AA2548" t="s">
        <v>16691</v>
      </c>
      <c r="AB2548"/>
      <c r="AC2548"/>
      <c r="AD2548"/>
      <c r="AE2548"/>
      <c r="AF2548" t="s">
        <v>16692</v>
      </c>
      <c r="AG2548" t="n">
        <v>30</v>
      </c>
    </row>
    <row r="2549">
      <c r="A2549" t="s">
        <v>16693</v>
      </c>
      <c r="B2549" t="s">
        <v>28</v>
      </c>
      <c r="C2549" t="s">
        <v>24</v>
      </c>
      <c r="D2549" t="s">
        <v>16694</v>
      </c>
      <c r="E2549" t="s">
        <v>2272</v>
      </c>
      <c r="F2549" t="s">
        <v>2267</v>
      </c>
      <c r="G2549" t="s">
        <v>2475</v>
      </c>
      <c r="H2549" t="n">
        <v>38.81041</v>
      </c>
      <c r="I2549" t="n">
        <v>-104.79718</v>
      </c>
      <c r="J2549" t="s">
        <v>4109</v>
      </c>
      <c r="K2549" t="s">
        <v>70</v>
      </c>
      <c r="L2549"/>
      <c r="M2549" t="n">
        <v>1983</v>
      </c>
      <c r="N2549" t="n">
        <v>1983</v>
      </c>
      <c r="O2549" t="s">
        <v>264</v>
      </c>
      <c r="P2549" t="n">
        <v>1</v>
      </c>
      <c r="Q2549" t="n">
        <v>1</v>
      </c>
      <c r="R2549" t="n">
        <v>1</v>
      </c>
      <c r="S2549" t="n">
        <v>1973</v>
      </c>
      <c r="T2549" t="s">
        <v>16695</v>
      </c>
      <c r="U2549" t="s">
        <v>16696</v>
      </c>
      <c r="V2549" t="s">
        <v>74</v>
      </c>
      <c r="W2549"/>
      <c r="X2549"/>
      <c r="Y2549" t="s">
        <v>16697</v>
      </c>
      <c r="Z2549"/>
      <c r="AA2549" t="s">
        <v>16698</v>
      </c>
      <c r="AB2549"/>
      <c r="AC2549"/>
      <c r="AD2549"/>
      <c r="AE2549"/>
      <c r="AF2549" t="s">
        <v>16699</v>
      </c>
      <c r="AG2549" t="n">
        <v>67</v>
      </c>
    </row>
    <row r="2550">
      <c r="A2550" t="s">
        <v>16700</v>
      </c>
      <c r="B2550" t="s">
        <v>28</v>
      </c>
      <c r="C2550" t="s">
        <v>65</v>
      </c>
      <c r="D2550" t="s">
        <v>16701</v>
      </c>
      <c r="E2550" t="s">
        <v>2272</v>
      </c>
      <c r="F2550" t="s">
        <v>2267</v>
      </c>
      <c r="G2550" t="s">
        <v>2570</v>
      </c>
      <c r="H2550" t="n">
        <v>38.8990245088111</v>
      </c>
      <c r="I2550" t="n">
        <v>-104.747923721766</v>
      </c>
      <c r="J2550" t="s">
        <v>35</v>
      </c>
      <c r="K2550" t="s">
        <v>1041</v>
      </c>
      <c r="L2550"/>
      <c r="M2550" t="n">
        <v>1983</v>
      </c>
      <c r="N2550" t="n">
        <v>1983</v>
      </c>
      <c r="O2550" t="s">
        <v>264</v>
      </c>
      <c r="P2550" t="n">
        <v>1</v>
      </c>
      <c r="Q2550" t="n">
        <v>1</v>
      </c>
      <c r="R2550" t="n">
        <v>1</v>
      </c>
      <c r="S2550" t="n">
        <v>1965</v>
      </c>
      <c r="T2550" t="s">
        <v>16702</v>
      </c>
      <c r="U2550" t="s">
        <v>16703</v>
      </c>
      <c r="V2550" t="s">
        <v>74</v>
      </c>
      <c r="W2550"/>
      <c r="X2550"/>
      <c r="Y2550" t="s">
        <v>16704</v>
      </c>
      <c r="Z2550"/>
      <c r="AA2550" t="s">
        <v>16705</v>
      </c>
      <c r="AB2550"/>
      <c r="AC2550"/>
      <c r="AD2550"/>
      <c r="AE2550"/>
      <c r="AF2550" t="s">
        <v>16706</v>
      </c>
      <c r="AG2550" t="n">
        <v>28</v>
      </c>
    </row>
    <row r="2551">
      <c r="A2551" t="s">
        <v>16707</v>
      </c>
      <c r="B2551" t="s">
        <v>28</v>
      </c>
      <c r="C2551" t="s">
        <v>65</v>
      </c>
      <c r="D2551" t="s">
        <v>16708</v>
      </c>
      <c r="E2551" t="s">
        <v>2272</v>
      </c>
      <c r="F2551" t="s">
        <v>2267</v>
      </c>
      <c r="G2551" t="s">
        <v>2423</v>
      </c>
      <c r="H2551" t="n">
        <v>38.7927445064155</v>
      </c>
      <c r="I2551" t="n">
        <v>-104.774158372291</v>
      </c>
      <c r="J2551" t="s">
        <v>35</v>
      </c>
      <c r="K2551" t="s">
        <v>796</v>
      </c>
      <c r="L2551"/>
      <c r="M2551" t="n">
        <v>1983</v>
      </c>
      <c r="N2551" t="n">
        <v>1990</v>
      </c>
      <c r="O2551" t="s">
        <v>264</v>
      </c>
      <c r="P2551" t="n">
        <v>3</v>
      </c>
      <c r="Q2551" t="n">
        <v>2</v>
      </c>
      <c r="R2551" t="n">
        <v>1</v>
      </c>
      <c r="S2551" t="n">
        <v>1978</v>
      </c>
      <c r="T2551" t="s">
        <v>16709</v>
      </c>
      <c r="U2551" t="s">
        <v>16710</v>
      </c>
      <c r="V2551" t="s">
        <v>74</v>
      </c>
      <c r="W2551"/>
      <c r="X2551"/>
      <c r="Y2551" t="s">
        <v>16711</v>
      </c>
      <c r="Z2551"/>
      <c r="AA2551"/>
      <c r="AB2551"/>
      <c r="AC2551"/>
      <c r="AD2551" t="s">
        <v>16502</v>
      </c>
      <c r="AE2551" t="n">
        <v>163</v>
      </c>
      <c r="AF2551" t="s">
        <v>16712</v>
      </c>
      <c r="AG2551" t="n">
        <v>25</v>
      </c>
    </row>
    <row r="2552">
      <c r="A2552" t="s">
        <v>16713</v>
      </c>
      <c r="B2552" t="s">
        <v>28</v>
      </c>
      <c r="C2552" t="s">
        <v>65</v>
      </c>
      <c r="D2552" t="s">
        <v>16714</v>
      </c>
      <c r="E2552" t="s">
        <v>2272</v>
      </c>
      <c r="F2552" t="s">
        <v>2267</v>
      </c>
      <c r="G2552" t="s">
        <v>2326</v>
      </c>
      <c r="H2552" t="n">
        <v>38.8394127299294</v>
      </c>
      <c r="I2552" t="n">
        <v>-104.761756502868</v>
      </c>
      <c r="J2552" t="s">
        <v>35</v>
      </c>
      <c r="K2552" t="s">
        <v>616</v>
      </c>
      <c r="L2552"/>
      <c r="M2552" t="n">
        <v>1983</v>
      </c>
      <c r="N2552" t="n">
        <v>1983</v>
      </c>
      <c r="O2552" t="s">
        <v>264</v>
      </c>
      <c r="P2552" t="n">
        <v>1</v>
      </c>
      <c r="Q2552" t="n">
        <v>1</v>
      </c>
      <c r="R2552" t="n">
        <v>1</v>
      </c>
      <c r="S2552" t="n">
        <v>1975</v>
      </c>
      <c r="T2552" t="s">
        <v>16715</v>
      </c>
      <c r="U2552" t="s">
        <v>16716</v>
      </c>
      <c r="V2552" t="s">
        <v>74</v>
      </c>
      <c r="W2552"/>
      <c r="X2552"/>
      <c r="Y2552" t="s">
        <v>16717</v>
      </c>
      <c r="Z2552"/>
      <c r="AA2552" t="s">
        <v>16718</v>
      </c>
      <c r="AB2552"/>
      <c r="AC2552"/>
      <c r="AD2552"/>
      <c r="AE2552"/>
      <c r="AF2552" t="s">
        <v>16719</v>
      </c>
      <c r="AG2552" t="n">
        <v>27</v>
      </c>
    </row>
    <row r="2553">
      <c r="A2553" t="s">
        <v>16720</v>
      </c>
      <c r="B2553" t="s">
        <v>28</v>
      </c>
      <c r="C2553" t="s">
        <v>24</v>
      </c>
      <c r="D2553" t="s">
        <v>16721</v>
      </c>
      <c r="E2553" t="s">
        <v>2272</v>
      </c>
      <c r="F2553" t="s">
        <v>2267</v>
      </c>
      <c r="G2553" t="s">
        <v>2273</v>
      </c>
      <c r="H2553" t="n">
        <v>38.8403926857143</v>
      </c>
      <c r="I2553" t="n">
        <v>-104.774543828571</v>
      </c>
      <c r="J2553" t="s">
        <v>4109</v>
      </c>
      <c r="K2553" t="s">
        <v>70</v>
      </c>
      <c r="L2553"/>
      <c r="M2553" t="n">
        <v>1983</v>
      </c>
      <c r="N2553" t="n">
        <v>1988</v>
      </c>
      <c r="O2553" t="s">
        <v>283</v>
      </c>
      <c r="P2553" t="n">
        <v>2</v>
      </c>
      <c r="Q2553" t="n">
        <v>2</v>
      </c>
      <c r="R2553" t="n">
        <v>2</v>
      </c>
      <c r="S2553" t="n">
        <v>1969</v>
      </c>
      <c r="T2553" t="s">
        <v>16722</v>
      </c>
      <c r="U2553" t="s">
        <v>16723</v>
      </c>
      <c r="V2553" t="s">
        <v>74</v>
      </c>
      <c r="W2553"/>
      <c r="X2553"/>
      <c r="Y2553" t="s">
        <v>16724</v>
      </c>
      <c r="Z2553"/>
      <c r="AA2553" t="s">
        <v>16725</v>
      </c>
      <c r="AB2553"/>
      <c r="AC2553"/>
      <c r="AD2553"/>
      <c r="AE2553"/>
      <c r="AF2553" t="s">
        <v>16726</v>
      </c>
      <c r="AG2553" t="n">
        <v>48</v>
      </c>
    </row>
    <row r="2554">
      <c r="A2554" t="s">
        <v>16727</v>
      </c>
      <c r="B2554" t="s">
        <v>28</v>
      </c>
      <c r="C2554" t="s">
        <v>65</v>
      </c>
      <c r="D2554" t="s">
        <v>16728</v>
      </c>
      <c r="E2554" t="s">
        <v>2272</v>
      </c>
      <c r="F2554" t="s">
        <v>2267</v>
      </c>
      <c r="G2554" t="s">
        <v>2296</v>
      </c>
      <c r="H2554" t="n">
        <v>38.9006783327344</v>
      </c>
      <c r="I2554" t="n">
        <v>-104.839025943592</v>
      </c>
      <c r="J2554" t="s">
        <v>35</v>
      </c>
      <c r="K2554" t="s">
        <v>141</v>
      </c>
      <c r="L2554"/>
      <c r="M2554" t="n">
        <v>1983</v>
      </c>
      <c r="N2554" t="n">
        <v>1990</v>
      </c>
      <c r="O2554" t="s">
        <v>271</v>
      </c>
      <c r="P2554" t="n">
        <v>3</v>
      </c>
      <c r="Q2554" t="n">
        <v>2</v>
      </c>
      <c r="R2554" t="n">
        <v>2</v>
      </c>
      <c r="S2554" t="n">
        <v>1973</v>
      </c>
      <c r="T2554" t="s">
        <v>16729</v>
      </c>
      <c r="U2554" t="s">
        <v>16730</v>
      </c>
      <c r="V2554" t="s">
        <v>74</v>
      </c>
      <c r="W2554"/>
      <c r="X2554"/>
      <c r="Y2554" t="s">
        <v>16731</v>
      </c>
      <c r="Z2554" t="s">
        <v>16732</v>
      </c>
      <c r="AA2554" t="s">
        <v>16733</v>
      </c>
      <c r="AB2554"/>
      <c r="AC2554"/>
      <c r="AD2554" t="s">
        <v>9499</v>
      </c>
      <c r="AE2554" t="n">
        <v>185</v>
      </c>
      <c r="AF2554" t="s">
        <v>16734</v>
      </c>
      <c r="AG2554" t="n">
        <v>10</v>
      </c>
    </row>
    <row r="2555">
      <c r="A2555" t="s">
        <v>16735</v>
      </c>
      <c r="B2555" t="s">
        <v>28</v>
      </c>
      <c r="C2555" t="s">
        <v>65</v>
      </c>
      <c r="D2555" t="s">
        <v>16736</v>
      </c>
      <c r="E2555" t="s">
        <v>2272</v>
      </c>
      <c r="F2555" t="s">
        <v>2267</v>
      </c>
      <c r="G2555" t="s">
        <v>2296</v>
      </c>
      <c r="H2555" t="n">
        <v>38.9184289055672</v>
      </c>
      <c r="I2555" t="n">
        <v>-104.789173912208</v>
      </c>
      <c r="J2555" t="s">
        <v>35</v>
      </c>
      <c r="K2555" t="s">
        <v>120</v>
      </c>
      <c r="L2555"/>
      <c r="M2555" t="n">
        <v>1983</v>
      </c>
      <c r="N2555" t="n">
        <v>1990</v>
      </c>
      <c r="O2555" t="s">
        <v>293</v>
      </c>
      <c r="P2555" t="n">
        <v>2</v>
      </c>
      <c r="Q2555" t="n">
        <v>2</v>
      </c>
      <c r="R2555" t="n">
        <v>2</v>
      </c>
      <c r="S2555" t="n">
        <v>1982</v>
      </c>
      <c r="T2555" t="s">
        <v>16737</v>
      </c>
      <c r="U2555" t="s">
        <v>16738</v>
      </c>
      <c r="V2555" t="s">
        <v>74</v>
      </c>
      <c r="W2555"/>
      <c r="X2555"/>
      <c r="Y2555" t="s">
        <v>16739</v>
      </c>
      <c r="Z2555"/>
      <c r="AA2555"/>
      <c r="AB2555"/>
      <c r="AC2555"/>
      <c r="AD2555"/>
      <c r="AE2555"/>
      <c r="AF2555" t="s">
        <v>2573</v>
      </c>
      <c r="AG2555" t="n">
        <v>15</v>
      </c>
    </row>
    <row r="2556">
      <c r="A2556" t="s">
        <v>16740</v>
      </c>
      <c r="B2556" t="s">
        <v>28</v>
      </c>
      <c r="C2556" t="s">
        <v>65</v>
      </c>
      <c r="D2556" t="s">
        <v>16741</v>
      </c>
      <c r="E2556" t="s">
        <v>2272</v>
      </c>
      <c r="F2556" t="s">
        <v>2267</v>
      </c>
      <c r="G2556" t="s">
        <v>2444</v>
      </c>
      <c r="H2556" t="n">
        <v>38.8450064915288</v>
      </c>
      <c r="I2556" t="n">
        <v>-104.738723697051</v>
      </c>
      <c r="J2556" t="s">
        <v>35</v>
      </c>
      <c r="K2556" t="s">
        <v>796</v>
      </c>
      <c r="L2556" t="s">
        <v>1310</v>
      </c>
      <c r="M2556" t="n">
        <v>1983</v>
      </c>
      <c r="N2556" t="n">
        <v>1990</v>
      </c>
      <c r="O2556" t="s">
        <v>283</v>
      </c>
      <c r="P2556" t="n">
        <v>3</v>
      </c>
      <c r="Q2556" t="n">
        <v>4</v>
      </c>
      <c r="R2556" t="n">
        <v>2</v>
      </c>
      <c r="S2556" t="n">
        <v>1981</v>
      </c>
      <c r="T2556" t="s">
        <v>16742</v>
      </c>
      <c r="U2556" t="s">
        <v>16743</v>
      </c>
      <c r="V2556" t="s">
        <v>74</v>
      </c>
      <c r="W2556"/>
      <c r="X2556"/>
      <c r="Y2556" t="s">
        <v>16744</v>
      </c>
      <c r="Z2556"/>
      <c r="AA2556" t="s">
        <v>16745</v>
      </c>
      <c r="AB2556"/>
      <c r="AC2556"/>
      <c r="AD2556" t="s">
        <v>16746</v>
      </c>
      <c r="AE2556" t="n">
        <v>191</v>
      </c>
      <c r="AF2556" t="s">
        <v>16747</v>
      </c>
      <c r="AG2556" t="n">
        <v>10</v>
      </c>
    </row>
    <row r="2557">
      <c r="A2557" t="s">
        <v>16748</v>
      </c>
      <c r="B2557" t="s">
        <v>28</v>
      </c>
      <c r="C2557" t="s">
        <v>65</v>
      </c>
      <c r="D2557" t="s">
        <v>16749</v>
      </c>
      <c r="E2557" t="s">
        <v>2272</v>
      </c>
      <c r="F2557" t="s">
        <v>2267</v>
      </c>
      <c r="G2557" t="s">
        <v>2570</v>
      </c>
      <c r="H2557" t="n">
        <v>38.8994102319342</v>
      </c>
      <c r="I2557" t="n">
        <v>-104.747066165488</v>
      </c>
      <c r="J2557" t="s">
        <v>35</v>
      </c>
      <c r="K2557" t="s">
        <v>70</v>
      </c>
      <c r="L2557"/>
      <c r="M2557" t="n">
        <v>1983</v>
      </c>
      <c r="N2557" t="n">
        <v>1983</v>
      </c>
      <c r="O2557" t="s">
        <v>264</v>
      </c>
      <c r="P2557" t="n">
        <v>1</v>
      </c>
      <c r="Q2557" t="n">
        <v>1</v>
      </c>
      <c r="R2557" t="n">
        <v>1</v>
      </c>
      <c r="S2557" t="n">
        <v>1981</v>
      </c>
      <c r="T2557" t="s">
        <v>16750</v>
      </c>
      <c r="U2557" t="s">
        <v>16751</v>
      </c>
      <c r="V2557" t="s">
        <v>74</v>
      </c>
      <c r="W2557"/>
      <c r="X2557"/>
      <c r="Y2557" t="s">
        <v>16752</v>
      </c>
      <c r="Z2557"/>
      <c r="AA2557" t="s">
        <v>16753</v>
      </c>
      <c r="AB2557"/>
      <c r="AC2557"/>
      <c r="AD2557"/>
      <c r="AE2557"/>
      <c r="AF2557" t="s">
        <v>16754</v>
      </c>
      <c r="AG2557" t="n">
        <v>0</v>
      </c>
    </row>
    <row r="2558">
      <c r="A2558" t="s">
        <v>16755</v>
      </c>
      <c r="B2558" t="s">
        <v>28</v>
      </c>
      <c r="C2558" t="s">
        <v>24</v>
      </c>
      <c r="D2558" t="s">
        <v>16756</v>
      </c>
      <c r="E2558" t="s">
        <v>2272</v>
      </c>
      <c r="F2558" t="s">
        <v>2267</v>
      </c>
      <c r="G2558" t="s">
        <v>2273</v>
      </c>
      <c r="H2558" t="n">
        <v>38.838409039863</v>
      </c>
      <c r="I2558" t="n">
        <v>-104.763017080767</v>
      </c>
      <c r="J2558" t="s">
        <v>4109</v>
      </c>
      <c r="K2558" t="s">
        <v>120</v>
      </c>
      <c r="L2558"/>
      <c r="M2558" t="n">
        <v>1983</v>
      </c>
      <c r="N2558" t="n">
        <v>1983</v>
      </c>
      <c r="O2558" t="s">
        <v>264</v>
      </c>
      <c r="P2558" t="n">
        <v>1</v>
      </c>
      <c r="Q2558" t="n">
        <v>1</v>
      </c>
      <c r="R2558" t="n">
        <v>1</v>
      </c>
      <c r="S2558" t="n">
        <v>1976</v>
      </c>
      <c r="T2558" t="s">
        <v>16757</v>
      </c>
      <c r="U2558" t="s">
        <v>16758</v>
      </c>
      <c r="V2558" t="s">
        <v>74</v>
      </c>
      <c r="W2558"/>
      <c r="X2558"/>
      <c r="Y2558" t="s">
        <v>16759</v>
      </c>
      <c r="Z2558"/>
      <c r="AA2558" t="s">
        <v>16760</v>
      </c>
      <c r="AB2558"/>
      <c r="AC2558"/>
      <c r="AD2558"/>
      <c r="AE2558"/>
      <c r="AF2558" t="s">
        <v>16761</v>
      </c>
      <c r="AG2558" t="n">
        <v>2</v>
      </c>
    </row>
    <row r="2559">
      <c r="A2559" t="s">
        <v>16762</v>
      </c>
      <c r="B2559" t="s">
        <v>28</v>
      </c>
      <c r="C2559" t="s">
        <v>65</v>
      </c>
      <c r="D2559" t="s">
        <v>16763</v>
      </c>
      <c r="E2559" t="s">
        <v>2272</v>
      </c>
      <c r="F2559" t="s">
        <v>2267</v>
      </c>
      <c r="G2559" t="s">
        <v>2273</v>
      </c>
      <c r="H2559" t="n">
        <v>38.8375560994365</v>
      </c>
      <c r="I2559" t="n">
        <v>-104.764423857636</v>
      </c>
      <c r="J2559" t="s">
        <v>35</v>
      </c>
      <c r="K2559" t="s">
        <v>2274</v>
      </c>
      <c r="L2559" t="s">
        <v>2476</v>
      </c>
      <c r="M2559" t="n">
        <v>1983</v>
      </c>
      <c r="N2559" t="n">
        <v>1990</v>
      </c>
      <c r="O2559" t="s">
        <v>271</v>
      </c>
      <c r="P2559" t="n">
        <v>3</v>
      </c>
      <c r="Q2559" t="n">
        <v>3</v>
      </c>
      <c r="R2559" t="n">
        <v>3</v>
      </c>
      <c r="S2559" t="n">
        <v>1975</v>
      </c>
      <c r="T2559" t="s">
        <v>16764</v>
      </c>
      <c r="U2559" t="s">
        <v>16765</v>
      </c>
      <c r="V2559" t="s">
        <v>74</v>
      </c>
      <c r="W2559"/>
      <c r="X2559"/>
      <c r="Y2559" t="s">
        <v>16766</v>
      </c>
      <c r="Z2559"/>
      <c r="AA2559" t="s">
        <v>16767</v>
      </c>
      <c r="AB2559"/>
      <c r="AC2559"/>
      <c r="AD2559"/>
      <c r="AE2559"/>
      <c r="AF2559" t="s">
        <v>16768</v>
      </c>
      <c r="AG2559" t="n">
        <v>37</v>
      </c>
    </row>
    <row r="2560">
      <c r="A2560" t="s">
        <v>16769</v>
      </c>
      <c r="B2560" t="s">
        <v>28</v>
      </c>
      <c r="C2560" t="s">
        <v>65</v>
      </c>
      <c r="D2560" t="s">
        <v>16770</v>
      </c>
      <c r="E2560" t="s">
        <v>2272</v>
      </c>
      <c r="F2560" t="s">
        <v>2267</v>
      </c>
      <c r="G2560" t="s">
        <v>2444</v>
      </c>
      <c r="H2560" t="n">
        <v>38.8647616178134</v>
      </c>
      <c r="I2560" t="n">
        <v>-104.71596148647</v>
      </c>
      <c r="J2560" t="s">
        <v>35</v>
      </c>
      <c r="K2560" t="s">
        <v>70</v>
      </c>
      <c r="L2560"/>
      <c r="M2560" t="n">
        <v>1983</v>
      </c>
      <c r="N2560" t="n">
        <v>1992</v>
      </c>
      <c r="O2560" t="s">
        <v>2061</v>
      </c>
      <c r="P2560" t="n">
        <v>4</v>
      </c>
      <c r="Q2560" t="n">
        <v>3</v>
      </c>
      <c r="R2560" t="n">
        <v>3</v>
      </c>
      <c r="S2560" t="n">
        <v>1929</v>
      </c>
      <c r="T2560" t="s">
        <v>16771</v>
      </c>
      <c r="U2560" t="s">
        <v>16772</v>
      </c>
      <c r="V2560" t="s">
        <v>74</v>
      </c>
      <c r="W2560"/>
      <c r="X2560"/>
      <c r="Y2560" t="s">
        <v>16773</v>
      </c>
      <c r="Z2560"/>
      <c r="AA2560"/>
      <c r="AB2560"/>
      <c r="AC2560"/>
      <c r="AD2560"/>
      <c r="AE2560"/>
      <c r="AF2560" t="s">
        <v>16774</v>
      </c>
      <c r="AG2560" t="n">
        <v>106</v>
      </c>
    </row>
    <row r="2561">
      <c r="A2561" t="s">
        <v>16775</v>
      </c>
      <c r="B2561" t="s">
        <v>28</v>
      </c>
      <c r="C2561" t="s">
        <v>24</v>
      </c>
      <c r="D2561" t="s">
        <v>16776</v>
      </c>
      <c r="E2561" t="s">
        <v>2272</v>
      </c>
      <c r="F2561" t="s">
        <v>2267</v>
      </c>
      <c r="G2561" t="s">
        <v>2444</v>
      </c>
      <c r="H2561" t="n">
        <v>38.844102</v>
      </c>
      <c r="I2561" t="n">
        <v>-104.733099639085</v>
      </c>
      <c r="J2561" t="s">
        <v>4109</v>
      </c>
      <c r="K2561" t="s">
        <v>220</v>
      </c>
      <c r="L2561"/>
      <c r="M2561" t="n">
        <v>1988</v>
      </c>
      <c r="N2561" t="n">
        <v>1988</v>
      </c>
      <c r="O2561" t="s">
        <v>325</v>
      </c>
      <c r="P2561" t="n">
        <v>1</v>
      </c>
      <c r="Q2561" t="n">
        <v>1</v>
      </c>
      <c r="R2561" t="n">
        <v>1</v>
      </c>
      <c r="S2561" t="n">
        <v>1951</v>
      </c>
      <c r="T2561" t="s">
        <v>16777</v>
      </c>
      <c r="U2561" t="s">
        <v>16778</v>
      </c>
      <c r="V2561" t="s">
        <v>74</v>
      </c>
      <c r="W2561"/>
      <c r="X2561"/>
      <c r="Y2561" t="s">
        <v>16779</v>
      </c>
      <c r="Z2561"/>
      <c r="AA2561" t="s">
        <v>16780</v>
      </c>
      <c r="AB2561"/>
      <c r="AC2561"/>
      <c r="AD2561"/>
      <c r="AE2561"/>
      <c r="AF2561" t="s">
        <v>2511</v>
      </c>
      <c r="AG2561" t="n">
        <v>170</v>
      </c>
    </row>
    <row r="2562">
      <c r="A2562" t="s">
        <v>16781</v>
      </c>
      <c r="B2562" t="s">
        <v>28</v>
      </c>
      <c r="C2562" t="s">
        <v>65</v>
      </c>
      <c r="D2562" t="s">
        <v>16782</v>
      </c>
      <c r="E2562" t="s">
        <v>2272</v>
      </c>
      <c r="F2562" t="s">
        <v>2267</v>
      </c>
      <c r="G2562" t="s">
        <v>2444</v>
      </c>
      <c r="H2562" t="n">
        <v>38.8657456790583</v>
      </c>
      <c r="I2562" t="n">
        <v>-104.7152098773</v>
      </c>
      <c r="J2562" t="s">
        <v>35</v>
      </c>
      <c r="K2562" t="s">
        <v>796</v>
      </c>
      <c r="L2562"/>
      <c r="M2562" t="n">
        <v>1988</v>
      </c>
      <c r="N2562" t="n">
        <v>1992</v>
      </c>
      <c r="O2562" t="s">
        <v>320</v>
      </c>
      <c r="P2562" t="n">
        <v>3</v>
      </c>
      <c r="Q2562" t="n">
        <v>3</v>
      </c>
      <c r="R2562" t="n">
        <v>2</v>
      </c>
      <c r="S2562" t="n">
        <v>1979</v>
      </c>
      <c r="T2562" t="s">
        <v>16783</v>
      </c>
      <c r="U2562" t="s">
        <v>16784</v>
      </c>
      <c r="V2562" t="s">
        <v>74</v>
      </c>
      <c r="W2562"/>
      <c r="X2562"/>
      <c r="Y2562" t="s">
        <v>16785</v>
      </c>
      <c r="Z2562"/>
      <c r="AA2562"/>
      <c r="AB2562"/>
      <c r="AC2562"/>
      <c r="AD2562"/>
      <c r="AE2562"/>
      <c r="AF2562" t="s">
        <v>16774</v>
      </c>
      <c r="AG2562" t="n">
        <v>24</v>
      </c>
    </row>
    <row r="2563">
      <c r="A2563" t="s">
        <v>16786</v>
      </c>
      <c r="B2563" t="s">
        <v>28</v>
      </c>
      <c r="C2563" t="s">
        <v>65</v>
      </c>
      <c r="D2563" t="s">
        <v>16787</v>
      </c>
      <c r="E2563" t="s">
        <v>2272</v>
      </c>
      <c r="F2563" t="s">
        <v>2267</v>
      </c>
      <c r="G2563" t="s">
        <v>2444</v>
      </c>
      <c r="H2563" t="n">
        <v>38.8546865696203</v>
      </c>
      <c r="I2563" t="n">
        <v>-104.714291898734</v>
      </c>
      <c r="J2563" t="s">
        <v>35</v>
      </c>
      <c r="K2563" t="s">
        <v>527</v>
      </c>
      <c r="L2563"/>
      <c r="M2563" t="n">
        <v>1988</v>
      </c>
      <c r="N2563" t="n">
        <v>1992</v>
      </c>
      <c r="O2563" t="s">
        <v>320</v>
      </c>
      <c r="P2563" t="n">
        <v>3</v>
      </c>
      <c r="Q2563" t="n">
        <v>3</v>
      </c>
      <c r="R2563" t="n">
        <v>3</v>
      </c>
      <c r="S2563" t="n">
        <v>1980</v>
      </c>
      <c r="T2563" t="s">
        <v>16788</v>
      </c>
      <c r="U2563" t="s">
        <v>16789</v>
      </c>
      <c r="V2563" t="s">
        <v>74</v>
      </c>
      <c r="W2563"/>
      <c r="X2563"/>
      <c r="Y2563" t="s">
        <v>16790</v>
      </c>
      <c r="Z2563"/>
      <c r="AA2563"/>
      <c r="AB2563"/>
      <c r="AC2563"/>
      <c r="AD2563"/>
      <c r="AE2563"/>
      <c r="AF2563" t="s">
        <v>16791</v>
      </c>
      <c r="AG2563" t="n">
        <v>12</v>
      </c>
    </row>
    <row r="2564">
      <c r="A2564" t="s">
        <v>16792</v>
      </c>
      <c r="B2564" t="s">
        <v>28</v>
      </c>
      <c r="C2564" t="s">
        <v>65</v>
      </c>
      <c r="D2564" t="s">
        <v>16793</v>
      </c>
      <c r="E2564" t="s">
        <v>2272</v>
      </c>
      <c r="F2564" t="s">
        <v>2267</v>
      </c>
      <c r="G2564" t="s">
        <v>2444</v>
      </c>
      <c r="H2564" t="n">
        <v>38.8444281266337</v>
      </c>
      <c r="I2564" t="n">
        <v>-104.73873412444</v>
      </c>
      <c r="J2564" t="s">
        <v>35</v>
      </c>
      <c r="K2564" t="s">
        <v>120</v>
      </c>
      <c r="L2564" t="s">
        <v>202</v>
      </c>
      <c r="M2564" t="n">
        <v>1988</v>
      </c>
      <c r="N2564" t="n">
        <v>1990</v>
      </c>
      <c r="O2564" t="s">
        <v>310</v>
      </c>
      <c r="P2564" t="n">
        <v>2</v>
      </c>
      <c r="Q2564" t="n">
        <v>1</v>
      </c>
      <c r="R2564" t="n">
        <v>1</v>
      </c>
      <c r="S2564" t="n">
        <v>1980</v>
      </c>
      <c r="T2564" t="s">
        <v>16794</v>
      </c>
      <c r="U2564" t="s">
        <v>16795</v>
      </c>
      <c r="V2564" t="s">
        <v>74</v>
      </c>
      <c r="W2564"/>
      <c r="X2564"/>
      <c r="Y2564" t="s">
        <v>16796</v>
      </c>
      <c r="Z2564"/>
      <c r="AA2564"/>
      <c r="AB2564"/>
      <c r="AC2564"/>
      <c r="AD2564" t="s">
        <v>16746</v>
      </c>
      <c r="AE2564" t="n">
        <v>127</v>
      </c>
      <c r="AF2564" t="s">
        <v>16797</v>
      </c>
      <c r="AG2564" t="n">
        <v>3</v>
      </c>
    </row>
    <row r="2565">
      <c r="A2565" t="s">
        <v>16798</v>
      </c>
      <c r="B2565" t="s">
        <v>28</v>
      </c>
      <c r="C2565" t="s">
        <v>24</v>
      </c>
      <c r="D2565" t="s">
        <v>16799</v>
      </c>
      <c r="E2565" t="s">
        <v>2272</v>
      </c>
      <c r="F2565" t="s">
        <v>2267</v>
      </c>
      <c r="G2565" t="s">
        <v>2296</v>
      </c>
      <c r="H2565" t="n">
        <v>38.880116</v>
      </c>
      <c r="I2565" t="n">
        <v>-104.834026</v>
      </c>
      <c r="J2565" t="s">
        <v>4109</v>
      </c>
      <c r="K2565" t="s">
        <v>133</v>
      </c>
      <c r="L2565"/>
      <c r="M2565" t="n">
        <v>1988</v>
      </c>
      <c r="N2565" t="n">
        <v>1988</v>
      </c>
      <c r="O2565" t="s">
        <v>325</v>
      </c>
      <c r="P2565" t="n">
        <v>1</v>
      </c>
      <c r="Q2565" t="n">
        <v>1</v>
      </c>
      <c r="R2565" t="n">
        <v>1</v>
      </c>
      <c r="S2565" t="n">
        <v>1969</v>
      </c>
      <c r="T2565" t="s">
        <v>16800</v>
      </c>
      <c r="U2565" t="s">
        <v>16801</v>
      </c>
      <c r="V2565" t="s">
        <v>74</v>
      </c>
      <c r="W2565"/>
      <c r="X2565"/>
      <c r="Y2565" t="s">
        <v>16802</v>
      </c>
      <c r="Z2565"/>
      <c r="AA2565" t="s">
        <v>16803</v>
      </c>
      <c r="AB2565"/>
      <c r="AC2565"/>
      <c r="AD2565"/>
      <c r="AE2565"/>
      <c r="AF2565" t="s">
        <v>16804</v>
      </c>
      <c r="AG2565" t="n">
        <v>100</v>
      </c>
    </row>
    <row r="2566">
      <c r="A2566" t="s">
        <v>16805</v>
      </c>
      <c r="B2566" t="s">
        <v>28</v>
      </c>
      <c r="C2566" t="s">
        <v>65</v>
      </c>
      <c r="D2566" t="s">
        <v>16806</v>
      </c>
      <c r="E2566" t="s">
        <v>2272</v>
      </c>
      <c r="F2566" t="s">
        <v>2267</v>
      </c>
      <c r="G2566" t="s">
        <v>2423</v>
      </c>
      <c r="H2566" t="n">
        <v>38.7853965297817</v>
      </c>
      <c r="I2566" t="n">
        <v>-104.766203666187</v>
      </c>
      <c r="J2566" t="s">
        <v>35</v>
      </c>
      <c r="K2566" t="s">
        <v>141</v>
      </c>
      <c r="L2566"/>
      <c r="M2566" t="n">
        <v>1988</v>
      </c>
      <c r="N2566" t="n">
        <v>1992</v>
      </c>
      <c r="O2566" t="s">
        <v>325</v>
      </c>
      <c r="P2566" t="n">
        <v>3</v>
      </c>
      <c r="Q2566" t="n">
        <v>2</v>
      </c>
      <c r="R2566" t="n">
        <v>1</v>
      </c>
      <c r="S2566" t="n">
        <v>1978</v>
      </c>
      <c r="T2566" t="s">
        <v>16807</v>
      </c>
      <c r="U2566" t="s">
        <v>16808</v>
      </c>
      <c r="V2566" t="s">
        <v>74</v>
      </c>
      <c r="W2566"/>
      <c r="X2566"/>
      <c r="Y2566" t="s">
        <v>16809</v>
      </c>
      <c r="Z2566"/>
      <c r="AA2566"/>
      <c r="AB2566"/>
      <c r="AC2566"/>
      <c r="AD2566" t="s">
        <v>16810</v>
      </c>
      <c r="AE2566" t="n">
        <v>233</v>
      </c>
      <c r="AF2566" t="s">
        <v>16811</v>
      </c>
      <c r="AG2566" t="n">
        <v>4</v>
      </c>
    </row>
    <row r="2567">
      <c r="A2567" t="s">
        <v>16812</v>
      </c>
      <c r="B2567" t="s">
        <v>28</v>
      </c>
      <c r="C2567" t="s">
        <v>65</v>
      </c>
      <c r="D2567" t="s">
        <v>16813</v>
      </c>
      <c r="E2567" t="s">
        <v>2272</v>
      </c>
      <c r="F2567" t="s">
        <v>2267</v>
      </c>
      <c r="G2567" t="s">
        <v>2296</v>
      </c>
      <c r="H2567" t="n">
        <v>38.899752464467</v>
      </c>
      <c r="I2567" t="n">
        <v>-104.846344883917</v>
      </c>
      <c r="J2567" t="s">
        <v>35</v>
      </c>
      <c r="K2567" t="s">
        <v>70</v>
      </c>
      <c r="L2567" t="s">
        <v>554</v>
      </c>
      <c r="M2567" t="n">
        <v>1988</v>
      </c>
      <c r="N2567" t="n">
        <v>1990</v>
      </c>
      <c r="O2567" t="s">
        <v>310</v>
      </c>
      <c r="P2567" t="n">
        <v>2</v>
      </c>
      <c r="Q2567" t="n">
        <v>3</v>
      </c>
      <c r="R2567" t="n">
        <v>2</v>
      </c>
      <c r="S2567" t="n">
        <v>1928</v>
      </c>
      <c r="T2567" t="s">
        <v>16814</v>
      </c>
      <c r="U2567" t="s">
        <v>16815</v>
      </c>
      <c r="V2567" t="s">
        <v>74</v>
      </c>
      <c r="W2567"/>
      <c r="X2567"/>
      <c r="Y2567" t="s">
        <v>16816</v>
      </c>
      <c r="Z2567"/>
      <c r="AA2567" t="s">
        <v>16817</v>
      </c>
      <c r="AB2567"/>
      <c r="AC2567"/>
      <c r="AD2567"/>
      <c r="AE2567"/>
      <c r="AF2567" t="s">
        <v>16818</v>
      </c>
      <c r="AG2567" t="n">
        <v>9</v>
      </c>
    </row>
    <row r="2568">
      <c r="A2568" t="s">
        <v>16819</v>
      </c>
      <c r="B2568" t="s">
        <v>28</v>
      </c>
      <c r="C2568" t="s">
        <v>65</v>
      </c>
      <c r="D2568" t="s">
        <v>16820</v>
      </c>
      <c r="E2568" t="s">
        <v>2272</v>
      </c>
      <c r="F2568" t="s">
        <v>2267</v>
      </c>
      <c r="G2568" t="s">
        <v>2296</v>
      </c>
      <c r="H2568" t="n">
        <v>38.9006907692308</v>
      </c>
      <c r="I2568" t="n">
        <v>-104.837995615385</v>
      </c>
      <c r="J2568" t="s">
        <v>35</v>
      </c>
      <c r="K2568" t="s">
        <v>89</v>
      </c>
      <c r="L2568"/>
      <c r="M2568" t="n">
        <v>1988</v>
      </c>
      <c r="N2568" t="n">
        <v>1992</v>
      </c>
      <c r="O2568" t="s">
        <v>351</v>
      </c>
      <c r="P2568" t="n">
        <v>3</v>
      </c>
      <c r="Q2568" t="n">
        <v>1</v>
      </c>
      <c r="R2568" t="n">
        <v>1</v>
      </c>
      <c r="S2568" t="n">
        <v>1962</v>
      </c>
      <c r="T2568" t="s">
        <v>16821</v>
      </c>
      <c r="U2568" t="s">
        <v>16822</v>
      </c>
      <c r="V2568" t="s">
        <v>74</v>
      </c>
      <c r="W2568"/>
      <c r="X2568"/>
      <c r="Y2568" t="s">
        <v>16823</v>
      </c>
      <c r="Z2568"/>
      <c r="AA2568"/>
      <c r="AB2568"/>
      <c r="AC2568"/>
      <c r="AD2568" t="s">
        <v>9460</v>
      </c>
      <c r="AE2568" t="n">
        <v>215</v>
      </c>
      <c r="AF2568" t="s">
        <v>16824</v>
      </c>
      <c r="AG2568" t="n">
        <v>1</v>
      </c>
    </row>
    <row r="2569">
      <c r="A2569" t="s">
        <v>16825</v>
      </c>
      <c r="B2569" t="s">
        <v>28</v>
      </c>
      <c r="C2569" t="s">
        <v>65</v>
      </c>
      <c r="D2569" t="s">
        <v>16826</v>
      </c>
      <c r="E2569" t="s">
        <v>2272</v>
      </c>
      <c r="F2569" t="s">
        <v>2267</v>
      </c>
      <c r="G2569" t="s">
        <v>2296</v>
      </c>
      <c r="H2569" t="n">
        <v>38.8856777884243</v>
      </c>
      <c r="I2569" t="n">
        <v>-104.759939426696</v>
      </c>
      <c r="J2569" t="s">
        <v>35</v>
      </c>
      <c r="K2569" t="s">
        <v>988</v>
      </c>
      <c r="L2569"/>
      <c r="M2569" t="n">
        <v>1988</v>
      </c>
      <c r="N2569" t="n">
        <v>1988</v>
      </c>
      <c r="O2569" t="s">
        <v>325</v>
      </c>
      <c r="P2569" t="n">
        <v>1</v>
      </c>
      <c r="Q2569" t="n">
        <v>1</v>
      </c>
      <c r="R2569" t="n">
        <v>1</v>
      </c>
      <c r="S2569" t="n">
        <v>1965</v>
      </c>
      <c r="T2569" t="s">
        <v>16827</v>
      </c>
      <c r="U2569" t="s">
        <v>16828</v>
      </c>
      <c r="V2569" t="s">
        <v>74</v>
      </c>
      <c r="W2569"/>
      <c r="X2569"/>
      <c r="Y2569" t="s">
        <v>16829</v>
      </c>
      <c r="Z2569"/>
      <c r="AA2569"/>
      <c r="AB2569"/>
      <c r="AC2569"/>
      <c r="AD2569"/>
      <c r="AE2569"/>
      <c r="AF2569" t="s">
        <v>16830</v>
      </c>
      <c r="AG2569" t="n">
        <v>1</v>
      </c>
    </row>
    <row r="2570">
      <c r="A2570" t="s">
        <v>16831</v>
      </c>
      <c r="B2570" t="s">
        <v>28</v>
      </c>
      <c r="C2570" t="s">
        <v>24</v>
      </c>
      <c r="D2570" t="s">
        <v>16832</v>
      </c>
      <c r="E2570" t="s">
        <v>2272</v>
      </c>
      <c r="F2570" t="s">
        <v>2267</v>
      </c>
      <c r="G2570" t="s">
        <v>2273</v>
      </c>
      <c r="H2570" t="n">
        <v>38.8359928201509</v>
      </c>
      <c r="I2570" t="n">
        <v>-104.762884453696</v>
      </c>
      <c r="J2570" t="s">
        <v>4109</v>
      </c>
      <c r="K2570" t="s">
        <v>120</v>
      </c>
      <c r="L2570"/>
      <c r="M2570" t="n">
        <v>1988</v>
      </c>
      <c r="N2570" t="n">
        <v>1992</v>
      </c>
      <c r="O2570" t="s">
        <v>320</v>
      </c>
      <c r="P2570" t="n">
        <v>3</v>
      </c>
      <c r="Q2570" t="n">
        <v>1</v>
      </c>
      <c r="R2570" t="n">
        <v>1</v>
      </c>
      <c r="S2570" t="n">
        <v>1976</v>
      </c>
      <c r="T2570" t="s">
        <v>16833</v>
      </c>
      <c r="U2570" t="s">
        <v>16834</v>
      </c>
      <c r="V2570" t="s">
        <v>74</v>
      </c>
      <c r="W2570"/>
      <c r="X2570"/>
      <c r="Y2570" t="s">
        <v>16835</v>
      </c>
      <c r="Z2570"/>
      <c r="AA2570" t="s">
        <v>16836</v>
      </c>
      <c r="AB2570"/>
      <c r="AC2570"/>
      <c r="AD2570"/>
      <c r="AE2570"/>
      <c r="AF2570" t="s">
        <v>16837</v>
      </c>
      <c r="AG2570" t="n">
        <v>28</v>
      </c>
    </row>
    <row r="2571">
      <c r="A2571" t="s">
        <v>16838</v>
      </c>
      <c r="B2571" t="s">
        <v>28</v>
      </c>
      <c r="C2571" t="s">
        <v>65</v>
      </c>
      <c r="D2571" t="s">
        <v>16839</v>
      </c>
      <c r="E2571" t="s">
        <v>2272</v>
      </c>
      <c r="F2571" t="s">
        <v>2267</v>
      </c>
      <c r="G2571" t="s">
        <v>2296</v>
      </c>
      <c r="H2571" t="n">
        <v>38.8806776184253</v>
      </c>
      <c r="I2571" t="n">
        <v>-104.813353141213</v>
      </c>
      <c r="J2571" t="s">
        <v>35</v>
      </c>
      <c r="K2571" t="s">
        <v>133</v>
      </c>
      <c r="L2571"/>
      <c r="M2571" t="n">
        <v>1988</v>
      </c>
      <c r="N2571" t="n">
        <v>1990</v>
      </c>
      <c r="O2571" t="s">
        <v>310</v>
      </c>
      <c r="P2571" t="n">
        <v>2</v>
      </c>
      <c r="Q2571" t="n">
        <v>1</v>
      </c>
      <c r="R2571" t="n">
        <v>1</v>
      </c>
      <c r="S2571" t="n">
        <v>1982</v>
      </c>
      <c r="T2571" t="s">
        <v>16840</v>
      </c>
      <c r="U2571" t="s">
        <v>16841</v>
      </c>
      <c r="V2571" t="s">
        <v>74</v>
      </c>
      <c r="W2571"/>
      <c r="X2571"/>
      <c r="Y2571" t="s">
        <v>16842</v>
      </c>
      <c r="Z2571"/>
      <c r="AA2571" t="s">
        <v>16843</v>
      </c>
      <c r="AB2571"/>
      <c r="AC2571"/>
      <c r="AD2571" t="s">
        <v>2409</v>
      </c>
      <c r="AE2571" t="n">
        <v>179</v>
      </c>
      <c r="AF2571" t="s">
        <v>2371</v>
      </c>
      <c r="AG2571" t="n">
        <v>17</v>
      </c>
    </row>
    <row r="2572">
      <c r="A2572" t="s">
        <v>16844</v>
      </c>
      <c r="B2572" t="s">
        <v>28</v>
      </c>
      <c r="C2572" t="s">
        <v>24</v>
      </c>
      <c r="D2572" t="s">
        <v>16845</v>
      </c>
      <c r="E2572" t="s">
        <v>2272</v>
      </c>
      <c r="F2572" t="s">
        <v>2267</v>
      </c>
      <c r="G2572" t="s">
        <v>2296</v>
      </c>
      <c r="H2572" t="n">
        <v>38.8759270054701</v>
      </c>
      <c r="I2572" t="n">
        <v>-104.814142280733</v>
      </c>
      <c r="J2572" t="s">
        <v>4109</v>
      </c>
      <c r="K2572" t="s">
        <v>282</v>
      </c>
      <c r="L2572"/>
      <c r="M2572" t="n">
        <v>1988</v>
      </c>
      <c r="N2572" t="n">
        <v>1988</v>
      </c>
      <c r="O2572" t="s">
        <v>325</v>
      </c>
      <c r="P2572" t="n">
        <v>1</v>
      </c>
      <c r="Q2572" t="n">
        <v>2</v>
      </c>
      <c r="R2572" t="n">
        <v>1</v>
      </c>
      <c r="S2572" t="n">
        <v>1978</v>
      </c>
      <c r="T2572" t="s">
        <v>16846</v>
      </c>
      <c r="U2572" t="s">
        <v>16847</v>
      </c>
      <c r="V2572" t="s">
        <v>74</v>
      </c>
      <c r="W2572"/>
      <c r="X2572"/>
      <c r="Y2572" t="s">
        <v>16848</v>
      </c>
      <c r="Z2572"/>
      <c r="AA2572"/>
      <c r="AB2572" t="s">
        <v>16849</v>
      </c>
      <c r="AC2572" t="n">
        <v>194</v>
      </c>
      <c r="AD2572" t="s">
        <v>9429</v>
      </c>
      <c r="AE2572" t="n">
        <v>190</v>
      </c>
      <c r="AF2572" t="s">
        <v>16850</v>
      </c>
      <c r="AG2572" t="n">
        <v>27</v>
      </c>
    </row>
    <row r="2573">
      <c r="A2573" t="s">
        <v>16851</v>
      </c>
      <c r="B2573" t="s">
        <v>28</v>
      </c>
      <c r="C2573" t="s">
        <v>24</v>
      </c>
      <c r="D2573" t="s">
        <v>16852</v>
      </c>
      <c r="E2573" t="s">
        <v>2272</v>
      </c>
      <c r="F2573" t="s">
        <v>2267</v>
      </c>
      <c r="G2573" t="s">
        <v>2296</v>
      </c>
      <c r="H2573" t="n">
        <v>38.885955</v>
      </c>
      <c r="I2573" t="n">
        <v>-104.812648</v>
      </c>
      <c r="J2573" t="s">
        <v>4109</v>
      </c>
      <c r="K2573" t="s">
        <v>70</v>
      </c>
      <c r="L2573"/>
      <c r="M2573" t="n">
        <v>1988</v>
      </c>
      <c r="N2573" t="n">
        <v>1988</v>
      </c>
      <c r="O2573" t="s">
        <v>325</v>
      </c>
      <c r="P2573" t="n">
        <v>1</v>
      </c>
      <c r="Q2573" t="n">
        <v>1</v>
      </c>
      <c r="R2573" t="n">
        <v>1</v>
      </c>
      <c r="S2573" t="n">
        <v>1973</v>
      </c>
      <c r="T2573" t="s">
        <v>16853</v>
      </c>
      <c r="U2573" t="s">
        <v>16854</v>
      </c>
      <c r="V2573" t="s">
        <v>74</v>
      </c>
      <c r="W2573"/>
      <c r="X2573"/>
      <c r="Y2573" t="s">
        <v>16855</v>
      </c>
      <c r="Z2573"/>
      <c r="AA2573" t="s">
        <v>16856</v>
      </c>
      <c r="AB2573"/>
      <c r="AC2573"/>
      <c r="AD2573"/>
      <c r="AE2573"/>
      <c r="AF2573" t="s">
        <v>16857</v>
      </c>
      <c r="AG2573" t="n">
        <v>84</v>
      </c>
    </row>
    <row r="2574">
      <c r="A2574" t="s">
        <v>16858</v>
      </c>
      <c r="B2574" t="s">
        <v>28</v>
      </c>
      <c r="C2574" t="s">
        <v>24</v>
      </c>
      <c r="D2574" t="s">
        <v>16859</v>
      </c>
      <c r="E2574" t="s">
        <v>2272</v>
      </c>
      <c r="F2574" t="s">
        <v>2267</v>
      </c>
      <c r="G2574" t="s">
        <v>2273</v>
      </c>
      <c r="H2574" t="n">
        <v>38.857289332028</v>
      </c>
      <c r="I2574" t="n">
        <v>-104.758761960841</v>
      </c>
      <c r="J2574" t="s">
        <v>4109</v>
      </c>
      <c r="K2574" t="s">
        <v>796</v>
      </c>
      <c r="L2574"/>
      <c r="M2574" t="n">
        <v>1990</v>
      </c>
      <c r="N2574" t="n">
        <v>1990</v>
      </c>
      <c r="O2574" t="s">
        <v>351</v>
      </c>
      <c r="P2574" t="n">
        <v>1</v>
      </c>
      <c r="Q2574" t="n">
        <v>1</v>
      </c>
      <c r="R2574" t="n">
        <v>1</v>
      </c>
      <c r="S2574" t="n">
        <v>1981</v>
      </c>
      <c r="T2574" t="s">
        <v>16860</v>
      </c>
      <c r="U2574" t="s">
        <v>16861</v>
      </c>
      <c r="V2574" t="s">
        <v>74</v>
      </c>
      <c r="W2574"/>
      <c r="X2574"/>
      <c r="Y2574" t="s">
        <v>16862</v>
      </c>
      <c r="Z2574"/>
      <c r="AA2574" t="s">
        <v>16863</v>
      </c>
      <c r="AB2574"/>
      <c r="AC2574"/>
      <c r="AD2574"/>
      <c r="AE2574"/>
      <c r="AF2574" t="s">
        <v>16864</v>
      </c>
      <c r="AG2574" t="n">
        <v>201</v>
      </c>
    </row>
    <row r="2575">
      <c r="A2575" t="s">
        <v>16865</v>
      </c>
      <c r="B2575" t="s">
        <v>28</v>
      </c>
      <c r="C2575" t="s">
        <v>24</v>
      </c>
      <c r="D2575" t="s">
        <v>16866</v>
      </c>
      <c r="E2575" t="s">
        <v>2272</v>
      </c>
      <c r="F2575" t="s">
        <v>2267</v>
      </c>
      <c r="G2575" t="s">
        <v>2296</v>
      </c>
      <c r="H2575" t="n">
        <v>38.8966882953084</v>
      </c>
      <c r="I2575" t="n">
        <v>-104.84286458369</v>
      </c>
      <c r="J2575" t="s">
        <v>4109</v>
      </c>
      <c r="K2575" t="s">
        <v>70</v>
      </c>
      <c r="L2575"/>
      <c r="M2575" t="n">
        <v>1990</v>
      </c>
      <c r="N2575" t="n">
        <v>1992</v>
      </c>
      <c r="O2575" t="s">
        <v>1016</v>
      </c>
      <c r="P2575" t="n">
        <v>2</v>
      </c>
      <c r="Q2575" t="n">
        <v>2</v>
      </c>
      <c r="R2575" t="n">
        <v>1</v>
      </c>
      <c r="S2575" t="n">
        <v>1980</v>
      </c>
      <c r="T2575" t="s">
        <v>16867</v>
      </c>
      <c r="U2575" t="s">
        <v>16868</v>
      </c>
      <c r="V2575" t="s">
        <v>74</v>
      </c>
      <c r="W2575"/>
      <c r="X2575"/>
      <c r="Y2575" t="s">
        <v>16869</v>
      </c>
      <c r="Z2575"/>
      <c r="AA2575" t="s">
        <v>16870</v>
      </c>
      <c r="AB2575"/>
      <c r="AC2575"/>
      <c r="AD2575"/>
      <c r="AE2575"/>
      <c r="AF2575" t="s">
        <v>16871</v>
      </c>
      <c r="AG2575" t="n">
        <v>53</v>
      </c>
    </row>
    <row r="2576">
      <c r="A2576" t="s">
        <v>16872</v>
      </c>
      <c r="B2576" t="s">
        <v>28</v>
      </c>
      <c r="C2576" t="s">
        <v>65</v>
      </c>
      <c r="D2576" t="s">
        <v>16873</v>
      </c>
      <c r="E2576" t="s">
        <v>2272</v>
      </c>
      <c r="F2576" t="s">
        <v>2267</v>
      </c>
      <c r="G2576" t="s">
        <v>2444</v>
      </c>
      <c r="H2576" t="n">
        <v>38.8658799872488</v>
      </c>
      <c r="I2576" t="n">
        <v>-104.719754748648</v>
      </c>
      <c r="J2576" t="s">
        <v>35</v>
      </c>
      <c r="K2576" t="s">
        <v>120</v>
      </c>
      <c r="L2576"/>
      <c r="M2576" t="n">
        <v>1990</v>
      </c>
      <c r="N2576" t="n">
        <v>1990</v>
      </c>
      <c r="O2576" t="s">
        <v>351</v>
      </c>
      <c r="P2576" t="n">
        <v>1</v>
      </c>
      <c r="Q2576" t="n">
        <v>2</v>
      </c>
      <c r="R2576" t="n">
        <v>1</v>
      </c>
      <c r="S2576" t="n">
        <v>1981</v>
      </c>
      <c r="T2576" t="s">
        <v>16874</v>
      </c>
      <c r="U2576" t="s">
        <v>16875</v>
      </c>
      <c r="V2576" t="s">
        <v>74</v>
      </c>
      <c r="W2576"/>
      <c r="X2576"/>
      <c r="Y2576" t="s">
        <v>16876</v>
      </c>
      <c r="Z2576"/>
      <c r="AA2576" t="s">
        <v>16877</v>
      </c>
      <c r="AB2576"/>
      <c r="AC2576"/>
      <c r="AD2576" t="s">
        <v>9350</v>
      </c>
      <c r="AE2576" t="n">
        <v>186</v>
      </c>
      <c r="AF2576" t="s">
        <v>16878</v>
      </c>
      <c r="AG2576" t="n">
        <v>15</v>
      </c>
    </row>
    <row r="2577">
      <c r="A2577" t="s">
        <v>16879</v>
      </c>
      <c r="B2577" t="s">
        <v>28</v>
      </c>
      <c r="C2577" t="s">
        <v>65</v>
      </c>
      <c r="D2577" t="s">
        <v>16880</v>
      </c>
      <c r="E2577" t="s">
        <v>2272</v>
      </c>
      <c r="F2577" t="s">
        <v>2267</v>
      </c>
      <c r="G2577" t="s">
        <v>2282</v>
      </c>
      <c r="H2577" t="n">
        <v>38.832746145543</v>
      </c>
      <c r="I2577" t="n">
        <v>-104.834576585634</v>
      </c>
      <c r="J2577" t="s">
        <v>35</v>
      </c>
      <c r="K2577" t="s">
        <v>70</v>
      </c>
      <c r="L2577"/>
      <c r="M2577" t="n">
        <v>1990</v>
      </c>
      <c r="N2577" t="n">
        <v>1990</v>
      </c>
      <c r="O2577" t="s">
        <v>351</v>
      </c>
      <c r="P2577" t="n">
        <v>1</v>
      </c>
      <c r="Q2577" t="n">
        <v>2</v>
      </c>
      <c r="R2577" t="n">
        <v>1</v>
      </c>
      <c r="S2577" t="n">
        <v>1976</v>
      </c>
      <c r="T2577" t="s">
        <v>16881</v>
      </c>
      <c r="U2577" t="s">
        <v>16882</v>
      </c>
      <c r="V2577" t="s">
        <v>74</v>
      </c>
      <c r="W2577"/>
      <c r="X2577"/>
      <c r="Y2577" t="s">
        <v>16883</v>
      </c>
      <c r="Z2577"/>
      <c r="AA2577" t="s">
        <v>16884</v>
      </c>
      <c r="AB2577" t="s">
        <v>2285</v>
      </c>
      <c r="AC2577" t="n">
        <v>195</v>
      </c>
      <c r="AD2577"/>
      <c r="AE2577"/>
      <c r="AF2577" t="s">
        <v>16885</v>
      </c>
      <c r="AG2577" t="n">
        <v>6</v>
      </c>
    </row>
    <row r="2578">
      <c r="A2578" t="s">
        <v>16886</v>
      </c>
      <c r="B2578" t="s">
        <v>28</v>
      </c>
      <c r="C2578" t="s">
        <v>65</v>
      </c>
      <c r="D2578" t="s">
        <v>16887</v>
      </c>
      <c r="E2578" t="s">
        <v>2272</v>
      </c>
      <c r="F2578" t="s">
        <v>2267</v>
      </c>
      <c r="G2578" t="s">
        <v>2296</v>
      </c>
      <c r="H2578" t="n">
        <v>38.8998487525522</v>
      </c>
      <c r="I2578" t="n">
        <v>-104.845879165341</v>
      </c>
      <c r="J2578" t="s">
        <v>35</v>
      </c>
      <c r="K2578" t="s">
        <v>120</v>
      </c>
      <c r="L2578"/>
      <c r="M2578" t="n">
        <v>1990</v>
      </c>
      <c r="N2578" t="n">
        <v>1990</v>
      </c>
      <c r="O2578" t="s">
        <v>351</v>
      </c>
      <c r="P2578" t="n">
        <v>1</v>
      </c>
      <c r="Q2578" t="n">
        <v>1</v>
      </c>
      <c r="R2578" t="n">
        <v>1</v>
      </c>
      <c r="S2578" t="n">
        <v>1983</v>
      </c>
      <c r="T2578" t="s">
        <v>16888</v>
      </c>
      <c r="U2578" t="s">
        <v>16889</v>
      </c>
      <c r="V2578" t="s">
        <v>74</v>
      </c>
      <c r="W2578"/>
      <c r="X2578"/>
      <c r="Y2578" t="s">
        <v>16890</v>
      </c>
      <c r="Z2578"/>
      <c r="AA2578" t="s">
        <v>16891</v>
      </c>
      <c r="AB2578"/>
      <c r="AC2578"/>
      <c r="AD2578"/>
      <c r="AE2578"/>
      <c r="AF2578" t="s">
        <v>16892</v>
      </c>
      <c r="AG2578" t="n">
        <v>43</v>
      </c>
    </row>
    <row r="2579">
      <c r="A2579" t="s">
        <v>16893</v>
      </c>
      <c r="B2579" t="s">
        <v>28</v>
      </c>
      <c r="C2579" t="s">
        <v>65</v>
      </c>
      <c r="D2579" t="s">
        <v>16894</v>
      </c>
      <c r="E2579" t="s">
        <v>2272</v>
      </c>
      <c r="F2579" t="s">
        <v>2267</v>
      </c>
      <c r="G2579" t="s">
        <v>4608</v>
      </c>
      <c r="H2579" t="n">
        <v>38.9037325153035</v>
      </c>
      <c r="I2579" t="n">
        <v>-104.861356091821</v>
      </c>
      <c r="J2579" t="s">
        <v>35</v>
      </c>
      <c r="K2579" t="s">
        <v>120</v>
      </c>
      <c r="L2579"/>
      <c r="M2579" t="n">
        <v>1990</v>
      </c>
      <c r="N2579" t="n">
        <v>1990</v>
      </c>
      <c r="O2579" t="s">
        <v>351</v>
      </c>
      <c r="P2579" t="n">
        <v>1</v>
      </c>
      <c r="Q2579" t="n">
        <v>1</v>
      </c>
      <c r="R2579" t="n">
        <v>1</v>
      </c>
      <c r="S2579" t="n">
        <v>1986</v>
      </c>
      <c r="T2579" t="s">
        <v>16895</v>
      </c>
      <c r="U2579" t="s">
        <v>16896</v>
      </c>
      <c r="V2579" t="s">
        <v>74</v>
      </c>
      <c r="W2579"/>
      <c r="X2579"/>
      <c r="Y2579" t="s">
        <v>16897</v>
      </c>
      <c r="Z2579"/>
      <c r="AA2579" t="s">
        <v>16898</v>
      </c>
      <c r="AB2579"/>
      <c r="AC2579"/>
      <c r="AD2579"/>
      <c r="AE2579"/>
      <c r="AF2579" t="s">
        <v>16899</v>
      </c>
      <c r="AG2579" t="n">
        <v>40</v>
      </c>
    </row>
    <row r="2580">
      <c r="A2580" t="s">
        <v>16900</v>
      </c>
      <c r="B2580" t="s">
        <v>28</v>
      </c>
      <c r="C2580" t="s">
        <v>65</v>
      </c>
      <c r="D2580" t="s">
        <v>16901</v>
      </c>
      <c r="E2580" t="s">
        <v>2272</v>
      </c>
      <c r="F2580" t="s">
        <v>2267</v>
      </c>
      <c r="G2580" t="s">
        <v>2296</v>
      </c>
      <c r="H2580" t="n">
        <v>38.8996867857143</v>
      </c>
      <c r="I2580" t="n">
        <v>-104.835751714286</v>
      </c>
      <c r="J2580" t="s">
        <v>35</v>
      </c>
      <c r="K2580" t="s">
        <v>141</v>
      </c>
      <c r="L2580"/>
      <c r="M2580" t="n">
        <v>1990</v>
      </c>
      <c r="N2580" t="n">
        <v>1992</v>
      </c>
      <c r="O2580" t="s">
        <v>357</v>
      </c>
      <c r="P2580" t="n">
        <v>2</v>
      </c>
      <c r="Q2580" t="n">
        <v>2</v>
      </c>
      <c r="R2580" t="n">
        <v>2</v>
      </c>
      <c r="S2580" t="n">
        <v>1973</v>
      </c>
      <c r="T2580" t="s">
        <v>16902</v>
      </c>
      <c r="U2580" t="s">
        <v>16903</v>
      </c>
      <c r="V2580" t="s">
        <v>74</v>
      </c>
      <c r="W2580"/>
      <c r="X2580"/>
      <c r="Y2580" t="s">
        <v>16904</v>
      </c>
      <c r="Z2580"/>
      <c r="AA2580" t="s">
        <v>16905</v>
      </c>
      <c r="AB2580"/>
      <c r="AC2580"/>
      <c r="AD2580"/>
      <c r="AE2580"/>
      <c r="AF2580" t="s">
        <v>16906</v>
      </c>
      <c r="AG2580" t="n">
        <v>6</v>
      </c>
    </row>
    <row r="2581">
      <c r="A2581" t="s">
        <v>16907</v>
      </c>
      <c r="B2581" t="s">
        <v>28</v>
      </c>
      <c r="C2581" t="s">
        <v>65</v>
      </c>
      <c r="D2581" t="s">
        <v>16908</v>
      </c>
      <c r="E2581" t="s">
        <v>2272</v>
      </c>
      <c r="F2581" t="s">
        <v>2267</v>
      </c>
      <c r="G2581" t="s">
        <v>2296</v>
      </c>
      <c r="H2581" t="n">
        <v>38.8989590095331</v>
      </c>
      <c r="I2581" t="n">
        <v>-104.847122</v>
      </c>
      <c r="J2581" t="s">
        <v>35</v>
      </c>
      <c r="K2581" t="s">
        <v>70</v>
      </c>
      <c r="L2581"/>
      <c r="M2581" t="n">
        <v>1990</v>
      </c>
      <c r="N2581" t="n">
        <v>1990</v>
      </c>
      <c r="O2581" t="s">
        <v>351</v>
      </c>
      <c r="P2581" t="n">
        <v>1</v>
      </c>
      <c r="Q2581" t="n">
        <v>1</v>
      </c>
      <c r="R2581" t="n">
        <v>1</v>
      </c>
      <c r="S2581" t="n">
        <v>1986</v>
      </c>
      <c r="T2581" t="s">
        <v>16909</v>
      </c>
      <c r="U2581" t="s">
        <v>16910</v>
      </c>
      <c r="V2581" t="s">
        <v>74</v>
      </c>
      <c r="W2581"/>
      <c r="X2581"/>
      <c r="Y2581" t="s">
        <v>16911</v>
      </c>
      <c r="Z2581"/>
      <c r="AA2581" t="s">
        <v>16912</v>
      </c>
      <c r="AB2581"/>
      <c r="AC2581"/>
      <c r="AD2581"/>
      <c r="AE2581"/>
      <c r="AF2581" t="s">
        <v>16913</v>
      </c>
      <c r="AG2581" t="n">
        <v>22</v>
      </c>
    </row>
    <row r="2582">
      <c r="A2582" t="s">
        <v>16914</v>
      </c>
      <c r="B2582" t="s">
        <v>28</v>
      </c>
      <c r="C2582" t="s">
        <v>65</v>
      </c>
      <c r="D2582" t="s">
        <v>16915</v>
      </c>
      <c r="E2582" t="s">
        <v>2272</v>
      </c>
      <c r="F2582" t="s">
        <v>2267</v>
      </c>
      <c r="G2582" t="s">
        <v>2296</v>
      </c>
      <c r="H2582" t="n">
        <v>38.8870026052944</v>
      </c>
      <c r="I2582" t="n">
        <v>-104.830788349417</v>
      </c>
      <c r="J2582" t="s">
        <v>35</v>
      </c>
      <c r="K2582" t="s">
        <v>70</v>
      </c>
      <c r="L2582"/>
      <c r="M2582" t="n">
        <v>1990</v>
      </c>
      <c r="N2582" t="n">
        <v>1990</v>
      </c>
      <c r="O2582" t="s">
        <v>351</v>
      </c>
      <c r="P2582" t="n">
        <v>1</v>
      </c>
      <c r="Q2582" t="n">
        <v>1</v>
      </c>
      <c r="R2582" t="n">
        <v>1</v>
      </c>
      <c r="S2582" t="n">
        <v>1981</v>
      </c>
      <c r="T2582" t="s">
        <v>16916</v>
      </c>
      <c r="U2582" t="s">
        <v>16917</v>
      </c>
      <c r="V2582" t="s">
        <v>74</v>
      </c>
      <c r="W2582"/>
      <c r="X2582"/>
      <c r="Y2582" t="s">
        <v>16918</v>
      </c>
      <c r="Z2582"/>
      <c r="AA2582"/>
      <c r="AB2582" t="s">
        <v>9507</v>
      </c>
      <c r="AC2582" t="n">
        <v>243</v>
      </c>
      <c r="AD2582" t="s">
        <v>16919</v>
      </c>
      <c r="AE2582" t="n">
        <v>218</v>
      </c>
      <c r="AF2582" t="s">
        <v>16920</v>
      </c>
      <c r="AG2582" t="n">
        <v>28</v>
      </c>
    </row>
    <row r="2583">
      <c r="A2583" t="s">
        <v>16921</v>
      </c>
      <c r="B2583" t="s">
        <v>28</v>
      </c>
      <c r="C2583" t="s">
        <v>24</v>
      </c>
      <c r="D2583" t="s">
        <v>16922</v>
      </c>
      <c r="E2583" t="s">
        <v>2272</v>
      </c>
      <c r="F2583" t="s">
        <v>2267</v>
      </c>
      <c r="G2583" t="s">
        <v>2326</v>
      </c>
      <c r="H2583" t="n">
        <v>38.839020750763</v>
      </c>
      <c r="I2583" t="n">
        <v>-104.846438098505</v>
      </c>
      <c r="J2583" t="s">
        <v>4109</v>
      </c>
      <c r="K2583" t="s">
        <v>70</v>
      </c>
      <c r="L2583"/>
      <c r="M2583" t="n">
        <v>1992</v>
      </c>
      <c r="N2583" t="n">
        <v>1992</v>
      </c>
      <c r="O2583" t="s">
        <v>1016</v>
      </c>
      <c r="P2583" t="n">
        <v>1</v>
      </c>
      <c r="Q2583" t="n">
        <v>1</v>
      </c>
      <c r="R2583" t="n">
        <v>1</v>
      </c>
      <c r="S2583" t="n">
        <v>1986</v>
      </c>
      <c r="T2583" t="s">
        <v>16923</v>
      </c>
      <c r="U2583" t="s">
        <v>16924</v>
      </c>
      <c r="V2583" t="s">
        <v>74</v>
      </c>
      <c r="W2583"/>
      <c r="X2583"/>
      <c r="Y2583" t="s">
        <v>16925</v>
      </c>
      <c r="Z2583"/>
      <c r="AA2583" t="s">
        <v>16926</v>
      </c>
      <c r="AB2583"/>
      <c r="AC2583"/>
      <c r="AD2583"/>
      <c r="AE2583"/>
      <c r="AF2583" t="s">
        <v>7416</v>
      </c>
      <c r="AG2583" t="n">
        <v>190</v>
      </c>
    </row>
    <row r="2584">
      <c r="A2584" t="s">
        <v>16927</v>
      </c>
      <c r="B2584" t="s">
        <v>28</v>
      </c>
      <c r="C2584" t="s">
        <v>24</v>
      </c>
      <c r="D2584" t="s">
        <v>16928</v>
      </c>
      <c r="E2584" t="s">
        <v>2272</v>
      </c>
      <c r="F2584" t="s">
        <v>2267</v>
      </c>
      <c r="G2584" t="s">
        <v>2289</v>
      </c>
      <c r="H2584" t="n">
        <v>38.845212572731</v>
      </c>
      <c r="I2584" t="n">
        <v>-104.817532194829</v>
      </c>
      <c r="J2584" t="s">
        <v>4109</v>
      </c>
      <c r="K2584" t="s">
        <v>70</v>
      </c>
      <c r="L2584"/>
      <c r="M2584" t="n">
        <v>1992</v>
      </c>
      <c r="N2584" t="n">
        <v>1992</v>
      </c>
      <c r="O2584" t="s">
        <v>1016</v>
      </c>
      <c r="P2584" t="n">
        <v>1</v>
      </c>
      <c r="Q2584" t="n">
        <v>1</v>
      </c>
      <c r="R2584" t="n">
        <v>1</v>
      </c>
      <c r="S2584"/>
      <c r="T2584" t="s">
        <v>16929</v>
      </c>
      <c r="U2584" t="s">
        <v>16930</v>
      </c>
      <c r="V2584" t="s">
        <v>74</v>
      </c>
      <c r="W2584"/>
      <c r="X2584"/>
      <c r="Y2584" t="s">
        <v>16931</v>
      </c>
      <c r="Z2584"/>
      <c r="AA2584"/>
      <c r="AB2584"/>
      <c r="AC2584"/>
      <c r="AD2584"/>
      <c r="AE2584"/>
      <c r="AF2584" t="s">
        <v>2522</v>
      </c>
      <c r="AG2584" t="n">
        <v>187</v>
      </c>
    </row>
    <row r="2585">
      <c r="A2585" t="s">
        <v>16932</v>
      </c>
      <c r="B2585" t="s">
        <v>28</v>
      </c>
      <c r="C2585" t="s">
        <v>65</v>
      </c>
      <c r="D2585" t="s">
        <v>16933</v>
      </c>
      <c r="E2585" t="s">
        <v>2639</v>
      </c>
      <c r="F2585" t="s">
        <v>2640</v>
      </c>
      <c r="G2585" t="s">
        <v>2641</v>
      </c>
      <c r="H2585" t="n">
        <v>38.44672</v>
      </c>
      <c r="I2585" t="n">
        <v>-105.206778571429</v>
      </c>
      <c r="J2585" t="s">
        <v>35</v>
      </c>
      <c r="K2585" t="s">
        <v>141</v>
      </c>
      <c r="L2585"/>
      <c r="M2585" t="n">
        <v>1974</v>
      </c>
      <c r="N2585" t="n">
        <v>1990</v>
      </c>
      <c r="O2585" t="s">
        <v>482</v>
      </c>
      <c r="P2585" t="n">
        <v>5</v>
      </c>
      <c r="Q2585" t="n">
        <v>1</v>
      </c>
      <c r="R2585" t="n">
        <v>1</v>
      </c>
      <c r="S2585" t="n">
        <v>1972</v>
      </c>
      <c r="T2585" t="s">
        <v>16934</v>
      </c>
      <c r="U2585" t="s">
        <v>16935</v>
      </c>
      <c r="V2585" t="s">
        <v>74</v>
      </c>
      <c r="W2585"/>
      <c r="X2585"/>
      <c r="Y2585" t="s">
        <v>16936</v>
      </c>
      <c r="Z2585"/>
      <c r="AA2585"/>
      <c r="AB2585"/>
      <c r="AC2585"/>
      <c r="AD2585"/>
      <c r="AE2585"/>
      <c r="AF2585" t="s">
        <v>16937</v>
      </c>
      <c r="AG2585" t="n">
        <v>84</v>
      </c>
    </row>
    <row r="2586">
      <c r="A2586" t="s">
        <v>16938</v>
      </c>
      <c r="B2586" t="s">
        <v>28</v>
      </c>
      <c r="C2586" t="s">
        <v>24</v>
      </c>
      <c r="D2586" t="s">
        <v>16939</v>
      </c>
      <c r="E2586" t="s">
        <v>16940</v>
      </c>
      <c r="F2586" t="s">
        <v>2640</v>
      </c>
      <c r="G2586" t="s">
        <v>16941</v>
      </c>
      <c r="H2586" t="n">
        <v>38.4248412244898</v>
      </c>
      <c r="I2586" t="n">
        <v>-105.026706122449</v>
      </c>
      <c r="J2586" t="s">
        <v>4109</v>
      </c>
      <c r="K2586" t="s">
        <v>220</v>
      </c>
      <c r="L2586"/>
      <c r="M2586" t="n">
        <v>1980</v>
      </c>
      <c r="N2586" t="n">
        <v>1990</v>
      </c>
      <c r="O2586" t="s">
        <v>540</v>
      </c>
      <c r="P2586" t="n">
        <v>4</v>
      </c>
      <c r="Q2586" t="n">
        <v>3</v>
      </c>
      <c r="R2586" t="n">
        <v>3</v>
      </c>
      <c r="S2586" t="n">
        <v>1974</v>
      </c>
      <c r="T2586" t="s">
        <v>16942</v>
      </c>
      <c r="U2586" t="s">
        <v>16943</v>
      </c>
      <c r="V2586" t="s">
        <v>74</v>
      </c>
      <c r="W2586"/>
      <c r="X2586"/>
      <c r="Y2586" t="s">
        <v>16944</v>
      </c>
      <c r="Z2586"/>
      <c r="AA2586" t="s">
        <v>16945</v>
      </c>
      <c r="AB2586"/>
      <c r="AC2586"/>
      <c r="AD2586"/>
      <c r="AE2586"/>
      <c r="AF2586" t="s">
        <v>16946</v>
      </c>
      <c r="AG2586" t="n">
        <v>25</v>
      </c>
    </row>
    <row r="2587">
      <c r="A2587" t="s">
        <v>16947</v>
      </c>
      <c r="B2587" t="s">
        <v>28</v>
      </c>
      <c r="C2587" t="s">
        <v>65</v>
      </c>
      <c r="D2587" t="s">
        <v>16948</v>
      </c>
      <c r="E2587" t="s">
        <v>2639</v>
      </c>
      <c r="F2587" t="s">
        <v>2640</v>
      </c>
      <c r="G2587" t="s">
        <v>2641</v>
      </c>
      <c r="H2587" t="n">
        <v>38.4372176891315</v>
      </c>
      <c r="I2587" t="n">
        <v>-105.234935172876</v>
      </c>
      <c r="J2587" t="s">
        <v>35</v>
      </c>
      <c r="K2587" t="s">
        <v>81</v>
      </c>
      <c r="L2587"/>
      <c r="M2587" t="n">
        <v>1983</v>
      </c>
      <c r="N2587" t="n">
        <v>1990</v>
      </c>
      <c r="O2587" t="s">
        <v>271</v>
      </c>
      <c r="P2587" t="n">
        <v>3</v>
      </c>
      <c r="Q2587" t="n">
        <v>3</v>
      </c>
      <c r="R2587" t="n">
        <v>3</v>
      </c>
      <c r="S2587" t="n">
        <v>1978</v>
      </c>
      <c r="T2587" t="s">
        <v>16949</v>
      </c>
      <c r="U2587" t="s">
        <v>16950</v>
      </c>
      <c r="V2587" t="s">
        <v>74</v>
      </c>
      <c r="W2587"/>
      <c r="X2587"/>
      <c r="Y2587" t="s">
        <v>16951</v>
      </c>
      <c r="Z2587"/>
      <c r="AA2587"/>
      <c r="AB2587"/>
      <c r="AC2587"/>
      <c r="AD2587" t="s">
        <v>16952</v>
      </c>
      <c r="AE2587" t="n">
        <v>210</v>
      </c>
      <c r="AF2587" t="s">
        <v>16953</v>
      </c>
      <c r="AG2587" t="n">
        <v>39</v>
      </c>
    </row>
    <row r="2588">
      <c r="A2588" t="s">
        <v>16954</v>
      </c>
      <c r="B2588" t="s">
        <v>28</v>
      </c>
      <c r="C2588" t="s">
        <v>65</v>
      </c>
      <c r="D2588" t="s">
        <v>16955</v>
      </c>
      <c r="E2588" t="s">
        <v>2639</v>
      </c>
      <c r="F2588" t="s">
        <v>2640</v>
      </c>
      <c r="G2588" t="s">
        <v>2641</v>
      </c>
      <c r="H2588" t="n">
        <v>38.4173703192699</v>
      </c>
      <c r="I2588" t="n">
        <v>-105.248522109512</v>
      </c>
      <c r="J2588" t="s">
        <v>35</v>
      </c>
      <c r="K2588" t="s">
        <v>988</v>
      </c>
      <c r="L2588"/>
      <c r="M2588" t="n">
        <v>1990</v>
      </c>
      <c r="N2588" t="n">
        <v>1990</v>
      </c>
      <c r="O2588" t="s">
        <v>351</v>
      </c>
      <c r="P2588" t="n">
        <v>1</v>
      </c>
      <c r="Q2588" t="n">
        <v>2</v>
      </c>
      <c r="R2588" t="n">
        <v>2</v>
      </c>
      <c r="S2588" t="n">
        <v>1987</v>
      </c>
      <c r="T2588" t="s">
        <v>16956</v>
      </c>
      <c r="U2588" t="s">
        <v>16957</v>
      </c>
      <c r="V2588" t="s">
        <v>74</v>
      </c>
      <c r="W2588"/>
      <c r="X2588"/>
      <c r="Y2588" t="s">
        <v>16958</v>
      </c>
      <c r="Z2588"/>
      <c r="AA2588"/>
      <c r="AB2588"/>
      <c r="AC2588"/>
      <c r="AD2588"/>
      <c r="AE2588"/>
      <c r="AF2588" t="s">
        <v>16959</v>
      </c>
      <c r="AG2588" t="n">
        <v>234</v>
      </c>
    </row>
    <row r="2589">
      <c r="A2589" t="s">
        <v>16960</v>
      </c>
      <c r="B2589" t="s">
        <v>28</v>
      </c>
      <c r="C2589" t="s">
        <v>65</v>
      </c>
      <c r="D2589" t="s">
        <v>16961</v>
      </c>
      <c r="E2589" t="s">
        <v>16940</v>
      </c>
      <c r="F2589" t="s">
        <v>2640</v>
      </c>
      <c r="G2589" t="s">
        <v>16941</v>
      </c>
      <c r="H2589" t="n">
        <v>38.4212255555556</v>
      </c>
      <c r="I2589" t="n">
        <v>-105.046095555556</v>
      </c>
      <c r="J2589" t="s">
        <v>35</v>
      </c>
      <c r="K2589" t="s">
        <v>70</v>
      </c>
      <c r="L2589"/>
      <c r="M2589" t="n">
        <v>1992</v>
      </c>
      <c r="N2589" t="n">
        <v>1992</v>
      </c>
      <c r="O2589" t="s">
        <v>1016</v>
      </c>
      <c r="P2589" t="n">
        <v>1</v>
      </c>
      <c r="Q2589" t="n">
        <v>1</v>
      </c>
      <c r="R2589" t="n">
        <v>1</v>
      </c>
      <c r="S2589" t="n">
        <v>1968</v>
      </c>
      <c r="T2589" t="s">
        <v>16962</v>
      </c>
      <c r="U2589" t="s">
        <v>16963</v>
      </c>
      <c r="V2589" t="s">
        <v>74</v>
      </c>
      <c r="W2589"/>
      <c r="X2589"/>
      <c r="Y2589" t="s">
        <v>16964</v>
      </c>
      <c r="Z2589"/>
      <c r="AA2589" t="s">
        <v>16965</v>
      </c>
      <c r="AB2589"/>
      <c r="AC2589"/>
      <c r="AD2589"/>
      <c r="AE2589"/>
      <c r="AF2589" t="s">
        <v>16966</v>
      </c>
      <c r="AG2589" t="n">
        <v>129</v>
      </c>
    </row>
    <row r="2590">
      <c r="A2590" t="s">
        <v>16967</v>
      </c>
      <c r="B2590" t="s">
        <v>28</v>
      </c>
      <c r="C2590" t="s">
        <v>65</v>
      </c>
      <c r="D2590" t="s">
        <v>16968</v>
      </c>
      <c r="E2590" t="s">
        <v>2666</v>
      </c>
      <c r="F2590" t="s">
        <v>2667</v>
      </c>
      <c r="G2590" t="s">
        <v>2668</v>
      </c>
      <c r="H2590" t="n">
        <v>39.5060189438217</v>
      </c>
      <c r="I2590" t="n">
        <v>-107.307883214151</v>
      </c>
      <c r="J2590" t="s">
        <v>35</v>
      </c>
      <c r="K2590" t="s">
        <v>70</v>
      </c>
      <c r="L2590"/>
      <c r="M2590" t="n">
        <v>1980</v>
      </c>
      <c r="N2590" t="n">
        <v>1980</v>
      </c>
      <c r="O2590" t="s">
        <v>255</v>
      </c>
      <c r="P2590" t="n">
        <v>1</v>
      </c>
      <c r="Q2590" t="n">
        <v>1</v>
      </c>
      <c r="R2590" t="n">
        <v>1</v>
      </c>
      <c r="S2590" t="n">
        <v>1979</v>
      </c>
      <c r="T2590" t="s">
        <v>16969</v>
      </c>
      <c r="U2590" t="s">
        <v>16970</v>
      </c>
      <c r="V2590" t="s">
        <v>74</v>
      </c>
      <c r="W2590"/>
      <c r="X2590"/>
      <c r="Y2590" t="s">
        <v>16971</v>
      </c>
      <c r="Z2590"/>
      <c r="AA2590"/>
      <c r="AB2590"/>
      <c r="AC2590"/>
      <c r="AD2590"/>
      <c r="AE2590"/>
      <c r="AF2590" t="s">
        <v>16972</v>
      </c>
      <c r="AG2590" t="n">
        <v>35</v>
      </c>
    </row>
    <row r="2591">
      <c r="A2591" t="s">
        <v>16973</v>
      </c>
      <c r="B2591" t="s">
        <v>28</v>
      </c>
      <c r="C2591" t="s">
        <v>65</v>
      </c>
      <c r="D2591" t="s">
        <v>16974</v>
      </c>
      <c r="E2591" t="s">
        <v>2666</v>
      </c>
      <c r="F2591" t="s">
        <v>2667</v>
      </c>
      <c r="G2591" t="s">
        <v>2668</v>
      </c>
      <c r="H2591" t="n">
        <v>39.5645686075259</v>
      </c>
      <c r="I2591" t="n">
        <v>-107.368365528424</v>
      </c>
      <c r="J2591" t="s">
        <v>35</v>
      </c>
      <c r="K2591" t="s">
        <v>120</v>
      </c>
      <c r="L2591"/>
      <c r="M2591" t="n">
        <v>1983</v>
      </c>
      <c r="N2591" t="n">
        <v>1983</v>
      </c>
      <c r="O2591" t="s">
        <v>264</v>
      </c>
      <c r="P2591" t="n">
        <v>1</v>
      </c>
      <c r="Q2591" t="n">
        <v>1</v>
      </c>
      <c r="R2591" t="n">
        <v>1</v>
      </c>
      <c r="S2591" t="n">
        <v>1979</v>
      </c>
      <c r="T2591" t="s">
        <v>16975</v>
      </c>
      <c r="U2591" t="s">
        <v>16976</v>
      </c>
      <c r="V2591" t="s">
        <v>74</v>
      </c>
      <c r="W2591"/>
      <c r="X2591"/>
      <c r="Y2591" t="s">
        <v>16977</v>
      </c>
      <c r="Z2591"/>
      <c r="AA2591"/>
      <c r="AB2591"/>
      <c r="AC2591"/>
      <c r="AD2591"/>
      <c r="AE2591"/>
      <c r="AF2591" t="s">
        <v>16978</v>
      </c>
      <c r="AG2591" t="n">
        <v>21</v>
      </c>
    </row>
    <row r="2592">
      <c r="A2592" t="s">
        <v>16979</v>
      </c>
      <c r="B2592" t="s">
        <v>28</v>
      </c>
      <c r="C2592" t="s">
        <v>24</v>
      </c>
      <c r="D2592" t="s">
        <v>16980</v>
      </c>
      <c r="E2592" t="s">
        <v>2675</v>
      </c>
      <c r="F2592" t="s">
        <v>2667</v>
      </c>
      <c r="G2592" t="s">
        <v>2676</v>
      </c>
      <c r="H2592" t="n">
        <v>39.530623</v>
      </c>
      <c r="I2592" t="n">
        <v>-107.784517</v>
      </c>
      <c r="J2592" t="s">
        <v>4109</v>
      </c>
      <c r="K2592" t="s">
        <v>89</v>
      </c>
      <c r="L2592"/>
      <c r="M2592" t="n">
        <v>1983</v>
      </c>
      <c r="N2592" t="n">
        <v>1990</v>
      </c>
      <c r="O2592" t="s">
        <v>271</v>
      </c>
      <c r="P2592" t="n">
        <v>3</v>
      </c>
      <c r="Q2592" t="n">
        <v>2</v>
      </c>
      <c r="R2592" t="n">
        <v>2</v>
      </c>
      <c r="S2592" t="n">
        <v>1979</v>
      </c>
      <c r="T2592" t="s">
        <v>16981</v>
      </c>
      <c r="U2592" t="s">
        <v>16982</v>
      </c>
      <c r="V2592" t="s">
        <v>74</v>
      </c>
      <c r="W2592"/>
      <c r="X2592"/>
      <c r="Y2592" t="s">
        <v>16983</v>
      </c>
      <c r="Z2592"/>
      <c r="AA2592" t="s">
        <v>16984</v>
      </c>
      <c r="AB2592"/>
      <c r="AC2592"/>
      <c r="AD2592"/>
      <c r="AE2592"/>
      <c r="AF2592" t="s">
        <v>16985</v>
      </c>
      <c r="AG2592" t="n">
        <v>117</v>
      </c>
    </row>
    <row r="2593">
      <c r="A2593" t="s">
        <v>16986</v>
      </c>
      <c r="B2593" t="s">
        <v>28</v>
      </c>
      <c r="C2593" t="s">
        <v>65</v>
      </c>
      <c r="D2593" t="s">
        <v>16987</v>
      </c>
      <c r="E2593" t="s">
        <v>16988</v>
      </c>
      <c r="F2593" t="s">
        <v>2667</v>
      </c>
      <c r="G2593" t="s">
        <v>16989</v>
      </c>
      <c r="H2593" t="n">
        <v>39.4047082107162</v>
      </c>
      <c r="I2593" t="n">
        <v>-107.21228643321</v>
      </c>
      <c r="J2593" t="s">
        <v>35</v>
      </c>
      <c r="K2593" t="s">
        <v>141</v>
      </c>
      <c r="L2593"/>
      <c r="M2593" t="n">
        <v>1988</v>
      </c>
      <c r="N2593" t="n">
        <v>1990</v>
      </c>
      <c r="O2593" t="s">
        <v>310</v>
      </c>
      <c r="P2593" t="n">
        <v>2</v>
      </c>
      <c r="Q2593" t="n">
        <v>2</v>
      </c>
      <c r="R2593" t="n">
        <v>2</v>
      </c>
      <c r="S2593" t="n">
        <v>1976</v>
      </c>
      <c r="T2593" t="s">
        <v>16990</v>
      </c>
      <c r="U2593" t="s">
        <v>16991</v>
      </c>
      <c r="V2593" t="s">
        <v>74</v>
      </c>
      <c r="W2593"/>
      <c r="X2593"/>
      <c r="Y2593" t="s">
        <v>16992</v>
      </c>
      <c r="Z2593"/>
      <c r="AA2593" t="s">
        <v>16993</v>
      </c>
      <c r="AB2593"/>
      <c r="AC2593"/>
      <c r="AD2593"/>
      <c r="AE2593"/>
      <c r="AF2593" t="s">
        <v>16994</v>
      </c>
      <c r="AG2593" t="n">
        <v>26</v>
      </c>
    </row>
    <row r="2594">
      <c r="A2594" t="s">
        <v>16995</v>
      </c>
      <c r="B2594" t="s">
        <v>28</v>
      </c>
      <c r="C2594" t="s">
        <v>24</v>
      </c>
      <c r="D2594" t="s">
        <v>16996</v>
      </c>
      <c r="E2594" t="s">
        <v>16988</v>
      </c>
      <c r="F2594" t="s">
        <v>2667</v>
      </c>
      <c r="G2594" t="s">
        <v>16989</v>
      </c>
      <c r="H2594" t="n">
        <v>39.4092323134978</v>
      </c>
      <c r="I2594" t="n">
        <v>-107.220539628762</v>
      </c>
      <c r="J2594" t="s">
        <v>4109</v>
      </c>
      <c r="K2594" t="s">
        <v>70</v>
      </c>
      <c r="L2594"/>
      <c r="M2594" t="n">
        <v>1990</v>
      </c>
      <c r="N2594" t="n">
        <v>1990</v>
      </c>
      <c r="O2594" t="s">
        <v>351</v>
      </c>
      <c r="P2594" t="n">
        <v>1</v>
      </c>
      <c r="Q2594" t="n">
        <v>1</v>
      </c>
      <c r="R2594" t="n">
        <v>1</v>
      </c>
      <c r="S2594" t="n">
        <v>1973</v>
      </c>
      <c r="T2594" t="s">
        <v>16997</v>
      </c>
      <c r="U2594" t="s">
        <v>16998</v>
      </c>
      <c r="V2594" t="s">
        <v>74</v>
      </c>
      <c r="W2594"/>
      <c r="X2594"/>
      <c r="Y2594" t="s">
        <v>16999</v>
      </c>
      <c r="Z2594"/>
      <c r="AA2594" t="s">
        <v>17000</v>
      </c>
      <c r="AB2594"/>
      <c r="AC2594"/>
      <c r="AD2594"/>
      <c r="AE2594"/>
      <c r="AF2594" t="s">
        <v>17001</v>
      </c>
      <c r="AG2594" t="n">
        <v>11</v>
      </c>
    </row>
    <row r="2595">
      <c r="A2595" t="s">
        <v>17002</v>
      </c>
      <c r="B2595" t="s">
        <v>28</v>
      </c>
      <c r="C2595" t="s">
        <v>65</v>
      </c>
      <c r="D2595" t="s">
        <v>17003</v>
      </c>
      <c r="E2595" t="s">
        <v>2666</v>
      </c>
      <c r="F2595" t="s">
        <v>2667</v>
      </c>
      <c r="G2595" t="s">
        <v>2668</v>
      </c>
      <c r="H2595" t="n">
        <v>39.532858498708</v>
      </c>
      <c r="I2595" t="n">
        <v>-107.322890676991</v>
      </c>
      <c r="J2595" t="s">
        <v>35</v>
      </c>
      <c r="K2595" t="s">
        <v>315</v>
      </c>
      <c r="L2595"/>
      <c r="M2595" t="n">
        <v>1992</v>
      </c>
      <c r="N2595" t="n">
        <v>1992</v>
      </c>
      <c r="O2595" t="s">
        <v>1016</v>
      </c>
      <c r="P2595" t="n">
        <v>1</v>
      </c>
      <c r="Q2595" t="n">
        <v>1</v>
      </c>
      <c r="R2595" t="n">
        <v>1</v>
      </c>
      <c r="S2595"/>
      <c r="T2595" t="s">
        <v>17004</v>
      </c>
      <c r="U2595" t="s">
        <v>17005</v>
      </c>
      <c r="V2595" t="s">
        <v>74</v>
      </c>
      <c r="W2595"/>
      <c r="X2595"/>
      <c r="Y2595" t="s">
        <v>17006</v>
      </c>
      <c r="Z2595"/>
      <c r="AA2595"/>
      <c r="AB2595"/>
      <c r="AC2595"/>
      <c r="AD2595"/>
      <c r="AE2595"/>
      <c r="AF2595" t="s">
        <v>17007</v>
      </c>
      <c r="AG2595" t="n">
        <v>35</v>
      </c>
    </row>
    <row r="2596">
      <c r="A2596" t="s">
        <v>17008</v>
      </c>
      <c r="B2596" t="s">
        <v>28</v>
      </c>
      <c r="C2596" t="s">
        <v>24</v>
      </c>
      <c r="D2596" t="s">
        <v>17009</v>
      </c>
      <c r="E2596" t="s">
        <v>17010</v>
      </c>
      <c r="F2596" t="s">
        <v>17011</v>
      </c>
      <c r="G2596" t="s">
        <v>17012</v>
      </c>
      <c r="H2596" t="n">
        <v>39.8683617781515</v>
      </c>
      <c r="I2596" t="n">
        <v>-105.474281029528</v>
      </c>
      <c r="J2596" t="s">
        <v>4109</v>
      </c>
      <c r="K2596" t="s">
        <v>234</v>
      </c>
      <c r="L2596"/>
      <c r="M2596" t="n">
        <v>1983</v>
      </c>
      <c r="N2596" t="n">
        <v>1990</v>
      </c>
      <c r="O2596" t="s">
        <v>293</v>
      </c>
      <c r="P2596" t="n">
        <v>2</v>
      </c>
      <c r="Q2596" t="n">
        <v>2</v>
      </c>
      <c r="R2596" t="n">
        <v>2</v>
      </c>
      <c r="S2596" t="n">
        <v>1964</v>
      </c>
      <c r="T2596" t="s">
        <v>17013</v>
      </c>
      <c r="U2596" t="s">
        <v>17014</v>
      </c>
      <c r="V2596" t="s">
        <v>74</v>
      </c>
      <c r="W2596"/>
      <c r="X2596"/>
      <c r="Y2596" t="s">
        <v>17015</v>
      </c>
      <c r="Z2596"/>
      <c r="AA2596"/>
      <c r="AB2596"/>
      <c r="AC2596"/>
      <c r="AD2596"/>
      <c r="AE2596"/>
      <c r="AF2596" t="s">
        <v>17016</v>
      </c>
      <c r="AG2596" t="n">
        <v>44</v>
      </c>
    </row>
    <row r="2597">
      <c r="A2597" t="s">
        <v>17017</v>
      </c>
      <c r="B2597" t="s">
        <v>28</v>
      </c>
      <c r="C2597" t="s">
        <v>24</v>
      </c>
      <c r="D2597" t="s">
        <v>17018</v>
      </c>
      <c r="E2597" t="s">
        <v>4633</v>
      </c>
      <c r="F2597" t="s">
        <v>4634</v>
      </c>
      <c r="G2597" t="s">
        <v>4635</v>
      </c>
      <c r="H2597" t="n">
        <v>40.0857995454545</v>
      </c>
      <c r="I2597" t="n">
        <v>-105.942972272727</v>
      </c>
      <c r="J2597" t="s">
        <v>4109</v>
      </c>
      <c r="K2597" t="s">
        <v>89</v>
      </c>
      <c r="L2597"/>
      <c r="M2597" t="n">
        <v>1988</v>
      </c>
      <c r="N2597" t="n">
        <v>1990</v>
      </c>
      <c r="O2597" t="s">
        <v>310</v>
      </c>
      <c r="P2597" t="n">
        <v>2</v>
      </c>
      <c r="Q2597" t="n">
        <v>1</v>
      </c>
      <c r="R2597" t="n">
        <v>1</v>
      </c>
      <c r="S2597" t="n">
        <v>1962</v>
      </c>
      <c r="T2597" t="s">
        <v>17019</v>
      </c>
      <c r="U2597" t="s">
        <v>17020</v>
      </c>
      <c r="V2597" t="s">
        <v>74</v>
      </c>
      <c r="W2597"/>
      <c r="X2597"/>
      <c r="Y2597" t="s">
        <v>17021</v>
      </c>
      <c r="Z2597"/>
      <c r="AA2597" t="s">
        <v>17022</v>
      </c>
      <c r="AB2597"/>
      <c r="AC2597"/>
      <c r="AD2597"/>
      <c r="AE2597"/>
      <c r="AF2597" t="s">
        <v>17023</v>
      </c>
      <c r="AG2597" t="n">
        <v>82</v>
      </c>
    </row>
    <row r="2598">
      <c r="A2598" t="s">
        <v>17024</v>
      </c>
      <c r="B2598" t="s">
        <v>28</v>
      </c>
      <c r="C2598" t="s">
        <v>65</v>
      </c>
      <c r="D2598" t="s">
        <v>17025</v>
      </c>
      <c r="E2598" t="s">
        <v>2682</v>
      </c>
      <c r="F2598" t="s">
        <v>2683</v>
      </c>
      <c r="G2598" t="s">
        <v>2684</v>
      </c>
      <c r="H2598" t="n">
        <v>38.5443513002013</v>
      </c>
      <c r="I2598" t="n">
        <v>-106.924331293668</v>
      </c>
      <c r="J2598" t="s">
        <v>35</v>
      </c>
      <c r="K2598" t="s">
        <v>70</v>
      </c>
      <c r="L2598"/>
      <c r="M2598" t="n">
        <v>1974</v>
      </c>
      <c r="N2598" t="n">
        <v>1980</v>
      </c>
      <c r="O2598" t="s">
        <v>210</v>
      </c>
      <c r="P2598" t="n">
        <v>2</v>
      </c>
      <c r="Q2598" t="n">
        <v>2</v>
      </c>
      <c r="R2598" t="n">
        <v>1</v>
      </c>
      <c r="S2598" t="n">
        <v>1958</v>
      </c>
      <c r="T2598" t="s">
        <v>17026</v>
      </c>
      <c r="U2598" t="s">
        <v>17027</v>
      </c>
      <c r="V2598" t="s">
        <v>74</v>
      </c>
      <c r="W2598"/>
      <c r="X2598"/>
      <c r="Y2598" t="s">
        <v>17028</v>
      </c>
      <c r="Z2598"/>
      <c r="AA2598"/>
      <c r="AB2598" t="s">
        <v>9643</v>
      </c>
      <c r="AC2598" t="n">
        <v>249</v>
      </c>
      <c r="AD2598"/>
      <c r="AE2598"/>
      <c r="AF2598" t="s">
        <v>17029</v>
      </c>
      <c r="AG2598" t="n">
        <v>34</v>
      </c>
    </row>
    <row r="2599">
      <c r="A2599" t="s">
        <v>17030</v>
      </c>
      <c r="B2599" t="s">
        <v>28</v>
      </c>
      <c r="C2599" t="s">
        <v>24</v>
      </c>
      <c r="D2599" t="s">
        <v>17031</v>
      </c>
      <c r="E2599" t="s">
        <v>2682</v>
      </c>
      <c r="F2599" t="s">
        <v>2683</v>
      </c>
      <c r="G2599" t="s">
        <v>2684</v>
      </c>
      <c r="H2599" t="n">
        <v>38.543208</v>
      </c>
      <c r="I2599" t="n">
        <v>-106.942769</v>
      </c>
      <c r="J2599" t="s">
        <v>4109</v>
      </c>
      <c r="K2599" t="s">
        <v>70</v>
      </c>
      <c r="L2599"/>
      <c r="M2599" t="n">
        <v>1977</v>
      </c>
      <c r="N2599" t="n">
        <v>1977</v>
      </c>
      <c r="O2599" t="s">
        <v>228</v>
      </c>
      <c r="P2599" t="n">
        <v>1</v>
      </c>
      <c r="Q2599" t="n">
        <v>1</v>
      </c>
      <c r="R2599" t="n">
        <v>1</v>
      </c>
      <c r="S2599" t="n">
        <v>1968</v>
      </c>
      <c r="T2599" t="s">
        <v>17032</v>
      </c>
      <c r="U2599" t="s">
        <v>17033</v>
      </c>
      <c r="V2599" t="s">
        <v>74</v>
      </c>
      <c r="W2599"/>
      <c r="X2599"/>
      <c r="Y2599" t="s">
        <v>17034</v>
      </c>
      <c r="Z2599"/>
      <c r="AA2599" t="s">
        <v>17035</v>
      </c>
      <c r="AB2599"/>
      <c r="AC2599"/>
      <c r="AD2599"/>
      <c r="AE2599"/>
      <c r="AF2599" t="s">
        <v>17036</v>
      </c>
      <c r="AG2599" t="n">
        <v>221</v>
      </c>
    </row>
    <row r="2600">
      <c r="A2600" t="s">
        <v>17037</v>
      </c>
      <c r="B2600" t="s">
        <v>28</v>
      </c>
      <c r="C2600" t="s">
        <v>24</v>
      </c>
      <c r="D2600" t="s">
        <v>17038</v>
      </c>
      <c r="E2600" t="s">
        <v>2682</v>
      </c>
      <c r="F2600" t="s">
        <v>2683</v>
      </c>
      <c r="G2600" t="s">
        <v>2684</v>
      </c>
      <c r="H2600" t="n">
        <v>38.543281</v>
      </c>
      <c r="I2600" t="n">
        <v>-106.93743</v>
      </c>
      <c r="J2600" t="s">
        <v>4109</v>
      </c>
      <c r="K2600" t="s">
        <v>1041</v>
      </c>
      <c r="L2600"/>
      <c r="M2600" t="n">
        <v>1977</v>
      </c>
      <c r="N2600" t="n">
        <v>1977</v>
      </c>
      <c r="O2600" t="s">
        <v>228</v>
      </c>
      <c r="P2600" t="n">
        <v>1</v>
      </c>
      <c r="Q2600" t="n">
        <v>1</v>
      </c>
      <c r="R2600" t="n">
        <v>1</v>
      </c>
      <c r="S2600" t="n">
        <v>1974</v>
      </c>
      <c r="T2600" t="s">
        <v>17039</v>
      </c>
      <c r="U2600" t="s">
        <v>17040</v>
      </c>
      <c r="V2600" t="s">
        <v>74</v>
      </c>
      <c r="W2600"/>
      <c r="X2600"/>
      <c r="Y2600" t="s">
        <v>17041</v>
      </c>
      <c r="Z2600"/>
      <c r="AA2600" t="s">
        <v>17042</v>
      </c>
      <c r="AB2600"/>
      <c r="AC2600"/>
      <c r="AD2600"/>
      <c r="AE2600"/>
      <c r="AF2600" t="s">
        <v>17043</v>
      </c>
      <c r="AG2600" t="n">
        <v>95</v>
      </c>
    </row>
    <row r="2601">
      <c r="A2601" t="s">
        <v>17044</v>
      </c>
      <c r="B2601" t="s">
        <v>28</v>
      </c>
      <c r="C2601" t="s">
        <v>65</v>
      </c>
      <c r="D2601" t="s">
        <v>17045</v>
      </c>
      <c r="E2601" t="s">
        <v>2682</v>
      </c>
      <c r="F2601" t="s">
        <v>2683</v>
      </c>
      <c r="G2601" t="s">
        <v>2684</v>
      </c>
      <c r="H2601" t="n">
        <v>38.5376959999909</v>
      </c>
      <c r="I2601" t="n">
        <v>-106.938870778</v>
      </c>
      <c r="J2601" t="s">
        <v>35</v>
      </c>
      <c r="K2601" t="s">
        <v>70</v>
      </c>
      <c r="L2601"/>
      <c r="M2601" t="n">
        <v>1980</v>
      </c>
      <c r="N2601" t="n">
        <v>1983</v>
      </c>
      <c r="O2601" t="s">
        <v>528</v>
      </c>
      <c r="P2601" t="n">
        <v>2</v>
      </c>
      <c r="Q2601" t="n">
        <v>2</v>
      </c>
      <c r="R2601" t="n">
        <v>2</v>
      </c>
      <c r="S2601" t="n">
        <v>1978</v>
      </c>
      <c r="T2601" t="s">
        <v>17046</v>
      </c>
      <c r="U2601" t="s">
        <v>17047</v>
      </c>
      <c r="V2601" t="s">
        <v>74</v>
      </c>
      <c r="W2601"/>
      <c r="X2601"/>
      <c r="Y2601" t="s">
        <v>17048</v>
      </c>
      <c r="Z2601"/>
      <c r="AA2601"/>
      <c r="AB2601"/>
      <c r="AC2601"/>
      <c r="AD2601"/>
      <c r="AE2601"/>
      <c r="AF2601" t="s">
        <v>17049</v>
      </c>
      <c r="AG2601" t="n">
        <v>3</v>
      </c>
    </row>
    <row r="2602">
      <c r="A2602" t="s">
        <v>17050</v>
      </c>
      <c r="B2602" t="s">
        <v>28</v>
      </c>
      <c r="C2602" t="s">
        <v>65</v>
      </c>
      <c r="D2602" t="s">
        <v>17051</v>
      </c>
      <c r="E2602" t="s">
        <v>2682</v>
      </c>
      <c r="F2602" t="s">
        <v>2683</v>
      </c>
      <c r="G2602" t="s">
        <v>2684</v>
      </c>
      <c r="H2602" t="n">
        <v>38.5388572345183</v>
      </c>
      <c r="I2602" t="n">
        <v>-106.938863185231</v>
      </c>
      <c r="J2602" t="s">
        <v>35</v>
      </c>
      <c r="K2602" t="s">
        <v>120</v>
      </c>
      <c r="L2602"/>
      <c r="M2602" t="n">
        <v>1988</v>
      </c>
      <c r="N2602" t="n">
        <v>1990</v>
      </c>
      <c r="O2602" t="s">
        <v>351</v>
      </c>
      <c r="P2602" t="n">
        <v>2</v>
      </c>
      <c r="Q2602" t="n">
        <v>3</v>
      </c>
      <c r="R2602" t="n">
        <v>1</v>
      </c>
      <c r="S2602" t="n">
        <v>1977</v>
      </c>
      <c r="T2602" t="s">
        <v>17052</v>
      </c>
      <c r="U2602" t="s">
        <v>17053</v>
      </c>
      <c r="V2602" t="s">
        <v>74</v>
      </c>
      <c r="W2602"/>
      <c r="X2602"/>
      <c r="Y2602" t="s">
        <v>17054</v>
      </c>
      <c r="Z2602"/>
      <c r="AA2602"/>
      <c r="AB2602"/>
      <c r="AC2602"/>
      <c r="AD2602"/>
      <c r="AE2602"/>
      <c r="AF2602" t="s">
        <v>17055</v>
      </c>
      <c r="AG2602" t="n">
        <v>2</v>
      </c>
    </row>
    <row r="2603">
      <c r="A2603" t="s">
        <v>17056</v>
      </c>
      <c r="B2603" t="s">
        <v>28</v>
      </c>
      <c r="C2603" t="s">
        <v>65</v>
      </c>
      <c r="D2603" t="s">
        <v>17057</v>
      </c>
      <c r="E2603" t="s">
        <v>2729</v>
      </c>
      <c r="F2603" t="s">
        <v>2724</v>
      </c>
      <c r="G2603"/>
      <c r="H2603" t="n">
        <v>39.8033492857143</v>
      </c>
      <c r="I2603" t="n">
        <v>-105.067303897959</v>
      </c>
      <c r="J2603" t="s">
        <v>35</v>
      </c>
      <c r="K2603" t="s">
        <v>70</v>
      </c>
      <c r="L2603"/>
      <c r="M2603" t="n">
        <v>1965</v>
      </c>
      <c r="N2603" t="n">
        <v>1990</v>
      </c>
      <c r="O2603" t="s">
        <v>17058</v>
      </c>
      <c r="P2603" t="n">
        <v>5</v>
      </c>
      <c r="Q2603" t="n">
        <v>2</v>
      </c>
      <c r="R2603" t="n">
        <v>2</v>
      </c>
      <c r="S2603" t="n">
        <v>1956</v>
      </c>
      <c r="T2603" t="s">
        <v>17059</v>
      </c>
      <c r="U2603" t="s">
        <v>17060</v>
      </c>
      <c r="V2603" t="s">
        <v>74</v>
      </c>
      <c r="W2603"/>
      <c r="X2603"/>
      <c r="Y2603" t="s">
        <v>17061</v>
      </c>
      <c r="Z2603"/>
      <c r="AA2603" t="s">
        <v>17062</v>
      </c>
      <c r="AB2603" t="s">
        <v>17063</v>
      </c>
      <c r="AC2603" t="n">
        <v>162</v>
      </c>
      <c r="AD2603"/>
      <c r="AE2603"/>
      <c r="AF2603" t="s">
        <v>17064</v>
      </c>
      <c r="AG2603" t="n">
        <v>8</v>
      </c>
    </row>
    <row r="2604">
      <c r="A2604" t="s">
        <v>17065</v>
      </c>
      <c r="B2604" t="s">
        <v>28</v>
      </c>
      <c r="C2604" t="s">
        <v>65</v>
      </c>
      <c r="D2604" t="s">
        <v>17066</v>
      </c>
      <c r="E2604" t="s">
        <v>2748</v>
      </c>
      <c r="F2604" t="s">
        <v>2724</v>
      </c>
      <c r="G2604" t="s">
        <v>2749</v>
      </c>
      <c r="H2604" t="n">
        <v>39.7403514897959</v>
      </c>
      <c r="I2604" t="n">
        <v>-105.12948044898</v>
      </c>
      <c r="J2604" t="s">
        <v>35</v>
      </c>
      <c r="K2604" t="s">
        <v>89</v>
      </c>
      <c r="L2604"/>
      <c r="M2604" t="n">
        <v>1966</v>
      </c>
      <c r="N2604" t="n">
        <v>1980</v>
      </c>
      <c r="O2604" t="s">
        <v>255</v>
      </c>
      <c r="P2604" t="n">
        <v>3</v>
      </c>
      <c r="Q2604" t="n">
        <v>1</v>
      </c>
      <c r="R2604" t="n">
        <v>1</v>
      </c>
      <c r="S2604" t="n">
        <v>1945</v>
      </c>
      <c r="T2604" t="s">
        <v>17067</v>
      </c>
      <c r="U2604" t="s">
        <v>17068</v>
      </c>
      <c r="V2604" t="s">
        <v>74</v>
      </c>
      <c r="W2604"/>
      <c r="X2604"/>
      <c r="Y2604" t="s">
        <v>17069</v>
      </c>
      <c r="Z2604"/>
      <c r="AA2604" t="s">
        <v>17070</v>
      </c>
      <c r="AB2604" t="s">
        <v>17071</v>
      </c>
      <c r="AC2604" t="n">
        <v>149</v>
      </c>
      <c r="AD2604"/>
      <c r="AE2604"/>
      <c r="AF2604" t="s">
        <v>17072</v>
      </c>
      <c r="AG2604" t="n">
        <v>51</v>
      </c>
    </row>
    <row r="2605">
      <c r="A2605" t="s">
        <v>17073</v>
      </c>
      <c r="B2605" t="s">
        <v>28</v>
      </c>
      <c r="C2605" t="s">
        <v>24</v>
      </c>
      <c r="D2605" t="s">
        <v>17074</v>
      </c>
      <c r="E2605" t="s">
        <v>2748</v>
      </c>
      <c r="F2605" t="s">
        <v>2724</v>
      </c>
      <c r="G2605" t="s">
        <v>2856</v>
      </c>
      <c r="H2605" t="n">
        <v>39.7378377444898</v>
      </c>
      <c r="I2605" t="n">
        <v>-105.062613006531</v>
      </c>
      <c r="J2605" t="s">
        <v>4109</v>
      </c>
      <c r="K2605" t="s">
        <v>234</v>
      </c>
      <c r="L2605"/>
      <c r="M2605" t="n">
        <v>1966</v>
      </c>
      <c r="N2605" t="n">
        <v>1992</v>
      </c>
      <c r="O2605" t="s">
        <v>17075</v>
      </c>
      <c r="P2605" t="n">
        <v>12</v>
      </c>
      <c r="Q2605" t="n">
        <v>12</v>
      </c>
      <c r="R2605" t="n">
        <v>4</v>
      </c>
      <c r="S2605" t="n">
        <v>1957</v>
      </c>
      <c r="T2605" t="s">
        <v>17076</v>
      </c>
      <c r="U2605" t="s">
        <v>17077</v>
      </c>
      <c r="V2605" t="s">
        <v>74</v>
      </c>
      <c r="W2605"/>
      <c r="X2605"/>
      <c r="Y2605" t="s">
        <v>17078</v>
      </c>
      <c r="Z2605"/>
      <c r="AA2605" t="s">
        <v>17079</v>
      </c>
      <c r="AB2605" t="s">
        <v>9702</v>
      </c>
      <c r="AC2605" t="n">
        <v>178</v>
      </c>
      <c r="AD2605" t="s">
        <v>2870</v>
      </c>
      <c r="AE2605" t="n">
        <v>145</v>
      </c>
      <c r="AF2605" t="s">
        <v>17080</v>
      </c>
      <c r="AG2605" t="n">
        <v>2</v>
      </c>
    </row>
    <row r="2606">
      <c r="A2606" t="s">
        <v>17081</v>
      </c>
      <c r="B2606" t="s">
        <v>28</v>
      </c>
      <c r="C2606" t="s">
        <v>25</v>
      </c>
      <c r="D2606" t="s">
        <v>17082</v>
      </c>
      <c r="E2606" t="s">
        <v>2729</v>
      </c>
      <c r="F2606" t="s">
        <v>2724</v>
      </c>
      <c r="G2606" t="s">
        <v>2730</v>
      </c>
      <c r="H2606" t="n">
        <v>39.797501</v>
      </c>
      <c r="I2606" t="n">
        <v>-105.070608</v>
      </c>
      <c r="J2606" t="s">
        <v>4109</v>
      </c>
      <c r="K2606" t="s">
        <v>70</v>
      </c>
      <c r="L2606"/>
      <c r="M2606" t="n">
        <v>1966</v>
      </c>
      <c r="N2606" t="n">
        <v>1968</v>
      </c>
      <c r="O2606" t="s">
        <v>4172</v>
      </c>
      <c r="P2606" t="n">
        <v>3</v>
      </c>
      <c r="Q2606" t="n">
        <v>2</v>
      </c>
      <c r="R2606" t="n">
        <v>1</v>
      </c>
      <c r="S2606" t="n">
        <v>1957</v>
      </c>
      <c r="T2606" t="s">
        <v>17083</v>
      </c>
      <c r="U2606" t="s">
        <v>17084</v>
      </c>
      <c r="V2606" t="s">
        <v>4175</v>
      </c>
      <c r="W2606"/>
      <c r="X2606"/>
      <c r="Y2606" t="s">
        <v>17085</v>
      </c>
      <c r="Z2606"/>
      <c r="AA2606" t="s">
        <v>17086</v>
      </c>
      <c r="AB2606"/>
      <c r="AC2606"/>
      <c r="AD2606"/>
      <c r="AE2606"/>
      <c r="AF2606" t="s">
        <v>12063</v>
      </c>
      <c r="AG2606" t="n">
        <v>79</v>
      </c>
    </row>
    <row r="2607">
      <c r="A2607" t="s">
        <v>17087</v>
      </c>
      <c r="B2607" t="s">
        <v>28</v>
      </c>
      <c r="C2607" t="s">
        <v>65</v>
      </c>
      <c r="D2607" t="s">
        <v>17088</v>
      </c>
      <c r="E2607" t="s">
        <v>2729</v>
      </c>
      <c r="F2607" t="s">
        <v>2724</v>
      </c>
      <c r="G2607" t="s">
        <v>2730</v>
      </c>
      <c r="H2607" t="n">
        <v>39.8020365357598</v>
      </c>
      <c r="I2607" t="n">
        <v>-105.067339903256</v>
      </c>
      <c r="J2607" t="s">
        <v>35</v>
      </c>
      <c r="K2607" t="s">
        <v>70</v>
      </c>
      <c r="L2607"/>
      <c r="M2607" t="n">
        <v>1966</v>
      </c>
      <c r="N2607" t="n">
        <v>1973</v>
      </c>
      <c r="O2607" t="s">
        <v>10355</v>
      </c>
      <c r="P2607" t="n">
        <v>4</v>
      </c>
      <c r="Q2607" t="n">
        <v>4</v>
      </c>
      <c r="R2607" t="n">
        <v>3</v>
      </c>
      <c r="S2607" t="n">
        <v>1953</v>
      </c>
      <c r="T2607" t="s">
        <v>17089</v>
      </c>
      <c r="U2607" t="s">
        <v>17090</v>
      </c>
      <c r="V2607" t="s">
        <v>74</v>
      </c>
      <c r="W2607"/>
      <c r="X2607"/>
      <c r="Y2607" t="s">
        <v>17091</v>
      </c>
      <c r="Z2607"/>
      <c r="AA2607"/>
      <c r="AB2607" t="s">
        <v>17063</v>
      </c>
      <c r="AC2607" t="n">
        <v>242</v>
      </c>
      <c r="AD2607"/>
      <c r="AE2607"/>
      <c r="AF2607" t="s">
        <v>17092</v>
      </c>
      <c r="AG2607" t="n">
        <v>74</v>
      </c>
    </row>
    <row r="2608">
      <c r="A2608" t="s">
        <v>17093</v>
      </c>
      <c r="B2608" t="s">
        <v>28</v>
      </c>
      <c r="C2608" t="s">
        <v>24</v>
      </c>
      <c r="D2608" t="s">
        <v>17094</v>
      </c>
      <c r="E2608" t="s">
        <v>2748</v>
      </c>
      <c r="F2608" t="s">
        <v>2724</v>
      </c>
      <c r="G2608" t="s">
        <v>2749</v>
      </c>
      <c r="H2608" t="n">
        <v>39.7558415216363</v>
      </c>
      <c r="I2608" t="n">
        <v>-105.110209638094</v>
      </c>
      <c r="J2608" t="s">
        <v>35</v>
      </c>
      <c r="K2608" t="s">
        <v>70</v>
      </c>
      <c r="L2608"/>
      <c r="M2608" t="n">
        <v>1966</v>
      </c>
      <c r="N2608" t="n">
        <v>1983</v>
      </c>
      <c r="O2608" t="s">
        <v>4172</v>
      </c>
      <c r="P2608" t="n">
        <v>4</v>
      </c>
      <c r="Q2608" t="n">
        <v>3</v>
      </c>
      <c r="R2608" t="n">
        <v>1</v>
      </c>
      <c r="S2608" t="n">
        <v>1957</v>
      </c>
      <c r="T2608" t="s">
        <v>17095</v>
      </c>
      <c r="U2608" t="s">
        <v>17096</v>
      </c>
      <c r="V2608" t="s">
        <v>4175</v>
      </c>
      <c r="W2608"/>
      <c r="X2608"/>
      <c r="Y2608" t="s">
        <v>17097</v>
      </c>
      <c r="Z2608"/>
      <c r="AA2608" t="s">
        <v>17098</v>
      </c>
      <c r="AB2608" t="s">
        <v>2759</v>
      </c>
      <c r="AC2608" t="n">
        <v>189</v>
      </c>
      <c r="AD2608"/>
      <c r="AE2608"/>
      <c r="AF2608" t="s">
        <v>17099</v>
      </c>
      <c r="AG2608" t="n">
        <v>12</v>
      </c>
    </row>
    <row r="2609">
      <c r="A2609" t="s">
        <v>17100</v>
      </c>
      <c r="B2609" t="s">
        <v>28</v>
      </c>
      <c r="C2609" t="s">
        <v>24</v>
      </c>
      <c r="D2609" t="s">
        <v>17101</v>
      </c>
      <c r="E2609" t="s">
        <v>2748</v>
      </c>
      <c r="F2609" t="s">
        <v>2724</v>
      </c>
      <c r="G2609" t="s">
        <v>2749</v>
      </c>
      <c r="H2609" t="n">
        <v>39.740309</v>
      </c>
      <c r="I2609" t="n">
        <v>-105.090758</v>
      </c>
      <c r="J2609" t="s">
        <v>4109</v>
      </c>
      <c r="K2609" t="s">
        <v>133</v>
      </c>
      <c r="L2609"/>
      <c r="M2609" t="n">
        <v>1966</v>
      </c>
      <c r="N2609" t="n">
        <v>1974</v>
      </c>
      <c r="O2609" t="s">
        <v>210</v>
      </c>
      <c r="P2609" t="n">
        <v>2</v>
      </c>
      <c r="Q2609" t="n">
        <v>2</v>
      </c>
      <c r="R2609" t="n">
        <v>1</v>
      </c>
      <c r="S2609" t="n">
        <v>1963</v>
      </c>
      <c r="T2609" t="s">
        <v>17102</v>
      </c>
      <c r="U2609" t="s">
        <v>17103</v>
      </c>
      <c r="V2609" t="s">
        <v>74</v>
      </c>
      <c r="W2609"/>
      <c r="X2609"/>
      <c r="Y2609" t="s">
        <v>17104</v>
      </c>
      <c r="Z2609"/>
      <c r="AA2609" t="s">
        <v>17105</v>
      </c>
      <c r="AB2609"/>
      <c r="AC2609"/>
      <c r="AD2609"/>
      <c r="AE2609"/>
      <c r="AF2609" t="s">
        <v>17106</v>
      </c>
      <c r="AG2609" t="n">
        <v>2</v>
      </c>
    </row>
    <row r="2610">
      <c r="A2610" t="s">
        <v>17107</v>
      </c>
      <c r="B2610" t="s">
        <v>28</v>
      </c>
      <c r="C2610" t="s">
        <v>65</v>
      </c>
      <c r="D2610" t="s">
        <v>17108</v>
      </c>
      <c r="E2610" t="s">
        <v>2723</v>
      </c>
      <c r="F2610" t="s">
        <v>2724</v>
      </c>
      <c r="G2610" t="s">
        <v>2778</v>
      </c>
      <c r="H2610" t="n">
        <v>39.755561755102</v>
      </c>
      <c r="I2610" t="n">
        <v>-105.223261530612</v>
      </c>
      <c r="J2610" t="s">
        <v>35</v>
      </c>
      <c r="K2610" t="s">
        <v>2274</v>
      </c>
      <c r="L2610"/>
      <c r="M2610" t="n">
        <v>1966</v>
      </c>
      <c r="N2610" t="n">
        <v>1983</v>
      </c>
      <c r="O2610" t="s">
        <v>11074</v>
      </c>
      <c r="P2610" t="n">
        <v>3</v>
      </c>
      <c r="Q2610" t="n">
        <v>3</v>
      </c>
      <c r="R2610" t="n">
        <v>2</v>
      </c>
      <c r="S2610" t="n">
        <v>1946</v>
      </c>
      <c r="T2610" t="s">
        <v>17109</v>
      </c>
      <c r="U2610" t="s">
        <v>17110</v>
      </c>
      <c r="V2610" t="s">
        <v>74</v>
      </c>
      <c r="W2610"/>
      <c r="X2610"/>
      <c r="Y2610" t="s">
        <v>17111</v>
      </c>
      <c r="Z2610"/>
      <c r="AA2610"/>
      <c r="AB2610" t="s">
        <v>9809</v>
      </c>
      <c r="AC2610" t="n">
        <v>182</v>
      </c>
      <c r="AD2610"/>
      <c r="AE2610"/>
      <c r="AF2610" t="s">
        <v>17112</v>
      </c>
      <c r="AG2610" t="n">
        <v>29</v>
      </c>
    </row>
    <row r="2611">
      <c r="A2611" t="s">
        <v>17113</v>
      </c>
      <c r="B2611" t="s">
        <v>28</v>
      </c>
      <c r="C2611" t="s">
        <v>65</v>
      </c>
      <c r="D2611" t="s">
        <v>17114</v>
      </c>
      <c r="E2611" t="s">
        <v>2723</v>
      </c>
      <c r="F2611" t="s">
        <v>2724</v>
      </c>
      <c r="G2611" t="s">
        <v>2778</v>
      </c>
      <c r="H2611" t="n">
        <v>39.7231333868223</v>
      </c>
      <c r="I2611" t="n">
        <v>-105.17950590216</v>
      </c>
      <c r="J2611" t="s">
        <v>35</v>
      </c>
      <c r="K2611" t="s">
        <v>81</v>
      </c>
      <c r="L2611"/>
      <c r="M2611" t="n">
        <v>1966</v>
      </c>
      <c r="N2611" t="n">
        <v>1990</v>
      </c>
      <c r="O2611" t="s">
        <v>17115</v>
      </c>
      <c r="P2611" t="n">
        <v>9</v>
      </c>
      <c r="Q2611" t="n">
        <v>14</v>
      </c>
      <c r="R2611" t="n">
        <v>9</v>
      </c>
      <c r="S2611" t="n">
        <v>1958</v>
      </c>
      <c r="T2611" t="s">
        <v>17116</v>
      </c>
      <c r="U2611" t="s">
        <v>17117</v>
      </c>
      <c r="V2611" t="s">
        <v>74</v>
      </c>
      <c r="W2611"/>
      <c r="X2611"/>
      <c r="Y2611" t="s">
        <v>17118</v>
      </c>
      <c r="Z2611"/>
      <c r="AA2611" t="s">
        <v>17119</v>
      </c>
      <c r="AB2611" t="s">
        <v>9867</v>
      </c>
      <c r="AC2611" t="n">
        <v>176</v>
      </c>
      <c r="AD2611"/>
      <c r="AE2611"/>
      <c r="AF2611" t="s">
        <v>17120</v>
      </c>
      <c r="AG2611" t="n">
        <v>13</v>
      </c>
    </row>
    <row r="2612">
      <c r="A2612" t="s">
        <v>17121</v>
      </c>
      <c r="B2612" t="s">
        <v>28</v>
      </c>
      <c r="C2612" t="s">
        <v>65</v>
      </c>
      <c r="D2612" t="s">
        <v>17122</v>
      </c>
      <c r="E2612" t="s">
        <v>2748</v>
      </c>
      <c r="F2612" t="s">
        <v>2724</v>
      </c>
      <c r="G2612" t="s">
        <v>2763</v>
      </c>
      <c r="H2612" t="n">
        <v>39.7131954965986</v>
      </c>
      <c r="I2612" t="n">
        <v>-105.072119986395</v>
      </c>
      <c r="J2612" t="s">
        <v>35</v>
      </c>
      <c r="K2612" t="s">
        <v>70</v>
      </c>
      <c r="L2612"/>
      <c r="M2612" t="n">
        <v>1967</v>
      </c>
      <c r="N2612" t="n">
        <v>1990</v>
      </c>
      <c r="O2612" t="s">
        <v>388</v>
      </c>
      <c r="P2612" t="n">
        <v>3</v>
      </c>
      <c r="Q2612" t="n">
        <v>2</v>
      </c>
      <c r="R2612" t="n">
        <v>1</v>
      </c>
      <c r="S2612" t="n">
        <v>1966</v>
      </c>
      <c r="T2612" t="s">
        <v>17123</v>
      </c>
      <c r="U2612" t="s">
        <v>17124</v>
      </c>
      <c r="V2612" t="s">
        <v>74</v>
      </c>
      <c r="W2612"/>
      <c r="X2612"/>
      <c r="Y2612" t="s">
        <v>17125</v>
      </c>
      <c r="Z2612"/>
      <c r="AA2612" t="s">
        <v>17126</v>
      </c>
      <c r="AB2612"/>
      <c r="AC2612"/>
      <c r="AD2612"/>
      <c r="AE2612"/>
      <c r="AF2612" t="s">
        <v>17127</v>
      </c>
      <c r="AG2612" t="n">
        <v>50</v>
      </c>
    </row>
    <row r="2613">
      <c r="A2613" t="s">
        <v>17128</v>
      </c>
      <c r="B2613" t="s">
        <v>28</v>
      </c>
      <c r="C2613" t="s">
        <v>65</v>
      </c>
      <c r="D2613" t="s">
        <v>17129</v>
      </c>
      <c r="E2613" t="s">
        <v>2723</v>
      </c>
      <c r="F2613" t="s">
        <v>2724</v>
      </c>
      <c r="G2613" t="s">
        <v>2778</v>
      </c>
      <c r="H2613" t="n">
        <v>39.7220423016904</v>
      </c>
      <c r="I2613" t="n">
        <v>-105.179566659967</v>
      </c>
      <c r="J2613" t="s">
        <v>35</v>
      </c>
      <c r="K2613" t="s">
        <v>315</v>
      </c>
      <c r="L2613"/>
      <c r="M2613" t="n">
        <v>1967</v>
      </c>
      <c r="N2613" t="n">
        <v>1988</v>
      </c>
      <c r="O2613" t="s">
        <v>12634</v>
      </c>
      <c r="P2613" t="n">
        <v>2</v>
      </c>
      <c r="Q2613" t="n">
        <v>2</v>
      </c>
      <c r="R2613" t="n">
        <v>2</v>
      </c>
      <c r="S2613" t="n">
        <v>1963</v>
      </c>
      <c r="T2613" t="s">
        <v>17130</v>
      </c>
      <c r="U2613" t="s">
        <v>17131</v>
      </c>
      <c r="V2613" t="s">
        <v>74</v>
      </c>
      <c r="W2613"/>
      <c r="X2613"/>
      <c r="Y2613" t="s">
        <v>17132</v>
      </c>
      <c r="Z2613"/>
      <c r="AA2613" t="s">
        <v>17133</v>
      </c>
      <c r="AB2613" t="s">
        <v>9867</v>
      </c>
      <c r="AC2613" t="n">
        <v>107</v>
      </c>
      <c r="AD2613"/>
      <c r="AE2613"/>
      <c r="AF2613" t="s">
        <v>12580</v>
      </c>
      <c r="AG2613" t="n">
        <v>47</v>
      </c>
    </row>
    <row r="2614">
      <c r="A2614" t="s">
        <v>17134</v>
      </c>
      <c r="B2614" t="s">
        <v>28</v>
      </c>
      <c r="C2614" t="s">
        <v>24</v>
      </c>
      <c r="D2614" t="s">
        <v>17135</v>
      </c>
      <c r="E2614" t="s">
        <v>2748</v>
      </c>
      <c r="F2614" t="s">
        <v>2724</v>
      </c>
      <c r="G2614" t="s">
        <v>2749</v>
      </c>
      <c r="H2614" t="n">
        <v>39.752998</v>
      </c>
      <c r="I2614" t="n">
        <v>-105.105289</v>
      </c>
      <c r="J2614" t="s">
        <v>4109</v>
      </c>
      <c r="K2614" t="s">
        <v>120</v>
      </c>
      <c r="L2614"/>
      <c r="M2614" t="n">
        <v>1968</v>
      </c>
      <c r="N2614" t="n">
        <v>1968</v>
      </c>
      <c r="O2614" t="s">
        <v>1349</v>
      </c>
      <c r="P2614" t="n">
        <v>1</v>
      </c>
      <c r="Q2614" t="n">
        <v>1</v>
      </c>
      <c r="R2614" t="n">
        <v>1</v>
      </c>
      <c r="S2614" t="n">
        <v>1966</v>
      </c>
      <c r="T2614" t="s">
        <v>17136</v>
      </c>
      <c r="U2614" t="s">
        <v>17137</v>
      </c>
      <c r="V2614" t="s">
        <v>74</v>
      </c>
      <c r="W2614"/>
      <c r="X2614"/>
      <c r="Y2614" t="s">
        <v>17138</v>
      </c>
      <c r="Z2614"/>
      <c r="AA2614"/>
      <c r="AB2614"/>
      <c r="AC2614"/>
      <c r="AD2614"/>
      <c r="AE2614"/>
      <c r="AF2614" t="s">
        <v>7416</v>
      </c>
      <c r="AG2614" t="n">
        <v>8</v>
      </c>
    </row>
    <row r="2615">
      <c r="A2615" t="s">
        <v>17139</v>
      </c>
      <c r="B2615" t="s">
        <v>28</v>
      </c>
      <c r="C2615" t="s">
        <v>65</v>
      </c>
      <c r="D2615" t="s">
        <v>17140</v>
      </c>
      <c r="E2615" t="s">
        <v>2748</v>
      </c>
      <c r="F2615" t="s">
        <v>2724</v>
      </c>
      <c r="G2615" t="s">
        <v>2924</v>
      </c>
      <c r="H2615" t="n">
        <v>39.7136398661333</v>
      </c>
      <c r="I2615" t="n">
        <v>-105.133241927519</v>
      </c>
      <c r="J2615" t="s">
        <v>35</v>
      </c>
      <c r="K2615" t="s">
        <v>70</v>
      </c>
      <c r="L2615"/>
      <c r="M2615" t="n">
        <v>1968</v>
      </c>
      <c r="N2615" t="n">
        <v>1990</v>
      </c>
      <c r="O2615" t="s">
        <v>1587</v>
      </c>
      <c r="P2615" t="n">
        <v>3</v>
      </c>
      <c r="Q2615" t="n">
        <v>3</v>
      </c>
      <c r="R2615" t="n">
        <v>1</v>
      </c>
      <c r="S2615" t="n">
        <v>1965</v>
      </c>
      <c r="T2615" t="s">
        <v>17141</v>
      </c>
      <c r="U2615" t="s">
        <v>17142</v>
      </c>
      <c r="V2615" t="s">
        <v>74</v>
      </c>
      <c r="W2615"/>
      <c r="X2615"/>
      <c r="Y2615" t="s">
        <v>17143</v>
      </c>
      <c r="Z2615"/>
      <c r="AA2615"/>
      <c r="AB2615"/>
      <c r="AC2615"/>
      <c r="AD2615"/>
      <c r="AE2615"/>
      <c r="AF2615" t="s">
        <v>17144</v>
      </c>
      <c r="AG2615" t="n">
        <v>30</v>
      </c>
    </row>
    <row r="2616">
      <c r="A2616" t="s">
        <v>17145</v>
      </c>
      <c r="B2616" t="s">
        <v>28</v>
      </c>
      <c r="C2616" t="s">
        <v>65</v>
      </c>
      <c r="D2616" t="s">
        <v>17146</v>
      </c>
      <c r="E2616" t="s">
        <v>2748</v>
      </c>
      <c r="F2616" t="s">
        <v>2724</v>
      </c>
      <c r="G2616" t="s">
        <v>2749</v>
      </c>
      <c r="H2616" t="n">
        <v>39.7423351898148</v>
      </c>
      <c r="I2616" t="n">
        <v>-105.07432562963</v>
      </c>
      <c r="J2616" t="s">
        <v>35</v>
      </c>
      <c r="K2616" t="s">
        <v>81</v>
      </c>
      <c r="L2616"/>
      <c r="M2616" t="n">
        <v>1968</v>
      </c>
      <c r="N2616" t="n">
        <v>1983</v>
      </c>
      <c r="O2616" t="s">
        <v>17147</v>
      </c>
      <c r="P2616" t="n">
        <v>7</v>
      </c>
      <c r="Q2616" t="n">
        <v>7</v>
      </c>
      <c r="R2616" t="n">
        <v>7</v>
      </c>
      <c r="S2616" t="n">
        <v>1951</v>
      </c>
      <c r="T2616" t="s">
        <v>17148</v>
      </c>
      <c r="U2616" t="s">
        <v>17149</v>
      </c>
      <c r="V2616" t="s">
        <v>74</v>
      </c>
      <c r="W2616"/>
      <c r="X2616"/>
      <c r="Y2616" t="s">
        <v>17150</v>
      </c>
      <c r="Z2616"/>
      <c r="AA2616"/>
      <c r="AB2616" t="s">
        <v>17151</v>
      </c>
      <c r="AC2616" t="n">
        <v>218</v>
      </c>
      <c r="AD2616"/>
      <c r="AE2616"/>
      <c r="AF2616" t="s">
        <v>17152</v>
      </c>
      <c r="AG2616" t="n">
        <v>3</v>
      </c>
    </row>
    <row r="2617">
      <c r="A2617" t="s">
        <v>17153</v>
      </c>
      <c r="B2617" t="s">
        <v>28</v>
      </c>
      <c r="C2617" t="s">
        <v>65</v>
      </c>
      <c r="D2617" t="s">
        <v>17154</v>
      </c>
      <c r="E2617" t="s">
        <v>2748</v>
      </c>
      <c r="F2617" t="s">
        <v>2724</v>
      </c>
      <c r="G2617" t="s">
        <v>2763</v>
      </c>
      <c r="H2617" t="n">
        <v>39.711868824451</v>
      </c>
      <c r="I2617" t="n">
        <v>-105.133166948971</v>
      </c>
      <c r="J2617" t="s">
        <v>35</v>
      </c>
      <c r="K2617" t="s">
        <v>141</v>
      </c>
      <c r="L2617"/>
      <c r="M2617" t="n">
        <v>1970</v>
      </c>
      <c r="N2617" t="n">
        <v>1990</v>
      </c>
      <c r="O2617" t="s">
        <v>17155</v>
      </c>
      <c r="P2617" t="n">
        <v>6</v>
      </c>
      <c r="Q2617" t="n">
        <v>7</v>
      </c>
      <c r="R2617" t="n">
        <v>6</v>
      </c>
      <c r="S2617" t="n">
        <v>1958</v>
      </c>
      <c r="T2617" t="s">
        <v>17156</v>
      </c>
      <c r="U2617" t="s">
        <v>17157</v>
      </c>
      <c r="V2617" t="s">
        <v>74</v>
      </c>
      <c r="W2617"/>
      <c r="X2617"/>
      <c r="Y2617" t="s">
        <v>17158</v>
      </c>
      <c r="Z2617"/>
      <c r="AA2617" t="s">
        <v>17159</v>
      </c>
      <c r="AB2617"/>
      <c r="AC2617"/>
      <c r="AD2617"/>
      <c r="AE2617"/>
      <c r="AF2617" t="s">
        <v>17160</v>
      </c>
      <c r="AG2617" t="n">
        <v>129</v>
      </c>
    </row>
    <row r="2618">
      <c r="A2618" t="s">
        <v>17161</v>
      </c>
      <c r="B2618" t="s">
        <v>28</v>
      </c>
      <c r="C2618" t="s">
        <v>65</v>
      </c>
      <c r="D2618" t="s">
        <v>17162</v>
      </c>
      <c r="E2618" t="s">
        <v>2769</v>
      </c>
      <c r="F2618" t="s">
        <v>2724</v>
      </c>
      <c r="G2618" t="s">
        <v>2770</v>
      </c>
      <c r="H2618" t="n">
        <v>39.7759555705723</v>
      </c>
      <c r="I2618" t="n">
        <v>-105.081405912226</v>
      </c>
      <c r="J2618" t="s">
        <v>35</v>
      </c>
      <c r="K2618" t="s">
        <v>315</v>
      </c>
      <c r="L2618"/>
      <c r="M2618" t="n">
        <v>1970</v>
      </c>
      <c r="N2618" t="n">
        <v>1977</v>
      </c>
      <c r="O2618" t="s">
        <v>726</v>
      </c>
      <c r="P2618" t="n">
        <v>4</v>
      </c>
      <c r="Q2618" t="n">
        <v>3</v>
      </c>
      <c r="R2618" t="n">
        <v>1</v>
      </c>
      <c r="S2618" t="n">
        <v>1964</v>
      </c>
      <c r="T2618" t="s">
        <v>17163</v>
      </c>
      <c r="U2618" t="s">
        <v>17164</v>
      </c>
      <c r="V2618" t="s">
        <v>74</v>
      </c>
      <c r="W2618"/>
      <c r="X2618"/>
      <c r="Y2618" t="s">
        <v>17165</v>
      </c>
      <c r="Z2618"/>
      <c r="AA2618"/>
      <c r="AB2618" t="s">
        <v>17166</v>
      </c>
      <c r="AC2618" t="n">
        <v>113</v>
      </c>
      <c r="AD2618" t="s">
        <v>2800</v>
      </c>
      <c r="AE2618" t="n">
        <v>217</v>
      </c>
      <c r="AF2618" t="s">
        <v>3397</v>
      </c>
      <c r="AG2618" t="n">
        <v>30</v>
      </c>
    </row>
    <row r="2619">
      <c r="A2619" t="s">
        <v>17167</v>
      </c>
      <c r="B2619" t="s">
        <v>28</v>
      </c>
      <c r="C2619" t="s">
        <v>65</v>
      </c>
      <c r="D2619" t="s">
        <v>17168</v>
      </c>
      <c r="E2619" t="s">
        <v>2729</v>
      </c>
      <c r="F2619" t="s">
        <v>2724</v>
      </c>
      <c r="G2619" t="s">
        <v>2730</v>
      </c>
      <c r="H2619" t="n">
        <v>39.801928850101</v>
      </c>
      <c r="I2619" t="n">
        <v>-105.04835754264</v>
      </c>
      <c r="J2619" t="s">
        <v>35</v>
      </c>
      <c r="K2619" t="s">
        <v>315</v>
      </c>
      <c r="L2619"/>
      <c r="M2619" t="n">
        <v>1973</v>
      </c>
      <c r="N2619" t="n">
        <v>1973</v>
      </c>
      <c r="O2619" t="s">
        <v>121</v>
      </c>
      <c r="P2619" t="n">
        <v>1</v>
      </c>
      <c r="Q2619" t="n">
        <v>1</v>
      </c>
      <c r="R2619" t="n">
        <v>1</v>
      </c>
      <c r="S2619" t="n">
        <v>1966</v>
      </c>
      <c r="T2619" t="s">
        <v>17169</v>
      </c>
      <c r="U2619" t="s">
        <v>17170</v>
      </c>
      <c r="V2619" t="s">
        <v>74</v>
      </c>
      <c r="W2619"/>
      <c r="X2619"/>
      <c r="Y2619" t="s">
        <v>17171</v>
      </c>
      <c r="Z2619"/>
      <c r="AA2619"/>
      <c r="AB2619" t="s">
        <v>9826</v>
      </c>
      <c r="AC2619" t="n">
        <v>171</v>
      </c>
      <c r="AD2619" t="s">
        <v>9827</v>
      </c>
      <c r="AE2619" t="n">
        <v>111</v>
      </c>
      <c r="AF2619" t="s">
        <v>17172</v>
      </c>
      <c r="AG2619" t="n">
        <v>21</v>
      </c>
    </row>
    <row r="2620">
      <c r="A2620" t="s">
        <v>17173</v>
      </c>
      <c r="B2620" t="s">
        <v>28</v>
      </c>
      <c r="C2620" t="s">
        <v>65</v>
      </c>
      <c r="D2620" t="s">
        <v>17174</v>
      </c>
      <c r="E2620" t="s">
        <v>2729</v>
      </c>
      <c r="F2620" t="s">
        <v>2724</v>
      </c>
      <c r="G2620" t="s">
        <v>2952</v>
      </c>
      <c r="H2620" t="n">
        <v>39.8045233930776</v>
      </c>
      <c r="I2620" t="n">
        <v>-105.052912723126</v>
      </c>
      <c r="J2620" t="s">
        <v>35</v>
      </c>
      <c r="K2620" t="s">
        <v>2896</v>
      </c>
      <c r="L2620"/>
      <c r="M2620" t="n">
        <v>1973</v>
      </c>
      <c r="N2620" t="n">
        <v>1992</v>
      </c>
      <c r="O2620" t="s">
        <v>380</v>
      </c>
      <c r="P2620" t="n">
        <v>6</v>
      </c>
      <c r="Q2620" t="n">
        <v>10</v>
      </c>
      <c r="R2620" t="n">
        <v>4</v>
      </c>
      <c r="S2620" t="n">
        <v>1962</v>
      </c>
      <c r="T2620" t="s">
        <v>17175</v>
      </c>
      <c r="U2620" t="s">
        <v>17176</v>
      </c>
      <c r="V2620" t="s">
        <v>74</v>
      </c>
      <c r="W2620"/>
      <c r="X2620"/>
      <c r="Y2620" t="s">
        <v>17177</v>
      </c>
      <c r="Z2620"/>
      <c r="AA2620"/>
      <c r="AB2620"/>
      <c r="AC2620"/>
      <c r="AD2620"/>
      <c r="AE2620"/>
      <c r="AF2620" t="s">
        <v>17178</v>
      </c>
      <c r="AG2620" t="n">
        <v>67</v>
      </c>
    </row>
    <row r="2621">
      <c r="A2621" t="s">
        <v>17179</v>
      </c>
      <c r="B2621" t="s">
        <v>28</v>
      </c>
      <c r="C2621" t="s">
        <v>24</v>
      </c>
      <c r="D2621" t="s">
        <v>17180</v>
      </c>
      <c r="E2621" t="s">
        <v>2748</v>
      </c>
      <c r="F2621" t="s">
        <v>2724</v>
      </c>
      <c r="G2621" t="s">
        <v>2763</v>
      </c>
      <c r="H2621" t="n">
        <v>39.7219615797366</v>
      </c>
      <c r="I2621" t="n">
        <v>-105.053266439357</v>
      </c>
      <c r="J2621" t="s">
        <v>4109</v>
      </c>
      <c r="K2621" t="s">
        <v>220</v>
      </c>
      <c r="L2621"/>
      <c r="M2621" t="n">
        <v>1973</v>
      </c>
      <c r="N2621" t="n">
        <v>1973</v>
      </c>
      <c r="O2621" t="s">
        <v>121</v>
      </c>
      <c r="P2621" t="n">
        <v>1</v>
      </c>
      <c r="Q2621" t="n">
        <v>1</v>
      </c>
      <c r="R2621" t="n">
        <v>1</v>
      </c>
      <c r="S2621" t="n">
        <v>1971</v>
      </c>
      <c r="T2621" t="s">
        <v>17181</v>
      </c>
      <c r="U2621" t="s">
        <v>17182</v>
      </c>
      <c r="V2621" t="s">
        <v>74</v>
      </c>
      <c r="W2621"/>
      <c r="X2621"/>
      <c r="Y2621" t="s">
        <v>17183</v>
      </c>
      <c r="Z2621"/>
      <c r="AA2621"/>
      <c r="AB2621"/>
      <c r="AC2621"/>
      <c r="AD2621"/>
      <c r="AE2621"/>
      <c r="AF2621" t="s">
        <v>17184</v>
      </c>
      <c r="AG2621" t="n">
        <v>7</v>
      </c>
    </row>
    <row r="2622">
      <c r="A2622" t="s">
        <v>17185</v>
      </c>
      <c r="B2622" t="s">
        <v>28</v>
      </c>
      <c r="C2622" t="s">
        <v>65</v>
      </c>
      <c r="D2622" t="s">
        <v>17186</v>
      </c>
      <c r="E2622" t="s">
        <v>2748</v>
      </c>
      <c r="F2622" t="s">
        <v>2724</v>
      </c>
      <c r="G2622" t="s">
        <v>2851</v>
      </c>
      <c r="H2622" t="n">
        <v>39.6558854305555</v>
      </c>
      <c r="I2622" t="n">
        <v>-105.081343291667</v>
      </c>
      <c r="J2622" t="s">
        <v>35</v>
      </c>
      <c r="K2622" t="s">
        <v>89</v>
      </c>
      <c r="L2622"/>
      <c r="M2622" t="n">
        <v>1973</v>
      </c>
      <c r="N2622" t="n">
        <v>1990</v>
      </c>
      <c r="O2622" t="s">
        <v>1830</v>
      </c>
      <c r="P2622" t="n">
        <v>5</v>
      </c>
      <c r="Q2622" t="n">
        <v>2</v>
      </c>
      <c r="R2622" t="n">
        <v>1</v>
      </c>
      <c r="S2622" t="n">
        <v>1970</v>
      </c>
      <c r="T2622" t="s">
        <v>17187</v>
      </c>
      <c r="U2622" t="s">
        <v>17188</v>
      </c>
      <c r="V2622" t="s">
        <v>74</v>
      </c>
      <c r="W2622"/>
      <c r="X2622"/>
      <c r="Y2622" t="s">
        <v>17189</v>
      </c>
      <c r="Z2622"/>
      <c r="AA2622" t="s">
        <v>17190</v>
      </c>
      <c r="AB2622"/>
      <c r="AC2622"/>
      <c r="AD2622"/>
      <c r="AE2622"/>
      <c r="AF2622" t="s">
        <v>17191</v>
      </c>
      <c r="AG2622" t="n">
        <v>36</v>
      </c>
    </row>
    <row r="2623">
      <c r="A2623" t="s">
        <v>17192</v>
      </c>
      <c r="B2623" t="s">
        <v>28</v>
      </c>
      <c r="C2623" t="s">
        <v>65</v>
      </c>
      <c r="D2623" t="s">
        <v>17193</v>
      </c>
      <c r="E2623" t="s">
        <v>2748</v>
      </c>
      <c r="F2623" t="s">
        <v>2724</v>
      </c>
      <c r="G2623" t="s">
        <v>2749</v>
      </c>
      <c r="H2623" t="n">
        <v>39.7420199090909</v>
      </c>
      <c r="I2623" t="n">
        <v>-105.076703318182</v>
      </c>
      <c r="J2623" t="s">
        <v>35</v>
      </c>
      <c r="K2623" t="s">
        <v>315</v>
      </c>
      <c r="L2623"/>
      <c r="M2623" t="n">
        <v>1973</v>
      </c>
      <c r="N2623" t="n">
        <v>1992</v>
      </c>
      <c r="O2623" t="s">
        <v>17194</v>
      </c>
      <c r="P2623" t="n">
        <v>6</v>
      </c>
      <c r="Q2623" t="n">
        <v>1</v>
      </c>
      <c r="R2623" t="n">
        <v>1</v>
      </c>
      <c r="S2623" t="n">
        <v>1965</v>
      </c>
      <c r="T2623" t="s">
        <v>17195</v>
      </c>
      <c r="U2623" t="s">
        <v>17196</v>
      </c>
      <c r="V2623" t="s">
        <v>74</v>
      </c>
      <c r="W2623"/>
      <c r="X2623"/>
      <c r="Y2623" t="s">
        <v>17197</v>
      </c>
      <c r="Z2623"/>
      <c r="AA2623"/>
      <c r="AB2623"/>
      <c r="AC2623"/>
      <c r="AD2623"/>
      <c r="AE2623"/>
      <c r="AF2623" t="s">
        <v>17198</v>
      </c>
      <c r="AG2623" t="n">
        <v>38</v>
      </c>
    </row>
    <row r="2624">
      <c r="A2624" t="s">
        <v>17199</v>
      </c>
      <c r="B2624" t="s">
        <v>28</v>
      </c>
      <c r="C2624" t="s">
        <v>65</v>
      </c>
      <c r="D2624" t="s">
        <v>17200</v>
      </c>
      <c r="E2624" t="s">
        <v>2769</v>
      </c>
      <c r="F2624" t="s">
        <v>2724</v>
      </c>
      <c r="G2624" t="s">
        <v>2770</v>
      </c>
      <c r="H2624" t="n">
        <v>39.7844376378748</v>
      </c>
      <c r="I2624" t="n">
        <v>-105.135509197152</v>
      </c>
      <c r="J2624" t="s">
        <v>35</v>
      </c>
      <c r="K2624" t="s">
        <v>141</v>
      </c>
      <c r="L2624"/>
      <c r="M2624" t="n">
        <v>1973</v>
      </c>
      <c r="N2624" t="n">
        <v>1990</v>
      </c>
      <c r="O2624" t="s">
        <v>434</v>
      </c>
      <c r="P2624" t="n">
        <v>6</v>
      </c>
      <c r="Q2624" t="n">
        <v>5</v>
      </c>
      <c r="R2624" t="n">
        <v>4</v>
      </c>
      <c r="S2624" t="n">
        <v>1967</v>
      </c>
      <c r="T2624" t="s">
        <v>17201</v>
      </c>
      <c r="U2624" t="s">
        <v>17202</v>
      </c>
      <c r="V2624" t="s">
        <v>74</v>
      </c>
      <c r="W2624"/>
      <c r="X2624"/>
      <c r="Y2624" t="s">
        <v>17203</v>
      </c>
      <c r="Z2624"/>
      <c r="AA2624" t="s">
        <v>17204</v>
      </c>
      <c r="AB2624"/>
      <c r="AC2624"/>
      <c r="AD2624" t="s">
        <v>17205</v>
      </c>
      <c r="AE2624" t="n">
        <v>127</v>
      </c>
      <c r="AF2624" t="s">
        <v>17206</v>
      </c>
      <c r="AG2624" t="n">
        <v>83</v>
      </c>
    </row>
    <row r="2625">
      <c r="A2625" t="s">
        <v>17207</v>
      </c>
      <c r="B2625" t="s">
        <v>28</v>
      </c>
      <c r="C2625" t="s">
        <v>65</v>
      </c>
      <c r="D2625" t="s">
        <v>17208</v>
      </c>
      <c r="E2625" t="s">
        <v>2769</v>
      </c>
      <c r="F2625" t="s">
        <v>2724</v>
      </c>
      <c r="G2625" t="s">
        <v>2770</v>
      </c>
      <c r="H2625" t="n">
        <v>39.7838189090909</v>
      </c>
      <c r="I2625" t="n">
        <v>-105.13642050505</v>
      </c>
      <c r="J2625" t="s">
        <v>35</v>
      </c>
      <c r="K2625" t="s">
        <v>120</v>
      </c>
      <c r="L2625"/>
      <c r="M2625" t="n">
        <v>1973</v>
      </c>
      <c r="N2625" t="n">
        <v>1974</v>
      </c>
      <c r="O2625" t="s">
        <v>127</v>
      </c>
      <c r="P2625" t="n">
        <v>2</v>
      </c>
      <c r="Q2625" t="n">
        <v>1</v>
      </c>
      <c r="R2625" t="n">
        <v>1</v>
      </c>
      <c r="S2625" t="n">
        <v>1958</v>
      </c>
      <c r="T2625" t="s">
        <v>17209</v>
      </c>
      <c r="U2625" t="s">
        <v>17210</v>
      </c>
      <c r="V2625" t="s">
        <v>74</v>
      </c>
      <c r="W2625"/>
      <c r="X2625"/>
      <c r="Y2625" t="s">
        <v>17211</v>
      </c>
      <c r="Z2625"/>
      <c r="AA2625"/>
      <c r="AB2625"/>
      <c r="AC2625"/>
      <c r="AD2625" t="s">
        <v>17205</v>
      </c>
      <c r="AE2625" t="n">
        <v>110</v>
      </c>
      <c r="AF2625" t="s">
        <v>17212</v>
      </c>
      <c r="AG2625" t="n">
        <v>9</v>
      </c>
    </row>
    <row r="2626">
      <c r="A2626" t="s">
        <v>17213</v>
      </c>
      <c r="B2626" t="s">
        <v>28</v>
      </c>
      <c r="C2626" t="s">
        <v>65</v>
      </c>
      <c r="D2626" t="s">
        <v>17214</v>
      </c>
      <c r="E2626" t="s">
        <v>2769</v>
      </c>
      <c r="F2626" t="s">
        <v>2724</v>
      </c>
      <c r="G2626" t="s">
        <v>2770</v>
      </c>
      <c r="H2626" t="n">
        <v>39.7864863215283</v>
      </c>
      <c r="I2626" t="n">
        <v>-105.130569355335</v>
      </c>
      <c r="J2626" t="s">
        <v>35</v>
      </c>
      <c r="K2626" t="s">
        <v>527</v>
      </c>
      <c r="L2626"/>
      <c r="M2626" t="n">
        <v>1973</v>
      </c>
      <c r="N2626" t="n">
        <v>1977</v>
      </c>
      <c r="O2626" t="s">
        <v>127</v>
      </c>
      <c r="P2626" t="n">
        <v>3</v>
      </c>
      <c r="Q2626" t="n">
        <v>2</v>
      </c>
      <c r="R2626" t="n">
        <v>1</v>
      </c>
      <c r="S2626" t="n">
        <v>1971</v>
      </c>
      <c r="T2626" t="s">
        <v>17215</v>
      </c>
      <c r="U2626" t="s">
        <v>17216</v>
      </c>
      <c r="V2626" t="s">
        <v>74</v>
      </c>
      <c r="W2626"/>
      <c r="X2626"/>
      <c r="Y2626" t="s">
        <v>17217</v>
      </c>
      <c r="Z2626"/>
      <c r="AA2626"/>
      <c r="AB2626"/>
      <c r="AC2626"/>
      <c r="AD2626"/>
      <c r="AE2626"/>
      <c r="AF2626" t="s">
        <v>17218</v>
      </c>
      <c r="AG2626" t="n">
        <v>94</v>
      </c>
    </row>
    <row r="2627">
      <c r="A2627" t="s">
        <v>17219</v>
      </c>
      <c r="B2627" t="s">
        <v>28</v>
      </c>
      <c r="C2627" t="s">
        <v>65</v>
      </c>
      <c r="D2627" t="s">
        <v>17220</v>
      </c>
      <c r="E2627" t="s">
        <v>2729</v>
      </c>
      <c r="F2627" t="s">
        <v>2724</v>
      </c>
      <c r="G2627" t="s">
        <v>2730</v>
      </c>
      <c r="H2627" t="n">
        <v>39.7985296326531</v>
      </c>
      <c r="I2627" t="n">
        <v>-105.066005214286</v>
      </c>
      <c r="J2627" t="s">
        <v>35</v>
      </c>
      <c r="K2627" t="s">
        <v>767</v>
      </c>
      <c r="L2627"/>
      <c r="M2627" t="n">
        <v>1974</v>
      </c>
      <c r="N2627" t="n">
        <v>1992</v>
      </c>
      <c r="O2627" t="s">
        <v>17221</v>
      </c>
      <c r="P2627" t="n">
        <v>5</v>
      </c>
      <c r="Q2627" t="n">
        <v>8</v>
      </c>
      <c r="R2627" t="n">
        <v>5</v>
      </c>
      <c r="S2627" t="n">
        <v>1971</v>
      </c>
      <c r="T2627" t="s">
        <v>17222</v>
      </c>
      <c r="U2627" t="s">
        <v>17223</v>
      </c>
      <c r="V2627" t="s">
        <v>74</v>
      </c>
      <c r="W2627"/>
      <c r="X2627"/>
      <c r="Y2627" t="s">
        <v>17224</v>
      </c>
      <c r="Z2627"/>
      <c r="AA2627" t="s">
        <v>17225</v>
      </c>
      <c r="AB2627" t="s">
        <v>10332</v>
      </c>
      <c r="AC2627" t="n">
        <v>211</v>
      </c>
      <c r="AD2627"/>
      <c r="AE2627"/>
      <c r="AF2627" t="s">
        <v>17226</v>
      </c>
      <c r="AG2627" t="n">
        <v>14</v>
      </c>
    </row>
    <row r="2628">
      <c r="A2628" t="s">
        <v>17227</v>
      </c>
      <c r="B2628" t="s">
        <v>28</v>
      </c>
      <c r="C2628" t="s">
        <v>24</v>
      </c>
      <c r="D2628" t="s">
        <v>17228</v>
      </c>
      <c r="E2628" t="s">
        <v>2729</v>
      </c>
      <c r="F2628" t="s">
        <v>2724</v>
      </c>
      <c r="G2628" t="s">
        <v>2730</v>
      </c>
      <c r="H2628" t="n">
        <v>39.872227</v>
      </c>
      <c r="I2628" t="n">
        <v>-105.072882</v>
      </c>
      <c r="J2628" t="s">
        <v>4109</v>
      </c>
      <c r="K2628" t="s">
        <v>70</v>
      </c>
      <c r="L2628"/>
      <c r="M2628" t="n">
        <v>1974</v>
      </c>
      <c r="N2628" t="n">
        <v>1980</v>
      </c>
      <c r="O2628" t="s">
        <v>255</v>
      </c>
      <c r="P2628" t="n">
        <v>3</v>
      </c>
      <c r="Q2628" t="n">
        <v>3</v>
      </c>
      <c r="R2628" t="n">
        <v>1</v>
      </c>
      <c r="S2628" t="n">
        <v>1949</v>
      </c>
      <c r="T2628" t="s">
        <v>17229</v>
      </c>
      <c r="U2628" t="s">
        <v>17230</v>
      </c>
      <c r="V2628" t="s">
        <v>74</v>
      </c>
      <c r="W2628"/>
      <c r="X2628"/>
      <c r="Y2628" t="s">
        <v>17231</v>
      </c>
      <c r="Z2628"/>
      <c r="AA2628"/>
      <c r="AB2628"/>
      <c r="AC2628"/>
      <c r="AD2628"/>
      <c r="AE2628"/>
      <c r="AF2628" t="s">
        <v>17232</v>
      </c>
      <c r="AG2628" t="n">
        <v>75</v>
      </c>
    </row>
    <row r="2629">
      <c r="A2629" t="s">
        <v>17233</v>
      </c>
      <c r="B2629" t="s">
        <v>28</v>
      </c>
      <c r="C2629" t="s">
        <v>24</v>
      </c>
      <c r="D2629" t="s">
        <v>17234</v>
      </c>
      <c r="E2629" t="s">
        <v>2729</v>
      </c>
      <c r="F2629" t="s">
        <v>2724</v>
      </c>
      <c r="G2629" t="s">
        <v>2730</v>
      </c>
      <c r="H2629" t="n">
        <v>39.7960505906616</v>
      </c>
      <c r="I2629" t="n">
        <v>-105.062598422113</v>
      </c>
      <c r="J2629" t="s">
        <v>4109</v>
      </c>
      <c r="K2629" t="s">
        <v>120</v>
      </c>
      <c r="L2629" t="s">
        <v>202</v>
      </c>
      <c r="M2629" t="n">
        <v>1974</v>
      </c>
      <c r="N2629" t="n">
        <v>1990</v>
      </c>
      <c r="O2629" t="s">
        <v>4019</v>
      </c>
      <c r="P2629" t="n">
        <v>4</v>
      </c>
      <c r="Q2629" t="n">
        <v>5</v>
      </c>
      <c r="R2629" t="n">
        <v>4</v>
      </c>
      <c r="S2629" t="n">
        <v>1971</v>
      </c>
      <c r="T2629" t="s">
        <v>17235</v>
      </c>
      <c r="U2629" t="s">
        <v>17236</v>
      </c>
      <c r="V2629" t="s">
        <v>74</v>
      </c>
      <c r="W2629"/>
      <c r="X2629"/>
      <c r="Y2629" t="s">
        <v>17237</v>
      </c>
      <c r="Z2629"/>
      <c r="AA2629" t="s">
        <v>17238</v>
      </c>
      <c r="AB2629"/>
      <c r="AC2629"/>
      <c r="AD2629" t="s">
        <v>17239</v>
      </c>
      <c r="AE2629" t="n">
        <v>193</v>
      </c>
      <c r="AF2629" t="s">
        <v>17240</v>
      </c>
      <c r="AG2629" t="n">
        <v>42</v>
      </c>
    </row>
    <row r="2630">
      <c r="A2630" t="s">
        <v>17241</v>
      </c>
      <c r="B2630" t="s">
        <v>28</v>
      </c>
      <c r="C2630" t="s">
        <v>24</v>
      </c>
      <c r="D2630" t="s">
        <v>17242</v>
      </c>
      <c r="E2630" t="s">
        <v>2729</v>
      </c>
      <c r="F2630" t="s">
        <v>2724</v>
      </c>
      <c r="G2630" t="s">
        <v>2730</v>
      </c>
      <c r="H2630" t="n">
        <v>39.8717233863653</v>
      </c>
      <c r="I2630" t="n">
        <v>-105.070396475176</v>
      </c>
      <c r="J2630" t="s">
        <v>4109</v>
      </c>
      <c r="K2630" t="s">
        <v>89</v>
      </c>
      <c r="L2630"/>
      <c r="M2630" t="n">
        <v>1974</v>
      </c>
      <c r="N2630" t="n">
        <v>1974</v>
      </c>
      <c r="O2630" t="s">
        <v>210</v>
      </c>
      <c r="P2630" t="n">
        <v>1</v>
      </c>
      <c r="Q2630" t="n">
        <v>1</v>
      </c>
      <c r="R2630" t="n">
        <v>1</v>
      </c>
      <c r="S2630" t="n">
        <v>1902</v>
      </c>
      <c r="T2630" t="s">
        <v>17243</v>
      </c>
      <c r="U2630" t="s">
        <v>17244</v>
      </c>
      <c r="V2630" t="s">
        <v>74</v>
      </c>
      <c r="W2630"/>
      <c r="X2630"/>
      <c r="Y2630" t="s">
        <v>17245</v>
      </c>
      <c r="Z2630"/>
      <c r="AA2630" t="s">
        <v>17246</v>
      </c>
      <c r="AB2630"/>
      <c r="AC2630"/>
      <c r="AD2630"/>
      <c r="AE2630"/>
      <c r="AF2630" t="s">
        <v>17232</v>
      </c>
      <c r="AG2630" t="n">
        <v>156</v>
      </c>
    </row>
    <row r="2631">
      <c r="A2631" t="s">
        <v>17247</v>
      </c>
      <c r="B2631" t="s">
        <v>28</v>
      </c>
      <c r="C2631" t="s">
        <v>65</v>
      </c>
      <c r="D2631" t="s">
        <v>17248</v>
      </c>
      <c r="E2631" t="s">
        <v>2748</v>
      </c>
      <c r="F2631" t="s">
        <v>2724</v>
      </c>
      <c r="G2631" t="s">
        <v>2749</v>
      </c>
      <c r="H2631" t="n">
        <v>39.7291416026936</v>
      </c>
      <c r="I2631" t="n">
        <v>-105.121920171717</v>
      </c>
      <c r="J2631" t="s">
        <v>35</v>
      </c>
      <c r="K2631" t="s">
        <v>126</v>
      </c>
      <c r="L2631"/>
      <c r="M2631" t="n">
        <v>1974</v>
      </c>
      <c r="N2631" t="n">
        <v>1980</v>
      </c>
      <c r="O2631" t="s">
        <v>210</v>
      </c>
      <c r="P2631" t="n">
        <v>2</v>
      </c>
      <c r="Q2631" t="n">
        <v>2</v>
      </c>
      <c r="R2631" t="n">
        <v>1</v>
      </c>
      <c r="S2631" t="n">
        <v>1907</v>
      </c>
      <c r="T2631" t="s">
        <v>17249</v>
      </c>
      <c r="U2631" t="s">
        <v>17250</v>
      </c>
      <c r="V2631" t="s">
        <v>74</v>
      </c>
      <c r="W2631"/>
      <c r="X2631"/>
      <c r="Y2631" t="s">
        <v>17251</v>
      </c>
      <c r="Z2631"/>
      <c r="AA2631" t="s">
        <v>17252</v>
      </c>
      <c r="AB2631" t="s">
        <v>17253</v>
      </c>
      <c r="AC2631" t="n">
        <v>228</v>
      </c>
      <c r="AD2631" t="s">
        <v>17254</v>
      </c>
      <c r="AE2631" t="n">
        <v>190</v>
      </c>
      <c r="AF2631" t="s">
        <v>17255</v>
      </c>
      <c r="AG2631" t="n">
        <v>21</v>
      </c>
    </row>
    <row r="2632">
      <c r="A2632" t="s">
        <v>17256</v>
      </c>
      <c r="B2632" t="s">
        <v>28</v>
      </c>
      <c r="C2632" t="s">
        <v>65</v>
      </c>
      <c r="D2632" t="s">
        <v>17257</v>
      </c>
      <c r="E2632" t="s">
        <v>2769</v>
      </c>
      <c r="F2632" t="s">
        <v>2724</v>
      </c>
      <c r="G2632" t="s">
        <v>2770</v>
      </c>
      <c r="H2632" t="n">
        <v>39.7749279090909</v>
      </c>
      <c r="I2632" t="n">
        <v>-105.141904151515</v>
      </c>
      <c r="J2632" t="s">
        <v>35</v>
      </c>
      <c r="K2632" t="s">
        <v>89</v>
      </c>
      <c r="L2632"/>
      <c r="M2632" t="n">
        <v>1974</v>
      </c>
      <c r="N2632" t="n">
        <v>1992</v>
      </c>
      <c r="O2632" t="s">
        <v>203</v>
      </c>
      <c r="P2632" t="n">
        <v>6</v>
      </c>
      <c r="Q2632" t="n">
        <v>3</v>
      </c>
      <c r="R2632" t="n">
        <v>3</v>
      </c>
      <c r="S2632" t="n">
        <v>1954</v>
      </c>
      <c r="T2632" t="s">
        <v>17258</v>
      </c>
      <c r="U2632" t="s">
        <v>17259</v>
      </c>
      <c r="V2632" t="s">
        <v>74</v>
      </c>
      <c r="W2632"/>
      <c r="X2632"/>
      <c r="Y2632" t="s">
        <v>17260</v>
      </c>
      <c r="Z2632"/>
      <c r="AA2632"/>
      <c r="AB2632"/>
      <c r="AC2632"/>
      <c r="AD2632"/>
      <c r="AE2632"/>
      <c r="AF2632" t="s">
        <v>17261</v>
      </c>
      <c r="AG2632" t="n">
        <v>15</v>
      </c>
    </row>
    <row r="2633">
      <c r="A2633" t="s">
        <v>17262</v>
      </c>
      <c r="B2633" t="s">
        <v>28</v>
      </c>
      <c r="C2633" t="s">
        <v>65</v>
      </c>
      <c r="D2633" t="s">
        <v>17263</v>
      </c>
      <c r="E2633" t="s">
        <v>2769</v>
      </c>
      <c r="F2633" t="s">
        <v>2724</v>
      </c>
      <c r="G2633" t="s">
        <v>2770</v>
      </c>
      <c r="H2633" t="n">
        <v>39.7840048981114</v>
      </c>
      <c r="I2633" t="n">
        <v>-105.126491457616</v>
      </c>
      <c r="J2633" t="s">
        <v>35</v>
      </c>
      <c r="K2633" t="s">
        <v>270</v>
      </c>
      <c r="L2633"/>
      <c r="M2633" t="n">
        <v>1974</v>
      </c>
      <c r="N2633" t="n">
        <v>1992</v>
      </c>
      <c r="O2633" t="s">
        <v>271</v>
      </c>
      <c r="P2633" t="n">
        <v>7</v>
      </c>
      <c r="Q2633" t="n">
        <v>8</v>
      </c>
      <c r="R2633" t="n">
        <v>4</v>
      </c>
      <c r="S2633" t="n">
        <v>1965</v>
      </c>
      <c r="T2633" t="s">
        <v>17264</v>
      </c>
      <c r="U2633" t="s">
        <v>17265</v>
      </c>
      <c r="V2633" t="s">
        <v>74</v>
      </c>
      <c r="W2633"/>
      <c r="X2633"/>
      <c r="Y2633" t="s">
        <v>17266</v>
      </c>
      <c r="Z2633"/>
      <c r="AA2633" t="s">
        <v>17267</v>
      </c>
      <c r="AB2633"/>
      <c r="AC2633"/>
      <c r="AD2633"/>
      <c r="AE2633"/>
      <c r="AF2633" t="s">
        <v>17268</v>
      </c>
      <c r="AG2633" t="n">
        <v>42</v>
      </c>
    </row>
    <row r="2634">
      <c r="A2634" t="s">
        <v>17269</v>
      </c>
      <c r="B2634" t="s">
        <v>28</v>
      </c>
      <c r="C2634" t="s">
        <v>65</v>
      </c>
      <c r="D2634" t="s">
        <v>17270</v>
      </c>
      <c r="E2634" t="s">
        <v>2729</v>
      </c>
      <c r="F2634" t="s">
        <v>2724</v>
      </c>
      <c r="G2634" t="s">
        <v>2730</v>
      </c>
      <c r="H2634" t="n">
        <v>39.7975623997416</v>
      </c>
      <c r="I2634" t="n">
        <v>-105.068356463711</v>
      </c>
      <c r="J2634" t="s">
        <v>35</v>
      </c>
      <c r="K2634" t="s">
        <v>81</v>
      </c>
      <c r="L2634"/>
      <c r="M2634" t="n">
        <v>1977</v>
      </c>
      <c r="N2634" t="n">
        <v>1990</v>
      </c>
      <c r="O2634" t="s">
        <v>582</v>
      </c>
      <c r="P2634" t="n">
        <v>4</v>
      </c>
      <c r="Q2634" t="n">
        <v>3</v>
      </c>
      <c r="R2634" t="n">
        <v>2</v>
      </c>
      <c r="S2634" t="n">
        <v>1952</v>
      </c>
      <c r="T2634" t="s">
        <v>17271</v>
      </c>
      <c r="U2634" t="s">
        <v>17272</v>
      </c>
      <c r="V2634" t="s">
        <v>74</v>
      </c>
      <c r="W2634"/>
      <c r="X2634"/>
      <c r="Y2634" t="s">
        <v>17273</v>
      </c>
      <c r="Z2634"/>
      <c r="AA2634" t="s">
        <v>17274</v>
      </c>
      <c r="AB2634" t="s">
        <v>10332</v>
      </c>
      <c r="AC2634" t="n">
        <v>193</v>
      </c>
      <c r="AD2634"/>
      <c r="AE2634"/>
      <c r="AF2634" t="s">
        <v>17275</v>
      </c>
      <c r="AG2634" t="n">
        <v>12</v>
      </c>
    </row>
    <row r="2635">
      <c r="A2635" t="s">
        <v>17276</v>
      </c>
      <c r="B2635" t="s">
        <v>28</v>
      </c>
      <c r="C2635" t="s">
        <v>65</v>
      </c>
      <c r="D2635" t="s">
        <v>17277</v>
      </c>
      <c r="E2635" t="s">
        <v>2729</v>
      </c>
      <c r="F2635" t="s">
        <v>2724</v>
      </c>
      <c r="G2635" t="s">
        <v>2730</v>
      </c>
      <c r="H2635" t="n">
        <v>39.7978777653061</v>
      </c>
      <c r="I2635" t="n">
        <v>-105.061367959184</v>
      </c>
      <c r="J2635" t="s">
        <v>35</v>
      </c>
      <c r="K2635" t="s">
        <v>81</v>
      </c>
      <c r="L2635"/>
      <c r="M2635" t="n">
        <v>1977</v>
      </c>
      <c r="N2635" t="n">
        <v>1990</v>
      </c>
      <c r="O2635" t="s">
        <v>829</v>
      </c>
      <c r="P2635" t="n">
        <v>4</v>
      </c>
      <c r="Q2635" t="n">
        <v>7</v>
      </c>
      <c r="R2635" t="n">
        <v>4</v>
      </c>
      <c r="S2635" t="n">
        <v>1964</v>
      </c>
      <c r="T2635" t="s">
        <v>17278</v>
      </c>
      <c r="U2635" t="s">
        <v>17279</v>
      </c>
      <c r="V2635" t="s">
        <v>74</v>
      </c>
      <c r="W2635"/>
      <c r="X2635"/>
      <c r="Y2635" t="s">
        <v>17280</v>
      </c>
      <c r="Z2635"/>
      <c r="AA2635"/>
      <c r="AB2635" t="s">
        <v>17281</v>
      </c>
      <c r="AC2635" t="n">
        <v>118</v>
      </c>
      <c r="AD2635" t="s">
        <v>3785</v>
      </c>
      <c r="AE2635" t="n">
        <v>195</v>
      </c>
      <c r="AF2635" t="s">
        <v>17282</v>
      </c>
      <c r="AG2635" t="n">
        <v>23</v>
      </c>
    </row>
    <row r="2636">
      <c r="A2636" t="s">
        <v>17283</v>
      </c>
      <c r="B2636" t="s">
        <v>28</v>
      </c>
      <c r="C2636" t="s">
        <v>65</v>
      </c>
      <c r="D2636" t="s">
        <v>17284</v>
      </c>
      <c r="E2636" t="s">
        <v>2748</v>
      </c>
      <c r="F2636" t="s">
        <v>2724</v>
      </c>
      <c r="G2636" t="s">
        <v>2924</v>
      </c>
      <c r="H2636" t="n">
        <v>39.7122141594162</v>
      </c>
      <c r="I2636" t="n">
        <v>-105.139149807926</v>
      </c>
      <c r="J2636" t="s">
        <v>35</v>
      </c>
      <c r="K2636" t="s">
        <v>133</v>
      </c>
      <c r="L2636"/>
      <c r="M2636" t="n">
        <v>1977</v>
      </c>
      <c r="N2636" t="n">
        <v>1990</v>
      </c>
      <c r="O2636" t="s">
        <v>2446</v>
      </c>
      <c r="P2636" t="n">
        <v>4</v>
      </c>
      <c r="Q2636" t="n">
        <v>3</v>
      </c>
      <c r="R2636" t="n">
        <v>3</v>
      </c>
      <c r="S2636" t="n">
        <v>1971</v>
      </c>
      <c r="T2636" t="s">
        <v>17285</v>
      </c>
      <c r="U2636" t="s">
        <v>17286</v>
      </c>
      <c r="V2636" t="s">
        <v>74</v>
      </c>
      <c r="W2636"/>
      <c r="X2636"/>
      <c r="Y2636" t="s">
        <v>17287</v>
      </c>
      <c r="Z2636"/>
      <c r="AA2636" t="s">
        <v>17288</v>
      </c>
      <c r="AB2636"/>
      <c r="AC2636"/>
      <c r="AD2636"/>
      <c r="AE2636"/>
      <c r="AF2636" t="s">
        <v>17289</v>
      </c>
      <c r="AG2636" t="n">
        <v>2</v>
      </c>
    </row>
    <row r="2637">
      <c r="A2637" t="s">
        <v>17290</v>
      </c>
      <c r="B2637" t="s">
        <v>28</v>
      </c>
      <c r="C2637" t="s">
        <v>65</v>
      </c>
      <c r="D2637" t="s">
        <v>17291</v>
      </c>
      <c r="E2637" t="s">
        <v>2729</v>
      </c>
      <c r="F2637" t="s">
        <v>2724</v>
      </c>
      <c r="G2637" t="s">
        <v>2730</v>
      </c>
      <c r="H2637" t="n">
        <v>39.798339</v>
      </c>
      <c r="I2637" t="n">
        <v>-105.065200326515</v>
      </c>
      <c r="J2637" t="s">
        <v>35</v>
      </c>
      <c r="K2637" t="s">
        <v>141</v>
      </c>
      <c r="L2637"/>
      <c r="M2637" t="n">
        <v>1980</v>
      </c>
      <c r="N2637" t="n">
        <v>1990</v>
      </c>
      <c r="O2637" t="s">
        <v>555</v>
      </c>
      <c r="P2637" t="n">
        <v>2</v>
      </c>
      <c r="Q2637" t="n">
        <v>1</v>
      </c>
      <c r="R2637" t="n">
        <v>1</v>
      </c>
      <c r="S2637" t="n">
        <v>1969</v>
      </c>
      <c r="T2637" t="s">
        <v>17292</v>
      </c>
      <c r="U2637" t="s">
        <v>17293</v>
      </c>
      <c r="V2637" t="s">
        <v>74</v>
      </c>
      <c r="W2637"/>
      <c r="X2637"/>
      <c r="Y2637" t="s">
        <v>17294</v>
      </c>
      <c r="Z2637"/>
      <c r="AA2637" t="s">
        <v>17295</v>
      </c>
      <c r="AB2637" t="s">
        <v>10343</v>
      </c>
      <c r="AC2637" t="n">
        <v>175</v>
      </c>
      <c r="AD2637"/>
      <c r="AE2637"/>
      <c r="AF2637" t="s">
        <v>17296</v>
      </c>
      <c r="AG2637" t="n">
        <v>16</v>
      </c>
    </row>
    <row r="2638">
      <c r="A2638" t="s">
        <v>17297</v>
      </c>
      <c r="B2638" t="s">
        <v>28</v>
      </c>
      <c r="C2638" t="s">
        <v>24</v>
      </c>
      <c r="D2638" t="s">
        <v>17298</v>
      </c>
      <c r="E2638" t="s">
        <v>2748</v>
      </c>
      <c r="F2638" t="s">
        <v>2724</v>
      </c>
      <c r="G2638" t="s">
        <v>2749</v>
      </c>
      <c r="H2638" t="n">
        <v>39.7392853197066</v>
      </c>
      <c r="I2638" t="n">
        <v>-105.09548621657</v>
      </c>
      <c r="J2638" t="s">
        <v>4109</v>
      </c>
      <c r="K2638" t="s">
        <v>120</v>
      </c>
      <c r="L2638"/>
      <c r="M2638" t="n">
        <v>1980</v>
      </c>
      <c r="N2638" t="n">
        <v>1980</v>
      </c>
      <c r="O2638" t="s">
        <v>255</v>
      </c>
      <c r="P2638" t="n">
        <v>1</v>
      </c>
      <c r="Q2638" t="n">
        <v>1</v>
      </c>
      <c r="R2638" t="n">
        <v>1</v>
      </c>
      <c r="S2638" t="n">
        <v>1975</v>
      </c>
      <c r="T2638" t="s">
        <v>17299</v>
      </c>
      <c r="U2638" t="s">
        <v>17300</v>
      </c>
      <c r="V2638" t="s">
        <v>74</v>
      </c>
      <c r="W2638"/>
      <c r="X2638"/>
      <c r="Y2638" t="s">
        <v>17301</v>
      </c>
      <c r="Z2638"/>
      <c r="AA2638"/>
      <c r="AB2638" t="s">
        <v>12004</v>
      </c>
      <c r="AC2638" t="n">
        <v>153</v>
      </c>
      <c r="AD2638"/>
      <c r="AE2638"/>
      <c r="AF2638" t="s">
        <v>17302</v>
      </c>
      <c r="AG2638" t="n">
        <v>30</v>
      </c>
    </row>
    <row r="2639">
      <c r="A2639" t="s">
        <v>17303</v>
      </c>
      <c r="B2639" t="s">
        <v>28</v>
      </c>
      <c r="C2639" t="s">
        <v>24</v>
      </c>
      <c r="D2639" t="s">
        <v>17304</v>
      </c>
      <c r="E2639" t="s">
        <v>2729</v>
      </c>
      <c r="F2639" t="s">
        <v>2724</v>
      </c>
      <c r="G2639" t="s">
        <v>2730</v>
      </c>
      <c r="H2639" t="n">
        <v>39.7238604897959</v>
      </c>
      <c r="I2639" t="n">
        <v>-105.06267277551</v>
      </c>
      <c r="J2639" t="s">
        <v>4109</v>
      </c>
      <c r="K2639" t="s">
        <v>120</v>
      </c>
      <c r="L2639"/>
      <c r="M2639" t="n">
        <v>1980</v>
      </c>
      <c r="N2639" t="n">
        <v>1980</v>
      </c>
      <c r="O2639" t="s">
        <v>255</v>
      </c>
      <c r="P2639" t="n">
        <v>1</v>
      </c>
      <c r="Q2639" t="n">
        <v>1</v>
      </c>
      <c r="R2639" t="n">
        <v>1</v>
      </c>
      <c r="S2639" t="n">
        <v>1971</v>
      </c>
      <c r="T2639" t="s">
        <v>17305</v>
      </c>
      <c r="U2639" t="s">
        <v>17306</v>
      </c>
      <c r="V2639" t="s">
        <v>74</v>
      </c>
      <c r="W2639"/>
      <c r="X2639"/>
      <c r="Y2639" t="s">
        <v>17307</v>
      </c>
      <c r="Z2639"/>
      <c r="AA2639" t="s">
        <v>17308</v>
      </c>
      <c r="AB2639"/>
      <c r="AC2639"/>
      <c r="AD2639"/>
      <c r="AE2639"/>
      <c r="AF2639" t="s">
        <v>7416</v>
      </c>
      <c r="AG2639" t="n">
        <v>154</v>
      </c>
    </row>
    <row r="2640">
      <c r="A2640" t="s">
        <v>17309</v>
      </c>
      <c r="B2640" t="s">
        <v>28</v>
      </c>
      <c r="C2640" t="s">
        <v>24</v>
      </c>
      <c r="D2640" t="s">
        <v>17310</v>
      </c>
      <c r="E2640" t="s">
        <v>2729</v>
      </c>
      <c r="F2640" t="s">
        <v>2724</v>
      </c>
      <c r="G2640" t="s">
        <v>2730</v>
      </c>
      <c r="H2640" t="n">
        <v>39.8637099822095</v>
      </c>
      <c r="I2640" t="n">
        <v>-105.066830565281</v>
      </c>
      <c r="J2640" t="s">
        <v>4109</v>
      </c>
      <c r="K2640" t="s">
        <v>120</v>
      </c>
      <c r="L2640"/>
      <c r="M2640" t="n">
        <v>1980</v>
      </c>
      <c r="N2640" t="n">
        <v>1980</v>
      </c>
      <c r="O2640" t="s">
        <v>255</v>
      </c>
      <c r="P2640" t="n">
        <v>1</v>
      </c>
      <c r="Q2640" t="n">
        <v>1</v>
      </c>
      <c r="R2640" t="n">
        <v>1</v>
      </c>
      <c r="S2640" t="n">
        <v>1973</v>
      </c>
      <c r="T2640" t="s">
        <v>17311</v>
      </c>
      <c r="U2640" t="s">
        <v>17312</v>
      </c>
      <c r="V2640" t="s">
        <v>74</v>
      </c>
      <c r="W2640"/>
      <c r="X2640"/>
      <c r="Y2640" t="s">
        <v>17313</v>
      </c>
      <c r="Z2640"/>
      <c r="AA2640"/>
      <c r="AB2640"/>
      <c r="AC2640"/>
      <c r="AD2640"/>
      <c r="AE2640"/>
      <c r="AF2640" t="s">
        <v>17314</v>
      </c>
      <c r="AG2640" t="n">
        <v>41</v>
      </c>
    </row>
    <row r="2641">
      <c r="A2641" t="s">
        <v>17315</v>
      </c>
      <c r="B2641" t="s">
        <v>28</v>
      </c>
      <c r="C2641" t="s">
        <v>65</v>
      </c>
      <c r="D2641" t="s">
        <v>17316</v>
      </c>
      <c r="E2641" t="s">
        <v>2729</v>
      </c>
      <c r="F2641" t="s">
        <v>2724</v>
      </c>
      <c r="G2641" t="s">
        <v>2730</v>
      </c>
      <c r="H2641" t="n">
        <v>39.79633</v>
      </c>
      <c r="I2641" t="n">
        <v>-105.067980889454</v>
      </c>
      <c r="J2641" t="s">
        <v>35</v>
      </c>
      <c r="K2641" t="s">
        <v>141</v>
      </c>
      <c r="L2641"/>
      <c r="M2641" t="n">
        <v>1980</v>
      </c>
      <c r="N2641" t="n">
        <v>1992</v>
      </c>
      <c r="O2641" t="s">
        <v>3881</v>
      </c>
      <c r="P2641" t="n">
        <v>4</v>
      </c>
      <c r="Q2641" t="n">
        <v>6</v>
      </c>
      <c r="R2641" t="n">
        <v>4</v>
      </c>
      <c r="S2641" t="n">
        <v>1951</v>
      </c>
      <c r="T2641" t="s">
        <v>17317</v>
      </c>
      <c r="U2641" t="s">
        <v>17318</v>
      </c>
      <c r="V2641" t="s">
        <v>74</v>
      </c>
      <c r="W2641"/>
      <c r="X2641"/>
      <c r="Y2641" t="s">
        <v>17319</v>
      </c>
      <c r="Z2641"/>
      <c r="AA2641"/>
      <c r="AB2641"/>
      <c r="AC2641"/>
      <c r="AD2641" t="s">
        <v>17320</v>
      </c>
      <c r="AE2641" t="n">
        <v>159</v>
      </c>
      <c r="AF2641" t="s">
        <v>17321</v>
      </c>
      <c r="AG2641" t="n">
        <v>89</v>
      </c>
    </row>
    <row r="2642">
      <c r="A2642" t="s">
        <v>17322</v>
      </c>
      <c r="B2642" t="s">
        <v>28</v>
      </c>
      <c r="C2642" t="s">
        <v>24</v>
      </c>
      <c r="D2642" t="s">
        <v>17323</v>
      </c>
      <c r="E2642" t="s">
        <v>2748</v>
      </c>
      <c r="F2642" t="s">
        <v>2724</v>
      </c>
      <c r="G2642"/>
      <c r="H2642" t="n">
        <v>39.745234</v>
      </c>
      <c r="I2642" t="n">
        <v>-105.109567</v>
      </c>
      <c r="J2642" t="s">
        <v>4109</v>
      </c>
      <c r="K2642" t="s">
        <v>120</v>
      </c>
      <c r="L2642"/>
      <c r="M2642" t="n">
        <v>1980</v>
      </c>
      <c r="N2642" t="n">
        <v>1980</v>
      </c>
      <c r="O2642" t="s">
        <v>255</v>
      </c>
      <c r="P2642" t="n">
        <v>1</v>
      </c>
      <c r="Q2642" t="n">
        <v>1</v>
      </c>
      <c r="R2642" t="n">
        <v>1</v>
      </c>
      <c r="S2642" t="n">
        <v>1976</v>
      </c>
      <c r="T2642" t="s">
        <v>17324</v>
      </c>
      <c r="U2642" t="s">
        <v>17325</v>
      </c>
      <c r="V2642" t="s">
        <v>74</v>
      </c>
      <c r="W2642"/>
      <c r="X2642"/>
      <c r="Y2642" t="s">
        <v>17326</v>
      </c>
      <c r="Z2642"/>
      <c r="AA2642" t="s">
        <v>17327</v>
      </c>
      <c r="AB2642"/>
      <c r="AC2642"/>
      <c r="AD2642"/>
      <c r="AE2642"/>
      <c r="AF2642" t="s">
        <v>17328</v>
      </c>
      <c r="AG2642" t="n">
        <v>69</v>
      </c>
    </row>
    <row r="2643">
      <c r="A2643" t="s">
        <v>17329</v>
      </c>
      <c r="B2643" t="s">
        <v>28</v>
      </c>
      <c r="C2643" t="s">
        <v>65</v>
      </c>
      <c r="D2643" t="s">
        <v>17330</v>
      </c>
      <c r="E2643" t="s">
        <v>2748</v>
      </c>
      <c r="F2643" t="s">
        <v>2724</v>
      </c>
      <c r="G2643" t="s">
        <v>2749</v>
      </c>
      <c r="H2643" t="n">
        <v>39.7316421055545</v>
      </c>
      <c r="I2643" t="n">
        <v>-105.122011941372</v>
      </c>
      <c r="J2643" t="s">
        <v>35</v>
      </c>
      <c r="K2643" t="s">
        <v>133</v>
      </c>
      <c r="L2643"/>
      <c r="M2643" t="n">
        <v>1980</v>
      </c>
      <c r="N2643" t="n">
        <v>1983</v>
      </c>
      <c r="O2643" t="s">
        <v>255</v>
      </c>
      <c r="P2643" t="n">
        <v>2</v>
      </c>
      <c r="Q2643" t="n">
        <v>2</v>
      </c>
      <c r="R2643" t="n">
        <v>1</v>
      </c>
      <c r="S2643" t="n">
        <v>1978</v>
      </c>
      <c r="T2643" t="s">
        <v>17331</v>
      </c>
      <c r="U2643" t="s">
        <v>17332</v>
      </c>
      <c r="V2643" t="s">
        <v>74</v>
      </c>
      <c r="W2643"/>
      <c r="X2643"/>
      <c r="Y2643" t="s">
        <v>17333</v>
      </c>
      <c r="Z2643"/>
      <c r="AA2643"/>
      <c r="AB2643"/>
      <c r="AC2643"/>
      <c r="AD2643"/>
      <c r="AE2643"/>
      <c r="AF2643" t="s">
        <v>17334</v>
      </c>
      <c r="AG2643" t="n">
        <v>39</v>
      </c>
    </row>
    <row r="2644">
      <c r="A2644" t="s">
        <v>17335</v>
      </c>
      <c r="B2644" t="s">
        <v>28</v>
      </c>
      <c r="C2644" t="s">
        <v>65</v>
      </c>
      <c r="D2644" t="s">
        <v>17336</v>
      </c>
      <c r="E2644" t="s">
        <v>2748</v>
      </c>
      <c r="F2644" t="s">
        <v>2724</v>
      </c>
      <c r="G2644" t="s">
        <v>2763</v>
      </c>
      <c r="H2644" t="n">
        <v>39.7110867849681</v>
      </c>
      <c r="I2644" t="n">
        <v>-105.071116381428</v>
      </c>
      <c r="J2644" t="s">
        <v>35</v>
      </c>
      <c r="K2644" t="s">
        <v>70</v>
      </c>
      <c r="L2644"/>
      <c r="M2644" t="n">
        <v>1980</v>
      </c>
      <c r="N2644" t="n">
        <v>1983</v>
      </c>
      <c r="O2644" t="s">
        <v>528</v>
      </c>
      <c r="P2644" t="n">
        <v>2</v>
      </c>
      <c r="Q2644" t="n">
        <v>1</v>
      </c>
      <c r="R2644" t="n">
        <v>1</v>
      </c>
      <c r="S2644" t="n">
        <v>1946</v>
      </c>
      <c r="T2644" t="s">
        <v>17337</v>
      </c>
      <c r="U2644" t="s">
        <v>17338</v>
      </c>
      <c r="V2644" t="s">
        <v>74</v>
      </c>
      <c r="W2644"/>
      <c r="X2644"/>
      <c r="Y2644" t="s">
        <v>17339</v>
      </c>
      <c r="Z2644"/>
      <c r="AA2644"/>
      <c r="AB2644"/>
      <c r="AC2644"/>
      <c r="AD2644"/>
      <c r="AE2644"/>
      <c r="AF2644" t="s">
        <v>17340</v>
      </c>
      <c r="AG2644" t="n">
        <v>83</v>
      </c>
    </row>
    <row r="2645">
      <c r="A2645" t="s">
        <v>17341</v>
      </c>
      <c r="B2645" t="s">
        <v>28</v>
      </c>
      <c r="C2645" t="s">
        <v>65</v>
      </c>
      <c r="D2645" t="s">
        <v>17342</v>
      </c>
      <c r="E2645" t="s">
        <v>2748</v>
      </c>
      <c r="F2645" t="s">
        <v>2724</v>
      </c>
      <c r="G2645" t="s">
        <v>2924</v>
      </c>
      <c r="H2645" t="n">
        <v>39.7123036242646</v>
      </c>
      <c r="I2645" t="n">
        <v>-105.131626884712</v>
      </c>
      <c r="J2645" t="s">
        <v>35</v>
      </c>
      <c r="K2645" t="s">
        <v>133</v>
      </c>
      <c r="L2645"/>
      <c r="M2645" t="n">
        <v>1980</v>
      </c>
      <c r="N2645" t="n">
        <v>1992</v>
      </c>
      <c r="O2645" t="s">
        <v>310</v>
      </c>
      <c r="P2645" t="n">
        <v>4</v>
      </c>
      <c r="Q2645" t="n">
        <v>3</v>
      </c>
      <c r="R2645" t="n">
        <v>2</v>
      </c>
      <c r="S2645" t="n">
        <v>1969</v>
      </c>
      <c r="T2645" t="s">
        <v>17343</v>
      </c>
      <c r="U2645" t="s">
        <v>17344</v>
      </c>
      <c r="V2645" t="s">
        <v>74</v>
      </c>
      <c r="W2645"/>
      <c r="X2645"/>
      <c r="Y2645" t="s">
        <v>17345</v>
      </c>
      <c r="Z2645"/>
      <c r="AA2645" t="s">
        <v>17346</v>
      </c>
      <c r="AB2645" t="s">
        <v>12076</v>
      </c>
      <c r="AC2645" t="n">
        <v>197</v>
      </c>
      <c r="AD2645"/>
      <c r="AE2645"/>
      <c r="AF2645" t="s">
        <v>2817</v>
      </c>
      <c r="AG2645" t="n">
        <v>32</v>
      </c>
    </row>
    <row r="2646">
      <c r="A2646" t="s">
        <v>17347</v>
      </c>
      <c r="B2646" t="s">
        <v>28</v>
      </c>
      <c r="C2646" t="s">
        <v>24</v>
      </c>
      <c r="D2646" t="s">
        <v>17348</v>
      </c>
      <c r="E2646" t="s">
        <v>2748</v>
      </c>
      <c r="F2646" t="s">
        <v>2724</v>
      </c>
      <c r="G2646" t="s">
        <v>2749</v>
      </c>
      <c r="H2646" t="n">
        <v>39.732442</v>
      </c>
      <c r="I2646" t="n">
        <v>-105.118495</v>
      </c>
      <c r="J2646" t="s">
        <v>4109</v>
      </c>
      <c r="K2646" t="s">
        <v>133</v>
      </c>
      <c r="L2646"/>
      <c r="M2646" t="n">
        <v>1980</v>
      </c>
      <c r="N2646" t="n">
        <v>1980</v>
      </c>
      <c r="O2646" t="s">
        <v>255</v>
      </c>
      <c r="P2646" t="n">
        <v>1</v>
      </c>
      <c r="Q2646" t="n">
        <v>1</v>
      </c>
      <c r="R2646" t="n">
        <v>1</v>
      </c>
      <c r="S2646"/>
      <c r="T2646" t="s">
        <v>17349</v>
      </c>
      <c r="U2646" t="s">
        <v>17350</v>
      </c>
      <c r="V2646" t="s">
        <v>74</v>
      </c>
      <c r="W2646"/>
      <c r="X2646"/>
      <c r="Y2646" t="s">
        <v>17351</v>
      </c>
      <c r="Z2646"/>
      <c r="AA2646" t="s">
        <v>17352</v>
      </c>
      <c r="AB2646"/>
      <c r="AC2646"/>
      <c r="AD2646"/>
      <c r="AE2646"/>
      <c r="AF2646" t="s">
        <v>17353</v>
      </c>
      <c r="AG2646" t="n">
        <v>176</v>
      </c>
    </row>
    <row r="2647">
      <c r="A2647" t="s">
        <v>17354</v>
      </c>
      <c r="B2647" t="s">
        <v>28</v>
      </c>
      <c r="C2647" t="s">
        <v>24</v>
      </c>
      <c r="D2647" t="s">
        <v>17355</v>
      </c>
      <c r="E2647" t="s">
        <v>2723</v>
      </c>
      <c r="F2647" t="s">
        <v>2724</v>
      </c>
      <c r="G2647" t="s">
        <v>3030</v>
      </c>
      <c r="H2647" t="n">
        <v>39.7283036209464</v>
      </c>
      <c r="I2647" t="n">
        <v>-105.165452531981</v>
      </c>
      <c r="J2647" t="s">
        <v>4109</v>
      </c>
      <c r="K2647" t="s">
        <v>527</v>
      </c>
      <c r="L2647"/>
      <c r="M2647" t="n">
        <v>1983</v>
      </c>
      <c r="N2647" t="n">
        <v>1988</v>
      </c>
      <c r="O2647" t="s">
        <v>283</v>
      </c>
      <c r="P2647" t="n">
        <v>2</v>
      </c>
      <c r="Q2647" t="n">
        <v>1</v>
      </c>
      <c r="R2647" t="n">
        <v>1</v>
      </c>
      <c r="S2647" t="n">
        <v>1974</v>
      </c>
      <c r="T2647" t="s">
        <v>17356</v>
      </c>
      <c r="U2647" t="s">
        <v>17357</v>
      </c>
      <c r="V2647" t="s">
        <v>74</v>
      </c>
      <c r="W2647"/>
      <c r="X2647"/>
      <c r="Y2647" t="s">
        <v>17358</v>
      </c>
      <c r="Z2647"/>
      <c r="AA2647" t="s">
        <v>17359</v>
      </c>
      <c r="AB2647"/>
      <c r="AC2647"/>
      <c r="AD2647"/>
      <c r="AE2647"/>
      <c r="AF2647" t="s">
        <v>17360</v>
      </c>
      <c r="AG2647" t="n">
        <v>11</v>
      </c>
    </row>
    <row r="2648">
      <c r="A2648" t="s">
        <v>17361</v>
      </c>
      <c r="B2648" t="s">
        <v>28</v>
      </c>
      <c r="C2648" t="s">
        <v>65</v>
      </c>
      <c r="D2648" t="s">
        <v>17362</v>
      </c>
      <c r="E2648" t="s">
        <v>2729</v>
      </c>
      <c r="F2648" t="s">
        <v>2724</v>
      </c>
      <c r="G2648" t="s">
        <v>2730</v>
      </c>
      <c r="H2648" t="n">
        <v>39.8013845189504</v>
      </c>
      <c r="I2648" t="n">
        <v>-105.067301685131</v>
      </c>
      <c r="J2648" t="s">
        <v>35</v>
      </c>
      <c r="K2648" t="s">
        <v>81</v>
      </c>
      <c r="L2648"/>
      <c r="M2648" t="n">
        <v>1983</v>
      </c>
      <c r="N2648" t="n">
        <v>1992</v>
      </c>
      <c r="O2648" t="s">
        <v>3904</v>
      </c>
      <c r="P2648" t="n">
        <v>3</v>
      </c>
      <c r="Q2648" t="n">
        <v>6</v>
      </c>
      <c r="R2648" t="n">
        <v>5</v>
      </c>
      <c r="S2648" t="n">
        <v>1978</v>
      </c>
      <c r="T2648" t="s">
        <v>17363</v>
      </c>
      <c r="U2648" t="s">
        <v>17364</v>
      </c>
      <c r="V2648" t="s">
        <v>74</v>
      </c>
      <c r="W2648"/>
      <c r="X2648"/>
      <c r="Y2648" t="s">
        <v>17365</v>
      </c>
      <c r="Z2648"/>
      <c r="AA2648" t="s">
        <v>17366</v>
      </c>
      <c r="AB2648" t="s">
        <v>10332</v>
      </c>
      <c r="AC2648" t="n">
        <v>246</v>
      </c>
      <c r="AD2648"/>
      <c r="AE2648"/>
      <c r="AF2648" t="s">
        <v>17092</v>
      </c>
      <c r="AG2648" t="n">
        <v>2</v>
      </c>
    </row>
    <row r="2649">
      <c r="A2649" t="s">
        <v>17367</v>
      </c>
      <c r="B2649" t="s">
        <v>28</v>
      </c>
      <c r="C2649" t="s">
        <v>65</v>
      </c>
      <c r="D2649" t="s">
        <v>17368</v>
      </c>
      <c r="E2649" t="s">
        <v>2729</v>
      </c>
      <c r="F2649" t="s">
        <v>2724</v>
      </c>
      <c r="G2649" t="s">
        <v>2730</v>
      </c>
      <c r="H2649" t="n">
        <v>39.7982066606539</v>
      </c>
      <c r="I2649" t="n">
        <v>-105.072814929576</v>
      </c>
      <c r="J2649" t="s">
        <v>35</v>
      </c>
      <c r="K2649" t="s">
        <v>70</v>
      </c>
      <c r="L2649"/>
      <c r="M2649" t="n">
        <v>1983</v>
      </c>
      <c r="N2649" t="n">
        <v>1983</v>
      </c>
      <c r="O2649" t="s">
        <v>264</v>
      </c>
      <c r="P2649" t="n">
        <v>1</v>
      </c>
      <c r="Q2649" t="n">
        <v>1</v>
      </c>
      <c r="R2649" t="n">
        <v>1</v>
      </c>
      <c r="S2649" t="n">
        <v>1949</v>
      </c>
      <c r="T2649" t="s">
        <v>17369</v>
      </c>
      <c r="U2649" t="s">
        <v>17370</v>
      </c>
      <c r="V2649" t="s">
        <v>74</v>
      </c>
      <c r="W2649"/>
      <c r="X2649"/>
      <c r="Y2649" t="s">
        <v>17371</v>
      </c>
      <c r="Z2649"/>
      <c r="AA2649"/>
      <c r="AB2649"/>
      <c r="AC2649"/>
      <c r="AD2649"/>
      <c r="AE2649"/>
      <c r="AF2649" t="s">
        <v>17372</v>
      </c>
      <c r="AG2649" t="n">
        <v>40</v>
      </c>
    </row>
    <row r="2650">
      <c r="A2650" t="s">
        <v>17373</v>
      </c>
      <c r="B2650" t="s">
        <v>28</v>
      </c>
      <c r="C2650" t="s">
        <v>65</v>
      </c>
      <c r="D2650" t="s">
        <v>17374</v>
      </c>
      <c r="E2650" t="s">
        <v>2729</v>
      </c>
      <c r="F2650" t="s">
        <v>2724</v>
      </c>
      <c r="G2650" t="s">
        <v>2730</v>
      </c>
      <c r="H2650" t="n">
        <v>39.7866730885087</v>
      </c>
      <c r="I2650" t="n">
        <v>-105.086121555674</v>
      </c>
      <c r="J2650" t="s">
        <v>35</v>
      </c>
      <c r="K2650" t="s">
        <v>796</v>
      </c>
      <c r="L2650"/>
      <c r="M2650" t="n">
        <v>1983</v>
      </c>
      <c r="N2650" t="n">
        <v>1992</v>
      </c>
      <c r="O2650" t="s">
        <v>293</v>
      </c>
      <c r="P2650" t="n">
        <v>3</v>
      </c>
      <c r="Q2650" t="n">
        <v>5</v>
      </c>
      <c r="R2650" t="n">
        <v>2</v>
      </c>
      <c r="S2650" t="n">
        <v>1921</v>
      </c>
      <c r="T2650" t="s">
        <v>17375</v>
      </c>
      <c r="U2650" t="s">
        <v>17376</v>
      </c>
      <c r="V2650" t="s">
        <v>74</v>
      </c>
      <c r="W2650"/>
      <c r="X2650"/>
      <c r="Y2650" t="s">
        <v>17377</v>
      </c>
      <c r="Z2650"/>
      <c r="AA2650" t="s">
        <v>17378</v>
      </c>
      <c r="AB2650" t="s">
        <v>17379</v>
      </c>
      <c r="AC2650" t="n">
        <v>166</v>
      </c>
      <c r="AD2650"/>
      <c r="AE2650"/>
      <c r="AF2650" t="s">
        <v>17380</v>
      </c>
      <c r="AG2650" t="n">
        <v>42</v>
      </c>
    </row>
    <row r="2651">
      <c r="A2651" t="s">
        <v>17381</v>
      </c>
      <c r="B2651" t="s">
        <v>28</v>
      </c>
      <c r="C2651" t="s">
        <v>24</v>
      </c>
      <c r="D2651" t="s">
        <v>17382</v>
      </c>
      <c r="E2651" t="s">
        <v>2723</v>
      </c>
      <c r="F2651" t="s">
        <v>2724</v>
      </c>
      <c r="G2651" t="s">
        <v>2778</v>
      </c>
      <c r="H2651" t="n">
        <v>39.725249</v>
      </c>
      <c r="I2651" t="n">
        <v>-105.183436</v>
      </c>
      <c r="J2651" t="s">
        <v>4109</v>
      </c>
      <c r="K2651" t="s">
        <v>70</v>
      </c>
      <c r="L2651"/>
      <c r="M2651" t="n">
        <v>1983</v>
      </c>
      <c r="N2651" t="n">
        <v>1983</v>
      </c>
      <c r="O2651" t="s">
        <v>264</v>
      </c>
      <c r="P2651" t="n">
        <v>1</v>
      </c>
      <c r="Q2651" t="n">
        <v>1</v>
      </c>
      <c r="R2651" t="n">
        <v>1</v>
      </c>
      <c r="S2651" t="n">
        <v>1978</v>
      </c>
      <c r="T2651" t="s">
        <v>17383</v>
      </c>
      <c r="U2651" t="s">
        <v>17384</v>
      </c>
      <c r="V2651" t="s">
        <v>74</v>
      </c>
      <c r="W2651"/>
      <c r="X2651"/>
      <c r="Y2651" t="s">
        <v>17385</v>
      </c>
      <c r="Z2651"/>
      <c r="AA2651" t="s">
        <v>17386</v>
      </c>
      <c r="AB2651"/>
      <c r="AC2651"/>
      <c r="AD2651"/>
      <c r="AE2651"/>
      <c r="AF2651" t="s">
        <v>17387</v>
      </c>
      <c r="AG2651" t="n">
        <v>230</v>
      </c>
    </row>
    <row r="2652">
      <c r="A2652" t="s">
        <v>17388</v>
      </c>
      <c r="B2652" t="s">
        <v>28</v>
      </c>
      <c r="C2652" t="s">
        <v>65</v>
      </c>
      <c r="D2652" t="s">
        <v>17389</v>
      </c>
      <c r="E2652" t="s">
        <v>2723</v>
      </c>
      <c r="F2652" t="s">
        <v>2724</v>
      </c>
      <c r="G2652" t="s">
        <v>2778</v>
      </c>
      <c r="H2652" t="n">
        <v>39.7236725756511</v>
      </c>
      <c r="I2652" t="n">
        <v>-105.179582238214</v>
      </c>
      <c r="J2652" t="s">
        <v>35</v>
      </c>
      <c r="K2652" t="s">
        <v>767</v>
      </c>
      <c r="L2652"/>
      <c r="M2652" t="n">
        <v>1983</v>
      </c>
      <c r="N2652" t="n">
        <v>1990</v>
      </c>
      <c r="O2652" t="s">
        <v>271</v>
      </c>
      <c r="P2652" t="n">
        <v>3</v>
      </c>
      <c r="Q2652" t="n">
        <v>5</v>
      </c>
      <c r="R2652" t="n">
        <v>5</v>
      </c>
      <c r="S2652" t="n">
        <v>1965</v>
      </c>
      <c r="T2652" t="s">
        <v>17390</v>
      </c>
      <c r="U2652" t="s">
        <v>17391</v>
      </c>
      <c r="V2652" t="s">
        <v>74</v>
      </c>
      <c r="W2652"/>
      <c r="X2652"/>
      <c r="Y2652" t="s">
        <v>17392</v>
      </c>
      <c r="Z2652"/>
      <c r="AA2652"/>
      <c r="AB2652" t="s">
        <v>9867</v>
      </c>
      <c r="AC2652" t="n">
        <v>223</v>
      </c>
      <c r="AD2652"/>
      <c r="AE2652"/>
      <c r="AF2652" t="s">
        <v>17393</v>
      </c>
      <c r="AG2652" t="n">
        <v>19</v>
      </c>
    </row>
    <row r="2653">
      <c r="A2653" t="s">
        <v>17394</v>
      </c>
      <c r="B2653" t="s">
        <v>28</v>
      </c>
      <c r="C2653" t="s">
        <v>24</v>
      </c>
      <c r="D2653" t="s">
        <v>17395</v>
      </c>
      <c r="E2653" t="s">
        <v>2723</v>
      </c>
      <c r="F2653" t="s">
        <v>2724</v>
      </c>
      <c r="G2653" t="s">
        <v>2778</v>
      </c>
      <c r="H2653" t="n">
        <v>39.7610500479349</v>
      </c>
      <c r="I2653" t="n">
        <v>-105.230384424026</v>
      </c>
      <c r="J2653" t="s">
        <v>4109</v>
      </c>
      <c r="K2653" t="s">
        <v>89</v>
      </c>
      <c r="L2653"/>
      <c r="M2653" t="n">
        <v>1983</v>
      </c>
      <c r="N2653" t="n">
        <v>1983</v>
      </c>
      <c r="O2653" t="s">
        <v>264</v>
      </c>
      <c r="P2653" t="n">
        <v>1</v>
      </c>
      <c r="Q2653" t="n">
        <v>1</v>
      </c>
      <c r="R2653" t="n">
        <v>1</v>
      </c>
      <c r="S2653" t="n">
        <v>1975</v>
      </c>
      <c r="T2653" t="s">
        <v>17396</v>
      </c>
      <c r="U2653" t="s">
        <v>17397</v>
      </c>
      <c r="V2653" t="s">
        <v>74</v>
      </c>
      <c r="W2653"/>
      <c r="X2653"/>
      <c r="Y2653" t="s">
        <v>17398</v>
      </c>
      <c r="Z2653"/>
      <c r="AA2653" t="s">
        <v>17399</v>
      </c>
      <c r="AB2653"/>
      <c r="AC2653"/>
      <c r="AD2653"/>
      <c r="AE2653"/>
      <c r="AF2653" t="s">
        <v>3033</v>
      </c>
      <c r="AG2653" t="n">
        <v>135</v>
      </c>
    </row>
    <row r="2654">
      <c r="A2654" t="s">
        <v>17400</v>
      </c>
      <c r="B2654" t="s">
        <v>28</v>
      </c>
      <c r="C2654" t="s">
        <v>24</v>
      </c>
      <c r="D2654" t="s">
        <v>17401</v>
      </c>
      <c r="E2654" t="s">
        <v>2723</v>
      </c>
      <c r="F2654" t="s">
        <v>2724</v>
      </c>
      <c r="G2654" t="s">
        <v>2778</v>
      </c>
      <c r="H2654" t="n">
        <v>39.735367</v>
      </c>
      <c r="I2654" t="n">
        <v>-105.184297</v>
      </c>
      <c r="J2654" t="s">
        <v>4109</v>
      </c>
      <c r="K2654" t="s">
        <v>141</v>
      </c>
      <c r="L2654"/>
      <c r="M2654" t="n">
        <v>1983</v>
      </c>
      <c r="N2654" t="n">
        <v>1992</v>
      </c>
      <c r="O2654" t="s">
        <v>4537</v>
      </c>
      <c r="P2654" t="n">
        <v>3</v>
      </c>
      <c r="Q2654" t="n">
        <v>1</v>
      </c>
      <c r="R2654" t="n">
        <v>1</v>
      </c>
      <c r="S2654" t="n">
        <v>1979</v>
      </c>
      <c r="T2654" t="s">
        <v>17402</v>
      </c>
      <c r="U2654" t="s">
        <v>17403</v>
      </c>
      <c r="V2654" t="s">
        <v>74</v>
      </c>
      <c r="W2654"/>
      <c r="X2654"/>
      <c r="Y2654" t="s">
        <v>17404</v>
      </c>
      <c r="Z2654"/>
      <c r="AA2654" t="s">
        <v>17405</v>
      </c>
      <c r="AB2654"/>
      <c r="AC2654"/>
      <c r="AD2654"/>
      <c r="AE2654"/>
      <c r="AF2654" t="s">
        <v>17406</v>
      </c>
      <c r="AG2654" t="n">
        <v>135</v>
      </c>
    </row>
    <row r="2655">
      <c r="A2655" t="s">
        <v>17407</v>
      </c>
      <c r="B2655" t="s">
        <v>28</v>
      </c>
      <c r="C2655" t="s">
        <v>65</v>
      </c>
      <c r="D2655" t="s">
        <v>17408</v>
      </c>
      <c r="E2655" t="s">
        <v>2748</v>
      </c>
      <c r="F2655" t="s">
        <v>2724</v>
      </c>
      <c r="G2655" t="s">
        <v>2856</v>
      </c>
      <c r="H2655" t="n">
        <v>39.725856700514</v>
      </c>
      <c r="I2655" t="n">
        <v>-105.060474664188</v>
      </c>
      <c r="J2655" t="s">
        <v>35</v>
      </c>
      <c r="K2655" t="s">
        <v>89</v>
      </c>
      <c r="L2655"/>
      <c r="M2655" t="n">
        <v>1983</v>
      </c>
      <c r="N2655" t="n">
        <v>1992</v>
      </c>
      <c r="O2655" t="s">
        <v>320</v>
      </c>
      <c r="P2655" t="n">
        <v>4</v>
      </c>
      <c r="Q2655" t="n">
        <v>7</v>
      </c>
      <c r="R2655" t="n">
        <v>2</v>
      </c>
      <c r="S2655" t="n">
        <v>1861</v>
      </c>
      <c r="T2655" t="s">
        <v>17409</v>
      </c>
      <c r="U2655" t="s">
        <v>17410</v>
      </c>
      <c r="V2655" t="s">
        <v>74</v>
      </c>
      <c r="W2655"/>
      <c r="X2655"/>
      <c r="Y2655" t="s">
        <v>17411</v>
      </c>
      <c r="Z2655"/>
      <c r="AA2655" t="s">
        <v>17412</v>
      </c>
      <c r="AB2655"/>
      <c r="AC2655"/>
      <c r="AD2655"/>
      <c r="AE2655"/>
      <c r="AF2655" t="s">
        <v>17413</v>
      </c>
      <c r="AG2655" t="n">
        <v>8</v>
      </c>
    </row>
    <row r="2656">
      <c r="A2656" t="s">
        <v>17414</v>
      </c>
      <c r="B2656" t="s">
        <v>28</v>
      </c>
      <c r="C2656" t="s">
        <v>65</v>
      </c>
      <c r="D2656" t="s">
        <v>17415</v>
      </c>
      <c r="E2656" t="s">
        <v>2748</v>
      </c>
      <c r="F2656" t="s">
        <v>2724</v>
      </c>
      <c r="G2656" t="s">
        <v>2749</v>
      </c>
      <c r="H2656" t="n">
        <v>39.7316083535076</v>
      </c>
      <c r="I2656" t="n">
        <v>-105.122471415399</v>
      </c>
      <c r="J2656" t="s">
        <v>35</v>
      </c>
      <c r="K2656" t="s">
        <v>133</v>
      </c>
      <c r="L2656"/>
      <c r="M2656" t="n">
        <v>1983</v>
      </c>
      <c r="N2656" t="n">
        <v>1990</v>
      </c>
      <c r="O2656" t="s">
        <v>264</v>
      </c>
      <c r="P2656" t="n">
        <v>2</v>
      </c>
      <c r="Q2656" t="n">
        <v>2</v>
      </c>
      <c r="R2656" t="n">
        <v>1</v>
      </c>
      <c r="S2656" t="n">
        <v>1980</v>
      </c>
      <c r="T2656" t="s">
        <v>17416</v>
      </c>
      <c r="U2656" t="s">
        <v>17417</v>
      </c>
      <c r="V2656" t="s">
        <v>74</v>
      </c>
      <c r="W2656"/>
      <c r="X2656"/>
      <c r="Y2656" t="s">
        <v>17418</v>
      </c>
      <c r="Z2656"/>
      <c r="AA2656"/>
      <c r="AB2656"/>
      <c r="AC2656"/>
      <c r="AD2656"/>
      <c r="AE2656"/>
      <c r="AF2656" t="s">
        <v>17334</v>
      </c>
      <c r="AG2656" t="n">
        <v>76</v>
      </c>
    </row>
    <row r="2657">
      <c r="A2657" t="s">
        <v>17419</v>
      </c>
      <c r="B2657" t="s">
        <v>28</v>
      </c>
      <c r="C2657" t="s">
        <v>24</v>
      </c>
      <c r="D2657" t="s">
        <v>17420</v>
      </c>
      <c r="E2657" t="s">
        <v>2769</v>
      </c>
      <c r="F2657" t="s">
        <v>2724</v>
      </c>
      <c r="G2657" t="s">
        <v>2770</v>
      </c>
      <c r="H2657" t="n">
        <v>39.7897535445601</v>
      </c>
      <c r="I2657" t="n">
        <v>-105.12108936271</v>
      </c>
      <c r="J2657" t="s">
        <v>4109</v>
      </c>
      <c r="K2657" t="s">
        <v>70</v>
      </c>
      <c r="L2657"/>
      <c r="M2657" t="n">
        <v>1983</v>
      </c>
      <c r="N2657" t="n">
        <v>1990</v>
      </c>
      <c r="O2657" t="s">
        <v>351</v>
      </c>
      <c r="P2657" t="n">
        <v>3</v>
      </c>
      <c r="Q2657" t="n">
        <v>3</v>
      </c>
      <c r="R2657" t="n">
        <v>1</v>
      </c>
      <c r="S2657" t="n">
        <v>1970</v>
      </c>
      <c r="T2657" t="s">
        <v>17421</v>
      </c>
      <c r="U2657" t="s">
        <v>17422</v>
      </c>
      <c r="V2657" t="s">
        <v>74</v>
      </c>
      <c r="W2657"/>
      <c r="X2657"/>
      <c r="Y2657" t="s">
        <v>17423</v>
      </c>
      <c r="Z2657"/>
      <c r="AA2657" t="s">
        <v>17424</v>
      </c>
      <c r="AB2657"/>
      <c r="AC2657"/>
      <c r="AD2657"/>
      <c r="AE2657"/>
      <c r="AF2657" t="s">
        <v>12119</v>
      </c>
      <c r="AG2657" t="n">
        <v>10</v>
      </c>
    </row>
    <row r="2658">
      <c r="A2658" t="s">
        <v>17425</v>
      </c>
      <c r="B2658" t="s">
        <v>28</v>
      </c>
      <c r="C2658" t="s">
        <v>24</v>
      </c>
      <c r="D2658" t="s">
        <v>17426</v>
      </c>
      <c r="E2658" t="s">
        <v>2748</v>
      </c>
      <c r="F2658" t="s">
        <v>2724</v>
      </c>
      <c r="G2658" t="s">
        <v>2763</v>
      </c>
      <c r="H2658" t="n">
        <v>39.696624</v>
      </c>
      <c r="I2658" t="n">
        <v>-105.081505</v>
      </c>
      <c r="J2658" t="s">
        <v>4109</v>
      </c>
      <c r="K2658" t="s">
        <v>120</v>
      </c>
      <c r="L2658"/>
      <c r="M2658" t="n">
        <v>1988</v>
      </c>
      <c r="N2658" t="n">
        <v>1990</v>
      </c>
      <c r="O2658" t="s">
        <v>351</v>
      </c>
      <c r="P2658" t="n">
        <v>2</v>
      </c>
      <c r="Q2658" t="n">
        <v>2</v>
      </c>
      <c r="R2658" t="n">
        <v>1</v>
      </c>
      <c r="S2658" t="n">
        <v>1977</v>
      </c>
      <c r="T2658" t="s">
        <v>17427</v>
      </c>
      <c r="U2658" t="s">
        <v>17428</v>
      </c>
      <c r="V2658" t="s">
        <v>74</v>
      </c>
      <c r="W2658"/>
      <c r="X2658"/>
      <c r="Y2658" t="s">
        <v>17429</v>
      </c>
      <c r="Z2658"/>
      <c r="AA2658" t="s">
        <v>17430</v>
      </c>
      <c r="AB2658"/>
      <c r="AC2658"/>
      <c r="AD2658"/>
      <c r="AE2658"/>
      <c r="AF2658" t="s">
        <v>17431</v>
      </c>
      <c r="AG2658" t="n">
        <v>33</v>
      </c>
    </row>
    <row r="2659">
      <c r="A2659" t="s">
        <v>17432</v>
      </c>
      <c r="B2659" t="s">
        <v>28</v>
      </c>
      <c r="C2659" t="s">
        <v>65</v>
      </c>
      <c r="D2659" t="s">
        <v>17433</v>
      </c>
      <c r="E2659" t="s">
        <v>2748</v>
      </c>
      <c r="F2659" t="s">
        <v>2724</v>
      </c>
      <c r="G2659" t="s">
        <v>2851</v>
      </c>
      <c r="H2659" t="n">
        <v>39.6553915353535</v>
      </c>
      <c r="I2659" t="n">
        <v>-105.081340353535</v>
      </c>
      <c r="J2659" t="s">
        <v>35</v>
      </c>
      <c r="K2659" t="s">
        <v>120</v>
      </c>
      <c r="L2659"/>
      <c r="M2659" t="n">
        <v>1988</v>
      </c>
      <c r="N2659" t="n">
        <v>1990</v>
      </c>
      <c r="O2659" t="s">
        <v>325</v>
      </c>
      <c r="P2659" t="n">
        <v>2</v>
      </c>
      <c r="Q2659" t="n">
        <v>5</v>
      </c>
      <c r="R2659" t="n">
        <v>1</v>
      </c>
      <c r="S2659" t="n">
        <v>1976</v>
      </c>
      <c r="T2659" t="s">
        <v>17434</v>
      </c>
      <c r="U2659" t="s">
        <v>17435</v>
      </c>
      <c r="V2659" t="s">
        <v>74</v>
      </c>
      <c r="W2659"/>
      <c r="X2659"/>
      <c r="Y2659" t="s">
        <v>17436</v>
      </c>
      <c r="Z2659"/>
      <c r="AA2659"/>
      <c r="AB2659"/>
      <c r="AC2659"/>
      <c r="AD2659"/>
      <c r="AE2659"/>
      <c r="AF2659" t="s">
        <v>17191</v>
      </c>
      <c r="AG2659" t="n">
        <v>19</v>
      </c>
    </row>
    <row r="2660">
      <c r="A2660" t="s">
        <v>17437</v>
      </c>
      <c r="B2660" t="s">
        <v>28</v>
      </c>
      <c r="C2660" t="s">
        <v>65</v>
      </c>
      <c r="D2660" t="s">
        <v>17438</v>
      </c>
      <c r="E2660" t="s">
        <v>2723</v>
      </c>
      <c r="F2660" t="s">
        <v>2724</v>
      </c>
      <c r="G2660" t="s">
        <v>2778</v>
      </c>
      <c r="H2660" t="n">
        <v>39.7232071105306</v>
      </c>
      <c r="I2660" t="n">
        <v>-105.197419631131</v>
      </c>
      <c r="J2660" t="s">
        <v>35</v>
      </c>
      <c r="K2660" t="s">
        <v>120</v>
      </c>
      <c r="L2660"/>
      <c r="M2660" t="n">
        <v>1988</v>
      </c>
      <c r="N2660" t="n">
        <v>1992</v>
      </c>
      <c r="O2660" t="s">
        <v>310</v>
      </c>
      <c r="P2660" t="n">
        <v>3</v>
      </c>
      <c r="Q2660" t="n">
        <v>3</v>
      </c>
      <c r="R2660" t="n">
        <v>2</v>
      </c>
      <c r="S2660" t="n">
        <v>1973</v>
      </c>
      <c r="T2660" t="s">
        <v>17439</v>
      </c>
      <c r="U2660" t="s">
        <v>17440</v>
      </c>
      <c r="V2660" t="s">
        <v>74</v>
      </c>
      <c r="W2660"/>
      <c r="X2660"/>
      <c r="Y2660" t="s">
        <v>17441</v>
      </c>
      <c r="Z2660"/>
      <c r="AA2660" t="s">
        <v>17442</v>
      </c>
      <c r="AB2660"/>
      <c r="AC2660"/>
      <c r="AD2660"/>
      <c r="AE2660"/>
      <c r="AF2660" t="s">
        <v>17443</v>
      </c>
      <c r="AG2660" t="n">
        <v>30</v>
      </c>
    </row>
    <row r="2661">
      <c r="A2661" t="s">
        <v>17444</v>
      </c>
      <c r="B2661" t="s">
        <v>28</v>
      </c>
      <c r="C2661" t="s">
        <v>65</v>
      </c>
      <c r="D2661" t="s">
        <v>17445</v>
      </c>
      <c r="E2661" t="s">
        <v>2723</v>
      </c>
      <c r="F2661" t="s">
        <v>2724</v>
      </c>
      <c r="G2661" t="s">
        <v>3030</v>
      </c>
      <c r="H2661" t="n">
        <v>39.7745817386898</v>
      </c>
      <c r="I2661" t="n">
        <v>-105.170900882586</v>
      </c>
      <c r="J2661" t="s">
        <v>35</v>
      </c>
      <c r="K2661" t="s">
        <v>141</v>
      </c>
      <c r="L2661"/>
      <c r="M2661" t="n">
        <v>1988</v>
      </c>
      <c r="N2661" t="n">
        <v>1990</v>
      </c>
      <c r="O2661" t="s">
        <v>310</v>
      </c>
      <c r="P2661" t="n">
        <v>2</v>
      </c>
      <c r="Q2661" t="n">
        <v>1</v>
      </c>
      <c r="R2661" t="n">
        <v>1</v>
      </c>
      <c r="S2661" t="n">
        <v>1984</v>
      </c>
      <c r="T2661" t="s">
        <v>17446</v>
      </c>
      <c r="U2661" t="s">
        <v>17447</v>
      </c>
      <c r="V2661" t="s">
        <v>74</v>
      </c>
      <c r="W2661"/>
      <c r="X2661"/>
      <c r="Y2661" t="s">
        <v>17448</v>
      </c>
      <c r="Z2661"/>
      <c r="AA2661"/>
      <c r="AB2661"/>
      <c r="AC2661"/>
      <c r="AD2661" t="s">
        <v>2887</v>
      </c>
      <c r="AE2661" t="n">
        <v>156</v>
      </c>
      <c r="AF2661" t="s">
        <v>2888</v>
      </c>
      <c r="AG2661" t="n">
        <v>1</v>
      </c>
    </row>
    <row r="2662">
      <c r="A2662" t="s">
        <v>17449</v>
      </c>
      <c r="B2662" t="s">
        <v>28</v>
      </c>
      <c r="C2662" t="s">
        <v>24</v>
      </c>
      <c r="D2662" t="s">
        <v>17450</v>
      </c>
      <c r="E2662" t="s">
        <v>2748</v>
      </c>
      <c r="F2662" t="s">
        <v>2724</v>
      </c>
      <c r="G2662" t="s">
        <v>2851</v>
      </c>
      <c r="H2662" t="n">
        <v>39.6580353295236</v>
      </c>
      <c r="I2662" t="n">
        <v>-105.078941556156</v>
      </c>
      <c r="J2662" t="s">
        <v>4109</v>
      </c>
      <c r="K2662" t="s">
        <v>120</v>
      </c>
      <c r="L2662"/>
      <c r="M2662" t="n">
        <v>1988</v>
      </c>
      <c r="N2662" t="n">
        <v>1988</v>
      </c>
      <c r="O2662" t="s">
        <v>325</v>
      </c>
      <c r="P2662" t="n">
        <v>1</v>
      </c>
      <c r="Q2662" t="n">
        <v>1</v>
      </c>
      <c r="R2662" t="n">
        <v>1</v>
      </c>
      <c r="S2662" t="n">
        <v>1981</v>
      </c>
      <c r="T2662" t="s">
        <v>17451</v>
      </c>
      <c r="U2662" t="s">
        <v>17452</v>
      </c>
      <c r="V2662" t="s">
        <v>74</v>
      </c>
      <c r="W2662"/>
      <c r="X2662"/>
      <c r="Y2662" t="s">
        <v>17453</v>
      </c>
      <c r="Z2662"/>
      <c r="AA2662" t="s">
        <v>17454</v>
      </c>
      <c r="AB2662"/>
      <c r="AC2662"/>
      <c r="AD2662"/>
      <c r="AE2662"/>
      <c r="AF2662" t="s">
        <v>17455</v>
      </c>
      <c r="AG2662" t="n">
        <v>28</v>
      </c>
    </row>
    <row r="2663">
      <c r="A2663" t="s">
        <v>17456</v>
      </c>
      <c r="B2663" t="s">
        <v>28</v>
      </c>
      <c r="C2663" t="s">
        <v>65</v>
      </c>
      <c r="D2663" t="s">
        <v>17457</v>
      </c>
      <c r="E2663" t="s">
        <v>386</v>
      </c>
      <c r="F2663" t="s">
        <v>2724</v>
      </c>
      <c r="G2663" t="s">
        <v>3011</v>
      </c>
      <c r="H2663" t="n">
        <v>39.5951735960914</v>
      </c>
      <c r="I2663" t="n">
        <v>-104.961616000183</v>
      </c>
      <c r="J2663" t="s">
        <v>35</v>
      </c>
      <c r="K2663" t="s">
        <v>89</v>
      </c>
      <c r="L2663"/>
      <c r="M2663" t="n">
        <v>1988</v>
      </c>
      <c r="N2663" t="n">
        <v>1990</v>
      </c>
      <c r="O2663" t="s">
        <v>325</v>
      </c>
      <c r="P2663" t="n">
        <v>2</v>
      </c>
      <c r="Q2663" t="n">
        <v>2</v>
      </c>
      <c r="R2663" t="n">
        <v>1</v>
      </c>
      <c r="S2663" t="n">
        <v>1979</v>
      </c>
      <c r="T2663" t="s">
        <v>17458</v>
      </c>
      <c r="U2663" t="s">
        <v>17459</v>
      </c>
      <c r="V2663" t="s">
        <v>74</v>
      </c>
      <c r="W2663"/>
      <c r="X2663"/>
      <c r="Y2663" t="s">
        <v>17460</v>
      </c>
      <c r="Z2663"/>
      <c r="AA2663"/>
      <c r="AB2663"/>
      <c r="AC2663"/>
      <c r="AD2663"/>
      <c r="AE2663"/>
      <c r="AF2663" t="s">
        <v>17461</v>
      </c>
      <c r="AG2663" t="n">
        <v>16</v>
      </c>
    </row>
    <row r="2664">
      <c r="A2664" t="s">
        <v>17462</v>
      </c>
      <c r="B2664" t="s">
        <v>28</v>
      </c>
      <c r="C2664" t="s">
        <v>65</v>
      </c>
      <c r="D2664" t="s">
        <v>17463</v>
      </c>
      <c r="E2664" t="s">
        <v>2729</v>
      </c>
      <c r="F2664" t="s">
        <v>2724</v>
      </c>
      <c r="G2664" t="s">
        <v>2730</v>
      </c>
      <c r="H2664" t="n">
        <v>39.790908</v>
      </c>
      <c r="I2664" t="n">
        <v>-105.142730564356</v>
      </c>
      <c r="J2664" t="s">
        <v>35</v>
      </c>
      <c r="K2664" t="s">
        <v>70</v>
      </c>
      <c r="L2664"/>
      <c r="M2664" t="n">
        <v>1990</v>
      </c>
      <c r="N2664" t="n">
        <v>1990</v>
      </c>
      <c r="O2664" t="s">
        <v>351</v>
      </c>
      <c r="P2664" t="n">
        <v>1</v>
      </c>
      <c r="Q2664" t="n">
        <v>1</v>
      </c>
      <c r="R2664" t="n">
        <v>1</v>
      </c>
      <c r="S2664" t="n">
        <v>1974</v>
      </c>
      <c r="T2664" t="s">
        <v>17464</v>
      </c>
      <c r="U2664" t="s">
        <v>17465</v>
      </c>
      <c r="V2664" t="s">
        <v>74</v>
      </c>
      <c r="W2664"/>
      <c r="X2664"/>
      <c r="Y2664" t="s">
        <v>17466</v>
      </c>
      <c r="Z2664"/>
      <c r="AA2664" t="s">
        <v>17467</v>
      </c>
      <c r="AB2664"/>
      <c r="AC2664"/>
      <c r="AD2664"/>
      <c r="AE2664"/>
      <c r="AF2664" t="s">
        <v>17468</v>
      </c>
      <c r="AG2664" t="n">
        <v>202</v>
      </c>
    </row>
    <row r="2665">
      <c r="A2665" t="s">
        <v>17469</v>
      </c>
      <c r="B2665" t="s">
        <v>28</v>
      </c>
      <c r="C2665" t="s">
        <v>65</v>
      </c>
      <c r="D2665" t="s">
        <v>17470</v>
      </c>
      <c r="E2665" t="s">
        <v>2729</v>
      </c>
      <c r="F2665" t="s">
        <v>2724</v>
      </c>
      <c r="G2665" t="s">
        <v>2970</v>
      </c>
      <c r="H2665" t="n">
        <v>39.8159961335458</v>
      </c>
      <c r="I2665" t="n">
        <v>-105.157039553639</v>
      </c>
      <c r="J2665" t="s">
        <v>35</v>
      </c>
      <c r="K2665" t="s">
        <v>220</v>
      </c>
      <c r="L2665"/>
      <c r="M2665" t="n">
        <v>1990</v>
      </c>
      <c r="N2665" t="n">
        <v>1990</v>
      </c>
      <c r="O2665" t="s">
        <v>351</v>
      </c>
      <c r="P2665" t="n">
        <v>1</v>
      </c>
      <c r="Q2665" t="n">
        <v>1</v>
      </c>
      <c r="R2665" t="n">
        <v>1</v>
      </c>
      <c r="S2665" t="n">
        <v>1971</v>
      </c>
      <c r="T2665" t="s">
        <v>17471</v>
      </c>
      <c r="U2665" t="s">
        <v>17472</v>
      </c>
      <c r="V2665" t="s">
        <v>74</v>
      </c>
      <c r="W2665"/>
      <c r="X2665"/>
      <c r="Y2665" t="s">
        <v>17473</v>
      </c>
      <c r="Z2665"/>
      <c r="AA2665"/>
      <c r="AB2665"/>
      <c r="AC2665"/>
      <c r="AD2665" t="s">
        <v>17474</v>
      </c>
      <c r="AE2665" t="n">
        <v>171</v>
      </c>
      <c r="AF2665" t="s">
        <v>17475</v>
      </c>
      <c r="AG2665" t="n">
        <v>22</v>
      </c>
    </row>
    <row r="2666">
      <c r="A2666" t="s">
        <v>17476</v>
      </c>
      <c r="B2666" t="s">
        <v>28</v>
      </c>
      <c r="C2666" t="s">
        <v>65</v>
      </c>
      <c r="D2666" t="s">
        <v>17477</v>
      </c>
      <c r="E2666" t="s">
        <v>2723</v>
      </c>
      <c r="F2666" t="s">
        <v>2724</v>
      </c>
      <c r="G2666" t="s">
        <v>2778</v>
      </c>
      <c r="H2666" t="n">
        <v>39.720872</v>
      </c>
      <c r="I2666" t="n">
        <v>-105.193143405573</v>
      </c>
      <c r="J2666" t="s">
        <v>35</v>
      </c>
      <c r="K2666" t="s">
        <v>120</v>
      </c>
      <c r="L2666"/>
      <c r="M2666" t="n">
        <v>1990</v>
      </c>
      <c r="N2666" t="n">
        <v>1990</v>
      </c>
      <c r="O2666" t="s">
        <v>351</v>
      </c>
      <c r="P2666" t="n">
        <v>1</v>
      </c>
      <c r="Q2666" t="n">
        <v>1</v>
      </c>
      <c r="R2666" t="n">
        <v>1</v>
      </c>
      <c r="S2666" t="n">
        <v>1987</v>
      </c>
      <c r="T2666" t="s">
        <v>17478</v>
      </c>
      <c r="U2666" t="s">
        <v>17479</v>
      </c>
      <c r="V2666" t="s">
        <v>74</v>
      </c>
      <c r="W2666"/>
      <c r="X2666"/>
      <c r="Y2666" t="s">
        <v>17480</v>
      </c>
      <c r="Z2666"/>
      <c r="AA2666"/>
      <c r="AB2666"/>
      <c r="AC2666"/>
      <c r="AD2666"/>
      <c r="AE2666"/>
      <c r="AF2666" t="s">
        <v>17481</v>
      </c>
      <c r="AG2666" t="n">
        <v>4</v>
      </c>
    </row>
    <row r="2667">
      <c r="A2667" t="s">
        <v>17482</v>
      </c>
      <c r="B2667" t="s">
        <v>28</v>
      </c>
      <c r="C2667" t="s">
        <v>65</v>
      </c>
      <c r="D2667" t="s">
        <v>17483</v>
      </c>
      <c r="E2667" t="s">
        <v>2723</v>
      </c>
      <c r="F2667" t="s">
        <v>2724</v>
      </c>
      <c r="G2667" t="s">
        <v>2778</v>
      </c>
      <c r="H2667" t="n">
        <v>39.7254133758514</v>
      </c>
      <c r="I2667" t="n">
        <v>-105.175286755413</v>
      </c>
      <c r="J2667" t="s">
        <v>35</v>
      </c>
      <c r="K2667" t="s">
        <v>70</v>
      </c>
      <c r="L2667"/>
      <c r="M2667" t="n">
        <v>1990</v>
      </c>
      <c r="N2667" t="n">
        <v>1990</v>
      </c>
      <c r="O2667" t="s">
        <v>351</v>
      </c>
      <c r="P2667" t="n">
        <v>1</v>
      </c>
      <c r="Q2667" t="n">
        <v>1</v>
      </c>
      <c r="R2667" t="n">
        <v>1</v>
      </c>
      <c r="S2667" t="n">
        <v>1971</v>
      </c>
      <c r="T2667" t="s">
        <v>17484</v>
      </c>
      <c r="U2667" t="s">
        <v>17485</v>
      </c>
      <c r="V2667" t="s">
        <v>74</v>
      </c>
      <c r="W2667"/>
      <c r="X2667"/>
      <c r="Y2667" t="s">
        <v>17486</v>
      </c>
      <c r="Z2667"/>
      <c r="AA2667"/>
      <c r="AB2667" t="s">
        <v>9893</v>
      </c>
      <c r="AC2667" t="n">
        <v>120</v>
      </c>
      <c r="AD2667" t="s">
        <v>17487</v>
      </c>
      <c r="AE2667" t="n">
        <v>236</v>
      </c>
      <c r="AF2667" t="s">
        <v>12089</v>
      </c>
      <c r="AG2667" t="n">
        <v>186</v>
      </c>
    </row>
    <row r="2668">
      <c r="A2668" t="s">
        <v>17488</v>
      </c>
      <c r="B2668" t="s">
        <v>28</v>
      </c>
      <c r="C2668" t="s">
        <v>65</v>
      </c>
      <c r="D2668" t="s">
        <v>17489</v>
      </c>
      <c r="E2668" t="s">
        <v>2748</v>
      </c>
      <c r="F2668" t="s">
        <v>2724</v>
      </c>
      <c r="G2668" t="s">
        <v>2924</v>
      </c>
      <c r="H2668" t="n">
        <v>39.7122157391244</v>
      </c>
      <c r="I2668" t="n">
        <v>-105.13971121189</v>
      </c>
      <c r="J2668" t="s">
        <v>35</v>
      </c>
      <c r="K2668" t="s">
        <v>120</v>
      </c>
      <c r="L2668"/>
      <c r="M2668" t="n">
        <v>1990</v>
      </c>
      <c r="N2668" t="n">
        <v>1990</v>
      </c>
      <c r="O2668" t="s">
        <v>351</v>
      </c>
      <c r="P2668" t="n">
        <v>1</v>
      </c>
      <c r="Q2668" t="n">
        <v>1</v>
      </c>
      <c r="R2668" t="n">
        <v>1</v>
      </c>
      <c r="S2668" t="n">
        <v>1971</v>
      </c>
      <c r="T2668" t="s">
        <v>17490</v>
      </c>
      <c r="U2668" t="s">
        <v>17491</v>
      </c>
      <c r="V2668" t="s">
        <v>74</v>
      </c>
      <c r="W2668"/>
      <c r="X2668"/>
      <c r="Y2668" t="s">
        <v>17492</v>
      </c>
      <c r="Z2668"/>
      <c r="AA2668" t="s">
        <v>17493</v>
      </c>
      <c r="AB2668" t="s">
        <v>2927</v>
      </c>
      <c r="AC2668" t="n">
        <v>235</v>
      </c>
      <c r="AD2668"/>
      <c r="AE2668"/>
      <c r="AF2668" t="s">
        <v>9930</v>
      </c>
      <c r="AG2668" t="n">
        <v>7</v>
      </c>
    </row>
    <row r="2669">
      <c r="A2669" t="s">
        <v>17494</v>
      </c>
      <c r="B2669" t="s">
        <v>28</v>
      </c>
      <c r="C2669" t="s">
        <v>24</v>
      </c>
      <c r="D2669" t="s">
        <v>17495</v>
      </c>
      <c r="E2669" t="s">
        <v>2748</v>
      </c>
      <c r="F2669" t="s">
        <v>2724</v>
      </c>
      <c r="G2669" t="s">
        <v>2749</v>
      </c>
      <c r="H2669" t="n">
        <v>39.74109</v>
      </c>
      <c r="I2669" t="n">
        <v>-105.090758</v>
      </c>
      <c r="J2669" t="s">
        <v>4109</v>
      </c>
      <c r="K2669" t="s">
        <v>141</v>
      </c>
      <c r="L2669"/>
      <c r="M2669" t="n">
        <v>1990</v>
      </c>
      <c r="N2669" t="n">
        <v>1990</v>
      </c>
      <c r="O2669" t="s">
        <v>351</v>
      </c>
      <c r="P2669" t="n">
        <v>1</v>
      </c>
      <c r="Q2669" t="n">
        <v>1</v>
      </c>
      <c r="R2669" t="n">
        <v>1</v>
      </c>
      <c r="S2669" t="n">
        <v>1984</v>
      </c>
      <c r="T2669" t="s">
        <v>17496</v>
      </c>
      <c r="U2669" t="s">
        <v>17497</v>
      </c>
      <c r="V2669" t="s">
        <v>74</v>
      </c>
      <c r="W2669"/>
      <c r="X2669"/>
      <c r="Y2669" t="s">
        <v>17498</v>
      </c>
      <c r="Z2669"/>
      <c r="AA2669" t="s">
        <v>17499</v>
      </c>
      <c r="AB2669"/>
      <c r="AC2669"/>
      <c r="AD2669"/>
      <c r="AE2669"/>
      <c r="AF2669" t="s">
        <v>17500</v>
      </c>
      <c r="AG2669" t="n">
        <v>22</v>
      </c>
    </row>
    <row r="2670">
      <c r="A2670" t="s">
        <v>17501</v>
      </c>
      <c r="B2670" t="s">
        <v>28</v>
      </c>
      <c r="C2670" t="s">
        <v>65</v>
      </c>
      <c r="D2670" t="s">
        <v>17502</v>
      </c>
      <c r="E2670" t="s">
        <v>2769</v>
      </c>
      <c r="F2670" t="s">
        <v>2724</v>
      </c>
      <c r="G2670" t="s">
        <v>2770</v>
      </c>
      <c r="H2670" t="n">
        <v>39.790974</v>
      </c>
      <c r="I2670" t="n">
        <v>-105.134188</v>
      </c>
      <c r="J2670" t="s">
        <v>35</v>
      </c>
      <c r="K2670" t="s">
        <v>141</v>
      </c>
      <c r="L2670"/>
      <c r="M2670" t="n">
        <v>1990</v>
      </c>
      <c r="N2670" t="n">
        <v>1992</v>
      </c>
      <c r="O2670" t="s">
        <v>357</v>
      </c>
      <c r="P2670" t="n">
        <v>2</v>
      </c>
      <c r="Q2670" t="n">
        <v>2</v>
      </c>
      <c r="R2670" t="n">
        <v>2</v>
      </c>
      <c r="S2670" t="n">
        <v>1968</v>
      </c>
      <c r="T2670" t="s">
        <v>17503</v>
      </c>
      <c r="U2670" t="s">
        <v>17504</v>
      </c>
      <c r="V2670" t="s">
        <v>74</v>
      </c>
      <c r="W2670"/>
      <c r="X2670"/>
      <c r="Y2670" t="s">
        <v>17505</v>
      </c>
      <c r="Z2670"/>
      <c r="AA2670" t="s">
        <v>17506</v>
      </c>
      <c r="AB2670" t="s">
        <v>17507</v>
      </c>
      <c r="AC2670" t="n">
        <v>184</v>
      </c>
      <c r="AD2670"/>
      <c r="AE2670"/>
      <c r="AF2670" t="s">
        <v>17508</v>
      </c>
      <c r="AG2670" t="n">
        <v>38</v>
      </c>
    </row>
    <row r="2671">
      <c r="A2671" t="s">
        <v>17509</v>
      </c>
      <c r="B2671" t="s">
        <v>28</v>
      </c>
      <c r="C2671" t="s">
        <v>65</v>
      </c>
      <c r="D2671" t="s">
        <v>17510</v>
      </c>
      <c r="E2671" t="s">
        <v>2769</v>
      </c>
      <c r="F2671" t="s">
        <v>2724</v>
      </c>
      <c r="G2671" t="s">
        <v>2770</v>
      </c>
      <c r="H2671" t="n">
        <v>39.7853175733354</v>
      </c>
      <c r="I2671" t="n">
        <v>-105.135518508131</v>
      </c>
      <c r="J2671" t="s">
        <v>35</v>
      </c>
      <c r="K2671" t="s">
        <v>133</v>
      </c>
      <c r="L2671"/>
      <c r="M2671" t="n">
        <v>1990</v>
      </c>
      <c r="N2671" t="n">
        <v>1990</v>
      </c>
      <c r="O2671" t="s">
        <v>351</v>
      </c>
      <c r="P2671" t="n">
        <v>1</v>
      </c>
      <c r="Q2671" t="n">
        <v>1</v>
      </c>
      <c r="R2671" t="n">
        <v>1</v>
      </c>
      <c r="S2671" t="n">
        <v>1987</v>
      </c>
      <c r="T2671" t="s">
        <v>17511</v>
      </c>
      <c r="U2671" t="s">
        <v>17512</v>
      </c>
      <c r="V2671" t="s">
        <v>74</v>
      </c>
      <c r="W2671"/>
      <c r="X2671"/>
      <c r="Y2671" t="s">
        <v>17513</v>
      </c>
      <c r="Z2671"/>
      <c r="AA2671" t="s">
        <v>17514</v>
      </c>
      <c r="AB2671"/>
      <c r="AC2671"/>
      <c r="AD2671" t="s">
        <v>17205</v>
      </c>
      <c r="AE2671" t="n">
        <v>139</v>
      </c>
      <c r="AF2671" t="s">
        <v>17206</v>
      </c>
      <c r="AG2671" t="n">
        <v>15</v>
      </c>
    </row>
    <row r="2672">
      <c r="A2672" t="s">
        <v>17515</v>
      </c>
      <c r="B2672" t="s">
        <v>28</v>
      </c>
      <c r="C2672" t="s">
        <v>65</v>
      </c>
      <c r="D2672" t="s">
        <v>17516</v>
      </c>
      <c r="E2672" t="s">
        <v>2769</v>
      </c>
      <c r="F2672" t="s">
        <v>2724</v>
      </c>
      <c r="G2672" t="s">
        <v>2770</v>
      </c>
      <c r="H2672" t="n">
        <v>39.7720151394271</v>
      </c>
      <c r="I2672" t="n">
        <v>-105.142570447098</v>
      </c>
      <c r="J2672" t="s">
        <v>35</v>
      </c>
      <c r="K2672" t="s">
        <v>89</v>
      </c>
      <c r="L2672"/>
      <c r="M2672" t="n">
        <v>1990</v>
      </c>
      <c r="N2672" t="n">
        <v>1990</v>
      </c>
      <c r="O2672" t="s">
        <v>351</v>
      </c>
      <c r="P2672" t="n">
        <v>1</v>
      </c>
      <c r="Q2672" t="n">
        <v>1</v>
      </c>
      <c r="R2672" t="n">
        <v>1</v>
      </c>
      <c r="S2672" t="n">
        <v>1979</v>
      </c>
      <c r="T2672" t="s">
        <v>17517</v>
      </c>
      <c r="U2672" t="s">
        <v>17518</v>
      </c>
      <c r="V2672" t="s">
        <v>74</v>
      </c>
      <c r="W2672"/>
      <c r="X2672"/>
      <c r="Y2672" t="s">
        <v>17519</v>
      </c>
      <c r="Z2672"/>
      <c r="AA2672" t="s">
        <v>17520</v>
      </c>
      <c r="AB2672"/>
      <c r="AC2672"/>
      <c r="AD2672"/>
      <c r="AE2672"/>
      <c r="AF2672" t="s">
        <v>17521</v>
      </c>
      <c r="AG2672" t="n">
        <v>3</v>
      </c>
    </row>
    <row r="2673">
      <c r="A2673" t="s">
        <v>17522</v>
      </c>
      <c r="B2673" t="s">
        <v>28</v>
      </c>
      <c r="C2673" t="s">
        <v>65</v>
      </c>
      <c r="D2673" t="s">
        <v>17523</v>
      </c>
      <c r="E2673" t="s">
        <v>2769</v>
      </c>
      <c r="F2673" t="s">
        <v>2724</v>
      </c>
      <c r="G2673" t="s">
        <v>2770</v>
      </c>
      <c r="H2673" t="n">
        <v>39.7701871254393</v>
      </c>
      <c r="I2673" t="n">
        <v>-105.142528829993</v>
      </c>
      <c r="J2673" t="s">
        <v>35</v>
      </c>
      <c r="K2673" t="s">
        <v>120</v>
      </c>
      <c r="L2673"/>
      <c r="M2673" t="n">
        <v>1990</v>
      </c>
      <c r="N2673" t="n">
        <v>1990</v>
      </c>
      <c r="O2673" t="s">
        <v>351</v>
      </c>
      <c r="P2673" t="n">
        <v>1</v>
      </c>
      <c r="Q2673" t="n">
        <v>1</v>
      </c>
      <c r="R2673" t="n">
        <v>1</v>
      </c>
      <c r="S2673" t="n">
        <v>1978</v>
      </c>
      <c r="T2673" t="s">
        <v>17524</v>
      </c>
      <c r="U2673" t="s">
        <v>17525</v>
      </c>
      <c r="V2673" t="s">
        <v>74</v>
      </c>
      <c r="W2673"/>
      <c r="X2673"/>
      <c r="Y2673" t="s">
        <v>17526</v>
      </c>
      <c r="Z2673"/>
      <c r="AA2673"/>
      <c r="AB2673"/>
      <c r="AC2673"/>
      <c r="AD2673"/>
      <c r="AE2673"/>
      <c r="AF2673" t="s">
        <v>17527</v>
      </c>
      <c r="AG2673" t="n">
        <v>30</v>
      </c>
    </row>
    <row r="2674">
      <c r="A2674" t="s">
        <v>17528</v>
      </c>
      <c r="B2674" t="s">
        <v>28</v>
      </c>
      <c r="C2674" t="s">
        <v>24</v>
      </c>
      <c r="D2674" t="s">
        <v>17529</v>
      </c>
      <c r="E2674" t="s">
        <v>2729</v>
      </c>
      <c r="F2674" t="s">
        <v>2724</v>
      </c>
      <c r="G2674" t="s">
        <v>2730</v>
      </c>
      <c r="H2674" t="n">
        <v>39.8757911600471</v>
      </c>
      <c r="I2674" t="n">
        <v>-105.051833609609</v>
      </c>
      <c r="J2674" t="s">
        <v>4109</v>
      </c>
      <c r="K2674" t="s">
        <v>133</v>
      </c>
      <c r="L2674"/>
      <c r="M2674" t="n">
        <v>1992</v>
      </c>
      <c r="N2674" t="n">
        <v>1992</v>
      </c>
      <c r="O2674" t="s">
        <v>1016</v>
      </c>
      <c r="P2674" t="n">
        <v>1</v>
      </c>
      <c r="Q2674" t="n">
        <v>1</v>
      </c>
      <c r="R2674" t="n">
        <v>1</v>
      </c>
      <c r="S2674" t="n">
        <v>1979</v>
      </c>
      <c r="T2674" t="s">
        <v>17530</v>
      </c>
      <c r="U2674" t="s">
        <v>17531</v>
      </c>
      <c r="V2674" t="s">
        <v>74</v>
      </c>
      <c r="W2674"/>
      <c r="X2674"/>
      <c r="Y2674" t="s">
        <v>17532</v>
      </c>
      <c r="Z2674"/>
      <c r="AA2674"/>
      <c r="AB2674"/>
      <c r="AC2674"/>
      <c r="AD2674"/>
      <c r="AE2674"/>
      <c r="AF2674" t="s">
        <v>17533</v>
      </c>
      <c r="AG2674" t="n">
        <v>189</v>
      </c>
    </row>
    <row r="2675">
      <c r="A2675" t="s">
        <v>17534</v>
      </c>
      <c r="B2675" t="s">
        <v>28</v>
      </c>
      <c r="C2675" t="s">
        <v>24</v>
      </c>
      <c r="D2675" t="s">
        <v>17535</v>
      </c>
      <c r="E2675" t="s">
        <v>2729</v>
      </c>
      <c r="F2675" t="s">
        <v>2724</v>
      </c>
      <c r="G2675" t="s">
        <v>2730</v>
      </c>
      <c r="H2675" t="n">
        <v>39.7230975918367</v>
      </c>
      <c r="I2675" t="n">
        <v>-105.064499734694</v>
      </c>
      <c r="J2675" t="s">
        <v>4109</v>
      </c>
      <c r="K2675" t="s">
        <v>796</v>
      </c>
      <c r="L2675"/>
      <c r="M2675" t="n">
        <v>1992</v>
      </c>
      <c r="N2675" t="n">
        <v>1992</v>
      </c>
      <c r="O2675" t="s">
        <v>1016</v>
      </c>
      <c r="P2675" t="n">
        <v>1</v>
      </c>
      <c r="Q2675" t="n">
        <v>1</v>
      </c>
      <c r="R2675" t="n">
        <v>1</v>
      </c>
      <c r="S2675" t="n">
        <v>1977</v>
      </c>
      <c r="T2675" t="s">
        <v>17536</v>
      </c>
      <c r="U2675" t="s">
        <v>17537</v>
      </c>
      <c r="V2675" t="s">
        <v>74</v>
      </c>
      <c r="W2675"/>
      <c r="X2675"/>
      <c r="Y2675" t="s">
        <v>17538</v>
      </c>
      <c r="Z2675"/>
      <c r="AA2675" t="s">
        <v>17539</v>
      </c>
      <c r="AB2675"/>
      <c r="AC2675"/>
      <c r="AD2675"/>
      <c r="AE2675"/>
      <c r="AF2675" t="s">
        <v>4674</v>
      </c>
      <c r="AG2675" t="n">
        <v>229</v>
      </c>
    </row>
    <row r="2676">
      <c r="A2676" t="s">
        <v>17540</v>
      </c>
      <c r="B2676" t="s">
        <v>28</v>
      </c>
      <c r="C2676" t="s">
        <v>65</v>
      </c>
      <c r="D2676" t="s">
        <v>17541</v>
      </c>
      <c r="E2676" t="s">
        <v>2748</v>
      </c>
      <c r="F2676" t="s">
        <v>2724</v>
      </c>
      <c r="G2676" t="s">
        <v>2763</v>
      </c>
      <c r="H2676" t="n">
        <v>39.6821694100059</v>
      </c>
      <c r="I2676" t="n">
        <v>-105.09970359228</v>
      </c>
      <c r="J2676" t="s">
        <v>35</v>
      </c>
      <c r="K2676" t="s">
        <v>120</v>
      </c>
      <c r="L2676"/>
      <c r="M2676" t="n">
        <v>1992</v>
      </c>
      <c r="N2676" t="n">
        <v>1992</v>
      </c>
      <c r="O2676" t="s">
        <v>1016</v>
      </c>
      <c r="P2676" t="n">
        <v>1</v>
      </c>
      <c r="Q2676" t="n">
        <v>1</v>
      </c>
      <c r="R2676" t="n">
        <v>1</v>
      </c>
      <c r="S2676"/>
      <c r="T2676" t="s">
        <v>17542</v>
      </c>
      <c r="U2676" t="s">
        <v>17543</v>
      </c>
      <c r="V2676" t="s">
        <v>74</v>
      </c>
      <c r="W2676"/>
      <c r="X2676"/>
      <c r="Y2676" t="s">
        <v>17544</v>
      </c>
      <c r="Z2676"/>
      <c r="AA2676" t="s">
        <v>17545</v>
      </c>
      <c r="AB2676"/>
      <c r="AC2676"/>
      <c r="AD2676"/>
      <c r="AE2676"/>
      <c r="AF2676" t="s">
        <v>17546</v>
      </c>
      <c r="AG2676" t="n">
        <v>1</v>
      </c>
    </row>
    <row r="2677">
      <c r="A2677" t="s">
        <v>17547</v>
      </c>
      <c r="B2677" t="s">
        <v>28</v>
      </c>
      <c r="C2677" t="s">
        <v>24</v>
      </c>
      <c r="D2677" t="s">
        <v>17548</v>
      </c>
      <c r="E2677" t="s">
        <v>386</v>
      </c>
      <c r="F2677" t="s">
        <v>2724</v>
      </c>
      <c r="G2677" t="s">
        <v>2809</v>
      </c>
      <c r="H2677" t="n">
        <v>39.6387570183675</v>
      </c>
      <c r="I2677" t="n">
        <v>-105.081578065317</v>
      </c>
      <c r="J2677" t="s">
        <v>4109</v>
      </c>
      <c r="K2677" t="s">
        <v>133</v>
      </c>
      <c r="L2677"/>
      <c r="M2677" t="n">
        <v>1992</v>
      </c>
      <c r="N2677" t="n">
        <v>1992</v>
      </c>
      <c r="O2677" t="s">
        <v>1016</v>
      </c>
      <c r="P2677" t="n">
        <v>1</v>
      </c>
      <c r="Q2677" t="n">
        <v>1</v>
      </c>
      <c r="R2677" t="n">
        <v>1</v>
      </c>
      <c r="S2677" t="n">
        <v>1969</v>
      </c>
      <c r="T2677" t="s">
        <v>17549</v>
      </c>
      <c r="U2677" t="s">
        <v>17550</v>
      </c>
      <c r="V2677" t="s">
        <v>74</v>
      </c>
      <c r="W2677"/>
      <c r="X2677"/>
      <c r="Y2677" t="s">
        <v>17551</v>
      </c>
      <c r="Z2677"/>
      <c r="AA2677"/>
      <c r="AB2677"/>
      <c r="AC2677"/>
      <c r="AD2677"/>
      <c r="AE2677"/>
      <c r="AF2677" t="s">
        <v>17552</v>
      </c>
      <c r="AG2677" t="n">
        <v>141</v>
      </c>
    </row>
    <row r="2678">
      <c r="A2678" t="s">
        <v>17553</v>
      </c>
      <c r="B2678" t="s">
        <v>28</v>
      </c>
      <c r="C2678" t="s">
        <v>24</v>
      </c>
      <c r="D2678" t="s">
        <v>17554</v>
      </c>
      <c r="E2678" t="s">
        <v>386</v>
      </c>
      <c r="F2678" t="s">
        <v>2724</v>
      </c>
      <c r="G2678" t="s">
        <v>2809</v>
      </c>
      <c r="H2678" t="n">
        <v>39.6097737706013</v>
      </c>
      <c r="I2678" t="n">
        <v>-105.099102461025</v>
      </c>
      <c r="J2678" t="s">
        <v>4109</v>
      </c>
      <c r="K2678" t="s">
        <v>527</v>
      </c>
      <c r="L2678"/>
      <c r="M2678" t="n">
        <v>1992</v>
      </c>
      <c r="N2678" t="n">
        <v>1992</v>
      </c>
      <c r="O2678" t="s">
        <v>1016</v>
      </c>
      <c r="P2678" t="n">
        <v>1</v>
      </c>
      <c r="Q2678" t="n">
        <v>1</v>
      </c>
      <c r="R2678" t="n">
        <v>1</v>
      </c>
      <c r="S2678"/>
      <c r="T2678" t="s">
        <v>17555</v>
      </c>
      <c r="U2678" t="s">
        <v>17556</v>
      </c>
      <c r="V2678" t="s">
        <v>74</v>
      </c>
      <c r="W2678"/>
      <c r="X2678"/>
      <c r="Y2678" t="s">
        <v>17557</v>
      </c>
      <c r="Z2678"/>
      <c r="AA2678"/>
      <c r="AB2678"/>
      <c r="AC2678"/>
      <c r="AD2678"/>
      <c r="AE2678"/>
      <c r="AF2678" t="s">
        <v>17558</v>
      </c>
      <c r="AG2678" t="n">
        <v>88</v>
      </c>
    </row>
    <row r="2679">
      <c r="A2679" t="s">
        <v>17559</v>
      </c>
      <c r="B2679" t="s">
        <v>28</v>
      </c>
      <c r="C2679" t="s">
        <v>24</v>
      </c>
      <c r="D2679" t="s">
        <v>17560</v>
      </c>
      <c r="E2679" t="s">
        <v>3103</v>
      </c>
      <c r="F2679" t="s">
        <v>3104</v>
      </c>
      <c r="G2679" t="s">
        <v>3105</v>
      </c>
      <c r="H2679" t="n">
        <v>39.301047</v>
      </c>
      <c r="I2679" t="n">
        <v>-102.266702</v>
      </c>
      <c r="J2679" t="s">
        <v>4109</v>
      </c>
      <c r="K2679" t="s">
        <v>315</v>
      </c>
      <c r="L2679"/>
      <c r="M2679" t="n">
        <v>1983</v>
      </c>
      <c r="N2679" t="n">
        <v>1983</v>
      </c>
      <c r="O2679" t="s">
        <v>264</v>
      </c>
      <c r="P2679" t="n">
        <v>1</v>
      </c>
      <c r="Q2679" t="n">
        <v>1</v>
      </c>
      <c r="R2679" t="n">
        <v>1</v>
      </c>
      <c r="S2679" t="n">
        <v>1975</v>
      </c>
      <c r="T2679" t="s">
        <v>17561</v>
      </c>
      <c r="U2679" t="s">
        <v>17562</v>
      </c>
      <c r="V2679" t="s">
        <v>74</v>
      </c>
      <c r="W2679"/>
      <c r="X2679"/>
      <c r="Y2679" t="s">
        <v>17563</v>
      </c>
      <c r="Z2679"/>
      <c r="AA2679" t="s">
        <v>17564</v>
      </c>
      <c r="AB2679"/>
      <c r="AC2679"/>
      <c r="AD2679"/>
      <c r="AE2679"/>
      <c r="AF2679" t="s">
        <v>17565</v>
      </c>
      <c r="AG2679" t="n">
        <v>91</v>
      </c>
    </row>
    <row r="2680">
      <c r="A2680" t="s">
        <v>17566</v>
      </c>
      <c r="B2680" t="s">
        <v>28</v>
      </c>
      <c r="C2680" t="s">
        <v>65</v>
      </c>
      <c r="D2680" t="s">
        <v>17567</v>
      </c>
      <c r="E2680" t="s">
        <v>3113</v>
      </c>
      <c r="F2680" t="s">
        <v>3114</v>
      </c>
      <c r="G2680" t="s">
        <v>3115</v>
      </c>
      <c r="H2680" t="n">
        <v>37.2798452803135</v>
      </c>
      <c r="I2680" t="n">
        <v>-107.878503053449</v>
      </c>
      <c r="J2680" t="s">
        <v>35</v>
      </c>
      <c r="K2680" t="s">
        <v>141</v>
      </c>
      <c r="L2680"/>
      <c r="M2680" t="n">
        <v>1966</v>
      </c>
      <c r="N2680" t="n">
        <v>1990</v>
      </c>
      <c r="O2680" t="s">
        <v>17568</v>
      </c>
      <c r="P2680" t="n">
        <v>6</v>
      </c>
      <c r="Q2680" t="n">
        <v>4</v>
      </c>
      <c r="R2680" t="n">
        <v>2</v>
      </c>
      <c r="S2680" t="n">
        <v>1961</v>
      </c>
      <c r="T2680" t="s">
        <v>17569</v>
      </c>
      <c r="U2680" t="s">
        <v>17570</v>
      </c>
      <c r="V2680" t="s">
        <v>74</v>
      </c>
      <c r="W2680"/>
      <c r="X2680"/>
      <c r="Y2680" t="s">
        <v>17571</v>
      </c>
      <c r="Z2680"/>
      <c r="AA2680" t="s">
        <v>17572</v>
      </c>
      <c r="AB2680" t="s">
        <v>3123</v>
      </c>
      <c r="AC2680" t="n">
        <v>186</v>
      </c>
      <c r="AD2680"/>
      <c r="AE2680"/>
      <c r="AF2680" t="s">
        <v>3124</v>
      </c>
      <c r="AG2680" t="n">
        <v>30</v>
      </c>
    </row>
    <row r="2681">
      <c r="A2681" t="s">
        <v>17573</v>
      </c>
      <c r="B2681" t="s">
        <v>28</v>
      </c>
      <c r="C2681" t="s">
        <v>24</v>
      </c>
      <c r="D2681" t="s">
        <v>17574</v>
      </c>
      <c r="E2681" t="s">
        <v>3113</v>
      </c>
      <c r="F2681" t="s">
        <v>3114</v>
      </c>
      <c r="G2681" t="s">
        <v>3115</v>
      </c>
      <c r="H2681" t="n">
        <v>37.2703058297856</v>
      </c>
      <c r="I2681" t="n">
        <v>-107.880298206547</v>
      </c>
      <c r="J2681" t="s">
        <v>4109</v>
      </c>
      <c r="K2681" t="s">
        <v>120</v>
      </c>
      <c r="L2681"/>
      <c r="M2681" t="n">
        <v>1966</v>
      </c>
      <c r="N2681" t="n">
        <v>1968</v>
      </c>
      <c r="O2681" t="s">
        <v>2764</v>
      </c>
      <c r="P2681" t="n">
        <v>3</v>
      </c>
      <c r="Q2681" t="n">
        <v>2</v>
      </c>
      <c r="R2681" t="n">
        <v>2</v>
      </c>
      <c r="S2681" t="n">
        <v>1945</v>
      </c>
      <c r="T2681" t="s">
        <v>17575</v>
      </c>
      <c r="U2681" t="s">
        <v>17576</v>
      </c>
      <c r="V2681" t="s">
        <v>74</v>
      </c>
      <c r="W2681"/>
      <c r="X2681"/>
      <c r="Y2681" t="s">
        <v>17577</v>
      </c>
      <c r="Z2681"/>
      <c r="AA2681" t="s">
        <v>17578</v>
      </c>
      <c r="AB2681"/>
      <c r="AC2681"/>
      <c r="AD2681"/>
      <c r="AE2681"/>
      <c r="AF2681" t="s">
        <v>17579</v>
      </c>
      <c r="AG2681" t="n">
        <v>27</v>
      </c>
    </row>
    <row r="2682">
      <c r="A2682" t="s">
        <v>17580</v>
      </c>
      <c r="B2682" t="s">
        <v>28</v>
      </c>
      <c r="C2682" t="s">
        <v>24</v>
      </c>
      <c r="D2682" t="s">
        <v>17581</v>
      </c>
      <c r="E2682" t="s">
        <v>3113</v>
      </c>
      <c r="F2682" t="s">
        <v>3114</v>
      </c>
      <c r="G2682" t="s">
        <v>3115</v>
      </c>
      <c r="H2682" t="n">
        <v>37.272944366079</v>
      </c>
      <c r="I2682" t="n">
        <v>-107.87858286454</v>
      </c>
      <c r="J2682" t="s">
        <v>4109</v>
      </c>
      <c r="K2682" t="s">
        <v>5187</v>
      </c>
      <c r="L2682"/>
      <c r="M2682" t="n">
        <v>1967</v>
      </c>
      <c r="N2682" t="n">
        <v>1967</v>
      </c>
      <c r="O2682" t="s">
        <v>388</v>
      </c>
      <c r="P2682" t="n">
        <v>1</v>
      </c>
      <c r="Q2682" t="n">
        <v>1</v>
      </c>
      <c r="R2682" t="n">
        <v>1</v>
      </c>
      <c r="S2682" t="n">
        <v>1921</v>
      </c>
      <c r="T2682" t="s">
        <v>17582</v>
      </c>
      <c r="U2682" t="s">
        <v>17583</v>
      </c>
      <c r="V2682" t="s">
        <v>74</v>
      </c>
      <c r="W2682"/>
      <c r="X2682"/>
      <c r="Y2682" t="s">
        <v>17584</v>
      </c>
      <c r="Z2682"/>
      <c r="AA2682" t="s">
        <v>17585</v>
      </c>
      <c r="AB2682"/>
      <c r="AC2682"/>
      <c r="AD2682"/>
      <c r="AE2682"/>
      <c r="AF2682" t="s">
        <v>3118</v>
      </c>
      <c r="AG2682" t="n">
        <v>127</v>
      </c>
    </row>
    <row r="2683">
      <c r="A2683" t="s">
        <v>17586</v>
      </c>
      <c r="B2683" t="s">
        <v>28</v>
      </c>
      <c r="C2683" t="s">
        <v>65</v>
      </c>
      <c r="D2683" t="s">
        <v>17587</v>
      </c>
      <c r="E2683" t="s">
        <v>3113</v>
      </c>
      <c r="F2683" t="s">
        <v>3114</v>
      </c>
      <c r="G2683" t="s">
        <v>3115</v>
      </c>
      <c r="H2683" t="n">
        <v>37.246990510773</v>
      </c>
      <c r="I2683" t="n">
        <v>-107.876473666604</v>
      </c>
      <c r="J2683" t="s">
        <v>35</v>
      </c>
      <c r="K2683" t="s">
        <v>70</v>
      </c>
      <c r="L2683"/>
      <c r="M2683" t="n">
        <v>1980</v>
      </c>
      <c r="N2683" t="n">
        <v>1990</v>
      </c>
      <c r="O2683" t="s">
        <v>528</v>
      </c>
      <c r="P2683" t="n">
        <v>3</v>
      </c>
      <c r="Q2683" t="n">
        <v>2</v>
      </c>
      <c r="R2683" t="n">
        <v>1</v>
      </c>
      <c r="S2683" t="n">
        <v>1961</v>
      </c>
      <c r="T2683" t="s">
        <v>17588</v>
      </c>
      <c r="U2683" t="s">
        <v>17589</v>
      </c>
      <c r="V2683" t="s">
        <v>74</v>
      </c>
      <c r="W2683"/>
      <c r="X2683"/>
      <c r="Y2683" t="s">
        <v>17590</v>
      </c>
      <c r="Z2683"/>
      <c r="AA2683" t="s">
        <v>17591</v>
      </c>
      <c r="AB2683" t="s">
        <v>17592</v>
      </c>
      <c r="AC2683" t="n">
        <v>165</v>
      </c>
      <c r="AD2683"/>
      <c r="AE2683"/>
      <c r="AF2683" t="s">
        <v>17593</v>
      </c>
      <c r="AG2683" t="n">
        <v>41</v>
      </c>
    </row>
    <row r="2684">
      <c r="A2684" t="s">
        <v>17594</v>
      </c>
      <c r="B2684" t="s">
        <v>28</v>
      </c>
      <c r="C2684" t="s">
        <v>65</v>
      </c>
      <c r="D2684" t="s">
        <v>17595</v>
      </c>
      <c r="E2684" t="s">
        <v>3113</v>
      </c>
      <c r="F2684" t="s">
        <v>3114</v>
      </c>
      <c r="G2684" t="s">
        <v>3115</v>
      </c>
      <c r="H2684" t="n">
        <v>37.2422596558665</v>
      </c>
      <c r="I2684" t="n">
        <v>-107.87870846055</v>
      </c>
      <c r="J2684" t="s">
        <v>35</v>
      </c>
      <c r="K2684" t="s">
        <v>120</v>
      </c>
      <c r="L2684"/>
      <c r="M2684" t="n">
        <v>1988</v>
      </c>
      <c r="N2684" t="n">
        <v>1990</v>
      </c>
      <c r="O2684" t="s">
        <v>310</v>
      </c>
      <c r="P2684" t="n">
        <v>2</v>
      </c>
      <c r="Q2684" t="n">
        <v>1</v>
      </c>
      <c r="R2684" t="n">
        <v>1</v>
      </c>
      <c r="S2684" t="n">
        <v>1979</v>
      </c>
      <c r="T2684" t="s">
        <v>17596</v>
      </c>
      <c r="U2684" t="s">
        <v>17597</v>
      </c>
      <c r="V2684" t="s">
        <v>74</v>
      </c>
      <c r="W2684"/>
      <c r="X2684"/>
      <c r="Y2684" t="s">
        <v>17598</v>
      </c>
      <c r="Z2684"/>
      <c r="AA2684" t="s">
        <v>17599</v>
      </c>
      <c r="AB2684" t="s">
        <v>17600</v>
      </c>
      <c r="AC2684" t="n">
        <v>168</v>
      </c>
      <c r="AD2684"/>
      <c r="AE2684"/>
      <c r="AF2684" t="s">
        <v>17601</v>
      </c>
      <c r="AG2684" t="n">
        <v>20</v>
      </c>
    </row>
    <row r="2685">
      <c r="A2685" t="s">
        <v>17602</v>
      </c>
      <c r="B2685" t="s">
        <v>28</v>
      </c>
      <c r="C2685" t="s">
        <v>65</v>
      </c>
      <c r="D2685" t="s">
        <v>17603</v>
      </c>
      <c r="E2685" t="s">
        <v>3151</v>
      </c>
      <c r="F2685" t="s">
        <v>3152</v>
      </c>
      <c r="G2685"/>
      <c r="H2685" t="n">
        <v>40.3954911156463</v>
      </c>
      <c r="I2685" t="n">
        <v>-105.076867003401</v>
      </c>
      <c r="J2685" t="s">
        <v>35</v>
      </c>
      <c r="K2685" t="s">
        <v>796</v>
      </c>
      <c r="L2685"/>
      <c r="M2685" t="n">
        <v>1965</v>
      </c>
      <c r="N2685" t="n">
        <v>1992</v>
      </c>
      <c r="O2685" t="s">
        <v>17604</v>
      </c>
      <c r="P2685" t="n">
        <v>10</v>
      </c>
      <c r="Q2685" t="n">
        <v>9</v>
      </c>
      <c r="R2685" t="n">
        <v>2</v>
      </c>
      <c r="S2685" t="n">
        <v>1961</v>
      </c>
      <c r="T2685" t="s">
        <v>17605</v>
      </c>
      <c r="U2685" t="s">
        <v>17606</v>
      </c>
      <c r="V2685" t="s">
        <v>74</v>
      </c>
      <c r="W2685"/>
      <c r="X2685"/>
      <c r="Y2685" t="s">
        <v>17607</v>
      </c>
      <c r="Z2685"/>
      <c r="AA2685"/>
      <c r="AB2685" t="s">
        <v>3166</v>
      </c>
      <c r="AC2685" t="n">
        <v>109</v>
      </c>
      <c r="AD2685"/>
      <c r="AE2685"/>
      <c r="AF2685" t="s">
        <v>3167</v>
      </c>
      <c r="AG2685" t="n">
        <v>42</v>
      </c>
    </row>
    <row r="2686">
      <c r="A2686" t="s">
        <v>17608</v>
      </c>
      <c r="B2686" t="s">
        <v>28</v>
      </c>
      <c r="C2686" t="s">
        <v>65</v>
      </c>
      <c r="D2686" t="s">
        <v>17609</v>
      </c>
      <c r="E2686" t="s">
        <v>3151</v>
      </c>
      <c r="F2686" t="s">
        <v>3152</v>
      </c>
      <c r="G2686"/>
      <c r="H2686" t="n">
        <v>40.3916906204482</v>
      </c>
      <c r="I2686" t="n">
        <v>-105.076011159289</v>
      </c>
      <c r="J2686" t="s">
        <v>35</v>
      </c>
      <c r="K2686" t="s">
        <v>220</v>
      </c>
      <c r="L2686"/>
      <c r="M2686" t="n">
        <v>1965</v>
      </c>
      <c r="N2686" t="n">
        <v>1974</v>
      </c>
      <c r="O2686" t="s">
        <v>17610</v>
      </c>
      <c r="P2686" t="n">
        <v>6</v>
      </c>
      <c r="Q2686" t="n">
        <v>2</v>
      </c>
      <c r="R2686" t="n">
        <v>2</v>
      </c>
      <c r="S2686" t="n">
        <v>1961</v>
      </c>
      <c r="T2686" t="s">
        <v>17611</v>
      </c>
      <c r="U2686" t="s">
        <v>17612</v>
      </c>
      <c r="V2686" t="s">
        <v>74</v>
      </c>
      <c r="W2686"/>
      <c r="X2686"/>
      <c r="Y2686" t="s">
        <v>17613</v>
      </c>
      <c r="Z2686"/>
      <c r="AA2686" t="s">
        <v>17614</v>
      </c>
      <c r="AB2686"/>
      <c r="AC2686"/>
      <c r="AD2686"/>
      <c r="AE2686"/>
      <c r="AF2686" t="s">
        <v>3320</v>
      </c>
      <c r="AG2686" t="n">
        <v>45</v>
      </c>
    </row>
    <row r="2687">
      <c r="A2687" t="s">
        <v>17615</v>
      </c>
      <c r="B2687" t="s">
        <v>28</v>
      </c>
      <c r="C2687" t="s">
        <v>65</v>
      </c>
      <c r="D2687" t="s">
        <v>17616</v>
      </c>
      <c r="E2687" t="s">
        <v>3170</v>
      </c>
      <c r="F2687" t="s">
        <v>3152</v>
      </c>
      <c r="G2687" t="s">
        <v>3171</v>
      </c>
      <c r="H2687" t="n">
        <v>40.5892804139692</v>
      </c>
      <c r="I2687" t="n">
        <v>-105.074563924304</v>
      </c>
      <c r="J2687" t="s">
        <v>35</v>
      </c>
      <c r="K2687" t="s">
        <v>120</v>
      </c>
      <c r="L2687"/>
      <c r="M2687" t="n">
        <v>1966</v>
      </c>
      <c r="N2687" t="n">
        <v>1983</v>
      </c>
      <c r="O2687" t="s">
        <v>829</v>
      </c>
      <c r="P2687" t="n">
        <v>6</v>
      </c>
      <c r="Q2687" t="n">
        <v>5</v>
      </c>
      <c r="R2687" t="n">
        <v>2</v>
      </c>
      <c r="S2687" t="n">
        <v>1954</v>
      </c>
      <c r="T2687" t="s">
        <v>17617</v>
      </c>
      <c r="U2687" t="s">
        <v>17618</v>
      </c>
      <c r="V2687" t="s">
        <v>74</v>
      </c>
      <c r="W2687"/>
      <c r="X2687"/>
      <c r="Y2687" t="s">
        <v>17619</v>
      </c>
      <c r="Z2687"/>
      <c r="AA2687" t="s">
        <v>17620</v>
      </c>
      <c r="AB2687" t="s">
        <v>17621</v>
      </c>
      <c r="AC2687" t="n">
        <v>212</v>
      </c>
      <c r="AD2687" t="s">
        <v>10034</v>
      </c>
      <c r="AE2687" t="n">
        <v>245</v>
      </c>
      <c r="AF2687" t="s">
        <v>10035</v>
      </c>
      <c r="AG2687" t="n">
        <v>42</v>
      </c>
    </row>
    <row r="2688">
      <c r="A2688" t="s">
        <v>17622</v>
      </c>
      <c r="B2688" t="s">
        <v>28</v>
      </c>
      <c r="C2688" t="s">
        <v>65</v>
      </c>
      <c r="D2688" t="s">
        <v>17623</v>
      </c>
      <c r="E2688" t="s">
        <v>3170</v>
      </c>
      <c r="F2688" t="s">
        <v>3152</v>
      </c>
      <c r="G2688" t="s">
        <v>3171</v>
      </c>
      <c r="H2688" t="n">
        <v>40.5892220408163</v>
      </c>
      <c r="I2688" t="n">
        <v>-105.073946836735</v>
      </c>
      <c r="J2688" t="s">
        <v>35</v>
      </c>
      <c r="K2688" t="s">
        <v>70</v>
      </c>
      <c r="L2688"/>
      <c r="M2688" t="n">
        <v>1966</v>
      </c>
      <c r="N2688" t="n">
        <v>1990</v>
      </c>
      <c r="O2688" t="s">
        <v>388</v>
      </c>
      <c r="P2688" t="n">
        <v>5</v>
      </c>
      <c r="Q2688" t="n">
        <v>4</v>
      </c>
      <c r="R2688" t="n">
        <v>1</v>
      </c>
      <c r="S2688" t="n">
        <v>1951</v>
      </c>
      <c r="T2688" t="s">
        <v>17624</v>
      </c>
      <c r="U2688" t="s">
        <v>17625</v>
      </c>
      <c r="V2688" t="s">
        <v>74</v>
      </c>
      <c r="W2688"/>
      <c r="X2688"/>
      <c r="Y2688" t="s">
        <v>17626</v>
      </c>
      <c r="Z2688"/>
      <c r="AA2688" t="s">
        <v>17627</v>
      </c>
      <c r="AB2688" t="s">
        <v>17621</v>
      </c>
      <c r="AC2688" t="n">
        <v>180</v>
      </c>
      <c r="AD2688" t="s">
        <v>10034</v>
      </c>
      <c r="AE2688" t="n">
        <v>212</v>
      </c>
      <c r="AF2688" t="s">
        <v>10035</v>
      </c>
      <c r="AG2688" t="n">
        <v>30</v>
      </c>
    </row>
    <row r="2689">
      <c r="A2689" t="s">
        <v>17628</v>
      </c>
      <c r="B2689" t="s">
        <v>28</v>
      </c>
      <c r="C2689" t="s">
        <v>24</v>
      </c>
      <c r="D2689" t="s">
        <v>17629</v>
      </c>
      <c r="E2689" t="s">
        <v>3170</v>
      </c>
      <c r="F2689" t="s">
        <v>3152</v>
      </c>
      <c r="G2689" t="s">
        <v>3171</v>
      </c>
      <c r="H2689" t="n">
        <v>40.5907966122449</v>
      </c>
      <c r="I2689" t="n">
        <v>-105.080853265306</v>
      </c>
      <c r="J2689" t="s">
        <v>35</v>
      </c>
      <c r="K2689" t="s">
        <v>70</v>
      </c>
      <c r="L2689"/>
      <c r="M2689" t="n">
        <v>1966</v>
      </c>
      <c r="N2689" t="n">
        <v>1980</v>
      </c>
      <c r="O2689" t="s">
        <v>255</v>
      </c>
      <c r="P2689" t="n">
        <v>5</v>
      </c>
      <c r="Q2689" t="n">
        <v>5</v>
      </c>
      <c r="R2689" t="n">
        <v>1</v>
      </c>
      <c r="S2689" t="n">
        <v>1950</v>
      </c>
      <c r="T2689" t="s">
        <v>17630</v>
      </c>
      <c r="U2689" t="s">
        <v>17631</v>
      </c>
      <c r="V2689" t="s">
        <v>4175</v>
      </c>
      <c r="W2689"/>
      <c r="X2689"/>
      <c r="Y2689" t="s">
        <v>17632</v>
      </c>
      <c r="Z2689"/>
      <c r="AA2689"/>
      <c r="AB2689" t="s">
        <v>17633</v>
      </c>
      <c r="AC2689" t="n">
        <v>93</v>
      </c>
      <c r="AD2689"/>
      <c r="AE2689"/>
      <c r="AF2689" t="s">
        <v>17634</v>
      </c>
      <c r="AG2689" t="n">
        <v>21</v>
      </c>
    </row>
    <row r="2690">
      <c r="A2690" t="s">
        <v>17635</v>
      </c>
      <c r="B2690" t="s">
        <v>28</v>
      </c>
      <c r="C2690" t="s">
        <v>65</v>
      </c>
      <c r="D2690" t="s">
        <v>17636</v>
      </c>
      <c r="E2690" t="s">
        <v>3170</v>
      </c>
      <c r="F2690" t="s">
        <v>3152</v>
      </c>
      <c r="G2690" t="s">
        <v>3171</v>
      </c>
      <c r="H2690" t="n">
        <v>40.6108483501168</v>
      </c>
      <c r="I2690" t="n">
        <v>-105.078278581367</v>
      </c>
      <c r="J2690" t="s">
        <v>35</v>
      </c>
      <c r="K2690" t="s">
        <v>81</v>
      </c>
      <c r="L2690" t="s">
        <v>202</v>
      </c>
      <c r="M2690" t="n">
        <v>1966</v>
      </c>
      <c r="N2690" t="n">
        <v>1988</v>
      </c>
      <c r="O2690" t="s">
        <v>17637</v>
      </c>
      <c r="P2690" t="n">
        <v>8</v>
      </c>
      <c r="Q2690" t="n">
        <v>10</v>
      </c>
      <c r="R2690" t="n">
        <v>8</v>
      </c>
      <c r="S2690" t="n">
        <v>1957</v>
      </c>
      <c r="T2690" t="s">
        <v>17638</v>
      </c>
      <c r="U2690" t="s">
        <v>17639</v>
      </c>
      <c r="V2690" t="s">
        <v>74</v>
      </c>
      <c r="W2690"/>
      <c r="X2690"/>
      <c r="Y2690" t="s">
        <v>17640</v>
      </c>
      <c r="Z2690"/>
      <c r="AA2690"/>
      <c r="AB2690"/>
      <c r="AC2690"/>
      <c r="AD2690"/>
      <c r="AE2690"/>
      <c r="AF2690" t="s">
        <v>17641</v>
      </c>
      <c r="AG2690" t="n">
        <v>26</v>
      </c>
    </row>
    <row r="2691">
      <c r="A2691" t="s">
        <v>17642</v>
      </c>
      <c r="B2691" t="s">
        <v>28</v>
      </c>
      <c r="C2691" t="s">
        <v>65</v>
      </c>
      <c r="D2691" t="s">
        <v>17643</v>
      </c>
      <c r="E2691" t="s">
        <v>3170</v>
      </c>
      <c r="F2691" t="s">
        <v>3152</v>
      </c>
      <c r="G2691" t="s">
        <v>3292</v>
      </c>
      <c r="H2691" t="n">
        <v>40.5809562159091</v>
      </c>
      <c r="I2691" t="n">
        <v>-105.043482375</v>
      </c>
      <c r="J2691" t="s">
        <v>35</v>
      </c>
      <c r="K2691" t="s">
        <v>120</v>
      </c>
      <c r="L2691"/>
      <c r="M2691" t="n">
        <v>1967</v>
      </c>
      <c r="N2691" t="n">
        <v>1988</v>
      </c>
      <c r="O2691" t="s">
        <v>388</v>
      </c>
      <c r="P2691" t="n">
        <v>4</v>
      </c>
      <c r="Q2691" t="n">
        <v>3</v>
      </c>
      <c r="R2691" t="n">
        <v>1</v>
      </c>
      <c r="S2691" t="n">
        <v>1959</v>
      </c>
      <c r="T2691" t="s">
        <v>17644</v>
      </c>
      <c r="U2691" t="s">
        <v>17645</v>
      </c>
      <c r="V2691" t="s">
        <v>74</v>
      </c>
      <c r="W2691"/>
      <c r="X2691"/>
      <c r="Y2691" t="s">
        <v>17646</v>
      </c>
      <c r="Z2691"/>
      <c r="AA2691" t="s">
        <v>17647</v>
      </c>
      <c r="AB2691"/>
      <c r="AC2691"/>
      <c r="AD2691"/>
      <c r="AE2691"/>
      <c r="AF2691" t="s">
        <v>17648</v>
      </c>
      <c r="AG2691" t="n">
        <v>22</v>
      </c>
    </row>
    <row r="2692">
      <c r="A2692" t="s">
        <v>17649</v>
      </c>
      <c r="B2692" t="s">
        <v>28</v>
      </c>
      <c r="C2692" t="s">
        <v>24</v>
      </c>
      <c r="D2692" t="s">
        <v>17650</v>
      </c>
      <c r="E2692" t="s">
        <v>3170</v>
      </c>
      <c r="F2692" t="s">
        <v>3152</v>
      </c>
      <c r="G2692" t="s">
        <v>3171</v>
      </c>
      <c r="H2692" t="n">
        <v>40.582747</v>
      </c>
      <c r="I2692" t="n">
        <v>-105.039127</v>
      </c>
      <c r="J2692" t="s">
        <v>4109</v>
      </c>
      <c r="K2692" t="s">
        <v>70</v>
      </c>
      <c r="L2692"/>
      <c r="M2692" t="n">
        <v>1967</v>
      </c>
      <c r="N2692" t="n">
        <v>1967</v>
      </c>
      <c r="O2692" t="s">
        <v>388</v>
      </c>
      <c r="P2692" t="n">
        <v>1</v>
      </c>
      <c r="Q2692" t="n">
        <v>1</v>
      </c>
      <c r="R2692" t="n">
        <v>1</v>
      </c>
      <c r="S2692" t="n">
        <v>1955</v>
      </c>
      <c r="T2692" t="s">
        <v>17651</v>
      </c>
      <c r="U2692" t="s">
        <v>17652</v>
      </c>
      <c r="V2692" t="s">
        <v>74</v>
      </c>
      <c r="W2692"/>
      <c r="X2692"/>
      <c r="Y2692" t="s">
        <v>17653</v>
      </c>
      <c r="Z2692" t="s">
        <v>17654</v>
      </c>
      <c r="AA2692" t="s">
        <v>17655</v>
      </c>
      <c r="AB2692"/>
      <c r="AC2692"/>
      <c r="AD2692"/>
      <c r="AE2692"/>
      <c r="AF2692" t="s">
        <v>17656</v>
      </c>
      <c r="AG2692" t="n">
        <v>125</v>
      </c>
    </row>
    <row r="2693">
      <c r="A2693" t="s">
        <v>17657</v>
      </c>
      <c r="B2693" t="s">
        <v>28</v>
      </c>
      <c r="C2693" t="s">
        <v>65</v>
      </c>
      <c r="D2693" t="s">
        <v>17658</v>
      </c>
      <c r="E2693" t="s">
        <v>3170</v>
      </c>
      <c r="F2693" t="s">
        <v>3152</v>
      </c>
      <c r="G2693" t="s">
        <v>3171</v>
      </c>
      <c r="H2693" t="n">
        <v>40.6052691764706</v>
      </c>
      <c r="I2693" t="n">
        <v>-105.076568323529</v>
      </c>
      <c r="J2693" t="s">
        <v>35</v>
      </c>
      <c r="K2693" t="s">
        <v>70</v>
      </c>
      <c r="L2693"/>
      <c r="M2693" t="n">
        <v>1967</v>
      </c>
      <c r="N2693" t="n">
        <v>1968</v>
      </c>
      <c r="O2693" t="s">
        <v>106</v>
      </c>
      <c r="P2693" t="n">
        <v>2</v>
      </c>
      <c r="Q2693" t="n">
        <v>1</v>
      </c>
      <c r="R2693" t="n">
        <v>1</v>
      </c>
      <c r="S2693" t="n">
        <v>1966</v>
      </c>
      <c r="T2693" t="s">
        <v>17659</v>
      </c>
      <c r="U2693" t="s">
        <v>17660</v>
      </c>
      <c r="V2693" t="s">
        <v>74</v>
      </c>
      <c r="W2693"/>
      <c r="X2693"/>
      <c r="Y2693" t="s">
        <v>17661</v>
      </c>
      <c r="Z2693"/>
      <c r="AA2693" t="s">
        <v>17662</v>
      </c>
      <c r="AB2693" t="s">
        <v>17663</v>
      </c>
      <c r="AC2693" t="n">
        <v>240</v>
      </c>
      <c r="AD2693"/>
      <c r="AE2693"/>
      <c r="AF2693" t="s">
        <v>17664</v>
      </c>
      <c r="AG2693" t="n">
        <v>31</v>
      </c>
    </row>
    <row r="2694">
      <c r="A2694" t="s">
        <v>17665</v>
      </c>
      <c r="B2694" t="s">
        <v>28</v>
      </c>
      <c r="C2694" t="s">
        <v>65</v>
      </c>
      <c r="D2694" t="s">
        <v>17666</v>
      </c>
      <c r="E2694" t="s">
        <v>3170</v>
      </c>
      <c r="F2694" t="s">
        <v>3152</v>
      </c>
      <c r="G2694" t="s">
        <v>3171</v>
      </c>
      <c r="H2694" t="n">
        <v>40.58459</v>
      </c>
      <c r="I2694" t="n">
        <v>-105.038803</v>
      </c>
      <c r="J2694" t="s">
        <v>35</v>
      </c>
      <c r="K2694" t="s">
        <v>315</v>
      </c>
      <c r="L2694"/>
      <c r="M2694" t="n">
        <v>1970</v>
      </c>
      <c r="N2694" t="n">
        <v>1990</v>
      </c>
      <c r="O2694" t="s">
        <v>17667</v>
      </c>
      <c r="P2694" t="n">
        <v>7</v>
      </c>
      <c r="Q2694" t="n">
        <v>4</v>
      </c>
      <c r="R2694" t="n">
        <v>3</v>
      </c>
      <c r="S2694" t="n">
        <v>1968</v>
      </c>
      <c r="T2694" t="s">
        <v>17668</v>
      </c>
      <c r="U2694" t="s">
        <v>17669</v>
      </c>
      <c r="V2694" t="s">
        <v>74</v>
      </c>
      <c r="W2694"/>
      <c r="X2694"/>
      <c r="Y2694" t="s">
        <v>17670</v>
      </c>
      <c r="Z2694"/>
      <c r="AA2694"/>
      <c r="AB2694"/>
      <c r="AC2694"/>
      <c r="AD2694"/>
      <c r="AE2694"/>
      <c r="AF2694" t="s">
        <v>17671</v>
      </c>
      <c r="AG2694" t="n">
        <v>2</v>
      </c>
    </row>
    <row r="2695">
      <c r="A2695" t="s">
        <v>17672</v>
      </c>
      <c r="B2695" t="s">
        <v>28</v>
      </c>
      <c r="C2695" t="s">
        <v>65</v>
      </c>
      <c r="D2695" t="s">
        <v>17673</v>
      </c>
      <c r="E2695" t="s">
        <v>3170</v>
      </c>
      <c r="F2695" t="s">
        <v>3152</v>
      </c>
      <c r="G2695" t="s">
        <v>3171</v>
      </c>
      <c r="H2695" t="n">
        <v>40.5962269540816</v>
      </c>
      <c r="I2695" t="n">
        <v>-105.092802933673</v>
      </c>
      <c r="J2695" t="s">
        <v>35</v>
      </c>
      <c r="K2695" t="s">
        <v>315</v>
      </c>
      <c r="L2695"/>
      <c r="M2695" t="n">
        <v>1973</v>
      </c>
      <c r="N2695" t="n">
        <v>1977</v>
      </c>
      <c r="O2695" t="s">
        <v>228</v>
      </c>
      <c r="P2695" t="n">
        <v>3</v>
      </c>
      <c r="Q2695" t="n">
        <v>3</v>
      </c>
      <c r="R2695" t="n">
        <v>1</v>
      </c>
      <c r="S2695" t="n">
        <v>1961</v>
      </c>
      <c r="T2695" t="s">
        <v>17674</v>
      </c>
      <c r="U2695" t="s">
        <v>17675</v>
      </c>
      <c r="V2695" t="s">
        <v>74</v>
      </c>
      <c r="W2695"/>
      <c r="X2695"/>
      <c r="Y2695" t="s">
        <v>17676</v>
      </c>
      <c r="Z2695"/>
      <c r="AA2695"/>
      <c r="AB2695"/>
      <c r="AC2695"/>
      <c r="AD2695"/>
      <c r="AE2695"/>
      <c r="AF2695" t="s">
        <v>17677</v>
      </c>
      <c r="AG2695" t="n">
        <v>11</v>
      </c>
    </row>
    <row r="2696">
      <c r="A2696" t="s">
        <v>17678</v>
      </c>
      <c r="B2696" t="s">
        <v>28</v>
      </c>
      <c r="C2696" t="s">
        <v>24</v>
      </c>
      <c r="D2696" t="s">
        <v>17679</v>
      </c>
      <c r="E2696" t="s">
        <v>3151</v>
      </c>
      <c r="F2696" t="s">
        <v>3152</v>
      </c>
      <c r="G2696" t="s">
        <v>3163</v>
      </c>
      <c r="H2696" t="n">
        <v>40.391757462585</v>
      </c>
      <c r="I2696" t="n">
        <v>-105.077397428571</v>
      </c>
      <c r="J2696" t="s">
        <v>4109</v>
      </c>
      <c r="K2696" t="s">
        <v>1548</v>
      </c>
      <c r="L2696" t="s">
        <v>2476</v>
      </c>
      <c r="M2696" t="n">
        <v>1973</v>
      </c>
      <c r="N2696" t="n">
        <v>1988</v>
      </c>
      <c r="O2696" t="s">
        <v>5279</v>
      </c>
      <c r="P2696" t="n">
        <v>3</v>
      </c>
      <c r="Q2696" t="n">
        <v>3</v>
      </c>
      <c r="R2696" t="n">
        <v>2</v>
      </c>
      <c r="S2696" t="n">
        <v>1968</v>
      </c>
      <c r="T2696" t="s">
        <v>17680</v>
      </c>
      <c r="U2696" t="s">
        <v>17681</v>
      </c>
      <c r="V2696" t="s">
        <v>74</v>
      </c>
      <c r="W2696"/>
      <c r="X2696"/>
      <c r="Y2696" t="s">
        <v>17682</v>
      </c>
      <c r="Z2696"/>
      <c r="AA2696" t="s">
        <v>17683</v>
      </c>
      <c r="AB2696"/>
      <c r="AC2696"/>
      <c r="AD2696"/>
      <c r="AE2696"/>
      <c r="AF2696" t="s">
        <v>17684</v>
      </c>
      <c r="AG2696" t="n">
        <v>2</v>
      </c>
    </row>
    <row r="2697">
      <c r="A2697" t="s">
        <v>17685</v>
      </c>
      <c r="B2697" t="s">
        <v>28</v>
      </c>
      <c r="C2697" t="s">
        <v>65</v>
      </c>
      <c r="D2697" t="s">
        <v>17686</v>
      </c>
      <c r="E2697" t="s">
        <v>3170</v>
      </c>
      <c r="F2697" t="s">
        <v>3152</v>
      </c>
      <c r="G2697" t="s">
        <v>3171</v>
      </c>
      <c r="H2697" t="n">
        <v>40.5859283417847</v>
      </c>
      <c r="I2697" t="n">
        <v>-105.041157333728</v>
      </c>
      <c r="J2697" t="s">
        <v>35</v>
      </c>
      <c r="K2697" t="s">
        <v>120</v>
      </c>
      <c r="L2697"/>
      <c r="M2697" t="n">
        <v>1974</v>
      </c>
      <c r="N2697" t="n">
        <v>1990</v>
      </c>
      <c r="O2697" t="s">
        <v>528</v>
      </c>
      <c r="P2697" t="n">
        <v>5</v>
      </c>
      <c r="Q2697" t="n">
        <v>6</v>
      </c>
      <c r="R2697" t="n">
        <v>2</v>
      </c>
      <c r="S2697" t="n">
        <v>1962</v>
      </c>
      <c r="T2697" t="s">
        <v>17687</v>
      </c>
      <c r="U2697" t="s">
        <v>17688</v>
      </c>
      <c r="V2697" t="s">
        <v>74</v>
      </c>
      <c r="W2697"/>
      <c r="X2697"/>
      <c r="Y2697" t="s">
        <v>17689</v>
      </c>
      <c r="Z2697"/>
      <c r="AA2697"/>
      <c r="AB2697"/>
      <c r="AC2697"/>
      <c r="AD2697"/>
      <c r="AE2697"/>
      <c r="AF2697" t="s">
        <v>17690</v>
      </c>
      <c r="AG2697" t="n">
        <v>92</v>
      </c>
    </row>
    <row r="2698">
      <c r="A2698" t="s">
        <v>17691</v>
      </c>
      <c r="B2698" t="s">
        <v>28</v>
      </c>
      <c r="C2698" t="s">
        <v>24</v>
      </c>
      <c r="D2698" t="s">
        <v>17692</v>
      </c>
      <c r="E2698" t="s">
        <v>3151</v>
      </c>
      <c r="F2698" t="s">
        <v>3152</v>
      </c>
      <c r="G2698" t="s">
        <v>3163</v>
      </c>
      <c r="H2698" t="n">
        <v>40.349394</v>
      </c>
      <c r="I2698" t="n">
        <v>-105.081842</v>
      </c>
      <c r="J2698" t="s">
        <v>4109</v>
      </c>
      <c r="K2698" t="s">
        <v>133</v>
      </c>
      <c r="L2698"/>
      <c r="M2698" t="n">
        <v>1974</v>
      </c>
      <c r="N2698" t="n">
        <v>1974</v>
      </c>
      <c r="O2698" t="s">
        <v>210</v>
      </c>
      <c r="P2698" t="n">
        <v>1</v>
      </c>
      <c r="Q2698" t="n">
        <v>1</v>
      </c>
      <c r="R2698" t="n">
        <v>1</v>
      </c>
      <c r="S2698" t="n">
        <v>1973</v>
      </c>
      <c r="T2698" t="s">
        <v>17693</v>
      </c>
      <c r="U2698" t="s">
        <v>17694</v>
      </c>
      <c r="V2698" t="s">
        <v>74</v>
      </c>
      <c r="W2698"/>
      <c r="X2698"/>
      <c r="Y2698" t="s">
        <v>17695</v>
      </c>
      <c r="Z2698"/>
      <c r="AA2698" t="s">
        <v>17696</v>
      </c>
      <c r="AB2698"/>
      <c r="AC2698"/>
      <c r="AD2698"/>
      <c r="AE2698"/>
      <c r="AF2698" t="s">
        <v>17697</v>
      </c>
      <c r="AG2698" t="n">
        <v>102</v>
      </c>
    </row>
    <row r="2699">
      <c r="A2699" t="s">
        <v>17698</v>
      </c>
      <c r="B2699" t="s">
        <v>28</v>
      </c>
      <c r="C2699" t="s">
        <v>24</v>
      </c>
      <c r="D2699" t="s">
        <v>17699</v>
      </c>
      <c r="E2699" t="s">
        <v>3278</v>
      </c>
      <c r="F2699" t="s">
        <v>3152</v>
      </c>
      <c r="G2699" t="s">
        <v>3279</v>
      </c>
      <c r="H2699" t="n">
        <v>40.391403</v>
      </c>
      <c r="I2699" t="n">
        <v>-105.063831</v>
      </c>
      <c r="J2699" t="s">
        <v>4109</v>
      </c>
      <c r="K2699" t="s">
        <v>81</v>
      </c>
      <c r="L2699"/>
      <c r="M2699" t="n">
        <v>1977</v>
      </c>
      <c r="N2699" t="n">
        <v>1992</v>
      </c>
      <c r="O2699" t="s">
        <v>521</v>
      </c>
      <c r="P2699" t="n">
        <v>6</v>
      </c>
      <c r="Q2699" t="n">
        <v>4</v>
      </c>
      <c r="R2699" t="n">
        <v>4</v>
      </c>
      <c r="S2699" t="n">
        <v>1964</v>
      </c>
      <c r="T2699" t="s">
        <v>17700</v>
      </c>
      <c r="U2699" t="s">
        <v>17701</v>
      </c>
      <c r="V2699" t="s">
        <v>74</v>
      </c>
      <c r="W2699"/>
      <c r="X2699"/>
      <c r="Y2699" t="s">
        <v>17702</v>
      </c>
      <c r="Z2699"/>
      <c r="AA2699" t="s">
        <v>17703</v>
      </c>
      <c r="AB2699"/>
      <c r="AC2699"/>
      <c r="AD2699"/>
      <c r="AE2699"/>
      <c r="AF2699" t="s">
        <v>3320</v>
      </c>
      <c r="AG2699" t="n">
        <v>106</v>
      </c>
    </row>
    <row r="2700">
      <c r="A2700" t="s">
        <v>17704</v>
      </c>
      <c r="B2700" t="s">
        <v>28</v>
      </c>
      <c r="C2700" t="s">
        <v>24</v>
      </c>
      <c r="D2700" t="s">
        <v>17705</v>
      </c>
      <c r="E2700" t="s">
        <v>3278</v>
      </c>
      <c r="F2700" t="s">
        <v>3152</v>
      </c>
      <c r="G2700" t="s">
        <v>3279</v>
      </c>
      <c r="H2700" t="n">
        <v>40.306288140711</v>
      </c>
      <c r="I2700" t="n">
        <v>-105.076098980884</v>
      </c>
      <c r="J2700" t="s">
        <v>4109</v>
      </c>
      <c r="K2700" t="s">
        <v>133</v>
      </c>
      <c r="L2700"/>
      <c r="M2700" t="n">
        <v>1977</v>
      </c>
      <c r="N2700" t="n">
        <v>1990</v>
      </c>
      <c r="O2700" t="s">
        <v>2446</v>
      </c>
      <c r="P2700" t="n">
        <v>4</v>
      </c>
      <c r="Q2700" t="n">
        <v>1</v>
      </c>
      <c r="R2700" t="n">
        <v>1</v>
      </c>
      <c r="S2700" t="n">
        <v>1976</v>
      </c>
      <c r="T2700" t="s">
        <v>17706</v>
      </c>
      <c r="U2700" t="s">
        <v>17707</v>
      </c>
      <c r="V2700" t="s">
        <v>74</v>
      </c>
      <c r="W2700"/>
      <c r="X2700"/>
      <c r="Y2700" t="s">
        <v>17708</v>
      </c>
      <c r="Z2700"/>
      <c r="AA2700"/>
      <c r="AB2700"/>
      <c r="AC2700"/>
      <c r="AD2700"/>
      <c r="AE2700"/>
      <c r="AF2700" t="s">
        <v>17709</v>
      </c>
      <c r="AG2700" t="n">
        <v>38</v>
      </c>
    </row>
    <row r="2701">
      <c r="A2701" t="s">
        <v>17710</v>
      </c>
      <c r="B2701" t="s">
        <v>28</v>
      </c>
      <c r="C2701" t="s">
        <v>24</v>
      </c>
      <c r="D2701" t="s">
        <v>17711</v>
      </c>
      <c r="E2701" t="s">
        <v>3278</v>
      </c>
      <c r="F2701" t="s">
        <v>3152</v>
      </c>
      <c r="G2701" t="s">
        <v>3279</v>
      </c>
      <c r="H2701" t="n">
        <v>40.307425</v>
      </c>
      <c r="I2701" t="n">
        <v>-105.076103</v>
      </c>
      <c r="J2701" t="s">
        <v>4109</v>
      </c>
      <c r="K2701" t="s">
        <v>901</v>
      </c>
      <c r="L2701" t="s">
        <v>202</v>
      </c>
      <c r="M2701" t="n">
        <v>1977</v>
      </c>
      <c r="N2701" t="n">
        <v>1992</v>
      </c>
      <c r="O2701" t="s">
        <v>521</v>
      </c>
      <c r="P2701" t="n">
        <v>6</v>
      </c>
      <c r="Q2701" t="n">
        <v>6</v>
      </c>
      <c r="R2701" t="n">
        <v>5</v>
      </c>
      <c r="S2701" t="n">
        <v>1972</v>
      </c>
      <c r="T2701" t="s">
        <v>17712</v>
      </c>
      <c r="U2701" t="s">
        <v>17713</v>
      </c>
      <c r="V2701" t="s">
        <v>74</v>
      </c>
      <c r="W2701"/>
      <c r="X2701"/>
      <c r="Y2701" t="s">
        <v>17714</v>
      </c>
      <c r="Z2701"/>
      <c r="AA2701" t="s">
        <v>17715</v>
      </c>
      <c r="AB2701"/>
      <c r="AC2701"/>
      <c r="AD2701"/>
      <c r="AE2701"/>
      <c r="AF2701" t="s">
        <v>17716</v>
      </c>
      <c r="AG2701" t="n">
        <v>9</v>
      </c>
    </row>
    <row r="2702">
      <c r="A2702" t="s">
        <v>17717</v>
      </c>
      <c r="B2702" t="s">
        <v>28</v>
      </c>
      <c r="C2702" t="s">
        <v>65</v>
      </c>
      <c r="D2702" t="s">
        <v>17718</v>
      </c>
      <c r="E2702" t="s">
        <v>3170</v>
      </c>
      <c r="F2702" t="s">
        <v>3152</v>
      </c>
      <c r="G2702" t="s">
        <v>3171</v>
      </c>
      <c r="H2702" t="n">
        <v>40.5812970991251</v>
      </c>
      <c r="I2702" t="n">
        <v>-105.027211632667</v>
      </c>
      <c r="J2702" t="s">
        <v>35</v>
      </c>
      <c r="K2702" t="s">
        <v>70</v>
      </c>
      <c r="L2702"/>
      <c r="M2702" t="n">
        <v>1977</v>
      </c>
      <c r="N2702" t="n">
        <v>1990</v>
      </c>
      <c r="O2702" t="s">
        <v>310</v>
      </c>
      <c r="P2702" t="n">
        <v>4</v>
      </c>
      <c r="Q2702" t="n">
        <v>2</v>
      </c>
      <c r="R2702" t="n">
        <v>1</v>
      </c>
      <c r="S2702" t="n">
        <v>1906</v>
      </c>
      <c r="T2702" t="s">
        <v>17719</v>
      </c>
      <c r="U2702" t="s">
        <v>17720</v>
      </c>
      <c r="V2702" t="s">
        <v>74</v>
      </c>
      <c r="W2702"/>
      <c r="X2702"/>
      <c r="Y2702" t="s">
        <v>17721</v>
      </c>
      <c r="Z2702"/>
      <c r="AA2702"/>
      <c r="AB2702"/>
      <c r="AC2702"/>
      <c r="AD2702"/>
      <c r="AE2702"/>
      <c r="AF2702" t="s">
        <v>17722</v>
      </c>
      <c r="AG2702" t="n">
        <v>159</v>
      </c>
    </row>
    <row r="2703">
      <c r="A2703" t="s">
        <v>17723</v>
      </c>
      <c r="B2703" t="s">
        <v>28</v>
      </c>
      <c r="C2703" t="s">
        <v>65</v>
      </c>
      <c r="D2703" t="s">
        <v>17724</v>
      </c>
      <c r="E2703" t="s">
        <v>3170</v>
      </c>
      <c r="F2703" t="s">
        <v>3152</v>
      </c>
      <c r="G2703" t="s">
        <v>3171</v>
      </c>
      <c r="H2703" t="n">
        <v>40.6020422148241</v>
      </c>
      <c r="I2703" t="n">
        <v>-105.08242506407</v>
      </c>
      <c r="J2703" t="s">
        <v>35</v>
      </c>
      <c r="K2703" t="s">
        <v>70</v>
      </c>
      <c r="L2703"/>
      <c r="M2703" t="n">
        <v>1977</v>
      </c>
      <c r="N2703" t="n">
        <v>1990</v>
      </c>
      <c r="O2703" t="s">
        <v>2446</v>
      </c>
      <c r="P2703" t="n">
        <v>4</v>
      </c>
      <c r="Q2703" t="n">
        <v>2</v>
      </c>
      <c r="R2703" t="n">
        <v>2</v>
      </c>
      <c r="S2703" t="n">
        <v>1957</v>
      </c>
      <c r="T2703" t="s">
        <v>17725</v>
      </c>
      <c r="U2703" t="s">
        <v>17726</v>
      </c>
      <c r="V2703" t="s">
        <v>74</v>
      </c>
      <c r="W2703"/>
      <c r="X2703"/>
      <c r="Y2703" t="s">
        <v>17727</v>
      </c>
      <c r="Z2703"/>
      <c r="AA2703"/>
      <c r="AB2703"/>
      <c r="AC2703"/>
      <c r="AD2703"/>
      <c r="AE2703"/>
      <c r="AF2703" t="s">
        <v>3372</v>
      </c>
      <c r="AG2703" t="n">
        <v>18</v>
      </c>
    </row>
    <row r="2704">
      <c r="A2704" t="s">
        <v>17728</v>
      </c>
      <c r="B2704" t="s">
        <v>28</v>
      </c>
      <c r="C2704" t="s">
        <v>24</v>
      </c>
      <c r="D2704" t="s">
        <v>17729</v>
      </c>
      <c r="E2704" t="s">
        <v>3170</v>
      </c>
      <c r="F2704" t="s">
        <v>3152</v>
      </c>
      <c r="G2704" t="s">
        <v>3171</v>
      </c>
      <c r="H2704" t="n">
        <v>40.5852821593906</v>
      </c>
      <c r="I2704" t="n">
        <v>-105.044193621394</v>
      </c>
      <c r="J2704" t="s">
        <v>4109</v>
      </c>
      <c r="K2704" t="s">
        <v>120</v>
      </c>
      <c r="L2704"/>
      <c r="M2704" t="n">
        <v>1977</v>
      </c>
      <c r="N2704" t="n">
        <v>1977</v>
      </c>
      <c r="O2704" t="s">
        <v>228</v>
      </c>
      <c r="P2704" t="n">
        <v>1</v>
      </c>
      <c r="Q2704" t="n">
        <v>1</v>
      </c>
      <c r="R2704" t="n">
        <v>1</v>
      </c>
      <c r="S2704" t="n">
        <v>1973</v>
      </c>
      <c r="T2704" t="s">
        <v>17730</v>
      </c>
      <c r="U2704" t="s">
        <v>17731</v>
      </c>
      <c r="V2704" t="s">
        <v>74</v>
      </c>
      <c r="W2704"/>
      <c r="X2704"/>
      <c r="Y2704" t="s">
        <v>17732</v>
      </c>
      <c r="Z2704"/>
      <c r="AA2704" t="s">
        <v>17733</v>
      </c>
      <c r="AB2704"/>
      <c r="AC2704"/>
      <c r="AD2704"/>
      <c r="AE2704"/>
      <c r="AF2704" t="s">
        <v>17734</v>
      </c>
      <c r="AG2704" t="n">
        <v>94</v>
      </c>
    </row>
    <row r="2705">
      <c r="A2705" t="s">
        <v>17735</v>
      </c>
      <c r="B2705" t="s">
        <v>28</v>
      </c>
      <c r="C2705" t="s">
        <v>24</v>
      </c>
      <c r="D2705" t="s">
        <v>17736</v>
      </c>
      <c r="E2705" t="s">
        <v>3170</v>
      </c>
      <c r="F2705" t="s">
        <v>3152</v>
      </c>
      <c r="G2705" t="s">
        <v>3171</v>
      </c>
      <c r="H2705" t="n">
        <v>40.5870454285714</v>
      </c>
      <c r="I2705" t="n">
        <v>-105.081317489796</v>
      </c>
      <c r="J2705" t="s">
        <v>4109</v>
      </c>
      <c r="K2705" t="s">
        <v>120</v>
      </c>
      <c r="L2705"/>
      <c r="M2705" t="n">
        <v>1977</v>
      </c>
      <c r="N2705" t="n">
        <v>1977</v>
      </c>
      <c r="O2705" t="s">
        <v>228</v>
      </c>
      <c r="P2705" t="n">
        <v>1</v>
      </c>
      <c r="Q2705" t="n">
        <v>1</v>
      </c>
      <c r="R2705" t="n">
        <v>1</v>
      </c>
      <c r="S2705" t="n">
        <v>1949</v>
      </c>
      <c r="T2705" t="s">
        <v>17737</v>
      </c>
      <c r="U2705" t="s">
        <v>17738</v>
      </c>
      <c r="V2705" t="s">
        <v>74</v>
      </c>
      <c r="W2705"/>
      <c r="X2705"/>
      <c r="Y2705" t="s">
        <v>17739</v>
      </c>
      <c r="Z2705"/>
      <c r="AA2705" t="s">
        <v>17740</v>
      </c>
      <c r="AB2705"/>
      <c r="AC2705"/>
      <c r="AD2705"/>
      <c r="AE2705"/>
      <c r="AF2705" t="s">
        <v>3377</v>
      </c>
      <c r="AG2705" t="n">
        <v>206</v>
      </c>
    </row>
    <row r="2706">
      <c r="A2706" t="s">
        <v>17741</v>
      </c>
      <c r="B2706" t="s">
        <v>28</v>
      </c>
      <c r="C2706" t="s">
        <v>24</v>
      </c>
      <c r="D2706" t="s">
        <v>17742</v>
      </c>
      <c r="E2706" t="s">
        <v>3151</v>
      </c>
      <c r="F2706" t="s">
        <v>3152</v>
      </c>
      <c r="G2706" t="s">
        <v>3163</v>
      </c>
      <c r="H2706" t="n">
        <v>40.378307425</v>
      </c>
      <c r="I2706" t="n">
        <v>-105.0767252</v>
      </c>
      <c r="J2706" t="s">
        <v>4109</v>
      </c>
      <c r="K2706" t="s">
        <v>70</v>
      </c>
      <c r="L2706"/>
      <c r="M2706" t="n">
        <v>1977</v>
      </c>
      <c r="N2706" t="n">
        <v>1980</v>
      </c>
      <c r="O2706" t="s">
        <v>1949</v>
      </c>
      <c r="P2706" t="n">
        <v>2</v>
      </c>
      <c r="Q2706" t="n">
        <v>2</v>
      </c>
      <c r="R2706" t="n">
        <v>2</v>
      </c>
      <c r="S2706" t="n">
        <v>1972</v>
      </c>
      <c r="T2706" t="s">
        <v>17743</v>
      </c>
      <c r="U2706" t="s">
        <v>17744</v>
      </c>
      <c r="V2706" t="s">
        <v>74</v>
      </c>
      <c r="W2706"/>
      <c r="X2706"/>
      <c r="Y2706" t="s">
        <v>17745</v>
      </c>
      <c r="Z2706"/>
      <c r="AA2706" t="s">
        <v>17746</v>
      </c>
      <c r="AB2706"/>
      <c r="AC2706"/>
      <c r="AD2706"/>
      <c r="AE2706"/>
      <c r="AF2706" t="s">
        <v>17747</v>
      </c>
      <c r="AG2706" t="n">
        <v>9</v>
      </c>
    </row>
    <row r="2707">
      <c r="A2707" t="s">
        <v>17748</v>
      </c>
      <c r="B2707" t="s">
        <v>28</v>
      </c>
      <c r="C2707" t="s">
        <v>65</v>
      </c>
      <c r="D2707" t="s">
        <v>17749</v>
      </c>
      <c r="E2707" t="s">
        <v>12259</v>
      </c>
      <c r="F2707" t="s">
        <v>3152</v>
      </c>
      <c r="G2707" t="s">
        <v>12260</v>
      </c>
      <c r="H2707" t="n">
        <v>40.7014401302961</v>
      </c>
      <c r="I2707" t="n">
        <v>-105.007599739645</v>
      </c>
      <c r="J2707" t="s">
        <v>35</v>
      </c>
      <c r="K2707" t="s">
        <v>89</v>
      </c>
      <c r="L2707"/>
      <c r="M2707" t="n">
        <v>1977</v>
      </c>
      <c r="N2707" t="n">
        <v>1977</v>
      </c>
      <c r="O2707" t="s">
        <v>228</v>
      </c>
      <c r="P2707" t="n">
        <v>1</v>
      </c>
      <c r="Q2707" t="n">
        <v>1</v>
      </c>
      <c r="R2707" t="n">
        <v>1</v>
      </c>
      <c r="S2707" t="n">
        <v>1966</v>
      </c>
      <c r="T2707" t="s">
        <v>17750</v>
      </c>
      <c r="U2707" t="s">
        <v>17751</v>
      </c>
      <c r="V2707" t="s">
        <v>74</v>
      </c>
      <c r="W2707"/>
      <c r="X2707"/>
      <c r="Y2707" t="s">
        <v>17752</v>
      </c>
      <c r="Z2707"/>
      <c r="AA2707" t="s">
        <v>17753</v>
      </c>
      <c r="AB2707"/>
      <c r="AC2707"/>
      <c r="AD2707"/>
      <c r="AE2707"/>
      <c r="AF2707" t="s">
        <v>17754</v>
      </c>
      <c r="AG2707" t="n">
        <v>43</v>
      </c>
    </row>
    <row r="2708">
      <c r="A2708" t="s">
        <v>17755</v>
      </c>
      <c r="B2708" t="s">
        <v>28</v>
      </c>
      <c r="C2708" t="s">
        <v>65</v>
      </c>
      <c r="D2708" t="s">
        <v>17756</v>
      </c>
      <c r="E2708" t="s">
        <v>3278</v>
      </c>
      <c r="F2708" t="s">
        <v>3152</v>
      </c>
      <c r="G2708" t="s">
        <v>3279</v>
      </c>
      <c r="H2708" t="n">
        <v>40.3125687934754</v>
      </c>
      <c r="I2708" t="n">
        <v>-105.078671449801</v>
      </c>
      <c r="J2708" t="s">
        <v>35</v>
      </c>
      <c r="K2708" t="s">
        <v>120</v>
      </c>
      <c r="L2708"/>
      <c r="M2708" t="n">
        <v>1980</v>
      </c>
      <c r="N2708" t="n">
        <v>1990</v>
      </c>
      <c r="O2708" t="s">
        <v>540</v>
      </c>
      <c r="P2708" t="n">
        <v>4</v>
      </c>
      <c r="Q2708" t="n">
        <v>5</v>
      </c>
      <c r="R2708" t="n">
        <v>3</v>
      </c>
      <c r="S2708" t="n">
        <v>1961</v>
      </c>
      <c r="T2708" t="s">
        <v>17757</v>
      </c>
      <c r="U2708" t="s">
        <v>17758</v>
      </c>
      <c r="V2708" t="s">
        <v>74</v>
      </c>
      <c r="W2708"/>
      <c r="X2708"/>
      <c r="Y2708" t="s">
        <v>17759</v>
      </c>
      <c r="Z2708"/>
      <c r="AA2708"/>
      <c r="AB2708"/>
      <c r="AC2708"/>
      <c r="AD2708"/>
      <c r="AE2708"/>
      <c r="AF2708" t="s">
        <v>17760</v>
      </c>
      <c r="AG2708" t="n">
        <v>20</v>
      </c>
    </row>
    <row r="2709">
      <c r="A2709" t="s">
        <v>17761</v>
      </c>
      <c r="B2709" t="s">
        <v>28</v>
      </c>
      <c r="C2709" t="s">
        <v>24</v>
      </c>
      <c r="D2709" t="s">
        <v>17762</v>
      </c>
      <c r="E2709" t="s">
        <v>3170</v>
      </c>
      <c r="F2709" t="s">
        <v>3152</v>
      </c>
      <c r="G2709" t="s">
        <v>3292</v>
      </c>
      <c r="H2709" t="n">
        <v>40.5861929699351</v>
      </c>
      <c r="I2709" t="n">
        <v>-105.046156641261</v>
      </c>
      <c r="J2709" t="s">
        <v>4109</v>
      </c>
      <c r="K2709" t="s">
        <v>120</v>
      </c>
      <c r="L2709"/>
      <c r="M2709" t="n">
        <v>1980</v>
      </c>
      <c r="N2709" t="n">
        <v>1983</v>
      </c>
      <c r="O2709" t="s">
        <v>528</v>
      </c>
      <c r="P2709" t="n">
        <v>2</v>
      </c>
      <c r="Q2709" t="n">
        <v>2</v>
      </c>
      <c r="R2709" t="n">
        <v>2</v>
      </c>
      <c r="S2709" t="n">
        <v>1977</v>
      </c>
      <c r="T2709" t="s">
        <v>17763</v>
      </c>
      <c r="U2709" t="s">
        <v>17764</v>
      </c>
      <c r="V2709" t="s">
        <v>74</v>
      </c>
      <c r="W2709"/>
      <c r="X2709"/>
      <c r="Y2709" t="s">
        <v>17765</v>
      </c>
      <c r="Z2709" t="s">
        <v>17766</v>
      </c>
      <c r="AA2709" t="s">
        <v>17767</v>
      </c>
      <c r="AB2709"/>
      <c r="AC2709"/>
      <c r="AD2709"/>
      <c r="AE2709"/>
      <c r="AF2709" t="s">
        <v>17768</v>
      </c>
      <c r="AG2709" t="n">
        <v>51</v>
      </c>
    </row>
    <row r="2710">
      <c r="A2710" t="s">
        <v>17769</v>
      </c>
      <c r="B2710" t="s">
        <v>28</v>
      </c>
      <c r="C2710" t="s">
        <v>65</v>
      </c>
      <c r="D2710" t="s">
        <v>17770</v>
      </c>
      <c r="E2710" t="s">
        <v>3170</v>
      </c>
      <c r="F2710" t="s">
        <v>3152</v>
      </c>
      <c r="G2710" t="s">
        <v>3232</v>
      </c>
      <c r="H2710" t="n">
        <v>40.5856311349747</v>
      </c>
      <c r="I2710" t="n">
        <v>-105.051909233359</v>
      </c>
      <c r="J2710" t="s">
        <v>35</v>
      </c>
      <c r="K2710" t="s">
        <v>133</v>
      </c>
      <c r="L2710"/>
      <c r="M2710" t="n">
        <v>1980</v>
      </c>
      <c r="N2710" t="n">
        <v>1990</v>
      </c>
      <c r="O2710" t="s">
        <v>555</v>
      </c>
      <c r="P2710" t="n">
        <v>3</v>
      </c>
      <c r="Q2710" t="n">
        <v>5</v>
      </c>
      <c r="R2710" t="n">
        <v>2</v>
      </c>
      <c r="S2710" t="n">
        <v>1946</v>
      </c>
      <c r="T2710" t="s">
        <v>17771</v>
      </c>
      <c r="U2710" t="s">
        <v>17772</v>
      </c>
      <c r="V2710" t="s">
        <v>74</v>
      </c>
      <c r="W2710"/>
      <c r="X2710"/>
      <c r="Y2710" t="s">
        <v>17773</v>
      </c>
      <c r="Z2710"/>
      <c r="AA2710"/>
      <c r="AB2710"/>
      <c r="AC2710"/>
      <c r="AD2710"/>
      <c r="AE2710"/>
      <c r="AF2710" t="s">
        <v>17774</v>
      </c>
      <c r="AG2710" t="n">
        <v>22</v>
      </c>
    </row>
    <row r="2711">
      <c r="A2711" t="s">
        <v>17775</v>
      </c>
      <c r="B2711" t="s">
        <v>28</v>
      </c>
      <c r="C2711" t="s">
        <v>65</v>
      </c>
      <c r="D2711" t="s">
        <v>17776</v>
      </c>
      <c r="E2711" t="s">
        <v>3170</v>
      </c>
      <c r="F2711" t="s">
        <v>3152</v>
      </c>
      <c r="G2711" t="s">
        <v>3332</v>
      </c>
      <c r="H2711" t="n">
        <v>40.5030241111111</v>
      </c>
      <c r="I2711" t="n">
        <v>-105.077319296296</v>
      </c>
      <c r="J2711" t="s">
        <v>35</v>
      </c>
      <c r="K2711" t="s">
        <v>220</v>
      </c>
      <c r="L2711"/>
      <c r="M2711" t="n">
        <v>1980</v>
      </c>
      <c r="N2711" t="n">
        <v>1983</v>
      </c>
      <c r="O2711" t="s">
        <v>528</v>
      </c>
      <c r="P2711" t="n">
        <v>2</v>
      </c>
      <c r="Q2711" t="n">
        <v>2</v>
      </c>
      <c r="R2711" t="n">
        <v>2</v>
      </c>
      <c r="S2711" t="n">
        <v>1979</v>
      </c>
      <c r="T2711" t="s">
        <v>17777</v>
      </c>
      <c r="U2711" t="s">
        <v>17778</v>
      </c>
      <c r="V2711" t="s">
        <v>74</v>
      </c>
      <c r="W2711"/>
      <c r="X2711"/>
      <c r="Y2711" t="s">
        <v>17779</v>
      </c>
      <c r="Z2711"/>
      <c r="AA2711" t="s">
        <v>17780</v>
      </c>
      <c r="AB2711"/>
      <c r="AC2711"/>
      <c r="AD2711"/>
      <c r="AE2711"/>
      <c r="AF2711" t="s">
        <v>17781</v>
      </c>
      <c r="AG2711" t="n">
        <v>17</v>
      </c>
    </row>
    <row r="2712">
      <c r="A2712" t="s">
        <v>17782</v>
      </c>
      <c r="B2712" t="s">
        <v>28</v>
      </c>
      <c r="C2712" t="s">
        <v>24</v>
      </c>
      <c r="D2712" t="s">
        <v>17783</v>
      </c>
      <c r="E2712" t="s">
        <v>3170</v>
      </c>
      <c r="F2712" t="s">
        <v>3152</v>
      </c>
      <c r="G2712" t="s">
        <v>3171</v>
      </c>
      <c r="H2712" t="n">
        <v>40.5670699655514</v>
      </c>
      <c r="I2712" t="n">
        <v>-105.046190062348</v>
      </c>
      <c r="J2712" t="s">
        <v>4109</v>
      </c>
      <c r="K2712" t="s">
        <v>133</v>
      </c>
      <c r="L2712"/>
      <c r="M2712" t="n">
        <v>1980</v>
      </c>
      <c r="N2712" t="n">
        <v>1990</v>
      </c>
      <c r="O2712" t="s">
        <v>555</v>
      </c>
      <c r="P2712" t="n">
        <v>2</v>
      </c>
      <c r="Q2712" t="n">
        <v>2</v>
      </c>
      <c r="R2712" t="n">
        <v>2</v>
      </c>
      <c r="S2712" t="n">
        <v>1962</v>
      </c>
      <c r="T2712" t="s">
        <v>17784</v>
      </c>
      <c r="U2712" t="s">
        <v>17785</v>
      </c>
      <c r="V2712" t="s">
        <v>74</v>
      </c>
      <c r="W2712"/>
      <c r="X2712"/>
      <c r="Y2712" t="s">
        <v>17786</v>
      </c>
      <c r="Z2712"/>
      <c r="AA2712" t="s">
        <v>17787</v>
      </c>
      <c r="AB2712"/>
      <c r="AC2712"/>
      <c r="AD2712"/>
      <c r="AE2712"/>
      <c r="AF2712" t="s">
        <v>17788</v>
      </c>
      <c r="AG2712" t="n">
        <v>10</v>
      </c>
    </row>
    <row r="2713">
      <c r="A2713" t="s">
        <v>17789</v>
      </c>
      <c r="B2713" t="s">
        <v>28</v>
      </c>
      <c r="C2713" t="s">
        <v>24</v>
      </c>
      <c r="D2713" t="s">
        <v>17790</v>
      </c>
      <c r="E2713" t="s">
        <v>3151</v>
      </c>
      <c r="F2713" t="s">
        <v>3152</v>
      </c>
      <c r="G2713" t="s">
        <v>3163</v>
      </c>
      <c r="H2713" t="n">
        <v>40.3917358163265</v>
      </c>
      <c r="I2713" t="n">
        <v>-105.078573816326</v>
      </c>
      <c r="J2713" t="s">
        <v>4109</v>
      </c>
      <c r="K2713" t="s">
        <v>1041</v>
      </c>
      <c r="L2713" t="s">
        <v>2476</v>
      </c>
      <c r="M2713" t="n">
        <v>1980</v>
      </c>
      <c r="N2713" t="n">
        <v>1980</v>
      </c>
      <c r="O2713" t="s">
        <v>255</v>
      </c>
      <c r="P2713" t="n">
        <v>1</v>
      </c>
      <c r="Q2713" t="n">
        <v>1</v>
      </c>
      <c r="R2713" t="n">
        <v>1</v>
      </c>
      <c r="S2713" t="n">
        <v>1968</v>
      </c>
      <c r="T2713" t="s">
        <v>17791</v>
      </c>
      <c r="U2713" t="s">
        <v>17792</v>
      </c>
      <c r="V2713" t="s">
        <v>74</v>
      </c>
      <c r="W2713"/>
      <c r="X2713"/>
      <c r="Y2713" t="s">
        <v>17793</v>
      </c>
      <c r="Z2713"/>
      <c r="AA2713" t="s">
        <v>17794</v>
      </c>
      <c r="AB2713"/>
      <c r="AC2713"/>
      <c r="AD2713"/>
      <c r="AE2713"/>
      <c r="AF2713" t="s">
        <v>17795</v>
      </c>
      <c r="AG2713" t="n">
        <v>33</v>
      </c>
    </row>
    <row r="2714">
      <c r="A2714" t="s">
        <v>17796</v>
      </c>
      <c r="B2714" t="s">
        <v>28</v>
      </c>
      <c r="C2714" t="s">
        <v>24</v>
      </c>
      <c r="D2714" t="s">
        <v>17797</v>
      </c>
      <c r="E2714" t="s">
        <v>3151</v>
      </c>
      <c r="F2714" t="s">
        <v>3152</v>
      </c>
      <c r="G2714" t="s">
        <v>3163</v>
      </c>
      <c r="H2714" t="n">
        <v>40.4015300034931</v>
      </c>
      <c r="I2714" t="n">
        <v>-105.042741098789</v>
      </c>
      <c r="J2714" t="s">
        <v>35</v>
      </c>
      <c r="K2714" t="s">
        <v>133</v>
      </c>
      <c r="L2714"/>
      <c r="M2714" t="n">
        <v>1980</v>
      </c>
      <c r="N2714" t="n">
        <v>1980</v>
      </c>
      <c r="O2714" t="s">
        <v>255</v>
      </c>
      <c r="P2714" t="n">
        <v>1</v>
      </c>
      <c r="Q2714" t="n">
        <v>1</v>
      </c>
      <c r="R2714" t="n">
        <v>1</v>
      </c>
      <c r="S2714" t="n">
        <v>1963</v>
      </c>
      <c r="T2714" t="s">
        <v>17798</v>
      </c>
      <c r="U2714" t="s">
        <v>17799</v>
      </c>
      <c r="V2714" t="s">
        <v>4175</v>
      </c>
      <c r="W2714"/>
      <c r="X2714"/>
      <c r="Y2714" t="s">
        <v>17800</v>
      </c>
      <c r="Z2714"/>
      <c r="AA2714"/>
      <c r="AB2714"/>
      <c r="AC2714"/>
      <c r="AD2714"/>
      <c r="AE2714"/>
      <c r="AF2714" t="s">
        <v>3402</v>
      </c>
      <c r="AG2714" t="n">
        <v>15</v>
      </c>
    </row>
    <row r="2715">
      <c r="A2715" t="s">
        <v>17801</v>
      </c>
      <c r="B2715" t="s">
        <v>28</v>
      </c>
      <c r="C2715" t="s">
        <v>65</v>
      </c>
      <c r="D2715" t="s">
        <v>17802</v>
      </c>
      <c r="E2715" t="s">
        <v>3151</v>
      </c>
      <c r="F2715" t="s">
        <v>3152</v>
      </c>
      <c r="G2715" t="s">
        <v>3163</v>
      </c>
      <c r="H2715" t="n">
        <v>40.4028808585859</v>
      </c>
      <c r="I2715" t="n">
        <v>-105.05873810101</v>
      </c>
      <c r="J2715" t="s">
        <v>35</v>
      </c>
      <c r="K2715" t="s">
        <v>120</v>
      </c>
      <c r="L2715"/>
      <c r="M2715" t="n">
        <v>1980</v>
      </c>
      <c r="N2715" t="n">
        <v>1992</v>
      </c>
      <c r="O2715" t="s">
        <v>17803</v>
      </c>
      <c r="P2715" t="n">
        <v>4</v>
      </c>
      <c r="Q2715" t="n">
        <v>2</v>
      </c>
      <c r="R2715" t="n">
        <v>1</v>
      </c>
      <c r="S2715" t="n">
        <v>1954</v>
      </c>
      <c r="T2715" t="s">
        <v>17804</v>
      </c>
      <c r="U2715" t="s">
        <v>17805</v>
      </c>
      <c r="V2715" t="s">
        <v>74</v>
      </c>
      <c r="W2715"/>
      <c r="X2715"/>
      <c r="Y2715" t="s">
        <v>17806</v>
      </c>
      <c r="Z2715"/>
      <c r="AA2715" t="s">
        <v>17807</v>
      </c>
      <c r="AB2715"/>
      <c r="AC2715"/>
      <c r="AD2715"/>
      <c r="AE2715"/>
      <c r="AF2715" t="s">
        <v>17808</v>
      </c>
      <c r="AG2715" t="n">
        <v>4</v>
      </c>
    </row>
    <row r="2716">
      <c r="A2716" t="s">
        <v>17809</v>
      </c>
      <c r="B2716" t="s">
        <v>28</v>
      </c>
      <c r="C2716" t="s">
        <v>65</v>
      </c>
      <c r="D2716" t="s">
        <v>17810</v>
      </c>
      <c r="E2716" t="s">
        <v>3151</v>
      </c>
      <c r="F2716" t="s">
        <v>3152</v>
      </c>
      <c r="G2716" t="s">
        <v>3163</v>
      </c>
      <c r="H2716" t="n">
        <v>40.4395823957461</v>
      </c>
      <c r="I2716" t="n">
        <v>-105.018758668988</v>
      </c>
      <c r="J2716" t="s">
        <v>35</v>
      </c>
      <c r="K2716" t="s">
        <v>70</v>
      </c>
      <c r="L2716"/>
      <c r="M2716" t="n">
        <v>1980</v>
      </c>
      <c r="N2716" t="n">
        <v>1990</v>
      </c>
      <c r="O2716" t="s">
        <v>242</v>
      </c>
      <c r="P2716" t="n">
        <v>3</v>
      </c>
      <c r="Q2716" t="n">
        <v>1</v>
      </c>
      <c r="R2716" t="n">
        <v>1</v>
      </c>
      <c r="S2716" t="n">
        <v>1978</v>
      </c>
      <c r="T2716" t="s">
        <v>17811</v>
      </c>
      <c r="U2716" t="s">
        <v>17812</v>
      </c>
      <c r="V2716" t="s">
        <v>74</v>
      </c>
      <c r="W2716"/>
      <c r="X2716"/>
      <c r="Y2716" t="s">
        <v>17813</v>
      </c>
      <c r="Z2716"/>
      <c r="AA2716"/>
      <c r="AB2716"/>
      <c r="AC2716"/>
      <c r="AD2716"/>
      <c r="AE2716"/>
      <c r="AF2716" t="s">
        <v>17814</v>
      </c>
      <c r="AG2716" t="n">
        <v>20</v>
      </c>
    </row>
    <row r="2717">
      <c r="A2717" t="s">
        <v>17815</v>
      </c>
      <c r="B2717" t="s">
        <v>28</v>
      </c>
      <c r="C2717" t="s">
        <v>65</v>
      </c>
      <c r="D2717" t="s">
        <v>17816</v>
      </c>
      <c r="E2717" t="s">
        <v>3170</v>
      </c>
      <c r="F2717" t="s">
        <v>3152</v>
      </c>
      <c r="G2717" t="s">
        <v>3292</v>
      </c>
      <c r="H2717" t="n">
        <v>40.5878586249722</v>
      </c>
      <c r="I2717" t="n">
        <v>-105.050833038877</v>
      </c>
      <c r="J2717" t="s">
        <v>35</v>
      </c>
      <c r="K2717" t="s">
        <v>141</v>
      </c>
      <c r="L2717"/>
      <c r="M2717" t="n">
        <v>1983</v>
      </c>
      <c r="N2717" t="n">
        <v>1983</v>
      </c>
      <c r="O2717" t="s">
        <v>264</v>
      </c>
      <c r="P2717" t="n">
        <v>1</v>
      </c>
      <c r="Q2717" t="n">
        <v>3</v>
      </c>
      <c r="R2717" t="n">
        <v>3</v>
      </c>
      <c r="S2717" t="n">
        <v>1980</v>
      </c>
      <c r="T2717" t="s">
        <v>17817</v>
      </c>
      <c r="U2717" t="s">
        <v>17818</v>
      </c>
      <c r="V2717" t="s">
        <v>74</v>
      </c>
      <c r="W2717"/>
      <c r="X2717"/>
      <c r="Y2717" t="s">
        <v>17819</v>
      </c>
      <c r="Z2717"/>
      <c r="AA2717"/>
      <c r="AB2717"/>
      <c r="AC2717"/>
      <c r="AD2717"/>
      <c r="AE2717"/>
      <c r="AF2717" t="s">
        <v>17820</v>
      </c>
      <c r="AG2717" t="n">
        <v>20</v>
      </c>
    </row>
    <row r="2718">
      <c r="A2718" t="s">
        <v>17821</v>
      </c>
      <c r="B2718" t="s">
        <v>28</v>
      </c>
      <c r="C2718" t="s">
        <v>65</v>
      </c>
      <c r="D2718" t="s">
        <v>17822</v>
      </c>
      <c r="E2718" t="s">
        <v>3170</v>
      </c>
      <c r="F2718" t="s">
        <v>3152</v>
      </c>
      <c r="G2718" t="s">
        <v>3292</v>
      </c>
      <c r="H2718" t="n">
        <v>40.5886426787383</v>
      </c>
      <c r="I2718" t="n">
        <v>-105.052681604611</v>
      </c>
      <c r="J2718" t="s">
        <v>35</v>
      </c>
      <c r="K2718" t="s">
        <v>70</v>
      </c>
      <c r="L2718"/>
      <c r="M2718" t="n">
        <v>1983</v>
      </c>
      <c r="N2718" t="n">
        <v>1990</v>
      </c>
      <c r="O2718" t="s">
        <v>351</v>
      </c>
      <c r="P2718" t="n">
        <v>3</v>
      </c>
      <c r="Q2718" t="n">
        <v>4</v>
      </c>
      <c r="R2718" t="n">
        <v>1</v>
      </c>
      <c r="S2718" t="n">
        <v>1906</v>
      </c>
      <c r="T2718" t="s">
        <v>17823</v>
      </c>
      <c r="U2718" t="s">
        <v>17824</v>
      </c>
      <c r="V2718" t="s">
        <v>74</v>
      </c>
      <c r="W2718"/>
      <c r="X2718"/>
      <c r="Y2718" t="s">
        <v>17825</v>
      </c>
      <c r="Z2718"/>
      <c r="AA2718" t="s">
        <v>17826</v>
      </c>
      <c r="AB2718"/>
      <c r="AC2718"/>
      <c r="AD2718"/>
      <c r="AE2718"/>
      <c r="AF2718" t="s">
        <v>17827</v>
      </c>
      <c r="AG2718" t="n">
        <v>36</v>
      </c>
    </row>
    <row r="2719">
      <c r="A2719" t="s">
        <v>17828</v>
      </c>
      <c r="B2719" t="s">
        <v>28</v>
      </c>
      <c r="C2719" t="s">
        <v>65</v>
      </c>
      <c r="D2719" t="s">
        <v>17829</v>
      </c>
      <c r="E2719" t="s">
        <v>3170</v>
      </c>
      <c r="F2719" t="s">
        <v>3152</v>
      </c>
      <c r="G2719" t="s">
        <v>3292</v>
      </c>
      <c r="H2719" t="n">
        <v>40.5825669348422</v>
      </c>
      <c r="I2719" t="n">
        <v>-105.028508966061</v>
      </c>
      <c r="J2719" t="s">
        <v>35</v>
      </c>
      <c r="K2719" t="s">
        <v>70</v>
      </c>
      <c r="L2719"/>
      <c r="M2719" t="n">
        <v>1983</v>
      </c>
      <c r="N2719" t="n">
        <v>1990</v>
      </c>
      <c r="O2719" t="s">
        <v>310</v>
      </c>
      <c r="P2719" t="n">
        <v>3</v>
      </c>
      <c r="Q2719" t="n">
        <v>2</v>
      </c>
      <c r="R2719" t="n">
        <v>2</v>
      </c>
      <c r="S2719" t="n">
        <v>1931</v>
      </c>
      <c r="T2719" t="s">
        <v>17830</v>
      </c>
      <c r="U2719" t="s">
        <v>17831</v>
      </c>
      <c r="V2719" t="s">
        <v>74</v>
      </c>
      <c r="W2719"/>
      <c r="X2719"/>
      <c r="Y2719" t="s">
        <v>17832</v>
      </c>
      <c r="Z2719"/>
      <c r="AA2719" t="s">
        <v>17833</v>
      </c>
      <c r="AB2719"/>
      <c r="AC2719"/>
      <c r="AD2719" t="s">
        <v>17834</v>
      </c>
      <c r="AE2719" t="n">
        <v>118</v>
      </c>
      <c r="AF2719" t="s">
        <v>17722</v>
      </c>
      <c r="AG2719" t="n">
        <v>21</v>
      </c>
    </row>
    <row r="2720">
      <c r="A2720" t="s">
        <v>17835</v>
      </c>
      <c r="B2720" t="s">
        <v>28</v>
      </c>
      <c r="C2720" t="s">
        <v>24</v>
      </c>
      <c r="D2720" t="s">
        <v>17836</v>
      </c>
      <c r="E2720" t="s">
        <v>3170</v>
      </c>
      <c r="F2720" t="s">
        <v>3152</v>
      </c>
      <c r="G2720" t="s">
        <v>3292</v>
      </c>
      <c r="H2720" t="n">
        <v>40.584247959596</v>
      </c>
      <c r="I2720" t="n">
        <v>-105.046357585859</v>
      </c>
      <c r="J2720" t="s">
        <v>4109</v>
      </c>
      <c r="K2720" t="s">
        <v>1282</v>
      </c>
      <c r="L2720"/>
      <c r="M2720" t="n">
        <v>1983</v>
      </c>
      <c r="N2720" t="n">
        <v>1990</v>
      </c>
      <c r="O2720" t="s">
        <v>283</v>
      </c>
      <c r="P2720" t="n">
        <v>3</v>
      </c>
      <c r="Q2720" t="n">
        <v>2</v>
      </c>
      <c r="R2720" t="n">
        <v>2</v>
      </c>
      <c r="S2720" t="n">
        <v>1936</v>
      </c>
      <c r="T2720" t="s">
        <v>17837</v>
      </c>
      <c r="U2720" t="s">
        <v>17838</v>
      </c>
      <c r="V2720" t="s">
        <v>74</v>
      </c>
      <c r="W2720"/>
      <c r="X2720"/>
      <c r="Y2720" t="s">
        <v>17839</v>
      </c>
      <c r="Z2720"/>
      <c r="AA2720"/>
      <c r="AB2720"/>
      <c r="AC2720"/>
      <c r="AD2720"/>
      <c r="AE2720"/>
      <c r="AF2720" t="s">
        <v>17840</v>
      </c>
      <c r="AG2720" t="n">
        <v>13</v>
      </c>
    </row>
    <row r="2721">
      <c r="A2721" t="s">
        <v>17841</v>
      </c>
      <c r="B2721" t="s">
        <v>28</v>
      </c>
      <c r="C2721" t="s">
        <v>24</v>
      </c>
      <c r="D2721" t="s">
        <v>17842</v>
      </c>
      <c r="E2721" t="s">
        <v>3151</v>
      </c>
      <c r="F2721" t="s">
        <v>3152</v>
      </c>
      <c r="G2721" t="s">
        <v>3163</v>
      </c>
      <c r="H2721" t="n">
        <v>40.40462465669</v>
      </c>
      <c r="I2721" t="n">
        <v>-104.950894116252</v>
      </c>
      <c r="J2721" t="s">
        <v>4109</v>
      </c>
      <c r="K2721" t="s">
        <v>796</v>
      </c>
      <c r="L2721"/>
      <c r="M2721" t="n">
        <v>1983</v>
      </c>
      <c r="N2721" t="n">
        <v>1992</v>
      </c>
      <c r="O2721" t="s">
        <v>357</v>
      </c>
      <c r="P2721" t="n">
        <v>3</v>
      </c>
      <c r="Q2721" t="n">
        <v>3</v>
      </c>
      <c r="R2721" t="n">
        <v>2</v>
      </c>
      <c r="S2721" t="n">
        <v>1972</v>
      </c>
      <c r="T2721" t="s">
        <v>17843</v>
      </c>
      <c r="U2721" t="s">
        <v>17844</v>
      </c>
      <c r="V2721" t="s">
        <v>74</v>
      </c>
      <c r="W2721"/>
      <c r="X2721"/>
      <c r="Y2721" t="s">
        <v>17845</v>
      </c>
      <c r="Z2721"/>
      <c r="AA2721" t="s">
        <v>17846</v>
      </c>
      <c r="AB2721"/>
      <c r="AC2721"/>
      <c r="AD2721"/>
      <c r="AE2721"/>
      <c r="AF2721" t="s">
        <v>17847</v>
      </c>
      <c r="AG2721" t="n">
        <v>62</v>
      </c>
    </row>
    <row r="2722">
      <c r="A2722" t="s">
        <v>17848</v>
      </c>
      <c r="B2722" t="s">
        <v>28</v>
      </c>
      <c r="C2722" t="s">
        <v>24</v>
      </c>
      <c r="D2722" t="s">
        <v>17849</v>
      </c>
      <c r="E2722" t="s">
        <v>3151</v>
      </c>
      <c r="F2722" t="s">
        <v>3152</v>
      </c>
      <c r="G2722" t="s">
        <v>3163</v>
      </c>
      <c r="H2722" t="n">
        <v>40.386323</v>
      </c>
      <c r="I2722" t="n">
        <v>-105.108864</v>
      </c>
      <c r="J2722" t="s">
        <v>4109</v>
      </c>
      <c r="K2722" t="s">
        <v>89</v>
      </c>
      <c r="L2722"/>
      <c r="M2722" t="n">
        <v>1983</v>
      </c>
      <c r="N2722" t="n">
        <v>1983</v>
      </c>
      <c r="O2722" t="s">
        <v>264</v>
      </c>
      <c r="P2722" t="n">
        <v>1</v>
      </c>
      <c r="Q2722" t="n">
        <v>1</v>
      </c>
      <c r="R2722" t="n">
        <v>1</v>
      </c>
      <c r="S2722" t="n">
        <v>1971</v>
      </c>
      <c r="T2722" t="s">
        <v>17850</v>
      </c>
      <c r="U2722" t="s">
        <v>17851</v>
      </c>
      <c r="V2722" t="s">
        <v>74</v>
      </c>
      <c r="W2722"/>
      <c r="X2722"/>
      <c r="Y2722" t="s">
        <v>17852</v>
      </c>
      <c r="Z2722"/>
      <c r="AA2722"/>
      <c r="AB2722"/>
      <c r="AC2722"/>
      <c r="AD2722"/>
      <c r="AE2722"/>
      <c r="AF2722" t="s">
        <v>17853</v>
      </c>
      <c r="AG2722" t="n">
        <v>207</v>
      </c>
    </row>
    <row r="2723">
      <c r="A2723" t="s">
        <v>17854</v>
      </c>
      <c r="B2723" t="s">
        <v>28</v>
      </c>
      <c r="C2723" t="s">
        <v>65</v>
      </c>
      <c r="D2723" t="s">
        <v>17855</v>
      </c>
      <c r="E2723" t="s">
        <v>3151</v>
      </c>
      <c r="F2723" t="s">
        <v>3152</v>
      </c>
      <c r="G2723" t="s">
        <v>3163</v>
      </c>
      <c r="H2723" t="n">
        <v>40.4071908657718</v>
      </c>
      <c r="I2723" t="n">
        <v>-105.09805852349</v>
      </c>
      <c r="J2723" t="s">
        <v>35</v>
      </c>
      <c r="K2723" t="s">
        <v>133</v>
      </c>
      <c r="L2723"/>
      <c r="M2723" t="n">
        <v>1983</v>
      </c>
      <c r="N2723" t="n">
        <v>1983</v>
      </c>
      <c r="O2723" t="s">
        <v>264</v>
      </c>
      <c r="P2723" t="n">
        <v>1</v>
      </c>
      <c r="Q2723" t="n">
        <v>1</v>
      </c>
      <c r="R2723" t="n">
        <v>1</v>
      </c>
      <c r="S2723" t="n">
        <v>1974</v>
      </c>
      <c r="T2723" t="s">
        <v>17856</v>
      </c>
      <c r="U2723" t="s">
        <v>17857</v>
      </c>
      <c r="V2723" t="s">
        <v>74</v>
      </c>
      <c r="W2723"/>
      <c r="X2723"/>
      <c r="Y2723" t="s">
        <v>17858</v>
      </c>
      <c r="Z2723"/>
      <c r="AA2723"/>
      <c r="AB2723" t="s">
        <v>3437</v>
      </c>
      <c r="AC2723" t="n">
        <v>230</v>
      </c>
      <c r="AD2723"/>
      <c r="AE2723"/>
      <c r="AF2723" t="s">
        <v>17859</v>
      </c>
      <c r="AG2723" t="n">
        <v>11</v>
      </c>
    </row>
    <row r="2724">
      <c r="A2724" t="s">
        <v>17860</v>
      </c>
      <c r="B2724" t="s">
        <v>28</v>
      </c>
      <c r="C2724" t="s">
        <v>65</v>
      </c>
      <c r="D2724" t="s">
        <v>17861</v>
      </c>
      <c r="E2724" t="s">
        <v>3278</v>
      </c>
      <c r="F2724" t="s">
        <v>3152</v>
      </c>
      <c r="G2724" t="s">
        <v>3279</v>
      </c>
      <c r="H2724" t="n">
        <v>40.3125715294059</v>
      </c>
      <c r="I2724" t="n">
        <v>-105.079409886574</v>
      </c>
      <c r="J2724" t="s">
        <v>35</v>
      </c>
      <c r="K2724" t="s">
        <v>70</v>
      </c>
      <c r="L2724"/>
      <c r="M2724" t="n">
        <v>1988</v>
      </c>
      <c r="N2724" t="n">
        <v>1992</v>
      </c>
      <c r="O2724" t="s">
        <v>320</v>
      </c>
      <c r="P2724" t="n">
        <v>3</v>
      </c>
      <c r="Q2724" t="n">
        <v>2</v>
      </c>
      <c r="R2724" t="n">
        <v>2</v>
      </c>
      <c r="S2724" t="n">
        <v>1964</v>
      </c>
      <c r="T2724" t="s">
        <v>17862</v>
      </c>
      <c r="U2724" t="s">
        <v>17863</v>
      </c>
      <c r="V2724" t="s">
        <v>74</v>
      </c>
      <c r="W2724"/>
      <c r="X2724"/>
      <c r="Y2724" t="s">
        <v>17864</v>
      </c>
      <c r="Z2724"/>
      <c r="AA2724"/>
      <c r="AB2724"/>
      <c r="AC2724"/>
      <c r="AD2724"/>
      <c r="AE2724"/>
      <c r="AF2724" t="s">
        <v>17760</v>
      </c>
      <c r="AG2724" t="n">
        <v>83</v>
      </c>
    </row>
    <row r="2725">
      <c r="A2725" t="s">
        <v>17865</v>
      </c>
      <c r="B2725" t="s">
        <v>28</v>
      </c>
      <c r="C2725" t="s">
        <v>65</v>
      </c>
      <c r="D2725" t="s">
        <v>17866</v>
      </c>
      <c r="E2725" t="s">
        <v>3170</v>
      </c>
      <c r="F2725" t="s">
        <v>3152</v>
      </c>
      <c r="G2725" t="s">
        <v>3292</v>
      </c>
      <c r="H2725" t="n">
        <v>40.5894739193028</v>
      </c>
      <c r="I2725" t="n">
        <v>-105.050492433965</v>
      </c>
      <c r="J2725" t="s">
        <v>35</v>
      </c>
      <c r="K2725" t="s">
        <v>89</v>
      </c>
      <c r="L2725"/>
      <c r="M2725" t="n">
        <v>1988</v>
      </c>
      <c r="N2725" t="n">
        <v>1990</v>
      </c>
      <c r="O2725" t="s">
        <v>351</v>
      </c>
      <c r="P2725" t="n">
        <v>2</v>
      </c>
      <c r="Q2725" t="n">
        <v>2</v>
      </c>
      <c r="R2725" t="n">
        <v>1</v>
      </c>
      <c r="S2725" t="n">
        <v>1981</v>
      </c>
      <c r="T2725" t="s">
        <v>17867</v>
      </c>
      <c r="U2725" t="s">
        <v>17868</v>
      </c>
      <c r="V2725" t="s">
        <v>74</v>
      </c>
      <c r="W2725"/>
      <c r="X2725"/>
      <c r="Y2725" t="s">
        <v>17869</v>
      </c>
      <c r="Z2725"/>
      <c r="AA2725"/>
      <c r="AB2725"/>
      <c r="AC2725"/>
      <c r="AD2725"/>
      <c r="AE2725"/>
      <c r="AF2725" t="s">
        <v>17870</v>
      </c>
      <c r="AG2725" t="n">
        <v>47</v>
      </c>
    </row>
    <row r="2726">
      <c r="A2726" t="s">
        <v>17871</v>
      </c>
      <c r="B2726" t="s">
        <v>28</v>
      </c>
      <c r="C2726" t="s">
        <v>65</v>
      </c>
      <c r="D2726" t="s">
        <v>17872</v>
      </c>
      <c r="E2726" t="s">
        <v>3170</v>
      </c>
      <c r="F2726" t="s">
        <v>3152</v>
      </c>
      <c r="G2726" t="s">
        <v>3332</v>
      </c>
      <c r="H2726" t="n">
        <v>40.5602615768493</v>
      </c>
      <c r="I2726" t="n">
        <v>-105.029143237461</v>
      </c>
      <c r="J2726" t="s">
        <v>35</v>
      </c>
      <c r="K2726" t="s">
        <v>120</v>
      </c>
      <c r="L2726"/>
      <c r="M2726" t="n">
        <v>1988</v>
      </c>
      <c r="N2726" t="n">
        <v>1990</v>
      </c>
      <c r="O2726" t="s">
        <v>325</v>
      </c>
      <c r="P2726" t="n">
        <v>2</v>
      </c>
      <c r="Q2726" t="n">
        <v>1</v>
      </c>
      <c r="R2726" t="n">
        <v>1</v>
      </c>
      <c r="S2726" t="n">
        <v>1983</v>
      </c>
      <c r="T2726" t="s">
        <v>17873</v>
      </c>
      <c r="U2726" t="s">
        <v>17874</v>
      </c>
      <c r="V2726" t="s">
        <v>74</v>
      </c>
      <c r="W2726"/>
      <c r="X2726"/>
      <c r="Y2726" t="s">
        <v>17875</v>
      </c>
      <c r="Z2726"/>
      <c r="AA2726"/>
      <c r="AB2726"/>
      <c r="AC2726"/>
      <c r="AD2726"/>
      <c r="AE2726"/>
      <c r="AF2726" t="s">
        <v>17876</v>
      </c>
      <c r="AG2726" t="n">
        <v>18</v>
      </c>
    </row>
    <row r="2727">
      <c r="A2727" t="s">
        <v>17877</v>
      </c>
      <c r="B2727" t="s">
        <v>28</v>
      </c>
      <c r="C2727" t="s">
        <v>65</v>
      </c>
      <c r="D2727" t="s">
        <v>17878</v>
      </c>
      <c r="E2727" t="s">
        <v>3170</v>
      </c>
      <c r="F2727" t="s">
        <v>3152</v>
      </c>
      <c r="G2727" t="s">
        <v>3364</v>
      </c>
      <c r="H2727" t="n">
        <v>40.5525981836735</v>
      </c>
      <c r="I2727" t="n">
        <v>-105.080146918367</v>
      </c>
      <c r="J2727" t="s">
        <v>35</v>
      </c>
      <c r="K2727" t="s">
        <v>315</v>
      </c>
      <c r="L2727"/>
      <c r="M2727" t="n">
        <v>1988</v>
      </c>
      <c r="N2727" t="n">
        <v>1992</v>
      </c>
      <c r="O2727" t="s">
        <v>1016</v>
      </c>
      <c r="P2727" t="n">
        <v>3</v>
      </c>
      <c r="Q2727" t="n">
        <v>2</v>
      </c>
      <c r="R2727" t="n">
        <v>1</v>
      </c>
      <c r="S2727" t="n">
        <v>1969</v>
      </c>
      <c r="T2727" t="s">
        <v>17879</v>
      </c>
      <c r="U2727" t="s">
        <v>17880</v>
      </c>
      <c r="V2727" t="s">
        <v>74</v>
      </c>
      <c r="W2727"/>
      <c r="X2727"/>
      <c r="Y2727" t="s">
        <v>17881</v>
      </c>
      <c r="Z2727"/>
      <c r="AA2727" t="s">
        <v>17882</v>
      </c>
      <c r="AB2727"/>
      <c r="AC2727"/>
      <c r="AD2727"/>
      <c r="AE2727"/>
      <c r="AF2727" t="s">
        <v>17883</v>
      </c>
      <c r="AG2727" t="n">
        <v>15</v>
      </c>
    </row>
    <row r="2728">
      <c r="A2728" t="s">
        <v>17884</v>
      </c>
      <c r="B2728" t="s">
        <v>28</v>
      </c>
      <c r="C2728" t="s">
        <v>65</v>
      </c>
      <c r="D2728" t="s">
        <v>17885</v>
      </c>
      <c r="E2728" t="s">
        <v>3170</v>
      </c>
      <c r="F2728" t="s">
        <v>3152</v>
      </c>
      <c r="G2728" t="s">
        <v>3292</v>
      </c>
      <c r="H2728" t="n">
        <v>40.59409675</v>
      </c>
      <c r="I2728" t="n">
        <v>-105.029420723684</v>
      </c>
      <c r="J2728" t="s">
        <v>35</v>
      </c>
      <c r="K2728" t="s">
        <v>81</v>
      </c>
      <c r="L2728"/>
      <c r="M2728" t="n">
        <v>1988</v>
      </c>
      <c r="N2728" t="n">
        <v>1990</v>
      </c>
      <c r="O2728" t="s">
        <v>310</v>
      </c>
      <c r="P2728" t="n">
        <v>2</v>
      </c>
      <c r="Q2728" t="n">
        <v>1</v>
      </c>
      <c r="R2728" t="n">
        <v>1</v>
      </c>
      <c r="S2728" t="n">
        <v>1970</v>
      </c>
      <c r="T2728" t="s">
        <v>17886</v>
      </c>
      <c r="U2728" t="s">
        <v>17887</v>
      </c>
      <c r="V2728" t="s">
        <v>74</v>
      </c>
      <c r="W2728"/>
      <c r="X2728"/>
      <c r="Y2728" t="s">
        <v>17888</v>
      </c>
      <c r="Z2728"/>
      <c r="AA2728"/>
      <c r="AB2728"/>
      <c r="AC2728"/>
      <c r="AD2728"/>
      <c r="AE2728"/>
      <c r="AF2728" t="s">
        <v>17889</v>
      </c>
      <c r="AG2728" t="n">
        <v>54</v>
      </c>
    </row>
    <row r="2729">
      <c r="A2729" t="s">
        <v>17890</v>
      </c>
      <c r="B2729" t="s">
        <v>28</v>
      </c>
      <c r="C2729" t="s">
        <v>65</v>
      </c>
      <c r="D2729" t="s">
        <v>17891</v>
      </c>
      <c r="E2729" t="s">
        <v>3170</v>
      </c>
      <c r="F2729" t="s">
        <v>3152</v>
      </c>
      <c r="G2729" t="s">
        <v>3332</v>
      </c>
      <c r="H2729" t="n">
        <v>40.5417287142857</v>
      </c>
      <c r="I2729" t="n">
        <v>-105.041496</v>
      </c>
      <c r="J2729" t="s">
        <v>35</v>
      </c>
      <c r="K2729" t="s">
        <v>988</v>
      </c>
      <c r="L2729"/>
      <c r="M2729" t="n">
        <v>1988</v>
      </c>
      <c r="N2729" t="n">
        <v>1992</v>
      </c>
      <c r="O2729" t="s">
        <v>320</v>
      </c>
      <c r="P2729" t="n">
        <v>3</v>
      </c>
      <c r="Q2729" t="n">
        <v>1</v>
      </c>
      <c r="R2729" t="n">
        <v>1</v>
      </c>
      <c r="S2729" t="n">
        <v>1969</v>
      </c>
      <c r="T2729" t="s">
        <v>17892</v>
      </c>
      <c r="U2729" t="s">
        <v>17893</v>
      </c>
      <c r="V2729" t="s">
        <v>74</v>
      </c>
      <c r="W2729"/>
      <c r="X2729"/>
      <c r="Y2729" t="s">
        <v>17894</v>
      </c>
      <c r="Z2729"/>
      <c r="AA2729" t="s">
        <v>17895</v>
      </c>
      <c r="AB2729" t="s">
        <v>17896</v>
      </c>
      <c r="AC2729" t="n">
        <v>113</v>
      </c>
      <c r="AD2729" t="s">
        <v>17897</v>
      </c>
      <c r="AE2729" t="n">
        <v>182</v>
      </c>
      <c r="AF2729" t="s">
        <v>17898</v>
      </c>
      <c r="AG2729" t="n">
        <v>19</v>
      </c>
    </row>
    <row r="2730">
      <c r="A2730" t="s">
        <v>17899</v>
      </c>
      <c r="B2730" t="s">
        <v>28</v>
      </c>
      <c r="C2730" t="s">
        <v>65</v>
      </c>
      <c r="D2730" t="s">
        <v>17900</v>
      </c>
      <c r="E2730" t="s">
        <v>3170</v>
      </c>
      <c r="F2730" t="s">
        <v>3152</v>
      </c>
      <c r="G2730" t="s">
        <v>3292</v>
      </c>
      <c r="H2730" t="n">
        <v>40.5897177467609</v>
      </c>
      <c r="I2730" t="n">
        <v>-105.046553878482</v>
      </c>
      <c r="J2730" t="s">
        <v>35</v>
      </c>
      <c r="K2730" t="s">
        <v>81</v>
      </c>
      <c r="L2730" t="s">
        <v>554</v>
      </c>
      <c r="M2730" t="n">
        <v>1988</v>
      </c>
      <c r="N2730" t="n">
        <v>1992</v>
      </c>
      <c r="O2730" t="s">
        <v>320</v>
      </c>
      <c r="P2730" t="n">
        <v>3</v>
      </c>
      <c r="Q2730" t="n">
        <v>4</v>
      </c>
      <c r="R2730" t="n">
        <v>3</v>
      </c>
      <c r="S2730" t="n">
        <v>1973</v>
      </c>
      <c r="T2730" t="s">
        <v>17901</v>
      </c>
      <c r="U2730" t="s">
        <v>17902</v>
      </c>
      <c r="V2730" t="s">
        <v>74</v>
      </c>
      <c r="W2730"/>
      <c r="X2730"/>
      <c r="Y2730" t="s">
        <v>17903</v>
      </c>
      <c r="Z2730"/>
      <c r="AA2730" t="s">
        <v>17904</v>
      </c>
      <c r="AB2730"/>
      <c r="AC2730"/>
      <c r="AD2730"/>
      <c r="AE2730"/>
      <c r="AF2730" t="s">
        <v>17905</v>
      </c>
      <c r="AG2730" t="n">
        <v>11</v>
      </c>
    </row>
    <row r="2731">
      <c r="A2731" t="s">
        <v>17906</v>
      </c>
      <c r="B2731" t="s">
        <v>28</v>
      </c>
      <c r="C2731" t="s">
        <v>65</v>
      </c>
      <c r="D2731" t="s">
        <v>17907</v>
      </c>
      <c r="E2731" t="s">
        <v>3151</v>
      </c>
      <c r="F2731" t="s">
        <v>3152</v>
      </c>
      <c r="G2731" t="s">
        <v>17908</v>
      </c>
      <c r="H2731" t="n">
        <v>40.4028758322148</v>
      </c>
      <c r="I2731" t="n">
        <v>-105.057924187919</v>
      </c>
      <c r="J2731" t="s">
        <v>35</v>
      </c>
      <c r="K2731" t="s">
        <v>133</v>
      </c>
      <c r="L2731"/>
      <c r="M2731" t="n">
        <v>1988</v>
      </c>
      <c r="N2731" t="n">
        <v>1988</v>
      </c>
      <c r="O2731" t="s">
        <v>325</v>
      </c>
      <c r="P2731" t="n">
        <v>1</v>
      </c>
      <c r="Q2731" t="n">
        <v>1</v>
      </c>
      <c r="R2731" t="n">
        <v>1</v>
      </c>
      <c r="S2731" t="n">
        <v>1986</v>
      </c>
      <c r="T2731" t="s">
        <v>17909</v>
      </c>
      <c r="U2731" t="s">
        <v>17910</v>
      </c>
      <c r="V2731" t="s">
        <v>74</v>
      </c>
      <c r="W2731"/>
      <c r="X2731"/>
      <c r="Y2731" t="s">
        <v>17911</v>
      </c>
      <c r="Z2731"/>
      <c r="AA2731"/>
      <c r="AB2731"/>
      <c r="AC2731"/>
      <c r="AD2731"/>
      <c r="AE2731"/>
      <c r="AF2731" t="s">
        <v>17912</v>
      </c>
      <c r="AG2731" t="n">
        <v>17</v>
      </c>
    </row>
    <row r="2732">
      <c r="A2732" t="s">
        <v>17913</v>
      </c>
      <c r="B2732" t="s">
        <v>28</v>
      </c>
      <c r="C2732" t="s">
        <v>65</v>
      </c>
      <c r="D2732" t="s">
        <v>17914</v>
      </c>
      <c r="E2732" t="s">
        <v>3151</v>
      </c>
      <c r="F2732" t="s">
        <v>3152</v>
      </c>
      <c r="G2732" t="s">
        <v>3163</v>
      </c>
      <c r="H2732" t="n">
        <v>40.4506030408163</v>
      </c>
      <c r="I2732" t="n">
        <v>-104.99404944898</v>
      </c>
      <c r="J2732" t="s">
        <v>35</v>
      </c>
      <c r="K2732" t="s">
        <v>220</v>
      </c>
      <c r="L2732"/>
      <c r="M2732" t="n">
        <v>1988</v>
      </c>
      <c r="N2732" t="n">
        <v>1990</v>
      </c>
      <c r="O2732" t="s">
        <v>310</v>
      </c>
      <c r="P2732" t="n">
        <v>2</v>
      </c>
      <c r="Q2732" t="n">
        <v>1</v>
      </c>
      <c r="R2732" t="n">
        <v>1</v>
      </c>
      <c r="S2732" t="n">
        <v>1982</v>
      </c>
      <c r="T2732" t="s">
        <v>17915</v>
      </c>
      <c r="U2732" t="s">
        <v>17916</v>
      </c>
      <c r="V2732" t="s">
        <v>74</v>
      </c>
      <c r="W2732"/>
      <c r="X2732"/>
      <c r="Y2732" t="s">
        <v>17917</v>
      </c>
      <c r="Z2732"/>
      <c r="AA2732"/>
      <c r="AB2732"/>
      <c r="AC2732"/>
      <c r="AD2732"/>
      <c r="AE2732"/>
      <c r="AF2732" t="s">
        <v>17918</v>
      </c>
      <c r="AG2732" t="n">
        <v>4</v>
      </c>
    </row>
    <row r="2733">
      <c r="A2733" t="s">
        <v>17919</v>
      </c>
      <c r="B2733" t="s">
        <v>28</v>
      </c>
      <c r="C2733" t="s">
        <v>24</v>
      </c>
      <c r="D2733" t="s">
        <v>17920</v>
      </c>
      <c r="E2733" t="s">
        <v>3151</v>
      </c>
      <c r="F2733" t="s">
        <v>3152</v>
      </c>
      <c r="G2733" t="s">
        <v>3163</v>
      </c>
      <c r="H2733" t="n">
        <v>40.3917489183673</v>
      </c>
      <c r="I2733" t="n">
        <v>-105.078163857143</v>
      </c>
      <c r="J2733" t="s">
        <v>4109</v>
      </c>
      <c r="K2733" t="s">
        <v>1041</v>
      </c>
      <c r="L2733" t="s">
        <v>2476</v>
      </c>
      <c r="M2733" t="n">
        <v>1988</v>
      </c>
      <c r="N2733" t="n">
        <v>1990</v>
      </c>
      <c r="O2733" t="s">
        <v>310</v>
      </c>
      <c r="P2733" t="n">
        <v>2</v>
      </c>
      <c r="Q2733" t="n">
        <v>1</v>
      </c>
      <c r="R2733" t="n">
        <v>1</v>
      </c>
      <c r="S2733" t="n">
        <v>1968</v>
      </c>
      <c r="T2733" t="s">
        <v>17921</v>
      </c>
      <c r="U2733" t="s">
        <v>17922</v>
      </c>
      <c r="V2733" t="s">
        <v>74</v>
      </c>
      <c r="W2733"/>
      <c r="X2733"/>
      <c r="Y2733" t="s">
        <v>17923</v>
      </c>
      <c r="Z2733"/>
      <c r="AA2733" t="s">
        <v>17924</v>
      </c>
      <c r="AB2733"/>
      <c r="AC2733"/>
      <c r="AD2733"/>
      <c r="AE2733"/>
      <c r="AF2733" t="s">
        <v>17795</v>
      </c>
      <c r="AG2733" t="n">
        <v>2</v>
      </c>
    </row>
    <row r="2734">
      <c r="A2734" t="s">
        <v>17925</v>
      </c>
      <c r="B2734" t="s">
        <v>28</v>
      </c>
      <c r="C2734" t="s">
        <v>65</v>
      </c>
      <c r="D2734" t="s">
        <v>17926</v>
      </c>
      <c r="E2734" t="s">
        <v>3151</v>
      </c>
      <c r="F2734" t="s">
        <v>3152</v>
      </c>
      <c r="G2734" t="s">
        <v>3163</v>
      </c>
      <c r="H2734" t="n">
        <v>40.445269</v>
      </c>
      <c r="I2734" t="n">
        <v>-105.001418</v>
      </c>
      <c r="J2734" t="s">
        <v>35</v>
      </c>
      <c r="K2734" t="s">
        <v>89</v>
      </c>
      <c r="L2734"/>
      <c r="M2734" t="n">
        <v>1988</v>
      </c>
      <c r="N2734" t="n">
        <v>1990</v>
      </c>
      <c r="O2734" t="s">
        <v>310</v>
      </c>
      <c r="P2734" t="n">
        <v>2</v>
      </c>
      <c r="Q2734" t="n">
        <v>2</v>
      </c>
      <c r="R2734" t="n">
        <v>2</v>
      </c>
      <c r="S2734" t="n">
        <v>1978</v>
      </c>
      <c r="T2734" t="s">
        <v>17927</v>
      </c>
      <c r="U2734" t="s">
        <v>17928</v>
      </c>
      <c r="V2734" t="s">
        <v>74</v>
      </c>
      <c r="W2734"/>
      <c r="X2734"/>
      <c r="Y2734" t="s">
        <v>17929</v>
      </c>
      <c r="Z2734"/>
      <c r="AA2734"/>
      <c r="AB2734"/>
      <c r="AC2734"/>
      <c r="AD2734"/>
      <c r="AE2734"/>
      <c r="AF2734" t="s">
        <v>17930</v>
      </c>
      <c r="AG2734" t="n">
        <v>163</v>
      </c>
    </row>
    <row r="2735">
      <c r="A2735" t="s">
        <v>17931</v>
      </c>
      <c r="B2735" t="s">
        <v>28</v>
      </c>
      <c r="C2735" t="s">
        <v>65</v>
      </c>
      <c r="D2735" t="s">
        <v>17932</v>
      </c>
      <c r="E2735" t="s">
        <v>3151</v>
      </c>
      <c r="F2735" t="s">
        <v>3152</v>
      </c>
      <c r="G2735" t="s">
        <v>3163</v>
      </c>
      <c r="H2735" t="n">
        <v>40.3782882352941</v>
      </c>
      <c r="I2735" t="n">
        <v>-105.085017764706</v>
      </c>
      <c r="J2735" t="s">
        <v>35</v>
      </c>
      <c r="K2735" t="s">
        <v>120</v>
      </c>
      <c r="L2735"/>
      <c r="M2735" t="n">
        <v>1988</v>
      </c>
      <c r="N2735" t="n">
        <v>1988</v>
      </c>
      <c r="O2735" t="s">
        <v>325</v>
      </c>
      <c r="P2735" t="n">
        <v>1</v>
      </c>
      <c r="Q2735" t="n">
        <v>1</v>
      </c>
      <c r="R2735" t="n">
        <v>1</v>
      </c>
      <c r="S2735" t="n">
        <v>1975</v>
      </c>
      <c r="T2735" t="s">
        <v>17933</v>
      </c>
      <c r="U2735" t="s">
        <v>17934</v>
      </c>
      <c r="V2735" t="s">
        <v>74</v>
      </c>
      <c r="W2735"/>
      <c r="X2735"/>
      <c r="Y2735" t="s">
        <v>17935</v>
      </c>
      <c r="Z2735"/>
      <c r="AA2735" t="s">
        <v>17936</v>
      </c>
      <c r="AB2735"/>
      <c r="AC2735"/>
      <c r="AD2735"/>
      <c r="AE2735"/>
      <c r="AF2735" t="s">
        <v>17937</v>
      </c>
      <c r="AG2735" t="n">
        <v>39</v>
      </c>
    </row>
    <row r="2736">
      <c r="A2736" t="s">
        <v>17938</v>
      </c>
      <c r="B2736" t="s">
        <v>28</v>
      </c>
      <c r="C2736" t="s">
        <v>65</v>
      </c>
      <c r="D2736" t="s">
        <v>17939</v>
      </c>
      <c r="E2736" t="s">
        <v>3170</v>
      </c>
      <c r="F2736" t="s">
        <v>3152</v>
      </c>
      <c r="G2736" t="s">
        <v>3292</v>
      </c>
      <c r="H2736" t="n">
        <v>40.5879822581242</v>
      </c>
      <c r="I2736" t="n">
        <v>-105.03259977093</v>
      </c>
      <c r="J2736" t="s">
        <v>35</v>
      </c>
      <c r="K2736" t="s">
        <v>81</v>
      </c>
      <c r="L2736"/>
      <c r="M2736" t="n">
        <v>1990</v>
      </c>
      <c r="N2736" t="n">
        <v>1990</v>
      </c>
      <c r="O2736" t="s">
        <v>351</v>
      </c>
      <c r="P2736" t="n">
        <v>1</v>
      </c>
      <c r="Q2736" t="n">
        <v>1</v>
      </c>
      <c r="R2736" t="n">
        <v>1</v>
      </c>
      <c r="S2736" t="n">
        <v>1981</v>
      </c>
      <c r="T2736" t="s">
        <v>17940</v>
      </c>
      <c r="U2736" t="s">
        <v>17941</v>
      </c>
      <c r="V2736" t="s">
        <v>74</v>
      </c>
      <c r="W2736"/>
      <c r="X2736"/>
      <c r="Y2736" t="s">
        <v>17942</v>
      </c>
      <c r="Z2736"/>
      <c r="AA2736"/>
      <c r="AB2736"/>
      <c r="AC2736"/>
      <c r="AD2736"/>
      <c r="AE2736"/>
      <c r="AF2736" t="s">
        <v>17943</v>
      </c>
      <c r="AG2736" t="n">
        <v>46</v>
      </c>
    </row>
    <row r="2737">
      <c r="A2737" t="s">
        <v>17944</v>
      </c>
      <c r="B2737" t="s">
        <v>28</v>
      </c>
      <c r="C2737" t="s">
        <v>65</v>
      </c>
      <c r="D2737" t="s">
        <v>17945</v>
      </c>
      <c r="E2737" t="s">
        <v>3170</v>
      </c>
      <c r="F2737" t="s">
        <v>3152</v>
      </c>
      <c r="G2737" t="s">
        <v>3332</v>
      </c>
      <c r="H2737" t="n">
        <v>40.560606503901</v>
      </c>
      <c r="I2737" t="n">
        <v>-105.029664693787</v>
      </c>
      <c r="J2737" t="s">
        <v>35</v>
      </c>
      <c r="K2737" t="s">
        <v>120</v>
      </c>
      <c r="L2737"/>
      <c r="M2737" t="n">
        <v>1990</v>
      </c>
      <c r="N2737" t="n">
        <v>1990</v>
      </c>
      <c r="O2737" t="s">
        <v>351</v>
      </c>
      <c r="P2737" t="n">
        <v>1</v>
      </c>
      <c r="Q2737" t="n">
        <v>1</v>
      </c>
      <c r="R2737" t="n">
        <v>1</v>
      </c>
      <c r="S2737" t="n">
        <v>1981</v>
      </c>
      <c r="T2737" t="s">
        <v>17946</v>
      </c>
      <c r="U2737" t="s">
        <v>17947</v>
      </c>
      <c r="V2737" t="s">
        <v>74</v>
      </c>
      <c r="W2737"/>
      <c r="X2737"/>
      <c r="Y2737" t="s">
        <v>17948</v>
      </c>
      <c r="Z2737"/>
      <c r="AA2737"/>
      <c r="AB2737"/>
      <c r="AC2737"/>
      <c r="AD2737"/>
      <c r="AE2737"/>
      <c r="AF2737" t="s">
        <v>17949</v>
      </c>
      <c r="AG2737" t="n">
        <v>34</v>
      </c>
    </row>
    <row r="2738">
      <c r="A2738" t="s">
        <v>17950</v>
      </c>
      <c r="B2738" t="s">
        <v>28</v>
      </c>
      <c r="C2738" t="s">
        <v>24</v>
      </c>
      <c r="D2738" t="s">
        <v>17951</v>
      </c>
      <c r="E2738" t="s">
        <v>3151</v>
      </c>
      <c r="F2738" t="s">
        <v>3152</v>
      </c>
      <c r="G2738" t="s">
        <v>3429</v>
      </c>
      <c r="H2738" t="n">
        <v>40.434495</v>
      </c>
      <c r="I2738" t="n">
        <v>-105.077407</v>
      </c>
      <c r="J2738" t="s">
        <v>4109</v>
      </c>
      <c r="K2738" t="s">
        <v>133</v>
      </c>
      <c r="L2738"/>
      <c r="M2738" t="n">
        <v>1990</v>
      </c>
      <c r="N2738" t="n">
        <v>1990</v>
      </c>
      <c r="O2738" t="s">
        <v>351</v>
      </c>
      <c r="P2738" t="n">
        <v>1</v>
      </c>
      <c r="Q2738" t="n">
        <v>1</v>
      </c>
      <c r="R2738" t="n">
        <v>1</v>
      </c>
      <c r="S2738" t="n">
        <v>1985</v>
      </c>
      <c r="T2738" t="s">
        <v>17952</v>
      </c>
      <c r="U2738" t="s">
        <v>17953</v>
      </c>
      <c r="V2738" t="s">
        <v>74</v>
      </c>
      <c r="W2738"/>
      <c r="X2738"/>
      <c r="Y2738" t="s">
        <v>17954</v>
      </c>
      <c r="Z2738"/>
      <c r="AA2738" t="s">
        <v>17955</v>
      </c>
      <c r="AB2738"/>
      <c r="AC2738"/>
      <c r="AD2738"/>
      <c r="AE2738"/>
      <c r="AF2738" t="s">
        <v>17956</v>
      </c>
      <c r="AG2738" t="n">
        <v>193</v>
      </c>
    </row>
    <row r="2739">
      <c r="A2739" t="s">
        <v>17957</v>
      </c>
      <c r="B2739" t="s">
        <v>28</v>
      </c>
      <c r="C2739" t="s">
        <v>65</v>
      </c>
      <c r="D2739" t="s">
        <v>17958</v>
      </c>
      <c r="E2739" t="s">
        <v>3151</v>
      </c>
      <c r="F2739" t="s">
        <v>3152</v>
      </c>
      <c r="G2739" t="s">
        <v>3163</v>
      </c>
      <c r="H2739" t="n">
        <v>40.4024429236905</v>
      </c>
      <c r="I2739" t="n">
        <v>-105.042726058918</v>
      </c>
      <c r="J2739" t="s">
        <v>35</v>
      </c>
      <c r="K2739" t="s">
        <v>89</v>
      </c>
      <c r="L2739"/>
      <c r="M2739" t="n">
        <v>1990</v>
      </c>
      <c r="N2739" t="n">
        <v>1990</v>
      </c>
      <c r="O2739" t="s">
        <v>351</v>
      </c>
      <c r="P2739" t="n">
        <v>1</v>
      </c>
      <c r="Q2739" t="n">
        <v>1</v>
      </c>
      <c r="R2739" t="n">
        <v>1</v>
      </c>
      <c r="S2739" t="n">
        <v>1982</v>
      </c>
      <c r="T2739" t="s">
        <v>17959</v>
      </c>
      <c r="U2739" t="s">
        <v>17960</v>
      </c>
      <c r="V2739" t="s">
        <v>74</v>
      </c>
      <c r="W2739"/>
      <c r="X2739"/>
      <c r="Y2739" t="s">
        <v>17961</v>
      </c>
      <c r="Z2739"/>
      <c r="AA2739"/>
      <c r="AB2739"/>
      <c r="AC2739"/>
      <c r="AD2739"/>
      <c r="AE2739"/>
      <c r="AF2739" t="s">
        <v>17962</v>
      </c>
      <c r="AG2739" t="n">
        <v>13</v>
      </c>
    </row>
    <row r="2740">
      <c r="A2740" t="s">
        <v>17963</v>
      </c>
      <c r="B2740" t="s">
        <v>28</v>
      </c>
      <c r="C2740" t="s">
        <v>24</v>
      </c>
      <c r="D2740" t="s">
        <v>17964</v>
      </c>
      <c r="E2740" t="s">
        <v>4847</v>
      </c>
      <c r="F2740" t="s">
        <v>4848</v>
      </c>
      <c r="G2740" t="s">
        <v>4849</v>
      </c>
      <c r="H2740" t="n">
        <v>39.268091</v>
      </c>
      <c r="I2740" t="n">
        <v>-103.681414</v>
      </c>
      <c r="J2740" t="s">
        <v>4109</v>
      </c>
      <c r="K2740" t="s">
        <v>282</v>
      </c>
      <c r="L2740" t="s">
        <v>98</v>
      </c>
      <c r="M2740" t="n">
        <v>1990</v>
      </c>
      <c r="N2740" t="n">
        <v>1992</v>
      </c>
      <c r="O2740" t="s">
        <v>1016</v>
      </c>
      <c r="P2740" t="n">
        <v>2</v>
      </c>
      <c r="Q2740" t="n">
        <v>1</v>
      </c>
      <c r="R2740" t="n">
        <v>1</v>
      </c>
      <c r="S2740" t="n">
        <v>1974</v>
      </c>
      <c r="T2740" t="s">
        <v>17965</v>
      </c>
      <c r="U2740" t="s">
        <v>17966</v>
      </c>
      <c r="V2740" t="s">
        <v>74</v>
      </c>
      <c r="W2740"/>
      <c r="X2740"/>
      <c r="Y2740" t="s">
        <v>17967</v>
      </c>
      <c r="Z2740"/>
      <c r="AA2740"/>
      <c r="AB2740"/>
      <c r="AC2740"/>
      <c r="AD2740"/>
      <c r="AE2740"/>
      <c r="AF2740" t="s">
        <v>17968</v>
      </c>
      <c r="AG2740" t="n">
        <v>216</v>
      </c>
    </row>
    <row r="2741">
      <c r="A2741" t="s">
        <v>17969</v>
      </c>
      <c r="B2741" t="s">
        <v>28</v>
      </c>
      <c r="C2741" t="s">
        <v>65</v>
      </c>
      <c r="D2741" t="s">
        <v>17970</v>
      </c>
      <c r="E2741" t="s">
        <v>3454</v>
      </c>
      <c r="F2741" t="s">
        <v>3455</v>
      </c>
      <c r="G2741"/>
      <c r="H2741" t="n">
        <v>40.6232679370519</v>
      </c>
      <c r="I2741" t="n">
        <v>-103.206103654202</v>
      </c>
      <c r="J2741" t="s">
        <v>35</v>
      </c>
      <c r="K2741" t="s">
        <v>70</v>
      </c>
      <c r="L2741"/>
      <c r="M2741" t="n">
        <v>1965</v>
      </c>
      <c r="N2741" t="n">
        <v>1974</v>
      </c>
      <c r="O2741" t="s">
        <v>17971</v>
      </c>
      <c r="P2741" t="n">
        <v>3</v>
      </c>
      <c r="Q2741" t="n">
        <v>1</v>
      </c>
      <c r="R2741" t="n">
        <v>1</v>
      </c>
      <c r="S2741" t="n">
        <v>1932</v>
      </c>
      <c r="T2741" t="s">
        <v>17972</v>
      </c>
      <c r="U2741" t="s">
        <v>17973</v>
      </c>
      <c r="V2741" t="s">
        <v>74</v>
      </c>
      <c r="W2741"/>
      <c r="X2741"/>
      <c r="Y2741" t="s">
        <v>17974</v>
      </c>
      <c r="Z2741"/>
      <c r="AA2741"/>
      <c r="AB2741" t="s">
        <v>17975</v>
      </c>
      <c r="AC2741" t="n">
        <v>181</v>
      </c>
      <c r="AD2741"/>
      <c r="AE2741"/>
      <c r="AF2741" t="s">
        <v>10463</v>
      </c>
      <c r="AG2741" t="n">
        <v>22</v>
      </c>
    </row>
    <row r="2742">
      <c r="A2742" t="s">
        <v>17976</v>
      </c>
      <c r="B2742" t="s">
        <v>28</v>
      </c>
      <c r="C2742" t="s">
        <v>65</v>
      </c>
      <c r="D2742" t="s">
        <v>17977</v>
      </c>
      <c r="E2742" t="s">
        <v>3454</v>
      </c>
      <c r="F2742" t="s">
        <v>3455</v>
      </c>
      <c r="G2742" t="s">
        <v>3456</v>
      </c>
      <c r="H2742" t="n">
        <v>40.6217761637222</v>
      </c>
      <c r="I2742" t="n">
        <v>-103.203594125432</v>
      </c>
      <c r="J2742" t="s">
        <v>35</v>
      </c>
      <c r="K2742" t="s">
        <v>120</v>
      </c>
      <c r="L2742"/>
      <c r="M2742" t="n">
        <v>1983</v>
      </c>
      <c r="N2742" t="n">
        <v>1983</v>
      </c>
      <c r="O2742" t="s">
        <v>264</v>
      </c>
      <c r="P2742" t="n">
        <v>1</v>
      </c>
      <c r="Q2742" t="n">
        <v>1</v>
      </c>
      <c r="R2742" t="n">
        <v>1</v>
      </c>
      <c r="S2742" t="n">
        <v>1943</v>
      </c>
      <c r="T2742" t="s">
        <v>17978</v>
      </c>
      <c r="U2742" t="s">
        <v>17979</v>
      </c>
      <c r="V2742" t="s">
        <v>74</v>
      </c>
      <c r="W2742"/>
      <c r="X2742"/>
      <c r="Y2742" t="s">
        <v>17980</v>
      </c>
      <c r="Z2742"/>
      <c r="AA2742"/>
      <c r="AB2742"/>
      <c r="AC2742"/>
      <c r="AD2742"/>
      <c r="AE2742"/>
      <c r="AF2742" t="s">
        <v>17981</v>
      </c>
      <c r="AG2742" t="n">
        <v>72</v>
      </c>
    </row>
    <row r="2743">
      <c r="A2743" t="s">
        <v>17982</v>
      </c>
      <c r="B2743" t="s">
        <v>28</v>
      </c>
      <c r="C2743" t="s">
        <v>24</v>
      </c>
      <c r="D2743" t="s">
        <v>17983</v>
      </c>
      <c r="E2743" t="s">
        <v>3461</v>
      </c>
      <c r="F2743" t="s">
        <v>3462</v>
      </c>
      <c r="G2743"/>
      <c r="H2743" t="n">
        <v>39.0809565956053</v>
      </c>
      <c r="I2743" t="n">
        <v>-108.577910403217</v>
      </c>
      <c r="J2743" t="s">
        <v>4109</v>
      </c>
      <c r="K2743" t="s">
        <v>120</v>
      </c>
      <c r="L2743"/>
      <c r="M2743" t="n">
        <v>1965</v>
      </c>
      <c r="N2743" t="n">
        <v>1965</v>
      </c>
      <c r="O2743" t="s">
        <v>1275</v>
      </c>
      <c r="P2743" t="n">
        <v>1</v>
      </c>
      <c r="Q2743" t="n">
        <v>1</v>
      </c>
      <c r="R2743" t="n">
        <v>1</v>
      </c>
      <c r="S2743"/>
      <c r="T2743" t="s">
        <v>17984</v>
      </c>
      <c r="U2743" t="s">
        <v>17985</v>
      </c>
      <c r="V2743" t="s">
        <v>74</v>
      </c>
      <c r="W2743"/>
      <c r="X2743"/>
      <c r="Y2743" t="s">
        <v>17986</v>
      </c>
      <c r="Z2743"/>
      <c r="AA2743" t="s">
        <v>17987</v>
      </c>
      <c r="AB2743"/>
      <c r="AC2743"/>
      <c r="AD2743"/>
      <c r="AE2743"/>
      <c r="AF2743" t="s">
        <v>17988</v>
      </c>
      <c r="AG2743" t="n">
        <v>16</v>
      </c>
    </row>
    <row r="2744">
      <c r="A2744" t="s">
        <v>17989</v>
      </c>
      <c r="B2744" t="s">
        <v>28</v>
      </c>
      <c r="C2744" t="s">
        <v>24</v>
      </c>
      <c r="D2744" t="s">
        <v>17990</v>
      </c>
      <c r="E2744" t="s">
        <v>3461</v>
      </c>
      <c r="F2744" t="s">
        <v>3462</v>
      </c>
      <c r="G2744"/>
      <c r="H2744" t="n">
        <v>39.0653590503353</v>
      </c>
      <c r="I2744" t="n">
        <v>-108.56422428303</v>
      </c>
      <c r="J2744" t="s">
        <v>4109</v>
      </c>
      <c r="K2744" t="s">
        <v>220</v>
      </c>
      <c r="L2744"/>
      <c r="M2744" t="n">
        <v>1965</v>
      </c>
      <c r="N2744" t="n">
        <v>1977</v>
      </c>
      <c r="O2744" t="s">
        <v>4315</v>
      </c>
      <c r="P2744" t="n">
        <v>4</v>
      </c>
      <c r="Q2744" t="n">
        <v>3</v>
      </c>
      <c r="R2744" t="n">
        <v>1</v>
      </c>
      <c r="S2744" t="n">
        <v>1960</v>
      </c>
      <c r="T2744" t="s">
        <v>17991</v>
      </c>
      <c r="U2744" t="s">
        <v>17992</v>
      </c>
      <c r="V2744" t="s">
        <v>74</v>
      </c>
      <c r="W2744"/>
      <c r="X2744"/>
      <c r="Y2744" t="s">
        <v>17993</v>
      </c>
      <c r="Z2744"/>
      <c r="AA2744" t="s">
        <v>17994</v>
      </c>
      <c r="AB2744" t="s">
        <v>3476</v>
      </c>
      <c r="AC2744" t="n">
        <v>133</v>
      </c>
      <c r="AD2744"/>
      <c r="AE2744"/>
      <c r="AF2744" t="s">
        <v>17995</v>
      </c>
      <c r="AG2744" t="n">
        <v>5</v>
      </c>
    </row>
    <row r="2745">
      <c r="A2745" t="s">
        <v>17996</v>
      </c>
      <c r="B2745" t="s">
        <v>28</v>
      </c>
      <c r="C2745" t="s">
        <v>65</v>
      </c>
      <c r="D2745" t="s">
        <v>17997</v>
      </c>
      <c r="E2745" t="s">
        <v>3461</v>
      </c>
      <c r="F2745" t="s">
        <v>3462</v>
      </c>
      <c r="G2745"/>
      <c r="H2745" t="n">
        <v>39.077387</v>
      </c>
      <c r="I2745" t="n">
        <v>-108.541648757576</v>
      </c>
      <c r="J2745" t="s">
        <v>35</v>
      </c>
      <c r="K2745" t="s">
        <v>315</v>
      </c>
      <c r="L2745"/>
      <c r="M2745" t="n">
        <v>1965</v>
      </c>
      <c r="N2745" t="n">
        <v>1965</v>
      </c>
      <c r="O2745" t="s">
        <v>1275</v>
      </c>
      <c r="P2745" t="n">
        <v>1</v>
      </c>
      <c r="Q2745" t="n">
        <v>1</v>
      </c>
      <c r="R2745" t="n">
        <v>1</v>
      </c>
      <c r="S2745"/>
      <c r="T2745" t="s">
        <v>17998</v>
      </c>
      <c r="U2745" t="s">
        <v>17999</v>
      </c>
      <c r="V2745" t="s">
        <v>74</v>
      </c>
      <c r="W2745"/>
      <c r="X2745"/>
      <c r="Y2745" t="s">
        <v>18000</v>
      </c>
      <c r="Z2745"/>
      <c r="AA2745" t="s">
        <v>18001</v>
      </c>
      <c r="AB2745" t="s">
        <v>18002</v>
      </c>
      <c r="AC2745" t="n">
        <v>108</v>
      </c>
      <c r="AD2745"/>
      <c r="AE2745"/>
      <c r="AF2745" t="s">
        <v>18003</v>
      </c>
      <c r="AG2745" t="n">
        <v>29</v>
      </c>
    </row>
    <row r="2746">
      <c r="A2746" t="s">
        <v>18004</v>
      </c>
      <c r="B2746" t="s">
        <v>28</v>
      </c>
      <c r="C2746" t="s">
        <v>65</v>
      </c>
      <c r="D2746" t="s">
        <v>18005</v>
      </c>
      <c r="E2746" t="s">
        <v>3461</v>
      </c>
      <c r="F2746" t="s">
        <v>3462</v>
      </c>
      <c r="G2746"/>
      <c r="H2746" t="n">
        <v>39.0643588463357</v>
      </c>
      <c r="I2746" t="n">
        <v>-108.562729915348</v>
      </c>
      <c r="J2746" t="s">
        <v>35</v>
      </c>
      <c r="K2746" t="s">
        <v>141</v>
      </c>
      <c r="L2746"/>
      <c r="M2746" t="n">
        <v>1965</v>
      </c>
      <c r="N2746" t="n">
        <v>1977</v>
      </c>
      <c r="O2746" t="s">
        <v>228</v>
      </c>
      <c r="P2746" t="n">
        <v>5</v>
      </c>
      <c r="Q2746" t="n">
        <v>2</v>
      </c>
      <c r="R2746" t="n">
        <v>1</v>
      </c>
      <c r="S2746" t="n">
        <v>1910</v>
      </c>
      <c r="T2746" t="s">
        <v>18006</v>
      </c>
      <c r="U2746" t="s">
        <v>18007</v>
      </c>
      <c r="V2746" t="s">
        <v>74</v>
      </c>
      <c r="W2746"/>
      <c r="X2746"/>
      <c r="Y2746" t="s">
        <v>18008</v>
      </c>
      <c r="Z2746"/>
      <c r="AA2746"/>
      <c r="AB2746" t="s">
        <v>3476</v>
      </c>
      <c r="AC2746" t="n">
        <v>217</v>
      </c>
      <c r="AD2746"/>
      <c r="AE2746"/>
      <c r="AF2746" t="s">
        <v>18009</v>
      </c>
      <c r="AG2746" t="n">
        <v>27</v>
      </c>
    </row>
    <row r="2747">
      <c r="A2747" t="s">
        <v>18010</v>
      </c>
      <c r="B2747" t="s">
        <v>28</v>
      </c>
      <c r="C2747" t="s">
        <v>65</v>
      </c>
      <c r="D2747" t="s">
        <v>18011</v>
      </c>
      <c r="E2747" t="s">
        <v>3461</v>
      </c>
      <c r="F2747" t="s">
        <v>3462</v>
      </c>
      <c r="G2747"/>
      <c r="H2747" t="n">
        <v>39.0635368443303</v>
      </c>
      <c r="I2747" t="n">
        <v>-108.573228816096</v>
      </c>
      <c r="J2747" t="s">
        <v>35</v>
      </c>
      <c r="K2747" t="s">
        <v>70</v>
      </c>
      <c r="L2747"/>
      <c r="M2747" t="n">
        <v>1965</v>
      </c>
      <c r="N2747" t="n">
        <v>1983</v>
      </c>
      <c r="O2747" t="s">
        <v>3473</v>
      </c>
      <c r="P2747" t="n">
        <v>5</v>
      </c>
      <c r="Q2747" t="n">
        <v>4</v>
      </c>
      <c r="R2747" t="n">
        <v>3</v>
      </c>
      <c r="S2747" t="n">
        <v>1958</v>
      </c>
      <c r="T2747" t="s">
        <v>18012</v>
      </c>
      <c r="U2747" t="s">
        <v>18013</v>
      </c>
      <c r="V2747" t="s">
        <v>74</v>
      </c>
      <c r="W2747"/>
      <c r="X2747"/>
      <c r="Y2747" t="s">
        <v>18014</v>
      </c>
      <c r="Z2747"/>
      <c r="AA2747" t="s">
        <v>18015</v>
      </c>
      <c r="AB2747"/>
      <c r="AC2747"/>
      <c r="AD2747"/>
      <c r="AE2747"/>
      <c r="AF2747" t="s">
        <v>18016</v>
      </c>
      <c r="AG2747" t="n">
        <v>3</v>
      </c>
    </row>
    <row r="2748">
      <c r="A2748" t="s">
        <v>18017</v>
      </c>
      <c r="B2748" t="s">
        <v>28</v>
      </c>
      <c r="C2748" t="s">
        <v>65</v>
      </c>
      <c r="D2748" t="s">
        <v>18018</v>
      </c>
      <c r="E2748" t="s">
        <v>3461</v>
      </c>
      <c r="F2748" t="s">
        <v>3462</v>
      </c>
      <c r="G2748" t="s">
        <v>3487</v>
      </c>
      <c r="H2748" t="n">
        <v>39.114392</v>
      </c>
      <c r="I2748" t="n">
        <v>-108.589518</v>
      </c>
      <c r="J2748" t="s">
        <v>35</v>
      </c>
      <c r="K2748" t="s">
        <v>4870</v>
      </c>
      <c r="L2748"/>
      <c r="M2748" t="n">
        <v>1965</v>
      </c>
      <c r="N2748" t="n">
        <v>1983</v>
      </c>
      <c r="O2748" t="s">
        <v>18019</v>
      </c>
      <c r="P2748" t="n">
        <v>4</v>
      </c>
      <c r="Q2748" t="n">
        <v>2</v>
      </c>
      <c r="R2748" t="n">
        <v>2</v>
      </c>
      <c r="S2748"/>
      <c r="T2748" t="s">
        <v>18020</v>
      </c>
      <c r="U2748" t="s">
        <v>18021</v>
      </c>
      <c r="V2748" t="s">
        <v>74</v>
      </c>
      <c r="W2748"/>
      <c r="X2748"/>
      <c r="Y2748" t="s">
        <v>18022</v>
      </c>
      <c r="Z2748"/>
      <c r="AA2748"/>
      <c r="AB2748"/>
      <c r="AC2748"/>
      <c r="AD2748"/>
      <c r="AE2748"/>
      <c r="AF2748" t="s">
        <v>18023</v>
      </c>
      <c r="AG2748" t="n">
        <v>3</v>
      </c>
    </row>
    <row r="2749">
      <c r="A2749" t="s">
        <v>18024</v>
      </c>
      <c r="B2749" t="s">
        <v>28</v>
      </c>
      <c r="C2749" t="s">
        <v>65</v>
      </c>
      <c r="D2749" t="s">
        <v>18025</v>
      </c>
      <c r="E2749" t="s">
        <v>3461</v>
      </c>
      <c r="F2749" t="s">
        <v>3462</v>
      </c>
      <c r="G2749" t="s">
        <v>3480</v>
      </c>
      <c r="H2749" t="n">
        <v>39.0809797999812</v>
      </c>
      <c r="I2749" t="n">
        <v>-108.579375576924</v>
      </c>
      <c r="J2749" t="s">
        <v>35</v>
      </c>
      <c r="K2749" t="s">
        <v>796</v>
      </c>
      <c r="L2749"/>
      <c r="M2749" t="n">
        <v>1966</v>
      </c>
      <c r="N2749" t="n">
        <v>1990</v>
      </c>
      <c r="O2749" t="s">
        <v>255</v>
      </c>
      <c r="P2749" t="n">
        <v>6</v>
      </c>
      <c r="Q2749" t="n">
        <v>6</v>
      </c>
      <c r="R2749" t="n">
        <v>1</v>
      </c>
      <c r="S2749" t="n">
        <v>1945</v>
      </c>
      <c r="T2749" t="s">
        <v>18026</v>
      </c>
      <c r="U2749" t="s">
        <v>18027</v>
      </c>
      <c r="V2749" t="s">
        <v>74</v>
      </c>
      <c r="W2749"/>
      <c r="X2749"/>
      <c r="Y2749" t="s">
        <v>18028</v>
      </c>
      <c r="Z2749"/>
      <c r="AA2749" t="s">
        <v>18029</v>
      </c>
      <c r="AB2749"/>
      <c r="AC2749"/>
      <c r="AD2749"/>
      <c r="AE2749"/>
      <c r="AF2749" t="s">
        <v>18030</v>
      </c>
      <c r="AG2749" t="n">
        <v>67</v>
      </c>
    </row>
    <row r="2750">
      <c r="A2750" t="s">
        <v>18031</v>
      </c>
      <c r="B2750" t="s">
        <v>28</v>
      </c>
      <c r="C2750" t="s">
        <v>65</v>
      </c>
      <c r="D2750" t="s">
        <v>18032</v>
      </c>
      <c r="E2750" t="s">
        <v>3461</v>
      </c>
      <c r="F2750" t="s">
        <v>3462</v>
      </c>
      <c r="G2750" t="s">
        <v>3487</v>
      </c>
      <c r="H2750" t="n">
        <v>39.0650101059072</v>
      </c>
      <c r="I2750" t="n">
        <v>-108.56954583554</v>
      </c>
      <c r="J2750" t="s">
        <v>35</v>
      </c>
      <c r="K2750" t="s">
        <v>767</v>
      </c>
      <c r="L2750"/>
      <c r="M2750" t="n">
        <v>1966</v>
      </c>
      <c r="N2750" t="n">
        <v>1980</v>
      </c>
      <c r="O2750" t="s">
        <v>18033</v>
      </c>
      <c r="P2750" t="n">
        <v>6</v>
      </c>
      <c r="Q2750" t="n">
        <v>2</v>
      </c>
      <c r="R2750" t="n">
        <v>2</v>
      </c>
      <c r="S2750" t="n">
        <v>1973</v>
      </c>
      <c r="T2750" t="s">
        <v>18034</v>
      </c>
      <c r="U2750" t="s">
        <v>18035</v>
      </c>
      <c r="V2750" t="s">
        <v>74</v>
      </c>
      <c r="W2750"/>
      <c r="X2750"/>
      <c r="Y2750" t="s">
        <v>18036</v>
      </c>
      <c r="Z2750"/>
      <c r="AA2750"/>
      <c r="AB2750"/>
      <c r="AC2750"/>
      <c r="AD2750"/>
      <c r="AE2750"/>
      <c r="AF2750" t="s">
        <v>18037</v>
      </c>
      <c r="AG2750" t="n">
        <v>32</v>
      </c>
    </row>
    <row r="2751">
      <c r="A2751" t="s">
        <v>18038</v>
      </c>
      <c r="B2751" t="s">
        <v>28</v>
      </c>
      <c r="C2751" t="s">
        <v>65</v>
      </c>
      <c r="D2751" t="s">
        <v>18039</v>
      </c>
      <c r="E2751" t="s">
        <v>3461</v>
      </c>
      <c r="F2751" t="s">
        <v>3462</v>
      </c>
      <c r="G2751" t="s">
        <v>3487</v>
      </c>
      <c r="H2751" t="n">
        <v>39.0773225220472</v>
      </c>
      <c r="I2751" t="n">
        <v>-108.514873179801</v>
      </c>
      <c r="J2751" t="s">
        <v>35</v>
      </c>
      <c r="K2751" t="s">
        <v>282</v>
      </c>
      <c r="L2751"/>
      <c r="M2751" t="n">
        <v>1966</v>
      </c>
      <c r="N2751" t="n">
        <v>1983</v>
      </c>
      <c r="O2751" t="s">
        <v>255</v>
      </c>
      <c r="P2751" t="n">
        <v>6</v>
      </c>
      <c r="Q2751" t="n">
        <v>4</v>
      </c>
      <c r="R2751" t="n">
        <v>1</v>
      </c>
      <c r="S2751" t="n">
        <v>1962</v>
      </c>
      <c r="T2751" t="s">
        <v>18040</v>
      </c>
      <c r="U2751" t="s">
        <v>18041</v>
      </c>
      <c r="V2751" t="s">
        <v>74</v>
      </c>
      <c r="W2751"/>
      <c r="X2751"/>
      <c r="Y2751" t="s">
        <v>18042</v>
      </c>
      <c r="Z2751"/>
      <c r="AA2751" t="s">
        <v>18043</v>
      </c>
      <c r="AB2751" t="s">
        <v>18044</v>
      </c>
      <c r="AC2751" t="n">
        <v>204</v>
      </c>
      <c r="AD2751"/>
      <c r="AE2751"/>
      <c r="AF2751" t="s">
        <v>18045</v>
      </c>
      <c r="AG2751" t="n">
        <v>39</v>
      </c>
    </row>
    <row r="2752">
      <c r="A2752" t="s">
        <v>18046</v>
      </c>
      <c r="B2752" t="s">
        <v>28</v>
      </c>
      <c r="C2752" t="s">
        <v>25</v>
      </c>
      <c r="D2752" t="s">
        <v>18047</v>
      </c>
      <c r="E2752" t="s">
        <v>3461</v>
      </c>
      <c r="F2752" t="s">
        <v>3462</v>
      </c>
      <c r="G2752" t="s">
        <v>3487</v>
      </c>
      <c r="H2752" t="n">
        <v>39.077402</v>
      </c>
      <c r="I2752" t="n">
        <v>-108.557683</v>
      </c>
      <c r="J2752" t="s">
        <v>4109</v>
      </c>
      <c r="K2752" t="s">
        <v>70</v>
      </c>
      <c r="L2752"/>
      <c r="M2752" t="n">
        <v>1966</v>
      </c>
      <c r="N2752" t="n">
        <v>1966</v>
      </c>
      <c r="O2752" t="s">
        <v>4172</v>
      </c>
      <c r="P2752" t="n">
        <v>1</v>
      </c>
      <c r="Q2752" t="n">
        <v>1</v>
      </c>
      <c r="R2752" t="n">
        <v>1</v>
      </c>
      <c r="S2752" t="n">
        <v>1907</v>
      </c>
      <c r="T2752" t="s">
        <v>18048</v>
      </c>
      <c r="U2752" t="s">
        <v>18049</v>
      </c>
      <c r="V2752" t="s">
        <v>4175</v>
      </c>
      <c r="W2752"/>
      <c r="X2752"/>
      <c r="Y2752" t="s">
        <v>18050</v>
      </c>
      <c r="Z2752" t="s">
        <v>18051</v>
      </c>
      <c r="AA2752" t="s">
        <v>18052</v>
      </c>
      <c r="AB2752"/>
      <c r="AC2752"/>
      <c r="AD2752"/>
      <c r="AE2752"/>
      <c r="AF2752" t="s">
        <v>3502</v>
      </c>
      <c r="AG2752" t="n">
        <v>80</v>
      </c>
    </row>
    <row r="2753">
      <c r="A2753" t="s">
        <v>18053</v>
      </c>
      <c r="B2753" t="s">
        <v>28</v>
      </c>
      <c r="C2753" t="s">
        <v>24</v>
      </c>
      <c r="D2753" t="s">
        <v>18054</v>
      </c>
      <c r="E2753" t="s">
        <v>3461</v>
      </c>
      <c r="F2753" t="s">
        <v>3462</v>
      </c>
      <c r="G2753" t="s">
        <v>3487</v>
      </c>
      <c r="H2753" t="n">
        <v>39.073951</v>
      </c>
      <c r="I2753" t="n">
        <v>-108.573975</v>
      </c>
      <c r="J2753" t="s">
        <v>4109</v>
      </c>
      <c r="K2753" t="s">
        <v>70</v>
      </c>
      <c r="L2753"/>
      <c r="M2753" t="n">
        <v>1966</v>
      </c>
      <c r="N2753" t="n">
        <v>1968</v>
      </c>
      <c r="O2753" t="s">
        <v>1556</v>
      </c>
      <c r="P2753" t="n">
        <v>2</v>
      </c>
      <c r="Q2753" t="n">
        <v>1</v>
      </c>
      <c r="R2753" t="n">
        <v>1</v>
      </c>
      <c r="S2753" t="n">
        <v>1953</v>
      </c>
      <c r="T2753" t="s">
        <v>18055</v>
      </c>
      <c r="U2753" t="s">
        <v>18056</v>
      </c>
      <c r="V2753" t="s">
        <v>74</v>
      </c>
      <c r="W2753"/>
      <c r="X2753"/>
      <c r="Y2753" t="s">
        <v>18057</v>
      </c>
      <c r="Z2753"/>
      <c r="AA2753"/>
      <c r="AB2753"/>
      <c r="AC2753"/>
      <c r="AD2753"/>
      <c r="AE2753"/>
      <c r="AF2753" t="s">
        <v>18058</v>
      </c>
      <c r="AG2753" t="n">
        <v>144</v>
      </c>
    </row>
    <row r="2754">
      <c r="A2754" t="s">
        <v>18059</v>
      </c>
      <c r="B2754" t="s">
        <v>28</v>
      </c>
      <c r="C2754" t="s">
        <v>65</v>
      </c>
      <c r="D2754" t="s">
        <v>18060</v>
      </c>
      <c r="E2754" t="s">
        <v>3461</v>
      </c>
      <c r="F2754" t="s">
        <v>3462</v>
      </c>
      <c r="G2754" t="s">
        <v>3487</v>
      </c>
      <c r="H2754" t="n">
        <v>39.0583960020055</v>
      </c>
      <c r="I2754" t="n">
        <v>-108.558879760606</v>
      </c>
      <c r="J2754" t="s">
        <v>35</v>
      </c>
      <c r="K2754" t="s">
        <v>120</v>
      </c>
      <c r="L2754"/>
      <c r="M2754" t="n">
        <v>1966</v>
      </c>
      <c r="N2754" t="n">
        <v>1990</v>
      </c>
      <c r="O2754" t="s">
        <v>18061</v>
      </c>
      <c r="P2754" t="n">
        <v>5</v>
      </c>
      <c r="Q2754" t="n">
        <v>3</v>
      </c>
      <c r="R2754" t="n">
        <v>2</v>
      </c>
      <c r="S2754" t="n">
        <v>1949</v>
      </c>
      <c r="T2754" t="s">
        <v>18062</v>
      </c>
      <c r="U2754" t="s">
        <v>18063</v>
      </c>
      <c r="V2754" t="s">
        <v>74</v>
      </c>
      <c r="W2754"/>
      <c r="X2754"/>
      <c r="Y2754" t="s">
        <v>18064</v>
      </c>
      <c r="Z2754"/>
      <c r="AA2754"/>
      <c r="AB2754" t="s">
        <v>10262</v>
      </c>
      <c r="AC2754" t="n">
        <v>206</v>
      </c>
      <c r="AD2754" t="s">
        <v>3469</v>
      </c>
      <c r="AE2754" t="n">
        <v>131</v>
      </c>
      <c r="AF2754" t="s">
        <v>18065</v>
      </c>
      <c r="AG2754" t="n">
        <v>18</v>
      </c>
    </row>
    <row r="2755">
      <c r="A2755" t="s">
        <v>18066</v>
      </c>
      <c r="B2755" t="s">
        <v>28</v>
      </c>
      <c r="C2755" t="s">
        <v>65</v>
      </c>
      <c r="D2755" t="s">
        <v>18067</v>
      </c>
      <c r="E2755" t="s">
        <v>3461</v>
      </c>
      <c r="F2755" t="s">
        <v>3462</v>
      </c>
      <c r="G2755" t="s">
        <v>3487</v>
      </c>
      <c r="H2755" t="n">
        <v>39.0673165467046</v>
      </c>
      <c r="I2755" t="n">
        <v>-108.542807837838</v>
      </c>
      <c r="J2755" t="s">
        <v>35</v>
      </c>
      <c r="K2755" t="s">
        <v>141</v>
      </c>
      <c r="L2755" t="s">
        <v>18068</v>
      </c>
      <c r="M2755" t="n">
        <v>1967</v>
      </c>
      <c r="N2755" t="n">
        <v>1992</v>
      </c>
      <c r="O2755" t="s">
        <v>18069</v>
      </c>
      <c r="P2755" t="n">
        <v>8</v>
      </c>
      <c r="Q2755" t="n">
        <v>4</v>
      </c>
      <c r="R2755" t="n">
        <v>3</v>
      </c>
      <c r="S2755" t="n">
        <v>1960</v>
      </c>
      <c r="T2755" t="s">
        <v>18070</v>
      </c>
      <c r="U2755" t="s">
        <v>18071</v>
      </c>
      <c r="V2755" t="s">
        <v>74</v>
      </c>
      <c r="W2755"/>
      <c r="X2755"/>
      <c r="Y2755" t="s">
        <v>18072</v>
      </c>
      <c r="Z2755"/>
      <c r="AA2755" t="s">
        <v>18073</v>
      </c>
      <c r="AB2755"/>
      <c r="AC2755"/>
      <c r="AD2755"/>
      <c r="AE2755"/>
      <c r="AF2755" t="s">
        <v>18074</v>
      </c>
      <c r="AG2755" t="n">
        <v>37</v>
      </c>
    </row>
    <row r="2756">
      <c r="A2756" t="s">
        <v>18075</v>
      </c>
      <c r="B2756" t="s">
        <v>28</v>
      </c>
      <c r="C2756" t="s">
        <v>65</v>
      </c>
      <c r="D2756" t="s">
        <v>18076</v>
      </c>
      <c r="E2756" t="s">
        <v>3461</v>
      </c>
      <c r="F2756" t="s">
        <v>3462</v>
      </c>
      <c r="G2756" t="s">
        <v>3487</v>
      </c>
      <c r="H2756" t="n">
        <v>39.070324722253</v>
      </c>
      <c r="I2756" t="n">
        <v>-108.571623142752</v>
      </c>
      <c r="J2756" t="s">
        <v>35</v>
      </c>
      <c r="K2756" t="s">
        <v>70</v>
      </c>
      <c r="L2756"/>
      <c r="M2756" t="n">
        <v>1967</v>
      </c>
      <c r="N2756" t="n">
        <v>1970</v>
      </c>
      <c r="O2756" t="s">
        <v>409</v>
      </c>
      <c r="P2756" t="n">
        <v>2</v>
      </c>
      <c r="Q2756" t="n">
        <v>1</v>
      </c>
      <c r="R2756" t="n">
        <v>1</v>
      </c>
      <c r="S2756" t="n">
        <v>1957</v>
      </c>
      <c r="T2756" t="s">
        <v>18077</v>
      </c>
      <c r="U2756" t="s">
        <v>18078</v>
      </c>
      <c r="V2756" t="s">
        <v>74</v>
      </c>
      <c r="W2756"/>
      <c r="X2756"/>
      <c r="Y2756" t="s">
        <v>18079</v>
      </c>
      <c r="Z2756"/>
      <c r="AA2756"/>
      <c r="AB2756"/>
      <c r="AC2756"/>
      <c r="AD2756"/>
      <c r="AE2756"/>
      <c r="AF2756" t="s">
        <v>18080</v>
      </c>
      <c r="AG2756" t="n">
        <v>2</v>
      </c>
    </row>
    <row r="2757">
      <c r="A2757" t="s">
        <v>18081</v>
      </c>
      <c r="B2757" t="s">
        <v>28</v>
      </c>
      <c r="C2757" t="s">
        <v>24</v>
      </c>
      <c r="D2757" t="s">
        <v>18082</v>
      </c>
      <c r="E2757" t="s">
        <v>3461</v>
      </c>
      <c r="F2757" t="s">
        <v>3462</v>
      </c>
      <c r="G2757" t="s">
        <v>3487</v>
      </c>
      <c r="H2757" t="n">
        <v>39.080623</v>
      </c>
      <c r="I2757" t="n">
        <v>-108.583527</v>
      </c>
      <c r="J2757" t="s">
        <v>4109</v>
      </c>
      <c r="K2757" t="s">
        <v>89</v>
      </c>
      <c r="L2757"/>
      <c r="M2757" t="n">
        <v>1970</v>
      </c>
      <c r="N2757" t="n">
        <v>1992</v>
      </c>
      <c r="O2757" t="s">
        <v>8636</v>
      </c>
      <c r="P2757" t="n">
        <v>6</v>
      </c>
      <c r="Q2757" t="n">
        <v>5</v>
      </c>
      <c r="R2757" t="n">
        <v>3</v>
      </c>
      <c r="S2757" t="n">
        <v>1950</v>
      </c>
      <c r="T2757" t="s">
        <v>18083</v>
      </c>
      <c r="U2757" t="s">
        <v>18084</v>
      </c>
      <c r="V2757" t="s">
        <v>74</v>
      </c>
      <c r="W2757"/>
      <c r="X2757"/>
      <c r="Y2757" t="s">
        <v>18085</v>
      </c>
      <c r="Z2757"/>
      <c r="AA2757" t="s">
        <v>18086</v>
      </c>
      <c r="AB2757"/>
      <c r="AC2757"/>
      <c r="AD2757"/>
      <c r="AE2757"/>
      <c r="AF2757" t="s">
        <v>18087</v>
      </c>
      <c r="AG2757" t="n">
        <v>109</v>
      </c>
    </row>
    <row r="2758">
      <c r="A2758" t="s">
        <v>18088</v>
      </c>
      <c r="B2758" t="s">
        <v>28</v>
      </c>
      <c r="C2758" t="s">
        <v>65</v>
      </c>
      <c r="D2758" t="s">
        <v>18089</v>
      </c>
      <c r="E2758" t="s">
        <v>3461</v>
      </c>
      <c r="F2758" t="s">
        <v>3462</v>
      </c>
      <c r="G2758" t="s">
        <v>3487</v>
      </c>
      <c r="H2758" t="n">
        <v>39.077361</v>
      </c>
      <c r="I2758" t="n">
        <v>-108.524456</v>
      </c>
      <c r="J2758" t="s">
        <v>35</v>
      </c>
      <c r="K2758" t="s">
        <v>120</v>
      </c>
      <c r="L2758"/>
      <c r="M2758" t="n">
        <v>1973</v>
      </c>
      <c r="N2758" t="n">
        <v>1974</v>
      </c>
      <c r="O2758" t="s">
        <v>121</v>
      </c>
      <c r="P2758" t="n">
        <v>2</v>
      </c>
      <c r="Q2758" t="n">
        <v>2</v>
      </c>
      <c r="R2758" t="n">
        <v>1</v>
      </c>
      <c r="S2758" t="n">
        <v>1948</v>
      </c>
      <c r="T2758" t="s">
        <v>18090</v>
      </c>
      <c r="U2758" t="s">
        <v>18091</v>
      </c>
      <c r="V2758" t="s">
        <v>74</v>
      </c>
      <c r="W2758"/>
      <c r="X2758"/>
      <c r="Y2758" t="s">
        <v>18092</v>
      </c>
      <c r="Z2758"/>
      <c r="AA2758"/>
      <c r="AB2758"/>
      <c r="AC2758"/>
      <c r="AD2758"/>
      <c r="AE2758"/>
      <c r="AF2758" t="s">
        <v>18093</v>
      </c>
      <c r="AG2758" t="n">
        <v>7</v>
      </c>
    </row>
    <row r="2759">
      <c r="A2759" t="s">
        <v>18094</v>
      </c>
      <c r="B2759" t="s">
        <v>28</v>
      </c>
      <c r="C2759" t="s">
        <v>65</v>
      </c>
      <c r="D2759" t="s">
        <v>18095</v>
      </c>
      <c r="E2759" t="s">
        <v>3461</v>
      </c>
      <c r="F2759" t="s">
        <v>3462</v>
      </c>
      <c r="G2759" t="s">
        <v>3487</v>
      </c>
      <c r="H2759" t="n">
        <v>39.0620686714767</v>
      </c>
      <c r="I2759" t="n">
        <v>-108.561023797643</v>
      </c>
      <c r="J2759" t="s">
        <v>35</v>
      </c>
      <c r="K2759" t="s">
        <v>315</v>
      </c>
      <c r="L2759" t="s">
        <v>202</v>
      </c>
      <c r="M2759" t="n">
        <v>1973</v>
      </c>
      <c r="N2759" t="n">
        <v>1990</v>
      </c>
      <c r="O2759" t="s">
        <v>8406</v>
      </c>
      <c r="P2759" t="n">
        <v>7</v>
      </c>
      <c r="Q2759" t="n">
        <v>3</v>
      </c>
      <c r="R2759" t="n">
        <v>1</v>
      </c>
      <c r="S2759" t="n">
        <v>1963</v>
      </c>
      <c r="T2759" t="s">
        <v>18096</v>
      </c>
      <c r="U2759" t="s">
        <v>18097</v>
      </c>
      <c r="V2759" t="s">
        <v>74</v>
      </c>
      <c r="W2759"/>
      <c r="X2759"/>
      <c r="Y2759" t="s">
        <v>18098</v>
      </c>
      <c r="Z2759"/>
      <c r="AA2759" t="s">
        <v>18099</v>
      </c>
      <c r="AB2759" t="s">
        <v>18100</v>
      </c>
      <c r="AC2759" t="n">
        <v>155</v>
      </c>
      <c r="AD2759" t="s">
        <v>18101</v>
      </c>
      <c r="AE2759" t="n">
        <v>212</v>
      </c>
      <c r="AF2759" t="s">
        <v>18102</v>
      </c>
      <c r="AG2759" t="n">
        <v>42</v>
      </c>
    </row>
    <row r="2760">
      <c r="A2760" t="s">
        <v>18103</v>
      </c>
      <c r="B2760" t="s">
        <v>28</v>
      </c>
      <c r="C2760" t="s">
        <v>65</v>
      </c>
      <c r="D2760" t="s">
        <v>18104</v>
      </c>
      <c r="E2760" t="s">
        <v>3461</v>
      </c>
      <c r="F2760" t="s">
        <v>3462</v>
      </c>
      <c r="G2760" t="s">
        <v>3487</v>
      </c>
      <c r="H2760" t="n">
        <v>39.0792214248631</v>
      </c>
      <c r="I2760" t="n">
        <v>-108.564464397767</v>
      </c>
      <c r="J2760" t="s">
        <v>35</v>
      </c>
      <c r="K2760" t="s">
        <v>70</v>
      </c>
      <c r="L2760"/>
      <c r="M2760" t="n">
        <v>1973</v>
      </c>
      <c r="N2760" t="n">
        <v>1973</v>
      </c>
      <c r="O2760" t="s">
        <v>121</v>
      </c>
      <c r="P2760" t="n">
        <v>1</v>
      </c>
      <c r="Q2760" t="n">
        <v>1</v>
      </c>
      <c r="R2760" t="n">
        <v>1</v>
      </c>
      <c r="S2760" t="n">
        <v>1907</v>
      </c>
      <c r="T2760" t="s">
        <v>18105</v>
      </c>
      <c r="U2760" t="s">
        <v>18106</v>
      </c>
      <c r="V2760" t="s">
        <v>74</v>
      </c>
      <c r="W2760"/>
      <c r="X2760"/>
      <c r="Y2760" t="s">
        <v>18107</v>
      </c>
      <c r="Z2760"/>
      <c r="AA2760"/>
      <c r="AB2760" t="s">
        <v>18108</v>
      </c>
      <c r="AC2760" t="n">
        <v>250</v>
      </c>
      <c r="AD2760"/>
      <c r="AE2760"/>
      <c r="AF2760" t="s">
        <v>18109</v>
      </c>
      <c r="AG2760" t="n">
        <v>79</v>
      </c>
    </row>
    <row r="2761">
      <c r="A2761" t="s">
        <v>18110</v>
      </c>
      <c r="B2761" t="s">
        <v>28</v>
      </c>
      <c r="C2761" t="s">
        <v>65</v>
      </c>
      <c r="D2761" t="s">
        <v>18111</v>
      </c>
      <c r="E2761" t="s">
        <v>3461</v>
      </c>
      <c r="F2761" t="s">
        <v>3462</v>
      </c>
      <c r="G2761" t="s">
        <v>3487</v>
      </c>
      <c r="H2761" t="n">
        <v>39.06439218416</v>
      </c>
      <c r="I2761" t="n">
        <v>-108.567719123047</v>
      </c>
      <c r="J2761" t="s">
        <v>35</v>
      </c>
      <c r="K2761" t="s">
        <v>133</v>
      </c>
      <c r="L2761" t="s">
        <v>554</v>
      </c>
      <c r="M2761" t="n">
        <v>1973</v>
      </c>
      <c r="N2761" t="n">
        <v>1973</v>
      </c>
      <c r="O2761" t="s">
        <v>121</v>
      </c>
      <c r="P2761" t="n">
        <v>1</v>
      </c>
      <c r="Q2761" t="n">
        <v>1</v>
      </c>
      <c r="R2761" t="n">
        <v>1</v>
      </c>
      <c r="S2761" t="n">
        <v>1970</v>
      </c>
      <c r="T2761" t="s">
        <v>18112</v>
      </c>
      <c r="U2761" t="s">
        <v>18113</v>
      </c>
      <c r="V2761" t="s">
        <v>74</v>
      </c>
      <c r="W2761"/>
      <c r="X2761"/>
      <c r="Y2761" t="s">
        <v>18114</v>
      </c>
      <c r="Z2761"/>
      <c r="AA2761"/>
      <c r="AB2761"/>
      <c r="AC2761"/>
      <c r="AD2761"/>
      <c r="AE2761"/>
      <c r="AF2761" t="s">
        <v>12327</v>
      </c>
      <c r="AG2761" t="n">
        <v>34</v>
      </c>
    </row>
    <row r="2762">
      <c r="A2762" t="s">
        <v>18115</v>
      </c>
      <c r="B2762" t="s">
        <v>28</v>
      </c>
      <c r="C2762" t="s">
        <v>65</v>
      </c>
      <c r="D2762" t="s">
        <v>18116</v>
      </c>
      <c r="E2762" t="s">
        <v>3550</v>
      </c>
      <c r="F2762" t="s">
        <v>3462</v>
      </c>
      <c r="G2762" t="s">
        <v>3551</v>
      </c>
      <c r="H2762" t="n">
        <v>39.091717</v>
      </c>
      <c r="I2762" t="n">
        <v>-108.431722</v>
      </c>
      <c r="J2762" t="s">
        <v>35</v>
      </c>
      <c r="K2762" t="s">
        <v>282</v>
      </c>
      <c r="L2762"/>
      <c r="M2762" t="n">
        <v>1974</v>
      </c>
      <c r="N2762" t="n">
        <v>1980</v>
      </c>
      <c r="O2762" t="s">
        <v>221</v>
      </c>
      <c r="P2762" t="n">
        <v>2</v>
      </c>
      <c r="Q2762" t="n">
        <v>1</v>
      </c>
      <c r="R2762" t="n">
        <v>1</v>
      </c>
      <c r="S2762" t="n">
        <v>1957</v>
      </c>
      <c r="T2762" t="s">
        <v>18117</v>
      </c>
      <c r="U2762" t="s">
        <v>18118</v>
      </c>
      <c r="V2762" t="s">
        <v>74</v>
      </c>
      <c r="W2762"/>
      <c r="X2762"/>
      <c r="Y2762" t="s">
        <v>18119</v>
      </c>
      <c r="Z2762"/>
      <c r="AA2762"/>
      <c r="AB2762"/>
      <c r="AC2762"/>
      <c r="AD2762"/>
      <c r="AE2762"/>
      <c r="AF2762" t="s">
        <v>18120</v>
      </c>
      <c r="AG2762" t="n">
        <v>16</v>
      </c>
    </row>
    <row r="2763">
      <c r="A2763" t="s">
        <v>18121</v>
      </c>
      <c r="B2763" t="s">
        <v>28</v>
      </c>
      <c r="C2763" t="s">
        <v>24</v>
      </c>
      <c r="D2763" t="s">
        <v>18122</v>
      </c>
      <c r="E2763" t="s">
        <v>3461</v>
      </c>
      <c r="F2763" t="s">
        <v>3462</v>
      </c>
      <c r="G2763" t="s">
        <v>3487</v>
      </c>
      <c r="H2763" t="n">
        <v>39.0493365862763</v>
      </c>
      <c r="I2763" t="n">
        <v>-108.559941201781</v>
      </c>
      <c r="J2763" t="s">
        <v>4109</v>
      </c>
      <c r="K2763" t="s">
        <v>70</v>
      </c>
      <c r="L2763"/>
      <c r="M2763" t="n">
        <v>1974</v>
      </c>
      <c r="N2763" t="n">
        <v>1988</v>
      </c>
      <c r="O2763" t="s">
        <v>1895</v>
      </c>
      <c r="P2763" t="n">
        <v>5</v>
      </c>
      <c r="Q2763" t="n">
        <v>1</v>
      </c>
      <c r="R2763" t="n">
        <v>1</v>
      </c>
      <c r="S2763" t="n">
        <v>1957</v>
      </c>
      <c r="T2763" t="s">
        <v>18123</v>
      </c>
      <c r="U2763" t="s">
        <v>18124</v>
      </c>
      <c r="V2763" t="s">
        <v>74</v>
      </c>
      <c r="W2763"/>
      <c r="X2763"/>
      <c r="Y2763" t="s">
        <v>18125</v>
      </c>
      <c r="Z2763"/>
      <c r="AA2763"/>
      <c r="AB2763"/>
      <c r="AC2763"/>
      <c r="AD2763"/>
      <c r="AE2763"/>
      <c r="AF2763" t="s">
        <v>18126</v>
      </c>
      <c r="AG2763" t="n">
        <v>207</v>
      </c>
    </row>
    <row r="2764">
      <c r="A2764" t="s">
        <v>18127</v>
      </c>
      <c r="B2764" t="s">
        <v>28</v>
      </c>
      <c r="C2764" t="s">
        <v>65</v>
      </c>
      <c r="D2764" t="s">
        <v>18128</v>
      </c>
      <c r="E2764" t="s">
        <v>3461</v>
      </c>
      <c r="F2764" t="s">
        <v>3462</v>
      </c>
      <c r="G2764" t="s">
        <v>3487</v>
      </c>
      <c r="H2764" t="n">
        <v>39.0634322338212</v>
      </c>
      <c r="I2764" t="n">
        <v>-108.563890631852</v>
      </c>
      <c r="J2764" t="s">
        <v>35</v>
      </c>
      <c r="K2764" t="s">
        <v>1041</v>
      </c>
      <c r="L2764"/>
      <c r="M2764" t="n">
        <v>1977</v>
      </c>
      <c r="N2764" t="n">
        <v>1983</v>
      </c>
      <c r="O2764" t="s">
        <v>264</v>
      </c>
      <c r="P2764" t="n">
        <v>2</v>
      </c>
      <c r="Q2764" t="n">
        <v>2</v>
      </c>
      <c r="R2764" t="n">
        <v>1</v>
      </c>
      <c r="S2764" t="n">
        <v>1976</v>
      </c>
      <c r="T2764" t="s">
        <v>18129</v>
      </c>
      <c r="U2764" t="s">
        <v>18130</v>
      </c>
      <c r="V2764" t="s">
        <v>74</v>
      </c>
      <c r="W2764"/>
      <c r="X2764"/>
      <c r="Y2764" t="s">
        <v>18131</v>
      </c>
      <c r="Z2764"/>
      <c r="AA2764"/>
      <c r="AB2764" t="s">
        <v>18100</v>
      </c>
      <c r="AC2764" t="n">
        <v>161</v>
      </c>
      <c r="AD2764"/>
      <c r="AE2764"/>
      <c r="AF2764" t="s">
        <v>18132</v>
      </c>
      <c r="AG2764" t="n">
        <v>3</v>
      </c>
    </row>
    <row r="2765">
      <c r="A2765" t="s">
        <v>18133</v>
      </c>
      <c r="B2765" t="s">
        <v>28</v>
      </c>
      <c r="C2765" t="s">
        <v>24</v>
      </c>
      <c r="D2765" t="s">
        <v>18134</v>
      </c>
      <c r="E2765" t="s">
        <v>3492</v>
      </c>
      <c r="F2765" t="s">
        <v>3462</v>
      </c>
      <c r="G2765" t="s">
        <v>3493</v>
      </c>
      <c r="H2765" t="n">
        <v>39.1534932857143</v>
      </c>
      <c r="I2765" t="n">
        <v>-108.723491571429</v>
      </c>
      <c r="J2765" t="s">
        <v>4109</v>
      </c>
      <c r="K2765" t="s">
        <v>70</v>
      </c>
      <c r="L2765"/>
      <c r="M2765" t="n">
        <v>1980</v>
      </c>
      <c r="N2765" t="n">
        <v>1980</v>
      </c>
      <c r="O2765" t="s">
        <v>255</v>
      </c>
      <c r="P2765" t="n">
        <v>1</v>
      </c>
      <c r="Q2765" t="n">
        <v>1</v>
      </c>
      <c r="R2765" t="n">
        <v>1</v>
      </c>
      <c r="S2765"/>
      <c r="T2765" t="s">
        <v>18135</v>
      </c>
      <c r="U2765" t="s">
        <v>18136</v>
      </c>
      <c r="V2765" t="s">
        <v>74</v>
      </c>
      <c r="W2765"/>
      <c r="X2765"/>
      <c r="Y2765" t="s">
        <v>18137</v>
      </c>
      <c r="Z2765"/>
      <c r="AA2765"/>
      <c r="AB2765"/>
      <c r="AC2765"/>
      <c r="AD2765"/>
      <c r="AE2765"/>
      <c r="AF2765" t="s">
        <v>3598</v>
      </c>
      <c r="AG2765" t="n">
        <v>134</v>
      </c>
    </row>
    <row r="2766">
      <c r="A2766" t="s">
        <v>18138</v>
      </c>
      <c r="B2766" t="s">
        <v>28</v>
      </c>
      <c r="C2766" t="s">
        <v>65</v>
      </c>
      <c r="D2766" t="s">
        <v>18139</v>
      </c>
      <c r="E2766" t="s">
        <v>3461</v>
      </c>
      <c r="F2766" t="s">
        <v>3462</v>
      </c>
      <c r="G2766" t="s">
        <v>3480</v>
      </c>
      <c r="H2766" t="n">
        <v>39.0643841321048</v>
      </c>
      <c r="I2766" t="n">
        <v>-108.55069827715</v>
      </c>
      <c r="J2766" t="s">
        <v>35</v>
      </c>
      <c r="K2766" t="s">
        <v>70</v>
      </c>
      <c r="L2766"/>
      <c r="M2766" t="n">
        <v>1980</v>
      </c>
      <c r="N2766" t="n">
        <v>1990</v>
      </c>
      <c r="O2766" t="s">
        <v>540</v>
      </c>
      <c r="P2766" t="n">
        <v>4</v>
      </c>
      <c r="Q2766" t="n">
        <v>2</v>
      </c>
      <c r="R2766" t="n">
        <v>2</v>
      </c>
      <c r="S2766" t="n">
        <v>1965</v>
      </c>
      <c r="T2766" t="s">
        <v>18140</v>
      </c>
      <c r="U2766" t="s">
        <v>18141</v>
      </c>
      <c r="V2766" t="s">
        <v>74</v>
      </c>
      <c r="W2766"/>
      <c r="X2766"/>
      <c r="Y2766" t="s">
        <v>18142</v>
      </c>
      <c r="Z2766"/>
      <c r="AA2766"/>
      <c r="AB2766"/>
      <c r="AC2766"/>
      <c r="AD2766" t="s">
        <v>18143</v>
      </c>
      <c r="AE2766" t="n">
        <v>182</v>
      </c>
      <c r="AF2766" t="s">
        <v>18144</v>
      </c>
      <c r="AG2766" t="n">
        <v>26</v>
      </c>
    </row>
    <row r="2767">
      <c r="A2767" t="s">
        <v>18145</v>
      </c>
      <c r="B2767" t="s">
        <v>28</v>
      </c>
      <c r="C2767" t="s">
        <v>65</v>
      </c>
      <c r="D2767" t="s">
        <v>18146</v>
      </c>
      <c r="E2767" t="s">
        <v>3461</v>
      </c>
      <c r="F2767" t="s">
        <v>3462</v>
      </c>
      <c r="G2767" t="s">
        <v>3487</v>
      </c>
      <c r="H2767" t="n">
        <v>39.0565812993226</v>
      </c>
      <c r="I2767" t="n">
        <v>-108.560160189413</v>
      </c>
      <c r="J2767" t="s">
        <v>35</v>
      </c>
      <c r="K2767" t="s">
        <v>70</v>
      </c>
      <c r="L2767"/>
      <c r="M2767" t="n">
        <v>1980</v>
      </c>
      <c r="N2767" t="n">
        <v>1980</v>
      </c>
      <c r="O2767" t="s">
        <v>255</v>
      </c>
      <c r="P2767" t="n">
        <v>1</v>
      </c>
      <c r="Q2767" t="n">
        <v>1</v>
      </c>
      <c r="R2767" t="n">
        <v>1</v>
      </c>
      <c r="S2767" t="n">
        <v>1977</v>
      </c>
      <c r="T2767" t="s">
        <v>18147</v>
      </c>
      <c r="U2767" t="s">
        <v>18148</v>
      </c>
      <c r="V2767" t="s">
        <v>74</v>
      </c>
      <c r="W2767"/>
      <c r="X2767"/>
      <c r="Y2767" t="s">
        <v>18149</v>
      </c>
      <c r="Z2767"/>
      <c r="AA2767"/>
      <c r="AB2767" t="s">
        <v>10262</v>
      </c>
      <c r="AC2767" t="n">
        <v>151</v>
      </c>
      <c r="AD2767"/>
      <c r="AE2767"/>
      <c r="AF2767" t="s">
        <v>18150</v>
      </c>
      <c r="AG2767" t="n">
        <v>16</v>
      </c>
    </row>
    <row r="2768">
      <c r="A2768" t="s">
        <v>18151</v>
      </c>
      <c r="B2768" t="s">
        <v>28</v>
      </c>
      <c r="C2768" t="s">
        <v>24</v>
      </c>
      <c r="D2768" t="s">
        <v>18152</v>
      </c>
      <c r="E2768" t="s">
        <v>3461</v>
      </c>
      <c r="F2768" t="s">
        <v>3462</v>
      </c>
      <c r="G2768" t="s">
        <v>3487</v>
      </c>
      <c r="H2768" t="n">
        <v>39.062015</v>
      </c>
      <c r="I2768" t="n">
        <v>-108.573175</v>
      </c>
      <c r="J2768" t="s">
        <v>4109</v>
      </c>
      <c r="K2768" t="s">
        <v>70</v>
      </c>
      <c r="L2768"/>
      <c r="M2768" t="n">
        <v>1980</v>
      </c>
      <c r="N2768" t="n">
        <v>1980</v>
      </c>
      <c r="O2768" t="s">
        <v>255</v>
      </c>
      <c r="P2768" t="n">
        <v>1</v>
      </c>
      <c r="Q2768" t="n">
        <v>1</v>
      </c>
      <c r="R2768" t="n">
        <v>1</v>
      </c>
      <c r="S2768" t="n">
        <v>1958</v>
      </c>
      <c r="T2768" t="s">
        <v>18153</v>
      </c>
      <c r="U2768" t="s">
        <v>18154</v>
      </c>
      <c r="V2768" t="s">
        <v>74</v>
      </c>
      <c r="W2768"/>
      <c r="X2768"/>
      <c r="Y2768" t="s">
        <v>18155</v>
      </c>
      <c r="Z2768"/>
      <c r="AA2768" t="s">
        <v>18156</v>
      </c>
      <c r="AB2768"/>
      <c r="AC2768"/>
      <c r="AD2768"/>
      <c r="AE2768"/>
      <c r="AF2768" t="s">
        <v>18016</v>
      </c>
      <c r="AG2768" t="n">
        <v>166</v>
      </c>
    </row>
    <row r="2769">
      <c r="A2769" t="s">
        <v>18157</v>
      </c>
      <c r="B2769" t="s">
        <v>28</v>
      </c>
      <c r="C2769" t="s">
        <v>24</v>
      </c>
      <c r="D2769" t="s">
        <v>18158</v>
      </c>
      <c r="E2769" t="s">
        <v>3550</v>
      </c>
      <c r="F2769" t="s">
        <v>3462</v>
      </c>
      <c r="G2769" t="s">
        <v>3551</v>
      </c>
      <c r="H2769" t="n">
        <v>39.0882841778244</v>
      </c>
      <c r="I2769" t="n">
        <v>-108.45914215575</v>
      </c>
      <c r="J2769" t="s">
        <v>4109</v>
      </c>
      <c r="K2769" t="s">
        <v>796</v>
      </c>
      <c r="L2769"/>
      <c r="M2769" t="n">
        <v>1980</v>
      </c>
      <c r="N2769" t="n">
        <v>1992</v>
      </c>
      <c r="O2769" t="s">
        <v>357</v>
      </c>
      <c r="P2769" t="n">
        <v>3</v>
      </c>
      <c r="Q2769" t="n">
        <v>4</v>
      </c>
      <c r="R2769" t="n">
        <v>1</v>
      </c>
      <c r="S2769" t="n">
        <v>1974</v>
      </c>
      <c r="T2769" t="s">
        <v>18159</v>
      </c>
      <c r="U2769" t="s">
        <v>18160</v>
      </c>
      <c r="V2769" t="s">
        <v>74</v>
      </c>
      <c r="W2769"/>
      <c r="X2769"/>
      <c r="Y2769" t="s">
        <v>18161</v>
      </c>
      <c r="Z2769"/>
      <c r="AA2769" t="s">
        <v>18162</v>
      </c>
      <c r="AB2769"/>
      <c r="AC2769"/>
      <c r="AD2769"/>
      <c r="AE2769"/>
      <c r="AF2769" t="s">
        <v>18163</v>
      </c>
      <c r="AG2769" t="n">
        <v>42</v>
      </c>
    </row>
    <row r="2770">
      <c r="A2770" t="s">
        <v>18164</v>
      </c>
      <c r="B2770" t="s">
        <v>28</v>
      </c>
      <c r="C2770" t="s">
        <v>24</v>
      </c>
      <c r="D2770" t="s">
        <v>18165</v>
      </c>
      <c r="E2770" t="s">
        <v>3461</v>
      </c>
      <c r="F2770" t="s">
        <v>3462</v>
      </c>
      <c r="G2770" t="s">
        <v>3487</v>
      </c>
      <c r="H2770" t="n">
        <v>39.073299</v>
      </c>
      <c r="I2770" t="n">
        <v>-108.537375</v>
      </c>
      <c r="J2770" t="s">
        <v>4109</v>
      </c>
      <c r="K2770" t="s">
        <v>120</v>
      </c>
      <c r="L2770"/>
      <c r="M2770" t="n">
        <v>1980</v>
      </c>
      <c r="N2770" t="n">
        <v>1983</v>
      </c>
      <c r="O2770" t="s">
        <v>264</v>
      </c>
      <c r="P2770" t="n">
        <v>2</v>
      </c>
      <c r="Q2770" t="n">
        <v>2</v>
      </c>
      <c r="R2770" t="n">
        <v>1</v>
      </c>
      <c r="S2770" t="n">
        <v>1976</v>
      </c>
      <c r="T2770" t="s">
        <v>18166</v>
      </c>
      <c r="U2770" t="s">
        <v>18167</v>
      </c>
      <c r="V2770" t="s">
        <v>74</v>
      </c>
      <c r="W2770"/>
      <c r="X2770"/>
      <c r="Y2770" t="s">
        <v>18168</v>
      </c>
      <c r="Z2770"/>
      <c r="AA2770"/>
      <c r="AB2770"/>
      <c r="AC2770"/>
      <c r="AD2770"/>
      <c r="AE2770"/>
      <c r="AF2770" t="s">
        <v>18169</v>
      </c>
      <c r="AG2770" t="n">
        <v>151</v>
      </c>
    </row>
    <row r="2771">
      <c r="A2771" t="s">
        <v>18170</v>
      </c>
      <c r="B2771" t="s">
        <v>28</v>
      </c>
      <c r="C2771" t="s">
        <v>24</v>
      </c>
      <c r="D2771" t="s">
        <v>18171</v>
      </c>
      <c r="E2771" t="s">
        <v>3461</v>
      </c>
      <c r="F2771" t="s">
        <v>3462</v>
      </c>
      <c r="G2771" t="s">
        <v>3487</v>
      </c>
      <c r="H2771" t="n">
        <v>39.0918034883562</v>
      </c>
      <c r="I2771" t="n">
        <v>-108.598794</v>
      </c>
      <c r="J2771" t="s">
        <v>4109</v>
      </c>
      <c r="K2771" t="s">
        <v>120</v>
      </c>
      <c r="L2771"/>
      <c r="M2771" t="n">
        <v>1980</v>
      </c>
      <c r="N2771" t="n">
        <v>1983</v>
      </c>
      <c r="O2771" t="s">
        <v>528</v>
      </c>
      <c r="P2771" t="n">
        <v>2</v>
      </c>
      <c r="Q2771" t="n">
        <v>1</v>
      </c>
      <c r="R2771" t="n">
        <v>1</v>
      </c>
      <c r="S2771" t="n">
        <v>1954</v>
      </c>
      <c r="T2771" t="s">
        <v>18172</v>
      </c>
      <c r="U2771" t="s">
        <v>18173</v>
      </c>
      <c r="V2771" t="s">
        <v>74</v>
      </c>
      <c r="W2771"/>
      <c r="X2771"/>
      <c r="Y2771" t="s">
        <v>18174</v>
      </c>
      <c r="Z2771"/>
      <c r="AA2771" t="s">
        <v>18175</v>
      </c>
      <c r="AB2771"/>
      <c r="AC2771"/>
      <c r="AD2771"/>
      <c r="AE2771"/>
      <c r="AF2771" t="s">
        <v>18176</v>
      </c>
      <c r="AG2771" t="n">
        <v>204</v>
      </c>
    </row>
    <row r="2772">
      <c r="A2772" t="s">
        <v>18177</v>
      </c>
      <c r="B2772" t="s">
        <v>28</v>
      </c>
      <c r="C2772" t="s">
        <v>65</v>
      </c>
      <c r="D2772" t="s">
        <v>18178</v>
      </c>
      <c r="E2772" t="s">
        <v>3461</v>
      </c>
      <c r="F2772" t="s">
        <v>3462</v>
      </c>
      <c r="G2772" t="s">
        <v>3487</v>
      </c>
      <c r="H2772" t="n">
        <v>39.058387</v>
      </c>
      <c r="I2772" t="n">
        <v>-108.535162</v>
      </c>
      <c r="J2772" t="s">
        <v>35</v>
      </c>
      <c r="K2772" t="s">
        <v>70</v>
      </c>
      <c r="L2772"/>
      <c r="M2772" t="n">
        <v>1983</v>
      </c>
      <c r="N2772" t="n">
        <v>1988</v>
      </c>
      <c r="O2772" t="s">
        <v>283</v>
      </c>
      <c r="P2772" t="n">
        <v>2</v>
      </c>
      <c r="Q2772" t="n">
        <v>4</v>
      </c>
      <c r="R2772" t="n">
        <v>2</v>
      </c>
      <c r="S2772" t="n">
        <v>1977</v>
      </c>
      <c r="T2772" t="s">
        <v>18179</v>
      </c>
      <c r="U2772" t="s">
        <v>18180</v>
      </c>
      <c r="V2772" t="s">
        <v>74</v>
      </c>
      <c r="W2772"/>
      <c r="X2772"/>
      <c r="Y2772" t="s">
        <v>18181</v>
      </c>
      <c r="Z2772"/>
      <c r="AA2772"/>
      <c r="AB2772"/>
      <c r="AC2772"/>
      <c r="AD2772"/>
      <c r="AE2772"/>
      <c r="AF2772" t="s">
        <v>18182</v>
      </c>
      <c r="AG2772" t="n">
        <v>27</v>
      </c>
    </row>
    <row r="2773">
      <c r="A2773" t="s">
        <v>18183</v>
      </c>
      <c r="B2773" t="s">
        <v>28</v>
      </c>
      <c r="C2773" t="s">
        <v>24</v>
      </c>
      <c r="D2773" t="s">
        <v>18184</v>
      </c>
      <c r="E2773" t="s">
        <v>3461</v>
      </c>
      <c r="F2773" t="s">
        <v>3462</v>
      </c>
      <c r="G2773" t="s">
        <v>3487</v>
      </c>
      <c r="H2773" t="n">
        <v>39.0907902857143</v>
      </c>
      <c r="I2773" t="n">
        <v>-108.450046</v>
      </c>
      <c r="J2773" t="s">
        <v>4109</v>
      </c>
      <c r="K2773" t="s">
        <v>1041</v>
      </c>
      <c r="L2773"/>
      <c r="M2773" t="n">
        <v>1983</v>
      </c>
      <c r="N2773" t="n">
        <v>1983</v>
      </c>
      <c r="O2773" t="s">
        <v>264</v>
      </c>
      <c r="P2773" t="n">
        <v>1</v>
      </c>
      <c r="Q2773" t="n">
        <v>1</v>
      </c>
      <c r="R2773" t="n">
        <v>1</v>
      </c>
      <c r="S2773" t="n">
        <v>1972</v>
      </c>
      <c r="T2773" t="s">
        <v>18185</v>
      </c>
      <c r="U2773" t="s">
        <v>18186</v>
      </c>
      <c r="V2773" t="s">
        <v>74</v>
      </c>
      <c r="W2773"/>
      <c r="X2773"/>
      <c r="Y2773" t="s">
        <v>18187</v>
      </c>
      <c r="Z2773"/>
      <c r="AA2773" t="s">
        <v>18188</v>
      </c>
      <c r="AB2773"/>
      <c r="AC2773"/>
      <c r="AD2773"/>
      <c r="AE2773"/>
      <c r="AF2773" t="s">
        <v>3554</v>
      </c>
      <c r="AG2773" t="n">
        <v>228</v>
      </c>
    </row>
    <row r="2774">
      <c r="A2774" t="s">
        <v>18189</v>
      </c>
      <c r="B2774" t="s">
        <v>28</v>
      </c>
      <c r="C2774" t="s">
        <v>24</v>
      </c>
      <c r="D2774" t="s">
        <v>18190</v>
      </c>
      <c r="E2774" t="s">
        <v>3461</v>
      </c>
      <c r="F2774" t="s">
        <v>3462</v>
      </c>
      <c r="G2774" t="s">
        <v>3487</v>
      </c>
      <c r="H2774" t="n">
        <v>39.0920311183297</v>
      </c>
      <c r="I2774" t="n">
        <v>-108.586597783382</v>
      </c>
      <c r="J2774" t="s">
        <v>4109</v>
      </c>
      <c r="K2774" t="s">
        <v>120</v>
      </c>
      <c r="L2774"/>
      <c r="M2774" t="n">
        <v>1983</v>
      </c>
      <c r="N2774" t="n">
        <v>1992</v>
      </c>
      <c r="O2774" t="s">
        <v>2061</v>
      </c>
      <c r="P2774" t="n">
        <v>4</v>
      </c>
      <c r="Q2774" t="n">
        <v>3</v>
      </c>
      <c r="R2774" t="n">
        <v>2</v>
      </c>
      <c r="S2774" t="n">
        <v>1981</v>
      </c>
      <c r="T2774" t="s">
        <v>18191</v>
      </c>
      <c r="U2774" t="s">
        <v>18192</v>
      </c>
      <c r="V2774" t="s">
        <v>74</v>
      </c>
      <c r="W2774"/>
      <c r="X2774"/>
      <c r="Y2774" t="s">
        <v>18193</v>
      </c>
      <c r="Z2774"/>
      <c r="AA2774"/>
      <c r="AB2774"/>
      <c r="AC2774"/>
      <c r="AD2774"/>
      <c r="AE2774"/>
      <c r="AF2774" t="s">
        <v>18194</v>
      </c>
      <c r="AG2774" t="n">
        <v>101</v>
      </c>
    </row>
    <row r="2775">
      <c r="A2775" t="s">
        <v>18195</v>
      </c>
      <c r="B2775" t="s">
        <v>28</v>
      </c>
      <c r="C2775" t="s">
        <v>24</v>
      </c>
      <c r="D2775" t="s">
        <v>18196</v>
      </c>
      <c r="E2775" t="s">
        <v>3461</v>
      </c>
      <c r="F2775" t="s">
        <v>3462</v>
      </c>
      <c r="G2775" t="s">
        <v>3569</v>
      </c>
      <c r="H2775" t="n">
        <v>39.1077412422676</v>
      </c>
      <c r="I2775" t="n">
        <v>-108.631530815123</v>
      </c>
      <c r="J2775" t="s">
        <v>4109</v>
      </c>
      <c r="K2775" t="s">
        <v>70</v>
      </c>
      <c r="L2775"/>
      <c r="M2775" t="n">
        <v>1988</v>
      </c>
      <c r="N2775" t="n">
        <v>1992</v>
      </c>
      <c r="O2775" t="s">
        <v>325</v>
      </c>
      <c r="P2775" t="n">
        <v>3</v>
      </c>
      <c r="Q2775" t="n">
        <v>2</v>
      </c>
      <c r="R2775" t="n">
        <v>1</v>
      </c>
      <c r="S2775" t="n">
        <v>1983</v>
      </c>
      <c r="T2775" t="s">
        <v>18197</v>
      </c>
      <c r="U2775" t="s">
        <v>18198</v>
      </c>
      <c r="V2775" t="s">
        <v>74</v>
      </c>
      <c r="W2775"/>
      <c r="X2775"/>
      <c r="Y2775" t="s">
        <v>18199</v>
      </c>
      <c r="Z2775"/>
      <c r="AA2775" t="s">
        <v>18200</v>
      </c>
      <c r="AB2775"/>
      <c r="AC2775"/>
      <c r="AD2775"/>
      <c r="AE2775"/>
      <c r="AF2775" t="s">
        <v>18201</v>
      </c>
      <c r="AG2775" t="n">
        <v>5</v>
      </c>
    </row>
    <row r="2776">
      <c r="A2776" t="s">
        <v>18202</v>
      </c>
      <c r="B2776" t="s">
        <v>28</v>
      </c>
      <c r="C2776" t="s">
        <v>65</v>
      </c>
      <c r="D2776" t="s">
        <v>18203</v>
      </c>
      <c r="E2776" t="s">
        <v>3461</v>
      </c>
      <c r="F2776" t="s">
        <v>3462</v>
      </c>
      <c r="G2776" t="s">
        <v>3569</v>
      </c>
      <c r="H2776" t="n">
        <v>39.0728113737551</v>
      </c>
      <c r="I2776" t="n">
        <v>-108.57837143889</v>
      </c>
      <c r="J2776" t="s">
        <v>35</v>
      </c>
      <c r="K2776" t="s">
        <v>70</v>
      </c>
      <c r="L2776"/>
      <c r="M2776" t="n">
        <v>1988</v>
      </c>
      <c r="N2776" t="n">
        <v>1992</v>
      </c>
      <c r="O2776" t="s">
        <v>351</v>
      </c>
      <c r="P2776" t="n">
        <v>3</v>
      </c>
      <c r="Q2776" t="n">
        <v>3</v>
      </c>
      <c r="R2776" t="n">
        <v>1</v>
      </c>
      <c r="S2776" t="n">
        <v>1974</v>
      </c>
      <c r="T2776" t="s">
        <v>18204</v>
      </c>
      <c r="U2776" t="s">
        <v>18205</v>
      </c>
      <c r="V2776" t="s">
        <v>74</v>
      </c>
      <c r="W2776"/>
      <c r="X2776"/>
      <c r="Y2776" t="s">
        <v>18206</v>
      </c>
      <c r="Z2776"/>
      <c r="AA2776"/>
      <c r="AB2776" t="s">
        <v>18207</v>
      </c>
      <c r="AC2776" t="n">
        <v>246</v>
      </c>
      <c r="AD2776"/>
      <c r="AE2776"/>
      <c r="AF2776" t="s">
        <v>18208</v>
      </c>
      <c r="AG2776" t="n">
        <v>12</v>
      </c>
    </row>
    <row r="2777">
      <c r="A2777" t="s">
        <v>18209</v>
      </c>
      <c r="B2777" t="s">
        <v>28</v>
      </c>
      <c r="C2777" t="s">
        <v>24</v>
      </c>
      <c r="D2777" t="s">
        <v>18210</v>
      </c>
      <c r="E2777" t="s">
        <v>3461</v>
      </c>
      <c r="F2777" t="s">
        <v>3462</v>
      </c>
      <c r="G2777" t="s">
        <v>18211</v>
      </c>
      <c r="H2777" t="n">
        <v>39.092788</v>
      </c>
      <c r="I2777" t="n">
        <v>-108.586592</v>
      </c>
      <c r="J2777" t="s">
        <v>4109</v>
      </c>
      <c r="K2777" t="s">
        <v>120</v>
      </c>
      <c r="L2777"/>
      <c r="M2777" t="n">
        <v>1988</v>
      </c>
      <c r="N2777" t="n">
        <v>1988</v>
      </c>
      <c r="O2777" t="s">
        <v>325</v>
      </c>
      <c r="P2777" t="n">
        <v>1</v>
      </c>
      <c r="Q2777" t="n">
        <v>1</v>
      </c>
      <c r="R2777" t="n">
        <v>1</v>
      </c>
      <c r="S2777" t="n">
        <v>1983</v>
      </c>
      <c r="T2777" t="s">
        <v>18212</v>
      </c>
      <c r="U2777" t="s">
        <v>18213</v>
      </c>
      <c r="V2777" t="s">
        <v>74</v>
      </c>
      <c r="W2777"/>
      <c r="X2777"/>
      <c r="Y2777" t="s">
        <v>18214</v>
      </c>
      <c r="Z2777"/>
      <c r="AA2777" t="s">
        <v>18215</v>
      </c>
      <c r="AB2777"/>
      <c r="AC2777"/>
      <c r="AD2777"/>
      <c r="AE2777"/>
      <c r="AF2777" t="s">
        <v>18194</v>
      </c>
      <c r="AG2777" t="n">
        <v>23</v>
      </c>
    </row>
    <row r="2778">
      <c r="A2778" t="s">
        <v>18216</v>
      </c>
      <c r="B2778" t="s">
        <v>28</v>
      </c>
      <c r="C2778" t="s">
        <v>65</v>
      </c>
      <c r="D2778" t="s">
        <v>4879</v>
      </c>
      <c r="E2778" t="s">
        <v>3461</v>
      </c>
      <c r="F2778" t="s">
        <v>3462</v>
      </c>
      <c r="G2778" t="s">
        <v>12348</v>
      </c>
      <c r="H2778" t="n">
        <v>39.0841505306122</v>
      </c>
      <c r="I2778" t="n">
        <v>-108.459065653061</v>
      </c>
      <c r="J2778" t="s">
        <v>35</v>
      </c>
      <c r="K2778" t="s">
        <v>120</v>
      </c>
      <c r="L2778"/>
      <c r="M2778" t="n">
        <v>1990</v>
      </c>
      <c r="N2778" t="n">
        <v>1990</v>
      </c>
      <c r="O2778" t="s">
        <v>351</v>
      </c>
      <c r="P2778" t="n">
        <v>1</v>
      </c>
      <c r="Q2778" t="n">
        <v>1</v>
      </c>
      <c r="R2778" t="n">
        <v>1</v>
      </c>
      <c r="S2778" t="n">
        <v>1977</v>
      </c>
      <c r="T2778" t="s">
        <v>18217</v>
      </c>
      <c r="U2778" t="s">
        <v>18218</v>
      </c>
      <c r="V2778" t="s">
        <v>74</v>
      </c>
      <c r="W2778"/>
      <c r="X2778"/>
      <c r="Y2778" t="s">
        <v>18219</v>
      </c>
      <c r="Z2778"/>
      <c r="AA2778" t="s">
        <v>18220</v>
      </c>
      <c r="AB2778"/>
      <c r="AC2778"/>
      <c r="AD2778"/>
      <c r="AE2778"/>
      <c r="AF2778" t="s">
        <v>12352</v>
      </c>
      <c r="AG2778" t="n">
        <v>33</v>
      </c>
    </row>
    <row r="2779">
      <c r="A2779" t="s">
        <v>18221</v>
      </c>
      <c r="B2779" t="s">
        <v>28</v>
      </c>
      <c r="C2779" t="s">
        <v>65</v>
      </c>
      <c r="D2779" t="s">
        <v>18222</v>
      </c>
      <c r="E2779" t="s">
        <v>3461</v>
      </c>
      <c r="F2779" t="s">
        <v>3462</v>
      </c>
      <c r="G2779" t="s">
        <v>3487</v>
      </c>
      <c r="H2779" t="n">
        <v>39.0685095482662</v>
      </c>
      <c r="I2779" t="n">
        <v>-108.536882215557</v>
      </c>
      <c r="J2779" t="s">
        <v>35</v>
      </c>
      <c r="K2779" t="s">
        <v>315</v>
      </c>
      <c r="L2779"/>
      <c r="M2779" t="n">
        <v>1990</v>
      </c>
      <c r="N2779" t="n">
        <v>1992</v>
      </c>
      <c r="O2779" t="s">
        <v>351</v>
      </c>
      <c r="P2779" t="n">
        <v>2</v>
      </c>
      <c r="Q2779" t="n">
        <v>1</v>
      </c>
      <c r="R2779" t="n">
        <v>1</v>
      </c>
      <c r="S2779" t="n">
        <v>1962</v>
      </c>
      <c r="T2779" t="s">
        <v>18223</v>
      </c>
      <c r="U2779" t="s">
        <v>18224</v>
      </c>
      <c r="V2779" t="s">
        <v>74</v>
      </c>
      <c r="W2779"/>
      <c r="X2779"/>
      <c r="Y2779" t="s">
        <v>18225</v>
      </c>
      <c r="Z2779"/>
      <c r="AA2779"/>
      <c r="AB2779"/>
      <c r="AC2779"/>
      <c r="AD2779"/>
      <c r="AE2779"/>
      <c r="AF2779" t="s">
        <v>18226</v>
      </c>
      <c r="AG2779" t="n">
        <v>1</v>
      </c>
    </row>
    <row r="2780">
      <c r="A2780" t="s">
        <v>18227</v>
      </c>
      <c r="B2780" t="s">
        <v>28</v>
      </c>
      <c r="C2780" t="s">
        <v>65</v>
      </c>
      <c r="D2780" t="s">
        <v>18228</v>
      </c>
      <c r="E2780" t="s">
        <v>3461</v>
      </c>
      <c r="F2780" t="s">
        <v>3462</v>
      </c>
      <c r="G2780" t="s">
        <v>3569</v>
      </c>
      <c r="H2780" t="n">
        <v>39.0931450209411</v>
      </c>
      <c r="I2780" t="n">
        <v>-108.582009146413</v>
      </c>
      <c r="J2780" t="s">
        <v>35</v>
      </c>
      <c r="K2780" t="s">
        <v>70</v>
      </c>
      <c r="L2780"/>
      <c r="M2780" t="n">
        <v>1990</v>
      </c>
      <c r="N2780" t="n">
        <v>1990</v>
      </c>
      <c r="O2780" t="s">
        <v>351</v>
      </c>
      <c r="P2780" t="n">
        <v>1</v>
      </c>
      <c r="Q2780" t="n">
        <v>1</v>
      </c>
      <c r="R2780" t="n">
        <v>1</v>
      </c>
      <c r="S2780" t="n">
        <v>1969</v>
      </c>
      <c r="T2780" t="s">
        <v>18229</v>
      </c>
      <c r="U2780" t="s">
        <v>18230</v>
      </c>
      <c r="V2780" t="s">
        <v>74</v>
      </c>
      <c r="W2780"/>
      <c r="X2780"/>
      <c r="Y2780" t="s">
        <v>18231</v>
      </c>
      <c r="Z2780"/>
      <c r="AA2780"/>
      <c r="AB2780"/>
      <c r="AC2780"/>
      <c r="AD2780" t="s">
        <v>18232</v>
      </c>
      <c r="AE2780" t="n">
        <v>203</v>
      </c>
      <c r="AF2780" t="s">
        <v>18233</v>
      </c>
      <c r="AG2780" t="n">
        <v>78</v>
      </c>
    </row>
    <row r="2781">
      <c r="A2781" t="s">
        <v>18234</v>
      </c>
      <c r="B2781" t="s">
        <v>28</v>
      </c>
      <c r="C2781" t="s">
        <v>65</v>
      </c>
      <c r="D2781" t="s">
        <v>18235</v>
      </c>
      <c r="E2781" t="s">
        <v>3461</v>
      </c>
      <c r="F2781" t="s">
        <v>3462</v>
      </c>
      <c r="G2781" t="s">
        <v>3487</v>
      </c>
      <c r="H2781" t="n">
        <v>39.0556679779695</v>
      </c>
      <c r="I2781" t="n">
        <v>-108.539288978964</v>
      </c>
      <c r="J2781" t="s">
        <v>35</v>
      </c>
      <c r="K2781" t="s">
        <v>120</v>
      </c>
      <c r="L2781"/>
      <c r="M2781" t="n">
        <v>1990</v>
      </c>
      <c r="N2781" t="n">
        <v>1990</v>
      </c>
      <c r="O2781" t="s">
        <v>351</v>
      </c>
      <c r="P2781" t="n">
        <v>1</v>
      </c>
      <c r="Q2781" t="n">
        <v>1</v>
      </c>
      <c r="R2781" t="n">
        <v>1</v>
      </c>
      <c r="S2781" t="n">
        <v>1967</v>
      </c>
      <c r="T2781" t="s">
        <v>18236</v>
      </c>
      <c r="U2781" t="s">
        <v>18237</v>
      </c>
      <c r="V2781" t="s">
        <v>74</v>
      </c>
      <c r="W2781"/>
      <c r="X2781"/>
      <c r="Y2781" t="s">
        <v>18238</v>
      </c>
      <c r="Z2781"/>
      <c r="AA2781"/>
      <c r="AB2781"/>
      <c r="AC2781"/>
      <c r="AD2781"/>
      <c r="AE2781"/>
      <c r="AF2781"/>
      <c r="AG2781"/>
    </row>
    <row r="2782">
      <c r="A2782" t="s">
        <v>18239</v>
      </c>
      <c r="B2782" t="s">
        <v>28</v>
      </c>
      <c r="C2782" t="s">
        <v>65</v>
      </c>
      <c r="D2782" t="s">
        <v>18240</v>
      </c>
      <c r="E2782" t="s">
        <v>3605</v>
      </c>
      <c r="F2782" t="s">
        <v>3606</v>
      </c>
      <c r="G2782" t="s">
        <v>3607</v>
      </c>
      <c r="H2782" t="n">
        <v>40.5115814303914</v>
      </c>
      <c r="I2782" t="n">
        <v>-107.549644086305</v>
      </c>
      <c r="J2782" t="s">
        <v>35</v>
      </c>
      <c r="K2782" t="s">
        <v>120</v>
      </c>
      <c r="L2782"/>
      <c r="M2782" t="n">
        <v>1983</v>
      </c>
      <c r="N2782" t="n">
        <v>1990</v>
      </c>
      <c r="O2782" t="s">
        <v>283</v>
      </c>
      <c r="P2782" t="n">
        <v>3</v>
      </c>
      <c r="Q2782" t="n">
        <v>3</v>
      </c>
      <c r="R2782" t="n">
        <v>2</v>
      </c>
      <c r="S2782" t="n">
        <v>1979</v>
      </c>
      <c r="T2782" t="s">
        <v>18241</v>
      </c>
      <c r="U2782" t="s">
        <v>18242</v>
      </c>
      <c r="V2782" t="s">
        <v>74</v>
      </c>
      <c r="W2782"/>
      <c r="X2782"/>
      <c r="Y2782" t="s">
        <v>18243</v>
      </c>
      <c r="Z2782"/>
      <c r="AA2782"/>
      <c r="AB2782" t="s">
        <v>18244</v>
      </c>
      <c r="AC2782" t="n">
        <v>218</v>
      </c>
      <c r="AD2782"/>
      <c r="AE2782"/>
      <c r="AF2782" t="s">
        <v>18245</v>
      </c>
      <c r="AG2782" t="n">
        <v>44</v>
      </c>
    </row>
    <row r="2783">
      <c r="A2783" t="s">
        <v>18246</v>
      </c>
      <c r="B2783" t="s">
        <v>28</v>
      </c>
      <c r="C2783" t="s">
        <v>65</v>
      </c>
      <c r="D2783" t="s">
        <v>18247</v>
      </c>
      <c r="E2783" t="s">
        <v>3625</v>
      </c>
      <c r="F2783" t="s">
        <v>3626</v>
      </c>
      <c r="G2783" t="s">
        <v>3627</v>
      </c>
      <c r="H2783" t="n">
        <v>37.3488764787857</v>
      </c>
      <c r="I2783" t="n">
        <v>-108.567257039682</v>
      </c>
      <c r="J2783" t="s">
        <v>35</v>
      </c>
      <c r="K2783" t="s">
        <v>783</v>
      </c>
      <c r="L2783"/>
      <c r="M2783" t="n">
        <v>1966</v>
      </c>
      <c r="N2783" t="n">
        <v>1983</v>
      </c>
      <c r="O2783" t="s">
        <v>2349</v>
      </c>
      <c r="P2783" t="n">
        <v>4</v>
      </c>
      <c r="Q2783" t="n">
        <v>2</v>
      </c>
      <c r="R2783" t="n">
        <v>1</v>
      </c>
      <c r="S2783" t="n">
        <v>1957</v>
      </c>
      <c r="T2783" t="s">
        <v>18248</v>
      </c>
      <c r="U2783" t="s">
        <v>18249</v>
      </c>
      <c r="V2783" t="s">
        <v>74</v>
      </c>
      <c r="W2783"/>
      <c r="X2783"/>
      <c r="Y2783" t="s">
        <v>18250</v>
      </c>
      <c r="Z2783"/>
      <c r="AA2783"/>
      <c r="AB2783"/>
      <c r="AC2783"/>
      <c r="AD2783"/>
      <c r="AE2783"/>
      <c r="AF2783" t="s">
        <v>18251</v>
      </c>
      <c r="AG2783" t="n">
        <v>1</v>
      </c>
    </row>
    <row r="2784">
      <c r="A2784" t="s">
        <v>18252</v>
      </c>
      <c r="B2784" t="s">
        <v>28</v>
      </c>
      <c r="C2784" t="s">
        <v>24</v>
      </c>
      <c r="D2784" t="s">
        <v>18253</v>
      </c>
      <c r="E2784" t="s">
        <v>3625</v>
      </c>
      <c r="F2784" t="s">
        <v>3626</v>
      </c>
      <c r="G2784" t="s">
        <v>3627</v>
      </c>
      <c r="H2784" t="n">
        <v>37.3487527061642</v>
      </c>
      <c r="I2784" t="n">
        <v>-108.576415775215</v>
      </c>
      <c r="J2784" t="s">
        <v>4109</v>
      </c>
      <c r="K2784" t="s">
        <v>133</v>
      </c>
      <c r="L2784"/>
      <c r="M2784" t="n">
        <v>1977</v>
      </c>
      <c r="N2784" t="n">
        <v>1983</v>
      </c>
      <c r="O2784" t="s">
        <v>829</v>
      </c>
      <c r="P2784" t="n">
        <v>3</v>
      </c>
      <c r="Q2784" t="n">
        <v>1</v>
      </c>
      <c r="R2784" t="n">
        <v>1</v>
      </c>
      <c r="S2784" t="n">
        <v>1972</v>
      </c>
      <c r="T2784" t="s">
        <v>18254</v>
      </c>
      <c r="U2784" t="s">
        <v>18255</v>
      </c>
      <c r="V2784" t="s">
        <v>74</v>
      </c>
      <c r="W2784"/>
      <c r="X2784"/>
      <c r="Y2784" t="s">
        <v>18256</v>
      </c>
      <c r="Z2784"/>
      <c r="AA2784"/>
      <c r="AB2784"/>
      <c r="AC2784"/>
      <c r="AD2784"/>
      <c r="AE2784"/>
      <c r="AF2784" t="s">
        <v>18257</v>
      </c>
      <c r="AG2784" t="n">
        <v>119</v>
      </c>
    </row>
    <row r="2785">
      <c r="A2785" t="s">
        <v>18258</v>
      </c>
      <c r="B2785" t="s">
        <v>28</v>
      </c>
      <c r="C2785" t="s">
        <v>65</v>
      </c>
      <c r="D2785" t="s">
        <v>18259</v>
      </c>
      <c r="E2785" t="s">
        <v>3658</v>
      </c>
      <c r="F2785" t="s">
        <v>3659</v>
      </c>
      <c r="G2785" t="s">
        <v>3660</v>
      </c>
      <c r="H2785" t="n">
        <v>38.4670861682984</v>
      </c>
      <c r="I2785" t="n">
        <v>-107.875438939267</v>
      </c>
      <c r="J2785" t="s">
        <v>35</v>
      </c>
      <c r="K2785" t="s">
        <v>81</v>
      </c>
      <c r="L2785" t="s">
        <v>2814</v>
      </c>
      <c r="M2785" t="n">
        <v>1980</v>
      </c>
      <c r="N2785" t="n">
        <v>1992</v>
      </c>
      <c r="O2785" t="s">
        <v>17803</v>
      </c>
      <c r="P2785" t="n">
        <v>4</v>
      </c>
      <c r="Q2785" t="n">
        <v>5</v>
      </c>
      <c r="R2785" t="n">
        <v>4</v>
      </c>
      <c r="S2785" t="n">
        <v>1968</v>
      </c>
      <c r="T2785" t="s">
        <v>18260</v>
      </c>
      <c r="U2785" t="s">
        <v>18261</v>
      </c>
      <c r="V2785" t="s">
        <v>74</v>
      </c>
      <c r="W2785"/>
      <c r="X2785"/>
      <c r="Y2785" t="s">
        <v>18262</v>
      </c>
      <c r="Z2785"/>
      <c r="AA2785"/>
      <c r="AB2785" t="s">
        <v>18263</v>
      </c>
      <c r="AC2785" t="n">
        <v>202</v>
      </c>
      <c r="AD2785"/>
      <c r="AE2785"/>
      <c r="AF2785" t="s">
        <v>18264</v>
      </c>
      <c r="AG2785" t="n">
        <v>4</v>
      </c>
    </row>
    <row r="2786">
      <c r="A2786" t="s">
        <v>18265</v>
      </c>
      <c r="B2786" t="s">
        <v>28</v>
      </c>
      <c r="C2786" t="s">
        <v>65</v>
      </c>
      <c r="D2786" t="s">
        <v>18266</v>
      </c>
      <c r="E2786" t="s">
        <v>3658</v>
      </c>
      <c r="F2786" t="s">
        <v>3659</v>
      </c>
      <c r="G2786" t="s">
        <v>3660</v>
      </c>
      <c r="H2786" t="n">
        <v>38.496364342737</v>
      </c>
      <c r="I2786" t="n">
        <v>-107.89763818493</v>
      </c>
      <c r="J2786" t="s">
        <v>35</v>
      </c>
      <c r="K2786" t="s">
        <v>120</v>
      </c>
      <c r="L2786"/>
      <c r="M2786" t="n">
        <v>1980</v>
      </c>
      <c r="N2786" t="n">
        <v>1990</v>
      </c>
      <c r="O2786" t="s">
        <v>351</v>
      </c>
      <c r="P2786" t="n">
        <v>2</v>
      </c>
      <c r="Q2786" t="n">
        <v>2</v>
      </c>
      <c r="R2786" t="n">
        <v>1</v>
      </c>
      <c r="S2786" t="n">
        <v>1978</v>
      </c>
      <c r="T2786" t="s">
        <v>18267</v>
      </c>
      <c r="U2786" t="s">
        <v>18268</v>
      </c>
      <c r="V2786" t="s">
        <v>74</v>
      </c>
      <c r="W2786"/>
      <c r="X2786"/>
      <c r="Y2786" t="s">
        <v>18269</v>
      </c>
      <c r="Z2786"/>
      <c r="AA2786" t="s">
        <v>18270</v>
      </c>
      <c r="AB2786"/>
      <c r="AC2786"/>
      <c r="AD2786"/>
      <c r="AE2786"/>
      <c r="AF2786" t="s">
        <v>18271</v>
      </c>
      <c r="AG2786" t="n">
        <v>167</v>
      </c>
    </row>
    <row r="2787">
      <c r="A2787" t="s">
        <v>18272</v>
      </c>
      <c r="B2787" t="s">
        <v>28</v>
      </c>
      <c r="C2787" t="s">
        <v>65</v>
      </c>
      <c r="D2787" t="s">
        <v>18273</v>
      </c>
      <c r="E2787" t="s">
        <v>3658</v>
      </c>
      <c r="F2787" t="s">
        <v>3659</v>
      </c>
      <c r="G2787" t="s">
        <v>3660</v>
      </c>
      <c r="H2787" t="n">
        <v>38.384587</v>
      </c>
      <c r="I2787" t="n">
        <v>-107.822882701228</v>
      </c>
      <c r="J2787" t="s">
        <v>35</v>
      </c>
      <c r="K2787" t="s">
        <v>133</v>
      </c>
      <c r="L2787"/>
      <c r="M2787" t="n">
        <v>1980</v>
      </c>
      <c r="N2787" t="n">
        <v>1983</v>
      </c>
      <c r="O2787" t="s">
        <v>528</v>
      </c>
      <c r="P2787" t="n">
        <v>2</v>
      </c>
      <c r="Q2787" t="n">
        <v>2</v>
      </c>
      <c r="R2787" t="n">
        <v>2</v>
      </c>
      <c r="S2787" t="n">
        <v>1968</v>
      </c>
      <c r="T2787" t="s">
        <v>18274</v>
      </c>
      <c r="U2787" t="s">
        <v>18275</v>
      </c>
      <c r="V2787" t="s">
        <v>74</v>
      </c>
      <c r="W2787"/>
      <c r="X2787"/>
      <c r="Y2787" t="s">
        <v>18276</v>
      </c>
      <c r="Z2787"/>
      <c r="AA2787"/>
      <c r="AB2787"/>
      <c r="AC2787"/>
      <c r="AD2787"/>
      <c r="AE2787"/>
      <c r="AF2787" t="s">
        <v>18277</v>
      </c>
      <c r="AG2787" t="n">
        <v>34</v>
      </c>
    </row>
    <row r="2788">
      <c r="A2788" t="s">
        <v>18278</v>
      </c>
      <c r="B2788" t="s">
        <v>28</v>
      </c>
      <c r="C2788" t="s">
        <v>65</v>
      </c>
      <c r="D2788" t="s">
        <v>18279</v>
      </c>
      <c r="E2788" t="s">
        <v>3658</v>
      </c>
      <c r="F2788" t="s">
        <v>3659</v>
      </c>
      <c r="G2788" t="s">
        <v>18280</v>
      </c>
      <c r="H2788" t="n">
        <v>38.4682668603214</v>
      </c>
      <c r="I2788" t="n">
        <v>-107.877011238796</v>
      </c>
      <c r="J2788" t="s">
        <v>35</v>
      </c>
      <c r="K2788" t="s">
        <v>70</v>
      </c>
      <c r="L2788"/>
      <c r="M2788" t="n">
        <v>1983</v>
      </c>
      <c r="N2788" t="n">
        <v>1983</v>
      </c>
      <c r="O2788" t="s">
        <v>264</v>
      </c>
      <c r="P2788" t="n">
        <v>1</v>
      </c>
      <c r="Q2788" t="n">
        <v>1</v>
      </c>
      <c r="R2788" t="n">
        <v>1</v>
      </c>
      <c r="S2788" t="n">
        <v>1982</v>
      </c>
      <c r="T2788" t="s">
        <v>18281</v>
      </c>
      <c r="U2788" t="s">
        <v>18282</v>
      </c>
      <c r="V2788" t="s">
        <v>74</v>
      </c>
      <c r="W2788"/>
      <c r="X2788"/>
      <c r="Y2788" t="s">
        <v>18283</v>
      </c>
      <c r="Z2788"/>
      <c r="AA2788" t="s">
        <v>18284</v>
      </c>
      <c r="AB2788" t="s">
        <v>18285</v>
      </c>
      <c r="AC2788" t="n">
        <v>211</v>
      </c>
      <c r="AD2788"/>
      <c r="AE2788"/>
      <c r="AF2788" t="s">
        <v>18286</v>
      </c>
      <c r="AG2788" t="n">
        <v>24</v>
      </c>
    </row>
    <row r="2789">
      <c r="A2789" t="s">
        <v>18287</v>
      </c>
      <c r="B2789" t="s">
        <v>28</v>
      </c>
      <c r="C2789" t="s">
        <v>65</v>
      </c>
      <c r="D2789" t="s">
        <v>18288</v>
      </c>
      <c r="E2789" t="s">
        <v>3658</v>
      </c>
      <c r="F2789" t="s">
        <v>3659</v>
      </c>
      <c r="G2789" t="s">
        <v>3660</v>
      </c>
      <c r="H2789" t="n">
        <v>38.4935922683283</v>
      </c>
      <c r="I2789" t="n">
        <v>-107.894016574282</v>
      </c>
      <c r="J2789" t="s">
        <v>35</v>
      </c>
      <c r="K2789" t="s">
        <v>133</v>
      </c>
      <c r="L2789"/>
      <c r="M2789" t="n">
        <v>1983</v>
      </c>
      <c r="N2789" t="n">
        <v>1983</v>
      </c>
      <c r="O2789" t="s">
        <v>264</v>
      </c>
      <c r="P2789" t="n">
        <v>1</v>
      </c>
      <c r="Q2789" t="n">
        <v>1</v>
      </c>
      <c r="R2789" t="n">
        <v>1</v>
      </c>
      <c r="S2789" t="n">
        <v>1972</v>
      </c>
      <c r="T2789" t="s">
        <v>18289</v>
      </c>
      <c r="U2789" t="s">
        <v>18290</v>
      </c>
      <c r="V2789" t="s">
        <v>74</v>
      </c>
      <c r="W2789"/>
      <c r="X2789"/>
      <c r="Y2789" t="s">
        <v>18291</v>
      </c>
      <c r="Z2789"/>
      <c r="AA2789" t="s">
        <v>18292</v>
      </c>
      <c r="AB2789" t="s">
        <v>18293</v>
      </c>
      <c r="AC2789" t="n">
        <v>96</v>
      </c>
      <c r="AD2789"/>
      <c r="AE2789"/>
      <c r="AF2789" t="s">
        <v>18294</v>
      </c>
      <c r="AG2789" t="n">
        <v>22</v>
      </c>
    </row>
    <row r="2790">
      <c r="A2790" t="s">
        <v>18295</v>
      </c>
      <c r="B2790" t="s">
        <v>28</v>
      </c>
      <c r="C2790" t="s">
        <v>65</v>
      </c>
      <c r="D2790" t="s">
        <v>18296</v>
      </c>
      <c r="E2790" t="s">
        <v>3658</v>
      </c>
      <c r="F2790" t="s">
        <v>3659</v>
      </c>
      <c r="G2790" t="s">
        <v>3660</v>
      </c>
      <c r="H2790" t="n">
        <v>38.4731088442184</v>
      </c>
      <c r="I2790" t="n">
        <v>-107.871440369864</v>
      </c>
      <c r="J2790" t="s">
        <v>35</v>
      </c>
      <c r="K2790" t="s">
        <v>315</v>
      </c>
      <c r="L2790"/>
      <c r="M2790" t="n">
        <v>1988</v>
      </c>
      <c r="N2790" t="n">
        <v>1990</v>
      </c>
      <c r="O2790" t="s">
        <v>325</v>
      </c>
      <c r="P2790" t="n">
        <v>2</v>
      </c>
      <c r="Q2790" t="n">
        <v>1</v>
      </c>
      <c r="R2790" t="n">
        <v>1</v>
      </c>
      <c r="S2790" t="n">
        <v>1980</v>
      </c>
      <c r="T2790" t="s">
        <v>18297</v>
      </c>
      <c r="U2790" t="s">
        <v>18298</v>
      </c>
      <c r="V2790" t="s">
        <v>74</v>
      </c>
      <c r="W2790"/>
      <c r="X2790"/>
      <c r="Y2790" t="s">
        <v>18299</v>
      </c>
      <c r="Z2790"/>
      <c r="AA2790"/>
      <c r="AB2790"/>
      <c r="AC2790"/>
      <c r="AD2790"/>
      <c r="AE2790"/>
      <c r="AF2790" t="s">
        <v>18300</v>
      </c>
      <c r="AG2790" t="n">
        <v>13</v>
      </c>
    </row>
    <row r="2791">
      <c r="A2791" t="s">
        <v>18301</v>
      </c>
      <c r="B2791" t="s">
        <v>28</v>
      </c>
      <c r="C2791" t="s">
        <v>65</v>
      </c>
      <c r="D2791" t="s">
        <v>18302</v>
      </c>
      <c r="E2791" t="s">
        <v>3722</v>
      </c>
      <c r="F2791" t="s">
        <v>3706</v>
      </c>
      <c r="G2791" t="s">
        <v>3723</v>
      </c>
      <c r="H2791" t="n">
        <v>40.2484796489796</v>
      </c>
      <c r="I2791" t="n">
        <v>-103.802188085714</v>
      </c>
      <c r="J2791" t="s">
        <v>35</v>
      </c>
      <c r="K2791" t="s">
        <v>220</v>
      </c>
      <c r="L2791"/>
      <c r="M2791" t="n">
        <v>1968</v>
      </c>
      <c r="N2791" t="n">
        <v>1977</v>
      </c>
      <c r="O2791" t="s">
        <v>18303</v>
      </c>
      <c r="P2791" t="n">
        <v>4</v>
      </c>
      <c r="Q2791" t="n">
        <v>3</v>
      </c>
      <c r="R2791" t="n">
        <v>2</v>
      </c>
      <c r="S2791" t="n">
        <v>1929</v>
      </c>
      <c r="T2791" t="s">
        <v>18304</v>
      </c>
      <c r="U2791" t="s">
        <v>18305</v>
      </c>
      <c r="V2791" t="s">
        <v>74</v>
      </c>
      <c r="W2791"/>
      <c r="X2791"/>
      <c r="Y2791" t="s">
        <v>18306</v>
      </c>
      <c r="Z2791"/>
      <c r="AA2791"/>
      <c r="AB2791"/>
      <c r="AC2791"/>
      <c r="AD2791"/>
      <c r="AE2791"/>
      <c r="AF2791" t="s">
        <v>18307</v>
      </c>
      <c r="AG2791" t="n">
        <v>57</v>
      </c>
    </row>
    <row r="2792">
      <c r="A2792" t="s">
        <v>18308</v>
      </c>
      <c r="B2792" t="s">
        <v>28</v>
      </c>
      <c r="C2792" t="s">
        <v>24</v>
      </c>
      <c r="D2792" t="s">
        <v>18309</v>
      </c>
      <c r="E2792" t="s">
        <v>3722</v>
      </c>
      <c r="F2792" t="s">
        <v>3706</v>
      </c>
      <c r="G2792" t="s">
        <v>3723</v>
      </c>
      <c r="H2792" t="n">
        <v>40.246523</v>
      </c>
      <c r="I2792" t="n">
        <v>-103.804722903351</v>
      </c>
      <c r="J2792" t="s">
        <v>4109</v>
      </c>
      <c r="K2792" t="s">
        <v>1282</v>
      </c>
      <c r="L2792"/>
      <c r="M2792" t="n">
        <v>1973</v>
      </c>
      <c r="N2792" t="n">
        <v>1988</v>
      </c>
      <c r="O2792" t="s">
        <v>16529</v>
      </c>
      <c r="P2792" t="n">
        <v>4</v>
      </c>
      <c r="Q2792" t="n">
        <v>1</v>
      </c>
      <c r="R2792" t="n">
        <v>1</v>
      </c>
      <c r="S2792" t="n">
        <v>1958</v>
      </c>
      <c r="T2792" t="s">
        <v>18310</v>
      </c>
      <c r="U2792" t="s">
        <v>18311</v>
      </c>
      <c r="V2792" t="s">
        <v>74</v>
      </c>
      <c r="W2792"/>
      <c r="X2792"/>
      <c r="Y2792" t="s">
        <v>18312</v>
      </c>
      <c r="Z2792"/>
      <c r="AA2792" t="s">
        <v>18313</v>
      </c>
      <c r="AB2792"/>
      <c r="AC2792"/>
      <c r="AD2792"/>
      <c r="AE2792"/>
      <c r="AF2792" t="s">
        <v>18314</v>
      </c>
      <c r="AG2792" t="n">
        <v>195</v>
      </c>
    </row>
    <row r="2793">
      <c r="A2793" t="s">
        <v>18315</v>
      </c>
      <c r="B2793" t="s">
        <v>28</v>
      </c>
      <c r="C2793" t="s">
        <v>65</v>
      </c>
      <c r="D2793" t="s">
        <v>18316</v>
      </c>
      <c r="E2793" t="s">
        <v>3705</v>
      </c>
      <c r="F2793" t="s">
        <v>3706</v>
      </c>
      <c r="G2793" t="s">
        <v>3707</v>
      </c>
      <c r="H2793" t="n">
        <v>40.2694858188919</v>
      </c>
      <c r="I2793" t="n">
        <v>-103.624374492853</v>
      </c>
      <c r="J2793" t="s">
        <v>35</v>
      </c>
      <c r="K2793" t="s">
        <v>126</v>
      </c>
      <c r="L2793"/>
      <c r="M2793" t="n">
        <v>1977</v>
      </c>
      <c r="N2793" t="n">
        <v>1990</v>
      </c>
      <c r="O2793" t="s">
        <v>235</v>
      </c>
      <c r="P2793" t="n">
        <v>4</v>
      </c>
      <c r="Q2793" t="n">
        <v>2</v>
      </c>
      <c r="R2793" t="n">
        <v>2</v>
      </c>
      <c r="S2793" t="n">
        <v>1949</v>
      </c>
      <c r="T2793" t="s">
        <v>18317</v>
      </c>
      <c r="U2793" t="s">
        <v>18318</v>
      </c>
      <c r="V2793" t="s">
        <v>74</v>
      </c>
      <c r="W2793"/>
      <c r="X2793"/>
      <c r="Y2793" t="s">
        <v>18319</v>
      </c>
      <c r="Z2793"/>
      <c r="AA2793"/>
      <c r="AB2793"/>
      <c r="AC2793"/>
      <c r="AD2793"/>
      <c r="AE2793"/>
      <c r="AF2793" t="s">
        <v>18320</v>
      </c>
      <c r="AG2793" t="n">
        <v>52</v>
      </c>
    </row>
    <row r="2794">
      <c r="A2794" t="s">
        <v>18321</v>
      </c>
      <c r="B2794" t="s">
        <v>28</v>
      </c>
      <c r="C2794" t="s">
        <v>24</v>
      </c>
      <c r="D2794" t="s">
        <v>18322</v>
      </c>
      <c r="E2794" t="s">
        <v>3722</v>
      </c>
      <c r="F2794" t="s">
        <v>3706</v>
      </c>
      <c r="G2794" t="s">
        <v>3723</v>
      </c>
      <c r="H2794" t="n">
        <v>40.2478637142857</v>
      </c>
      <c r="I2794" t="n">
        <v>-103.802772428571</v>
      </c>
      <c r="J2794" t="s">
        <v>4109</v>
      </c>
      <c r="K2794" t="s">
        <v>70</v>
      </c>
      <c r="L2794"/>
      <c r="M2794" t="n">
        <v>1980</v>
      </c>
      <c r="N2794" t="n">
        <v>1983</v>
      </c>
      <c r="O2794" t="s">
        <v>528</v>
      </c>
      <c r="P2794" t="n">
        <v>2</v>
      </c>
      <c r="Q2794" t="n">
        <v>1</v>
      </c>
      <c r="R2794" t="n">
        <v>1</v>
      </c>
      <c r="S2794" t="n">
        <v>1929</v>
      </c>
      <c r="T2794" t="s">
        <v>18323</v>
      </c>
      <c r="U2794" t="s">
        <v>18324</v>
      </c>
      <c r="V2794" t="s">
        <v>74</v>
      </c>
      <c r="W2794"/>
      <c r="X2794"/>
      <c r="Y2794" t="s">
        <v>18325</v>
      </c>
      <c r="Z2794"/>
      <c r="AA2794"/>
      <c r="AB2794"/>
      <c r="AC2794"/>
      <c r="AD2794"/>
      <c r="AE2794"/>
      <c r="AF2794" t="s">
        <v>18314</v>
      </c>
      <c r="AG2794" t="n">
        <v>45</v>
      </c>
    </row>
    <row r="2795">
      <c r="A2795" t="s">
        <v>18326</v>
      </c>
      <c r="B2795" t="s">
        <v>28</v>
      </c>
      <c r="C2795" t="s">
        <v>65</v>
      </c>
      <c r="D2795" t="s">
        <v>18327</v>
      </c>
      <c r="E2795" t="s">
        <v>3736</v>
      </c>
      <c r="F2795" t="s">
        <v>3730</v>
      </c>
      <c r="G2795" t="s">
        <v>3737</v>
      </c>
      <c r="H2795" t="n">
        <v>37.9848111360544</v>
      </c>
      <c r="I2795" t="n">
        <v>-103.543086010204</v>
      </c>
      <c r="J2795" t="s">
        <v>35</v>
      </c>
      <c r="K2795" t="s">
        <v>70</v>
      </c>
      <c r="L2795"/>
      <c r="M2795" t="n">
        <v>1965</v>
      </c>
      <c r="N2795" t="n">
        <v>1992</v>
      </c>
      <c r="O2795" t="s">
        <v>121</v>
      </c>
      <c r="P2795" t="n">
        <v>10</v>
      </c>
      <c r="Q2795" t="n">
        <v>6</v>
      </c>
      <c r="R2795" t="n">
        <v>1</v>
      </c>
      <c r="S2795" t="n">
        <v>1897</v>
      </c>
      <c r="T2795" t="s">
        <v>18328</v>
      </c>
      <c r="U2795" t="s">
        <v>18329</v>
      </c>
      <c r="V2795" t="s">
        <v>74</v>
      </c>
      <c r="W2795"/>
      <c r="X2795"/>
      <c r="Y2795" t="s">
        <v>18330</v>
      </c>
      <c r="Z2795"/>
      <c r="AA2795"/>
      <c r="AB2795" t="s">
        <v>18331</v>
      </c>
      <c r="AC2795" t="n">
        <v>103</v>
      </c>
      <c r="AD2795"/>
      <c r="AE2795"/>
      <c r="AF2795" t="s">
        <v>18332</v>
      </c>
      <c r="AG2795" t="n">
        <v>18</v>
      </c>
    </row>
    <row r="2796">
      <c r="A2796" t="s">
        <v>18333</v>
      </c>
      <c r="B2796" t="s">
        <v>28</v>
      </c>
      <c r="C2796" t="s">
        <v>24</v>
      </c>
      <c r="D2796" t="s">
        <v>18334</v>
      </c>
      <c r="E2796" t="s">
        <v>4912</v>
      </c>
      <c r="F2796" t="s">
        <v>3730</v>
      </c>
      <c r="G2796" t="s">
        <v>4913</v>
      </c>
      <c r="H2796" t="n">
        <v>38.0509572278926</v>
      </c>
      <c r="I2796" t="n">
        <v>-103.71234255099</v>
      </c>
      <c r="J2796" t="s">
        <v>4109</v>
      </c>
      <c r="K2796" t="s">
        <v>141</v>
      </c>
      <c r="L2796"/>
      <c r="M2796" t="n">
        <v>1966</v>
      </c>
      <c r="N2796" t="n">
        <v>1990</v>
      </c>
      <c r="O2796" t="s">
        <v>18335</v>
      </c>
      <c r="P2796" t="n">
        <v>7</v>
      </c>
      <c r="Q2796" t="n">
        <v>5</v>
      </c>
      <c r="R2796" t="n">
        <v>4</v>
      </c>
      <c r="S2796" t="n">
        <v>1961</v>
      </c>
      <c r="T2796" t="s">
        <v>18336</v>
      </c>
      <c r="U2796" t="s">
        <v>18337</v>
      </c>
      <c r="V2796" t="s">
        <v>74</v>
      </c>
      <c r="W2796"/>
      <c r="X2796"/>
      <c r="Y2796" t="s">
        <v>18338</v>
      </c>
      <c r="Z2796"/>
      <c r="AA2796"/>
      <c r="AB2796"/>
      <c r="AC2796"/>
      <c r="AD2796"/>
      <c r="AE2796"/>
      <c r="AF2796" t="s">
        <v>10323</v>
      </c>
      <c r="AG2796" t="n">
        <v>210</v>
      </c>
    </row>
    <row r="2797">
      <c r="A2797" t="s">
        <v>18339</v>
      </c>
      <c r="B2797" t="s">
        <v>28</v>
      </c>
      <c r="C2797" t="s">
        <v>65</v>
      </c>
      <c r="D2797" t="s">
        <v>18340</v>
      </c>
      <c r="E2797" t="s">
        <v>4912</v>
      </c>
      <c r="F2797" t="s">
        <v>3730</v>
      </c>
      <c r="G2797" t="s">
        <v>4913</v>
      </c>
      <c r="H2797" t="n">
        <v>38.0608946666667</v>
      </c>
      <c r="I2797" t="n">
        <v>-103.7201353</v>
      </c>
      <c r="J2797" t="s">
        <v>35</v>
      </c>
      <c r="K2797" t="s">
        <v>70</v>
      </c>
      <c r="L2797"/>
      <c r="M2797" t="n">
        <v>1974</v>
      </c>
      <c r="N2797" t="n">
        <v>1977</v>
      </c>
      <c r="O2797" t="s">
        <v>210</v>
      </c>
      <c r="P2797" t="n">
        <v>2</v>
      </c>
      <c r="Q2797" t="n">
        <v>2</v>
      </c>
      <c r="R2797" t="n">
        <v>1</v>
      </c>
      <c r="S2797" t="n">
        <v>1973</v>
      </c>
      <c r="T2797" t="s">
        <v>18341</v>
      </c>
      <c r="U2797" t="s">
        <v>18342</v>
      </c>
      <c r="V2797" t="s">
        <v>74</v>
      </c>
      <c r="W2797"/>
      <c r="X2797"/>
      <c r="Y2797" t="s">
        <v>18343</v>
      </c>
      <c r="Z2797"/>
      <c r="AA2797"/>
      <c r="AB2797"/>
      <c r="AC2797"/>
      <c r="AD2797"/>
      <c r="AE2797"/>
      <c r="AF2797" t="s">
        <v>18344</v>
      </c>
      <c r="AG2797" t="n">
        <v>40</v>
      </c>
    </row>
    <row r="2798">
      <c r="A2798" t="s">
        <v>18345</v>
      </c>
      <c r="B2798" t="s">
        <v>28</v>
      </c>
      <c r="C2798" t="s">
        <v>24</v>
      </c>
      <c r="D2798" t="s">
        <v>18346</v>
      </c>
      <c r="E2798" t="s">
        <v>3736</v>
      </c>
      <c r="F2798" t="s">
        <v>3730</v>
      </c>
      <c r="G2798" t="s">
        <v>3737</v>
      </c>
      <c r="H2798" t="n">
        <v>38.0406567943112</v>
      </c>
      <c r="I2798" t="n">
        <v>-103.51813292678</v>
      </c>
      <c r="J2798" t="s">
        <v>4109</v>
      </c>
      <c r="K2798" t="s">
        <v>141</v>
      </c>
      <c r="L2798"/>
      <c r="M2798" t="n">
        <v>1988</v>
      </c>
      <c r="N2798" t="n">
        <v>1992</v>
      </c>
      <c r="O2798" t="s">
        <v>320</v>
      </c>
      <c r="P2798" t="n">
        <v>3</v>
      </c>
      <c r="Q2798" t="n">
        <v>2</v>
      </c>
      <c r="R2798" t="n">
        <v>2</v>
      </c>
      <c r="S2798" t="n">
        <v>1981</v>
      </c>
      <c r="T2798" t="s">
        <v>18347</v>
      </c>
      <c r="U2798" t="s">
        <v>18348</v>
      </c>
      <c r="V2798" t="s">
        <v>74</v>
      </c>
      <c r="W2798"/>
      <c r="X2798"/>
      <c r="Y2798" t="s">
        <v>18349</v>
      </c>
      <c r="Z2798"/>
      <c r="AA2798" t="s">
        <v>18350</v>
      </c>
      <c r="AB2798"/>
      <c r="AC2798"/>
      <c r="AD2798"/>
      <c r="AE2798"/>
      <c r="AF2798" t="s">
        <v>18351</v>
      </c>
      <c r="AG2798" t="n">
        <v>79</v>
      </c>
    </row>
    <row r="2799">
      <c r="A2799" t="s">
        <v>18352</v>
      </c>
      <c r="B2799" t="s">
        <v>28</v>
      </c>
      <c r="C2799" t="s">
        <v>65</v>
      </c>
      <c r="D2799" t="s">
        <v>18353</v>
      </c>
      <c r="E2799" t="s">
        <v>18354</v>
      </c>
      <c r="F2799" t="s">
        <v>3766</v>
      </c>
      <c r="G2799" t="s">
        <v>18355</v>
      </c>
      <c r="H2799" t="n">
        <v>40.5822607380952</v>
      </c>
      <c r="I2799" t="n">
        <v>-102.302237357143</v>
      </c>
      <c r="J2799" t="s">
        <v>35</v>
      </c>
      <c r="K2799" t="s">
        <v>120</v>
      </c>
      <c r="L2799"/>
      <c r="M2799" t="n">
        <v>1966</v>
      </c>
      <c r="N2799" t="n">
        <v>1990</v>
      </c>
      <c r="O2799" t="s">
        <v>310</v>
      </c>
      <c r="P2799" t="n">
        <v>5</v>
      </c>
      <c r="Q2799" t="n">
        <v>3</v>
      </c>
      <c r="R2799" t="n">
        <v>1</v>
      </c>
      <c r="S2799" t="n">
        <v>1958</v>
      </c>
      <c r="T2799" t="s">
        <v>18356</v>
      </c>
      <c r="U2799" t="s">
        <v>18357</v>
      </c>
      <c r="V2799" t="s">
        <v>74</v>
      </c>
      <c r="W2799"/>
      <c r="X2799"/>
      <c r="Y2799" t="s">
        <v>18358</v>
      </c>
      <c r="Z2799"/>
      <c r="AA2799"/>
      <c r="AB2799"/>
      <c r="AC2799"/>
      <c r="AD2799"/>
      <c r="AE2799"/>
      <c r="AF2799" t="s">
        <v>18359</v>
      </c>
      <c r="AG2799" t="n">
        <v>25</v>
      </c>
    </row>
    <row r="2800">
      <c r="A2800" t="s">
        <v>18360</v>
      </c>
      <c r="B2800" t="s">
        <v>28</v>
      </c>
      <c r="C2800" t="s">
        <v>65</v>
      </c>
      <c r="D2800" t="s">
        <v>18361</v>
      </c>
      <c r="E2800" t="s">
        <v>18354</v>
      </c>
      <c r="F2800" t="s">
        <v>3766</v>
      </c>
      <c r="G2800" t="s">
        <v>18355</v>
      </c>
      <c r="H2800" t="n">
        <v>40.5855684693878</v>
      </c>
      <c r="I2800" t="n">
        <v>-102.304339</v>
      </c>
      <c r="J2800" t="s">
        <v>35</v>
      </c>
      <c r="K2800" t="s">
        <v>89</v>
      </c>
      <c r="L2800"/>
      <c r="M2800" t="n">
        <v>1990</v>
      </c>
      <c r="N2800" t="n">
        <v>1990</v>
      </c>
      <c r="O2800" t="s">
        <v>351</v>
      </c>
      <c r="P2800" t="n">
        <v>1</v>
      </c>
      <c r="Q2800" t="n">
        <v>1</v>
      </c>
      <c r="R2800" t="n">
        <v>1</v>
      </c>
      <c r="S2800" t="n">
        <v>1929</v>
      </c>
      <c r="T2800" t="s">
        <v>18362</v>
      </c>
      <c r="U2800" t="s">
        <v>18363</v>
      </c>
      <c r="V2800" t="s">
        <v>74</v>
      </c>
      <c r="W2800"/>
      <c r="X2800"/>
      <c r="Y2800" t="s">
        <v>18364</v>
      </c>
      <c r="Z2800"/>
      <c r="AA2800" t="s">
        <v>18365</v>
      </c>
      <c r="AB2800"/>
      <c r="AC2800"/>
      <c r="AD2800" t="s">
        <v>18366</v>
      </c>
      <c r="AE2800" t="n">
        <v>134</v>
      </c>
      <c r="AF2800" t="s">
        <v>18367</v>
      </c>
      <c r="AG2800" t="n">
        <v>5</v>
      </c>
    </row>
    <row r="2801">
      <c r="A2801" t="s">
        <v>18368</v>
      </c>
      <c r="B2801" t="s">
        <v>28</v>
      </c>
      <c r="C2801" t="s">
        <v>65</v>
      </c>
      <c r="D2801" t="s">
        <v>18369</v>
      </c>
      <c r="E2801" t="s">
        <v>3789</v>
      </c>
      <c r="F2801" t="s">
        <v>3790</v>
      </c>
      <c r="G2801" t="s">
        <v>3797</v>
      </c>
      <c r="H2801" t="n">
        <v>38.0977008301887</v>
      </c>
      <c r="I2801" t="n">
        <v>-102.619258603774</v>
      </c>
      <c r="J2801" t="s">
        <v>35</v>
      </c>
      <c r="K2801" t="s">
        <v>120</v>
      </c>
      <c r="L2801"/>
      <c r="M2801" t="n">
        <v>1970</v>
      </c>
      <c r="N2801" t="n">
        <v>1970</v>
      </c>
      <c r="O2801" t="s">
        <v>726</v>
      </c>
      <c r="P2801" t="n">
        <v>1</v>
      </c>
      <c r="Q2801" t="n">
        <v>1</v>
      </c>
      <c r="R2801" t="n">
        <v>1</v>
      </c>
      <c r="S2801" t="n">
        <v>1958</v>
      </c>
      <c r="T2801" t="s">
        <v>18370</v>
      </c>
      <c r="U2801" t="s">
        <v>18371</v>
      </c>
      <c r="V2801" t="s">
        <v>74</v>
      </c>
      <c r="W2801"/>
      <c r="X2801"/>
      <c r="Y2801" t="s">
        <v>18372</v>
      </c>
      <c r="Z2801"/>
      <c r="AA2801"/>
      <c r="AB2801" t="s">
        <v>18373</v>
      </c>
      <c r="AC2801" t="n">
        <v>194</v>
      </c>
      <c r="AD2801"/>
      <c r="AE2801"/>
      <c r="AF2801" t="s">
        <v>18374</v>
      </c>
      <c r="AG2801" t="n">
        <v>31</v>
      </c>
    </row>
    <row r="2802">
      <c r="A2802" t="s">
        <v>18375</v>
      </c>
      <c r="B2802" t="s">
        <v>28</v>
      </c>
      <c r="C2802" t="s">
        <v>24</v>
      </c>
      <c r="D2802" t="s">
        <v>18376</v>
      </c>
      <c r="E2802" t="s">
        <v>3789</v>
      </c>
      <c r="F2802" t="s">
        <v>3790</v>
      </c>
      <c r="G2802" t="s">
        <v>3797</v>
      </c>
      <c r="H2802" t="n">
        <v>38.0921003835858</v>
      </c>
      <c r="I2802" t="n">
        <v>-102.626181926443</v>
      </c>
      <c r="J2802" t="s">
        <v>4109</v>
      </c>
      <c r="K2802" t="s">
        <v>120</v>
      </c>
      <c r="L2802"/>
      <c r="M2802" t="n">
        <v>1992</v>
      </c>
      <c r="N2802" t="n">
        <v>1992</v>
      </c>
      <c r="O2802" t="s">
        <v>1016</v>
      </c>
      <c r="P2802" t="n">
        <v>1</v>
      </c>
      <c r="Q2802" t="n">
        <v>1</v>
      </c>
      <c r="R2802" t="n">
        <v>1</v>
      </c>
      <c r="S2802" t="n">
        <v>1920</v>
      </c>
      <c r="T2802" t="s">
        <v>18377</v>
      </c>
      <c r="U2802" t="s">
        <v>18378</v>
      </c>
      <c r="V2802" t="s">
        <v>74</v>
      </c>
      <c r="W2802"/>
      <c r="X2802"/>
      <c r="Y2802" t="s">
        <v>18379</v>
      </c>
      <c r="Z2802"/>
      <c r="AA2802"/>
      <c r="AB2802"/>
      <c r="AC2802"/>
      <c r="AD2802"/>
      <c r="AE2802"/>
      <c r="AF2802" t="s">
        <v>18380</v>
      </c>
      <c r="AG2802" t="n">
        <v>137</v>
      </c>
    </row>
    <row r="2803">
      <c r="A2803" t="s">
        <v>18381</v>
      </c>
      <c r="B2803" t="s">
        <v>28</v>
      </c>
      <c r="C2803" t="s">
        <v>24</v>
      </c>
      <c r="D2803" t="s">
        <v>18382</v>
      </c>
      <c r="E2803" t="s">
        <v>3803</v>
      </c>
      <c r="F2803" t="s">
        <v>3804</v>
      </c>
      <c r="G2803"/>
      <c r="H2803" t="n">
        <v>38.259798</v>
      </c>
      <c r="I2803" t="n">
        <v>-104.62117</v>
      </c>
      <c r="J2803" t="s">
        <v>4109</v>
      </c>
      <c r="K2803" t="s">
        <v>70</v>
      </c>
      <c r="L2803"/>
      <c r="M2803" t="n">
        <v>1965</v>
      </c>
      <c r="N2803" t="n">
        <v>1965</v>
      </c>
      <c r="O2803" t="s">
        <v>1275</v>
      </c>
      <c r="P2803" t="n">
        <v>1</v>
      </c>
      <c r="Q2803" t="n">
        <v>1</v>
      </c>
      <c r="R2803" t="n">
        <v>1</v>
      </c>
      <c r="S2803"/>
      <c r="T2803" t="s">
        <v>18383</v>
      </c>
      <c r="U2803" t="s">
        <v>18384</v>
      </c>
      <c r="V2803" t="s">
        <v>74</v>
      </c>
      <c r="W2803"/>
      <c r="X2803"/>
      <c r="Y2803" t="s">
        <v>18385</v>
      </c>
      <c r="Z2803"/>
      <c r="AA2803" t="s">
        <v>18386</v>
      </c>
      <c r="AB2803"/>
      <c r="AC2803"/>
      <c r="AD2803"/>
      <c r="AE2803"/>
      <c r="AF2803" t="s">
        <v>18387</v>
      </c>
      <c r="AG2803" t="n">
        <v>89</v>
      </c>
    </row>
    <row r="2804">
      <c r="A2804" t="s">
        <v>18388</v>
      </c>
      <c r="B2804" t="s">
        <v>28</v>
      </c>
      <c r="C2804" t="s">
        <v>65</v>
      </c>
      <c r="D2804" t="s">
        <v>18389</v>
      </c>
      <c r="E2804" t="s">
        <v>3803</v>
      </c>
      <c r="F2804" t="s">
        <v>3804</v>
      </c>
      <c r="G2804"/>
      <c r="H2804" t="n">
        <v>38.2648997320128</v>
      </c>
      <c r="I2804" t="n">
        <v>-104.614783483149</v>
      </c>
      <c r="J2804" t="s">
        <v>35</v>
      </c>
      <c r="K2804" t="s">
        <v>89</v>
      </c>
      <c r="L2804"/>
      <c r="M2804" t="n">
        <v>1965</v>
      </c>
      <c r="N2804" t="n">
        <v>1974</v>
      </c>
      <c r="O2804" t="s">
        <v>1275</v>
      </c>
      <c r="P2804" t="n">
        <v>3</v>
      </c>
      <c r="Q2804" t="n">
        <v>3</v>
      </c>
      <c r="R2804" t="n">
        <v>2</v>
      </c>
      <c r="S2804" t="n">
        <v>1927</v>
      </c>
      <c r="T2804" t="s">
        <v>18390</v>
      </c>
      <c r="U2804" t="s">
        <v>18391</v>
      </c>
      <c r="V2804" t="s">
        <v>74</v>
      </c>
      <c r="W2804"/>
      <c r="X2804"/>
      <c r="Y2804" t="s">
        <v>18392</v>
      </c>
      <c r="Z2804"/>
      <c r="AA2804" t="s">
        <v>18393</v>
      </c>
      <c r="AB2804" t="s">
        <v>18394</v>
      </c>
      <c r="AC2804" t="n">
        <v>193</v>
      </c>
      <c r="AD2804"/>
      <c r="AE2804"/>
      <c r="AF2804" t="s">
        <v>18395</v>
      </c>
      <c r="AG2804" t="n">
        <v>12</v>
      </c>
    </row>
    <row r="2805">
      <c r="A2805" t="s">
        <v>18396</v>
      </c>
      <c r="B2805" t="s">
        <v>28</v>
      </c>
      <c r="C2805" t="s">
        <v>65</v>
      </c>
      <c r="D2805" t="s">
        <v>18397</v>
      </c>
      <c r="E2805" t="s">
        <v>3803</v>
      </c>
      <c r="F2805" t="s">
        <v>3804</v>
      </c>
      <c r="G2805" t="s">
        <v>3831</v>
      </c>
      <c r="H2805" t="n">
        <v>38.2605938329823</v>
      </c>
      <c r="I2805" t="n">
        <v>-104.618285466194</v>
      </c>
      <c r="J2805" t="s">
        <v>35</v>
      </c>
      <c r="K2805" t="s">
        <v>527</v>
      </c>
      <c r="L2805"/>
      <c r="M2805" t="n">
        <v>1966</v>
      </c>
      <c r="N2805" t="n">
        <v>1992</v>
      </c>
      <c r="O2805" t="s">
        <v>18398</v>
      </c>
      <c r="P2805" t="n">
        <v>11</v>
      </c>
      <c r="Q2805" t="n">
        <v>10</v>
      </c>
      <c r="R2805" t="n">
        <v>4</v>
      </c>
      <c r="S2805" t="n">
        <v>1900</v>
      </c>
      <c r="T2805" t="s">
        <v>18399</v>
      </c>
      <c r="U2805" t="s">
        <v>18400</v>
      </c>
      <c r="V2805" t="s">
        <v>74</v>
      </c>
      <c r="W2805"/>
      <c r="X2805"/>
      <c r="Y2805" t="s">
        <v>18401</v>
      </c>
      <c r="Z2805"/>
      <c r="AA2805" t="s">
        <v>18402</v>
      </c>
      <c r="AB2805"/>
      <c r="AC2805"/>
      <c r="AD2805"/>
      <c r="AE2805"/>
      <c r="AF2805" t="s">
        <v>18387</v>
      </c>
      <c r="AG2805" t="n">
        <v>32</v>
      </c>
    </row>
    <row r="2806">
      <c r="A2806" t="s">
        <v>18403</v>
      </c>
      <c r="B2806" t="s">
        <v>28</v>
      </c>
      <c r="C2806" t="s">
        <v>65</v>
      </c>
      <c r="D2806" t="s">
        <v>18404</v>
      </c>
      <c r="E2806" t="s">
        <v>3803</v>
      </c>
      <c r="F2806" t="s">
        <v>3804</v>
      </c>
      <c r="G2806" t="s">
        <v>3805</v>
      </c>
      <c r="H2806" t="n">
        <v>38.2633444020408</v>
      </c>
      <c r="I2806" t="n">
        <v>-104.613013881633</v>
      </c>
      <c r="J2806" t="s">
        <v>35</v>
      </c>
      <c r="K2806" t="s">
        <v>885</v>
      </c>
      <c r="L2806"/>
      <c r="M2806" t="n">
        <v>1966</v>
      </c>
      <c r="N2806" t="n">
        <v>1992</v>
      </c>
      <c r="O2806" t="s">
        <v>18405</v>
      </c>
      <c r="P2806" t="n">
        <v>12</v>
      </c>
      <c r="Q2806" t="n">
        <v>8</v>
      </c>
      <c r="R2806" t="n">
        <v>3</v>
      </c>
      <c r="S2806" t="n">
        <v>1920</v>
      </c>
      <c r="T2806" t="s">
        <v>18406</v>
      </c>
      <c r="U2806" t="s">
        <v>18407</v>
      </c>
      <c r="V2806" t="s">
        <v>74</v>
      </c>
      <c r="W2806"/>
      <c r="X2806"/>
      <c r="Y2806" t="s">
        <v>18408</v>
      </c>
      <c r="Z2806"/>
      <c r="AA2806" t="s">
        <v>18409</v>
      </c>
      <c r="AB2806"/>
      <c r="AC2806"/>
      <c r="AD2806"/>
      <c r="AE2806"/>
      <c r="AF2806" t="s">
        <v>18410</v>
      </c>
      <c r="AG2806" t="n">
        <v>11</v>
      </c>
    </row>
    <row r="2807">
      <c r="A2807" t="s">
        <v>18411</v>
      </c>
      <c r="B2807" t="s">
        <v>28</v>
      </c>
      <c r="C2807" t="s">
        <v>24</v>
      </c>
      <c r="D2807" t="s">
        <v>18412</v>
      </c>
      <c r="E2807" t="s">
        <v>3803</v>
      </c>
      <c r="F2807" t="s">
        <v>3804</v>
      </c>
      <c r="G2807" t="s">
        <v>3836</v>
      </c>
      <c r="H2807" t="n">
        <v>38.244038</v>
      </c>
      <c r="I2807" t="n">
        <v>-104.643785</v>
      </c>
      <c r="J2807" t="s">
        <v>4109</v>
      </c>
      <c r="K2807" t="s">
        <v>282</v>
      </c>
      <c r="L2807"/>
      <c r="M2807" t="n">
        <v>1966</v>
      </c>
      <c r="N2807" t="n">
        <v>1968</v>
      </c>
      <c r="O2807" t="s">
        <v>1349</v>
      </c>
      <c r="P2807" t="n">
        <v>2</v>
      </c>
      <c r="Q2807" t="n">
        <v>1</v>
      </c>
      <c r="R2807" t="n">
        <v>1</v>
      </c>
      <c r="S2807" t="n">
        <v>1954</v>
      </c>
      <c r="T2807" t="s">
        <v>18413</v>
      </c>
      <c r="U2807" t="s">
        <v>18414</v>
      </c>
      <c r="V2807" t="s">
        <v>74</v>
      </c>
      <c r="W2807"/>
      <c r="X2807"/>
      <c r="Y2807" t="s">
        <v>18415</v>
      </c>
      <c r="Z2807"/>
      <c r="AA2807" t="s">
        <v>18416</v>
      </c>
      <c r="AB2807"/>
      <c r="AC2807"/>
      <c r="AD2807"/>
      <c r="AE2807"/>
      <c r="AF2807" t="s">
        <v>18417</v>
      </c>
      <c r="AG2807" t="n">
        <v>70</v>
      </c>
    </row>
    <row r="2808">
      <c r="A2808" t="s">
        <v>18418</v>
      </c>
      <c r="B2808" t="s">
        <v>28</v>
      </c>
      <c r="C2808" t="s">
        <v>24</v>
      </c>
      <c r="D2808" t="s">
        <v>18419</v>
      </c>
      <c r="E2808" t="s">
        <v>3803</v>
      </c>
      <c r="F2808" t="s">
        <v>3804</v>
      </c>
      <c r="G2808" t="s">
        <v>3805</v>
      </c>
      <c r="H2808" t="n">
        <v>38.2659390612245</v>
      </c>
      <c r="I2808" t="n">
        <v>-104.613489387755</v>
      </c>
      <c r="J2808" t="s">
        <v>35</v>
      </c>
      <c r="K2808" t="s">
        <v>133</v>
      </c>
      <c r="L2808"/>
      <c r="M2808" t="n">
        <v>1966</v>
      </c>
      <c r="N2808" t="n">
        <v>1967</v>
      </c>
      <c r="O2808" t="s">
        <v>4172</v>
      </c>
      <c r="P2808" t="n">
        <v>2</v>
      </c>
      <c r="Q2808" t="n">
        <v>2</v>
      </c>
      <c r="R2808" t="n">
        <v>1</v>
      </c>
      <c r="S2808"/>
      <c r="T2808" t="s">
        <v>18420</v>
      </c>
      <c r="U2808" t="s">
        <v>18421</v>
      </c>
      <c r="V2808" t="s">
        <v>4175</v>
      </c>
      <c r="W2808"/>
      <c r="X2808"/>
      <c r="Y2808" t="s">
        <v>18422</v>
      </c>
      <c r="Z2808"/>
      <c r="AA2808"/>
      <c r="AB2808" t="s">
        <v>18394</v>
      </c>
      <c r="AC2808" t="n">
        <v>158</v>
      </c>
      <c r="AD2808"/>
      <c r="AE2808"/>
      <c r="AF2808" t="s">
        <v>18423</v>
      </c>
      <c r="AG2808" t="n">
        <v>8</v>
      </c>
    </row>
    <row r="2809">
      <c r="A2809" t="s">
        <v>18424</v>
      </c>
      <c r="B2809" t="s">
        <v>28</v>
      </c>
      <c r="C2809" t="s">
        <v>65</v>
      </c>
      <c r="D2809" t="s">
        <v>18425</v>
      </c>
      <c r="E2809" t="s">
        <v>3803</v>
      </c>
      <c r="F2809" t="s">
        <v>3804</v>
      </c>
      <c r="G2809" t="s">
        <v>3805</v>
      </c>
      <c r="H2809" t="n">
        <v>38.2640299260355</v>
      </c>
      <c r="I2809" t="n">
        <v>-104.615867598723</v>
      </c>
      <c r="J2809" t="s">
        <v>35</v>
      </c>
      <c r="K2809" t="s">
        <v>1282</v>
      </c>
      <c r="L2809"/>
      <c r="M2809" t="n">
        <v>1966</v>
      </c>
      <c r="N2809" t="n">
        <v>1990</v>
      </c>
      <c r="O2809" t="s">
        <v>18426</v>
      </c>
      <c r="P2809" t="n">
        <v>8</v>
      </c>
      <c r="Q2809" t="n">
        <v>5</v>
      </c>
      <c r="R2809" t="n">
        <v>2</v>
      </c>
      <c r="S2809" t="n">
        <v>1936</v>
      </c>
      <c r="T2809" t="s">
        <v>18427</v>
      </c>
      <c r="U2809" t="s">
        <v>18428</v>
      </c>
      <c r="V2809" t="s">
        <v>74</v>
      </c>
      <c r="W2809"/>
      <c r="X2809"/>
      <c r="Y2809" t="s">
        <v>18429</v>
      </c>
      <c r="Z2809"/>
      <c r="AA2809"/>
      <c r="AB2809" t="s">
        <v>18430</v>
      </c>
      <c r="AC2809" t="n">
        <v>217</v>
      </c>
      <c r="AD2809"/>
      <c r="AE2809"/>
      <c r="AF2809" t="s">
        <v>18431</v>
      </c>
      <c r="AG2809" t="n">
        <v>38</v>
      </c>
    </row>
    <row r="2810">
      <c r="A2810" t="s">
        <v>18432</v>
      </c>
      <c r="B2810" t="s">
        <v>28</v>
      </c>
      <c r="C2810" t="s">
        <v>24</v>
      </c>
      <c r="D2810" t="s">
        <v>18433</v>
      </c>
      <c r="E2810" t="s">
        <v>3803</v>
      </c>
      <c r="F2810" t="s">
        <v>3804</v>
      </c>
      <c r="G2810" t="s">
        <v>3887</v>
      </c>
      <c r="H2810" t="n">
        <v>38.271488</v>
      </c>
      <c r="I2810" t="n">
        <v>-104.602759</v>
      </c>
      <c r="J2810" t="s">
        <v>4109</v>
      </c>
      <c r="K2810" t="s">
        <v>70</v>
      </c>
      <c r="L2810"/>
      <c r="M2810" t="n">
        <v>1966</v>
      </c>
      <c r="N2810" t="n">
        <v>1983</v>
      </c>
      <c r="O2810" t="s">
        <v>3217</v>
      </c>
      <c r="P2810" t="n">
        <v>4</v>
      </c>
      <c r="Q2810" t="n">
        <v>3</v>
      </c>
      <c r="R2810" t="n">
        <v>1</v>
      </c>
      <c r="S2810" t="n">
        <v>1951</v>
      </c>
      <c r="T2810" t="s">
        <v>18434</v>
      </c>
      <c r="U2810" t="s">
        <v>18435</v>
      </c>
      <c r="V2810" t="s">
        <v>74</v>
      </c>
      <c r="W2810"/>
      <c r="X2810"/>
      <c r="Y2810" t="s">
        <v>18436</v>
      </c>
      <c r="Z2810"/>
      <c r="AA2810"/>
      <c r="AB2810"/>
      <c r="AC2810"/>
      <c r="AD2810"/>
      <c r="AE2810"/>
      <c r="AF2810" t="s">
        <v>4929</v>
      </c>
      <c r="AG2810" t="n">
        <v>112</v>
      </c>
    </row>
    <row r="2811">
      <c r="A2811" t="s">
        <v>18437</v>
      </c>
      <c r="B2811" t="s">
        <v>28</v>
      </c>
      <c r="C2811" t="s">
        <v>24</v>
      </c>
      <c r="D2811" t="s">
        <v>18438</v>
      </c>
      <c r="E2811" t="s">
        <v>3803</v>
      </c>
      <c r="F2811" t="s">
        <v>3804</v>
      </c>
      <c r="G2811" t="s">
        <v>3887</v>
      </c>
      <c r="H2811" t="n">
        <v>38.2709459795918</v>
      </c>
      <c r="I2811" t="n">
        <v>-104.594949938775</v>
      </c>
      <c r="J2811" t="s">
        <v>4109</v>
      </c>
      <c r="K2811" t="s">
        <v>70</v>
      </c>
      <c r="L2811"/>
      <c r="M2811" t="n">
        <v>1967</v>
      </c>
      <c r="N2811" t="n">
        <v>1967</v>
      </c>
      <c r="O2811" t="s">
        <v>388</v>
      </c>
      <c r="P2811" t="n">
        <v>1</v>
      </c>
      <c r="Q2811" t="n">
        <v>1</v>
      </c>
      <c r="R2811" t="n">
        <v>1</v>
      </c>
      <c r="S2811" t="n">
        <v>1965</v>
      </c>
      <c r="T2811" t="s">
        <v>18439</v>
      </c>
      <c r="U2811" t="s">
        <v>18440</v>
      </c>
      <c r="V2811" t="s">
        <v>74</v>
      </c>
      <c r="W2811"/>
      <c r="X2811"/>
      <c r="Y2811" t="s">
        <v>18441</v>
      </c>
      <c r="Z2811"/>
      <c r="AA2811" t="s">
        <v>18442</v>
      </c>
      <c r="AB2811"/>
      <c r="AC2811"/>
      <c r="AD2811"/>
      <c r="AE2811"/>
      <c r="AF2811" t="s">
        <v>18443</v>
      </c>
      <c r="AG2811" t="n">
        <v>160</v>
      </c>
    </row>
    <row r="2812">
      <c r="A2812" t="s">
        <v>18444</v>
      </c>
      <c r="B2812" t="s">
        <v>28</v>
      </c>
      <c r="C2812" t="s">
        <v>24</v>
      </c>
      <c r="D2812" t="s">
        <v>18445</v>
      </c>
      <c r="E2812" t="s">
        <v>3803</v>
      </c>
      <c r="F2812" t="s">
        <v>3804</v>
      </c>
      <c r="G2812" t="s">
        <v>3836</v>
      </c>
      <c r="H2812" t="n">
        <v>38.2441841621622</v>
      </c>
      <c r="I2812" t="n">
        <v>-104.623687351351</v>
      </c>
      <c r="J2812" t="s">
        <v>4109</v>
      </c>
      <c r="K2812" t="s">
        <v>70</v>
      </c>
      <c r="L2812"/>
      <c r="M2812" t="n">
        <v>1967</v>
      </c>
      <c r="N2812" t="n">
        <v>1967</v>
      </c>
      <c r="O2812" t="s">
        <v>388</v>
      </c>
      <c r="P2812" t="n">
        <v>1</v>
      </c>
      <c r="Q2812" t="n">
        <v>1</v>
      </c>
      <c r="R2812" t="n">
        <v>1</v>
      </c>
      <c r="S2812" t="n">
        <v>1954</v>
      </c>
      <c r="T2812" t="s">
        <v>18446</v>
      </c>
      <c r="U2812" t="s">
        <v>18447</v>
      </c>
      <c r="V2812" t="s">
        <v>74</v>
      </c>
      <c r="W2812"/>
      <c r="X2812"/>
      <c r="Y2812" t="s">
        <v>18448</v>
      </c>
      <c r="Z2812"/>
      <c r="AA2812" t="s">
        <v>18449</v>
      </c>
      <c r="AB2812"/>
      <c r="AC2812"/>
      <c r="AD2812"/>
      <c r="AE2812"/>
      <c r="AF2812" t="s">
        <v>18450</v>
      </c>
      <c r="AG2812" t="n">
        <v>14</v>
      </c>
    </row>
    <row r="2813">
      <c r="A2813" t="s">
        <v>18451</v>
      </c>
      <c r="B2813" t="s">
        <v>28</v>
      </c>
      <c r="C2813" t="s">
        <v>24</v>
      </c>
      <c r="D2813" t="s">
        <v>18452</v>
      </c>
      <c r="E2813" t="s">
        <v>3803</v>
      </c>
      <c r="F2813" t="s">
        <v>3804</v>
      </c>
      <c r="G2813" t="s">
        <v>3836</v>
      </c>
      <c r="H2813" t="n">
        <v>38.244192</v>
      </c>
      <c r="I2813" t="n">
        <v>-104.621961530612</v>
      </c>
      <c r="J2813" t="s">
        <v>4109</v>
      </c>
      <c r="K2813" t="s">
        <v>70</v>
      </c>
      <c r="L2813"/>
      <c r="M2813" t="n">
        <v>1970</v>
      </c>
      <c r="N2813" t="n">
        <v>1977</v>
      </c>
      <c r="O2813" t="s">
        <v>5902</v>
      </c>
      <c r="P2813" t="n">
        <v>3</v>
      </c>
      <c r="Q2813" t="n">
        <v>2</v>
      </c>
      <c r="R2813" t="n">
        <v>1</v>
      </c>
      <c r="S2813" t="n">
        <v>1917</v>
      </c>
      <c r="T2813" t="s">
        <v>18453</v>
      </c>
      <c r="U2813" t="s">
        <v>18454</v>
      </c>
      <c r="V2813" t="s">
        <v>74</v>
      </c>
      <c r="W2813"/>
      <c r="X2813"/>
      <c r="Y2813" t="s">
        <v>18455</v>
      </c>
      <c r="Z2813"/>
      <c r="AA2813" t="s">
        <v>18456</v>
      </c>
      <c r="AB2813"/>
      <c r="AC2813"/>
      <c r="AD2813"/>
      <c r="AE2813"/>
      <c r="AF2813" t="s">
        <v>18450</v>
      </c>
      <c r="AG2813" t="n">
        <v>164</v>
      </c>
    </row>
    <row r="2814">
      <c r="A2814" t="s">
        <v>18457</v>
      </c>
      <c r="B2814" t="s">
        <v>28</v>
      </c>
      <c r="C2814" t="s">
        <v>24</v>
      </c>
      <c r="D2814" t="s">
        <v>18458</v>
      </c>
      <c r="E2814" t="s">
        <v>3803</v>
      </c>
      <c r="F2814" t="s">
        <v>3804</v>
      </c>
      <c r="G2814" t="s">
        <v>3836</v>
      </c>
      <c r="H2814" t="n">
        <v>38.234968</v>
      </c>
      <c r="I2814" t="n">
        <v>-104.643638</v>
      </c>
      <c r="J2814" t="s">
        <v>4109</v>
      </c>
      <c r="K2814" t="s">
        <v>70</v>
      </c>
      <c r="L2814"/>
      <c r="M2814" t="n">
        <v>1973</v>
      </c>
      <c r="N2814" t="n">
        <v>1990</v>
      </c>
      <c r="O2814" t="s">
        <v>8418</v>
      </c>
      <c r="P2814" t="n">
        <v>3</v>
      </c>
      <c r="Q2814" t="n">
        <v>1</v>
      </c>
      <c r="R2814" t="n">
        <v>1</v>
      </c>
      <c r="S2814" t="n">
        <v>1835</v>
      </c>
      <c r="T2814" t="s">
        <v>18459</v>
      </c>
      <c r="U2814" t="s">
        <v>18460</v>
      </c>
      <c r="V2814" t="s">
        <v>74</v>
      </c>
      <c r="W2814"/>
      <c r="X2814"/>
      <c r="Y2814" t="s">
        <v>18461</v>
      </c>
      <c r="Z2814"/>
      <c r="AA2814" t="s">
        <v>18462</v>
      </c>
      <c r="AB2814"/>
      <c r="AC2814"/>
      <c r="AD2814"/>
      <c r="AE2814"/>
      <c r="AF2814" t="s">
        <v>10393</v>
      </c>
      <c r="AG2814" t="n">
        <v>69</v>
      </c>
    </row>
    <row r="2815">
      <c r="A2815" t="s">
        <v>18463</v>
      </c>
      <c r="B2815" t="s">
        <v>28</v>
      </c>
      <c r="C2815" t="s">
        <v>24</v>
      </c>
      <c r="D2815" t="s">
        <v>18464</v>
      </c>
      <c r="E2815" t="s">
        <v>3803</v>
      </c>
      <c r="F2815" t="s">
        <v>3804</v>
      </c>
      <c r="G2815" t="s">
        <v>3859</v>
      </c>
      <c r="H2815" t="n">
        <v>38.250259</v>
      </c>
      <c r="I2815" t="n">
        <v>-104.588864</v>
      </c>
      <c r="J2815" t="s">
        <v>4109</v>
      </c>
      <c r="K2815" t="s">
        <v>282</v>
      </c>
      <c r="L2815" t="s">
        <v>98</v>
      </c>
      <c r="M2815" t="n">
        <v>1980</v>
      </c>
      <c r="N2815" t="n">
        <v>1983</v>
      </c>
      <c r="O2815" t="s">
        <v>528</v>
      </c>
      <c r="P2815" t="n">
        <v>2</v>
      </c>
      <c r="Q2815" t="n">
        <v>1</v>
      </c>
      <c r="R2815" t="n">
        <v>1</v>
      </c>
      <c r="S2815" t="n">
        <v>1972</v>
      </c>
      <c r="T2815" t="s">
        <v>18465</v>
      </c>
      <c r="U2815" t="s">
        <v>18466</v>
      </c>
      <c r="V2815" t="s">
        <v>74</v>
      </c>
      <c r="W2815"/>
      <c r="X2815"/>
      <c r="Y2815" t="s">
        <v>18467</v>
      </c>
      <c r="Z2815"/>
      <c r="AA2815" t="s">
        <v>18468</v>
      </c>
      <c r="AB2815"/>
      <c r="AC2815"/>
      <c r="AD2815"/>
      <c r="AE2815"/>
      <c r="AF2815" t="s">
        <v>18469</v>
      </c>
      <c r="AG2815" t="n">
        <v>48</v>
      </c>
    </row>
    <row r="2816">
      <c r="A2816" t="s">
        <v>18470</v>
      </c>
      <c r="B2816" t="s">
        <v>28</v>
      </c>
      <c r="C2816" t="s">
        <v>65</v>
      </c>
      <c r="D2816" t="s">
        <v>18471</v>
      </c>
      <c r="E2816" t="s">
        <v>3803</v>
      </c>
      <c r="F2816" t="s">
        <v>3804</v>
      </c>
      <c r="G2816" t="s">
        <v>3831</v>
      </c>
      <c r="H2816" t="n">
        <v>38.233398</v>
      </c>
      <c r="I2816" t="n">
        <v>-104.643621</v>
      </c>
      <c r="J2816" t="s">
        <v>35</v>
      </c>
      <c r="K2816" t="s">
        <v>141</v>
      </c>
      <c r="L2816"/>
      <c r="M2816" t="n">
        <v>1983</v>
      </c>
      <c r="N2816" t="n">
        <v>1990</v>
      </c>
      <c r="O2816" t="s">
        <v>271</v>
      </c>
      <c r="P2816" t="n">
        <v>3</v>
      </c>
      <c r="Q2816" t="n">
        <v>2</v>
      </c>
      <c r="R2816" t="n">
        <v>2</v>
      </c>
      <c r="S2816" t="n">
        <v>1969</v>
      </c>
      <c r="T2816" t="s">
        <v>18472</v>
      </c>
      <c r="U2816" t="s">
        <v>18473</v>
      </c>
      <c r="V2816" t="s">
        <v>74</v>
      </c>
      <c r="W2816"/>
      <c r="X2816"/>
      <c r="Y2816" t="s">
        <v>18474</v>
      </c>
      <c r="Z2816"/>
      <c r="AA2816"/>
      <c r="AB2816" t="s">
        <v>18475</v>
      </c>
      <c r="AC2816" t="n">
        <v>197</v>
      </c>
      <c r="AD2816"/>
      <c r="AE2816"/>
      <c r="AF2816" t="s">
        <v>18476</v>
      </c>
      <c r="AG2816" t="n">
        <v>71</v>
      </c>
    </row>
    <row r="2817">
      <c r="A2817" t="s">
        <v>18477</v>
      </c>
      <c r="B2817" t="s">
        <v>28</v>
      </c>
      <c r="C2817" t="s">
        <v>65</v>
      </c>
      <c r="D2817" t="s">
        <v>18478</v>
      </c>
      <c r="E2817" t="s">
        <v>3803</v>
      </c>
      <c r="F2817" t="s">
        <v>3804</v>
      </c>
      <c r="G2817"/>
      <c r="H2817" t="n">
        <v>38.2188262407215</v>
      </c>
      <c r="I2817" t="n">
        <v>-104.644380980466</v>
      </c>
      <c r="J2817" t="s">
        <v>35</v>
      </c>
      <c r="K2817" t="s">
        <v>70</v>
      </c>
      <c r="L2817"/>
      <c r="M2817" t="n">
        <v>1983</v>
      </c>
      <c r="N2817" t="n">
        <v>1990</v>
      </c>
      <c r="O2817" t="s">
        <v>351</v>
      </c>
      <c r="P2817" t="n">
        <v>3</v>
      </c>
      <c r="Q2817" t="n">
        <v>4</v>
      </c>
      <c r="R2817" t="n">
        <v>1</v>
      </c>
      <c r="S2817" t="n">
        <v>1957</v>
      </c>
      <c r="T2817" t="s">
        <v>18479</v>
      </c>
      <c r="U2817" t="s">
        <v>18480</v>
      </c>
      <c r="V2817" t="s">
        <v>74</v>
      </c>
      <c r="W2817"/>
      <c r="X2817"/>
      <c r="Y2817" t="s">
        <v>18481</v>
      </c>
      <c r="Z2817"/>
      <c r="AA2817"/>
      <c r="AB2817"/>
      <c r="AC2817"/>
      <c r="AD2817"/>
      <c r="AE2817"/>
      <c r="AF2817" t="s">
        <v>18482</v>
      </c>
      <c r="AG2817" t="n">
        <v>62</v>
      </c>
    </row>
    <row r="2818">
      <c r="A2818" t="s">
        <v>18483</v>
      </c>
      <c r="B2818" t="s">
        <v>28</v>
      </c>
      <c r="C2818" t="s">
        <v>65</v>
      </c>
      <c r="D2818" t="s">
        <v>18484</v>
      </c>
      <c r="E2818" t="s">
        <v>3803</v>
      </c>
      <c r="F2818" t="s">
        <v>3804</v>
      </c>
      <c r="G2818" t="s">
        <v>3887</v>
      </c>
      <c r="H2818" t="n">
        <v>38.2727904403244</v>
      </c>
      <c r="I2818" t="n">
        <v>-104.558184472091</v>
      </c>
      <c r="J2818" t="s">
        <v>35</v>
      </c>
      <c r="K2818" t="s">
        <v>89</v>
      </c>
      <c r="L2818"/>
      <c r="M2818" t="n">
        <v>1988</v>
      </c>
      <c r="N2818" t="n">
        <v>1988</v>
      </c>
      <c r="O2818" t="s">
        <v>325</v>
      </c>
      <c r="P2818" t="n">
        <v>1</v>
      </c>
      <c r="Q2818" t="n">
        <v>1</v>
      </c>
      <c r="R2818" t="n">
        <v>1</v>
      </c>
      <c r="S2818" t="n">
        <v>1966</v>
      </c>
      <c r="T2818" t="s">
        <v>18485</v>
      </c>
      <c r="U2818" t="s">
        <v>18486</v>
      </c>
      <c r="V2818" t="s">
        <v>74</v>
      </c>
      <c r="W2818"/>
      <c r="X2818"/>
      <c r="Y2818" t="s">
        <v>18487</v>
      </c>
      <c r="Z2818"/>
      <c r="AA2818"/>
      <c r="AB2818" t="s">
        <v>18488</v>
      </c>
      <c r="AC2818" t="n">
        <v>109</v>
      </c>
      <c r="AD2818" t="s">
        <v>18489</v>
      </c>
      <c r="AE2818" t="n">
        <v>186</v>
      </c>
      <c r="AF2818" t="s">
        <v>18490</v>
      </c>
      <c r="AG2818" t="n">
        <v>177</v>
      </c>
    </row>
    <row r="2819">
      <c r="A2819" t="s">
        <v>18491</v>
      </c>
      <c r="B2819" t="s">
        <v>28</v>
      </c>
      <c r="C2819" t="s">
        <v>65</v>
      </c>
      <c r="D2819" t="s">
        <v>18492</v>
      </c>
      <c r="E2819" t="s">
        <v>3902</v>
      </c>
      <c r="F2819" t="s">
        <v>3804</v>
      </c>
      <c r="G2819" t="s">
        <v>3903</v>
      </c>
      <c r="H2819" t="n">
        <v>38.3439624393661</v>
      </c>
      <c r="I2819" t="n">
        <v>-104.650163745684</v>
      </c>
      <c r="J2819" t="s">
        <v>35</v>
      </c>
      <c r="K2819" t="s">
        <v>133</v>
      </c>
      <c r="L2819"/>
      <c r="M2819" t="n">
        <v>1988</v>
      </c>
      <c r="N2819" t="n">
        <v>1990</v>
      </c>
      <c r="O2819" t="s">
        <v>310</v>
      </c>
      <c r="P2819" t="n">
        <v>2</v>
      </c>
      <c r="Q2819" t="n">
        <v>2</v>
      </c>
      <c r="R2819" t="n">
        <v>2</v>
      </c>
      <c r="S2819" t="n">
        <v>1983</v>
      </c>
      <c r="T2819" t="s">
        <v>18493</v>
      </c>
      <c r="U2819" t="s">
        <v>18494</v>
      </c>
      <c r="V2819" t="s">
        <v>74</v>
      </c>
      <c r="W2819"/>
      <c r="X2819"/>
      <c r="Y2819" t="s">
        <v>18495</v>
      </c>
      <c r="Z2819"/>
      <c r="AA2819"/>
      <c r="AB2819"/>
      <c r="AC2819"/>
      <c r="AD2819"/>
      <c r="AE2819"/>
      <c r="AF2819" t="s">
        <v>18496</v>
      </c>
      <c r="AG2819" t="n">
        <v>206</v>
      </c>
    </row>
    <row r="2820">
      <c r="A2820" t="s">
        <v>18497</v>
      </c>
      <c r="B2820" t="s">
        <v>28</v>
      </c>
      <c r="C2820" t="s">
        <v>24</v>
      </c>
      <c r="D2820" t="s">
        <v>18498</v>
      </c>
      <c r="E2820" t="s">
        <v>3902</v>
      </c>
      <c r="F2820" t="s">
        <v>3804</v>
      </c>
      <c r="G2820" t="s">
        <v>3903</v>
      </c>
      <c r="H2820" t="n">
        <v>38.3304730286947</v>
      </c>
      <c r="I2820" t="n">
        <v>-104.716081937229</v>
      </c>
      <c r="J2820" t="s">
        <v>4109</v>
      </c>
      <c r="K2820" t="s">
        <v>70</v>
      </c>
      <c r="L2820"/>
      <c r="M2820" t="n">
        <v>1988</v>
      </c>
      <c r="N2820" t="n">
        <v>1988</v>
      </c>
      <c r="O2820" t="s">
        <v>325</v>
      </c>
      <c r="P2820" t="n">
        <v>1</v>
      </c>
      <c r="Q2820" t="n">
        <v>1</v>
      </c>
      <c r="R2820" t="n">
        <v>1</v>
      </c>
      <c r="S2820" t="n">
        <v>1984</v>
      </c>
      <c r="T2820" t="s">
        <v>18499</v>
      </c>
      <c r="U2820" t="s">
        <v>18500</v>
      </c>
      <c r="V2820" t="s">
        <v>74</v>
      </c>
      <c r="W2820"/>
      <c r="X2820"/>
      <c r="Y2820" t="s">
        <v>18501</v>
      </c>
      <c r="Z2820"/>
      <c r="AA2820" t="s">
        <v>18502</v>
      </c>
      <c r="AB2820"/>
      <c r="AC2820"/>
      <c r="AD2820"/>
      <c r="AE2820"/>
      <c r="AF2820" t="s">
        <v>18503</v>
      </c>
      <c r="AG2820" t="n">
        <v>74</v>
      </c>
    </row>
    <row r="2821">
      <c r="A2821" t="s">
        <v>18504</v>
      </c>
      <c r="B2821" t="s">
        <v>28</v>
      </c>
      <c r="C2821" t="s">
        <v>24</v>
      </c>
      <c r="D2821" t="s">
        <v>18505</v>
      </c>
      <c r="E2821" t="s">
        <v>10536</v>
      </c>
      <c r="F2821" t="s">
        <v>10537</v>
      </c>
      <c r="G2821" t="s">
        <v>10538</v>
      </c>
      <c r="H2821" t="n">
        <v>37.5783832150246</v>
      </c>
      <c r="I2821" t="n">
        <v>-106.149499717699</v>
      </c>
      <c r="J2821" t="s">
        <v>4109</v>
      </c>
      <c r="K2821" t="s">
        <v>201</v>
      </c>
      <c r="L2821"/>
      <c r="M2821" t="n">
        <v>1968</v>
      </c>
      <c r="N2821" t="n">
        <v>1990</v>
      </c>
      <c r="O2821" t="s">
        <v>1179</v>
      </c>
      <c r="P2821" t="n">
        <v>8</v>
      </c>
      <c r="Q2821" t="n">
        <v>5</v>
      </c>
      <c r="R2821" t="n">
        <v>3</v>
      </c>
      <c r="S2821" t="n">
        <v>1950</v>
      </c>
      <c r="T2821" t="s">
        <v>18506</v>
      </c>
      <c r="U2821" t="s">
        <v>18507</v>
      </c>
      <c r="V2821" t="s">
        <v>74</v>
      </c>
      <c r="W2821"/>
      <c r="X2821"/>
      <c r="Y2821" t="s">
        <v>18508</v>
      </c>
      <c r="Z2821"/>
      <c r="AA2821" t="s">
        <v>18509</v>
      </c>
      <c r="AB2821"/>
      <c r="AC2821"/>
      <c r="AD2821"/>
      <c r="AE2821"/>
      <c r="AF2821" t="s">
        <v>10546</v>
      </c>
      <c r="AG2821" t="n">
        <v>101</v>
      </c>
    </row>
    <row r="2822">
      <c r="A2822" t="s">
        <v>18510</v>
      </c>
      <c r="B2822" t="s">
        <v>28</v>
      </c>
      <c r="C2822" t="s">
        <v>24</v>
      </c>
      <c r="D2822" t="s">
        <v>18511</v>
      </c>
      <c r="E2822" t="s">
        <v>18512</v>
      </c>
      <c r="F2822" t="s">
        <v>18513</v>
      </c>
      <c r="G2822" t="s">
        <v>18514</v>
      </c>
      <c r="H2822" t="n">
        <v>40.9595697346939</v>
      </c>
      <c r="I2822" t="n">
        <v>-102.385140938776</v>
      </c>
      <c r="J2822" t="s">
        <v>4109</v>
      </c>
      <c r="K2822" t="s">
        <v>70</v>
      </c>
      <c r="L2822"/>
      <c r="M2822" t="n">
        <v>1983</v>
      </c>
      <c r="N2822" t="n">
        <v>1983</v>
      </c>
      <c r="O2822" t="s">
        <v>264</v>
      </c>
      <c r="P2822" t="n">
        <v>1</v>
      </c>
      <c r="Q2822" t="n">
        <v>1</v>
      </c>
      <c r="R2822" t="n">
        <v>1</v>
      </c>
      <c r="S2822" t="n">
        <v>1961</v>
      </c>
      <c r="T2822" t="s">
        <v>18515</v>
      </c>
      <c r="U2822" t="s">
        <v>18516</v>
      </c>
      <c r="V2822" t="s">
        <v>74</v>
      </c>
      <c r="W2822"/>
      <c r="X2822"/>
      <c r="Y2822" t="s">
        <v>18517</v>
      </c>
      <c r="Z2822"/>
      <c r="AA2822" t="s">
        <v>18518</v>
      </c>
      <c r="AB2822"/>
      <c r="AC2822"/>
      <c r="AD2822"/>
      <c r="AE2822"/>
      <c r="AF2822" t="s">
        <v>18519</v>
      </c>
      <c r="AG2822" t="n">
        <v>223</v>
      </c>
    </row>
    <row r="2823">
      <c r="A2823" t="s">
        <v>18520</v>
      </c>
      <c r="B2823" t="s">
        <v>28</v>
      </c>
      <c r="C2823" t="s">
        <v>24</v>
      </c>
      <c r="D2823" t="s">
        <v>18521</v>
      </c>
      <c r="E2823" t="s">
        <v>18522</v>
      </c>
      <c r="F2823" t="s">
        <v>12479</v>
      </c>
      <c r="G2823" t="s">
        <v>18523</v>
      </c>
      <c r="H2823" t="n">
        <v>38.981591</v>
      </c>
      <c r="I2823" t="n">
        <v>-105.045047</v>
      </c>
      <c r="J2823" t="s">
        <v>4109</v>
      </c>
      <c r="K2823" t="s">
        <v>70</v>
      </c>
      <c r="L2823"/>
      <c r="M2823" t="n">
        <v>1983</v>
      </c>
      <c r="N2823" t="n">
        <v>1983</v>
      </c>
      <c r="O2823" t="s">
        <v>264</v>
      </c>
      <c r="P2823" t="n">
        <v>1</v>
      </c>
      <c r="Q2823" t="n">
        <v>1</v>
      </c>
      <c r="R2823" t="n">
        <v>1</v>
      </c>
      <c r="S2823" t="n">
        <v>1961</v>
      </c>
      <c r="T2823" t="s">
        <v>18524</v>
      </c>
      <c r="U2823" t="s">
        <v>18525</v>
      </c>
      <c r="V2823" t="s">
        <v>74</v>
      </c>
      <c r="W2823"/>
      <c r="X2823"/>
      <c r="Y2823" t="s">
        <v>18526</v>
      </c>
      <c r="Z2823"/>
      <c r="AA2823" t="s">
        <v>18527</v>
      </c>
      <c r="AB2823"/>
      <c r="AC2823"/>
      <c r="AD2823"/>
      <c r="AE2823"/>
      <c r="AF2823" t="s">
        <v>18528</v>
      </c>
      <c r="AG2823" t="n">
        <v>92</v>
      </c>
    </row>
    <row r="2824">
      <c r="A2824" t="s">
        <v>18529</v>
      </c>
      <c r="B2824" t="s">
        <v>28</v>
      </c>
      <c r="C2824" t="s">
        <v>65</v>
      </c>
      <c r="D2824" t="s">
        <v>18530</v>
      </c>
      <c r="E2824" t="s">
        <v>18522</v>
      </c>
      <c r="F2824" t="s">
        <v>12479</v>
      </c>
      <c r="G2824" t="s">
        <v>18523</v>
      </c>
      <c r="H2824" t="n">
        <v>38.9928419578965</v>
      </c>
      <c r="I2824" t="n">
        <v>-105.061919003554</v>
      </c>
      <c r="J2824" t="s">
        <v>35</v>
      </c>
      <c r="K2824" t="s">
        <v>120</v>
      </c>
      <c r="L2824"/>
      <c r="M2824" t="n">
        <v>1990</v>
      </c>
      <c r="N2824" t="n">
        <v>1992</v>
      </c>
      <c r="O2824" t="s">
        <v>357</v>
      </c>
      <c r="P2824" t="n">
        <v>2</v>
      </c>
      <c r="Q2824" t="n">
        <v>1</v>
      </c>
      <c r="R2824" t="n">
        <v>1</v>
      </c>
      <c r="S2824" t="n">
        <v>1978</v>
      </c>
      <c r="T2824" t="s">
        <v>18531</v>
      </c>
      <c r="U2824" t="s">
        <v>18532</v>
      </c>
      <c r="V2824" t="s">
        <v>74</v>
      </c>
      <c r="W2824"/>
      <c r="X2824"/>
      <c r="Y2824" t="s">
        <v>18533</v>
      </c>
      <c r="Z2824"/>
      <c r="AA2824"/>
      <c r="AB2824"/>
      <c r="AC2824"/>
      <c r="AD2824"/>
      <c r="AE2824"/>
      <c r="AF2824" t="s">
        <v>18534</v>
      </c>
      <c r="AG2824" t="n">
        <v>12</v>
      </c>
    </row>
    <row r="2825">
      <c r="A2825" t="s">
        <v>18535</v>
      </c>
      <c r="B2825" t="s">
        <v>28</v>
      </c>
      <c r="C2825" t="s">
        <v>24</v>
      </c>
      <c r="D2825" t="s">
        <v>12668</v>
      </c>
      <c r="E2825" t="s">
        <v>3967</v>
      </c>
      <c r="F2825" t="s">
        <v>3950</v>
      </c>
      <c r="G2825"/>
      <c r="H2825" t="n">
        <v>40.428193</v>
      </c>
      <c r="I2825" t="n">
        <v>-104.690776857143</v>
      </c>
      <c r="J2825" t="s">
        <v>4109</v>
      </c>
      <c r="K2825" t="s">
        <v>70</v>
      </c>
      <c r="L2825"/>
      <c r="M2825" t="n">
        <v>1965</v>
      </c>
      <c r="N2825" t="n">
        <v>1983</v>
      </c>
      <c r="O2825" t="s">
        <v>210</v>
      </c>
      <c r="P2825" t="n">
        <v>7</v>
      </c>
      <c r="Q2825" t="n">
        <v>4</v>
      </c>
      <c r="R2825" t="n">
        <v>1</v>
      </c>
      <c r="S2825" t="n">
        <v>1900</v>
      </c>
      <c r="T2825" t="s">
        <v>18536</v>
      </c>
      <c r="U2825" t="s">
        <v>18537</v>
      </c>
      <c r="V2825" t="s">
        <v>74</v>
      </c>
      <c r="W2825"/>
      <c r="X2825"/>
      <c r="Y2825" t="s">
        <v>18538</v>
      </c>
      <c r="Z2825"/>
      <c r="AA2825"/>
      <c r="AB2825" t="s">
        <v>18539</v>
      </c>
      <c r="AC2825" t="n">
        <v>218</v>
      </c>
      <c r="AD2825"/>
      <c r="AE2825"/>
      <c r="AF2825" t="s">
        <v>18540</v>
      </c>
      <c r="AG2825" t="n">
        <v>5</v>
      </c>
    </row>
    <row r="2826">
      <c r="A2826" t="s">
        <v>18541</v>
      </c>
      <c r="B2826" t="s">
        <v>28</v>
      </c>
      <c r="C2826" t="s">
        <v>24</v>
      </c>
      <c r="D2826" t="s">
        <v>18542</v>
      </c>
      <c r="E2826" t="s">
        <v>3967</v>
      </c>
      <c r="F2826" t="s">
        <v>3950</v>
      </c>
      <c r="G2826"/>
      <c r="H2826" t="n">
        <v>40.4271809795918</v>
      </c>
      <c r="I2826" t="n">
        <v>-104.685930081633</v>
      </c>
      <c r="J2826" t="s">
        <v>4109</v>
      </c>
      <c r="K2826" t="s">
        <v>141</v>
      </c>
      <c r="L2826"/>
      <c r="M2826" t="n">
        <v>1965</v>
      </c>
      <c r="N2826" t="n">
        <v>1968</v>
      </c>
      <c r="O2826" t="s">
        <v>1375</v>
      </c>
      <c r="P2826" t="n">
        <v>2</v>
      </c>
      <c r="Q2826" t="n">
        <v>2</v>
      </c>
      <c r="R2826" t="n">
        <v>2</v>
      </c>
      <c r="S2826" t="n">
        <v>1962</v>
      </c>
      <c r="T2826" t="s">
        <v>18543</v>
      </c>
      <c r="U2826" t="s">
        <v>18544</v>
      </c>
      <c r="V2826" t="s">
        <v>74</v>
      </c>
      <c r="W2826"/>
      <c r="X2826"/>
      <c r="Y2826" t="s">
        <v>18545</v>
      </c>
      <c r="Z2826"/>
      <c r="AA2826"/>
      <c r="AB2826"/>
      <c r="AC2826"/>
      <c r="AD2826" t="s">
        <v>18546</v>
      </c>
      <c r="AE2826" t="n">
        <v>225</v>
      </c>
      <c r="AF2826" t="s">
        <v>18547</v>
      </c>
      <c r="AG2826" t="n">
        <v>28</v>
      </c>
    </row>
    <row r="2827">
      <c r="A2827" t="s">
        <v>18548</v>
      </c>
      <c r="B2827" t="s">
        <v>28</v>
      </c>
      <c r="C2827" t="s">
        <v>24</v>
      </c>
      <c r="D2827" t="s">
        <v>18549</v>
      </c>
      <c r="E2827" t="s">
        <v>18550</v>
      </c>
      <c r="F2827" t="s">
        <v>3950</v>
      </c>
      <c r="G2827"/>
      <c r="H2827" t="n">
        <v>40.281608</v>
      </c>
      <c r="I2827" t="n">
        <v>-104.779988</v>
      </c>
      <c r="J2827" t="s">
        <v>4109</v>
      </c>
      <c r="K2827" t="s">
        <v>120</v>
      </c>
      <c r="L2827"/>
      <c r="M2827" t="n">
        <v>1965</v>
      </c>
      <c r="N2827" t="n">
        <v>1965</v>
      </c>
      <c r="O2827" t="s">
        <v>1275</v>
      </c>
      <c r="P2827" t="n">
        <v>1</v>
      </c>
      <c r="Q2827" t="n">
        <v>1</v>
      </c>
      <c r="R2827" t="n">
        <v>1</v>
      </c>
      <c r="S2827"/>
      <c r="T2827" t="s">
        <v>18551</v>
      </c>
      <c r="U2827" t="s">
        <v>18552</v>
      </c>
      <c r="V2827" t="s">
        <v>74</v>
      </c>
      <c r="W2827"/>
      <c r="X2827"/>
      <c r="Y2827" t="s">
        <v>18553</v>
      </c>
      <c r="Z2827"/>
      <c r="AA2827" t="s">
        <v>18554</v>
      </c>
      <c r="AB2827"/>
      <c r="AC2827"/>
      <c r="AD2827"/>
      <c r="AE2827"/>
      <c r="AF2827" t="s">
        <v>18555</v>
      </c>
      <c r="AG2827" t="n">
        <v>145</v>
      </c>
    </row>
    <row r="2828">
      <c r="A2828" t="s">
        <v>18556</v>
      </c>
      <c r="B2828" t="s">
        <v>28</v>
      </c>
      <c r="C2828" t="s">
        <v>24</v>
      </c>
      <c r="D2828" t="s">
        <v>18557</v>
      </c>
      <c r="E2828" t="s">
        <v>3967</v>
      </c>
      <c r="F2828" t="s">
        <v>3950</v>
      </c>
      <c r="G2828" t="s">
        <v>3968</v>
      </c>
      <c r="H2828" t="n">
        <v>40.4225107142857</v>
      </c>
      <c r="I2828" t="n">
        <v>-104.68732544898</v>
      </c>
      <c r="J2828" t="s">
        <v>35</v>
      </c>
      <c r="K2828" t="s">
        <v>89</v>
      </c>
      <c r="L2828"/>
      <c r="M2828" t="n">
        <v>1966</v>
      </c>
      <c r="N2828" t="n">
        <v>1966</v>
      </c>
      <c r="O2828" t="s">
        <v>4172</v>
      </c>
      <c r="P2828" t="n">
        <v>1</v>
      </c>
      <c r="Q2828" t="n">
        <v>1</v>
      </c>
      <c r="R2828" t="n">
        <v>1</v>
      </c>
      <c r="S2828" t="n">
        <v>1923</v>
      </c>
      <c r="T2828" t="s">
        <v>18558</v>
      </c>
      <c r="U2828" t="s">
        <v>18559</v>
      </c>
      <c r="V2828" t="s">
        <v>4175</v>
      </c>
      <c r="W2828"/>
      <c r="X2828"/>
      <c r="Y2828" t="s">
        <v>18560</v>
      </c>
      <c r="Z2828"/>
      <c r="AA2828" t="s">
        <v>18561</v>
      </c>
      <c r="AB2828" t="s">
        <v>3972</v>
      </c>
      <c r="AC2828" t="n">
        <v>121</v>
      </c>
      <c r="AD2828"/>
      <c r="AE2828"/>
      <c r="AF2828" t="s">
        <v>18562</v>
      </c>
      <c r="AG2828" t="n">
        <v>22</v>
      </c>
    </row>
    <row r="2829">
      <c r="A2829" t="s">
        <v>18563</v>
      </c>
      <c r="B2829" t="s">
        <v>28</v>
      </c>
      <c r="C2829" t="s">
        <v>24</v>
      </c>
      <c r="D2829" t="s">
        <v>18564</v>
      </c>
      <c r="E2829" t="s">
        <v>3967</v>
      </c>
      <c r="F2829" t="s">
        <v>3950</v>
      </c>
      <c r="G2829" t="s">
        <v>3968</v>
      </c>
      <c r="H2829" t="n">
        <v>40.402412</v>
      </c>
      <c r="I2829" t="n">
        <v>-104.681531</v>
      </c>
      <c r="J2829" t="s">
        <v>4109</v>
      </c>
      <c r="K2829" t="s">
        <v>396</v>
      </c>
      <c r="L2829"/>
      <c r="M2829" t="n">
        <v>1966</v>
      </c>
      <c r="N2829" t="n">
        <v>1983</v>
      </c>
      <c r="O2829" t="s">
        <v>726</v>
      </c>
      <c r="P2829" t="n">
        <v>5</v>
      </c>
      <c r="Q2829" t="n">
        <v>4</v>
      </c>
      <c r="R2829" t="n">
        <v>2</v>
      </c>
      <c r="S2829" t="n">
        <v>1965</v>
      </c>
      <c r="T2829" t="s">
        <v>18565</v>
      </c>
      <c r="U2829" t="s">
        <v>18566</v>
      </c>
      <c r="V2829" t="s">
        <v>74</v>
      </c>
      <c r="W2829"/>
      <c r="X2829"/>
      <c r="Y2829" t="s">
        <v>18567</v>
      </c>
      <c r="Z2829"/>
      <c r="AA2829" t="s">
        <v>18568</v>
      </c>
      <c r="AB2829"/>
      <c r="AC2829"/>
      <c r="AD2829"/>
      <c r="AE2829"/>
      <c r="AF2829" t="s">
        <v>18569</v>
      </c>
      <c r="AG2829" t="n">
        <v>23</v>
      </c>
    </row>
    <row r="2830">
      <c r="A2830" t="s">
        <v>18570</v>
      </c>
      <c r="B2830" t="s">
        <v>28</v>
      </c>
      <c r="C2830" t="s">
        <v>25</v>
      </c>
      <c r="D2830" t="s">
        <v>18571</v>
      </c>
      <c r="E2830" t="s">
        <v>3967</v>
      </c>
      <c r="F2830" t="s">
        <v>3950</v>
      </c>
      <c r="G2830" t="s">
        <v>3976</v>
      </c>
      <c r="H2830" t="n">
        <v>40.4247918571429</v>
      </c>
      <c r="I2830" t="n">
        <v>-104.707754632653</v>
      </c>
      <c r="J2830" t="s">
        <v>4109</v>
      </c>
      <c r="K2830" t="s">
        <v>133</v>
      </c>
      <c r="L2830"/>
      <c r="M2830" t="n">
        <v>1966</v>
      </c>
      <c r="N2830" t="n">
        <v>1968</v>
      </c>
      <c r="O2830" t="s">
        <v>1556</v>
      </c>
      <c r="P2830" t="n">
        <v>2</v>
      </c>
      <c r="Q2830" t="n">
        <v>1</v>
      </c>
      <c r="R2830" t="n">
        <v>1</v>
      </c>
      <c r="S2830" t="n">
        <v>1959</v>
      </c>
      <c r="T2830" t="s">
        <v>18572</v>
      </c>
      <c r="U2830" t="s">
        <v>18573</v>
      </c>
      <c r="V2830" t="s">
        <v>4175</v>
      </c>
      <c r="W2830"/>
      <c r="X2830"/>
      <c r="Y2830" t="s">
        <v>18574</v>
      </c>
      <c r="Z2830"/>
      <c r="AA2830" t="s">
        <v>18575</v>
      </c>
      <c r="AB2830"/>
      <c r="AC2830"/>
      <c r="AD2830"/>
      <c r="AE2830"/>
      <c r="AF2830" t="s">
        <v>18576</v>
      </c>
      <c r="AG2830" t="n">
        <v>118</v>
      </c>
    </row>
    <row r="2831">
      <c r="A2831" t="s">
        <v>18577</v>
      </c>
      <c r="B2831" t="s">
        <v>28</v>
      </c>
      <c r="C2831" t="s">
        <v>65</v>
      </c>
      <c r="D2831" t="s">
        <v>18578</v>
      </c>
      <c r="E2831" t="s">
        <v>3967</v>
      </c>
      <c r="F2831" t="s">
        <v>3950</v>
      </c>
      <c r="G2831" t="s">
        <v>3976</v>
      </c>
      <c r="H2831" t="n">
        <v>40.428564</v>
      </c>
      <c r="I2831" t="n">
        <v>-104.687168</v>
      </c>
      <c r="J2831" t="s">
        <v>35</v>
      </c>
      <c r="K2831" t="s">
        <v>141</v>
      </c>
      <c r="L2831"/>
      <c r="M2831" t="n">
        <v>1968</v>
      </c>
      <c r="N2831" t="n">
        <v>1990</v>
      </c>
      <c r="O2831" t="s">
        <v>2446</v>
      </c>
      <c r="P2831" t="n">
        <v>5</v>
      </c>
      <c r="Q2831" t="n">
        <v>4</v>
      </c>
      <c r="R2831" t="n">
        <v>3</v>
      </c>
      <c r="S2831" t="n">
        <v>1925</v>
      </c>
      <c r="T2831" t="s">
        <v>18579</v>
      </c>
      <c r="U2831" t="s">
        <v>18580</v>
      </c>
      <c r="V2831" t="s">
        <v>74</v>
      </c>
      <c r="W2831"/>
      <c r="X2831"/>
      <c r="Y2831" t="s">
        <v>18581</v>
      </c>
      <c r="Z2831"/>
      <c r="AA2831"/>
      <c r="AB2831"/>
      <c r="AC2831"/>
      <c r="AD2831" t="s">
        <v>18546</v>
      </c>
      <c r="AE2831" t="n">
        <v>175</v>
      </c>
      <c r="AF2831" t="s">
        <v>18582</v>
      </c>
      <c r="AG2831" t="n">
        <v>45</v>
      </c>
    </row>
    <row r="2832">
      <c r="A2832" t="s">
        <v>18583</v>
      </c>
      <c r="B2832" t="s">
        <v>28</v>
      </c>
      <c r="C2832" t="s">
        <v>65</v>
      </c>
      <c r="D2832" t="s">
        <v>18584</v>
      </c>
      <c r="E2832" t="s">
        <v>4004</v>
      </c>
      <c r="F2832" t="s">
        <v>3950</v>
      </c>
      <c r="G2832" t="s">
        <v>4005</v>
      </c>
      <c r="H2832" t="n">
        <v>40.352967</v>
      </c>
      <c r="I2832" t="n">
        <v>-104.699753</v>
      </c>
      <c r="J2832" t="s">
        <v>35</v>
      </c>
      <c r="K2832" t="s">
        <v>89</v>
      </c>
      <c r="L2832"/>
      <c r="M2832" t="n">
        <v>1973</v>
      </c>
      <c r="N2832" t="n">
        <v>1990</v>
      </c>
      <c r="O2832" t="s">
        <v>540</v>
      </c>
      <c r="P2832" t="n">
        <v>5</v>
      </c>
      <c r="Q2832" t="n">
        <v>3</v>
      </c>
      <c r="R2832" t="n">
        <v>2</v>
      </c>
      <c r="S2832" t="n">
        <v>1946</v>
      </c>
      <c r="T2832" t="s">
        <v>18585</v>
      </c>
      <c r="U2832" t="s">
        <v>18586</v>
      </c>
      <c r="V2832" t="s">
        <v>74</v>
      </c>
      <c r="W2832"/>
      <c r="X2832"/>
      <c r="Y2832" t="s">
        <v>18587</v>
      </c>
      <c r="Z2832"/>
      <c r="AA2832" t="s">
        <v>18588</v>
      </c>
      <c r="AB2832"/>
      <c r="AC2832"/>
      <c r="AD2832"/>
      <c r="AE2832"/>
      <c r="AF2832" t="s">
        <v>18589</v>
      </c>
      <c r="AG2832" t="n">
        <v>28</v>
      </c>
    </row>
    <row r="2833">
      <c r="A2833" t="s">
        <v>18590</v>
      </c>
      <c r="B2833" t="s">
        <v>28</v>
      </c>
      <c r="C2833" t="s">
        <v>24</v>
      </c>
      <c r="D2833" t="s">
        <v>18591</v>
      </c>
      <c r="E2833" t="s">
        <v>4012</v>
      </c>
      <c r="F2833" t="s">
        <v>3950</v>
      </c>
      <c r="G2833" t="s">
        <v>4013</v>
      </c>
      <c r="H2833" t="n">
        <v>40.0844972653061</v>
      </c>
      <c r="I2833" t="n">
        <v>-104.809713265306</v>
      </c>
      <c r="J2833" t="s">
        <v>4109</v>
      </c>
      <c r="K2833" t="s">
        <v>126</v>
      </c>
      <c r="L2833"/>
      <c r="M2833" t="n">
        <v>1974</v>
      </c>
      <c r="N2833" t="n">
        <v>1977</v>
      </c>
      <c r="O2833" t="s">
        <v>1830</v>
      </c>
      <c r="P2833" t="n">
        <v>2</v>
      </c>
      <c r="Q2833" t="n">
        <v>2</v>
      </c>
      <c r="R2833" t="n">
        <v>2</v>
      </c>
      <c r="S2833"/>
      <c r="T2833" t="s">
        <v>18592</v>
      </c>
      <c r="U2833" t="s">
        <v>18593</v>
      </c>
      <c r="V2833" t="s">
        <v>74</v>
      </c>
      <c r="W2833"/>
      <c r="X2833"/>
      <c r="Y2833" t="s">
        <v>18594</v>
      </c>
      <c r="Z2833"/>
      <c r="AA2833" t="s">
        <v>18595</v>
      </c>
      <c r="AB2833"/>
      <c r="AC2833"/>
      <c r="AD2833"/>
      <c r="AE2833"/>
      <c r="AF2833" t="s">
        <v>18596</v>
      </c>
      <c r="AG2833" t="n">
        <v>1</v>
      </c>
    </row>
    <row r="2834">
      <c r="A2834" t="s">
        <v>18597</v>
      </c>
      <c r="B2834" t="s">
        <v>28</v>
      </c>
      <c r="C2834" t="s">
        <v>65</v>
      </c>
      <c r="D2834" t="s">
        <v>18598</v>
      </c>
      <c r="E2834" t="s">
        <v>3967</v>
      </c>
      <c r="F2834" t="s">
        <v>3950</v>
      </c>
      <c r="G2834" t="s">
        <v>3976</v>
      </c>
      <c r="H2834" t="n">
        <v>40.411930020202</v>
      </c>
      <c r="I2834" t="n">
        <v>-104.683283525253</v>
      </c>
      <c r="J2834" t="s">
        <v>35</v>
      </c>
      <c r="K2834" t="s">
        <v>126</v>
      </c>
      <c r="L2834"/>
      <c r="M2834" t="n">
        <v>1974</v>
      </c>
      <c r="N2834" t="n">
        <v>1983</v>
      </c>
      <c r="O2834" t="s">
        <v>528</v>
      </c>
      <c r="P2834" t="n">
        <v>3</v>
      </c>
      <c r="Q2834" t="n">
        <v>2</v>
      </c>
      <c r="R2834" t="n">
        <v>1</v>
      </c>
      <c r="S2834" t="n">
        <v>1939</v>
      </c>
      <c r="T2834" t="s">
        <v>18599</v>
      </c>
      <c r="U2834" t="s">
        <v>18600</v>
      </c>
      <c r="V2834" t="s">
        <v>74</v>
      </c>
      <c r="W2834"/>
      <c r="X2834"/>
      <c r="Y2834" t="s">
        <v>18601</v>
      </c>
      <c r="Z2834"/>
      <c r="AA2834" t="s">
        <v>18602</v>
      </c>
      <c r="AB2834" t="s">
        <v>10583</v>
      </c>
      <c r="AC2834" t="n">
        <v>202</v>
      </c>
      <c r="AD2834"/>
      <c r="AE2834"/>
      <c r="AF2834" t="s">
        <v>18603</v>
      </c>
      <c r="AG2834" t="n">
        <v>19</v>
      </c>
    </row>
    <row r="2835">
      <c r="A2835" t="s">
        <v>18604</v>
      </c>
      <c r="B2835" t="s">
        <v>28</v>
      </c>
      <c r="C2835" t="s">
        <v>24</v>
      </c>
      <c r="D2835" t="s">
        <v>18605</v>
      </c>
      <c r="E2835" t="s">
        <v>3967</v>
      </c>
      <c r="F2835" t="s">
        <v>3950</v>
      </c>
      <c r="G2835" t="s">
        <v>3976</v>
      </c>
      <c r="H2835" t="n">
        <v>40.4281994693878</v>
      </c>
      <c r="I2835" t="n">
        <v>-104.68717277551</v>
      </c>
      <c r="J2835" t="s">
        <v>4109</v>
      </c>
      <c r="K2835" t="s">
        <v>70</v>
      </c>
      <c r="L2835"/>
      <c r="M2835" t="n">
        <v>1977</v>
      </c>
      <c r="N2835" t="n">
        <v>1992</v>
      </c>
      <c r="O2835" t="s">
        <v>380</v>
      </c>
      <c r="P2835" t="n">
        <v>5</v>
      </c>
      <c r="Q2835" t="n">
        <v>1</v>
      </c>
      <c r="R2835" t="n">
        <v>1</v>
      </c>
      <c r="S2835" t="n">
        <v>1927</v>
      </c>
      <c r="T2835" t="s">
        <v>18606</v>
      </c>
      <c r="U2835" t="s">
        <v>18607</v>
      </c>
      <c r="V2835" t="s">
        <v>74</v>
      </c>
      <c r="W2835"/>
      <c r="X2835"/>
      <c r="Y2835" t="s">
        <v>18608</v>
      </c>
      <c r="Z2835"/>
      <c r="AA2835"/>
      <c r="AB2835"/>
      <c r="AC2835"/>
      <c r="AD2835" t="s">
        <v>18546</v>
      </c>
      <c r="AE2835" t="n">
        <v>193</v>
      </c>
      <c r="AF2835" t="s">
        <v>18582</v>
      </c>
      <c r="AG2835" t="n">
        <v>4</v>
      </c>
    </row>
    <row r="2836">
      <c r="A2836" t="s">
        <v>18609</v>
      </c>
      <c r="B2836" t="s">
        <v>28</v>
      </c>
      <c r="C2836" t="s">
        <v>65</v>
      </c>
      <c r="D2836" t="s">
        <v>18610</v>
      </c>
      <c r="E2836" t="s">
        <v>3967</v>
      </c>
      <c r="F2836" t="s">
        <v>3950</v>
      </c>
      <c r="G2836" t="s">
        <v>3976</v>
      </c>
      <c r="H2836" t="n">
        <v>40.4470988966436</v>
      </c>
      <c r="I2836" t="n">
        <v>-104.686317261108</v>
      </c>
      <c r="J2836" t="s">
        <v>35</v>
      </c>
      <c r="K2836" t="s">
        <v>120</v>
      </c>
      <c r="L2836"/>
      <c r="M2836" t="n">
        <v>1977</v>
      </c>
      <c r="N2836" t="n">
        <v>1983</v>
      </c>
      <c r="O2836" t="s">
        <v>829</v>
      </c>
      <c r="P2836" t="n">
        <v>3</v>
      </c>
      <c r="Q2836" t="n">
        <v>2</v>
      </c>
      <c r="R2836" t="n">
        <v>2</v>
      </c>
      <c r="S2836" t="n">
        <v>1969</v>
      </c>
      <c r="T2836" t="s">
        <v>18611</v>
      </c>
      <c r="U2836" t="s">
        <v>18612</v>
      </c>
      <c r="V2836" t="s">
        <v>74</v>
      </c>
      <c r="W2836"/>
      <c r="X2836"/>
      <c r="Y2836" t="s">
        <v>18613</v>
      </c>
      <c r="Z2836"/>
      <c r="AA2836" t="s">
        <v>18614</v>
      </c>
      <c r="AB2836"/>
      <c r="AC2836"/>
      <c r="AD2836"/>
      <c r="AE2836"/>
      <c r="AF2836" t="s">
        <v>18615</v>
      </c>
      <c r="AG2836" t="n">
        <v>21</v>
      </c>
    </row>
    <row r="2837">
      <c r="A2837" t="s">
        <v>18616</v>
      </c>
      <c r="B2837" t="s">
        <v>28</v>
      </c>
      <c r="C2837" t="s">
        <v>65</v>
      </c>
      <c r="D2837" t="s">
        <v>18617</v>
      </c>
      <c r="E2837" t="s">
        <v>3967</v>
      </c>
      <c r="F2837" t="s">
        <v>3950</v>
      </c>
      <c r="G2837" t="s">
        <v>3976</v>
      </c>
      <c r="H2837" t="n">
        <v>40.4449016111274</v>
      </c>
      <c r="I2837" t="n">
        <v>-104.696642607171</v>
      </c>
      <c r="J2837" t="s">
        <v>35</v>
      </c>
      <c r="K2837" t="s">
        <v>89</v>
      </c>
      <c r="L2837"/>
      <c r="M2837" t="n">
        <v>1980</v>
      </c>
      <c r="N2837" t="n">
        <v>1990</v>
      </c>
      <c r="O2837" t="s">
        <v>325</v>
      </c>
      <c r="P2837" t="n">
        <v>4</v>
      </c>
      <c r="Q2837" t="n">
        <v>2</v>
      </c>
      <c r="R2837" t="n">
        <v>1</v>
      </c>
      <c r="S2837" t="n">
        <v>1965</v>
      </c>
      <c r="T2837" t="s">
        <v>18618</v>
      </c>
      <c r="U2837" t="s">
        <v>18619</v>
      </c>
      <c r="V2837" t="s">
        <v>74</v>
      </c>
      <c r="W2837"/>
      <c r="X2837"/>
      <c r="Y2837" t="s">
        <v>18620</v>
      </c>
      <c r="Z2837"/>
      <c r="AA2837" t="s">
        <v>18621</v>
      </c>
      <c r="AB2837"/>
      <c r="AC2837"/>
      <c r="AD2837"/>
      <c r="AE2837"/>
      <c r="AF2837" t="s">
        <v>18622</v>
      </c>
      <c r="AG2837" t="n">
        <v>127</v>
      </c>
    </row>
    <row r="2838">
      <c r="A2838" t="s">
        <v>18623</v>
      </c>
      <c r="B2838" t="s">
        <v>28</v>
      </c>
      <c r="C2838" t="s">
        <v>24</v>
      </c>
      <c r="D2838" t="s">
        <v>18624</v>
      </c>
      <c r="E2838" t="s">
        <v>3967</v>
      </c>
      <c r="F2838" t="s">
        <v>3950</v>
      </c>
      <c r="G2838" t="s">
        <v>3976</v>
      </c>
      <c r="H2838" t="n">
        <v>40.3973432244898</v>
      </c>
      <c r="I2838" t="n">
        <v>-104.698172673469</v>
      </c>
      <c r="J2838" t="s">
        <v>4109</v>
      </c>
      <c r="K2838" t="s">
        <v>315</v>
      </c>
      <c r="L2838"/>
      <c r="M2838" t="n">
        <v>1983</v>
      </c>
      <c r="N2838" t="n">
        <v>1983</v>
      </c>
      <c r="O2838" t="s">
        <v>264</v>
      </c>
      <c r="P2838" t="n">
        <v>1</v>
      </c>
      <c r="Q2838" t="n">
        <v>1</v>
      </c>
      <c r="R2838" t="n">
        <v>1</v>
      </c>
      <c r="S2838" t="n">
        <v>1974</v>
      </c>
      <c r="T2838" t="s">
        <v>18625</v>
      </c>
      <c r="U2838" t="s">
        <v>18626</v>
      </c>
      <c r="V2838" t="s">
        <v>74</v>
      </c>
      <c r="W2838"/>
      <c r="X2838"/>
      <c r="Y2838" t="s">
        <v>18627</v>
      </c>
      <c r="Z2838"/>
      <c r="AA2838" t="s">
        <v>18628</v>
      </c>
      <c r="AB2838"/>
      <c r="AC2838"/>
      <c r="AD2838"/>
      <c r="AE2838"/>
      <c r="AF2838" t="s">
        <v>18629</v>
      </c>
      <c r="AG2838" t="n">
        <v>217</v>
      </c>
    </row>
    <row r="2839">
      <c r="A2839" t="s">
        <v>18630</v>
      </c>
      <c r="B2839" t="s">
        <v>28</v>
      </c>
      <c r="C2839" t="s">
        <v>65</v>
      </c>
      <c r="D2839" t="s">
        <v>18631</v>
      </c>
      <c r="E2839" t="s">
        <v>3967</v>
      </c>
      <c r="F2839" t="s">
        <v>3950</v>
      </c>
      <c r="G2839" t="s">
        <v>3976</v>
      </c>
      <c r="H2839" t="n">
        <v>40.413596566251</v>
      </c>
      <c r="I2839" t="n">
        <v>-104.677972908686</v>
      </c>
      <c r="J2839" t="s">
        <v>35</v>
      </c>
      <c r="K2839" t="s">
        <v>70</v>
      </c>
      <c r="L2839"/>
      <c r="M2839" t="n">
        <v>1988</v>
      </c>
      <c r="N2839" t="n">
        <v>1988</v>
      </c>
      <c r="O2839" t="s">
        <v>325</v>
      </c>
      <c r="P2839" t="n">
        <v>1</v>
      </c>
      <c r="Q2839" t="n">
        <v>1</v>
      </c>
      <c r="R2839" t="n">
        <v>1</v>
      </c>
      <c r="S2839" t="n">
        <v>1977</v>
      </c>
      <c r="T2839" t="s">
        <v>18632</v>
      </c>
      <c r="U2839" t="s">
        <v>18633</v>
      </c>
      <c r="V2839" t="s">
        <v>74</v>
      </c>
      <c r="W2839"/>
      <c r="X2839"/>
      <c r="Y2839" t="s">
        <v>18634</v>
      </c>
      <c r="Z2839"/>
      <c r="AA2839" t="s">
        <v>18635</v>
      </c>
      <c r="AB2839"/>
      <c r="AC2839"/>
      <c r="AD2839"/>
      <c r="AE2839"/>
      <c r="AF2839" t="s">
        <v>18636</v>
      </c>
      <c r="AG2839" t="n">
        <v>68</v>
      </c>
    </row>
    <row r="2840">
      <c r="A2840" t="s">
        <v>18637</v>
      </c>
      <c r="B2840" t="s">
        <v>28</v>
      </c>
      <c r="C2840" t="s">
        <v>24</v>
      </c>
      <c r="D2840" t="s">
        <v>18638</v>
      </c>
      <c r="E2840" t="s">
        <v>3967</v>
      </c>
      <c r="F2840" t="s">
        <v>3950</v>
      </c>
      <c r="G2840" t="s">
        <v>3976</v>
      </c>
      <c r="H2840" t="n">
        <v>40.4248430408163</v>
      </c>
      <c r="I2840" t="n">
        <v>-104.685775836735</v>
      </c>
      <c r="J2840" t="s">
        <v>4109</v>
      </c>
      <c r="K2840" t="s">
        <v>315</v>
      </c>
      <c r="L2840"/>
      <c r="M2840" t="n">
        <v>1988</v>
      </c>
      <c r="N2840" t="n">
        <v>1990</v>
      </c>
      <c r="O2840" t="s">
        <v>310</v>
      </c>
      <c r="P2840" t="n">
        <v>2</v>
      </c>
      <c r="Q2840" t="n">
        <v>1</v>
      </c>
      <c r="R2840" t="n">
        <v>1</v>
      </c>
      <c r="S2840" t="n">
        <v>1983</v>
      </c>
      <c r="T2840" t="s">
        <v>18639</v>
      </c>
      <c r="U2840" t="s">
        <v>18640</v>
      </c>
      <c r="V2840" t="s">
        <v>74</v>
      </c>
      <c r="W2840"/>
      <c r="X2840"/>
      <c r="Y2840" t="s">
        <v>18641</v>
      </c>
      <c r="Z2840"/>
      <c r="AA2840"/>
      <c r="AB2840"/>
      <c r="AC2840"/>
      <c r="AD2840"/>
      <c r="AE2840"/>
      <c r="AF2840" t="s">
        <v>3973</v>
      </c>
      <c r="AG2840" t="n">
        <v>8</v>
      </c>
    </row>
    <row r="2841">
      <c r="A2841" t="s">
        <v>18642</v>
      </c>
      <c r="B2841" t="s">
        <v>28</v>
      </c>
      <c r="C2841" t="s">
        <v>65</v>
      </c>
      <c r="D2841" t="s">
        <v>18643</v>
      </c>
      <c r="E2841" t="s">
        <v>3967</v>
      </c>
      <c r="F2841" t="s">
        <v>3950</v>
      </c>
      <c r="G2841" t="s">
        <v>4089</v>
      </c>
      <c r="H2841" t="n">
        <v>40.4513498696526</v>
      </c>
      <c r="I2841" t="n">
        <v>-104.687352256314</v>
      </c>
      <c r="J2841" t="s">
        <v>35</v>
      </c>
      <c r="K2841" t="s">
        <v>70</v>
      </c>
      <c r="L2841"/>
      <c r="M2841" t="n">
        <v>1988</v>
      </c>
      <c r="N2841" t="n">
        <v>1992</v>
      </c>
      <c r="O2841" t="s">
        <v>310</v>
      </c>
      <c r="P2841" t="n">
        <v>3</v>
      </c>
      <c r="Q2841" t="n">
        <v>2</v>
      </c>
      <c r="R2841" t="n">
        <v>2</v>
      </c>
      <c r="S2841" t="n">
        <v>1978</v>
      </c>
      <c r="T2841" t="s">
        <v>18644</v>
      </c>
      <c r="U2841" t="s">
        <v>18645</v>
      </c>
      <c r="V2841" t="s">
        <v>74</v>
      </c>
      <c r="W2841"/>
      <c r="X2841"/>
      <c r="Y2841" t="s">
        <v>18646</v>
      </c>
      <c r="Z2841"/>
      <c r="AA2841" t="s">
        <v>18647</v>
      </c>
      <c r="AB2841"/>
      <c r="AC2841"/>
      <c r="AD2841"/>
      <c r="AE2841"/>
      <c r="AF2841" t="s">
        <v>18648</v>
      </c>
      <c r="AG2841" t="n">
        <v>22</v>
      </c>
    </row>
    <row r="2842">
      <c r="A2842" t="s">
        <v>18649</v>
      </c>
      <c r="B2842" t="s">
        <v>28</v>
      </c>
      <c r="C2842" t="s">
        <v>24</v>
      </c>
      <c r="D2842" t="s">
        <v>18650</v>
      </c>
      <c r="E2842" t="s">
        <v>3967</v>
      </c>
      <c r="F2842" t="s">
        <v>3950</v>
      </c>
      <c r="G2842" t="s">
        <v>3976</v>
      </c>
      <c r="H2842" t="n">
        <v>40.430442875</v>
      </c>
      <c r="I2842" t="n">
        <v>-104.707839375</v>
      </c>
      <c r="J2842" t="s">
        <v>4109</v>
      </c>
      <c r="K2842" t="s">
        <v>70</v>
      </c>
      <c r="L2842"/>
      <c r="M2842" t="n">
        <v>1988</v>
      </c>
      <c r="N2842" t="n">
        <v>1988</v>
      </c>
      <c r="O2842" t="s">
        <v>325</v>
      </c>
      <c r="P2842" t="n">
        <v>1</v>
      </c>
      <c r="Q2842" t="n">
        <v>1</v>
      </c>
      <c r="R2842" t="n">
        <v>1</v>
      </c>
      <c r="S2842"/>
      <c r="T2842" t="s">
        <v>18651</v>
      </c>
      <c r="U2842" t="s">
        <v>18652</v>
      </c>
      <c r="V2842" t="s">
        <v>74</v>
      </c>
      <c r="W2842"/>
      <c r="X2842"/>
      <c r="Y2842" t="s">
        <v>18653</v>
      </c>
      <c r="Z2842"/>
      <c r="AA2842" t="s">
        <v>18654</v>
      </c>
      <c r="AB2842"/>
      <c r="AC2842"/>
      <c r="AD2842"/>
      <c r="AE2842"/>
      <c r="AF2842" t="s">
        <v>18655</v>
      </c>
      <c r="AG2842" t="n">
        <v>103</v>
      </c>
    </row>
    <row r="2843">
      <c r="A2843" t="s">
        <v>18656</v>
      </c>
      <c r="B2843" t="s">
        <v>28</v>
      </c>
      <c r="C2843" t="s">
        <v>65</v>
      </c>
      <c r="D2843" t="s">
        <v>18657</v>
      </c>
      <c r="E2843" t="s">
        <v>3967</v>
      </c>
      <c r="F2843" t="s">
        <v>3950</v>
      </c>
      <c r="G2843" t="s">
        <v>3976</v>
      </c>
      <c r="H2843" t="n">
        <v>40.4378953469273</v>
      </c>
      <c r="I2843" t="n">
        <v>-104.69296292908</v>
      </c>
      <c r="J2843" t="s">
        <v>35</v>
      </c>
      <c r="K2843" t="s">
        <v>120</v>
      </c>
      <c r="L2843"/>
      <c r="M2843" t="n">
        <v>1988</v>
      </c>
      <c r="N2843" t="n">
        <v>1990</v>
      </c>
      <c r="O2843" t="s">
        <v>310</v>
      </c>
      <c r="P2843" t="n">
        <v>2</v>
      </c>
      <c r="Q2843" t="n">
        <v>1</v>
      </c>
      <c r="R2843" t="n">
        <v>1</v>
      </c>
      <c r="S2843" t="n">
        <v>1984</v>
      </c>
      <c r="T2843" t="s">
        <v>18658</v>
      </c>
      <c r="U2843" t="s">
        <v>18659</v>
      </c>
      <c r="V2843" t="s">
        <v>74</v>
      </c>
      <c r="W2843"/>
      <c r="X2843"/>
      <c r="Y2843" t="s">
        <v>18660</v>
      </c>
      <c r="Z2843"/>
      <c r="AA2843" t="s">
        <v>18661</v>
      </c>
      <c r="AB2843"/>
      <c r="AC2843"/>
      <c r="AD2843" t="s">
        <v>4029</v>
      </c>
      <c r="AE2843" t="n">
        <v>118</v>
      </c>
      <c r="AF2843" t="s">
        <v>4030</v>
      </c>
      <c r="AG2843" t="n">
        <v>25</v>
      </c>
    </row>
    <row r="2844">
      <c r="A2844" t="s">
        <v>18662</v>
      </c>
      <c r="B2844" t="s">
        <v>28</v>
      </c>
      <c r="C2844" t="s">
        <v>65</v>
      </c>
      <c r="D2844" t="s">
        <v>18663</v>
      </c>
      <c r="E2844" t="s">
        <v>3967</v>
      </c>
      <c r="F2844" t="s">
        <v>3950</v>
      </c>
      <c r="G2844" t="s">
        <v>3976</v>
      </c>
      <c r="H2844" t="n">
        <v>40.4471668421053</v>
      </c>
      <c r="I2844" t="n">
        <v>-104.696555157895</v>
      </c>
      <c r="J2844" t="s">
        <v>35</v>
      </c>
      <c r="K2844" t="s">
        <v>89</v>
      </c>
      <c r="L2844"/>
      <c r="M2844" t="n">
        <v>1990</v>
      </c>
      <c r="N2844" t="n">
        <v>1990</v>
      </c>
      <c r="O2844" t="s">
        <v>351</v>
      </c>
      <c r="P2844" t="n">
        <v>1</v>
      </c>
      <c r="Q2844" t="n">
        <v>1</v>
      </c>
      <c r="R2844" t="n">
        <v>1</v>
      </c>
      <c r="S2844" t="n">
        <v>1975</v>
      </c>
      <c r="T2844" t="s">
        <v>18664</v>
      </c>
      <c r="U2844" t="s">
        <v>18665</v>
      </c>
      <c r="V2844" t="s">
        <v>74</v>
      </c>
      <c r="W2844"/>
      <c r="X2844"/>
      <c r="Y2844" t="s">
        <v>18666</v>
      </c>
      <c r="Z2844" t="s">
        <v>18667</v>
      </c>
      <c r="AA2844"/>
      <c r="AB2844"/>
      <c r="AC2844"/>
      <c r="AD2844"/>
      <c r="AE2844"/>
      <c r="AF2844" t="s">
        <v>18668</v>
      </c>
      <c r="AG2844" t="n">
        <v>135</v>
      </c>
    </row>
    <row r="2845">
      <c r="A2845" t="s">
        <v>18669</v>
      </c>
      <c r="B2845" t="s">
        <v>28</v>
      </c>
      <c r="C2845" t="s">
        <v>24</v>
      </c>
      <c r="D2845" t="s">
        <v>18670</v>
      </c>
      <c r="E2845" t="s">
        <v>3967</v>
      </c>
      <c r="F2845" t="s">
        <v>3950</v>
      </c>
      <c r="G2845" t="s">
        <v>3976</v>
      </c>
      <c r="H2845" t="n">
        <v>40.423526</v>
      </c>
      <c r="I2845" t="n">
        <v>-104.715842</v>
      </c>
      <c r="J2845" t="s">
        <v>4109</v>
      </c>
      <c r="K2845" t="s">
        <v>133</v>
      </c>
      <c r="L2845"/>
      <c r="M2845" t="n">
        <v>1990</v>
      </c>
      <c r="N2845" t="n">
        <v>1990</v>
      </c>
      <c r="O2845" t="s">
        <v>351</v>
      </c>
      <c r="P2845" t="n">
        <v>1</v>
      </c>
      <c r="Q2845" t="n">
        <v>1</v>
      </c>
      <c r="R2845" t="n">
        <v>1</v>
      </c>
      <c r="S2845" t="n">
        <v>1981</v>
      </c>
      <c r="T2845" t="s">
        <v>18671</v>
      </c>
      <c r="U2845" t="s">
        <v>18672</v>
      </c>
      <c r="V2845" t="s">
        <v>74</v>
      </c>
      <c r="W2845"/>
      <c r="X2845"/>
      <c r="Y2845" t="s">
        <v>18673</v>
      </c>
      <c r="Z2845"/>
      <c r="AA2845" t="s">
        <v>18674</v>
      </c>
      <c r="AB2845"/>
      <c r="AC2845"/>
      <c r="AD2845"/>
      <c r="AE2845"/>
      <c r="AF2845" t="s">
        <v>18675</v>
      </c>
      <c r="AG2845" t="n">
        <v>182</v>
      </c>
    </row>
    <row r="2846">
      <c r="A2846" t="s">
        <v>18676</v>
      </c>
      <c r="B2846" t="s">
        <v>28</v>
      </c>
      <c r="C2846" t="s">
        <v>24</v>
      </c>
      <c r="D2846" t="s">
        <v>18677</v>
      </c>
      <c r="E2846" t="s">
        <v>18678</v>
      </c>
      <c r="F2846" t="s">
        <v>3950</v>
      </c>
      <c r="G2846" t="s">
        <v>18679</v>
      </c>
      <c r="H2846" t="n">
        <v>40.445279</v>
      </c>
      <c r="I2846" t="n">
        <v>-105.078749</v>
      </c>
      <c r="J2846" t="s">
        <v>4109</v>
      </c>
      <c r="K2846" t="s">
        <v>89</v>
      </c>
      <c r="L2846"/>
      <c r="M2846" t="n">
        <v>1990</v>
      </c>
      <c r="N2846" t="n">
        <v>1990</v>
      </c>
      <c r="O2846" t="s">
        <v>351</v>
      </c>
      <c r="P2846" t="n">
        <v>1</v>
      </c>
      <c r="Q2846" t="n">
        <v>1</v>
      </c>
      <c r="R2846" t="n">
        <v>1</v>
      </c>
      <c r="S2846"/>
      <c r="T2846" t="s">
        <v>18680</v>
      </c>
      <c r="U2846" t="s">
        <v>18681</v>
      </c>
      <c r="V2846" t="s">
        <v>74</v>
      </c>
      <c r="W2846"/>
      <c r="X2846"/>
      <c r="Y2846" t="s">
        <v>18682</v>
      </c>
      <c r="Z2846"/>
      <c r="AA2846" t="s">
        <v>18683</v>
      </c>
      <c r="AB2846"/>
      <c r="AC2846"/>
      <c r="AD2846"/>
      <c r="AE2846"/>
      <c r="AF2846" t="s">
        <v>18684</v>
      </c>
      <c r="AG2846" t="n">
        <v>1</v>
      </c>
    </row>
    <row r="2847">
      <c r="A2847" t="s">
        <v>18685</v>
      </c>
      <c r="B2847" t="s">
        <v>28</v>
      </c>
      <c r="C2847" t="s">
        <v>24</v>
      </c>
      <c r="D2847" t="s">
        <v>18686</v>
      </c>
      <c r="E2847" t="s">
        <v>18678</v>
      </c>
      <c r="F2847" t="s">
        <v>3950</v>
      </c>
      <c r="G2847" t="s">
        <v>18679</v>
      </c>
      <c r="H2847" t="n">
        <v>40.334758</v>
      </c>
      <c r="I2847" t="n">
        <v>-104.912472</v>
      </c>
      <c r="J2847" t="s">
        <v>4109</v>
      </c>
      <c r="K2847" t="s">
        <v>89</v>
      </c>
      <c r="L2847"/>
      <c r="M2847" t="n">
        <v>1990</v>
      </c>
      <c r="N2847" t="n">
        <v>1992</v>
      </c>
      <c r="O2847" t="s">
        <v>357</v>
      </c>
      <c r="P2847" t="n">
        <v>2</v>
      </c>
      <c r="Q2847" t="n">
        <v>1</v>
      </c>
      <c r="R2847" t="n">
        <v>1</v>
      </c>
      <c r="S2847" t="n">
        <v>1975</v>
      </c>
      <c r="T2847" t="s">
        <v>18687</v>
      </c>
      <c r="U2847" t="s">
        <v>18688</v>
      </c>
      <c r="V2847" t="s">
        <v>74</v>
      </c>
      <c r="W2847"/>
      <c r="X2847"/>
      <c r="Y2847" t="s">
        <v>18689</v>
      </c>
      <c r="Z2847"/>
      <c r="AA2847" t="s">
        <v>18690</v>
      </c>
      <c r="AB2847"/>
      <c r="AC2847"/>
      <c r="AD2847"/>
      <c r="AE2847"/>
      <c r="AF2847" t="s">
        <v>18691</v>
      </c>
      <c r="AG2847" t="n">
        <v>46</v>
      </c>
    </row>
    <row r="2848">
      <c r="A2848" t="s">
        <v>18692</v>
      </c>
      <c r="B2848" t="s">
        <v>28</v>
      </c>
      <c r="C2848" t="s">
        <v>24</v>
      </c>
      <c r="D2848" t="s">
        <v>18693</v>
      </c>
      <c r="E2848" t="s">
        <v>3967</v>
      </c>
      <c r="F2848" t="s">
        <v>3950</v>
      </c>
      <c r="G2848" t="s">
        <v>4076</v>
      </c>
      <c r="H2848" t="n">
        <v>40.422264</v>
      </c>
      <c r="I2848" t="n">
        <v>-104.680034</v>
      </c>
      <c r="J2848" t="s">
        <v>4109</v>
      </c>
      <c r="K2848" t="s">
        <v>70</v>
      </c>
      <c r="L2848"/>
      <c r="M2848" t="n">
        <v>1992</v>
      </c>
      <c r="N2848" t="n">
        <v>1992</v>
      </c>
      <c r="O2848" t="s">
        <v>1016</v>
      </c>
      <c r="P2848" t="n">
        <v>1</v>
      </c>
      <c r="Q2848" t="n">
        <v>1</v>
      </c>
      <c r="R2848" t="n">
        <v>1</v>
      </c>
      <c r="S2848" t="n">
        <v>1980</v>
      </c>
      <c r="T2848" t="s">
        <v>18694</v>
      </c>
      <c r="U2848" t="s">
        <v>18695</v>
      </c>
      <c r="V2848" t="s">
        <v>74</v>
      </c>
      <c r="W2848"/>
      <c r="X2848"/>
      <c r="Y2848" t="s">
        <v>18696</v>
      </c>
      <c r="Z2848"/>
      <c r="AA2848" t="s">
        <v>18697</v>
      </c>
      <c r="AB2848"/>
      <c r="AC2848"/>
      <c r="AD2848"/>
      <c r="AE2848"/>
      <c r="AF2848" t="s">
        <v>18698</v>
      </c>
      <c r="AG2848" t="n">
        <v>24</v>
      </c>
    </row>
    <row r="2849">
      <c r="A2849" t="s">
        <v>18699</v>
      </c>
      <c r="B2849" t="s">
        <v>28</v>
      </c>
      <c r="C2849" t="s">
        <v>65</v>
      </c>
      <c r="D2849" t="s">
        <v>18700</v>
      </c>
      <c r="E2849" t="s">
        <v>4050</v>
      </c>
      <c r="F2849" t="s">
        <v>3950</v>
      </c>
      <c r="G2849" t="s">
        <v>4051</v>
      </c>
      <c r="H2849" t="n">
        <v>40.3763354693808</v>
      </c>
      <c r="I2849" t="n">
        <v>-104.699334244628</v>
      </c>
      <c r="J2849" t="s">
        <v>35</v>
      </c>
      <c r="K2849" t="s">
        <v>70</v>
      </c>
      <c r="L2849"/>
      <c r="M2849" t="n">
        <v>1992</v>
      </c>
      <c r="N2849" t="n">
        <v>1992</v>
      </c>
      <c r="O2849" t="s">
        <v>1016</v>
      </c>
      <c r="P2849" t="n">
        <v>1</v>
      </c>
      <c r="Q2849" t="n">
        <v>1</v>
      </c>
      <c r="R2849" t="n">
        <v>1</v>
      </c>
      <c r="S2849" t="n">
        <v>1985</v>
      </c>
      <c r="T2849" t="s">
        <v>18701</v>
      </c>
      <c r="U2849" t="s">
        <v>18702</v>
      </c>
      <c r="V2849" t="s">
        <v>74</v>
      </c>
      <c r="W2849"/>
      <c r="X2849"/>
      <c r="Y2849" t="s">
        <v>18703</v>
      </c>
      <c r="Z2849"/>
      <c r="AA2849" t="s">
        <v>18703</v>
      </c>
      <c r="AB2849"/>
      <c r="AC2849"/>
      <c r="AD2849"/>
      <c r="AE2849"/>
      <c r="AF2849" t="s">
        <v>4054</v>
      </c>
      <c r="AG2849" t="n">
        <v>19</v>
      </c>
    </row>
    <row r="2850">
      <c r="A2850" t="s">
        <v>18704</v>
      </c>
      <c r="B2850" t="s">
        <v>29</v>
      </c>
      <c r="C2850" t="s">
        <v>24</v>
      </c>
      <c r="D2850" t="s">
        <v>18705</v>
      </c>
      <c r="E2850" t="s">
        <v>738</v>
      </c>
      <c r="F2850" t="s">
        <v>724</v>
      </c>
      <c r="G2850" t="s">
        <v>739</v>
      </c>
      <c r="H2850" t="n">
        <v>40.1598752475746</v>
      </c>
      <c r="I2850" t="n">
        <v>-105.121333839747</v>
      </c>
      <c r="J2850" t="s">
        <v>4109</v>
      </c>
      <c r="K2850" t="s">
        <v>70</v>
      </c>
      <c r="L2850"/>
      <c r="M2850" t="n">
        <v>1988</v>
      </c>
      <c r="N2850" t="n">
        <v>1988</v>
      </c>
      <c r="O2850" t="s">
        <v>325</v>
      </c>
      <c r="P2850" t="n">
        <v>1</v>
      </c>
      <c r="Q2850" t="n">
        <v>1</v>
      </c>
      <c r="R2850" t="n">
        <v>1</v>
      </c>
      <c r="S2850" t="n">
        <v>1957</v>
      </c>
      <c r="T2850" t="s">
        <v>18706</v>
      </c>
      <c r="U2850" t="s">
        <v>18707</v>
      </c>
      <c r="V2850" t="s">
        <v>74</v>
      </c>
      <c r="W2850"/>
      <c r="X2850"/>
      <c r="Y2850"/>
      <c r="Z2850" t="s">
        <v>18708</v>
      </c>
      <c r="AA2850"/>
      <c r="AB2850" t="s">
        <v>18709</v>
      </c>
      <c r="AC2850" t="n">
        <v>86</v>
      </c>
      <c r="AD2850"/>
      <c r="AE2850"/>
      <c r="AF2850" t="s">
        <v>18710</v>
      </c>
      <c r="AG2850" t="n">
        <v>55</v>
      </c>
    </row>
    <row r="2851">
      <c r="A2851" t="s">
        <v>18711</v>
      </c>
      <c r="B2851" t="s">
        <v>29</v>
      </c>
      <c r="C2851" t="s">
        <v>65</v>
      </c>
      <c r="D2851" t="s">
        <v>18712</v>
      </c>
      <c r="E2851" t="s">
        <v>79</v>
      </c>
      <c r="F2851" t="s">
        <v>1274</v>
      </c>
      <c r="G2851" t="s">
        <v>1516</v>
      </c>
      <c r="H2851" t="n">
        <v>39.677617025797</v>
      </c>
      <c r="I2851" t="n">
        <v>-105.00177809439</v>
      </c>
      <c r="J2851" t="s">
        <v>35</v>
      </c>
      <c r="K2851" t="s">
        <v>70</v>
      </c>
      <c r="L2851"/>
      <c r="M2851" t="n">
        <v>1968</v>
      </c>
      <c r="N2851" t="n">
        <v>1990</v>
      </c>
      <c r="O2851" t="s">
        <v>2446</v>
      </c>
      <c r="P2851" t="n">
        <v>9</v>
      </c>
      <c r="Q2851" t="n">
        <v>6</v>
      </c>
      <c r="R2851" t="n">
        <v>2</v>
      </c>
      <c r="S2851" t="n">
        <v>1965</v>
      </c>
      <c r="T2851" t="s">
        <v>18713</v>
      </c>
      <c r="U2851" t="s">
        <v>18714</v>
      </c>
      <c r="V2851" t="s">
        <v>74</v>
      </c>
      <c r="W2851"/>
      <c r="X2851"/>
      <c r="Y2851"/>
      <c r="Z2851" t="s">
        <v>18715</v>
      </c>
      <c r="AA2851"/>
      <c r="AB2851" t="s">
        <v>6709</v>
      </c>
      <c r="AC2851" t="n">
        <v>195</v>
      </c>
      <c r="AD2851" t="s">
        <v>8989</v>
      </c>
      <c r="AE2851" t="n">
        <v>243</v>
      </c>
      <c r="AF2851" t="s">
        <v>15632</v>
      </c>
      <c r="AG2851" t="n">
        <v>88</v>
      </c>
    </row>
    <row r="2852">
      <c r="A2852" t="s">
        <v>18716</v>
      </c>
      <c r="B2852" t="s">
        <v>29</v>
      </c>
      <c r="C2852" t="s">
        <v>65</v>
      </c>
      <c r="D2852" t="s">
        <v>18717</v>
      </c>
      <c r="E2852" t="s">
        <v>79</v>
      </c>
      <c r="F2852" t="s">
        <v>1274</v>
      </c>
      <c r="G2852" t="s">
        <v>1702</v>
      </c>
      <c r="H2852" t="n">
        <v>39.7691855355246</v>
      </c>
      <c r="I2852" t="n">
        <v>-104.835926870532</v>
      </c>
      <c r="J2852" t="s">
        <v>35</v>
      </c>
      <c r="K2852" t="s">
        <v>70</v>
      </c>
      <c r="L2852"/>
      <c r="M2852" t="n">
        <v>1980</v>
      </c>
      <c r="N2852" t="n">
        <v>1990</v>
      </c>
      <c r="O2852" t="s">
        <v>255</v>
      </c>
      <c r="P2852" t="n">
        <v>2</v>
      </c>
      <c r="Q2852" t="n">
        <v>2</v>
      </c>
      <c r="R2852" t="n">
        <v>1</v>
      </c>
      <c r="S2852" t="n">
        <v>1953</v>
      </c>
      <c r="T2852" t="s">
        <v>18718</v>
      </c>
      <c r="U2852" t="s">
        <v>18719</v>
      </c>
      <c r="V2852" t="s">
        <v>74</v>
      </c>
      <c r="W2852"/>
      <c r="X2852"/>
      <c r="Y2852"/>
      <c r="Z2852" t="s">
        <v>18720</v>
      </c>
      <c r="AA2852" t="s">
        <v>18721</v>
      </c>
      <c r="AB2852"/>
      <c r="AC2852"/>
      <c r="AD2852"/>
      <c r="AE2852"/>
      <c r="AF2852" t="s">
        <v>16061</v>
      </c>
      <c r="AG2852" t="n">
        <v>53</v>
      </c>
    </row>
    <row r="2853">
      <c r="A2853" t="s">
        <v>18722</v>
      </c>
      <c r="B2853" t="s">
        <v>29</v>
      </c>
      <c r="C2853" t="s">
        <v>65</v>
      </c>
      <c r="D2853" t="s">
        <v>18723</v>
      </c>
      <c r="E2853" t="s">
        <v>79</v>
      </c>
      <c r="F2853" t="s">
        <v>1274</v>
      </c>
      <c r="G2853" t="s">
        <v>1653</v>
      </c>
      <c r="H2853" t="n">
        <v>39.7952380729231</v>
      </c>
      <c r="I2853" t="n">
        <v>-104.968739514473</v>
      </c>
      <c r="J2853" t="s">
        <v>35</v>
      </c>
      <c r="K2853" t="s">
        <v>70</v>
      </c>
      <c r="L2853"/>
      <c r="M2853" t="n">
        <v>1983</v>
      </c>
      <c r="N2853" t="n">
        <v>1990</v>
      </c>
      <c r="O2853" t="s">
        <v>293</v>
      </c>
      <c r="P2853" t="n">
        <v>2</v>
      </c>
      <c r="Q2853" t="n">
        <v>1</v>
      </c>
      <c r="R2853" t="n">
        <v>1</v>
      </c>
      <c r="S2853" t="n">
        <v>1968</v>
      </c>
      <c r="T2853" t="s">
        <v>18724</v>
      </c>
      <c r="U2853" t="s">
        <v>18725</v>
      </c>
      <c r="V2853" t="s">
        <v>74</v>
      </c>
      <c r="W2853"/>
      <c r="X2853"/>
      <c r="Y2853"/>
      <c r="Z2853" t="s">
        <v>18726</v>
      </c>
      <c r="AA2853" t="s">
        <v>18727</v>
      </c>
      <c r="AB2853"/>
      <c r="AC2853"/>
      <c r="AD2853" t="s">
        <v>18728</v>
      </c>
      <c r="AE2853" t="n">
        <v>154</v>
      </c>
      <c r="AF2853"/>
      <c r="AG2853"/>
    </row>
    <row r="2854">
      <c r="A2854" t="s">
        <v>18729</v>
      </c>
      <c r="B2854" t="s">
        <v>29</v>
      </c>
      <c r="C2854" t="s">
        <v>24</v>
      </c>
      <c r="D2854" t="s">
        <v>18730</v>
      </c>
      <c r="E2854" t="s">
        <v>18731</v>
      </c>
      <c r="F2854" t="s">
        <v>2221</v>
      </c>
      <c r="G2854" t="s">
        <v>18732</v>
      </c>
      <c r="H2854" t="n">
        <v>39.4398824562765</v>
      </c>
      <c r="I2854" t="n">
        <v>-104.970051375246</v>
      </c>
      <c r="J2854" t="s">
        <v>4109</v>
      </c>
      <c r="K2854" t="s">
        <v>220</v>
      </c>
      <c r="L2854"/>
      <c r="M2854" t="n">
        <v>1988</v>
      </c>
      <c r="N2854" t="n">
        <v>1990</v>
      </c>
      <c r="O2854" t="s">
        <v>310</v>
      </c>
      <c r="P2854" t="n">
        <v>2</v>
      </c>
      <c r="Q2854" t="n">
        <v>2</v>
      </c>
      <c r="R2854" t="n">
        <v>2</v>
      </c>
      <c r="S2854" t="n">
        <v>1971</v>
      </c>
      <c r="T2854" t="s">
        <v>18733</v>
      </c>
      <c r="U2854" t="s">
        <v>18734</v>
      </c>
      <c r="V2854" t="s">
        <v>74</v>
      </c>
      <c r="W2854"/>
      <c r="X2854"/>
      <c r="Y2854"/>
      <c r="Z2854" t="s">
        <v>18735</v>
      </c>
      <c r="AA2854" t="s">
        <v>18736</v>
      </c>
      <c r="AB2854"/>
      <c r="AC2854"/>
      <c r="AD2854"/>
      <c r="AE2854"/>
      <c r="AF2854"/>
      <c r="AG2854"/>
    </row>
    <row r="2855">
      <c r="A2855" t="s">
        <v>18737</v>
      </c>
      <c r="B2855" t="s">
        <v>29</v>
      </c>
      <c r="C2855" t="s">
        <v>65</v>
      </c>
      <c r="D2855" t="s">
        <v>18738</v>
      </c>
      <c r="E2855" t="s">
        <v>2272</v>
      </c>
      <c r="F2855" t="s">
        <v>2267</v>
      </c>
      <c r="G2855" t="s">
        <v>2374</v>
      </c>
      <c r="H2855" t="n">
        <v>38.878630101773</v>
      </c>
      <c r="I2855" t="n">
        <v>-104.814074742555</v>
      </c>
      <c r="J2855" t="s">
        <v>35</v>
      </c>
      <c r="K2855" t="s">
        <v>120</v>
      </c>
      <c r="L2855"/>
      <c r="M2855" t="n">
        <v>1970</v>
      </c>
      <c r="N2855" t="n">
        <v>1977</v>
      </c>
      <c r="O2855" t="s">
        <v>3984</v>
      </c>
      <c r="P2855" t="n">
        <v>4</v>
      </c>
      <c r="Q2855" t="n">
        <v>3</v>
      </c>
      <c r="R2855" t="n">
        <v>3</v>
      </c>
      <c r="S2855" t="n">
        <v>1966</v>
      </c>
      <c r="T2855" t="s">
        <v>18739</v>
      </c>
      <c r="U2855" t="s">
        <v>18740</v>
      </c>
      <c r="V2855" t="s">
        <v>74</v>
      </c>
      <c r="W2855"/>
      <c r="X2855"/>
      <c r="Y2855"/>
      <c r="Z2855" t="s">
        <v>18741</v>
      </c>
      <c r="AA2855" t="s">
        <v>18742</v>
      </c>
      <c r="AB2855" t="s">
        <v>16849</v>
      </c>
      <c r="AC2855" t="n">
        <v>107</v>
      </c>
      <c r="AD2855"/>
      <c r="AE2855"/>
      <c r="AF2855" t="s">
        <v>16370</v>
      </c>
      <c r="AG2855" t="n">
        <v>112</v>
      </c>
    </row>
    <row r="2856">
      <c r="A2856" t="s">
        <v>18743</v>
      </c>
      <c r="B2856" t="s">
        <v>29</v>
      </c>
      <c r="C2856" t="s">
        <v>65</v>
      </c>
      <c r="D2856" t="s">
        <v>18744</v>
      </c>
      <c r="E2856" t="s">
        <v>2272</v>
      </c>
      <c r="F2856" t="s">
        <v>2267</v>
      </c>
      <c r="G2856" t="s">
        <v>2374</v>
      </c>
      <c r="H2856" t="n">
        <v>38.825782</v>
      </c>
      <c r="I2856" t="n">
        <v>-104.818441</v>
      </c>
      <c r="J2856" t="s">
        <v>35</v>
      </c>
      <c r="K2856" t="s">
        <v>89</v>
      </c>
      <c r="L2856"/>
      <c r="M2856" t="n">
        <v>1977</v>
      </c>
      <c r="N2856" t="n">
        <v>1980</v>
      </c>
      <c r="O2856" t="s">
        <v>1949</v>
      </c>
      <c r="P2856" t="n">
        <v>2</v>
      </c>
      <c r="Q2856" t="n">
        <v>1</v>
      </c>
      <c r="R2856" t="n">
        <v>1</v>
      </c>
      <c r="S2856" t="n">
        <v>1964</v>
      </c>
      <c r="T2856" t="s">
        <v>18745</v>
      </c>
      <c r="U2856" t="s">
        <v>18746</v>
      </c>
      <c r="V2856" t="s">
        <v>74</v>
      </c>
      <c r="W2856"/>
      <c r="X2856"/>
      <c r="Y2856"/>
      <c r="Z2856" t="s">
        <v>18747</v>
      </c>
      <c r="AA2856"/>
      <c r="AB2856" t="s">
        <v>2335</v>
      </c>
      <c r="AC2856" t="n">
        <v>84</v>
      </c>
      <c r="AD2856"/>
      <c r="AE2856"/>
      <c r="AF2856" t="s">
        <v>2336</v>
      </c>
      <c r="AG2856" t="n">
        <v>52</v>
      </c>
    </row>
    <row r="2857">
      <c r="A2857" t="s">
        <v>18748</v>
      </c>
      <c r="B2857" t="s">
        <v>29</v>
      </c>
      <c r="C2857" t="s">
        <v>24</v>
      </c>
      <c r="D2857" t="s">
        <v>18749</v>
      </c>
      <c r="E2857" t="s">
        <v>2639</v>
      </c>
      <c r="F2857" t="s">
        <v>2640</v>
      </c>
      <c r="G2857" t="s">
        <v>2641</v>
      </c>
      <c r="H2857" t="n">
        <v>38.4458966187427</v>
      </c>
      <c r="I2857" t="n">
        <v>-105.234231767431</v>
      </c>
      <c r="J2857" t="s">
        <v>4109</v>
      </c>
      <c r="K2857" t="s">
        <v>89</v>
      </c>
      <c r="L2857"/>
      <c r="M2857" t="n">
        <v>1980</v>
      </c>
      <c r="N2857" t="n">
        <v>1992</v>
      </c>
      <c r="O2857" t="s">
        <v>1016</v>
      </c>
      <c r="P2857" t="n">
        <v>2</v>
      </c>
      <c r="Q2857" t="n">
        <v>1</v>
      </c>
      <c r="R2857" t="n">
        <v>1</v>
      </c>
      <c r="S2857" t="n">
        <v>1968</v>
      </c>
      <c r="T2857" t="s">
        <v>18750</v>
      </c>
      <c r="U2857" t="s">
        <v>18751</v>
      </c>
      <c r="V2857" t="s">
        <v>74</v>
      </c>
      <c r="W2857"/>
      <c r="X2857"/>
      <c r="Y2857"/>
      <c r="Z2857" t="s">
        <v>18752</v>
      </c>
      <c r="AA2857" t="s">
        <v>18753</v>
      </c>
      <c r="AB2857"/>
      <c r="AC2857"/>
      <c r="AD2857"/>
      <c r="AE2857"/>
      <c r="AF2857"/>
      <c r="AG2857"/>
    </row>
    <row r="2858">
      <c r="A2858" t="s">
        <v>18754</v>
      </c>
      <c r="B2858" t="s">
        <v>29</v>
      </c>
      <c r="C2858" t="s">
        <v>65</v>
      </c>
      <c r="D2858" t="s">
        <v>18755</v>
      </c>
      <c r="E2858" t="s">
        <v>3170</v>
      </c>
      <c r="F2858" t="s">
        <v>3152</v>
      </c>
      <c r="G2858" t="s">
        <v>3292</v>
      </c>
      <c r="H2858" t="n">
        <v>40.5839803061224</v>
      </c>
      <c r="I2858" t="n">
        <v>-105.041539040816</v>
      </c>
      <c r="J2858" t="s">
        <v>35</v>
      </c>
      <c r="K2858" t="s">
        <v>120</v>
      </c>
      <c r="L2858"/>
      <c r="M2858" t="n">
        <v>1980</v>
      </c>
      <c r="N2858" t="n">
        <v>1990</v>
      </c>
      <c r="O2858" t="s">
        <v>582</v>
      </c>
      <c r="P2858" t="n">
        <v>3</v>
      </c>
      <c r="Q2858" t="n">
        <v>2</v>
      </c>
      <c r="R2858" t="n">
        <v>2</v>
      </c>
      <c r="S2858" t="n">
        <v>1944</v>
      </c>
      <c r="T2858" t="s">
        <v>18756</v>
      </c>
      <c r="U2858" t="s">
        <v>18757</v>
      </c>
      <c r="V2858" t="s">
        <v>74</v>
      </c>
      <c r="W2858"/>
      <c r="X2858"/>
      <c r="Y2858"/>
      <c r="Z2858" t="s">
        <v>18758</v>
      </c>
      <c r="AA2858" t="s">
        <v>18759</v>
      </c>
      <c r="AB2858"/>
      <c r="AC2858"/>
      <c r="AD2858"/>
      <c r="AE2858"/>
      <c r="AF2858" t="s">
        <v>18760</v>
      </c>
      <c r="AG2858" t="n">
        <v>154</v>
      </c>
    </row>
    <row r="2859">
      <c r="A2859" t="s">
        <v>18761</v>
      </c>
      <c r="B2859" t="s">
        <v>29</v>
      </c>
      <c r="C2859" t="s">
        <v>65</v>
      </c>
      <c r="D2859" t="s">
        <v>18762</v>
      </c>
      <c r="E2859" t="s">
        <v>3170</v>
      </c>
      <c r="F2859" t="s">
        <v>3152</v>
      </c>
      <c r="G2859" t="s">
        <v>3292</v>
      </c>
      <c r="H2859" t="n">
        <v>40.5872290790572</v>
      </c>
      <c r="I2859" t="n">
        <v>-105.049317567602</v>
      </c>
      <c r="J2859" t="s">
        <v>35</v>
      </c>
      <c r="K2859" t="s">
        <v>1041</v>
      </c>
      <c r="L2859"/>
      <c r="M2859" t="n">
        <v>1990</v>
      </c>
      <c r="N2859" t="n">
        <v>1992</v>
      </c>
      <c r="O2859" t="s">
        <v>357</v>
      </c>
      <c r="P2859" t="n">
        <v>2</v>
      </c>
      <c r="Q2859" t="n">
        <v>1</v>
      </c>
      <c r="R2859" t="n">
        <v>1</v>
      </c>
      <c r="S2859" t="n">
        <v>1977</v>
      </c>
      <c r="T2859" t="s">
        <v>18763</v>
      </c>
      <c r="U2859" t="s">
        <v>18764</v>
      </c>
      <c r="V2859" t="s">
        <v>74</v>
      </c>
      <c r="W2859"/>
      <c r="X2859"/>
      <c r="Y2859"/>
      <c r="Z2859" t="s">
        <v>18765</v>
      </c>
      <c r="AA2859"/>
      <c r="AB2859"/>
      <c r="AC2859"/>
      <c r="AD2859"/>
      <c r="AE2859"/>
      <c r="AF2859" t="s">
        <v>18766</v>
      </c>
      <c r="AG2859" t="n">
        <v>47</v>
      </c>
    </row>
    <row r="2860">
      <c r="A2860" t="s">
        <v>18767</v>
      </c>
      <c r="B2860" t="s">
        <v>29</v>
      </c>
      <c r="C2860" t="s">
        <v>65</v>
      </c>
      <c r="D2860" t="s">
        <v>18768</v>
      </c>
      <c r="E2860" t="s">
        <v>3461</v>
      </c>
      <c r="F2860" t="s">
        <v>3462</v>
      </c>
      <c r="G2860" t="s">
        <v>3487</v>
      </c>
      <c r="H2860" t="n">
        <v>39.0581900846001</v>
      </c>
      <c r="I2860" t="n">
        <v>-108.55240317955</v>
      </c>
      <c r="J2860" t="s">
        <v>35</v>
      </c>
      <c r="K2860" t="s">
        <v>234</v>
      </c>
      <c r="L2860"/>
      <c r="M2860" t="n">
        <v>1983</v>
      </c>
      <c r="N2860" t="n">
        <v>1983</v>
      </c>
      <c r="O2860" t="s">
        <v>264</v>
      </c>
      <c r="P2860" t="n">
        <v>1</v>
      </c>
      <c r="Q2860" t="n">
        <v>1</v>
      </c>
      <c r="R2860" t="n">
        <v>1</v>
      </c>
      <c r="S2860" t="n">
        <v>1979</v>
      </c>
      <c r="T2860" t="s">
        <v>18769</v>
      </c>
      <c r="U2860" t="s">
        <v>18770</v>
      </c>
      <c r="V2860" t="s">
        <v>74</v>
      </c>
      <c r="W2860"/>
      <c r="X2860"/>
      <c r="Y2860"/>
      <c r="Z2860" t="s">
        <v>18771</v>
      </c>
      <c r="AA2860"/>
      <c r="AB2860" t="s">
        <v>10252</v>
      </c>
      <c r="AC2860" t="n">
        <v>202</v>
      </c>
      <c r="AD2860" t="s">
        <v>18772</v>
      </c>
      <c r="AE2860" t="n">
        <v>136</v>
      </c>
      <c r="AF2860" t="s">
        <v>3184</v>
      </c>
      <c r="AG2860" t="n">
        <v>59</v>
      </c>
    </row>
    <row r="2861">
      <c r="A2861" t="s">
        <v>18773</v>
      </c>
      <c r="B2861" t="s">
        <v>27</v>
      </c>
      <c r="C2861" t="s">
        <v>65</v>
      </c>
      <c r="D2861" t="s">
        <v>18774</v>
      </c>
      <c r="E2861" t="s">
        <v>67</v>
      </c>
      <c r="F2861" t="s">
        <v>68</v>
      </c>
      <c r="G2861" t="s">
        <v>69</v>
      </c>
      <c r="H2861" t="n">
        <v>39.796846</v>
      </c>
      <c r="I2861" t="n">
        <v>-104.953502</v>
      </c>
      <c r="J2861" t="s">
        <v>35</v>
      </c>
      <c r="K2861" t="s">
        <v>89</v>
      </c>
      <c r="L2861"/>
      <c r="M2861" t="n">
        <v>1966</v>
      </c>
      <c r="N2861" t="n">
        <v>1990</v>
      </c>
      <c r="O2861" t="s">
        <v>210</v>
      </c>
      <c r="P2861" t="n">
        <v>6</v>
      </c>
      <c r="Q2861" t="n">
        <v>4</v>
      </c>
      <c r="R2861" t="n">
        <v>1</v>
      </c>
      <c r="S2861" t="n">
        <v>1922</v>
      </c>
      <c r="T2861" t="s">
        <v>18775</v>
      </c>
      <c r="U2861" t="s">
        <v>18776</v>
      </c>
      <c r="V2861" t="s">
        <v>74</v>
      </c>
      <c r="W2861"/>
      <c r="X2861" t="s">
        <v>18777</v>
      </c>
      <c r="Y2861" t="s">
        <v>18778</v>
      </c>
      <c r="Z2861"/>
      <c r="AA2861" t="s">
        <v>18779</v>
      </c>
      <c r="AB2861"/>
      <c r="AC2861"/>
      <c r="AD2861" t="s">
        <v>18780</v>
      </c>
      <c r="AE2861" t="n">
        <v>64</v>
      </c>
      <c r="AF2861" t="s">
        <v>18781</v>
      </c>
      <c r="AG2861" t="n">
        <v>88</v>
      </c>
    </row>
    <row r="2862">
      <c r="A2862" t="s">
        <v>18782</v>
      </c>
      <c r="B2862" t="s">
        <v>27</v>
      </c>
      <c r="C2862" t="s">
        <v>65</v>
      </c>
      <c r="D2862" t="s">
        <v>18783</v>
      </c>
      <c r="E2862" t="s">
        <v>67</v>
      </c>
      <c r="F2862" t="s">
        <v>68</v>
      </c>
      <c r="G2862" t="s">
        <v>69</v>
      </c>
      <c r="H2862" t="n">
        <v>39.80858595091</v>
      </c>
      <c r="I2862" t="n">
        <v>-104.939642214835</v>
      </c>
      <c r="J2862" t="s">
        <v>35</v>
      </c>
      <c r="K2862" t="s">
        <v>282</v>
      </c>
      <c r="L2862"/>
      <c r="M2862" t="n">
        <v>1966</v>
      </c>
      <c r="N2862" t="n">
        <v>1990</v>
      </c>
      <c r="O2862" t="s">
        <v>210</v>
      </c>
      <c r="P2862" t="n">
        <v>5</v>
      </c>
      <c r="Q2862" t="n">
        <v>2</v>
      </c>
      <c r="R2862" t="n">
        <v>1</v>
      </c>
      <c r="S2862" t="n">
        <v>1925</v>
      </c>
      <c r="T2862" t="s">
        <v>18784</v>
      </c>
      <c r="U2862" t="s">
        <v>18785</v>
      </c>
      <c r="V2862" t="s">
        <v>74</v>
      </c>
      <c r="W2862"/>
      <c r="X2862" t="s">
        <v>18786</v>
      </c>
      <c r="Y2862" t="s">
        <v>18787</v>
      </c>
      <c r="Z2862"/>
      <c r="AA2862" t="s">
        <v>18788</v>
      </c>
      <c r="AB2862"/>
      <c r="AC2862"/>
      <c r="AD2862" t="s">
        <v>18789</v>
      </c>
      <c r="AE2862" t="n">
        <v>104</v>
      </c>
      <c r="AF2862" t="s">
        <v>15430</v>
      </c>
      <c r="AG2862" t="n">
        <v>91</v>
      </c>
    </row>
    <row r="2863">
      <c r="A2863" t="s">
        <v>18790</v>
      </c>
      <c r="B2863" t="s">
        <v>27</v>
      </c>
      <c r="C2863" t="s">
        <v>65</v>
      </c>
      <c r="D2863" t="s">
        <v>18791</v>
      </c>
      <c r="E2863" t="s">
        <v>79</v>
      </c>
      <c r="F2863" t="s">
        <v>68</v>
      </c>
      <c r="G2863" t="s">
        <v>80</v>
      </c>
      <c r="H2863" t="n">
        <v>39.801537</v>
      </c>
      <c r="I2863" t="n">
        <v>-105.006329</v>
      </c>
      <c r="J2863" t="s">
        <v>35</v>
      </c>
      <c r="K2863" t="s">
        <v>70</v>
      </c>
      <c r="L2863"/>
      <c r="M2863" t="n">
        <v>1966</v>
      </c>
      <c r="N2863" t="n">
        <v>1992</v>
      </c>
      <c r="O2863" t="s">
        <v>3312</v>
      </c>
      <c r="P2863" t="n">
        <v>6</v>
      </c>
      <c r="Q2863" t="n">
        <v>5</v>
      </c>
      <c r="R2863" t="n">
        <v>1</v>
      </c>
      <c r="S2863" t="n">
        <v>1952</v>
      </c>
      <c r="T2863" t="s">
        <v>18792</v>
      </c>
      <c r="U2863" t="s">
        <v>18793</v>
      </c>
      <c r="V2863" t="s">
        <v>74</v>
      </c>
      <c r="W2863"/>
      <c r="X2863" t="s">
        <v>18794</v>
      </c>
      <c r="Y2863" t="s">
        <v>18795</v>
      </c>
      <c r="Z2863"/>
      <c r="AA2863" t="s">
        <v>18796</v>
      </c>
      <c r="AB2863"/>
      <c r="AC2863"/>
      <c r="AD2863" t="s">
        <v>10705</v>
      </c>
      <c r="AE2863" t="n">
        <v>90</v>
      </c>
      <c r="AF2863" t="s">
        <v>12957</v>
      </c>
      <c r="AG2863" t="n">
        <v>84</v>
      </c>
    </row>
    <row r="2864">
      <c r="A2864" t="s">
        <v>18797</v>
      </c>
      <c r="B2864" t="s">
        <v>27</v>
      </c>
      <c r="C2864" t="s">
        <v>65</v>
      </c>
      <c r="D2864" t="s">
        <v>18798</v>
      </c>
      <c r="E2864" t="s">
        <v>67</v>
      </c>
      <c r="F2864" t="s">
        <v>68</v>
      </c>
      <c r="G2864" t="s">
        <v>69</v>
      </c>
      <c r="H2864" t="n">
        <v>39.8046784811596</v>
      </c>
      <c r="I2864" t="n">
        <v>-104.937882297832</v>
      </c>
      <c r="J2864" t="s">
        <v>35</v>
      </c>
      <c r="K2864" t="s">
        <v>282</v>
      </c>
      <c r="L2864" t="s">
        <v>98</v>
      </c>
      <c r="M2864" t="n">
        <v>1966</v>
      </c>
      <c r="N2864" t="n">
        <v>1973</v>
      </c>
      <c r="O2864" t="s">
        <v>2297</v>
      </c>
      <c r="P2864" t="n">
        <v>2</v>
      </c>
      <c r="Q2864" t="n">
        <v>2</v>
      </c>
      <c r="R2864" t="n">
        <v>2</v>
      </c>
      <c r="S2864" t="n">
        <v>1958</v>
      </c>
      <c r="T2864" t="s">
        <v>18799</v>
      </c>
      <c r="U2864" t="s">
        <v>18800</v>
      </c>
      <c r="V2864" t="s">
        <v>74</v>
      </c>
      <c r="W2864"/>
      <c r="X2864" t="s">
        <v>18801</v>
      </c>
      <c r="Y2864"/>
      <c r="Z2864"/>
      <c r="AA2864" t="s">
        <v>18802</v>
      </c>
      <c r="AB2864" t="s">
        <v>5267</v>
      </c>
      <c r="AC2864" t="n">
        <v>130</v>
      </c>
      <c r="AD2864" t="s">
        <v>5268</v>
      </c>
      <c r="AE2864" t="n">
        <v>45</v>
      </c>
      <c r="AF2864" t="s">
        <v>5269</v>
      </c>
      <c r="AG2864" t="n">
        <v>109</v>
      </c>
    </row>
    <row r="2865">
      <c r="A2865" t="s">
        <v>18803</v>
      </c>
      <c r="B2865" t="s">
        <v>27</v>
      </c>
      <c r="C2865" t="s">
        <v>24</v>
      </c>
      <c r="D2865" t="s">
        <v>18804</v>
      </c>
      <c r="E2865" t="s">
        <v>253</v>
      </c>
      <c r="F2865" t="s">
        <v>68</v>
      </c>
      <c r="G2865" t="s">
        <v>254</v>
      </c>
      <c r="H2865" t="n">
        <v>39.8096054746973</v>
      </c>
      <c r="I2865" t="n">
        <v>-104.93482359284</v>
      </c>
      <c r="J2865" t="s">
        <v>4109</v>
      </c>
      <c r="K2865" t="s">
        <v>70</v>
      </c>
      <c r="L2865"/>
      <c r="M2865" t="n">
        <v>1967</v>
      </c>
      <c r="N2865" t="n">
        <v>1967</v>
      </c>
      <c r="O2865" t="s">
        <v>388</v>
      </c>
      <c r="P2865" t="n">
        <v>1</v>
      </c>
      <c r="Q2865" t="n">
        <v>1</v>
      </c>
      <c r="R2865" t="n">
        <v>1</v>
      </c>
      <c r="S2865" t="n">
        <v>1959</v>
      </c>
      <c r="T2865" t="s">
        <v>18805</v>
      </c>
      <c r="U2865" t="s">
        <v>18806</v>
      </c>
      <c r="V2865" t="s">
        <v>74</v>
      </c>
      <c r="W2865"/>
      <c r="X2865" t="s">
        <v>18807</v>
      </c>
      <c r="Y2865" t="s">
        <v>18808</v>
      </c>
      <c r="Z2865"/>
      <c r="AA2865"/>
      <c r="AB2865"/>
      <c r="AC2865"/>
      <c r="AD2865" t="s">
        <v>5150</v>
      </c>
      <c r="AE2865" t="n">
        <v>207</v>
      </c>
      <c r="AF2865" t="s">
        <v>18809</v>
      </c>
      <c r="AG2865" t="n">
        <v>60</v>
      </c>
    </row>
    <row r="2866">
      <c r="A2866" t="s">
        <v>18810</v>
      </c>
      <c r="B2866" t="s">
        <v>27</v>
      </c>
      <c r="C2866" t="s">
        <v>65</v>
      </c>
      <c r="D2866" t="s">
        <v>18811</v>
      </c>
      <c r="E2866" t="s">
        <v>161</v>
      </c>
      <c r="F2866" t="s">
        <v>68</v>
      </c>
      <c r="G2866" t="s">
        <v>162</v>
      </c>
      <c r="H2866" t="n">
        <v>39.836507</v>
      </c>
      <c r="I2866" t="n">
        <v>-104.977884</v>
      </c>
      <c r="J2866" t="s">
        <v>35</v>
      </c>
      <c r="K2866" t="s">
        <v>18812</v>
      </c>
      <c r="L2866"/>
      <c r="M2866" t="n">
        <v>1968</v>
      </c>
      <c r="N2866" t="n">
        <v>1983</v>
      </c>
      <c r="O2866" t="s">
        <v>18813</v>
      </c>
      <c r="P2866" t="n">
        <v>5</v>
      </c>
      <c r="Q2866" t="n">
        <v>6</v>
      </c>
      <c r="R2866" t="n">
        <v>6</v>
      </c>
      <c r="S2866" t="n">
        <v>1920</v>
      </c>
      <c r="T2866" t="s">
        <v>18814</v>
      </c>
      <c r="U2866" t="s">
        <v>18815</v>
      </c>
      <c r="V2866" t="s">
        <v>74</v>
      </c>
      <c r="W2866"/>
      <c r="X2866" t="s">
        <v>18816</v>
      </c>
      <c r="Y2866"/>
      <c r="Z2866"/>
      <c r="AA2866"/>
      <c r="AB2866"/>
      <c r="AC2866"/>
      <c r="AD2866" t="s">
        <v>18817</v>
      </c>
      <c r="AE2866" t="n">
        <v>7</v>
      </c>
      <c r="AF2866"/>
      <c r="AG2866"/>
    </row>
    <row r="2867">
      <c r="A2867" t="s">
        <v>18818</v>
      </c>
      <c r="B2867" t="s">
        <v>27</v>
      </c>
      <c r="C2867" t="s">
        <v>65</v>
      </c>
      <c r="D2867" t="s">
        <v>18819</v>
      </c>
      <c r="E2867" t="s">
        <v>161</v>
      </c>
      <c r="F2867" t="s">
        <v>68</v>
      </c>
      <c r="G2867" t="s">
        <v>162</v>
      </c>
      <c r="H2867" t="n">
        <v>39.8177806802352</v>
      </c>
      <c r="I2867" t="n">
        <v>-104.968615591367</v>
      </c>
      <c r="J2867" t="s">
        <v>35</v>
      </c>
      <c r="K2867" t="s">
        <v>133</v>
      </c>
      <c r="L2867"/>
      <c r="M2867" t="n">
        <v>1973</v>
      </c>
      <c r="N2867" t="n">
        <v>1992</v>
      </c>
      <c r="O2867" t="s">
        <v>1016</v>
      </c>
      <c r="P2867" t="n">
        <v>3</v>
      </c>
      <c r="Q2867" t="n">
        <v>2</v>
      </c>
      <c r="R2867" t="n">
        <v>1</v>
      </c>
      <c r="S2867" t="n">
        <v>1970</v>
      </c>
      <c r="T2867" t="s">
        <v>18820</v>
      </c>
      <c r="U2867" t="s">
        <v>18821</v>
      </c>
      <c r="V2867" t="s">
        <v>74</v>
      </c>
      <c r="W2867"/>
      <c r="X2867" t="s">
        <v>18822</v>
      </c>
      <c r="Y2867" t="s">
        <v>18823</v>
      </c>
      <c r="Z2867"/>
      <c r="AA2867"/>
      <c r="AB2867"/>
      <c r="AC2867"/>
      <c r="AD2867" t="s">
        <v>10743</v>
      </c>
      <c r="AE2867" t="n">
        <v>26</v>
      </c>
      <c r="AF2867" t="s">
        <v>18824</v>
      </c>
      <c r="AG2867" t="n">
        <v>72</v>
      </c>
    </row>
    <row r="2868">
      <c r="A2868" t="s">
        <v>18825</v>
      </c>
      <c r="B2868" t="s">
        <v>27</v>
      </c>
      <c r="C2868" t="s">
        <v>65</v>
      </c>
      <c r="D2868" t="s">
        <v>18826</v>
      </c>
      <c r="E2868" t="s">
        <v>79</v>
      </c>
      <c r="F2868" t="s">
        <v>68</v>
      </c>
      <c r="G2868" t="s">
        <v>80</v>
      </c>
      <c r="H2868" t="n">
        <v>39.8023552764273</v>
      </c>
      <c r="I2868" t="n">
        <v>-105.006328270048</v>
      </c>
      <c r="J2868" t="s">
        <v>35</v>
      </c>
      <c r="K2868" t="s">
        <v>133</v>
      </c>
      <c r="L2868"/>
      <c r="M2868" t="n">
        <v>1974</v>
      </c>
      <c r="N2868" t="n">
        <v>1974</v>
      </c>
      <c r="O2868" t="s">
        <v>210</v>
      </c>
      <c r="P2868" t="n">
        <v>1</v>
      </c>
      <c r="Q2868" t="n">
        <v>1</v>
      </c>
      <c r="R2868" t="n">
        <v>1</v>
      </c>
      <c r="S2868" t="n">
        <v>1968</v>
      </c>
      <c r="T2868" t="s">
        <v>18827</v>
      </c>
      <c r="U2868" t="s">
        <v>18828</v>
      </c>
      <c r="V2868" t="s">
        <v>74</v>
      </c>
      <c r="W2868"/>
      <c r="X2868" t="s">
        <v>18829</v>
      </c>
      <c r="Y2868"/>
      <c r="Z2868"/>
      <c r="AA2868"/>
      <c r="AB2868"/>
      <c r="AC2868"/>
      <c r="AD2868" t="s">
        <v>10705</v>
      </c>
      <c r="AE2868" t="n">
        <v>3</v>
      </c>
      <c r="AF2868" t="s">
        <v>12957</v>
      </c>
      <c r="AG2868" t="n">
        <v>175</v>
      </c>
    </row>
    <row r="2869">
      <c r="A2869" t="s">
        <v>18830</v>
      </c>
      <c r="B2869" t="s">
        <v>27</v>
      </c>
      <c r="C2869" t="s">
        <v>24</v>
      </c>
      <c r="D2869" t="s">
        <v>18831</v>
      </c>
      <c r="E2869" t="s">
        <v>253</v>
      </c>
      <c r="F2869" t="s">
        <v>68</v>
      </c>
      <c r="G2869"/>
      <c r="H2869" t="n">
        <v>39.8707538655654</v>
      </c>
      <c r="I2869" t="n">
        <v>-104.894045133917</v>
      </c>
      <c r="J2869" t="s">
        <v>4109</v>
      </c>
      <c r="K2869" t="s">
        <v>120</v>
      </c>
      <c r="L2869"/>
      <c r="M2869" t="n">
        <v>1974</v>
      </c>
      <c r="N2869" t="n">
        <v>1974</v>
      </c>
      <c r="O2869" t="s">
        <v>210</v>
      </c>
      <c r="P2869" t="n">
        <v>1</v>
      </c>
      <c r="Q2869" t="n">
        <v>1</v>
      </c>
      <c r="R2869" t="n">
        <v>1</v>
      </c>
      <c r="S2869" t="n">
        <v>1859</v>
      </c>
      <c r="T2869" t="s">
        <v>18832</v>
      </c>
      <c r="U2869" t="s">
        <v>18833</v>
      </c>
      <c r="V2869" t="s">
        <v>74</v>
      </c>
      <c r="W2869"/>
      <c r="X2869" t="s">
        <v>18834</v>
      </c>
      <c r="Y2869" t="s">
        <v>18835</v>
      </c>
      <c r="Z2869"/>
      <c r="AA2869" t="s">
        <v>18836</v>
      </c>
      <c r="AB2869"/>
      <c r="AC2869"/>
      <c r="AD2869" t="s">
        <v>5208</v>
      </c>
      <c r="AE2869" t="n">
        <v>67</v>
      </c>
      <c r="AF2869" t="s">
        <v>5209</v>
      </c>
      <c r="AG2869" t="n">
        <v>147</v>
      </c>
    </row>
    <row r="2870">
      <c r="A2870" t="s">
        <v>18837</v>
      </c>
      <c r="B2870" t="s">
        <v>27</v>
      </c>
      <c r="C2870" t="s">
        <v>65</v>
      </c>
      <c r="D2870" t="s">
        <v>18838</v>
      </c>
      <c r="E2870" t="s">
        <v>177</v>
      </c>
      <c r="F2870" t="s">
        <v>68</v>
      </c>
      <c r="G2870" t="s">
        <v>178</v>
      </c>
      <c r="H2870" t="n">
        <v>39.856531</v>
      </c>
      <c r="I2870" t="n">
        <v>-105.063424</v>
      </c>
      <c r="J2870" t="s">
        <v>35</v>
      </c>
      <c r="K2870" t="s">
        <v>201</v>
      </c>
      <c r="L2870"/>
      <c r="M2870" t="n">
        <v>1974</v>
      </c>
      <c r="N2870" t="n">
        <v>1990</v>
      </c>
      <c r="O2870" t="s">
        <v>453</v>
      </c>
      <c r="P2870" t="n">
        <v>4</v>
      </c>
      <c r="Q2870" t="n">
        <v>1</v>
      </c>
      <c r="R2870" t="n">
        <v>1</v>
      </c>
      <c r="S2870" t="n">
        <v>1956</v>
      </c>
      <c r="T2870" t="s">
        <v>18839</v>
      </c>
      <c r="U2870" t="s">
        <v>18840</v>
      </c>
      <c r="V2870" t="s">
        <v>74</v>
      </c>
      <c r="W2870"/>
      <c r="X2870" t="s">
        <v>18841</v>
      </c>
      <c r="Y2870" t="s">
        <v>18842</v>
      </c>
      <c r="Z2870"/>
      <c r="AA2870" t="s">
        <v>18843</v>
      </c>
      <c r="AB2870"/>
      <c r="AC2870"/>
      <c r="AD2870"/>
      <c r="AE2870"/>
      <c r="AF2870"/>
      <c r="AG2870"/>
    </row>
    <row r="2871">
      <c r="A2871" t="s">
        <v>18844</v>
      </c>
      <c r="B2871" t="s">
        <v>27</v>
      </c>
      <c r="C2871" t="s">
        <v>65</v>
      </c>
      <c r="D2871" t="s">
        <v>18845</v>
      </c>
      <c r="E2871" t="s">
        <v>67</v>
      </c>
      <c r="F2871" t="s">
        <v>68</v>
      </c>
      <c r="G2871" t="s">
        <v>69</v>
      </c>
      <c r="H2871" t="n">
        <v>39.7996073243243</v>
      </c>
      <c r="I2871" t="n">
        <v>-104.94974352027</v>
      </c>
      <c r="J2871" t="s">
        <v>35</v>
      </c>
      <c r="K2871" t="s">
        <v>5187</v>
      </c>
      <c r="L2871"/>
      <c r="M2871" t="n">
        <v>1977</v>
      </c>
      <c r="N2871" t="n">
        <v>1992</v>
      </c>
      <c r="O2871" t="s">
        <v>534</v>
      </c>
      <c r="P2871" t="n">
        <v>4</v>
      </c>
      <c r="Q2871" t="n">
        <v>3</v>
      </c>
      <c r="R2871" t="n">
        <v>3</v>
      </c>
      <c r="S2871" t="n">
        <v>1935</v>
      </c>
      <c r="T2871" t="s">
        <v>18846</v>
      </c>
      <c r="U2871" t="s">
        <v>18847</v>
      </c>
      <c r="V2871" t="s">
        <v>74</v>
      </c>
      <c r="W2871"/>
      <c r="X2871" t="s">
        <v>18848</v>
      </c>
      <c r="Y2871" t="s">
        <v>18849</v>
      </c>
      <c r="Z2871"/>
      <c r="AA2871" t="s">
        <v>18850</v>
      </c>
      <c r="AB2871" t="s">
        <v>12821</v>
      </c>
      <c r="AC2871" t="n">
        <v>161</v>
      </c>
      <c r="AD2871" t="s">
        <v>18851</v>
      </c>
      <c r="AE2871" t="n">
        <v>215</v>
      </c>
      <c r="AF2871" t="s">
        <v>18852</v>
      </c>
      <c r="AG2871" t="n">
        <v>71</v>
      </c>
    </row>
    <row r="2872">
      <c r="A2872" t="s">
        <v>18853</v>
      </c>
      <c r="B2872" t="s">
        <v>27</v>
      </c>
      <c r="C2872" t="s">
        <v>65</v>
      </c>
      <c r="D2872" t="s">
        <v>18854</v>
      </c>
      <c r="E2872" t="s">
        <v>67</v>
      </c>
      <c r="F2872" t="s">
        <v>68</v>
      </c>
      <c r="G2872" t="s">
        <v>69</v>
      </c>
      <c r="H2872" t="n">
        <v>39.8125253505403</v>
      </c>
      <c r="I2872" t="n">
        <v>-104.940426201979</v>
      </c>
      <c r="J2872" t="s">
        <v>35</v>
      </c>
      <c r="K2872" t="s">
        <v>527</v>
      </c>
      <c r="L2872"/>
      <c r="M2872" t="n">
        <v>1977</v>
      </c>
      <c r="N2872" t="n">
        <v>1983</v>
      </c>
      <c r="O2872" t="s">
        <v>3217</v>
      </c>
      <c r="P2872" t="n">
        <v>2</v>
      </c>
      <c r="Q2872" t="n">
        <v>2</v>
      </c>
      <c r="R2872" t="n">
        <v>2</v>
      </c>
      <c r="S2872" t="n">
        <v>1973</v>
      </c>
      <c r="T2872" t="s">
        <v>18855</v>
      </c>
      <c r="U2872" t="s">
        <v>18856</v>
      </c>
      <c r="V2872" t="s">
        <v>74</v>
      </c>
      <c r="W2872"/>
      <c r="X2872" t="s">
        <v>18857</v>
      </c>
      <c r="Y2872"/>
      <c r="Z2872"/>
      <c r="AA2872"/>
      <c r="AB2872"/>
      <c r="AC2872"/>
      <c r="AD2872" t="s">
        <v>18858</v>
      </c>
      <c r="AE2872" t="n">
        <v>110</v>
      </c>
      <c r="AF2872" t="s">
        <v>18859</v>
      </c>
      <c r="AG2872" t="n">
        <v>83</v>
      </c>
    </row>
    <row r="2873">
      <c r="A2873" t="s">
        <v>18860</v>
      </c>
      <c r="B2873" t="s">
        <v>27</v>
      </c>
      <c r="C2873" t="s">
        <v>65</v>
      </c>
      <c r="D2873" t="s">
        <v>18861</v>
      </c>
      <c r="E2873" t="s">
        <v>67</v>
      </c>
      <c r="F2873" t="s">
        <v>68</v>
      </c>
      <c r="G2873" t="s">
        <v>69</v>
      </c>
      <c r="H2873" t="n">
        <v>39.8071633242662</v>
      </c>
      <c r="I2873" t="n">
        <v>-104.931889840992</v>
      </c>
      <c r="J2873" t="s">
        <v>35</v>
      </c>
      <c r="K2873" t="s">
        <v>234</v>
      </c>
      <c r="L2873"/>
      <c r="M2873" t="n">
        <v>1980</v>
      </c>
      <c r="N2873" t="n">
        <v>1992</v>
      </c>
      <c r="O2873" t="s">
        <v>2482</v>
      </c>
      <c r="P2873" t="n">
        <v>2</v>
      </c>
      <c r="Q2873" t="n">
        <v>2</v>
      </c>
      <c r="R2873" t="n">
        <v>2</v>
      </c>
      <c r="S2873" t="n">
        <v>1920</v>
      </c>
      <c r="T2873" t="s">
        <v>18862</v>
      </c>
      <c r="U2873" t="s">
        <v>18863</v>
      </c>
      <c r="V2873" t="s">
        <v>74</v>
      </c>
      <c r="W2873"/>
      <c r="X2873" t="s">
        <v>18864</v>
      </c>
      <c r="Y2873"/>
      <c r="Z2873"/>
      <c r="AA2873" t="s">
        <v>18865</v>
      </c>
      <c r="AB2873" t="s">
        <v>238</v>
      </c>
      <c r="AC2873" t="n">
        <v>186</v>
      </c>
      <c r="AD2873" t="s">
        <v>18866</v>
      </c>
      <c r="AE2873" t="n">
        <v>110</v>
      </c>
      <c r="AF2873" t="s">
        <v>18867</v>
      </c>
      <c r="AG2873" t="n">
        <v>158</v>
      </c>
    </row>
    <row r="2874">
      <c r="A2874" t="s">
        <v>18868</v>
      </c>
      <c r="B2874" t="s">
        <v>27</v>
      </c>
      <c r="C2874" t="s">
        <v>65</v>
      </c>
      <c r="D2874" t="s">
        <v>18869</v>
      </c>
      <c r="E2874" t="s">
        <v>161</v>
      </c>
      <c r="F2874" t="s">
        <v>68</v>
      </c>
      <c r="G2874" t="s">
        <v>162</v>
      </c>
      <c r="H2874" t="n">
        <v>39.8342939332696</v>
      </c>
      <c r="I2874" t="n">
        <v>-104.980613207158</v>
      </c>
      <c r="J2874" t="s">
        <v>35</v>
      </c>
      <c r="K2874" t="s">
        <v>796</v>
      </c>
      <c r="L2874"/>
      <c r="M2874" t="n">
        <v>1980</v>
      </c>
      <c r="N2874" t="n">
        <v>1992</v>
      </c>
      <c r="O2874" t="s">
        <v>582</v>
      </c>
      <c r="P2874" t="n">
        <v>5</v>
      </c>
      <c r="Q2874" t="n">
        <v>8</v>
      </c>
      <c r="R2874" t="n">
        <v>3</v>
      </c>
      <c r="S2874" t="n">
        <v>1962</v>
      </c>
      <c r="T2874" t="s">
        <v>18870</v>
      </c>
      <c r="U2874" t="s">
        <v>18871</v>
      </c>
      <c r="V2874" t="s">
        <v>74</v>
      </c>
      <c r="W2874"/>
      <c r="X2874" t="s">
        <v>18872</v>
      </c>
      <c r="Y2874" t="s">
        <v>18873</v>
      </c>
      <c r="Z2874"/>
      <c r="AA2874" t="s">
        <v>18874</v>
      </c>
      <c r="AB2874"/>
      <c r="AC2874"/>
      <c r="AD2874" t="s">
        <v>18875</v>
      </c>
      <c r="AE2874" t="n">
        <v>57</v>
      </c>
      <c r="AF2874" t="s">
        <v>18876</v>
      </c>
      <c r="AG2874" t="n">
        <v>20</v>
      </c>
    </row>
    <row r="2875">
      <c r="A2875" t="s">
        <v>18877</v>
      </c>
      <c r="B2875" t="s">
        <v>27</v>
      </c>
      <c r="C2875" t="s">
        <v>24</v>
      </c>
      <c r="D2875" t="s">
        <v>18878</v>
      </c>
      <c r="E2875" t="s">
        <v>161</v>
      </c>
      <c r="F2875" t="s">
        <v>68</v>
      </c>
      <c r="G2875" t="s">
        <v>162</v>
      </c>
      <c r="H2875" t="n">
        <v>39.8131931818182</v>
      </c>
      <c r="I2875" t="n">
        <v>-104.978049242424</v>
      </c>
      <c r="J2875" t="s">
        <v>4109</v>
      </c>
      <c r="K2875" t="s">
        <v>901</v>
      </c>
      <c r="L2875" t="s">
        <v>18879</v>
      </c>
      <c r="M2875" t="n">
        <v>1983</v>
      </c>
      <c r="N2875" t="n">
        <v>1983</v>
      </c>
      <c r="O2875" t="s">
        <v>264</v>
      </c>
      <c r="P2875" t="n">
        <v>1</v>
      </c>
      <c r="Q2875" t="n">
        <v>3</v>
      </c>
      <c r="R2875" t="n">
        <v>3</v>
      </c>
      <c r="S2875" t="n">
        <v>1979</v>
      </c>
      <c r="T2875" t="s">
        <v>18880</v>
      </c>
      <c r="U2875" t="s">
        <v>18881</v>
      </c>
      <c r="V2875" t="s">
        <v>74</v>
      </c>
      <c r="W2875"/>
      <c r="X2875" t="s">
        <v>18882</v>
      </c>
      <c r="Y2875" t="s">
        <v>18883</v>
      </c>
      <c r="Z2875"/>
      <c r="AA2875" t="s">
        <v>18884</v>
      </c>
      <c r="AB2875"/>
      <c r="AC2875"/>
      <c r="AD2875" t="s">
        <v>18885</v>
      </c>
      <c r="AE2875" t="n">
        <v>216</v>
      </c>
      <c r="AF2875" t="s">
        <v>15812</v>
      </c>
      <c r="AG2875" t="n">
        <v>61</v>
      </c>
    </row>
    <row r="2876">
      <c r="A2876" t="s">
        <v>18886</v>
      </c>
      <c r="B2876" t="s">
        <v>27</v>
      </c>
      <c r="C2876" t="s">
        <v>24</v>
      </c>
      <c r="D2876" t="s">
        <v>18887</v>
      </c>
      <c r="E2876" t="s">
        <v>177</v>
      </c>
      <c r="F2876" t="s">
        <v>68</v>
      </c>
      <c r="G2876" t="s">
        <v>178</v>
      </c>
      <c r="H2876" t="n">
        <v>39.8612147986577</v>
      </c>
      <c r="I2876" t="n">
        <v>-105.068035424497</v>
      </c>
      <c r="J2876" t="s">
        <v>4109</v>
      </c>
      <c r="K2876" t="s">
        <v>133</v>
      </c>
      <c r="L2876" t="s">
        <v>202</v>
      </c>
      <c r="M2876" t="n">
        <v>1983</v>
      </c>
      <c r="N2876" t="n">
        <v>1992</v>
      </c>
      <c r="O2876" t="s">
        <v>1003</v>
      </c>
      <c r="P2876" t="n">
        <v>2</v>
      </c>
      <c r="Q2876" t="n">
        <v>2</v>
      </c>
      <c r="R2876" t="n">
        <v>2</v>
      </c>
      <c r="S2876" t="n">
        <v>1978</v>
      </c>
      <c r="T2876" t="s">
        <v>18888</v>
      </c>
      <c r="U2876" t="s">
        <v>18889</v>
      </c>
      <c r="V2876" t="s">
        <v>74</v>
      </c>
      <c r="W2876"/>
      <c r="X2876" t="s">
        <v>18890</v>
      </c>
      <c r="Y2876" t="s">
        <v>18891</v>
      </c>
      <c r="Z2876"/>
      <c r="AA2876" t="s">
        <v>18892</v>
      </c>
      <c r="AB2876"/>
      <c r="AC2876"/>
      <c r="AD2876" t="s">
        <v>18893</v>
      </c>
      <c r="AE2876" t="n">
        <v>98</v>
      </c>
      <c r="AF2876" t="s">
        <v>18894</v>
      </c>
      <c r="AG2876" t="n">
        <v>3</v>
      </c>
    </row>
    <row r="2877">
      <c r="A2877" t="s">
        <v>18895</v>
      </c>
      <c r="B2877" t="s">
        <v>27</v>
      </c>
      <c r="C2877" t="s">
        <v>65</v>
      </c>
      <c r="D2877" t="s">
        <v>18896</v>
      </c>
      <c r="E2877" t="s">
        <v>118</v>
      </c>
      <c r="F2877" t="s">
        <v>68</v>
      </c>
      <c r="G2877" t="s">
        <v>119</v>
      </c>
      <c r="H2877" t="n">
        <v>39.968921920532</v>
      </c>
      <c r="I2877" t="n">
        <v>-104.818231357971</v>
      </c>
      <c r="J2877" t="s">
        <v>35</v>
      </c>
      <c r="K2877" t="s">
        <v>89</v>
      </c>
      <c r="L2877"/>
      <c r="M2877" t="n">
        <v>1988</v>
      </c>
      <c r="N2877" t="n">
        <v>1990</v>
      </c>
      <c r="O2877" t="s">
        <v>310</v>
      </c>
      <c r="P2877" t="n">
        <v>2</v>
      </c>
      <c r="Q2877" t="n">
        <v>2</v>
      </c>
      <c r="R2877" t="n">
        <v>2</v>
      </c>
      <c r="S2877" t="n">
        <v>1983</v>
      </c>
      <c r="T2877" t="s">
        <v>18897</v>
      </c>
      <c r="U2877" t="s">
        <v>18898</v>
      </c>
      <c r="V2877" t="s">
        <v>74</v>
      </c>
      <c r="W2877"/>
      <c r="X2877" t="s">
        <v>18899</v>
      </c>
      <c r="Y2877" t="s">
        <v>18900</v>
      </c>
      <c r="Z2877"/>
      <c r="AA2877" t="s">
        <v>18901</v>
      </c>
      <c r="AB2877"/>
      <c r="AC2877"/>
      <c r="AD2877" t="s">
        <v>18902</v>
      </c>
      <c r="AE2877" t="n">
        <v>115</v>
      </c>
      <c r="AF2877" t="s">
        <v>18903</v>
      </c>
      <c r="AG2877" t="n">
        <v>60</v>
      </c>
    </row>
    <row r="2878">
      <c r="A2878" t="s">
        <v>18904</v>
      </c>
      <c r="B2878" t="s">
        <v>27</v>
      </c>
      <c r="C2878" t="s">
        <v>24</v>
      </c>
      <c r="D2878" t="s">
        <v>18905</v>
      </c>
      <c r="E2878" t="s">
        <v>161</v>
      </c>
      <c r="F2878" t="s">
        <v>68</v>
      </c>
      <c r="G2878" t="s">
        <v>162</v>
      </c>
      <c r="H2878" t="n">
        <v>39.852505</v>
      </c>
      <c r="I2878" t="n">
        <v>-104.95434</v>
      </c>
      <c r="J2878" t="s">
        <v>4109</v>
      </c>
      <c r="K2878" t="s">
        <v>120</v>
      </c>
      <c r="L2878"/>
      <c r="M2878" t="n">
        <v>1988</v>
      </c>
      <c r="N2878" t="n">
        <v>1990</v>
      </c>
      <c r="O2878" t="s">
        <v>351</v>
      </c>
      <c r="P2878" t="n">
        <v>2</v>
      </c>
      <c r="Q2878" t="n">
        <v>2</v>
      </c>
      <c r="R2878" t="n">
        <v>1</v>
      </c>
      <c r="S2878" t="n">
        <v>1964</v>
      </c>
      <c r="T2878" t="s">
        <v>18906</v>
      </c>
      <c r="U2878" t="s">
        <v>18907</v>
      </c>
      <c r="V2878" t="s">
        <v>74</v>
      </c>
      <c r="W2878"/>
      <c r="X2878" t="s">
        <v>18908</v>
      </c>
      <c r="Y2878"/>
      <c r="Z2878"/>
      <c r="AA2878" t="s">
        <v>18909</v>
      </c>
      <c r="AB2878"/>
      <c r="AC2878"/>
      <c r="AD2878"/>
      <c r="AE2878"/>
      <c r="AF2878"/>
      <c r="AG2878"/>
    </row>
    <row r="2879">
      <c r="A2879" t="s">
        <v>18910</v>
      </c>
      <c r="B2879" t="s">
        <v>27</v>
      </c>
      <c r="C2879" t="s">
        <v>24</v>
      </c>
      <c r="D2879" t="s">
        <v>18911</v>
      </c>
      <c r="E2879" t="s">
        <v>177</v>
      </c>
      <c r="F2879" t="s">
        <v>68</v>
      </c>
      <c r="G2879" t="s">
        <v>178</v>
      </c>
      <c r="H2879" t="n">
        <v>39.862083</v>
      </c>
      <c r="I2879" t="n">
        <v>-105.068043</v>
      </c>
      <c r="J2879" t="s">
        <v>4109</v>
      </c>
      <c r="K2879" t="s">
        <v>120</v>
      </c>
      <c r="L2879"/>
      <c r="M2879" t="n">
        <v>1988</v>
      </c>
      <c r="N2879" t="n">
        <v>1992</v>
      </c>
      <c r="O2879" t="s">
        <v>310</v>
      </c>
      <c r="P2879" t="n">
        <v>3</v>
      </c>
      <c r="Q2879" t="n">
        <v>1</v>
      </c>
      <c r="R2879" t="n">
        <v>1</v>
      </c>
      <c r="S2879" t="n">
        <v>1969</v>
      </c>
      <c r="T2879" t="s">
        <v>18912</v>
      </c>
      <c r="U2879" t="s">
        <v>18913</v>
      </c>
      <c r="V2879" t="s">
        <v>74</v>
      </c>
      <c r="W2879"/>
      <c r="X2879" t="s">
        <v>18914</v>
      </c>
      <c r="Y2879" t="s">
        <v>18915</v>
      </c>
      <c r="Z2879"/>
      <c r="AA2879" t="s">
        <v>18916</v>
      </c>
      <c r="AB2879"/>
      <c r="AC2879"/>
      <c r="AD2879" t="s">
        <v>18893</v>
      </c>
      <c r="AE2879" t="n">
        <v>140</v>
      </c>
      <c r="AF2879" t="s">
        <v>18894</v>
      </c>
      <c r="AG2879" t="n">
        <v>98</v>
      </c>
    </row>
    <row r="2880">
      <c r="A2880" t="s">
        <v>18917</v>
      </c>
      <c r="B2880" t="s">
        <v>27</v>
      </c>
      <c r="C2880" t="s">
        <v>65</v>
      </c>
      <c r="D2880" t="s">
        <v>18918</v>
      </c>
      <c r="E2880" t="s">
        <v>95</v>
      </c>
      <c r="F2880" t="s">
        <v>68</v>
      </c>
      <c r="G2880" t="s">
        <v>96</v>
      </c>
      <c r="H2880" t="n">
        <v>39.75889</v>
      </c>
      <c r="I2880" t="n">
        <v>-104.745043</v>
      </c>
      <c r="J2880" t="s">
        <v>35</v>
      </c>
      <c r="K2880" t="s">
        <v>141</v>
      </c>
      <c r="L2880"/>
      <c r="M2880" t="n">
        <v>1990</v>
      </c>
      <c r="N2880" t="n">
        <v>1990</v>
      </c>
      <c r="O2880" t="s">
        <v>351</v>
      </c>
      <c r="P2880" t="n">
        <v>1</v>
      </c>
      <c r="Q2880" t="n">
        <v>1</v>
      </c>
      <c r="R2880" t="n">
        <v>1</v>
      </c>
      <c r="S2880" t="n">
        <v>1971</v>
      </c>
      <c r="T2880" t="s">
        <v>18919</v>
      </c>
      <c r="U2880" t="s">
        <v>18920</v>
      </c>
      <c r="V2880" t="s">
        <v>74</v>
      </c>
      <c r="W2880"/>
      <c r="X2880" t="s">
        <v>18921</v>
      </c>
      <c r="Y2880" t="s">
        <v>18922</v>
      </c>
      <c r="Z2880"/>
      <c r="AA2880" t="s">
        <v>18922</v>
      </c>
      <c r="AB2880"/>
      <c r="AC2880"/>
      <c r="AD2880" t="s">
        <v>18923</v>
      </c>
      <c r="AE2880" t="n">
        <v>92</v>
      </c>
      <c r="AF2880" t="s">
        <v>18924</v>
      </c>
      <c r="AG2880" t="n">
        <v>151</v>
      </c>
    </row>
    <row r="2881">
      <c r="A2881" t="s">
        <v>18925</v>
      </c>
      <c r="B2881" t="s">
        <v>27</v>
      </c>
      <c r="C2881" t="s">
        <v>65</v>
      </c>
      <c r="D2881" t="s">
        <v>18926</v>
      </c>
      <c r="E2881" t="s">
        <v>161</v>
      </c>
      <c r="F2881" t="s">
        <v>68</v>
      </c>
      <c r="G2881" t="s">
        <v>162</v>
      </c>
      <c r="H2881" t="n">
        <v>39.821801688328</v>
      </c>
      <c r="I2881" t="n">
        <v>-104.967943561626</v>
      </c>
      <c r="J2881" t="s">
        <v>35</v>
      </c>
      <c r="K2881" t="s">
        <v>1041</v>
      </c>
      <c r="L2881"/>
      <c r="M2881" t="n">
        <v>1990</v>
      </c>
      <c r="N2881" t="n">
        <v>1992</v>
      </c>
      <c r="O2881" t="s">
        <v>351</v>
      </c>
      <c r="P2881" t="n">
        <v>2</v>
      </c>
      <c r="Q2881" t="n">
        <v>1</v>
      </c>
      <c r="R2881" t="n">
        <v>1</v>
      </c>
      <c r="S2881" t="n">
        <v>1945</v>
      </c>
      <c r="T2881" t="s">
        <v>18927</v>
      </c>
      <c r="U2881" t="s">
        <v>18928</v>
      </c>
      <c r="V2881" t="s">
        <v>74</v>
      </c>
      <c r="W2881"/>
      <c r="X2881" t="s">
        <v>18929</v>
      </c>
      <c r="Y2881" t="s">
        <v>18930</v>
      </c>
      <c r="Z2881"/>
      <c r="AA2881" t="s">
        <v>18931</v>
      </c>
      <c r="AB2881"/>
      <c r="AC2881"/>
      <c r="AD2881" t="s">
        <v>18932</v>
      </c>
      <c r="AE2881" t="n">
        <v>12</v>
      </c>
      <c r="AF2881" t="s">
        <v>18932</v>
      </c>
      <c r="AG2881" t="n">
        <v>29</v>
      </c>
    </row>
    <row r="2882">
      <c r="A2882" t="s">
        <v>18933</v>
      </c>
      <c r="B2882" t="s">
        <v>27</v>
      </c>
      <c r="C2882" t="s">
        <v>65</v>
      </c>
      <c r="D2882" t="s">
        <v>18934</v>
      </c>
      <c r="E2882" t="s">
        <v>253</v>
      </c>
      <c r="F2882" t="s">
        <v>68</v>
      </c>
      <c r="G2882" t="s">
        <v>254</v>
      </c>
      <c r="H2882" t="n">
        <v>39.8627267431629</v>
      </c>
      <c r="I2882" t="n">
        <v>-104.879306618846</v>
      </c>
      <c r="J2882" t="s">
        <v>35</v>
      </c>
      <c r="K2882" t="s">
        <v>5187</v>
      </c>
      <c r="L2882"/>
      <c r="M2882" t="n">
        <v>1990</v>
      </c>
      <c r="N2882" t="n">
        <v>1990</v>
      </c>
      <c r="O2882" t="s">
        <v>351</v>
      </c>
      <c r="P2882" t="n">
        <v>1</v>
      </c>
      <c r="Q2882" t="n">
        <v>1</v>
      </c>
      <c r="R2882" t="n">
        <v>1</v>
      </c>
      <c r="S2882" t="n">
        <v>1984</v>
      </c>
      <c r="T2882" t="s">
        <v>18935</v>
      </c>
      <c r="U2882" t="s">
        <v>18936</v>
      </c>
      <c r="V2882" t="s">
        <v>74</v>
      </c>
      <c r="W2882"/>
      <c r="X2882" t="s">
        <v>18937</v>
      </c>
      <c r="Y2882" t="s">
        <v>18938</v>
      </c>
      <c r="Z2882"/>
      <c r="AA2882" t="s">
        <v>18939</v>
      </c>
      <c r="AB2882"/>
      <c r="AC2882"/>
      <c r="AD2882" t="s">
        <v>18940</v>
      </c>
      <c r="AE2882" t="n">
        <v>2</v>
      </c>
      <c r="AF2882"/>
      <c r="AG2882"/>
    </row>
    <row r="2883">
      <c r="A2883" t="s">
        <v>18941</v>
      </c>
      <c r="B2883" t="s">
        <v>27</v>
      </c>
      <c r="C2883" t="s">
        <v>65</v>
      </c>
      <c r="D2883" t="s">
        <v>18942</v>
      </c>
      <c r="E2883" t="s">
        <v>170</v>
      </c>
      <c r="F2883" t="s">
        <v>68</v>
      </c>
      <c r="G2883" t="s">
        <v>171</v>
      </c>
      <c r="H2883" t="n">
        <v>39.8954516057073</v>
      </c>
      <c r="I2883" t="n">
        <v>-104.963711192032</v>
      </c>
      <c r="J2883" t="s">
        <v>35</v>
      </c>
      <c r="K2883" t="s">
        <v>89</v>
      </c>
      <c r="L2883"/>
      <c r="M2883" t="n">
        <v>1990</v>
      </c>
      <c r="N2883" t="n">
        <v>1990</v>
      </c>
      <c r="O2883" t="s">
        <v>351</v>
      </c>
      <c r="P2883" t="n">
        <v>1</v>
      </c>
      <c r="Q2883" t="n">
        <v>1</v>
      </c>
      <c r="R2883" t="n">
        <v>1</v>
      </c>
      <c r="S2883" t="n">
        <v>1958</v>
      </c>
      <c r="T2883" t="s">
        <v>18943</v>
      </c>
      <c r="U2883" t="s">
        <v>18944</v>
      </c>
      <c r="V2883" t="s">
        <v>74</v>
      </c>
      <c r="W2883"/>
      <c r="X2883" t="s">
        <v>18945</v>
      </c>
      <c r="Y2883" t="s">
        <v>18946</v>
      </c>
      <c r="Z2883"/>
      <c r="AA2883"/>
      <c r="AB2883"/>
      <c r="AC2883"/>
      <c r="AD2883" t="s">
        <v>18947</v>
      </c>
      <c r="AE2883" t="n">
        <v>52</v>
      </c>
      <c r="AF2883" t="s">
        <v>297</v>
      </c>
      <c r="AG2883" t="n">
        <v>133</v>
      </c>
    </row>
    <row r="2884">
      <c r="A2884" t="s">
        <v>18948</v>
      </c>
      <c r="B2884" t="s">
        <v>27</v>
      </c>
      <c r="C2884" t="s">
        <v>65</v>
      </c>
      <c r="D2884" t="s">
        <v>18949</v>
      </c>
      <c r="E2884" t="s">
        <v>394</v>
      </c>
      <c r="F2884" t="s">
        <v>387</v>
      </c>
      <c r="G2884" t="s">
        <v>395</v>
      </c>
      <c r="H2884" t="n">
        <v>39.6421958212285</v>
      </c>
      <c r="I2884" t="n">
        <v>-105.002714688075</v>
      </c>
      <c r="J2884" t="s">
        <v>35</v>
      </c>
      <c r="K2884" t="s">
        <v>70</v>
      </c>
      <c r="L2884"/>
      <c r="M2884" t="n">
        <v>1966</v>
      </c>
      <c r="N2884" t="n">
        <v>1992</v>
      </c>
      <c r="O2884" t="s">
        <v>18950</v>
      </c>
      <c r="P2884" t="n">
        <v>10</v>
      </c>
      <c r="Q2884" t="n">
        <v>8</v>
      </c>
      <c r="R2884" t="n">
        <v>1</v>
      </c>
      <c r="S2884" t="n">
        <v>1889</v>
      </c>
      <c r="T2884" t="s">
        <v>18951</v>
      </c>
      <c r="U2884" t="s">
        <v>18952</v>
      </c>
      <c r="V2884" t="s">
        <v>74</v>
      </c>
      <c r="W2884"/>
      <c r="X2884" t="s">
        <v>18953</v>
      </c>
      <c r="Y2884"/>
      <c r="Z2884"/>
      <c r="AA2884" t="s">
        <v>18954</v>
      </c>
      <c r="AB2884"/>
      <c r="AC2884"/>
      <c r="AD2884" t="s">
        <v>10776</v>
      </c>
      <c r="AE2884" t="n">
        <v>54</v>
      </c>
      <c r="AF2884" t="s">
        <v>18955</v>
      </c>
      <c r="AG2884" t="n">
        <v>68</v>
      </c>
    </row>
    <row r="2885">
      <c r="A2885" t="s">
        <v>18956</v>
      </c>
      <c r="B2885" t="s">
        <v>27</v>
      </c>
      <c r="C2885" t="s">
        <v>65</v>
      </c>
      <c r="D2885" t="s">
        <v>18957</v>
      </c>
      <c r="E2885" t="s">
        <v>394</v>
      </c>
      <c r="F2885" t="s">
        <v>387</v>
      </c>
      <c r="G2885" t="s">
        <v>395</v>
      </c>
      <c r="H2885" t="n">
        <v>39.6422023147059</v>
      </c>
      <c r="I2885" t="n">
        <v>-105.003776076471</v>
      </c>
      <c r="J2885" t="s">
        <v>35</v>
      </c>
      <c r="K2885" t="s">
        <v>783</v>
      </c>
      <c r="L2885"/>
      <c r="M2885" t="n">
        <v>1966</v>
      </c>
      <c r="N2885" t="n">
        <v>1983</v>
      </c>
      <c r="O2885" t="s">
        <v>18958</v>
      </c>
      <c r="P2885" t="n">
        <v>8</v>
      </c>
      <c r="Q2885" t="n">
        <v>7</v>
      </c>
      <c r="R2885" t="n">
        <v>4</v>
      </c>
      <c r="S2885" t="n">
        <v>1955</v>
      </c>
      <c r="T2885" t="s">
        <v>18959</v>
      </c>
      <c r="U2885" t="s">
        <v>18960</v>
      </c>
      <c r="V2885" t="s">
        <v>74</v>
      </c>
      <c r="W2885"/>
      <c r="X2885" t="s">
        <v>18961</v>
      </c>
      <c r="Y2885" t="s">
        <v>18962</v>
      </c>
      <c r="Z2885"/>
      <c r="AA2885" t="s">
        <v>18963</v>
      </c>
      <c r="AB2885"/>
      <c r="AC2885"/>
      <c r="AD2885" t="s">
        <v>10776</v>
      </c>
      <c r="AE2885" t="n">
        <v>49</v>
      </c>
      <c r="AF2885" t="s">
        <v>18955</v>
      </c>
      <c r="AG2885" t="n">
        <v>23</v>
      </c>
    </row>
    <row r="2886">
      <c r="A2886" t="s">
        <v>18964</v>
      </c>
      <c r="B2886" t="s">
        <v>27</v>
      </c>
      <c r="C2886" t="s">
        <v>65</v>
      </c>
      <c r="D2886" t="s">
        <v>18965</v>
      </c>
      <c r="E2886" t="s">
        <v>394</v>
      </c>
      <c r="F2886" t="s">
        <v>387</v>
      </c>
      <c r="G2886" t="s">
        <v>395</v>
      </c>
      <c r="H2886" t="n">
        <v>39.6323381505133</v>
      </c>
      <c r="I2886" t="n">
        <v>-105.011915786591</v>
      </c>
      <c r="J2886" t="s">
        <v>35</v>
      </c>
      <c r="K2886" t="s">
        <v>70</v>
      </c>
      <c r="L2886"/>
      <c r="M2886" t="n">
        <v>1966</v>
      </c>
      <c r="N2886" t="n">
        <v>1980</v>
      </c>
      <c r="O2886" t="s">
        <v>127</v>
      </c>
      <c r="P2886" t="n">
        <v>4</v>
      </c>
      <c r="Q2886" t="n">
        <v>3</v>
      </c>
      <c r="R2886" t="n">
        <v>1</v>
      </c>
      <c r="S2886" t="n">
        <v>1965</v>
      </c>
      <c r="T2886" t="s">
        <v>18966</v>
      </c>
      <c r="U2886" t="s">
        <v>18967</v>
      </c>
      <c r="V2886" t="s">
        <v>74</v>
      </c>
      <c r="W2886"/>
      <c r="X2886" t="s">
        <v>18968</v>
      </c>
      <c r="Y2886" t="s">
        <v>18969</v>
      </c>
      <c r="Z2886"/>
      <c r="AA2886" t="s">
        <v>18970</v>
      </c>
      <c r="AB2886" t="s">
        <v>6002</v>
      </c>
      <c r="AC2886" t="n">
        <v>122</v>
      </c>
      <c r="AD2886" t="s">
        <v>6003</v>
      </c>
      <c r="AE2886" t="n">
        <v>107</v>
      </c>
      <c r="AF2886" t="s">
        <v>18971</v>
      </c>
      <c r="AG2886" t="n">
        <v>3</v>
      </c>
    </row>
    <row r="2887">
      <c r="A2887" t="s">
        <v>18972</v>
      </c>
      <c r="B2887" t="s">
        <v>27</v>
      </c>
      <c r="C2887" t="s">
        <v>65</v>
      </c>
      <c r="D2887" t="s">
        <v>18973</v>
      </c>
      <c r="E2887" t="s">
        <v>394</v>
      </c>
      <c r="F2887" t="s">
        <v>387</v>
      </c>
      <c r="G2887" t="s">
        <v>395</v>
      </c>
      <c r="H2887" t="n">
        <v>39.6464628681319</v>
      </c>
      <c r="I2887" t="n">
        <v>-104.999426468341</v>
      </c>
      <c r="J2887" t="s">
        <v>35</v>
      </c>
      <c r="K2887" t="s">
        <v>81</v>
      </c>
      <c r="L2887"/>
      <c r="M2887" t="n">
        <v>1966</v>
      </c>
      <c r="N2887" t="n">
        <v>1992</v>
      </c>
      <c r="O2887" t="s">
        <v>18974</v>
      </c>
      <c r="P2887" t="n">
        <v>12</v>
      </c>
      <c r="Q2887" t="n">
        <v>21</v>
      </c>
      <c r="R2887" t="n">
        <v>13</v>
      </c>
      <c r="S2887" t="n">
        <v>1947</v>
      </c>
      <c r="T2887" t="s">
        <v>18975</v>
      </c>
      <c r="U2887" t="s">
        <v>18976</v>
      </c>
      <c r="V2887" t="s">
        <v>74</v>
      </c>
      <c r="W2887"/>
      <c r="X2887" t="s">
        <v>18977</v>
      </c>
      <c r="Y2887" t="s">
        <v>18978</v>
      </c>
      <c r="Z2887"/>
      <c r="AA2887" t="s">
        <v>18979</v>
      </c>
      <c r="AB2887" t="s">
        <v>5803</v>
      </c>
      <c r="AC2887" t="n">
        <v>194</v>
      </c>
      <c r="AD2887" t="s">
        <v>5804</v>
      </c>
      <c r="AE2887" t="n">
        <v>168</v>
      </c>
      <c r="AF2887" t="s">
        <v>18980</v>
      </c>
      <c r="AG2887" t="n">
        <v>5</v>
      </c>
    </row>
    <row r="2888">
      <c r="A2888" t="s">
        <v>18981</v>
      </c>
      <c r="B2888" t="s">
        <v>27</v>
      </c>
      <c r="C2888" t="s">
        <v>65</v>
      </c>
      <c r="D2888" t="s">
        <v>11713</v>
      </c>
      <c r="E2888" t="s">
        <v>394</v>
      </c>
      <c r="F2888" t="s">
        <v>387</v>
      </c>
      <c r="G2888" t="s">
        <v>395</v>
      </c>
      <c r="H2888" t="n">
        <v>39.6648591441569</v>
      </c>
      <c r="I2888" t="n">
        <v>-104.996951637742</v>
      </c>
      <c r="J2888" t="s">
        <v>35</v>
      </c>
      <c r="K2888" t="s">
        <v>81</v>
      </c>
      <c r="L2888"/>
      <c r="M2888" t="n">
        <v>1966</v>
      </c>
      <c r="N2888" t="n">
        <v>1990</v>
      </c>
      <c r="O2888" t="s">
        <v>18982</v>
      </c>
      <c r="P2888" t="n">
        <v>10</v>
      </c>
      <c r="Q2888" t="n">
        <v>5</v>
      </c>
      <c r="R2888" t="n">
        <v>5</v>
      </c>
      <c r="S2888" t="n">
        <v>1955</v>
      </c>
      <c r="T2888" t="s">
        <v>18983</v>
      </c>
      <c r="U2888" t="s">
        <v>18984</v>
      </c>
      <c r="V2888" t="s">
        <v>74</v>
      </c>
      <c r="W2888"/>
      <c r="X2888" t="s">
        <v>18985</v>
      </c>
      <c r="Y2888"/>
      <c r="Z2888"/>
      <c r="AA2888"/>
      <c r="AB2888" t="s">
        <v>5758</v>
      </c>
      <c r="AC2888" t="n">
        <v>213</v>
      </c>
      <c r="AD2888" t="s">
        <v>5759</v>
      </c>
      <c r="AE2888" t="n">
        <v>64</v>
      </c>
      <c r="AF2888" t="s">
        <v>18986</v>
      </c>
      <c r="AG2888" t="n">
        <v>151</v>
      </c>
    </row>
    <row r="2889">
      <c r="A2889" t="s">
        <v>18987</v>
      </c>
      <c r="B2889" t="s">
        <v>27</v>
      </c>
      <c r="C2889" t="s">
        <v>65</v>
      </c>
      <c r="D2889" t="s">
        <v>18988</v>
      </c>
      <c r="E2889" t="s">
        <v>386</v>
      </c>
      <c r="F2889" t="s">
        <v>387</v>
      </c>
      <c r="G2889" t="s">
        <v>428</v>
      </c>
      <c r="H2889" t="n">
        <v>39.618691</v>
      </c>
      <c r="I2889" t="n">
        <v>-104.99324</v>
      </c>
      <c r="J2889" t="s">
        <v>35</v>
      </c>
      <c r="K2889" t="s">
        <v>141</v>
      </c>
      <c r="L2889"/>
      <c r="M2889" t="n">
        <v>1966</v>
      </c>
      <c r="N2889" t="n">
        <v>1990</v>
      </c>
      <c r="O2889" t="s">
        <v>18989</v>
      </c>
      <c r="P2889" t="n">
        <v>8</v>
      </c>
      <c r="Q2889" t="n">
        <v>2</v>
      </c>
      <c r="R2889" t="n">
        <v>2</v>
      </c>
      <c r="S2889" t="n">
        <v>1925</v>
      </c>
      <c r="T2889" t="s">
        <v>18990</v>
      </c>
      <c r="U2889" t="s">
        <v>18991</v>
      </c>
      <c r="V2889" t="s">
        <v>74</v>
      </c>
      <c r="W2889"/>
      <c r="X2889" t="s">
        <v>18992</v>
      </c>
      <c r="Y2889"/>
      <c r="Z2889"/>
      <c r="AA2889"/>
      <c r="AB2889" t="s">
        <v>595</v>
      </c>
      <c r="AC2889" t="n">
        <v>239</v>
      </c>
      <c r="AD2889" t="s">
        <v>18993</v>
      </c>
      <c r="AE2889" t="n">
        <v>119</v>
      </c>
      <c r="AF2889" t="s">
        <v>391</v>
      </c>
      <c r="AG2889" t="n">
        <v>129</v>
      </c>
    </row>
    <row r="2890">
      <c r="A2890" t="s">
        <v>18994</v>
      </c>
      <c r="B2890" t="s">
        <v>27</v>
      </c>
      <c r="C2890" t="s">
        <v>65</v>
      </c>
      <c r="D2890" t="s">
        <v>18995</v>
      </c>
      <c r="E2890" t="s">
        <v>394</v>
      </c>
      <c r="F2890" t="s">
        <v>387</v>
      </c>
      <c r="G2890" t="s">
        <v>395</v>
      </c>
      <c r="H2890" t="n">
        <v>39.6321001333333</v>
      </c>
      <c r="I2890" t="n">
        <v>-105.004603066667</v>
      </c>
      <c r="J2890" t="s">
        <v>35</v>
      </c>
      <c r="K2890" t="s">
        <v>14267</v>
      </c>
      <c r="L2890"/>
      <c r="M2890" t="n">
        <v>1967</v>
      </c>
      <c r="N2890" t="n">
        <v>1990</v>
      </c>
      <c r="O2890" t="s">
        <v>18996</v>
      </c>
      <c r="P2890" t="n">
        <v>8</v>
      </c>
      <c r="Q2890" t="n">
        <v>5</v>
      </c>
      <c r="R2890" t="n">
        <v>3</v>
      </c>
      <c r="S2890" t="n">
        <v>1940</v>
      </c>
      <c r="T2890" t="s">
        <v>18997</v>
      </c>
      <c r="U2890" t="s">
        <v>18998</v>
      </c>
      <c r="V2890" t="s">
        <v>74</v>
      </c>
      <c r="W2890"/>
      <c r="X2890" t="s">
        <v>18999</v>
      </c>
      <c r="Y2890"/>
      <c r="Z2890"/>
      <c r="AA2890" t="s">
        <v>19000</v>
      </c>
      <c r="AB2890" t="s">
        <v>5953</v>
      </c>
      <c r="AC2890" t="n">
        <v>171</v>
      </c>
      <c r="AD2890" t="s">
        <v>19001</v>
      </c>
      <c r="AE2890" t="n">
        <v>56</v>
      </c>
      <c r="AF2890" t="s">
        <v>5954</v>
      </c>
      <c r="AG2890" t="n">
        <v>170</v>
      </c>
    </row>
    <row r="2891">
      <c r="A2891" t="s">
        <v>19002</v>
      </c>
      <c r="B2891" t="s">
        <v>27</v>
      </c>
      <c r="C2891" t="s">
        <v>65</v>
      </c>
      <c r="D2891" t="s">
        <v>19003</v>
      </c>
      <c r="E2891" t="s">
        <v>394</v>
      </c>
      <c r="F2891" t="s">
        <v>387</v>
      </c>
      <c r="G2891" t="s">
        <v>395</v>
      </c>
      <c r="H2891" t="n">
        <v>39.649395</v>
      </c>
      <c r="I2891" t="n">
        <v>-105.000569</v>
      </c>
      <c r="J2891" t="s">
        <v>35</v>
      </c>
      <c r="K2891" t="s">
        <v>141</v>
      </c>
      <c r="L2891"/>
      <c r="M2891" t="n">
        <v>1967</v>
      </c>
      <c r="N2891" t="n">
        <v>1983</v>
      </c>
      <c r="O2891" t="s">
        <v>19004</v>
      </c>
      <c r="P2891" t="n">
        <v>6</v>
      </c>
      <c r="Q2891" t="n">
        <v>5</v>
      </c>
      <c r="R2891" t="n">
        <v>5</v>
      </c>
      <c r="S2891" t="n">
        <v>1968</v>
      </c>
      <c r="T2891" t="s">
        <v>19005</v>
      </c>
      <c r="U2891" t="s">
        <v>19006</v>
      </c>
      <c r="V2891" t="s">
        <v>74</v>
      </c>
      <c r="W2891"/>
      <c r="X2891" t="s">
        <v>19007</v>
      </c>
      <c r="Y2891" t="s">
        <v>19008</v>
      </c>
      <c r="Z2891"/>
      <c r="AA2891"/>
      <c r="AB2891" t="s">
        <v>5791</v>
      </c>
      <c r="AC2891" t="n">
        <v>149</v>
      </c>
      <c r="AD2891" t="s">
        <v>5792</v>
      </c>
      <c r="AE2891" t="n">
        <v>71</v>
      </c>
      <c r="AF2891" t="s">
        <v>19009</v>
      </c>
      <c r="AG2891" t="n">
        <v>30</v>
      </c>
    </row>
    <row r="2892">
      <c r="A2892" t="s">
        <v>19010</v>
      </c>
      <c r="B2892" t="s">
        <v>27</v>
      </c>
      <c r="C2892" t="s">
        <v>65</v>
      </c>
      <c r="D2892" t="s">
        <v>19011</v>
      </c>
      <c r="E2892" t="s">
        <v>394</v>
      </c>
      <c r="F2892" t="s">
        <v>387</v>
      </c>
      <c r="G2892" t="s">
        <v>395</v>
      </c>
      <c r="H2892" t="n">
        <v>39.666370451895</v>
      </c>
      <c r="I2892" t="n">
        <v>-105.011060346939</v>
      </c>
      <c r="J2892" t="s">
        <v>35</v>
      </c>
      <c r="K2892" t="s">
        <v>120</v>
      </c>
      <c r="L2892"/>
      <c r="M2892" t="n">
        <v>1967</v>
      </c>
      <c r="N2892" t="n">
        <v>1990</v>
      </c>
      <c r="O2892" t="s">
        <v>15113</v>
      </c>
      <c r="P2892" t="n">
        <v>10</v>
      </c>
      <c r="Q2892" t="n">
        <v>4</v>
      </c>
      <c r="R2892" t="n">
        <v>4</v>
      </c>
      <c r="S2892" t="n">
        <v>1956</v>
      </c>
      <c r="T2892" t="s">
        <v>19012</v>
      </c>
      <c r="U2892" t="s">
        <v>19013</v>
      </c>
      <c r="V2892" t="s">
        <v>74</v>
      </c>
      <c r="W2892"/>
      <c r="X2892" t="s">
        <v>19014</v>
      </c>
      <c r="Y2892" t="s">
        <v>19015</v>
      </c>
      <c r="Z2892"/>
      <c r="AA2892" t="s">
        <v>19016</v>
      </c>
      <c r="AB2892" t="s">
        <v>6142</v>
      </c>
      <c r="AC2892" t="n">
        <v>105</v>
      </c>
      <c r="AD2892" t="s">
        <v>5849</v>
      </c>
      <c r="AE2892" t="n">
        <v>82</v>
      </c>
      <c r="AF2892" t="s">
        <v>19017</v>
      </c>
      <c r="AG2892" t="n">
        <v>40</v>
      </c>
    </row>
    <row r="2893">
      <c r="A2893" t="s">
        <v>19018</v>
      </c>
      <c r="B2893" t="s">
        <v>27</v>
      </c>
      <c r="C2893" t="s">
        <v>65</v>
      </c>
      <c r="D2893" t="s">
        <v>19019</v>
      </c>
      <c r="E2893" t="s">
        <v>394</v>
      </c>
      <c r="F2893" t="s">
        <v>387</v>
      </c>
      <c r="G2893" t="s">
        <v>395</v>
      </c>
      <c r="H2893" t="n">
        <v>39.6449490653061</v>
      </c>
      <c r="I2893" t="n">
        <v>-105.001787707483</v>
      </c>
      <c r="J2893" t="s">
        <v>35</v>
      </c>
      <c r="K2893" t="s">
        <v>3960</v>
      </c>
      <c r="L2893"/>
      <c r="M2893" t="n">
        <v>1967</v>
      </c>
      <c r="N2893" t="n">
        <v>1990</v>
      </c>
      <c r="O2893" t="s">
        <v>19020</v>
      </c>
      <c r="P2893" t="n">
        <v>9</v>
      </c>
      <c r="Q2893" t="n">
        <v>14</v>
      </c>
      <c r="R2893" t="n">
        <v>12</v>
      </c>
      <c r="S2893" t="n">
        <v>1926</v>
      </c>
      <c r="T2893" t="s">
        <v>19021</v>
      </c>
      <c r="U2893" t="s">
        <v>19022</v>
      </c>
      <c r="V2893" t="s">
        <v>74</v>
      </c>
      <c r="W2893"/>
      <c r="X2893" t="s">
        <v>19023</v>
      </c>
      <c r="Y2893" t="s">
        <v>19024</v>
      </c>
      <c r="Z2893"/>
      <c r="AA2893" t="s">
        <v>19025</v>
      </c>
      <c r="AB2893" t="s">
        <v>5803</v>
      </c>
      <c r="AC2893" t="n">
        <v>161</v>
      </c>
      <c r="AD2893" t="s">
        <v>5823</v>
      </c>
      <c r="AE2893" t="n">
        <v>96</v>
      </c>
      <c r="AF2893" t="s">
        <v>19026</v>
      </c>
      <c r="AG2893" t="n">
        <v>13</v>
      </c>
    </row>
    <row r="2894">
      <c r="A2894" t="s">
        <v>19027</v>
      </c>
      <c r="B2894" t="s">
        <v>27</v>
      </c>
      <c r="C2894" t="s">
        <v>65</v>
      </c>
      <c r="D2894" t="s">
        <v>19028</v>
      </c>
      <c r="E2894" t="s">
        <v>394</v>
      </c>
      <c r="F2894" t="s">
        <v>387</v>
      </c>
      <c r="G2894" t="s">
        <v>395</v>
      </c>
      <c r="H2894" t="n">
        <v>39.648829180758</v>
      </c>
      <c r="I2894" t="n">
        <v>-105.000575927114</v>
      </c>
      <c r="J2894" t="s">
        <v>35</v>
      </c>
      <c r="K2894" t="s">
        <v>796</v>
      </c>
      <c r="L2894"/>
      <c r="M2894" t="n">
        <v>1968</v>
      </c>
      <c r="N2894" t="n">
        <v>1992</v>
      </c>
      <c r="O2894" t="s">
        <v>19029</v>
      </c>
      <c r="P2894" t="n">
        <v>6</v>
      </c>
      <c r="Q2894" t="n">
        <v>3</v>
      </c>
      <c r="R2894" t="n">
        <v>3</v>
      </c>
      <c r="S2894" t="n">
        <v>1966</v>
      </c>
      <c r="T2894" t="s">
        <v>19030</v>
      </c>
      <c r="U2894" t="s">
        <v>19031</v>
      </c>
      <c r="V2894" t="s">
        <v>74</v>
      </c>
      <c r="W2894"/>
      <c r="X2894" t="s">
        <v>19032</v>
      </c>
      <c r="Y2894" t="s">
        <v>19033</v>
      </c>
      <c r="Z2894"/>
      <c r="AA2894" t="s">
        <v>19034</v>
      </c>
      <c r="AB2894" t="s">
        <v>5791</v>
      </c>
      <c r="AC2894" t="n">
        <v>112</v>
      </c>
      <c r="AD2894" t="s">
        <v>5792</v>
      </c>
      <c r="AE2894" t="n">
        <v>8</v>
      </c>
      <c r="AF2894" t="s">
        <v>19035</v>
      </c>
      <c r="AG2894" t="n">
        <v>10</v>
      </c>
    </row>
    <row r="2895">
      <c r="A2895" t="s">
        <v>19036</v>
      </c>
      <c r="B2895" t="s">
        <v>27</v>
      </c>
      <c r="C2895" t="s">
        <v>65</v>
      </c>
      <c r="D2895" t="s">
        <v>19037</v>
      </c>
      <c r="E2895" t="s">
        <v>394</v>
      </c>
      <c r="F2895" t="s">
        <v>387</v>
      </c>
      <c r="G2895" t="s">
        <v>395</v>
      </c>
      <c r="H2895" t="n">
        <v>39.6486324285714</v>
      </c>
      <c r="I2895" t="n">
        <v>-104.999380571429</v>
      </c>
      <c r="J2895" t="s">
        <v>35</v>
      </c>
      <c r="K2895" t="s">
        <v>1871</v>
      </c>
      <c r="L2895"/>
      <c r="M2895" t="n">
        <v>1968</v>
      </c>
      <c r="N2895" t="n">
        <v>1990</v>
      </c>
      <c r="O2895" t="s">
        <v>19038</v>
      </c>
      <c r="P2895" t="n">
        <v>7</v>
      </c>
      <c r="Q2895" t="n">
        <v>6</v>
      </c>
      <c r="R2895" t="n">
        <v>6</v>
      </c>
      <c r="S2895" t="n">
        <v>1951</v>
      </c>
      <c r="T2895" t="s">
        <v>19039</v>
      </c>
      <c r="U2895" t="s">
        <v>19040</v>
      </c>
      <c r="V2895" t="s">
        <v>74</v>
      </c>
      <c r="W2895"/>
      <c r="X2895" t="s">
        <v>19041</v>
      </c>
      <c r="Y2895" t="s">
        <v>19042</v>
      </c>
      <c r="Z2895"/>
      <c r="AA2895"/>
      <c r="AB2895" t="s">
        <v>5791</v>
      </c>
      <c r="AC2895" t="n">
        <v>206</v>
      </c>
      <c r="AD2895" t="s">
        <v>5792</v>
      </c>
      <c r="AE2895" t="n">
        <v>100</v>
      </c>
      <c r="AF2895" t="s">
        <v>13601</v>
      </c>
      <c r="AG2895" t="n">
        <v>23</v>
      </c>
    </row>
    <row r="2896">
      <c r="A2896" t="s">
        <v>19043</v>
      </c>
      <c r="B2896" t="s">
        <v>27</v>
      </c>
      <c r="C2896" t="s">
        <v>65</v>
      </c>
      <c r="D2896" t="s">
        <v>19044</v>
      </c>
      <c r="E2896" t="s">
        <v>394</v>
      </c>
      <c r="F2896" t="s">
        <v>387</v>
      </c>
      <c r="G2896" t="s">
        <v>395</v>
      </c>
      <c r="H2896" t="n">
        <v>39.6661797575758</v>
      </c>
      <c r="I2896" t="n">
        <v>-105.008678704546</v>
      </c>
      <c r="J2896" t="s">
        <v>35</v>
      </c>
      <c r="K2896" t="s">
        <v>133</v>
      </c>
      <c r="L2896"/>
      <c r="M2896" t="n">
        <v>1970</v>
      </c>
      <c r="N2896" t="n">
        <v>1992</v>
      </c>
      <c r="O2896" t="s">
        <v>726</v>
      </c>
      <c r="P2896" t="n">
        <v>6</v>
      </c>
      <c r="Q2896" t="n">
        <v>7</v>
      </c>
      <c r="R2896" t="n">
        <v>1</v>
      </c>
      <c r="S2896" t="n">
        <v>1931</v>
      </c>
      <c r="T2896" t="s">
        <v>19045</v>
      </c>
      <c r="U2896" t="s">
        <v>19046</v>
      </c>
      <c r="V2896" t="s">
        <v>74</v>
      </c>
      <c r="W2896"/>
      <c r="X2896" t="s">
        <v>19047</v>
      </c>
      <c r="Y2896" t="s">
        <v>19048</v>
      </c>
      <c r="Z2896"/>
      <c r="AA2896" t="s">
        <v>19049</v>
      </c>
      <c r="AB2896" t="s">
        <v>6020</v>
      </c>
      <c r="AC2896" t="n">
        <v>179</v>
      </c>
      <c r="AD2896" t="s">
        <v>5970</v>
      </c>
      <c r="AE2896" t="n">
        <v>46</v>
      </c>
      <c r="AF2896" t="s">
        <v>19050</v>
      </c>
      <c r="AG2896" t="n">
        <v>4</v>
      </c>
    </row>
    <row r="2897">
      <c r="A2897" t="s">
        <v>19051</v>
      </c>
      <c r="B2897" t="s">
        <v>27</v>
      </c>
      <c r="C2897" t="s">
        <v>65</v>
      </c>
      <c r="D2897" t="s">
        <v>19052</v>
      </c>
      <c r="E2897" t="s">
        <v>394</v>
      </c>
      <c r="F2897" t="s">
        <v>387</v>
      </c>
      <c r="G2897" t="s">
        <v>395</v>
      </c>
      <c r="H2897" t="n">
        <v>39.665405789899</v>
      </c>
      <c r="I2897" t="n">
        <v>-105.008669593939</v>
      </c>
      <c r="J2897" t="s">
        <v>35</v>
      </c>
      <c r="K2897" t="s">
        <v>120</v>
      </c>
      <c r="L2897" t="s">
        <v>202</v>
      </c>
      <c r="M2897" t="n">
        <v>1970</v>
      </c>
      <c r="N2897" t="n">
        <v>1990</v>
      </c>
      <c r="O2897" t="s">
        <v>19053</v>
      </c>
      <c r="P2897" t="n">
        <v>5</v>
      </c>
      <c r="Q2897" t="n">
        <v>4</v>
      </c>
      <c r="R2897" t="n">
        <v>2</v>
      </c>
      <c r="S2897" t="n">
        <v>1963</v>
      </c>
      <c r="T2897" t="s">
        <v>19054</v>
      </c>
      <c r="U2897" t="s">
        <v>19055</v>
      </c>
      <c r="V2897" t="s">
        <v>74</v>
      </c>
      <c r="W2897"/>
      <c r="X2897" t="s">
        <v>19056</v>
      </c>
      <c r="Y2897"/>
      <c r="Z2897"/>
      <c r="AA2897"/>
      <c r="AB2897" t="s">
        <v>5871</v>
      </c>
      <c r="AC2897" t="n">
        <v>137</v>
      </c>
      <c r="AD2897" t="s">
        <v>5872</v>
      </c>
      <c r="AE2897" t="n">
        <v>66</v>
      </c>
      <c r="AF2897" t="s">
        <v>19057</v>
      </c>
      <c r="AG2897" t="n">
        <v>68</v>
      </c>
    </row>
    <row r="2898">
      <c r="A2898" t="s">
        <v>19058</v>
      </c>
      <c r="B2898" t="s">
        <v>27</v>
      </c>
      <c r="C2898" t="s">
        <v>65</v>
      </c>
      <c r="D2898" t="s">
        <v>19059</v>
      </c>
      <c r="E2898" t="s">
        <v>394</v>
      </c>
      <c r="F2898" t="s">
        <v>387</v>
      </c>
      <c r="G2898" t="s">
        <v>395</v>
      </c>
      <c r="H2898" t="n">
        <v>39.6659224732166</v>
      </c>
      <c r="I2898" t="n">
        <v>-105.011057046652</v>
      </c>
      <c r="J2898" t="s">
        <v>35</v>
      </c>
      <c r="K2898" t="s">
        <v>141</v>
      </c>
      <c r="L2898"/>
      <c r="M2898" t="n">
        <v>1973</v>
      </c>
      <c r="N2898" t="n">
        <v>1983</v>
      </c>
      <c r="O2898" t="s">
        <v>1872</v>
      </c>
      <c r="P2898" t="n">
        <v>5</v>
      </c>
      <c r="Q2898" t="n">
        <v>5</v>
      </c>
      <c r="R2898" t="n">
        <v>5</v>
      </c>
      <c r="S2898" t="n">
        <v>1966</v>
      </c>
      <c r="T2898" t="s">
        <v>19060</v>
      </c>
      <c r="U2898" t="s">
        <v>19061</v>
      </c>
      <c r="V2898" t="s">
        <v>74</v>
      </c>
      <c r="W2898"/>
      <c r="X2898" t="s">
        <v>19062</v>
      </c>
      <c r="Y2898" t="s">
        <v>19063</v>
      </c>
      <c r="Z2898"/>
      <c r="AA2898" t="s">
        <v>19064</v>
      </c>
      <c r="AB2898" t="s">
        <v>6142</v>
      </c>
      <c r="AC2898" t="n">
        <v>92</v>
      </c>
      <c r="AD2898" t="s">
        <v>5849</v>
      </c>
      <c r="AE2898" t="n">
        <v>33</v>
      </c>
      <c r="AF2898" t="s">
        <v>19017</v>
      </c>
      <c r="AG2898" t="n">
        <v>10</v>
      </c>
    </row>
    <row r="2899">
      <c r="A2899" t="s">
        <v>19065</v>
      </c>
      <c r="B2899" t="s">
        <v>27</v>
      </c>
      <c r="C2899" t="s">
        <v>65</v>
      </c>
      <c r="D2899" t="s">
        <v>19066</v>
      </c>
      <c r="E2899" t="s">
        <v>394</v>
      </c>
      <c r="F2899" t="s">
        <v>387</v>
      </c>
      <c r="G2899" t="s">
        <v>395</v>
      </c>
      <c r="H2899" t="n">
        <v>39.6750030420876</v>
      </c>
      <c r="I2899" t="n">
        <v>-105.010985092593</v>
      </c>
      <c r="J2899" t="s">
        <v>35</v>
      </c>
      <c r="K2899" t="s">
        <v>141</v>
      </c>
      <c r="L2899"/>
      <c r="M2899" t="n">
        <v>1973</v>
      </c>
      <c r="N2899" t="n">
        <v>1990</v>
      </c>
      <c r="O2899" t="s">
        <v>10683</v>
      </c>
      <c r="P2899" t="n">
        <v>6</v>
      </c>
      <c r="Q2899" t="n">
        <v>2</v>
      </c>
      <c r="R2899" t="n">
        <v>1</v>
      </c>
      <c r="S2899" t="n">
        <v>1970</v>
      </c>
      <c r="T2899" t="s">
        <v>19067</v>
      </c>
      <c r="U2899" t="s">
        <v>19068</v>
      </c>
      <c r="V2899" t="s">
        <v>74</v>
      </c>
      <c r="W2899"/>
      <c r="X2899" t="s">
        <v>19069</v>
      </c>
      <c r="Y2899"/>
      <c r="Z2899"/>
      <c r="AA2899"/>
      <c r="AB2899" t="s">
        <v>456</v>
      </c>
      <c r="AC2899" t="n">
        <v>101</v>
      </c>
      <c r="AD2899" t="s">
        <v>457</v>
      </c>
      <c r="AE2899" t="n">
        <v>29</v>
      </c>
      <c r="AF2899" t="s">
        <v>19070</v>
      </c>
      <c r="AG2899" t="n">
        <v>96</v>
      </c>
    </row>
    <row r="2900">
      <c r="A2900" t="s">
        <v>19071</v>
      </c>
      <c r="B2900" t="s">
        <v>27</v>
      </c>
      <c r="C2900" t="s">
        <v>65</v>
      </c>
      <c r="D2900" t="s">
        <v>19072</v>
      </c>
      <c r="E2900" t="s">
        <v>394</v>
      </c>
      <c r="F2900" t="s">
        <v>387</v>
      </c>
      <c r="G2900" t="s">
        <v>395</v>
      </c>
      <c r="H2900" t="n">
        <v>39.6659479422799</v>
      </c>
      <c r="I2900" t="n">
        <v>-105.013368010101</v>
      </c>
      <c r="J2900" t="s">
        <v>35</v>
      </c>
      <c r="K2900" t="s">
        <v>1639</v>
      </c>
      <c r="L2900"/>
      <c r="M2900" t="n">
        <v>1973</v>
      </c>
      <c r="N2900" t="n">
        <v>1992</v>
      </c>
      <c r="O2900" t="s">
        <v>194</v>
      </c>
      <c r="P2900" t="n">
        <v>8</v>
      </c>
      <c r="Q2900" t="n">
        <v>9</v>
      </c>
      <c r="R2900" t="n">
        <v>5</v>
      </c>
      <c r="S2900" t="n">
        <v>1959</v>
      </c>
      <c r="T2900" t="s">
        <v>19073</v>
      </c>
      <c r="U2900" t="s">
        <v>19074</v>
      </c>
      <c r="V2900" t="s">
        <v>74</v>
      </c>
      <c r="W2900"/>
      <c r="X2900" t="s">
        <v>19075</v>
      </c>
      <c r="Y2900" t="s">
        <v>19076</v>
      </c>
      <c r="Z2900"/>
      <c r="AA2900" t="s">
        <v>19077</v>
      </c>
      <c r="AB2900" t="s">
        <v>6142</v>
      </c>
      <c r="AC2900" t="n">
        <v>106</v>
      </c>
      <c r="AD2900" t="s">
        <v>449</v>
      </c>
      <c r="AE2900" t="n">
        <v>3</v>
      </c>
      <c r="AF2900" t="s">
        <v>19078</v>
      </c>
      <c r="AG2900" t="n">
        <v>25</v>
      </c>
    </row>
    <row r="2901">
      <c r="A2901" t="s">
        <v>19079</v>
      </c>
      <c r="B2901" t="s">
        <v>27</v>
      </c>
      <c r="C2901" t="s">
        <v>65</v>
      </c>
      <c r="D2901" t="s">
        <v>19080</v>
      </c>
      <c r="E2901" t="s">
        <v>394</v>
      </c>
      <c r="F2901" t="s">
        <v>387</v>
      </c>
      <c r="G2901" t="s">
        <v>395</v>
      </c>
      <c r="H2901" t="n">
        <v>39.666832989899</v>
      </c>
      <c r="I2901" t="n">
        <v>-105.008686393939</v>
      </c>
      <c r="J2901" t="s">
        <v>35</v>
      </c>
      <c r="K2901" t="s">
        <v>133</v>
      </c>
      <c r="L2901"/>
      <c r="M2901" t="n">
        <v>1973</v>
      </c>
      <c r="N2901" t="n">
        <v>1990</v>
      </c>
      <c r="O2901" t="s">
        <v>499</v>
      </c>
      <c r="P2901" t="n">
        <v>6</v>
      </c>
      <c r="Q2901" t="n">
        <v>2</v>
      </c>
      <c r="R2901" t="n">
        <v>2</v>
      </c>
      <c r="S2901" t="n">
        <v>1960</v>
      </c>
      <c r="T2901" t="s">
        <v>19081</v>
      </c>
      <c r="U2901" t="s">
        <v>19082</v>
      </c>
      <c r="V2901" t="s">
        <v>74</v>
      </c>
      <c r="W2901"/>
      <c r="X2901" t="s">
        <v>19083</v>
      </c>
      <c r="Y2901" t="s">
        <v>19084</v>
      </c>
      <c r="Z2901"/>
      <c r="AA2901" t="s">
        <v>19085</v>
      </c>
      <c r="AB2901" t="s">
        <v>6020</v>
      </c>
      <c r="AC2901" t="n">
        <v>106</v>
      </c>
      <c r="AD2901" t="s">
        <v>5970</v>
      </c>
      <c r="AE2901" t="n">
        <v>27</v>
      </c>
      <c r="AF2901" t="s">
        <v>19086</v>
      </c>
      <c r="AG2901" t="n">
        <v>6</v>
      </c>
    </row>
    <row r="2902">
      <c r="A2902" t="s">
        <v>19087</v>
      </c>
      <c r="B2902" t="s">
        <v>27</v>
      </c>
      <c r="C2902" t="s">
        <v>65</v>
      </c>
      <c r="D2902" t="s">
        <v>19088</v>
      </c>
      <c r="E2902" t="s">
        <v>394</v>
      </c>
      <c r="F2902" t="s">
        <v>387</v>
      </c>
      <c r="G2902" t="s">
        <v>395</v>
      </c>
      <c r="H2902" t="n">
        <v>39.6648027138047</v>
      </c>
      <c r="I2902" t="n">
        <v>-105.00866249495</v>
      </c>
      <c r="J2902" t="s">
        <v>35</v>
      </c>
      <c r="K2902" t="s">
        <v>133</v>
      </c>
      <c r="L2902"/>
      <c r="M2902" t="n">
        <v>1973</v>
      </c>
      <c r="N2902" t="n">
        <v>1990</v>
      </c>
      <c r="O2902" t="s">
        <v>351</v>
      </c>
      <c r="P2902" t="n">
        <v>3</v>
      </c>
      <c r="Q2902" t="n">
        <v>3</v>
      </c>
      <c r="R2902" t="n">
        <v>1</v>
      </c>
      <c r="S2902" t="n">
        <v>1956</v>
      </c>
      <c r="T2902" t="s">
        <v>19089</v>
      </c>
      <c r="U2902" t="s">
        <v>19090</v>
      </c>
      <c r="V2902" t="s">
        <v>74</v>
      </c>
      <c r="W2902"/>
      <c r="X2902" t="s">
        <v>19091</v>
      </c>
      <c r="Y2902" t="s">
        <v>19092</v>
      </c>
      <c r="Z2902"/>
      <c r="AA2902"/>
      <c r="AB2902" t="s">
        <v>5871</v>
      </c>
      <c r="AC2902" t="n">
        <v>109</v>
      </c>
      <c r="AD2902" t="s">
        <v>5872</v>
      </c>
      <c r="AE2902" t="n">
        <v>2</v>
      </c>
      <c r="AF2902" t="s">
        <v>19093</v>
      </c>
      <c r="AG2902" t="n">
        <v>15</v>
      </c>
    </row>
    <row r="2903">
      <c r="A2903" t="s">
        <v>19094</v>
      </c>
      <c r="B2903" t="s">
        <v>27</v>
      </c>
      <c r="C2903" t="s">
        <v>65</v>
      </c>
      <c r="D2903" t="s">
        <v>19095</v>
      </c>
      <c r="E2903" t="s">
        <v>394</v>
      </c>
      <c r="F2903" t="s">
        <v>387</v>
      </c>
      <c r="G2903" t="s">
        <v>395</v>
      </c>
      <c r="H2903" t="n">
        <v>39.6314158557453</v>
      </c>
      <c r="I2903" t="n">
        <v>-105.019271196034</v>
      </c>
      <c r="J2903" t="s">
        <v>35</v>
      </c>
      <c r="K2903" t="s">
        <v>89</v>
      </c>
      <c r="L2903"/>
      <c r="M2903" t="n">
        <v>1973</v>
      </c>
      <c r="N2903" t="n">
        <v>1988</v>
      </c>
      <c r="O2903" t="s">
        <v>325</v>
      </c>
      <c r="P2903" t="n">
        <v>3</v>
      </c>
      <c r="Q2903" t="n">
        <v>2</v>
      </c>
      <c r="R2903" t="n">
        <v>1</v>
      </c>
      <c r="S2903" t="n">
        <v>1970</v>
      </c>
      <c r="T2903" t="s">
        <v>19096</v>
      </c>
      <c r="U2903" t="s">
        <v>19097</v>
      </c>
      <c r="V2903" t="s">
        <v>74</v>
      </c>
      <c r="W2903"/>
      <c r="X2903" t="s">
        <v>19098</v>
      </c>
      <c r="Y2903" t="s">
        <v>19099</v>
      </c>
      <c r="Z2903"/>
      <c r="AA2903"/>
      <c r="AB2903"/>
      <c r="AC2903"/>
      <c r="AD2903" t="s">
        <v>13472</v>
      </c>
      <c r="AE2903" t="n">
        <v>102</v>
      </c>
      <c r="AF2903" t="s">
        <v>19100</v>
      </c>
      <c r="AG2903" t="n">
        <v>14</v>
      </c>
    </row>
    <row r="2904">
      <c r="A2904" t="s">
        <v>19101</v>
      </c>
      <c r="B2904" t="s">
        <v>27</v>
      </c>
      <c r="C2904" t="s">
        <v>65</v>
      </c>
      <c r="D2904" t="s">
        <v>19102</v>
      </c>
      <c r="E2904" t="s">
        <v>394</v>
      </c>
      <c r="F2904" t="s">
        <v>387</v>
      </c>
      <c r="G2904" t="s">
        <v>395</v>
      </c>
      <c r="H2904" t="n">
        <v>39.6668866666667</v>
      </c>
      <c r="I2904" t="n">
        <v>-105.013393952381</v>
      </c>
      <c r="J2904" t="s">
        <v>35</v>
      </c>
      <c r="K2904" t="s">
        <v>120</v>
      </c>
      <c r="L2904"/>
      <c r="M2904" t="n">
        <v>1977</v>
      </c>
      <c r="N2904" t="n">
        <v>1992</v>
      </c>
      <c r="O2904" t="s">
        <v>1949</v>
      </c>
      <c r="P2904" t="n">
        <v>3</v>
      </c>
      <c r="Q2904" t="n">
        <v>2</v>
      </c>
      <c r="R2904" t="n">
        <v>1</v>
      </c>
      <c r="S2904" t="n">
        <v>1945</v>
      </c>
      <c r="T2904" t="s">
        <v>19103</v>
      </c>
      <c r="U2904" t="s">
        <v>19104</v>
      </c>
      <c r="V2904" t="s">
        <v>74</v>
      </c>
      <c r="W2904"/>
      <c r="X2904" t="s">
        <v>19105</v>
      </c>
      <c r="Y2904" t="s">
        <v>19106</v>
      </c>
      <c r="Z2904"/>
      <c r="AA2904" t="s">
        <v>19107</v>
      </c>
      <c r="AB2904" t="s">
        <v>6142</v>
      </c>
      <c r="AC2904" t="n">
        <v>153</v>
      </c>
      <c r="AD2904" t="s">
        <v>449</v>
      </c>
      <c r="AE2904" t="n">
        <v>107</v>
      </c>
      <c r="AF2904" t="s">
        <v>19108</v>
      </c>
      <c r="AG2904" t="n">
        <v>21</v>
      </c>
    </row>
    <row r="2905">
      <c r="A2905" t="s">
        <v>19109</v>
      </c>
      <c r="B2905" t="s">
        <v>27</v>
      </c>
      <c r="C2905" t="s">
        <v>65</v>
      </c>
      <c r="D2905" t="s">
        <v>19110</v>
      </c>
      <c r="E2905" t="s">
        <v>394</v>
      </c>
      <c r="F2905" t="s">
        <v>387</v>
      </c>
      <c r="G2905" t="s">
        <v>395</v>
      </c>
      <c r="H2905" t="n">
        <v>39.6663868571429</v>
      </c>
      <c r="I2905" t="n">
        <v>-105.013394510204</v>
      </c>
      <c r="J2905" t="s">
        <v>35</v>
      </c>
      <c r="K2905" t="s">
        <v>70</v>
      </c>
      <c r="L2905"/>
      <c r="M2905" t="n">
        <v>1977</v>
      </c>
      <c r="N2905" t="n">
        <v>1990</v>
      </c>
      <c r="O2905" t="s">
        <v>351</v>
      </c>
      <c r="P2905" t="n">
        <v>2</v>
      </c>
      <c r="Q2905" t="n">
        <v>2</v>
      </c>
      <c r="R2905" t="n">
        <v>1</v>
      </c>
      <c r="S2905" t="n">
        <v>1908</v>
      </c>
      <c r="T2905" t="s">
        <v>19111</v>
      </c>
      <c r="U2905" t="s">
        <v>19112</v>
      </c>
      <c r="V2905" t="s">
        <v>74</v>
      </c>
      <c r="W2905"/>
      <c r="X2905" t="s">
        <v>19113</v>
      </c>
      <c r="Y2905" t="s">
        <v>19114</v>
      </c>
      <c r="Z2905"/>
      <c r="AA2905" t="s">
        <v>19115</v>
      </c>
      <c r="AB2905" t="s">
        <v>6142</v>
      </c>
      <c r="AC2905" t="n">
        <v>121</v>
      </c>
      <c r="AD2905" t="s">
        <v>449</v>
      </c>
      <c r="AE2905" t="n">
        <v>52</v>
      </c>
      <c r="AF2905" t="s">
        <v>19078</v>
      </c>
      <c r="AG2905" t="n">
        <v>24</v>
      </c>
    </row>
    <row r="2906">
      <c r="A2906" t="s">
        <v>19116</v>
      </c>
      <c r="B2906" t="s">
        <v>27</v>
      </c>
      <c r="C2906" t="s">
        <v>65</v>
      </c>
      <c r="D2906" t="s">
        <v>19117</v>
      </c>
      <c r="E2906" t="s">
        <v>95</v>
      </c>
      <c r="F2906" t="s">
        <v>387</v>
      </c>
      <c r="G2906" t="s">
        <v>19118</v>
      </c>
      <c r="H2906" t="n">
        <v>39.7639463020134</v>
      </c>
      <c r="I2906" t="n">
        <v>-104.854702684564</v>
      </c>
      <c r="J2906" t="s">
        <v>35</v>
      </c>
      <c r="K2906" t="s">
        <v>89</v>
      </c>
      <c r="L2906"/>
      <c r="M2906" t="n">
        <v>1980</v>
      </c>
      <c r="N2906" t="n">
        <v>1983</v>
      </c>
      <c r="O2906" t="s">
        <v>255</v>
      </c>
      <c r="P2906" t="n">
        <v>2</v>
      </c>
      <c r="Q2906" t="n">
        <v>2</v>
      </c>
      <c r="R2906" t="n">
        <v>1</v>
      </c>
      <c r="S2906" t="n">
        <v>1966</v>
      </c>
      <c r="T2906" t="s">
        <v>19119</v>
      </c>
      <c r="U2906" t="s">
        <v>19120</v>
      </c>
      <c r="V2906" t="s">
        <v>74</v>
      </c>
      <c r="W2906"/>
      <c r="X2906" t="s">
        <v>19121</v>
      </c>
      <c r="Y2906"/>
      <c r="Z2906"/>
      <c r="AA2906"/>
      <c r="AB2906" t="s">
        <v>19122</v>
      </c>
      <c r="AC2906" t="n">
        <v>159</v>
      </c>
      <c r="AD2906" t="s">
        <v>19123</v>
      </c>
      <c r="AE2906" t="n">
        <v>9</v>
      </c>
      <c r="AF2906" t="s">
        <v>545</v>
      </c>
      <c r="AG2906" t="n">
        <v>202</v>
      </c>
    </row>
    <row r="2907">
      <c r="A2907" t="s">
        <v>19124</v>
      </c>
      <c r="B2907" t="s">
        <v>27</v>
      </c>
      <c r="C2907" t="s">
        <v>65</v>
      </c>
      <c r="D2907" t="s">
        <v>19125</v>
      </c>
      <c r="E2907" t="s">
        <v>394</v>
      </c>
      <c r="F2907" t="s">
        <v>387</v>
      </c>
      <c r="G2907" t="s">
        <v>395</v>
      </c>
      <c r="H2907" t="n">
        <v>39.632362770975</v>
      </c>
      <c r="I2907" t="n">
        <v>-105.004959070295</v>
      </c>
      <c r="J2907" t="s">
        <v>35</v>
      </c>
      <c r="K2907" t="s">
        <v>2274</v>
      </c>
      <c r="L2907"/>
      <c r="M2907" t="n">
        <v>1980</v>
      </c>
      <c r="N2907" t="n">
        <v>1992</v>
      </c>
      <c r="O2907" t="s">
        <v>271</v>
      </c>
      <c r="P2907" t="n">
        <v>5</v>
      </c>
      <c r="Q2907" t="n">
        <v>4</v>
      </c>
      <c r="R2907" t="n">
        <v>3</v>
      </c>
      <c r="S2907" t="n">
        <v>1956</v>
      </c>
      <c r="T2907" t="s">
        <v>19126</v>
      </c>
      <c r="U2907" t="s">
        <v>19127</v>
      </c>
      <c r="V2907" t="s">
        <v>74</v>
      </c>
      <c r="W2907"/>
      <c r="X2907" t="s">
        <v>19128</v>
      </c>
      <c r="Y2907"/>
      <c r="Z2907"/>
      <c r="AA2907" t="s">
        <v>19129</v>
      </c>
      <c r="AB2907" t="s">
        <v>5953</v>
      </c>
      <c r="AC2907" t="n">
        <v>159</v>
      </c>
      <c r="AD2907" t="s">
        <v>19001</v>
      </c>
      <c r="AE2907" t="n">
        <v>16</v>
      </c>
      <c r="AF2907" t="s">
        <v>19130</v>
      </c>
      <c r="AG2907" t="n">
        <v>131</v>
      </c>
    </row>
    <row r="2908">
      <c r="A2908" t="s">
        <v>19131</v>
      </c>
      <c r="B2908" t="s">
        <v>27</v>
      </c>
      <c r="C2908" t="s">
        <v>65</v>
      </c>
      <c r="D2908" t="s">
        <v>19132</v>
      </c>
      <c r="E2908" t="s">
        <v>394</v>
      </c>
      <c r="F2908" t="s">
        <v>387</v>
      </c>
      <c r="G2908" t="s">
        <v>395</v>
      </c>
      <c r="H2908" t="n">
        <v>39.6323621851528</v>
      </c>
      <c r="I2908" t="n">
        <v>-105.00602142274</v>
      </c>
      <c r="J2908" t="s">
        <v>35</v>
      </c>
      <c r="K2908" t="s">
        <v>133</v>
      </c>
      <c r="L2908"/>
      <c r="M2908" t="n">
        <v>1980</v>
      </c>
      <c r="N2908" t="n">
        <v>1980</v>
      </c>
      <c r="O2908" t="s">
        <v>255</v>
      </c>
      <c r="P2908" t="n">
        <v>1</v>
      </c>
      <c r="Q2908" t="n">
        <v>1</v>
      </c>
      <c r="R2908" t="n">
        <v>1</v>
      </c>
      <c r="S2908" t="n">
        <v>1977</v>
      </c>
      <c r="T2908" t="s">
        <v>19133</v>
      </c>
      <c r="U2908" t="s">
        <v>19134</v>
      </c>
      <c r="V2908" t="s">
        <v>74</v>
      </c>
      <c r="W2908"/>
      <c r="X2908" t="s">
        <v>19135</v>
      </c>
      <c r="Y2908"/>
      <c r="Z2908"/>
      <c r="AA2908" t="s">
        <v>19136</v>
      </c>
      <c r="AB2908" t="s">
        <v>5953</v>
      </c>
      <c r="AC2908" t="n">
        <v>103</v>
      </c>
      <c r="AD2908" t="s">
        <v>19001</v>
      </c>
      <c r="AE2908" t="n">
        <v>55</v>
      </c>
      <c r="AF2908" t="s">
        <v>19130</v>
      </c>
      <c r="AG2908" t="n">
        <v>58</v>
      </c>
    </row>
    <row r="2909">
      <c r="A2909" t="s">
        <v>19137</v>
      </c>
      <c r="B2909" t="s">
        <v>27</v>
      </c>
      <c r="C2909" t="s">
        <v>65</v>
      </c>
      <c r="D2909" t="s">
        <v>6901</v>
      </c>
      <c r="E2909" t="s">
        <v>394</v>
      </c>
      <c r="F2909" t="s">
        <v>387</v>
      </c>
      <c r="G2909" t="s">
        <v>395</v>
      </c>
      <c r="H2909" t="n">
        <v>39.6763404489796</v>
      </c>
      <c r="I2909" t="n">
        <v>-105.011007959184</v>
      </c>
      <c r="J2909" t="s">
        <v>35</v>
      </c>
      <c r="K2909" t="s">
        <v>315</v>
      </c>
      <c r="L2909"/>
      <c r="M2909" t="n">
        <v>1980</v>
      </c>
      <c r="N2909" t="n">
        <v>1990</v>
      </c>
      <c r="O2909" t="s">
        <v>271</v>
      </c>
      <c r="P2909" t="n">
        <v>4</v>
      </c>
      <c r="Q2909" t="n">
        <v>2</v>
      </c>
      <c r="R2909" t="n">
        <v>2</v>
      </c>
      <c r="S2909" t="n">
        <v>1930</v>
      </c>
      <c r="T2909" t="s">
        <v>19138</v>
      </c>
      <c r="U2909" t="s">
        <v>19139</v>
      </c>
      <c r="V2909" t="s">
        <v>74</v>
      </c>
      <c r="W2909"/>
      <c r="X2909" t="s">
        <v>19140</v>
      </c>
      <c r="Y2909"/>
      <c r="Z2909"/>
      <c r="AA2909"/>
      <c r="AB2909" t="s">
        <v>456</v>
      </c>
      <c r="AC2909" t="n">
        <v>180</v>
      </c>
      <c r="AD2909" t="s">
        <v>19141</v>
      </c>
      <c r="AE2909" t="n">
        <v>53</v>
      </c>
      <c r="AF2909" t="s">
        <v>19142</v>
      </c>
      <c r="AG2909" t="n">
        <v>54</v>
      </c>
    </row>
    <row r="2910">
      <c r="A2910" t="s">
        <v>19143</v>
      </c>
      <c r="B2910" t="s">
        <v>27</v>
      </c>
      <c r="C2910" t="s">
        <v>65</v>
      </c>
      <c r="D2910" t="s">
        <v>19144</v>
      </c>
      <c r="E2910" t="s">
        <v>394</v>
      </c>
      <c r="F2910" t="s">
        <v>387</v>
      </c>
      <c r="G2910" t="s">
        <v>395</v>
      </c>
      <c r="H2910" t="n">
        <v>39.6642380808081</v>
      </c>
      <c r="I2910" t="n">
        <v>-105.008655848485</v>
      </c>
      <c r="J2910" t="s">
        <v>35</v>
      </c>
      <c r="K2910" t="s">
        <v>141</v>
      </c>
      <c r="L2910"/>
      <c r="M2910" t="n">
        <v>1983</v>
      </c>
      <c r="N2910" t="n">
        <v>1990</v>
      </c>
      <c r="O2910" t="s">
        <v>293</v>
      </c>
      <c r="P2910" t="n">
        <v>2</v>
      </c>
      <c r="Q2910" t="n">
        <v>2</v>
      </c>
      <c r="R2910" t="n">
        <v>2</v>
      </c>
      <c r="S2910" t="n">
        <v>1973</v>
      </c>
      <c r="T2910" t="s">
        <v>19145</v>
      </c>
      <c r="U2910" t="s">
        <v>19146</v>
      </c>
      <c r="V2910" t="s">
        <v>74</v>
      </c>
      <c r="W2910"/>
      <c r="X2910" t="s">
        <v>19147</v>
      </c>
      <c r="Y2910"/>
      <c r="Z2910"/>
      <c r="AA2910"/>
      <c r="AB2910" t="s">
        <v>5871</v>
      </c>
      <c r="AC2910" t="n">
        <v>117</v>
      </c>
      <c r="AD2910" t="s">
        <v>5872</v>
      </c>
      <c r="AE2910" t="n">
        <v>64</v>
      </c>
      <c r="AF2910" t="s">
        <v>19093</v>
      </c>
      <c r="AG2910" t="n">
        <v>48</v>
      </c>
    </row>
    <row r="2911">
      <c r="A2911" t="s">
        <v>19148</v>
      </c>
      <c r="B2911" t="s">
        <v>27</v>
      </c>
      <c r="C2911" t="s">
        <v>65</v>
      </c>
      <c r="D2911" t="s">
        <v>19149</v>
      </c>
      <c r="E2911" t="s">
        <v>394</v>
      </c>
      <c r="F2911" t="s">
        <v>387</v>
      </c>
      <c r="G2911" t="s">
        <v>395</v>
      </c>
      <c r="H2911" t="n">
        <v>39.6331992</v>
      </c>
      <c r="I2911" t="n">
        <v>-105.005309784</v>
      </c>
      <c r="J2911" t="s">
        <v>35</v>
      </c>
      <c r="K2911" t="s">
        <v>141</v>
      </c>
      <c r="L2911"/>
      <c r="M2911" t="n">
        <v>1983</v>
      </c>
      <c r="N2911" t="n">
        <v>1992</v>
      </c>
      <c r="O2911" t="s">
        <v>271</v>
      </c>
      <c r="P2911" t="n">
        <v>4</v>
      </c>
      <c r="Q2911" t="n">
        <v>3</v>
      </c>
      <c r="R2911" t="n">
        <v>3</v>
      </c>
      <c r="S2911" t="n">
        <v>1972</v>
      </c>
      <c r="T2911" t="s">
        <v>19150</v>
      </c>
      <c r="U2911" t="s">
        <v>19151</v>
      </c>
      <c r="V2911" t="s">
        <v>74</v>
      </c>
      <c r="W2911"/>
      <c r="X2911" t="s">
        <v>19152</v>
      </c>
      <c r="Y2911"/>
      <c r="Z2911"/>
      <c r="AA2911"/>
      <c r="AB2911" t="s">
        <v>19153</v>
      </c>
      <c r="AC2911" t="n">
        <v>182</v>
      </c>
      <c r="AD2911" t="s">
        <v>19001</v>
      </c>
      <c r="AE2911" t="n">
        <v>82</v>
      </c>
      <c r="AF2911" t="s">
        <v>19130</v>
      </c>
      <c r="AG2911" t="n">
        <v>101</v>
      </c>
    </row>
    <row r="2912">
      <c r="A2912" t="s">
        <v>19154</v>
      </c>
      <c r="B2912" t="s">
        <v>27</v>
      </c>
      <c r="C2912" t="s">
        <v>65</v>
      </c>
      <c r="D2912" t="s">
        <v>19155</v>
      </c>
      <c r="E2912" t="s">
        <v>394</v>
      </c>
      <c r="F2912" t="s">
        <v>387</v>
      </c>
      <c r="G2912" t="s">
        <v>553</v>
      </c>
      <c r="H2912" t="n">
        <v>39.5883070314712</v>
      </c>
      <c r="I2912" t="n">
        <v>-104.842053896484</v>
      </c>
      <c r="J2912" t="s">
        <v>35</v>
      </c>
      <c r="K2912" t="s">
        <v>70</v>
      </c>
      <c r="L2912"/>
      <c r="M2912" t="n">
        <v>1988</v>
      </c>
      <c r="N2912" t="n">
        <v>1990</v>
      </c>
      <c r="O2912" t="s">
        <v>325</v>
      </c>
      <c r="P2912" t="n">
        <v>2</v>
      </c>
      <c r="Q2912" t="n">
        <v>1</v>
      </c>
      <c r="R2912" t="n">
        <v>1</v>
      </c>
      <c r="S2912" t="n">
        <v>1974</v>
      </c>
      <c r="T2912" t="s">
        <v>19156</v>
      </c>
      <c r="U2912" t="s">
        <v>19157</v>
      </c>
      <c r="V2912" t="s">
        <v>74</v>
      </c>
      <c r="W2912"/>
      <c r="X2912" t="s">
        <v>19158</v>
      </c>
      <c r="Y2912" t="s">
        <v>19159</v>
      </c>
      <c r="Z2912"/>
      <c r="AA2912" t="s">
        <v>19160</v>
      </c>
      <c r="AB2912"/>
      <c r="AC2912"/>
      <c r="AD2912" t="s">
        <v>19161</v>
      </c>
      <c r="AE2912" t="n">
        <v>32</v>
      </c>
      <c r="AF2912" t="s">
        <v>19162</v>
      </c>
      <c r="AG2912" t="n">
        <v>12</v>
      </c>
    </row>
    <row r="2913">
      <c r="A2913" t="s">
        <v>19163</v>
      </c>
      <c r="B2913" t="s">
        <v>27</v>
      </c>
      <c r="C2913" t="s">
        <v>65</v>
      </c>
      <c r="D2913" t="s">
        <v>19164</v>
      </c>
      <c r="E2913" t="s">
        <v>394</v>
      </c>
      <c r="F2913" t="s">
        <v>387</v>
      </c>
      <c r="G2913" t="s">
        <v>553</v>
      </c>
      <c r="H2913" t="n">
        <v>39.5832569843554</v>
      </c>
      <c r="I2913" t="n">
        <v>-104.841149127879</v>
      </c>
      <c r="J2913" t="s">
        <v>35</v>
      </c>
      <c r="K2913" t="s">
        <v>120</v>
      </c>
      <c r="L2913"/>
      <c r="M2913" t="n">
        <v>1990</v>
      </c>
      <c r="N2913" t="n">
        <v>1990</v>
      </c>
      <c r="O2913" t="s">
        <v>351</v>
      </c>
      <c r="P2913" t="n">
        <v>1</v>
      </c>
      <c r="Q2913" t="n">
        <v>1</v>
      </c>
      <c r="R2913" t="n">
        <v>1</v>
      </c>
      <c r="S2913" t="n">
        <v>1982</v>
      </c>
      <c r="T2913" t="s">
        <v>19165</v>
      </c>
      <c r="U2913" t="s">
        <v>19166</v>
      </c>
      <c r="V2913" t="s">
        <v>74</v>
      </c>
      <c r="W2913"/>
      <c r="X2913" t="s">
        <v>19167</v>
      </c>
      <c r="Y2913" t="s">
        <v>19168</v>
      </c>
      <c r="Z2913"/>
      <c r="AA2913"/>
      <c r="AB2913"/>
      <c r="AC2913"/>
      <c r="AD2913" t="s">
        <v>13613</v>
      </c>
      <c r="AE2913" t="n">
        <v>17</v>
      </c>
      <c r="AF2913" t="s">
        <v>19169</v>
      </c>
      <c r="AG2913" t="n">
        <v>33</v>
      </c>
    </row>
    <row r="2914">
      <c r="A2914" t="s">
        <v>19170</v>
      </c>
      <c r="B2914" t="s">
        <v>27</v>
      </c>
      <c r="C2914" t="s">
        <v>65</v>
      </c>
      <c r="D2914" t="s">
        <v>19171</v>
      </c>
      <c r="E2914" t="s">
        <v>394</v>
      </c>
      <c r="F2914" t="s">
        <v>387</v>
      </c>
      <c r="G2914" t="s">
        <v>395</v>
      </c>
      <c r="H2914" t="n">
        <v>39.6331569596367</v>
      </c>
      <c r="I2914" t="n">
        <v>-105.005692442861</v>
      </c>
      <c r="J2914" t="s">
        <v>35</v>
      </c>
      <c r="K2914" t="s">
        <v>120</v>
      </c>
      <c r="L2914"/>
      <c r="M2914" t="n">
        <v>1990</v>
      </c>
      <c r="N2914" t="n">
        <v>1990</v>
      </c>
      <c r="O2914" t="s">
        <v>351</v>
      </c>
      <c r="P2914" t="n">
        <v>1</v>
      </c>
      <c r="Q2914" t="n">
        <v>1</v>
      </c>
      <c r="R2914" t="n">
        <v>1</v>
      </c>
      <c r="S2914" t="n">
        <v>1984</v>
      </c>
      <c r="T2914" t="s">
        <v>19172</v>
      </c>
      <c r="U2914" t="s">
        <v>19173</v>
      </c>
      <c r="V2914" t="s">
        <v>74</v>
      </c>
      <c r="W2914"/>
      <c r="X2914" t="s">
        <v>19174</v>
      </c>
      <c r="Y2914"/>
      <c r="Z2914"/>
      <c r="AA2914"/>
      <c r="AB2914" t="s">
        <v>5953</v>
      </c>
      <c r="AC2914" t="n">
        <v>196</v>
      </c>
      <c r="AD2914" t="s">
        <v>5898</v>
      </c>
      <c r="AE2914" t="n">
        <v>66</v>
      </c>
      <c r="AF2914" t="s">
        <v>19130</v>
      </c>
      <c r="AG2914" t="n">
        <v>71</v>
      </c>
    </row>
    <row r="2915">
      <c r="A2915" t="s">
        <v>19175</v>
      </c>
      <c r="B2915" t="s">
        <v>27</v>
      </c>
      <c r="C2915" t="s">
        <v>65</v>
      </c>
      <c r="D2915" t="s">
        <v>19176</v>
      </c>
      <c r="E2915" t="s">
        <v>738</v>
      </c>
      <c r="F2915" t="s">
        <v>724</v>
      </c>
      <c r="G2915"/>
      <c r="H2915" t="n">
        <v>40.1619751985158</v>
      </c>
      <c r="I2915" t="n">
        <v>-105.101876456401</v>
      </c>
      <c r="J2915" t="s">
        <v>35</v>
      </c>
      <c r="K2915" t="s">
        <v>89</v>
      </c>
      <c r="L2915"/>
      <c r="M2915" t="n">
        <v>1965</v>
      </c>
      <c r="N2915" t="n">
        <v>1988</v>
      </c>
      <c r="O2915" t="s">
        <v>19177</v>
      </c>
      <c r="P2915" t="n">
        <v>8</v>
      </c>
      <c r="Q2915" t="n">
        <v>4</v>
      </c>
      <c r="R2915" t="n">
        <v>1</v>
      </c>
      <c r="S2915" t="n">
        <v>1941</v>
      </c>
      <c r="T2915" t="s">
        <v>19178</v>
      </c>
      <c r="U2915" t="s">
        <v>19179</v>
      </c>
      <c r="V2915" t="s">
        <v>74</v>
      </c>
      <c r="W2915"/>
      <c r="X2915" t="s">
        <v>19180</v>
      </c>
      <c r="Y2915" t="s">
        <v>19181</v>
      </c>
      <c r="Z2915"/>
      <c r="AA2915"/>
      <c r="AB2915" t="s">
        <v>19182</v>
      </c>
      <c r="AC2915" t="n">
        <v>132</v>
      </c>
      <c r="AD2915" t="s">
        <v>19183</v>
      </c>
      <c r="AE2915" t="n">
        <v>105</v>
      </c>
      <c r="AF2915" t="s">
        <v>19184</v>
      </c>
      <c r="AG2915" t="n">
        <v>28</v>
      </c>
    </row>
    <row r="2916">
      <c r="A2916" t="s">
        <v>19185</v>
      </c>
      <c r="B2916" t="s">
        <v>27</v>
      </c>
      <c r="C2916" t="s">
        <v>65</v>
      </c>
      <c r="D2916" t="s">
        <v>19186</v>
      </c>
      <c r="E2916" t="s">
        <v>723</v>
      </c>
      <c r="F2916" t="s">
        <v>724</v>
      </c>
      <c r="G2916" t="s">
        <v>817</v>
      </c>
      <c r="H2916" t="n">
        <v>40.025094</v>
      </c>
      <c r="I2916" t="n">
        <v>-105.243905</v>
      </c>
      <c r="J2916" t="s">
        <v>35</v>
      </c>
      <c r="K2916" t="s">
        <v>9190</v>
      </c>
      <c r="L2916"/>
      <c r="M2916" t="n">
        <v>1966</v>
      </c>
      <c r="N2916" t="n">
        <v>1990</v>
      </c>
      <c r="O2916" t="s">
        <v>19187</v>
      </c>
      <c r="P2916" t="n">
        <v>6</v>
      </c>
      <c r="Q2916" t="n">
        <v>7</v>
      </c>
      <c r="R2916" t="n">
        <v>5</v>
      </c>
      <c r="S2916" t="n">
        <v>1958</v>
      </c>
      <c r="T2916" t="s">
        <v>19188</v>
      </c>
      <c r="U2916" t="s">
        <v>19189</v>
      </c>
      <c r="V2916" t="s">
        <v>74</v>
      </c>
      <c r="W2916"/>
      <c r="X2916" t="s">
        <v>19190</v>
      </c>
      <c r="Y2916" t="s">
        <v>19191</v>
      </c>
      <c r="Z2916"/>
      <c r="AA2916"/>
      <c r="AB2916"/>
      <c r="AC2916"/>
      <c r="AD2916" t="s">
        <v>820</v>
      </c>
      <c r="AE2916" t="n">
        <v>95</v>
      </c>
      <c r="AF2916" t="s">
        <v>19192</v>
      </c>
      <c r="AG2916" t="n">
        <v>21</v>
      </c>
    </row>
    <row r="2917">
      <c r="A2917" t="s">
        <v>19193</v>
      </c>
      <c r="B2917" t="s">
        <v>27</v>
      </c>
      <c r="C2917" t="s">
        <v>65</v>
      </c>
      <c r="D2917" t="s">
        <v>19194</v>
      </c>
      <c r="E2917" t="s">
        <v>738</v>
      </c>
      <c r="F2917" t="s">
        <v>724</v>
      </c>
      <c r="G2917" t="s">
        <v>739</v>
      </c>
      <c r="H2917" t="n">
        <v>40.1619433998215</v>
      </c>
      <c r="I2917" t="n">
        <v>-105.101025134577</v>
      </c>
      <c r="J2917" t="s">
        <v>35</v>
      </c>
      <c r="K2917" t="s">
        <v>141</v>
      </c>
      <c r="L2917"/>
      <c r="M2917" t="n">
        <v>1966</v>
      </c>
      <c r="N2917" t="n">
        <v>1990</v>
      </c>
      <c r="O2917" t="s">
        <v>19195</v>
      </c>
      <c r="P2917" t="n">
        <v>6</v>
      </c>
      <c r="Q2917" t="n">
        <v>2</v>
      </c>
      <c r="R2917" t="n">
        <v>2</v>
      </c>
      <c r="S2917" t="n">
        <v>1944</v>
      </c>
      <c r="T2917" t="s">
        <v>19196</v>
      </c>
      <c r="U2917" t="s">
        <v>19197</v>
      </c>
      <c r="V2917" t="s">
        <v>74</v>
      </c>
      <c r="W2917"/>
      <c r="X2917" t="s">
        <v>19198</v>
      </c>
      <c r="Y2917"/>
      <c r="Z2917"/>
      <c r="AA2917"/>
      <c r="AB2917" t="s">
        <v>19182</v>
      </c>
      <c r="AC2917" t="n">
        <v>171</v>
      </c>
      <c r="AD2917" t="s">
        <v>19183</v>
      </c>
      <c r="AE2917" t="n">
        <v>98</v>
      </c>
      <c r="AF2917" t="s">
        <v>19199</v>
      </c>
      <c r="AG2917" t="n">
        <v>45</v>
      </c>
    </row>
    <row r="2918">
      <c r="A2918" t="s">
        <v>19200</v>
      </c>
      <c r="B2918" t="s">
        <v>27</v>
      </c>
      <c r="C2918" t="s">
        <v>65</v>
      </c>
      <c r="D2918" t="s">
        <v>19201</v>
      </c>
      <c r="E2918" t="s">
        <v>738</v>
      </c>
      <c r="F2918" t="s">
        <v>724</v>
      </c>
      <c r="G2918" t="s">
        <v>739</v>
      </c>
      <c r="H2918" t="n">
        <v>40.159985</v>
      </c>
      <c r="I2918" t="n">
        <v>-105.093158</v>
      </c>
      <c r="J2918" t="s">
        <v>35</v>
      </c>
      <c r="K2918" t="s">
        <v>1041</v>
      </c>
      <c r="L2918"/>
      <c r="M2918" t="n">
        <v>1966</v>
      </c>
      <c r="N2918" t="n">
        <v>1973</v>
      </c>
      <c r="O2918" t="s">
        <v>121</v>
      </c>
      <c r="P2918" t="n">
        <v>2</v>
      </c>
      <c r="Q2918" t="n">
        <v>1</v>
      </c>
      <c r="R2918" t="n">
        <v>1</v>
      </c>
      <c r="S2918" t="n">
        <v>1873</v>
      </c>
      <c r="T2918" t="s">
        <v>19202</v>
      </c>
      <c r="U2918" t="s">
        <v>19203</v>
      </c>
      <c r="V2918" t="s">
        <v>74</v>
      </c>
      <c r="W2918"/>
      <c r="X2918" t="s">
        <v>19204</v>
      </c>
      <c r="Y2918"/>
      <c r="Z2918"/>
      <c r="AA2918" t="s">
        <v>19205</v>
      </c>
      <c r="AB2918"/>
      <c r="AC2918"/>
      <c r="AD2918" t="s">
        <v>19206</v>
      </c>
      <c r="AE2918" t="n">
        <v>33</v>
      </c>
      <c r="AF2918"/>
      <c r="AG2918"/>
    </row>
    <row r="2919">
      <c r="A2919" t="s">
        <v>19207</v>
      </c>
      <c r="B2919" t="s">
        <v>27</v>
      </c>
      <c r="C2919" t="s">
        <v>65</v>
      </c>
      <c r="D2919" t="s">
        <v>19208</v>
      </c>
      <c r="E2919" t="s">
        <v>723</v>
      </c>
      <c r="F2919" t="s">
        <v>724</v>
      </c>
      <c r="G2919" t="s">
        <v>725</v>
      </c>
      <c r="H2919" t="n">
        <v>40.0275697119754</v>
      </c>
      <c r="I2919" t="n">
        <v>-105.251660892568</v>
      </c>
      <c r="J2919" t="s">
        <v>35</v>
      </c>
      <c r="K2919" t="s">
        <v>796</v>
      </c>
      <c r="L2919" t="s">
        <v>202</v>
      </c>
      <c r="M2919" t="n">
        <v>1968</v>
      </c>
      <c r="N2919" t="n">
        <v>1988</v>
      </c>
      <c r="O2919" t="s">
        <v>15194</v>
      </c>
      <c r="P2919" t="n">
        <v>3</v>
      </c>
      <c r="Q2919" t="n">
        <v>4</v>
      </c>
      <c r="R2919" t="n">
        <v>3</v>
      </c>
      <c r="S2919" t="n">
        <v>1972</v>
      </c>
      <c r="T2919" t="s">
        <v>19209</v>
      </c>
      <c r="U2919" t="s">
        <v>19210</v>
      </c>
      <c r="V2919" t="s">
        <v>74</v>
      </c>
      <c r="W2919"/>
      <c r="X2919" t="s">
        <v>19211</v>
      </c>
      <c r="Y2919" t="s">
        <v>19212</v>
      </c>
      <c r="Z2919"/>
      <c r="AA2919" t="s">
        <v>19213</v>
      </c>
      <c r="AB2919"/>
      <c r="AC2919"/>
      <c r="AD2919" t="s">
        <v>763</v>
      </c>
      <c r="AE2919" t="n">
        <v>46</v>
      </c>
      <c r="AF2919" t="s">
        <v>19214</v>
      </c>
      <c r="AG2919" t="n">
        <v>34</v>
      </c>
    </row>
    <row r="2920">
      <c r="A2920" t="s">
        <v>19215</v>
      </c>
      <c r="B2920" t="s">
        <v>27</v>
      </c>
      <c r="C2920" t="s">
        <v>65</v>
      </c>
      <c r="D2920" t="s">
        <v>19216</v>
      </c>
      <c r="E2920" t="s">
        <v>723</v>
      </c>
      <c r="F2920" t="s">
        <v>724</v>
      </c>
      <c r="G2920" t="s">
        <v>725</v>
      </c>
      <c r="H2920" t="n">
        <v>40.0275709183674</v>
      </c>
      <c r="I2920" t="n">
        <v>-105.251045632653</v>
      </c>
      <c r="J2920" t="s">
        <v>35</v>
      </c>
      <c r="K2920" t="s">
        <v>81</v>
      </c>
      <c r="L2920"/>
      <c r="M2920" t="n">
        <v>1970</v>
      </c>
      <c r="N2920" t="n">
        <v>1990</v>
      </c>
      <c r="O2920" t="s">
        <v>2361</v>
      </c>
      <c r="P2920" t="n">
        <v>8</v>
      </c>
      <c r="Q2920" t="n">
        <v>4</v>
      </c>
      <c r="R2920" t="n">
        <v>4</v>
      </c>
      <c r="S2920" t="n">
        <v>1978</v>
      </c>
      <c r="T2920" t="s">
        <v>19217</v>
      </c>
      <c r="U2920" t="s">
        <v>19218</v>
      </c>
      <c r="V2920" t="s">
        <v>74</v>
      </c>
      <c r="W2920"/>
      <c r="X2920" t="s">
        <v>19219</v>
      </c>
      <c r="Y2920" t="s">
        <v>19220</v>
      </c>
      <c r="Z2920"/>
      <c r="AA2920" t="s">
        <v>19221</v>
      </c>
      <c r="AB2920"/>
      <c r="AC2920"/>
      <c r="AD2920" t="s">
        <v>763</v>
      </c>
      <c r="AE2920" t="n">
        <v>7</v>
      </c>
      <c r="AF2920" t="s">
        <v>19222</v>
      </c>
      <c r="AG2920" t="n">
        <v>20</v>
      </c>
    </row>
    <row r="2921">
      <c r="A2921" t="s">
        <v>19223</v>
      </c>
      <c r="B2921" t="s">
        <v>27</v>
      </c>
      <c r="C2921" t="s">
        <v>65</v>
      </c>
      <c r="D2921" t="s">
        <v>19224</v>
      </c>
      <c r="E2921" t="s">
        <v>723</v>
      </c>
      <c r="F2921" t="s">
        <v>724</v>
      </c>
      <c r="G2921" t="s">
        <v>725</v>
      </c>
      <c r="H2921" t="n">
        <v>40.0251974855797</v>
      </c>
      <c r="I2921" t="n">
        <v>-105.242997560823</v>
      </c>
      <c r="J2921" t="s">
        <v>35</v>
      </c>
      <c r="K2921" t="s">
        <v>201</v>
      </c>
      <c r="L2921"/>
      <c r="M2921" t="n">
        <v>1973</v>
      </c>
      <c r="N2921" t="n">
        <v>1992</v>
      </c>
      <c r="O2921" t="s">
        <v>8406</v>
      </c>
      <c r="P2921" t="n">
        <v>7</v>
      </c>
      <c r="Q2921" t="n">
        <v>11</v>
      </c>
      <c r="R2921" t="n">
        <v>4</v>
      </c>
      <c r="S2921" t="n">
        <v>1962</v>
      </c>
      <c r="T2921" t="s">
        <v>19225</v>
      </c>
      <c r="U2921" t="s">
        <v>19226</v>
      </c>
      <c r="V2921" t="s">
        <v>74</v>
      </c>
      <c r="W2921"/>
      <c r="X2921" t="s">
        <v>19227</v>
      </c>
      <c r="Y2921" t="s">
        <v>19228</v>
      </c>
      <c r="Z2921"/>
      <c r="AA2921"/>
      <c r="AB2921"/>
      <c r="AC2921"/>
      <c r="AD2921" t="s">
        <v>820</v>
      </c>
      <c r="AE2921" t="n">
        <v>17</v>
      </c>
      <c r="AF2921" t="s">
        <v>19229</v>
      </c>
      <c r="AG2921" t="n">
        <v>17</v>
      </c>
    </row>
    <row r="2922">
      <c r="A2922" t="s">
        <v>19230</v>
      </c>
      <c r="B2922" t="s">
        <v>27</v>
      </c>
      <c r="C2922" t="s">
        <v>65</v>
      </c>
      <c r="D2922" t="s">
        <v>19231</v>
      </c>
      <c r="E2922" t="s">
        <v>1010</v>
      </c>
      <c r="F2922" t="s">
        <v>724</v>
      </c>
      <c r="G2922" t="s">
        <v>1011</v>
      </c>
      <c r="H2922" t="n">
        <v>39.9477502983081</v>
      </c>
      <c r="I2922" t="n">
        <v>-105.146971605093</v>
      </c>
      <c r="J2922" t="s">
        <v>35</v>
      </c>
      <c r="K2922" t="s">
        <v>120</v>
      </c>
      <c r="L2922" t="s">
        <v>2814</v>
      </c>
      <c r="M2922" t="n">
        <v>1973</v>
      </c>
      <c r="N2922" t="n">
        <v>1990</v>
      </c>
      <c r="O2922" t="s">
        <v>434</v>
      </c>
      <c r="P2922" t="n">
        <v>6</v>
      </c>
      <c r="Q2922" t="n">
        <v>3</v>
      </c>
      <c r="R2922" t="n">
        <v>3</v>
      </c>
      <c r="S2922" t="n">
        <v>1969</v>
      </c>
      <c r="T2922" t="s">
        <v>19232</v>
      </c>
      <c r="U2922" t="s">
        <v>19233</v>
      </c>
      <c r="V2922" t="s">
        <v>74</v>
      </c>
      <c r="W2922"/>
      <c r="X2922" t="s">
        <v>19234</v>
      </c>
      <c r="Y2922"/>
      <c r="Z2922"/>
      <c r="AA2922"/>
      <c r="AB2922"/>
      <c r="AC2922"/>
      <c r="AD2922" t="s">
        <v>19235</v>
      </c>
      <c r="AE2922" t="n">
        <v>87</v>
      </c>
      <c r="AF2922" t="s">
        <v>19236</v>
      </c>
      <c r="AG2922" t="n">
        <v>45</v>
      </c>
    </row>
    <row r="2923">
      <c r="A2923" t="s">
        <v>19237</v>
      </c>
      <c r="B2923" t="s">
        <v>27</v>
      </c>
      <c r="C2923" t="s">
        <v>24</v>
      </c>
      <c r="D2923" t="s">
        <v>19238</v>
      </c>
      <c r="E2923" t="s">
        <v>723</v>
      </c>
      <c r="F2923" t="s">
        <v>724</v>
      </c>
      <c r="G2923" t="s">
        <v>817</v>
      </c>
      <c r="H2923" t="n">
        <v>40.0209598163265</v>
      </c>
      <c r="I2923" t="n">
        <v>-105.220785673469</v>
      </c>
      <c r="J2923" t="s">
        <v>4109</v>
      </c>
      <c r="K2923" t="s">
        <v>315</v>
      </c>
      <c r="L2923"/>
      <c r="M2923" t="n">
        <v>1974</v>
      </c>
      <c r="N2923" t="n">
        <v>1992</v>
      </c>
      <c r="O2923" t="s">
        <v>1016</v>
      </c>
      <c r="P2923" t="n">
        <v>4</v>
      </c>
      <c r="Q2923" t="n">
        <v>2</v>
      </c>
      <c r="R2923" t="n">
        <v>1</v>
      </c>
      <c r="S2923" t="n">
        <v>1971</v>
      </c>
      <c r="T2923" t="s">
        <v>19239</v>
      </c>
      <c r="U2923" t="s">
        <v>19240</v>
      </c>
      <c r="V2923" t="s">
        <v>74</v>
      </c>
      <c r="W2923"/>
      <c r="X2923" t="s">
        <v>19241</v>
      </c>
      <c r="Y2923" t="s">
        <v>19242</v>
      </c>
      <c r="Z2923"/>
      <c r="AA2923" t="s">
        <v>19243</v>
      </c>
      <c r="AB2923"/>
      <c r="AC2923"/>
      <c r="AD2923" t="s">
        <v>13911</v>
      </c>
      <c r="AE2923" t="n">
        <v>158</v>
      </c>
      <c r="AF2923" t="s">
        <v>19244</v>
      </c>
      <c r="AG2923" t="n">
        <v>150</v>
      </c>
    </row>
    <row r="2924">
      <c r="A2924" t="s">
        <v>19245</v>
      </c>
      <c r="B2924" t="s">
        <v>27</v>
      </c>
      <c r="C2924" t="s">
        <v>65</v>
      </c>
      <c r="D2924" t="s">
        <v>19246</v>
      </c>
      <c r="E2924" t="s">
        <v>738</v>
      </c>
      <c r="F2924" t="s">
        <v>724</v>
      </c>
      <c r="G2924" t="s">
        <v>739</v>
      </c>
      <c r="H2924" t="n">
        <v>40.15877</v>
      </c>
      <c r="I2924" t="n">
        <v>-105.116760910984</v>
      </c>
      <c r="J2924" t="s">
        <v>35</v>
      </c>
      <c r="K2924" t="s">
        <v>120</v>
      </c>
      <c r="L2924"/>
      <c r="M2924" t="n">
        <v>1974</v>
      </c>
      <c r="N2924" t="n">
        <v>1990</v>
      </c>
      <c r="O2924" t="s">
        <v>3860</v>
      </c>
      <c r="P2924" t="n">
        <v>5</v>
      </c>
      <c r="Q2924" t="n">
        <v>7</v>
      </c>
      <c r="R2924" t="n">
        <v>3</v>
      </c>
      <c r="S2924" t="n">
        <v>1962</v>
      </c>
      <c r="T2924" t="s">
        <v>19247</v>
      </c>
      <c r="U2924" t="s">
        <v>19248</v>
      </c>
      <c r="V2924" t="s">
        <v>74</v>
      </c>
      <c r="W2924"/>
      <c r="X2924" t="s">
        <v>19249</v>
      </c>
      <c r="Y2924" t="s">
        <v>19250</v>
      </c>
      <c r="Z2924"/>
      <c r="AA2924" t="s">
        <v>19251</v>
      </c>
      <c r="AB2924" t="s">
        <v>19252</v>
      </c>
      <c r="AC2924" t="n">
        <v>134</v>
      </c>
      <c r="AD2924" t="s">
        <v>19253</v>
      </c>
      <c r="AE2924" t="n">
        <v>80</v>
      </c>
      <c r="AF2924" t="s">
        <v>14205</v>
      </c>
      <c r="AG2924" t="n">
        <v>118</v>
      </c>
    </row>
    <row r="2925">
      <c r="A2925" t="s">
        <v>19254</v>
      </c>
      <c r="B2925" t="s">
        <v>27</v>
      </c>
      <c r="C2925" t="s">
        <v>65</v>
      </c>
      <c r="D2925" t="s">
        <v>19255</v>
      </c>
      <c r="E2925" t="s">
        <v>738</v>
      </c>
      <c r="F2925" t="s">
        <v>724</v>
      </c>
      <c r="G2925" t="s">
        <v>739</v>
      </c>
      <c r="H2925" t="n">
        <v>40.1697855656566</v>
      </c>
      <c r="I2925" t="n">
        <v>-105.113055</v>
      </c>
      <c r="J2925" t="s">
        <v>35</v>
      </c>
      <c r="K2925" t="s">
        <v>796</v>
      </c>
      <c r="L2925"/>
      <c r="M2925" t="n">
        <v>1974</v>
      </c>
      <c r="N2925" t="n">
        <v>1980</v>
      </c>
      <c r="O2925" t="s">
        <v>255</v>
      </c>
      <c r="P2925" t="n">
        <v>2</v>
      </c>
      <c r="Q2925" t="n">
        <v>3</v>
      </c>
      <c r="R2925" t="n">
        <v>1</v>
      </c>
      <c r="S2925" t="n">
        <v>1965</v>
      </c>
      <c r="T2925" t="s">
        <v>19256</v>
      </c>
      <c r="U2925" t="s">
        <v>19257</v>
      </c>
      <c r="V2925" t="s">
        <v>74</v>
      </c>
      <c r="W2925"/>
      <c r="X2925" t="s">
        <v>19258</v>
      </c>
      <c r="Y2925"/>
      <c r="Z2925"/>
      <c r="AA2925" t="s">
        <v>19259</v>
      </c>
      <c r="AB2925"/>
      <c r="AC2925"/>
      <c r="AD2925" t="s">
        <v>905</v>
      </c>
      <c r="AE2925" t="n">
        <v>89</v>
      </c>
      <c r="AF2925"/>
      <c r="AG2925"/>
    </row>
    <row r="2926">
      <c r="A2926" t="s">
        <v>19260</v>
      </c>
      <c r="B2926" t="s">
        <v>27</v>
      </c>
      <c r="C2926" t="s">
        <v>24</v>
      </c>
      <c r="D2926" t="s">
        <v>19261</v>
      </c>
      <c r="E2926" t="s">
        <v>738</v>
      </c>
      <c r="F2926" t="s">
        <v>724</v>
      </c>
      <c r="G2926" t="s">
        <v>739</v>
      </c>
      <c r="H2926" t="n">
        <v>40.1618229597701</v>
      </c>
      <c r="I2926" t="n">
        <v>-105.093112568965</v>
      </c>
      <c r="J2926" t="s">
        <v>4109</v>
      </c>
      <c r="K2926" t="s">
        <v>2274</v>
      </c>
      <c r="L2926"/>
      <c r="M2926" t="n">
        <v>1974</v>
      </c>
      <c r="N2926" t="n">
        <v>1992</v>
      </c>
      <c r="O2926" t="s">
        <v>19262</v>
      </c>
      <c r="P2926" t="n">
        <v>5</v>
      </c>
      <c r="Q2926" t="n">
        <v>2</v>
      </c>
      <c r="R2926" t="n">
        <v>2</v>
      </c>
      <c r="S2926" t="n">
        <v>1873</v>
      </c>
      <c r="T2926" t="s">
        <v>19263</v>
      </c>
      <c r="U2926" t="s">
        <v>19264</v>
      </c>
      <c r="V2926" t="s">
        <v>74</v>
      </c>
      <c r="W2926"/>
      <c r="X2926" t="s">
        <v>19265</v>
      </c>
      <c r="Y2926"/>
      <c r="Z2926"/>
      <c r="AA2926" t="s">
        <v>19266</v>
      </c>
      <c r="AB2926"/>
      <c r="AC2926"/>
      <c r="AD2926" t="s">
        <v>19206</v>
      </c>
      <c r="AE2926" t="n">
        <v>111</v>
      </c>
      <c r="AF2926"/>
      <c r="AG2926"/>
    </row>
    <row r="2927">
      <c r="A2927" t="s">
        <v>19267</v>
      </c>
      <c r="B2927" t="s">
        <v>27</v>
      </c>
      <c r="C2927" t="s">
        <v>24</v>
      </c>
      <c r="D2927" t="s">
        <v>19268</v>
      </c>
      <c r="E2927" t="s">
        <v>723</v>
      </c>
      <c r="F2927" t="s">
        <v>724</v>
      </c>
      <c r="G2927" t="s">
        <v>817</v>
      </c>
      <c r="H2927" t="n">
        <v>40.01939625</v>
      </c>
      <c r="I2927" t="n">
        <v>-105.220782375</v>
      </c>
      <c r="J2927" t="s">
        <v>4109</v>
      </c>
      <c r="K2927" t="s">
        <v>70</v>
      </c>
      <c r="L2927" t="s">
        <v>554</v>
      </c>
      <c r="M2927" t="n">
        <v>1977</v>
      </c>
      <c r="N2927" t="n">
        <v>1992</v>
      </c>
      <c r="O2927" t="s">
        <v>1003</v>
      </c>
      <c r="P2927" t="n">
        <v>4</v>
      </c>
      <c r="Q2927" t="n">
        <v>4</v>
      </c>
      <c r="R2927" t="n">
        <v>2</v>
      </c>
      <c r="S2927" t="n">
        <v>1946</v>
      </c>
      <c r="T2927" t="s">
        <v>19269</v>
      </c>
      <c r="U2927" t="s">
        <v>19270</v>
      </c>
      <c r="V2927" t="s">
        <v>74</v>
      </c>
      <c r="W2927"/>
      <c r="X2927" t="s">
        <v>19271</v>
      </c>
      <c r="Y2927" t="s">
        <v>19272</v>
      </c>
      <c r="Z2927"/>
      <c r="AA2927" t="s">
        <v>19273</v>
      </c>
      <c r="AB2927"/>
      <c r="AC2927"/>
      <c r="AD2927" t="s">
        <v>13911</v>
      </c>
      <c r="AE2927" t="n">
        <v>16</v>
      </c>
      <c r="AF2927" t="s">
        <v>19274</v>
      </c>
      <c r="AG2927" t="n">
        <v>12</v>
      </c>
    </row>
    <row r="2928">
      <c r="A2928" t="s">
        <v>19275</v>
      </c>
      <c r="B2928" t="s">
        <v>27</v>
      </c>
      <c r="C2928" t="s">
        <v>65</v>
      </c>
      <c r="D2928" t="s">
        <v>19276</v>
      </c>
      <c r="E2928" t="s">
        <v>723</v>
      </c>
      <c r="F2928" t="s">
        <v>724</v>
      </c>
      <c r="G2928" t="s">
        <v>725</v>
      </c>
      <c r="H2928" t="n">
        <v>40.0254729125104</v>
      </c>
      <c r="I2928" t="n">
        <v>-105.220033685995</v>
      </c>
      <c r="J2928" t="s">
        <v>35</v>
      </c>
      <c r="K2928" t="s">
        <v>796</v>
      </c>
      <c r="L2928" t="s">
        <v>1117</v>
      </c>
      <c r="M2928" t="n">
        <v>1980</v>
      </c>
      <c r="N2928" t="n">
        <v>1992</v>
      </c>
      <c r="O2928" t="s">
        <v>310</v>
      </c>
      <c r="P2928" t="n">
        <v>5</v>
      </c>
      <c r="Q2928" t="n">
        <v>6</v>
      </c>
      <c r="R2928" t="n">
        <v>3</v>
      </c>
      <c r="S2928" t="n">
        <v>1975</v>
      </c>
      <c r="T2928" t="s">
        <v>19277</v>
      </c>
      <c r="U2928" t="s">
        <v>19278</v>
      </c>
      <c r="V2928" t="s">
        <v>74</v>
      </c>
      <c r="W2928"/>
      <c r="X2928" t="s">
        <v>19279</v>
      </c>
      <c r="Y2928" t="s">
        <v>19280</v>
      </c>
      <c r="Z2928"/>
      <c r="AA2928"/>
      <c r="AB2928"/>
      <c r="AC2928"/>
      <c r="AD2928" t="s">
        <v>859</v>
      </c>
      <c r="AE2928" t="n">
        <v>68</v>
      </c>
      <c r="AF2928" t="s">
        <v>860</v>
      </c>
      <c r="AG2928" t="n">
        <v>106</v>
      </c>
    </row>
    <row r="2929">
      <c r="A2929" t="s">
        <v>19281</v>
      </c>
      <c r="B2929" t="s">
        <v>27</v>
      </c>
      <c r="C2929" t="s">
        <v>65</v>
      </c>
      <c r="D2929" t="s">
        <v>19282</v>
      </c>
      <c r="E2929" t="s">
        <v>723</v>
      </c>
      <c r="F2929" t="s">
        <v>724</v>
      </c>
      <c r="G2929" t="s">
        <v>817</v>
      </c>
      <c r="H2929" t="n">
        <v>40.0209476982304</v>
      </c>
      <c r="I2929" t="n">
        <v>-105.218373994564</v>
      </c>
      <c r="J2929" t="s">
        <v>35</v>
      </c>
      <c r="K2929" t="s">
        <v>988</v>
      </c>
      <c r="L2929"/>
      <c r="M2929" t="n">
        <v>1980</v>
      </c>
      <c r="N2929" t="n">
        <v>1990</v>
      </c>
      <c r="O2929" t="s">
        <v>582</v>
      </c>
      <c r="P2929" t="n">
        <v>3</v>
      </c>
      <c r="Q2929" t="n">
        <v>2</v>
      </c>
      <c r="R2929" t="n">
        <v>1</v>
      </c>
      <c r="S2929" t="n">
        <v>1961</v>
      </c>
      <c r="T2929" t="s">
        <v>19283</v>
      </c>
      <c r="U2929" t="s">
        <v>19284</v>
      </c>
      <c r="V2929" t="s">
        <v>74</v>
      </c>
      <c r="W2929"/>
      <c r="X2929" t="s">
        <v>19285</v>
      </c>
      <c r="Y2929" t="s">
        <v>19286</v>
      </c>
      <c r="Z2929"/>
      <c r="AA2929" t="s">
        <v>19287</v>
      </c>
      <c r="AB2929"/>
      <c r="AC2929"/>
      <c r="AD2929"/>
      <c r="AE2929"/>
      <c r="AF2929" t="s">
        <v>19288</v>
      </c>
      <c r="AG2929" t="n">
        <v>27</v>
      </c>
    </row>
    <row r="2930">
      <c r="A2930" t="s">
        <v>19289</v>
      </c>
      <c r="B2930" t="s">
        <v>27</v>
      </c>
      <c r="C2930" t="s">
        <v>65</v>
      </c>
      <c r="D2930" t="s">
        <v>19290</v>
      </c>
      <c r="E2930" t="s">
        <v>738</v>
      </c>
      <c r="F2930" t="s">
        <v>724</v>
      </c>
      <c r="G2930" t="s">
        <v>739</v>
      </c>
      <c r="H2930" t="n">
        <v>40.1623846762452</v>
      </c>
      <c r="I2930" t="n">
        <v>-105.081055599617</v>
      </c>
      <c r="J2930" t="s">
        <v>35</v>
      </c>
      <c r="K2930" t="s">
        <v>270</v>
      </c>
      <c r="L2930" t="s">
        <v>1310</v>
      </c>
      <c r="M2930" t="n">
        <v>1980</v>
      </c>
      <c r="N2930" t="n">
        <v>1990</v>
      </c>
      <c r="O2930" t="s">
        <v>582</v>
      </c>
      <c r="P2930" t="n">
        <v>3</v>
      </c>
      <c r="Q2930" t="n">
        <v>5</v>
      </c>
      <c r="R2930" t="n">
        <v>3</v>
      </c>
      <c r="S2930" t="n">
        <v>1969</v>
      </c>
      <c r="T2930" t="s">
        <v>19291</v>
      </c>
      <c r="U2930" t="s">
        <v>19292</v>
      </c>
      <c r="V2930" t="s">
        <v>74</v>
      </c>
      <c r="W2930"/>
      <c r="X2930" t="s">
        <v>19293</v>
      </c>
      <c r="Y2930" t="s">
        <v>19294</v>
      </c>
      <c r="Z2930"/>
      <c r="AA2930"/>
      <c r="AB2930"/>
      <c r="AC2930"/>
      <c r="AD2930" t="s">
        <v>19295</v>
      </c>
      <c r="AE2930" t="n">
        <v>117</v>
      </c>
      <c r="AF2930" t="s">
        <v>19296</v>
      </c>
      <c r="AG2930" t="n">
        <v>13</v>
      </c>
    </row>
    <row r="2931">
      <c r="A2931" t="s">
        <v>19297</v>
      </c>
      <c r="B2931" t="s">
        <v>27</v>
      </c>
      <c r="C2931" t="s">
        <v>65</v>
      </c>
      <c r="D2931" t="s">
        <v>19298</v>
      </c>
      <c r="E2931" t="s">
        <v>723</v>
      </c>
      <c r="F2931" t="s">
        <v>724</v>
      </c>
      <c r="G2931" t="s">
        <v>817</v>
      </c>
      <c r="H2931" t="n">
        <v>40.0293837692308</v>
      </c>
      <c r="I2931" t="n">
        <v>-105.227599461539</v>
      </c>
      <c r="J2931" t="s">
        <v>35</v>
      </c>
      <c r="K2931" t="s">
        <v>120</v>
      </c>
      <c r="L2931"/>
      <c r="M2931" t="n">
        <v>1983</v>
      </c>
      <c r="N2931" t="n">
        <v>1983</v>
      </c>
      <c r="O2931" t="s">
        <v>264</v>
      </c>
      <c r="P2931" t="n">
        <v>1</v>
      </c>
      <c r="Q2931" t="n">
        <v>1</v>
      </c>
      <c r="R2931" t="n">
        <v>1</v>
      </c>
      <c r="S2931" t="n">
        <v>1975</v>
      </c>
      <c r="T2931" t="s">
        <v>19299</v>
      </c>
      <c r="U2931" t="s">
        <v>19300</v>
      </c>
      <c r="V2931" t="s">
        <v>74</v>
      </c>
      <c r="W2931"/>
      <c r="X2931" t="s">
        <v>19301</v>
      </c>
      <c r="Y2931"/>
      <c r="Z2931"/>
      <c r="AA2931"/>
      <c r="AB2931"/>
      <c r="AC2931"/>
      <c r="AD2931" t="s">
        <v>6422</v>
      </c>
      <c r="AE2931" t="n">
        <v>64</v>
      </c>
      <c r="AF2931" t="s">
        <v>19302</v>
      </c>
      <c r="AG2931" t="n">
        <v>122</v>
      </c>
    </row>
    <row r="2932">
      <c r="A2932" t="s">
        <v>19303</v>
      </c>
      <c r="B2932" t="s">
        <v>27</v>
      </c>
      <c r="C2932" t="s">
        <v>65</v>
      </c>
      <c r="D2932" t="s">
        <v>19304</v>
      </c>
      <c r="E2932" t="s">
        <v>723</v>
      </c>
      <c r="F2932" t="s">
        <v>724</v>
      </c>
      <c r="G2932" t="s">
        <v>817</v>
      </c>
      <c r="H2932" t="n">
        <v>40.0598018303439</v>
      </c>
      <c r="I2932" t="n">
        <v>-105.204527974589</v>
      </c>
      <c r="J2932" t="s">
        <v>35</v>
      </c>
      <c r="K2932" t="s">
        <v>796</v>
      </c>
      <c r="L2932"/>
      <c r="M2932" t="n">
        <v>1983</v>
      </c>
      <c r="N2932" t="n">
        <v>1990</v>
      </c>
      <c r="O2932" t="s">
        <v>283</v>
      </c>
      <c r="P2932" t="n">
        <v>3</v>
      </c>
      <c r="Q2932" t="n">
        <v>1</v>
      </c>
      <c r="R2932" t="n">
        <v>1</v>
      </c>
      <c r="S2932" t="n">
        <v>1971</v>
      </c>
      <c r="T2932" t="s">
        <v>19305</v>
      </c>
      <c r="U2932" t="s">
        <v>19306</v>
      </c>
      <c r="V2932" t="s">
        <v>74</v>
      </c>
      <c r="W2932"/>
      <c r="X2932" t="s">
        <v>19307</v>
      </c>
      <c r="Y2932" t="s">
        <v>19308</v>
      </c>
      <c r="Z2932"/>
      <c r="AA2932" t="s">
        <v>19309</v>
      </c>
      <c r="AB2932"/>
      <c r="AC2932"/>
      <c r="AD2932" t="s">
        <v>820</v>
      </c>
      <c r="AE2932" t="n">
        <v>14</v>
      </c>
      <c r="AF2932" t="s">
        <v>19310</v>
      </c>
      <c r="AG2932" t="n">
        <v>4</v>
      </c>
    </row>
    <row r="2933">
      <c r="A2933" t="s">
        <v>19311</v>
      </c>
      <c r="B2933" t="s">
        <v>27</v>
      </c>
      <c r="C2933" t="s">
        <v>65</v>
      </c>
      <c r="D2933" t="s">
        <v>19312</v>
      </c>
      <c r="E2933" t="s">
        <v>723</v>
      </c>
      <c r="F2933" t="s">
        <v>724</v>
      </c>
      <c r="G2933" t="s">
        <v>817</v>
      </c>
      <c r="H2933" t="n">
        <v>40.0194970816999</v>
      </c>
      <c r="I2933" t="n">
        <v>-105.242581050035</v>
      </c>
      <c r="J2933" t="s">
        <v>35</v>
      </c>
      <c r="K2933" t="s">
        <v>120</v>
      </c>
      <c r="L2933"/>
      <c r="M2933" t="n">
        <v>1983</v>
      </c>
      <c r="N2933" t="n">
        <v>1992</v>
      </c>
      <c r="O2933" t="s">
        <v>357</v>
      </c>
      <c r="P2933" t="n">
        <v>4</v>
      </c>
      <c r="Q2933" t="n">
        <v>7</v>
      </c>
      <c r="R2933" t="n">
        <v>1</v>
      </c>
      <c r="S2933" t="n">
        <v>1974</v>
      </c>
      <c r="T2933" t="s">
        <v>19313</v>
      </c>
      <c r="U2933" t="s">
        <v>19314</v>
      </c>
      <c r="V2933" t="s">
        <v>74</v>
      </c>
      <c r="W2933"/>
      <c r="X2933" t="s">
        <v>19315</v>
      </c>
      <c r="Y2933"/>
      <c r="Z2933"/>
      <c r="AA2933"/>
      <c r="AB2933"/>
      <c r="AC2933"/>
      <c r="AD2933" t="s">
        <v>19316</v>
      </c>
      <c r="AE2933" t="n">
        <v>113</v>
      </c>
      <c r="AF2933" t="s">
        <v>19317</v>
      </c>
      <c r="AG2933" t="n">
        <v>77</v>
      </c>
    </row>
    <row r="2934">
      <c r="A2934" t="s">
        <v>19318</v>
      </c>
      <c r="B2934" t="s">
        <v>27</v>
      </c>
      <c r="C2934" t="s">
        <v>65</v>
      </c>
      <c r="D2934" t="s">
        <v>19319</v>
      </c>
      <c r="E2934" t="s">
        <v>723</v>
      </c>
      <c r="F2934" t="s">
        <v>724</v>
      </c>
      <c r="G2934" t="s">
        <v>817</v>
      </c>
      <c r="H2934" t="n">
        <v>40.0607384450307</v>
      </c>
      <c r="I2934" t="n">
        <v>-105.205121649356</v>
      </c>
      <c r="J2934" t="s">
        <v>35</v>
      </c>
      <c r="K2934" t="s">
        <v>988</v>
      </c>
      <c r="L2934"/>
      <c r="M2934" t="n">
        <v>1983</v>
      </c>
      <c r="N2934" t="n">
        <v>1992</v>
      </c>
      <c r="O2934" t="s">
        <v>271</v>
      </c>
      <c r="P2934" t="n">
        <v>4</v>
      </c>
      <c r="Q2934" t="n">
        <v>6</v>
      </c>
      <c r="R2934" t="n">
        <v>4</v>
      </c>
      <c r="S2934" t="n">
        <v>1892</v>
      </c>
      <c r="T2934" t="s">
        <v>19320</v>
      </c>
      <c r="U2934" t="s">
        <v>19321</v>
      </c>
      <c r="V2934" t="s">
        <v>74</v>
      </c>
      <c r="W2934"/>
      <c r="X2934" t="s">
        <v>19322</v>
      </c>
      <c r="Y2934" t="s">
        <v>19323</v>
      </c>
      <c r="Z2934"/>
      <c r="AA2934" t="s">
        <v>19324</v>
      </c>
      <c r="AB2934" t="s">
        <v>6326</v>
      </c>
      <c r="AC2934" t="n">
        <v>234</v>
      </c>
      <c r="AD2934" t="s">
        <v>19325</v>
      </c>
      <c r="AE2934" t="n">
        <v>61</v>
      </c>
      <c r="AF2934" t="s">
        <v>19326</v>
      </c>
      <c r="AG2934" t="n">
        <v>20</v>
      </c>
    </row>
    <row r="2935">
      <c r="A2935" t="s">
        <v>19327</v>
      </c>
      <c r="B2935" t="s">
        <v>27</v>
      </c>
      <c r="C2935" t="s">
        <v>65</v>
      </c>
      <c r="D2935" t="s">
        <v>19328</v>
      </c>
      <c r="E2935" t="s">
        <v>723</v>
      </c>
      <c r="F2935" t="s">
        <v>724</v>
      </c>
      <c r="G2935" t="s">
        <v>817</v>
      </c>
      <c r="H2935" t="n">
        <v>40.0191594322081</v>
      </c>
      <c r="I2935" t="n">
        <v>-105.241094130574</v>
      </c>
      <c r="J2935" t="s">
        <v>35</v>
      </c>
      <c r="K2935" t="s">
        <v>120</v>
      </c>
      <c r="L2935"/>
      <c r="M2935" t="n">
        <v>1983</v>
      </c>
      <c r="N2935" t="n">
        <v>1990</v>
      </c>
      <c r="O2935" t="s">
        <v>264</v>
      </c>
      <c r="P2935" t="n">
        <v>3</v>
      </c>
      <c r="Q2935" t="n">
        <v>8</v>
      </c>
      <c r="R2935" t="n">
        <v>1</v>
      </c>
      <c r="S2935" t="n">
        <v>1975</v>
      </c>
      <c r="T2935" t="s">
        <v>19329</v>
      </c>
      <c r="U2935" t="s">
        <v>19330</v>
      </c>
      <c r="V2935" t="s">
        <v>74</v>
      </c>
      <c r="W2935"/>
      <c r="X2935" t="s">
        <v>19331</v>
      </c>
      <c r="Y2935" t="s">
        <v>19332</v>
      </c>
      <c r="Z2935"/>
      <c r="AA2935"/>
      <c r="AB2935"/>
      <c r="AC2935"/>
      <c r="AD2935" t="s">
        <v>19316</v>
      </c>
      <c r="AE2935" t="n">
        <v>20</v>
      </c>
      <c r="AF2935" t="s">
        <v>19333</v>
      </c>
      <c r="AG2935" t="n">
        <v>32</v>
      </c>
    </row>
    <row r="2936">
      <c r="A2936" t="s">
        <v>19334</v>
      </c>
      <c r="B2936" t="s">
        <v>27</v>
      </c>
      <c r="C2936" t="s">
        <v>24</v>
      </c>
      <c r="D2936" t="s">
        <v>19335</v>
      </c>
      <c r="E2936" t="s">
        <v>738</v>
      </c>
      <c r="F2936" t="s">
        <v>724</v>
      </c>
      <c r="G2936" t="s">
        <v>739</v>
      </c>
      <c r="H2936" t="n">
        <v>40.1722810739903</v>
      </c>
      <c r="I2936" t="n">
        <v>-105.113002329352</v>
      </c>
      <c r="J2936" t="s">
        <v>4109</v>
      </c>
      <c r="K2936" t="s">
        <v>796</v>
      </c>
      <c r="L2936"/>
      <c r="M2936" t="n">
        <v>1983</v>
      </c>
      <c r="N2936" t="n">
        <v>1990</v>
      </c>
      <c r="O2936" t="s">
        <v>271</v>
      </c>
      <c r="P2936" t="n">
        <v>3</v>
      </c>
      <c r="Q2936" t="n">
        <v>1</v>
      </c>
      <c r="R2936" t="n">
        <v>1</v>
      </c>
      <c r="S2936" t="n">
        <v>1965</v>
      </c>
      <c r="T2936" t="s">
        <v>19336</v>
      </c>
      <c r="U2936" t="s">
        <v>19337</v>
      </c>
      <c r="V2936" t="s">
        <v>74</v>
      </c>
      <c r="W2936"/>
      <c r="X2936" t="s">
        <v>19338</v>
      </c>
      <c r="Y2936" t="s">
        <v>19339</v>
      </c>
      <c r="Z2936"/>
      <c r="AA2936"/>
      <c r="AB2936"/>
      <c r="AC2936"/>
      <c r="AD2936" t="s">
        <v>905</v>
      </c>
      <c r="AE2936" t="n">
        <v>194</v>
      </c>
      <c r="AF2936"/>
      <c r="AG2936"/>
    </row>
    <row r="2937">
      <c r="A2937" t="s">
        <v>19340</v>
      </c>
      <c r="B2937" t="s">
        <v>27</v>
      </c>
      <c r="C2937" t="s">
        <v>65</v>
      </c>
      <c r="D2937" t="s">
        <v>19341</v>
      </c>
      <c r="E2937" t="s">
        <v>738</v>
      </c>
      <c r="F2937" t="s">
        <v>724</v>
      </c>
      <c r="G2937" t="s">
        <v>739</v>
      </c>
      <c r="H2937" t="n">
        <v>40.1480029457909</v>
      </c>
      <c r="I2937" t="n">
        <v>-105.124015653679</v>
      </c>
      <c r="J2937" t="s">
        <v>35</v>
      </c>
      <c r="K2937" t="s">
        <v>120</v>
      </c>
      <c r="L2937" t="s">
        <v>2445</v>
      </c>
      <c r="M2937" t="n">
        <v>1983</v>
      </c>
      <c r="N2937" t="n">
        <v>1990</v>
      </c>
      <c r="O2937" t="s">
        <v>293</v>
      </c>
      <c r="P2937" t="n">
        <v>2</v>
      </c>
      <c r="Q2937" t="n">
        <v>3</v>
      </c>
      <c r="R2937" t="n">
        <v>2</v>
      </c>
      <c r="S2937" t="n">
        <v>1970</v>
      </c>
      <c r="T2937" t="s">
        <v>19342</v>
      </c>
      <c r="U2937" t="s">
        <v>19343</v>
      </c>
      <c r="V2937" t="s">
        <v>74</v>
      </c>
      <c r="W2937"/>
      <c r="X2937" t="s">
        <v>19344</v>
      </c>
      <c r="Y2937" t="s">
        <v>19345</v>
      </c>
      <c r="Z2937"/>
      <c r="AA2937" t="s">
        <v>19346</v>
      </c>
      <c r="AB2937" t="s">
        <v>6403</v>
      </c>
      <c r="AC2937" t="n">
        <v>220</v>
      </c>
      <c r="AD2937" t="s">
        <v>19347</v>
      </c>
      <c r="AE2937" t="n">
        <v>5</v>
      </c>
      <c r="AF2937" t="s">
        <v>19348</v>
      </c>
      <c r="AG2937" t="n">
        <v>54</v>
      </c>
    </row>
    <row r="2938">
      <c r="A2938" t="s">
        <v>19349</v>
      </c>
      <c r="B2938" t="s">
        <v>27</v>
      </c>
      <c r="C2938" t="s">
        <v>65</v>
      </c>
      <c r="D2938" t="s">
        <v>19350</v>
      </c>
      <c r="E2938" t="s">
        <v>738</v>
      </c>
      <c r="F2938" t="s">
        <v>724</v>
      </c>
      <c r="G2938" t="s">
        <v>739</v>
      </c>
      <c r="H2938" t="n">
        <v>40.1487007560357</v>
      </c>
      <c r="I2938" t="n">
        <v>-105.114032408652</v>
      </c>
      <c r="J2938" t="s">
        <v>35</v>
      </c>
      <c r="K2938" t="s">
        <v>120</v>
      </c>
      <c r="L2938"/>
      <c r="M2938" t="n">
        <v>1983</v>
      </c>
      <c r="N2938" t="n">
        <v>1983</v>
      </c>
      <c r="O2938" t="s">
        <v>264</v>
      </c>
      <c r="P2938" t="n">
        <v>1</v>
      </c>
      <c r="Q2938" t="n">
        <v>1</v>
      </c>
      <c r="R2938" t="n">
        <v>1</v>
      </c>
      <c r="S2938" t="n">
        <v>1976</v>
      </c>
      <c r="T2938" t="s">
        <v>19351</v>
      </c>
      <c r="U2938" t="s">
        <v>19352</v>
      </c>
      <c r="V2938" t="s">
        <v>74</v>
      </c>
      <c r="W2938"/>
      <c r="X2938" t="s">
        <v>19353</v>
      </c>
      <c r="Y2938"/>
      <c r="Z2938"/>
      <c r="AA2938" t="s">
        <v>19354</v>
      </c>
      <c r="AB2938"/>
      <c r="AC2938"/>
      <c r="AD2938" t="s">
        <v>14175</v>
      </c>
      <c r="AE2938" t="n">
        <v>12</v>
      </c>
      <c r="AF2938" t="s">
        <v>19355</v>
      </c>
      <c r="AG2938" t="n">
        <v>145</v>
      </c>
    </row>
    <row r="2939">
      <c r="A2939" t="s">
        <v>19356</v>
      </c>
      <c r="B2939" t="s">
        <v>27</v>
      </c>
      <c r="C2939" t="s">
        <v>65</v>
      </c>
      <c r="D2939" t="s">
        <v>19357</v>
      </c>
      <c r="E2939" t="s">
        <v>738</v>
      </c>
      <c r="F2939" t="s">
        <v>724</v>
      </c>
      <c r="G2939" t="s">
        <v>739</v>
      </c>
      <c r="H2939" t="n">
        <v>40.1417303533825</v>
      </c>
      <c r="I2939" t="n">
        <v>-105.124798707755</v>
      </c>
      <c r="J2939" t="s">
        <v>35</v>
      </c>
      <c r="K2939" t="s">
        <v>120</v>
      </c>
      <c r="L2939"/>
      <c r="M2939" t="n">
        <v>1983</v>
      </c>
      <c r="N2939" t="n">
        <v>1983</v>
      </c>
      <c r="O2939" t="s">
        <v>264</v>
      </c>
      <c r="P2939" t="n">
        <v>1</v>
      </c>
      <c r="Q2939" t="n">
        <v>1</v>
      </c>
      <c r="R2939" t="n">
        <v>1</v>
      </c>
      <c r="S2939" t="n">
        <v>1982</v>
      </c>
      <c r="T2939" t="s">
        <v>19358</v>
      </c>
      <c r="U2939" t="s">
        <v>19359</v>
      </c>
      <c r="V2939" t="s">
        <v>74</v>
      </c>
      <c r="W2939"/>
      <c r="X2939" t="s">
        <v>19360</v>
      </c>
      <c r="Y2939" t="s">
        <v>19361</v>
      </c>
      <c r="Z2939"/>
      <c r="AA2939"/>
      <c r="AB2939"/>
      <c r="AC2939"/>
      <c r="AD2939" t="s">
        <v>19362</v>
      </c>
      <c r="AE2939" t="n">
        <v>21</v>
      </c>
      <c r="AF2939" t="s">
        <v>19363</v>
      </c>
      <c r="AG2939" t="n">
        <v>13</v>
      </c>
    </row>
    <row r="2940">
      <c r="A2940" t="s">
        <v>19364</v>
      </c>
      <c r="B2940" t="s">
        <v>27</v>
      </c>
      <c r="C2940" t="s">
        <v>65</v>
      </c>
      <c r="D2940" t="s">
        <v>19365</v>
      </c>
      <c r="E2940" t="s">
        <v>738</v>
      </c>
      <c r="F2940" t="s">
        <v>724</v>
      </c>
      <c r="G2940" t="s">
        <v>739</v>
      </c>
      <c r="H2940" t="n">
        <v>40.137908</v>
      </c>
      <c r="I2940" t="n">
        <v>-105.122901</v>
      </c>
      <c r="J2940" t="s">
        <v>35</v>
      </c>
      <c r="K2940" t="s">
        <v>141</v>
      </c>
      <c r="L2940"/>
      <c r="M2940" t="n">
        <v>1983</v>
      </c>
      <c r="N2940" t="n">
        <v>1990</v>
      </c>
      <c r="O2940" t="s">
        <v>293</v>
      </c>
      <c r="P2940" t="n">
        <v>2</v>
      </c>
      <c r="Q2940" t="n">
        <v>2</v>
      </c>
      <c r="R2940" t="n">
        <v>2</v>
      </c>
      <c r="S2940" t="n">
        <v>1911</v>
      </c>
      <c r="T2940" t="s">
        <v>19366</v>
      </c>
      <c r="U2940" t="s">
        <v>19367</v>
      </c>
      <c r="V2940" t="s">
        <v>74</v>
      </c>
      <c r="W2940"/>
      <c r="X2940" t="s">
        <v>19368</v>
      </c>
      <c r="Y2940" t="s">
        <v>19369</v>
      </c>
      <c r="Z2940"/>
      <c r="AA2940" t="s">
        <v>19370</v>
      </c>
      <c r="AB2940"/>
      <c r="AC2940"/>
      <c r="AD2940" t="s">
        <v>19371</v>
      </c>
      <c r="AE2940" t="n">
        <v>30</v>
      </c>
      <c r="AF2940" t="s">
        <v>19372</v>
      </c>
      <c r="AG2940" t="n">
        <v>127</v>
      </c>
    </row>
    <row r="2941">
      <c r="A2941" t="s">
        <v>19373</v>
      </c>
      <c r="B2941" t="s">
        <v>27</v>
      </c>
      <c r="C2941" t="s">
        <v>65</v>
      </c>
      <c r="D2941" t="s">
        <v>19374</v>
      </c>
      <c r="E2941" t="s">
        <v>723</v>
      </c>
      <c r="F2941" t="s">
        <v>724</v>
      </c>
      <c r="G2941" t="s">
        <v>817</v>
      </c>
      <c r="H2941" t="n">
        <v>40.0599994369865</v>
      </c>
      <c r="I2941" t="n">
        <v>-105.204876448254</v>
      </c>
      <c r="J2941" t="s">
        <v>35</v>
      </c>
      <c r="K2941" t="s">
        <v>120</v>
      </c>
      <c r="L2941"/>
      <c r="M2941" t="n">
        <v>1988</v>
      </c>
      <c r="N2941" t="n">
        <v>1992</v>
      </c>
      <c r="O2941" t="s">
        <v>351</v>
      </c>
      <c r="P2941" t="n">
        <v>3</v>
      </c>
      <c r="Q2941" t="n">
        <v>2</v>
      </c>
      <c r="R2941" t="n">
        <v>1</v>
      </c>
      <c r="S2941" t="n">
        <v>1985</v>
      </c>
      <c r="T2941" t="s">
        <v>19375</v>
      </c>
      <c r="U2941" t="s">
        <v>19376</v>
      </c>
      <c r="V2941" t="s">
        <v>74</v>
      </c>
      <c r="W2941"/>
      <c r="X2941" t="s">
        <v>19377</v>
      </c>
      <c r="Y2941" t="s">
        <v>19378</v>
      </c>
      <c r="Z2941"/>
      <c r="AA2941" t="s">
        <v>19379</v>
      </c>
      <c r="AB2941"/>
      <c r="AC2941"/>
      <c r="AD2941" t="s">
        <v>19325</v>
      </c>
      <c r="AE2941" t="n">
        <v>25</v>
      </c>
      <c r="AF2941" t="s">
        <v>19380</v>
      </c>
      <c r="AG2941" t="n">
        <v>25</v>
      </c>
    </row>
    <row r="2942">
      <c r="A2942" t="s">
        <v>19381</v>
      </c>
      <c r="B2942" t="s">
        <v>27</v>
      </c>
      <c r="C2942" t="s">
        <v>65</v>
      </c>
      <c r="D2942" t="s">
        <v>19382</v>
      </c>
      <c r="E2942" t="s">
        <v>723</v>
      </c>
      <c r="F2942" t="s">
        <v>724</v>
      </c>
      <c r="G2942" t="s">
        <v>817</v>
      </c>
      <c r="H2942" t="n">
        <v>40.028115</v>
      </c>
      <c r="I2942" t="n">
        <v>-105.229945</v>
      </c>
      <c r="J2942" t="s">
        <v>35</v>
      </c>
      <c r="K2942" t="s">
        <v>120</v>
      </c>
      <c r="L2942"/>
      <c r="M2942" t="n">
        <v>1988</v>
      </c>
      <c r="N2942" t="n">
        <v>1990</v>
      </c>
      <c r="O2942" t="s">
        <v>310</v>
      </c>
      <c r="P2942" t="n">
        <v>2</v>
      </c>
      <c r="Q2942" t="n">
        <v>1</v>
      </c>
      <c r="R2942" t="n">
        <v>1</v>
      </c>
      <c r="S2942" t="n">
        <v>1984</v>
      </c>
      <c r="T2942" t="s">
        <v>19383</v>
      </c>
      <c r="U2942" t="s">
        <v>19384</v>
      </c>
      <c r="V2942" t="s">
        <v>74</v>
      </c>
      <c r="W2942"/>
      <c r="X2942" t="s">
        <v>19385</v>
      </c>
      <c r="Y2942" t="s">
        <v>19386</v>
      </c>
      <c r="Z2942"/>
      <c r="AA2942"/>
      <c r="AB2942"/>
      <c r="AC2942"/>
      <c r="AD2942" t="s">
        <v>19387</v>
      </c>
      <c r="AE2942" t="n">
        <v>56</v>
      </c>
      <c r="AF2942" t="s">
        <v>19388</v>
      </c>
      <c r="AG2942" t="n">
        <v>7</v>
      </c>
    </row>
    <row r="2943">
      <c r="A2943" t="s">
        <v>19389</v>
      </c>
      <c r="B2943" t="s">
        <v>27</v>
      </c>
      <c r="C2943" t="s">
        <v>65</v>
      </c>
      <c r="D2943" t="s">
        <v>19390</v>
      </c>
      <c r="E2943" t="s">
        <v>723</v>
      </c>
      <c r="F2943" t="s">
        <v>724</v>
      </c>
      <c r="G2943" t="s">
        <v>817</v>
      </c>
      <c r="H2943" t="n">
        <v>40.0282571528415</v>
      </c>
      <c r="I2943" t="n">
        <v>-105.228622286453</v>
      </c>
      <c r="J2943" t="s">
        <v>35</v>
      </c>
      <c r="K2943" t="s">
        <v>70</v>
      </c>
      <c r="L2943"/>
      <c r="M2943" t="n">
        <v>1988</v>
      </c>
      <c r="N2943" t="n">
        <v>1990</v>
      </c>
      <c r="O2943" t="s">
        <v>310</v>
      </c>
      <c r="P2943" t="n">
        <v>2</v>
      </c>
      <c r="Q2943" t="n">
        <v>3</v>
      </c>
      <c r="R2943" t="n">
        <v>2</v>
      </c>
      <c r="S2943" t="n">
        <v>1976</v>
      </c>
      <c r="T2943" t="s">
        <v>19391</v>
      </c>
      <c r="U2943" t="s">
        <v>19392</v>
      </c>
      <c r="V2943" t="s">
        <v>74</v>
      </c>
      <c r="W2943"/>
      <c r="X2943" t="s">
        <v>19393</v>
      </c>
      <c r="Y2943" t="s">
        <v>19394</v>
      </c>
      <c r="Z2943"/>
      <c r="AA2943"/>
      <c r="AB2943"/>
      <c r="AC2943"/>
      <c r="AD2943" t="s">
        <v>19387</v>
      </c>
      <c r="AE2943" t="n">
        <v>58</v>
      </c>
      <c r="AF2943" t="s">
        <v>19395</v>
      </c>
      <c r="AG2943" t="n">
        <v>8</v>
      </c>
    </row>
    <row r="2944">
      <c r="A2944" t="s">
        <v>19396</v>
      </c>
      <c r="B2944" t="s">
        <v>27</v>
      </c>
      <c r="C2944" t="s">
        <v>65</v>
      </c>
      <c r="D2944" t="s">
        <v>19397</v>
      </c>
      <c r="E2944" t="s">
        <v>723</v>
      </c>
      <c r="F2944" t="s">
        <v>724</v>
      </c>
      <c r="G2944" t="s">
        <v>817</v>
      </c>
      <c r="H2944" t="n">
        <v>40.0603301289065</v>
      </c>
      <c r="I2944" t="n">
        <v>-105.20511180248</v>
      </c>
      <c r="J2944" t="s">
        <v>35</v>
      </c>
      <c r="K2944" t="s">
        <v>2896</v>
      </c>
      <c r="L2944"/>
      <c r="M2944" t="n">
        <v>1988</v>
      </c>
      <c r="N2944" t="n">
        <v>1992</v>
      </c>
      <c r="O2944" t="s">
        <v>320</v>
      </c>
      <c r="P2944" t="n">
        <v>3</v>
      </c>
      <c r="Q2944" t="n">
        <v>5</v>
      </c>
      <c r="R2944" t="n">
        <v>5</v>
      </c>
      <c r="S2944" t="n">
        <v>1978</v>
      </c>
      <c r="T2944" t="s">
        <v>19398</v>
      </c>
      <c r="U2944" t="s">
        <v>19399</v>
      </c>
      <c r="V2944" t="s">
        <v>74</v>
      </c>
      <c r="W2944"/>
      <c r="X2944" t="s">
        <v>19400</v>
      </c>
      <c r="Y2944" t="s">
        <v>19401</v>
      </c>
      <c r="Z2944"/>
      <c r="AA2944" t="s">
        <v>19402</v>
      </c>
      <c r="AB2944"/>
      <c r="AC2944"/>
      <c r="AD2944" t="s">
        <v>19325</v>
      </c>
      <c r="AE2944" t="n">
        <v>17</v>
      </c>
      <c r="AF2944" t="s">
        <v>19403</v>
      </c>
      <c r="AG2944" t="n">
        <v>17</v>
      </c>
    </row>
    <row r="2945">
      <c r="A2945" t="s">
        <v>19404</v>
      </c>
      <c r="B2945" t="s">
        <v>27</v>
      </c>
      <c r="C2945" t="s">
        <v>65</v>
      </c>
      <c r="D2945" t="s">
        <v>19405</v>
      </c>
      <c r="E2945" t="s">
        <v>723</v>
      </c>
      <c r="F2945" t="s">
        <v>724</v>
      </c>
      <c r="G2945" t="s">
        <v>817</v>
      </c>
      <c r="H2945" t="n">
        <v>40.015879</v>
      </c>
      <c r="I2945" t="n">
        <v>-105.210734</v>
      </c>
      <c r="J2945" t="s">
        <v>35</v>
      </c>
      <c r="K2945" t="s">
        <v>126</v>
      </c>
      <c r="L2945"/>
      <c r="M2945" t="n">
        <v>1988</v>
      </c>
      <c r="N2945" t="n">
        <v>1992</v>
      </c>
      <c r="O2945" t="s">
        <v>320</v>
      </c>
      <c r="P2945" t="n">
        <v>3</v>
      </c>
      <c r="Q2945" t="n">
        <v>2</v>
      </c>
      <c r="R2945" t="n">
        <v>2</v>
      </c>
      <c r="S2945" t="n">
        <v>1969</v>
      </c>
      <c r="T2945" t="s">
        <v>19406</v>
      </c>
      <c r="U2945" t="s">
        <v>19407</v>
      </c>
      <c r="V2945" t="s">
        <v>74</v>
      </c>
      <c r="W2945"/>
      <c r="X2945" t="s">
        <v>19408</v>
      </c>
      <c r="Y2945"/>
      <c r="Z2945"/>
      <c r="AA2945"/>
      <c r="AB2945"/>
      <c r="AC2945"/>
      <c r="AD2945" t="s">
        <v>14013</v>
      </c>
      <c r="AE2945" t="n">
        <v>69</v>
      </c>
      <c r="AF2945" t="s">
        <v>19409</v>
      </c>
      <c r="AG2945" t="n">
        <v>123</v>
      </c>
    </row>
    <row r="2946">
      <c r="A2946" t="s">
        <v>19410</v>
      </c>
      <c r="B2946" t="s">
        <v>27</v>
      </c>
      <c r="C2946" t="s">
        <v>65</v>
      </c>
      <c r="D2946" t="s">
        <v>19411</v>
      </c>
      <c r="E2946" t="s">
        <v>723</v>
      </c>
      <c r="F2946" t="s">
        <v>724</v>
      </c>
      <c r="G2946" t="s">
        <v>817</v>
      </c>
      <c r="H2946" t="n">
        <v>40.0272995513295</v>
      </c>
      <c r="I2946" t="n">
        <v>-105.239835680896</v>
      </c>
      <c r="J2946" t="s">
        <v>35</v>
      </c>
      <c r="K2946" t="s">
        <v>1032</v>
      </c>
      <c r="L2946" t="s">
        <v>98</v>
      </c>
      <c r="M2946" t="n">
        <v>1988</v>
      </c>
      <c r="N2946" t="n">
        <v>1992</v>
      </c>
      <c r="O2946" t="s">
        <v>357</v>
      </c>
      <c r="P2946" t="n">
        <v>3</v>
      </c>
      <c r="Q2946" t="n">
        <v>4</v>
      </c>
      <c r="R2946" t="n">
        <v>2</v>
      </c>
      <c r="S2946" t="n">
        <v>1957</v>
      </c>
      <c r="T2946" t="s">
        <v>19412</v>
      </c>
      <c r="U2946" t="s">
        <v>19413</v>
      </c>
      <c r="V2946" t="s">
        <v>74</v>
      </c>
      <c r="W2946"/>
      <c r="X2946" t="s">
        <v>19414</v>
      </c>
      <c r="Y2946"/>
      <c r="Z2946"/>
      <c r="AA2946" t="s">
        <v>19415</v>
      </c>
      <c r="AB2946"/>
      <c r="AC2946"/>
      <c r="AD2946" t="s">
        <v>915</v>
      </c>
      <c r="AE2946" t="n">
        <v>16</v>
      </c>
      <c r="AF2946" t="s">
        <v>19416</v>
      </c>
      <c r="AG2946" t="n">
        <v>104</v>
      </c>
    </row>
    <row r="2947">
      <c r="A2947" t="s">
        <v>19417</v>
      </c>
      <c r="B2947" t="s">
        <v>27</v>
      </c>
      <c r="C2947" t="s">
        <v>65</v>
      </c>
      <c r="D2947" t="s">
        <v>19418</v>
      </c>
      <c r="E2947" t="s">
        <v>738</v>
      </c>
      <c r="F2947" t="s">
        <v>724</v>
      </c>
      <c r="G2947" t="s">
        <v>739</v>
      </c>
      <c r="H2947" t="n">
        <v>40.1622619795918</v>
      </c>
      <c r="I2947" t="n">
        <v>-105.110224612245</v>
      </c>
      <c r="J2947" t="s">
        <v>35</v>
      </c>
      <c r="K2947" t="s">
        <v>70</v>
      </c>
      <c r="L2947"/>
      <c r="M2947" t="n">
        <v>1988</v>
      </c>
      <c r="N2947" t="n">
        <v>1988</v>
      </c>
      <c r="O2947" t="s">
        <v>325</v>
      </c>
      <c r="P2947" t="n">
        <v>1</v>
      </c>
      <c r="Q2947" t="n">
        <v>1</v>
      </c>
      <c r="R2947" t="n">
        <v>1</v>
      </c>
      <c r="S2947" t="n">
        <v>1972</v>
      </c>
      <c r="T2947" t="s">
        <v>19419</v>
      </c>
      <c r="U2947" t="s">
        <v>19420</v>
      </c>
      <c r="V2947" t="s">
        <v>74</v>
      </c>
      <c r="W2947"/>
      <c r="X2947" t="s">
        <v>19421</v>
      </c>
      <c r="Y2947" t="s">
        <v>19422</v>
      </c>
      <c r="Z2947"/>
      <c r="AA2947"/>
      <c r="AB2947"/>
      <c r="AC2947"/>
      <c r="AD2947" t="s">
        <v>19423</v>
      </c>
      <c r="AE2947" t="n">
        <v>78</v>
      </c>
      <c r="AF2947" t="s">
        <v>19424</v>
      </c>
      <c r="AG2947" t="n">
        <v>1</v>
      </c>
    </row>
    <row r="2948">
      <c r="A2948" t="s">
        <v>19425</v>
      </c>
      <c r="B2948" t="s">
        <v>27</v>
      </c>
      <c r="C2948" t="s">
        <v>24</v>
      </c>
      <c r="D2948" t="s">
        <v>19426</v>
      </c>
      <c r="E2948" t="s">
        <v>738</v>
      </c>
      <c r="F2948" t="s">
        <v>724</v>
      </c>
      <c r="G2948" t="s">
        <v>739</v>
      </c>
      <c r="H2948" t="n">
        <v>40.145806</v>
      </c>
      <c r="I2948" t="n">
        <v>-105.121823</v>
      </c>
      <c r="J2948" t="s">
        <v>4109</v>
      </c>
      <c r="K2948" t="s">
        <v>120</v>
      </c>
      <c r="L2948"/>
      <c r="M2948" t="n">
        <v>1988</v>
      </c>
      <c r="N2948" t="n">
        <v>1990</v>
      </c>
      <c r="O2948" t="s">
        <v>310</v>
      </c>
      <c r="P2948" t="n">
        <v>2</v>
      </c>
      <c r="Q2948" t="n">
        <v>1</v>
      </c>
      <c r="R2948" t="n">
        <v>1</v>
      </c>
      <c r="S2948" t="n">
        <v>1976</v>
      </c>
      <c r="T2948" t="s">
        <v>19427</v>
      </c>
      <c r="U2948" t="s">
        <v>19428</v>
      </c>
      <c r="V2948" t="s">
        <v>74</v>
      </c>
      <c r="W2948"/>
      <c r="X2948" t="s">
        <v>19429</v>
      </c>
      <c r="Y2948"/>
      <c r="Z2948"/>
      <c r="AA2948"/>
      <c r="AB2948"/>
      <c r="AC2948"/>
      <c r="AD2948" t="s">
        <v>1006</v>
      </c>
      <c r="AE2948" t="n">
        <v>28</v>
      </c>
      <c r="AF2948" t="s">
        <v>19430</v>
      </c>
      <c r="AG2948" t="n">
        <v>100</v>
      </c>
    </row>
    <row r="2949">
      <c r="A2949" t="s">
        <v>19431</v>
      </c>
      <c r="B2949" t="s">
        <v>27</v>
      </c>
      <c r="C2949" t="s">
        <v>65</v>
      </c>
      <c r="D2949" t="s">
        <v>19432</v>
      </c>
      <c r="E2949" t="s">
        <v>738</v>
      </c>
      <c r="F2949" t="s">
        <v>724</v>
      </c>
      <c r="G2949" t="s">
        <v>739</v>
      </c>
      <c r="H2949" t="n">
        <v>40.139068480284</v>
      </c>
      <c r="I2949" t="n">
        <v>-105.128835940489</v>
      </c>
      <c r="J2949" t="s">
        <v>35</v>
      </c>
      <c r="K2949" t="s">
        <v>120</v>
      </c>
      <c r="L2949"/>
      <c r="M2949" t="n">
        <v>1988</v>
      </c>
      <c r="N2949" t="n">
        <v>1990</v>
      </c>
      <c r="O2949" t="s">
        <v>310</v>
      </c>
      <c r="P2949" t="n">
        <v>2</v>
      </c>
      <c r="Q2949" t="n">
        <v>2</v>
      </c>
      <c r="R2949" t="n">
        <v>2</v>
      </c>
      <c r="S2949" t="n">
        <v>1983</v>
      </c>
      <c r="T2949" t="s">
        <v>19433</v>
      </c>
      <c r="U2949" t="s">
        <v>19434</v>
      </c>
      <c r="V2949" t="s">
        <v>74</v>
      </c>
      <c r="W2949"/>
      <c r="X2949" t="s">
        <v>19435</v>
      </c>
      <c r="Y2949" t="s">
        <v>19436</v>
      </c>
      <c r="Z2949"/>
      <c r="AA2949" t="s">
        <v>19437</v>
      </c>
      <c r="AB2949"/>
      <c r="AC2949"/>
      <c r="AD2949" t="s">
        <v>19438</v>
      </c>
      <c r="AE2949" t="n">
        <v>12</v>
      </c>
      <c r="AF2949" t="s">
        <v>19439</v>
      </c>
      <c r="AG2949" t="n">
        <v>31</v>
      </c>
    </row>
    <row r="2950">
      <c r="A2950" t="s">
        <v>19440</v>
      </c>
      <c r="B2950" t="s">
        <v>27</v>
      </c>
      <c r="C2950" t="s">
        <v>24</v>
      </c>
      <c r="D2950" t="s">
        <v>19441</v>
      </c>
      <c r="E2950" t="s">
        <v>738</v>
      </c>
      <c r="F2950" t="s">
        <v>724</v>
      </c>
      <c r="G2950" t="s">
        <v>739</v>
      </c>
      <c r="H2950" t="n">
        <v>40.086942</v>
      </c>
      <c r="I2950" t="n">
        <v>-105.180837</v>
      </c>
      <c r="J2950" t="s">
        <v>4109</v>
      </c>
      <c r="K2950" t="s">
        <v>796</v>
      </c>
      <c r="L2950"/>
      <c r="M2950" t="n">
        <v>1988</v>
      </c>
      <c r="N2950" t="n">
        <v>1990</v>
      </c>
      <c r="O2950" t="s">
        <v>310</v>
      </c>
      <c r="P2950" t="n">
        <v>2</v>
      </c>
      <c r="Q2950" t="n">
        <v>2</v>
      </c>
      <c r="R2950" t="n">
        <v>2</v>
      </c>
      <c r="S2950" t="n">
        <v>1967</v>
      </c>
      <c r="T2950" t="s">
        <v>19442</v>
      </c>
      <c r="U2950" t="s">
        <v>19443</v>
      </c>
      <c r="V2950" t="s">
        <v>74</v>
      </c>
      <c r="W2950"/>
      <c r="X2950" t="s">
        <v>19444</v>
      </c>
      <c r="Y2950" t="s">
        <v>19445</v>
      </c>
      <c r="Z2950"/>
      <c r="AA2950" t="s">
        <v>19446</v>
      </c>
      <c r="AB2950"/>
      <c r="AC2950"/>
      <c r="AD2950" t="s">
        <v>19447</v>
      </c>
      <c r="AE2950" t="n">
        <v>226</v>
      </c>
      <c r="AF2950" t="s">
        <v>19448</v>
      </c>
      <c r="AG2950" t="n">
        <v>174</v>
      </c>
    </row>
    <row r="2951">
      <c r="A2951" t="s">
        <v>19449</v>
      </c>
      <c r="B2951" t="s">
        <v>27</v>
      </c>
      <c r="C2951" t="s">
        <v>65</v>
      </c>
      <c r="D2951" t="s">
        <v>19450</v>
      </c>
      <c r="E2951" t="s">
        <v>738</v>
      </c>
      <c r="F2951" t="s">
        <v>724</v>
      </c>
      <c r="G2951" t="s">
        <v>739</v>
      </c>
      <c r="H2951" t="n">
        <v>40.1623834293445</v>
      </c>
      <c r="I2951" t="n">
        <v>-105.081960783757</v>
      </c>
      <c r="J2951" t="s">
        <v>35</v>
      </c>
      <c r="K2951" t="s">
        <v>89</v>
      </c>
      <c r="L2951"/>
      <c r="M2951" t="n">
        <v>1988</v>
      </c>
      <c r="N2951" t="n">
        <v>1992</v>
      </c>
      <c r="O2951" t="s">
        <v>320</v>
      </c>
      <c r="P2951" t="n">
        <v>3</v>
      </c>
      <c r="Q2951" t="n">
        <v>2</v>
      </c>
      <c r="R2951" t="n">
        <v>2</v>
      </c>
      <c r="S2951" t="n">
        <v>1976</v>
      </c>
      <c r="T2951" t="s">
        <v>19451</v>
      </c>
      <c r="U2951" t="s">
        <v>19452</v>
      </c>
      <c r="V2951" t="s">
        <v>74</v>
      </c>
      <c r="W2951"/>
      <c r="X2951" t="s">
        <v>19453</v>
      </c>
      <c r="Y2951" t="s">
        <v>19454</v>
      </c>
      <c r="Z2951"/>
      <c r="AA2951" t="s">
        <v>19455</v>
      </c>
      <c r="AB2951"/>
      <c r="AC2951"/>
      <c r="AD2951" t="s">
        <v>19295</v>
      </c>
      <c r="AE2951" t="n">
        <v>40</v>
      </c>
      <c r="AF2951" t="s">
        <v>19296</v>
      </c>
      <c r="AG2951" t="n">
        <v>64</v>
      </c>
    </row>
    <row r="2952">
      <c r="A2952" t="s">
        <v>19456</v>
      </c>
      <c r="B2952" t="s">
        <v>27</v>
      </c>
      <c r="C2952" t="s">
        <v>65</v>
      </c>
      <c r="D2952" t="s">
        <v>19457</v>
      </c>
      <c r="E2952" t="s">
        <v>738</v>
      </c>
      <c r="F2952" t="s">
        <v>724</v>
      </c>
      <c r="G2952" t="s">
        <v>739</v>
      </c>
      <c r="H2952" t="n">
        <v>40.137915648526</v>
      </c>
      <c r="I2952" t="n">
        <v>-105.123545388312</v>
      </c>
      <c r="J2952" t="s">
        <v>35</v>
      </c>
      <c r="K2952" t="s">
        <v>133</v>
      </c>
      <c r="L2952"/>
      <c r="M2952" t="n">
        <v>1988</v>
      </c>
      <c r="N2952" t="n">
        <v>1988</v>
      </c>
      <c r="O2952" t="s">
        <v>325</v>
      </c>
      <c r="P2952" t="n">
        <v>1</v>
      </c>
      <c r="Q2952" t="n">
        <v>1</v>
      </c>
      <c r="R2952" t="n">
        <v>1</v>
      </c>
      <c r="S2952" t="n">
        <v>1985</v>
      </c>
      <c r="T2952" t="s">
        <v>19458</v>
      </c>
      <c r="U2952" t="s">
        <v>19459</v>
      </c>
      <c r="V2952" t="s">
        <v>74</v>
      </c>
      <c r="W2952"/>
      <c r="X2952" t="s">
        <v>19460</v>
      </c>
      <c r="Y2952"/>
      <c r="Z2952"/>
      <c r="AA2952"/>
      <c r="AB2952"/>
      <c r="AC2952"/>
      <c r="AD2952" t="s">
        <v>19371</v>
      </c>
      <c r="AE2952" t="n">
        <v>85</v>
      </c>
      <c r="AF2952" t="s">
        <v>19372</v>
      </c>
      <c r="AG2952" t="n">
        <v>72</v>
      </c>
    </row>
    <row r="2953">
      <c r="A2953" t="s">
        <v>19461</v>
      </c>
      <c r="B2953" t="s">
        <v>27</v>
      </c>
      <c r="C2953" t="s">
        <v>65</v>
      </c>
      <c r="D2953" t="s">
        <v>19462</v>
      </c>
      <c r="E2953" t="s">
        <v>723</v>
      </c>
      <c r="F2953" t="s">
        <v>724</v>
      </c>
      <c r="G2953" t="s">
        <v>4171</v>
      </c>
      <c r="H2953" t="n">
        <v>40.017463</v>
      </c>
      <c r="I2953" t="n">
        <v>-105.231973</v>
      </c>
      <c r="J2953" t="s">
        <v>35</v>
      </c>
      <c r="K2953" t="s">
        <v>126</v>
      </c>
      <c r="L2953" t="s">
        <v>1310</v>
      </c>
      <c r="M2953" t="n">
        <v>1990</v>
      </c>
      <c r="N2953" t="n">
        <v>1990</v>
      </c>
      <c r="O2953" t="s">
        <v>351</v>
      </c>
      <c r="P2953" t="n">
        <v>1</v>
      </c>
      <c r="Q2953" t="n">
        <v>1</v>
      </c>
      <c r="R2953" t="n">
        <v>1</v>
      </c>
      <c r="S2953" t="n">
        <v>1956</v>
      </c>
      <c r="T2953" t="s">
        <v>19463</v>
      </c>
      <c r="U2953" t="s">
        <v>19464</v>
      </c>
      <c r="V2953" t="s">
        <v>74</v>
      </c>
      <c r="W2953"/>
      <c r="X2953" t="s">
        <v>19465</v>
      </c>
      <c r="Y2953" t="s">
        <v>19466</v>
      </c>
      <c r="Z2953"/>
      <c r="AA2953" t="s">
        <v>19467</v>
      </c>
      <c r="AB2953"/>
      <c r="AC2953"/>
      <c r="AD2953"/>
      <c r="AE2953"/>
      <c r="AF2953" t="s">
        <v>19468</v>
      </c>
      <c r="AG2953" t="n">
        <v>74</v>
      </c>
    </row>
    <row r="2954">
      <c r="A2954" t="s">
        <v>19469</v>
      </c>
      <c r="B2954" t="s">
        <v>27</v>
      </c>
      <c r="C2954" t="s">
        <v>65</v>
      </c>
      <c r="D2954" t="s">
        <v>19470</v>
      </c>
      <c r="E2954" t="s">
        <v>883</v>
      </c>
      <c r="F2954" t="s">
        <v>724</v>
      </c>
      <c r="G2954" t="s">
        <v>884</v>
      </c>
      <c r="H2954" t="n">
        <v>40.0022441750134</v>
      </c>
      <c r="I2954" t="n">
        <v>-105.105990098947</v>
      </c>
      <c r="J2954" t="s">
        <v>35</v>
      </c>
      <c r="K2954" t="s">
        <v>120</v>
      </c>
      <c r="L2954"/>
      <c r="M2954" t="n">
        <v>1990</v>
      </c>
      <c r="N2954" t="n">
        <v>1990</v>
      </c>
      <c r="O2954" t="s">
        <v>351</v>
      </c>
      <c r="P2954" t="n">
        <v>1</v>
      </c>
      <c r="Q2954" t="n">
        <v>1</v>
      </c>
      <c r="R2954" t="n">
        <v>1</v>
      </c>
      <c r="S2954" t="n">
        <v>1976</v>
      </c>
      <c r="T2954" t="s">
        <v>19471</v>
      </c>
      <c r="U2954" t="s">
        <v>19472</v>
      </c>
      <c r="V2954" t="s">
        <v>74</v>
      </c>
      <c r="W2954"/>
      <c r="X2954" t="s">
        <v>19473</v>
      </c>
      <c r="Y2954"/>
      <c r="Z2954"/>
      <c r="AA2954"/>
      <c r="AB2954"/>
      <c r="AC2954"/>
      <c r="AD2954" t="s">
        <v>1128</v>
      </c>
      <c r="AE2954" t="n">
        <v>16</v>
      </c>
      <c r="AF2954" t="s">
        <v>19474</v>
      </c>
      <c r="AG2954" t="n">
        <v>146</v>
      </c>
    </row>
    <row r="2955">
      <c r="A2955" t="s">
        <v>19475</v>
      </c>
      <c r="B2955" t="s">
        <v>27</v>
      </c>
      <c r="C2955" t="s">
        <v>65</v>
      </c>
      <c r="D2955" t="s">
        <v>19476</v>
      </c>
      <c r="E2955" t="s">
        <v>738</v>
      </c>
      <c r="F2955" t="s">
        <v>724</v>
      </c>
      <c r="G2955" t="s">
        <v>739</v>
      </c>
      <c r="H2955" t="n">
        <v>40.1617394897959</v>
      </c>
      <c r="I2955" t="n">
        <v>-105.110225306122</v>
      </c>
      <c r="J2955" t="s">
        <v>35</v>
      </c>
      <c r="K2955" t="s">
        <v>70</v>
      </c>
      <c r="L2955"/>
      <c r="M2955" t="n">
        <v>1990</v>
      </c>
      <c r="N2955" t="n">
        <v>1992</v>
      </c>
      <c r="O2955" t="s">
        <v>351</v>
      </c>
      <c r="P2955" t="n">
        <v>2</v>
      </c>
      <c r="Q2955" t="n">
        <v>2</v>
      </c>
      <c r="R2955" t="n">
        <v>1</v>
      </c>
      <c r="S2955" t="n">
        <v>1972</v>
      </c>
      <c r="T2955" t="s">
        <v>19477</v>
      </c>
      <c r="U2955" t="s">
        <v>19478</v>
      </c>
      <c r="V2955" t="s">
        <v>74</v>
      </c>
      <c r="W2955"/>
      <c r="X2955" t="s">
        <v>19479</v>
      </c>
      <c r="Y2955" t="s">
        <v>19480</v>
      </c>
      <c r="Z2955"/>
      <c r="AA2955" t="s">
        <v>19481</v>
      </c>
      <c r="AB2955"/>
      <c r="AC2955"/>
      <c r="AD2955" t="s">
        <v>19423</v>
      </c>
      <c r="AE2955" t="n">
        <v>20</v>
      </c>
      <c r="AF2955" t="s">
        <v>19424</v>
      </c>
      <c r="AG2955" t="n">
        <v>58</v>
      </c>
    </row>
    <row r="2956">
      <c r="A2956" t="s">
        <v>19482</v>
      </c>
      <c r="B2956" t="s">
        <v>27</v>
      </c>
      <c r="C2956" t="s">
        <v>65</v>
      </c>
      <c r="D2956" t="s">
        <v>19483</v>
      </c>
      <c r="E2956" t="s">
        <v>738</v>
      </c>
      <c r="F2956" t="s">
        <v>724</v>
      </c>
      <c r="G2956" t="s">
        <v>739</v>
      </c>
      <c r="H2956" t="n">
        <v>40.1386803560045</v>
      </c>
      <c r="I2956" t="n">
        <v>-105.129229550624</v>
      </c>
      <c r="J2956" t="s">
        <v>35</v>
      </c>
      <c r="K2956" t="s">
        <v>133</v>
      </c>
      <c r="L2956"/>
      <c r="M2956" t="n">
        <v>1990</v>
      </c>
      <c r="N2956" t="n">
        <v>1990</v>
      </c>
      <c r="O2956" t="s">
        <v>351</v>
      </c>
      <c r="P2956" t="n">
        <v>1</v>
      </c>
      <c r="Q2956" t="n">
        <v>1</v>
      </c>
      <c r="R2956" t="n">
        <v>1</v>
      </c>
      <c r="S2956" t="n">
        <v>1987</v>
      </c>
      <c r="T2956" t="s">
        <v>19484</v>
      </c>
      <c r="U2956" t="s">
        <v>19485</v>
      </c>
      <c r="V2956" t="s">
        <v>74</v>
      </c>
      <c r="W2956"/>
      <c r="X2956" t="s">
        <v>19486</v>
      </c>
      <c r="Y2956"/>
      <c r="Z2956"/>
      <c r="AA2956"/>
      <c r="AB2956"/>
      <c r="AC2956"/>
      <c r="AD2956" t="s">
        <v>19438</v>
      </c>
      <c r="AE2956" t="n">
        <v>42</v>
      </c>
      <c r="AF2956" t="s">
        <v>19439</v>
      </c>
      <c r="AG2956" t="n">
        <v>85</v>
      </c>
    </row>
    <row r="2957">
      <c r="A2957" t="s">
        <v>19487</v>
      </c>
      <c r="B2957" t="s">
        <v>27</v>
      </c>
      <c r="C2957" t="s">
        <v>65</v>
      </c>
      <c r="D2957" t="s">
        <v>19488</v>
      </c>
      <c r="E2957" t="s">
        <v>1010</v>
      </c>
      <c r="F2957" t="s">
        <v>724</v>
      </c>
      <c r="G2957" t="s">
        <v>1011</v>
      </c>
      <c r="H2957" t="n">
        <v>39.9585837286269</v>
      </c>
      <c r="I2957" t="n">
        <v>-105.121561809715</v>
      </c>
      <c r="J2957" t="s">
        <v>35</v>
      </c>
      <c r="K2957" t="s">
        <v>201</v>
      </c>
      <c r="L2957"/>
      <c r="M2957" t="n">
        <v>1990</v>
      </c>
      <c r="N2957" t="n">
        <v>1992</v>
      </c>
      <c r="O2957" t="s">
        <v>357</v>
      </c>
      <c r="P2957" t="n">
        <v>2</v>
      </c>
      <c r="Q2957" t="n">
        <v>1</v>
      </c>
      <c r="R2957" t="n">
        <v>1</v>
      </c>
      <c r="S2957" t="n">
        <v>1963</v>
      </c>
      <c r="T2957" t="s">
        <v>19489</v>
      </c>
      <c r="U2957" t="s">
        <v>19490</v>
      </c>
      <c r="V2957" t="s">
        <v>74</v>
      </c>
      <c r="W2957"/>
      <c r="X2957" t="s">
        <v>19491</v>
      </c>
      <c r="Y2957" t="s">
        <v>19492</v>
      </c>
      <c r="Z2957"/>
      <c r="AA2957"/>
      <c r="AB2957"/>
      <c r="AC2957"/>
      <c r="AD2957" t="s">
        <v>1140</v>
      </c>
      <c r="AE2957" t="n">
        <v>57</v>
      </c>
      <c r="AF2957" t="s">
        <v>19493</v>
      </c>
      <c r="AG2957" t="n">
        <v>30</v>
      </c>
    </row>
    <row r="2958">
      <c r="A2958" t="s">
        <v>19494</v>
      </c>
      <c r="B2958" t="s">
        <v>27</v>
      </c>
      <c r="C2958" t="s">
        <v>65</v>
      </c>
      <c r="D2958" t="s">
        <v>19495</v>
      </c>
      <c r="E2958" t="s">
        <v>723</v>
      </c>
      <c r="F2958" t="s">
        <v>724</v>
      </c>
      <c r="G2958" t="s">
        <v>817</v>
      </c>
      <c r="H2958" t="n">
        <v>40.0190912591263</v>
      </c>
      <c r="I2958" t="n">
        <v>-105.240454897262</v>
      </c>
      <c r="J2958" t="s">
        <v>35</v>
      </c>
      <c r="K2958" t="s">
        <v>120</v>
      </c>
      <c r="L2958"/>
      <c r="M2958" t="n">
        <v>1992</v>
      </c>
      <c r="N2958" t="n">
        <v>1992</v>
      </c>
      <c r="O2958" t="s">
        <v>1016</v>
      </c>
      <c r="P2958" t="n">
        <v>1</v>
      </c>
      <c r="Q2958" t="n">
        <v>1</v>
      </c>
      <c r="R2958" t="n">
        <v>1</v>
      </c>
      <c r="S2958" t="n">
        <v>1986</v>
      </c>
      <c r="T2958" t="s">
        <v>19496</v>
      </c>
      <c r="U2958" t="s">
        <v>19497</v>
      </c>
      <c r="V2958" t="s">
        <v>74</v>
      </c>
      <c r="W2958"/>
      <c r="X2958" t="s">
        <v>19498</v>
      </c>
      <c r="Y2958" t="s">
        <v>19499</v>
      </c>
      <c r="Z2958"/>
      <c r="AA2958"/>
      <c r="AB2958"/>
      <c r="AC2958"/>
      <c r="AD2958" t="s">
        <v>19316</v>
      </c>
      <c r="AE2958" t="n">
        <v>75</v>
      </c>
      <c r="AF2958" t="s">
        <v>19333</v>
      </c>
      <c r="AG2958" t="n">
        <v>23</v>
      </c>
    </row>
    <row r="2959">
      <c r="A2959" t="s">
        <v>19500</v>
      </c>
      <c r="B2959" t="s">
        <v>27</v>
      </c>
      <c r="C2959" t="s">
        <v>65</v>
      </c>
      <c r="D2959" t="s">
        <v>19501</v>
      </c>
      <c r="E2959" t="s">
        <v>1164</v>
      </c>
      <c r="F2959" t="s">
        <v>1165</v>
      </c>
      <c r="G2959" t="s">
        <v>1166</v>
      </c>
      <c r="H2959" t="n">
        <v>39.9253907418768</v>
      </c>
      <c r="I2959" t="n">
        <v>-105.091939273891</v>
      </c>
      <c r="J2959" t="s">
        <v>35</v>
      </c>
      <c r="K2959" t="s">
        <v>120</v>
      </c>
      <c r="L2959"/>
      <c r="M2959" t="n">
        <v>1973</v>
      </c>
      <c r="N2959" t="n">
        <v>1974</v>
      </c>
      <c r="O2959" t="s">
        <v>127</v>
      </c>
      <c r="P2959" t="n">
        <v>2</v>
      </c>
      <c r="Q2959" t="n">
        <v>2</v>
      </c>
      <c r="R2959" t="n">
        <v>2</v>
      </c>
      <c r="S2959" t="n">
        <v>1966</v>
      </c>
      <c r="T2959" t="s">
        <v>19502</v>
      </c>
      <c r="U2959" t="s">
        <v>19503</v>
      </c>
      <c r="V2959" t="s">
        <v>74</v>
      </c>
      <c r="W2959"/>
      <c r="X2959" t="s">
        <v>19504</v>
      </c>
      <c r="Y2959" t="s">
        <v>19505</v>
      </c>
      <c r="Z2959"/>
      <c r="AA2959"/>
      <c r="AB2959"/>
      <c r="AC2959"/>
      <c r="AD2959" t="s">
        <v>14311</v>
      </c>
      <c r="AE2959" t="n">
        <v>91</v>
      </c>
      <c r="AF2959" t="s">
        <v>14312</v>
      </c>
      <c r="AG2959" t="n">
        <v>8</v>
      </c>
    </row>
    <row r="2960">
      <c r="A2960" t="s">
        <v>19506</v>
      </c>
      <c r="B2960" t="s">
        <v>27</v>
      </c>
      <c r="C2960" t="s">
        <v>65</v>
      </c>
      <c r="D2960" t="s">
        <v>19507</v>
      </c>
      <c r="E2960" t="s">
        <v>1164</v>
      </c>
      <c r="F2960" t="s">
        <v>1165</v>
      </c>
      <c r="G2960" t="s">
        <v>1166</v>
      </c>
      <c r="H2960" t="n">
        <v>39.9240828829094</v>
      </c>
      <c r="I2960" t="n">
        <v>-105.100819601035</v>
      </c>
      <c r="J2960" t="s">
        <v>35</v>
      </c>
      <c r="K2960" t="s">
        <v>270</v>
      </c>
      <c r="L2960"/>
      <c r="M2960" t="n">
        <v>1977</v>
      </c>
      <c r="N2960" t="n">
        <v>1990</v>
      </c>
      <c r="O2960" t="s">
        <v>5375</v>
      </c>
      <c r="P2960" t="n">
        <v>3</v>
      </c>
      <c r="Q2960" t="n">
        <v>3</v>
      </c>
      <c r="R2960" t="n">
        <v>3</v>
      </c>
      <c r="S2960" t="n">
        <v>1946</v>
      </c>
      <c r="T2960" t="s">
        <v>19508</v>
      </c>
      <c r="U2960" t="s">
        <v>19509</v>
      </c>
      <c r="V2960" t="s">
        <v>74</v>
      </c>
      <c r="W2960"/>
      <c r="X2960" t="s">
        <v>19510</v>
      </c>
      <c r="Y2960" t="s">
        <v>19511</v>
      </c>
      <c r="Z2960"/>
      <c r="AA2960" t="s">
        <v>19512</v>
      </c>
      <c r="AB2960"/>
      <c r="AC2960"/>
      <c r="AD2960" t="s">
        <v>19513</v>
      </c>
      <c r="AE2960" t="n">
        <v>13</v>
      </c>
      <c r="AF2960" t="s">
        <v>18876</v>
      </c>
      <c r="AG2960" t="n">
        <v>17</v>
      </c>
    </row>
    <row r="2961">
      <c r="A2961" t="s">
        <v>19514</v>
      </c>
      <c r="B2961" t="s">
        <v>27</v>
      </c>
      <c r="C2961" t="s">
        <v>65</v>
      </c>
      <c r="D2961" t="s">
        <v>19515</v>
      </c>
      <c r="E2961" t="s">
        <v>1164</v>
      </c>
      <c r="F2961" t="s">
        <v>1165</v>
      </c>
      <c r="G2961" t="s">
        <v>1166</v>
      </c>
      <c r="H2961" t="n">
        <v>39.9276275692516</v>
      </c>
      <c r="I2961" t="n">
        <v>-105.09879863291</v>
      </c>
      <c r="J2961" t="s">
        <v>35</v>
      </c>
      <c r="K2961" t="s">
        <v>1639</v>
      </c>
      <c r="L2961"/>
      <c r="M2961" t="n">
        <v>1980</v>
      </c>
      <c r="N2961" t="n">
        <v>1990</v>
      </c>
      <c r="O2961" t="s">
        <v>555</v>
      </c>
      <c r="P2961" t="n">
        <v>4</v>
      </c>
      <c r="Q2961" t="n">
        <v>8</v>
      </c>
      <c r="R2961" t="n">
        <v>2</v>
      </c>
      <c r="S2961" t="n">
        <v>1942</v>
      </c>
      <c r="T2961" t="s">
        <v>19516</v>
      </c>
      <c r="U2961" t="s">
        <v>19517</v>
      </c>
      <c r="V2961" t="s">
        <v>74</v>
      </c>
      <c r="W2961"/>
      <c r="X2961" t="s">
        <v>19518</v>
      </c>
      <c r="Y2961" t="s">
        <v>14285</v>
      </c>
      <c r="Z2961"/>
      <c r="AA2961"/>
      <c r="AB2961" t="s">
        <v>19519</v>
      </c>
      <c r="AC2961" t="n">
        <v>237</v>
      </c>
      <c r="AD2961" t="s">
        <v>14345</v>
      </c>
      <c r="AE2961" t="n">
        <v>8</v>
      </c>
      <c r="AF2961" t="s">
        <v>19520</v>
      </c>
      <c r="AG2961" t="n">
        <v>65</v>
      </c>
    </row>
    <row r="2962">
      <c r="A2962" t="s">
        <v>19521</v>
      </c>
      <c r="B2962" t="s">
        <v>27</v>
      </c>
      <c r="C2962" t="s">
        <v>65</v>
      </c>
      <c r="D2962" t="s">
        <v>19522</v>
      </c>
      <c r="E2962" t="s">
        <v>1164</v>
      </c>
      <c r="F2962" t="s">
        <v>1165</v>
      </c>
      <c r="G2962" t="s">
        <v>1166</v>
      </c>
      <c r="H2962" t="n">
        <v>39.92393</v>
      </c>
      <c r="I2962" t="n">
        <v>-105.091937</v>
      </c>
      <c r="J2962" t="s">
        <v>35</v>
      </c>
      <c r="K2962" t="s">
        <v>70</v>
      </c>
      <c r="L2962"/>
      <c r="M2962" t="n">
        <v>1980</v>
      </c>
      <c r="N2962" t="n">
        <v>1983</v>
      </c>
      <c r="O2962" t="s">
        <v>528</v>
      </c>
      <c r="P2962" t="n">
        <v>2</v>
      </c>
      <c r="Q2962" t="n">
        <v>1</v>
      </c>
      <c r="R2962" t="n">
        <v>1</v>
      </c>
      <c r="S2962" t="n">
        <v>1957</v>
      </c>
      <c r="T2962" t="s">
        <v>19523</v>
      </c>
      <c r="U2962" t="s">
        <v>19524</v>
      </c>
      <c r="V2962" t="s">
        <v>74</v>
      </c>
      <c r="W2962"/>
      <c r="X2962" t="s">
        <v>19525</v>
      </c>
      <c r="Y2962" t="s">
        <v>19526</v>
      </c>
      <c r="Z2962"/>
      <c r="AA2962" t="s">
        <v>19527</v>
      </c>
      <c r="AB2962" t="s">
        <v>6473</v>
      </c>
      <c r="AC2962" t="n">
        <v>194</v>
      </c>
      <c r="AD2962" t="s">
        <v>14311</v>
      </c>
      <c r="AE2962" t="n">
        <v>71</v>
      </c>
      <c r="AF2962" t="s">
        <v>19528</v>
      </c>
      <c r="AG2962" t="n">
        <v>1</v>
      </c>
    </row>
    <row r="2963">
      <c r="A2963" t="s">
        <v>19529</v>
      </c>
      <c r="B2963" t="s">
        <v>27</v>
      </c>
      <c r="C2963" t="s">
        <v>65</v>
      </c>
      <c r="D2963" t="s">
        <v>19530</v>
      </c>
      <c r="E2963" t="s">
        <v>1164</v>
      </c>
      <c r="F2963" t="s">
        <v>1165</v>
      </c>
      <c r="G2963" t="s">
        <v>1166</v>
      </c>
      <c r="H2963" t="n">
        <v>39.928946</v>
      </c>
      <c r="I2963" t="n">
        <v>-105.103898</v>
      </c>
      <c r="J2963" t="s">
        <v>35</v>
      </c>
      <c r="K2963" t="s">
        <v>70</v>
      </c>
      <c r="L2963" t="s">
        <v>1002</v>
      </c>
      <c r="M2963" t="n">
        <v>1983</v>
      </c>
      <c r="N2963" t="n">
        <v>1990</v>
      </c>
      <c r="O2963" t="s">
        <v>271</v>
      </c>
      <c r="P2963" t="n">
        <v>3</v>
      </c>
      <c r="Q2963" t="n">
        <v>3</v>
      </c>
      <c r="R2963" t="n">
        <v>3</v>
      </c>
      <c r="S2963" t="n">
        <v>1975</v>
      </c>
      <c r="T2963" t="s">
        <v>19531</v>
      </c>
      <c r="U2963" t="s">
        <v>19532</v>
      </c>
      <c r="V2963" t="s">
        <v>74</v>
      </c>
      <c r="W2963"/>
      <c r="X2963" t="s">
        <v>19533</v>
      </c>
      <c r="Y2963" t="s">
        <v>19534</v>
      </c>
      <c r="Z2963"/>
      <c r="AA2963" t="s">
        <v>19535</v>
      </c>
      <c r="AB2963"/>
      <c r="AC2963"/>
      <c r="AD2963" t="s">
        <v>19536</v>
      </c>
      <c r="AE2963" t="n">
        <v>206</v>
      </c>
      <c r="AF2963" t="s">
        <v>19536</v>
      </c>
      <c r="AG2963" t="n">
        <v>2</v>
      </c>
    </row>
    <row r="2964">
      <c r="A2964" t="s">
        <v>19537</v>
      </c>
      <c r="B2964" t="s">
        <v>27</v>
      </c>
      <c r="C2964" t="s">
        <v>65</v>
      </c>
      <c r="D2964" t="s">
        <v>19538</v>
      </c>
      <c r="E2964" t="s">
        <v>79</v>
      </c>
      <c r="F2964" t="s">
        <v>1274</v>
      </c>
      <c r="G2964" t="s">
        <v>1516</v>
      </c>
      <c r="H2964" t="n">
        <v>39.669492</v>
      </c>
      <c r="I2964" t="n">
        <v>-104.992271</v>
      </c>
      <c r="J2964" t="s">
        <v>35</v>
      </c>
      <c r="K2964" t="s">
        <v>885</v>
      </c>
      <c r="L2964"/>
      <c r="M2964" t="n">
        <v>1965</v>
      </c>
      <c r="N2964" t="n">
        <v>1992</v>
      </c>
      <c r="O2964" t="s">
        <v>19539</v>
      </c>
      <c r="P2964" t="n">
        <v>5</v>
      </c>
      <c r="Q2964" t="n">
        <v>3</v>
      </c>
      <c r="R2964" t="n">
        <v>3</v>
      </c>
      <c r="S2964" t="n">
        <v>1945</v>
      </c>
      <c r="T2964" t="s">
        <v>19540</v>
      </c>
      <c r="U2964" t="s">
        <v>19541</v>
      </c>
      <c r="V2964" t="s">
        <v>74</v>
      </c>
      <c r="W2964"/>
      <c r="X2964" t="s">
        <v>19542</v>
      </c>
      <c r="Y2964" t="s">
        <v>19543</v>
      </c>
      <c r="Z2964"/>
      <c r="AA2964" t="s">
        <v>19544</v>
      </c>
      <c r="AB2964" t="s">
        <v>8402</v>
      </c>
      <c r="AC2964" t="n">
        <v>88</v>
      </c>
      <c r="AD2964" t="s">
        <v>1664</v>
      </c>
      <c r="AE2964" t="n">
        <v>64</v>
      </c>
      <c r="AF2964" t="s">
        <v>19545</v>
      </c>
      <c r="AG2964" t="n">
        <v>7</v>
      </c>
    </row>
    <row r="2965">
      <c r="A2965" t="s">
        <v>19546</v>
      </c>
      <c r="B2965" t="s">
        <v>27</v>
      </c>
      <c r="C2965" t="s">
        <v>65</v>
      </c>
      <c r="D2965" t="s">
        <v>19547</v>
      </c>
      <c r="E2965" t="s">
        <v>79</v>
      </c>
      <c r="F2965" t="s">
        <v>1274</v>
      </c>
      <c r="G2965"/>
      <c r="H2965" t="n">
        <v>39.7613720060981</v>
      </c>
      <c r="I2965" t="n">
        <v>-104.981754335882</v>
      </c>
      <c r="J2965" t="s">
        <v>35</v>
      </c>
      <c r="K2965" t="s">
        <v>315</v>
      </c>
      <c r="L2965"/>
      <c r="M2965" t="n">
        <v>1965</v>
      </c>
      <c r="N2965" t="n">
        <v>1988</v>
      </c>
      <c r="O2965" t="s">
        <v>325</v>
      </c>
      <c r="P2965" t="n">
        <v>9</v>
      </c>
      <c r="Q2965" t="n">
        <v>4</v>
      </c>
      <c r="R2965" t="n">
        <v>1</v>
      </c>
      <c r="S2965" t="n">
        <v>1933</v>
      </c>
      <c r="T2965" t="s">
        <v>19548</v>
      </c>
      <c r="U2965" t="s">
        <v>19549</v>
      </c>
      <c r="V2965" t="s">
        <v>74</v>
      </c>
      <c r="W2965"/>
      <c r="X2965" t="s">
        <v>19550</v>
      </c>
      <c r="Y2965" t="s">
        <v>19551</v>
      </c>
      <c r="Z2965"/>
      <c r="AA2965"/>
      <c r="AB2965" t="s">
        <v>6897</v>
      </c>
      <c r="AC2965" t="n">
        <v>117</v>
      </c>
      <c r="AD2965" t="s">
        <v>6898</v>
      </c>
      <c r="AE2965" t="n">
        <v>121</v>
      </c>
      <c r="AF2965" t="s">
        <v>19552</v>
      </c>
      <c r="AG2965" t="n">
        <v>55</v>
      </c>
    </row>
    <row r="2966">
      <c r="A2966" t="s">
        <v>19553</v>
      </c>
      <c r="B2966" t="s">
        <v>27</v>
      </c>
      <c r="C2966" t="s">
        <v>65</v>
      </c>
      <c r="D2966" t="s">
        <v>19554</v>
      </c>
      <c r="E2966" t="s">
        <v>79</v>
      </c>
      <c r="F2966" t="s">
        <v>1274</v>
      </c>
      <c r="G2966"/>
      <c r="H2966" t="n">
        <v>39.7815254911096</v>
      </c>
      <c r="I2966" t="n">
        <v>-104.949910173066</v>
      </c>
      <c r="J2966" t="s">
        <v>35</v>
      </c>
      <c r="K2966" t="s">
        <v>120</v>
      </c>
      <c r="L2966"/>
      <c r="M2966" t="n">
        <v>1965</v>
      </c>
      <c r="N2966" t="n">
        <v>1988</v>
      </c>
      <c r="O2966" t="s">
        <v>7208</v>
      </c>
      <c r="P2966" t="n">
        <v>2</v>
      </c>
      <c r="Q2966" t="n">
        <v>2</v>
      </c>
      <c r="R2966" t="n">
        <v>2</v>
      </c>
      <c r="S2966" t="n">
        <v>1923</v>
      </c>
      <c r="T2966" t="s">
        <v>19555</v>
      </c>
      <c r="U2966" t="s">
        <v>19556</v>
      </c>
      <c r="V2966" t="s">
        <v>74</v>
      </c>
      <c r="W2966"/>
      <c r="X2966" t="s">
        <v>19557</v>
      </c>
      <c r="Y2966"/>
      <c r="Z2966"/>
      <c r="AA2966"/>
      <c r="AB2966" t="s">
        <v>19558</v>
      </c>
      <c r="AC2966" t="n">
        <v>163</v>
      </c>
      <c r="AD2966" t="s">
        <v>19559</v>
      </c>
      <c r="AE2966" t="n">
        <v>24</v>
      </c>
      <c r="AF2966" t="s">
        <v>19560</v>
      </c>
      <c r="AG2966" t="n">
        <v>163</v>
      </c>
    </row>
    <row r="2967">
      <c r="A2967" t="s">
        <v>19561</v>
      </c>
      <c r="B2967" t="s">
        <v>27</v>
      </c>
      <c r="C2967" t="s">
        <v>24</v>
      </c>
      <c r="D2967" t="s">
        <v>19562</v>
      </c>
      <c r="E2967" t="s">
        <v>79</v>
      </c>
      <c r="F2967" t="s">
        <v>1274</v>
      </c>
      <c r="G2967"/>
      <c r="H2967" t="n">
        <v>39.7291257382616</v>
      </c>
      <c r="I2967" t="n">
        <v>-105.013187454698</v>
      </c>
      <c r="J2967" t="s">
        <v>4109</v>
      </c>
      <c r="K2967" t="s">
        <v>70</v>
      </c>
      <c r="L2967"/>
      <c r="M2967" t="n">
        <v>1965</v>
      </c>
      <c r="N2967" t="n">
        <v>1983</v>
      </c>
      <c r="O2967" t="s">
        <v>255</v>
      </c>
      <c r="P2967" t="n">
        <v>5</v>
      </c>
      <c r="Q2967" t="n">
        <v>5</v>
      </c>
      <c r="R2967" t="n">
        <v>1</v>
      </c>
      <c r="S2967" t="n">
        <v>1957</v>
      </c>
      <c r="T2967" t="s">
        <v>19563</v>
      </c>
      <c r="U2967" t="s">
        <v>19564</v>
      </c>
      <c r="V2967" t="s">
        <v>74</v>
      </c>
      <c r="W2967"/>
      <c r="X2967" t="s">
        <v>19565</v>
      </c>
      <c r="Y2967"/>
      <c r="Z2967"/>
      <c r="AA2967"/>
      <c r="AB2967"/>
      <c r="AC2967"/>
      <c r="AD2967" t="s">
        <v>4365</v>
      </c>
      <c r="AE2967" t="n">
        <v>85</v>
      </c>
      <c r="AF2967" t="s">
        <v>19566</v>
      </c>
      <c r="AG2967" t="n">
        <v>54</v>
      </c>
    </row>
    <row r="2968">
      <c r="A2968" t="s">
        <v>19567</v>
      </c>
      <c r="B2968" t="s">
        <v>27</v>
      </c>
      <c r="C2968" t="s">
        <v>65</v>
      </c>
      <c r="D2968" t="s">
        <v>19568</v>
      </c>
      <c r="E2968" t="s">
        <v>79</v>
      </c>
      <c r="F2968" t="s">
        <v>1274</v>
      </c>
      <c r="G2968"/>
      <c r="H2968" t="n">
        <v>39.722812434926</v>
      </c>
      <c r="I2968" t="n">
        <v>-105.005570332466</v>
      </c>
      <c r="J2968" t="s">
        <v>35</v>
      </c>
      <c r="K2968" t="s">
        <v>234</v>
      </c>
      <c r="L2968"/>
      <c r="M2968" t="n">
        <v>1965</v>
      </c>
      <c r="N2968" t="n">
        <v>1967</v>
      </c>
      <c r="O2968" t="s">
        <v>19177</v>
      </c>
      <c r="P2968" t="n">
        <v>3</v>
      </c>
      <c r="Q2968" t="n">
        <v>1</v>
      </c>
      <c r="R2968" t="n">
        <v>1</v>
      </c>
      <c r="S2968"/>
      <c r="T2968" t="s">
        <v>19569</v>
      </c>
      <c r="U2968" t="s">
        <v>19570</v>
      </c>
      <c r="V2968" t="s">
        <v>74</v>
      </c>
      <c r="W2968"/>
      <c r="X2968" t="s">
        <v>19571</v>
      </c>
      <c r="Y2968"/>
      <c r="Z2968"/>
      <c r="AA2968"/>
      <c r="AB2968"/>
      <c r="AC2968"/>
      <c r="AD2968" t="s">
        <v>16027</v>
      </c>
      <c r="AE2968" t="n">
        <v>66</v>
      </c>
      <c r="AF2968" t="s">
        <v>19572</v>
      </c>
      <c r="AG2968" t="n">
        <v>119</v>
      </c>
    </row>
    <row r="2969">
      <c r="A2969" t="s">
        <v>19573</v>
      </c>
      <c r="B2969" t="s">
        <v>27</v>
      </c>
      <c r="C2969" t="s">
        <v>65</v>
      </c>
      <c r="D2969" t="s">
        <v>19574</v>
      </c>
      <c r="E2969" t="s">
        <v>79</v>
      </c>
      <c r="F2969" t="s">
        <v>1274</v>
      </c>
      <c r="G2969"/>
      <c r="H2969" t="n">
        <v>39.6769334199675</v>
      </c>
      <c r="I2969" t="n">
        <v>-104.999460303489</v>
      </c>
      <c r="J2969" t="s">
        <v>35</v>
      </c>
      <c r="K2969" t="s">
        <v>9190</v>
      </c>
      <c r="L2969"/>
      <c r="M2969" t="n">
        <v>1965</v>
      </c>
      <c r="N2969" t="n">
        <v>1992</v>
      </c>
      <c r="O2969" t="s">
        <v>19575</v>
      </c>
      <c r="P2969" t="n">
        <v>13</v>
      </c>
      <c r="Q2969" t="n">
        <v>12</v>
      </c>
      <c r="R2969" t="n">
        <v>10</v>
      </c>
      <c r="S2969" t="n">
        <v>1952</v>
      </c>
      <c r="T2969" t="s">
        <v>19576</v>
      </c>
      <c r="U2969" t="s">
        <v>19577</v>
      </c>
      <c r="V2969" t="s">
        <v>74</v>
      </c>
      <c r="W2969"/>
      <c r="X2969" t="s">
        <v>19578</v>
      </c>
      <c r="Y2969" t="s">
        <v>19579</v>
      </c>
      <c r="Z2969"/>
      <c r="AA2969" t="s">
        <v>19580</v>
      </c>
      <c r="AB2969"/>
      <c r="AC2969"/>
      <c r="AD2969" t="s">
        <v>8989</v>
      </c>
      <c r="AE2969" t="n">
        <v>63</v>
      </c>
      <c r="AF2969" t="s">
        <v>19581</v>
      </c>
      <c r="AG2969" t="n">
        <v>56</v>
      </c>
    </row>
    <row r="2970">
      <c r="A2970" t="s">
        <v>19582</v>
      </c>
      <c r="B2970" t="s">
        <v>27</v>
      </c>
      <c r="C2970" t="s">
        <v>65</v>
      </c>
      <c r="D2970" t="s">
        <v>19583</v>
      </c>
      <c r="E2970" t="s">
        <v>79</v>
      </c>
      <c r="F2970" t="s">
        <v>1274</v>
      </c>
      <c r="G2970"/>
      <c r="H2970" t="n">
        <v>39.6908603047971</v>
      </c>
      <c r="I2970" t="n">
        <v>-104.987483323491</v>
      </c>
      <c r="J2970" t="s">
        <v>35</v>
      </c>
      <c r="K2970" t="s">
        <v>70</v>
      </c>
      <c r="L2970"/>
      <c r="M2970" t="n">
        <v>1965</v>
      </c>
      <c r="N2970" t="n">
        <v>1988</v>
      </c>
      <c r="O2970" t="s">
        <v>19584</v>
      </c>
      <c r="P2970" t="n">
        <v>4</v>
      </c>
      <c r="Q2970" t="n">
        <v>6</v>
      </c>
      <c r="R2970" t="n">
        <v>4</v>
      </c>
      <c r="S2970" t="n">
        <v>1921</v>
      </c>
      <c r="T2970" t="s">
        <v>19585</v>
      </c>
      <c r="U2970" t="s">
        <v>19586</v>
      </c>
      <c r="V2970" t="s">
        <v>74</v>
      </c>
      <c r="W2970"/>
      <c r="X2970" t="s">
        <v>19587</v>
      </c>
      <c r="Y2970" t="s">
        <v>19588</v>
      </c>
      <c r="Z2970"/>
      <c r="AA2970"/>
      <c r="AB2970"/>
      <c r="AC2970"/>
      <c r="AD2970" t="s">
        <v>1491</v>
      </c>
      <c r="AE2970" t="n">
        <v>93</v>
      </c>
      <c r="AF2970" t="s">
        <v>19589</v>
      </c>
      <c r="AG2970" t="n">
        <v>11</v>
      </c>
    </row>
    <row r="2971">
      <c r="A2971" t="s">
        <v>19590</v>
      </c>
      <c r="B2971" t="s">
        <v>27</v>
      </c>
      <c r="C2971" t="s">
        <v>65</v>
      </c>
      <c r="D2971" t="s">
        <v>19591</v>
      </c>
      <c r="E2971" t="s">
        <v>79</v>
      </c>
      <c r="F2971" t="s">
        <v>1274</v>
      </c>
      <c r="G2971"/>
      <c r="H2971" t="n">
        <v>39.7488942111974</v>
      </c>
      <c r="I2971" t="n">
        <v>-104.996072270954</v>
      </c>
      <c r="J2971" t="s">
        <v>35</v>
      </c>
      <c r="K2971" t="s">
        <v>70</v>
      </c>
      <c r="L2971"/>
      <c r="M2971" t="n">
        <v>1965</v>
      </c>
      <c r="N2971" t="n">
        <v>1970</v>
      </c>
      <c r="O2971" t="s">
        <v>1556</v>
      </c>
      <c r="P2971" t="n">
        <v>5</v>
      </c>
      <c r="Q2971" t="n">
        <v>5</v>
      </c>
      <c r="R2971" t="n">
        <v>2</v>
      </c>
      <c r="S2971" t="n">
        <v>1899</v>
      </c>
      <c r="T2971" t="s">
        <v>19592</v>
      </c>
      <c r="U2971" t="s">
        <v>19593</v>
      </c>
      <c r="V2971" t="s">
        <v>74</v>
      </c>
      <c r="W2971"/>
      <c r="X2971" t="s">
        <v>19594</v>
      </c>
      <c r="Y2971"/>
      <c r="Z2971"/>
      <c r="AA2971"/>
      <c r="AB2971" t="s">
        <v>7906</v>
      </c>
      <c r="AC2971" t="n">
        <v>101</v>
      </c>
      <c r="AD2971" t="s">
        <v>1853</v>
      </c>
      <c r="AE2971" t="n">
        <v>101</v>
      </c>
      <c r="AF2971" t="s">
        <v>19595</v>
      </c>
      <c r="AG2971" t="n">
        <v>48</v>
      </c>
    </row>
    <row r="2972">
      <c r="A2972" t="s">
        <v>19596</v>
      </c>
      <c r="B2972" t="s">
        <v>27</v>
      </c>
      <c r="C2972" t="s">
        <v>65</v>
      </c>
      <c r="D2972" t="s">
        <v>19597</v>
      </c>
      <c r="E2972" t="s">
        <v>79</v>
      </c>
      <c r="F2972" t="s">
        <v>1274</v>
      </c>
      <c r="G2972"/>
      <c r="H2972" t="n">
        <v>39.7617410789323</v>
      </c>
      <c r="I2972" t="n">
        <v>-104.981220367589</v>
      </c>
      <c r="J2972" t="s">
        <v>35</v>
      </c>
      <c r="K2972" t="s">
        <v>201</v>
      </c>
      <c r="L2972"/>
      <c r="M2972" t="n">
        <v>1965</v>
      </c>
      <c r="N2972" t="n">
        <v>1990</v>
      </c>
      <c r="O2972" t="s">
        <v>19598</v>
      </c>
      <c r="P2972" t="n">
        <v>10</v>
      </c>
      <c r="Q2972" t="n">
        <v>8</v>
      </c>
      <c r="R2972" t="n">
        <v>4</v>
      </c>
      <c r="S2972" t="n">
        <v>1947</v>
      </c>
      <c r="T2972" t="s">
        <v>19599</v>
      </c>
      <c r="U2972" t="s">
        <v>19600</v>
      </c>
      <c r="V2972" t="s">
        <v>74</v>
      </c>
      <c r="W2972"/>
      <c r="X2972" t="s">
        <v>19601</v>
      </c>
      <c r="Y2972" t="s">
        <v>19602</v>
      </c>
      <c r="Z2972"/>
      <c r="AA2972"/>
      <c r="AB2972" t="s">
        <v>6897</v>
      </c>
      <c r="AC2972" t="n">
        <v>179</v>
      </c>
      <c r="AD2972" t="s">
        <v>6898</v>
      </c>
      <c r="AE2972" t="n">
        <v>61</v>
      </c>
      <c r="AF2972" t="s">
        <v>19552</v>
      </c>
      <c r="AG2972" t="n">
        <v>6</v>
      </c>
    </row>
    <row r="2973">
      <c r="A2973" t="s">
        <v>19603</v>
      </c>
      <c r="B2973" t="s">
        <v>27</v>
      </c>
      <c r="C2973" t="s">
        <v>65</v>
      </c>
      <c r="D2973" t="s">
        <v>19604</v>
      </c>
      <c r="E2973" t="s">
        <v>79</v>
      </c>
      <c r="F2973" t="s">
        <v>1274</v>
      </c>
      <c r="G2973" t="s">
        <v>1516</v>
      </c>
      <c r="H2973" t="n">
        <v>39.6902747959184</v>
      </c>
      <c r="I2973" t="n">
        <v>-104.991030918367</v>
      </c>
      <c r="J2973" t="s">
        <v>35</v>
      </c>
      <c r="K2973" t="s">
        <v>1639</v>
      </c>
      <c r="L2973"/>
      <c r="M2973" t="n">
        <v>1965</v>
      </c>
      <c r="N2973" t="n">
        <v>1990</v>
      </c>
      <c r="O2973" t="s">
        <v>19605</v>
      </c>
      <c r="P2973" t="n">
        <v>6</v>
      </c>
      <c r="Q2973" t="n">
        <v>3</v>
      </c>
      <c r="R2973" t="n">
        <v>2</v>
      </c>
      <c r="S2973" t="n">
        <v>1946</v>
      </c>
      <c r="T2973" t="s">
        <v>19606</v>
      </c>
      <c r="U2973" t="s">
        <v>19607</v>
      </c>
      <c r="V2973" t="s">
        <v>74</v>
      </c>
      <c r="W2973"/>
      <c r="X2973" t="s">
        <v>19608</v>
      </c>
      <c r="Y2973"/>
      <c r="Z2973"/>
      <c r="AA2973" t="s">
        <v>19609</v>
      </c>
      <c r="AB2973" t="s">
        <v>1520</v>
      </c>
      <c r="AC2973" t="n">
        <v>174</v>
      </c>
      <c r="AD2973" t="s">
        <v>1521</v>
      </c>
      <c r="AE2973" t="n">
        <v>4</v>
      </c>
      <c r="AF2973" t="s">
        <v>9034</v>
      </c>
      <c r="AG2973" t="n">
        <v>176</v>
      </c>
    </row>
    <row r="2974">
      <c r="A2974" t="s">
        <v>19610</v>
      </c>
      <c r="B2974" t="s">
        <v>27</v>
      </c>
      <c r="C2974" t="s">
        <v>65</v>
      </c>
      <c r="D2974" t="s">
        <v>19611</v>
      </c>
      <c r="E2974" t="s">
        <v>79</v>
      </c>
      <c r="F2974" t="s">
        <v>1274</v>
      </c>
      <c r="G2974"/>
      <c r="H2974" t="n">
        <v>39.7777691648277</v>
      </c>
      <c r="I2974" t="n">
        <v>-104.944067535389</v>
      </c>
      <c r="J2974" t="s">
        <v>35</v>
      </c>
      <c r="K2974" t="s">
        <v>120</v>
      </c>
      <c r="L2974"/>
      <c r="M2974" t="n">
        <v>1965</v>
      </c>
      <c r="N2974" t="n">
        <v>1983</v>
      </c>
      <c r="O2974" t="s">
        <v>264</v>
      </c>
      <c r="P2974" t="n">
        <v>2</v>
      </c>
      <c r="Q2974" t="n">
        <v>2</v>
      </c>
      <c r="R2974" t="n">
        <v>1</v>
      </c>
      <c r="S2974" t="n">
        <v>1979</v>
      </c>
      <c r="T2974" t="s">
        <v>19612</v>
      </c>
      <c r="U2974" t="s">
        <v>19613</v>
      </c>
      <c r="V2974" t="s">
        <v>74</v>
      </c>
      <c r="W2974"/>
      <c r="X2974" t="s">
        <v>19614</v>
      </c>
      <c r="Y2974" t="s">
        <v>19615</v>
      </c>
      <c r="Z2974"/>
      <c r="AA2974" t="s">
        <v>19616</v>
      </c>
      <c r="AB2974"/>
      <c r="AC2974"/>
      <c r="AD2974" t="s">
        <v>2017</v>
      </c>
      <c r="AE2974" t="n">
        <v>53</v>
      </c>
      <c r="AF2974" t="s">
        <v>15423</v>
      </c>
      <c r="AG2974" t="n">
        <v>43</v>
      </c>
    </row>
    <row r="2975">
      <c r="A2975" t="s">
        <v>19617</v>
      </c>
      <c r="B2975" t="s">
        <v>27</v>
      </c>
      <c r="C2975" t="s">
        <v>65</v>
      </c>
      <c r="D2975" t="s">
        <v>19618</v>
      </c>
      <c r="E2975" t="s">
        <v>79</v>
      </c>
      <c r="F2975" t="s">
        <v>1274</v>
      </c>
      <c r="G2975"/>
      <c r="H2975" t="n">
        <v>39.7505199030087</v>
      </c>
      <c r="I2975" t="n">
        <v>-105.001131799574</v>
      </c>
      <c r="J2975" t="s">
        <v>35</v>
      </c>
      <c r="K2975" t="s">
        <v>120</v>
      </c>
      <c r="L2975"/>
      <c r="M2975" t="n">
        <v>1965</v>
      </c>
      <c r="N2975" t="n">
        <v>1990</v>
      </c>
      <c r="O2975" t="s">
        <v>1349</v>
      </c>
      <c r="P2975" t="n">
        <v>12</v>
      </c>
      <c r="Q2975" t="n">
        <v>16</v>
      </c>
      <c r="R2975" t="n">
        <v>1</v>
      </c>
      <c r="S2975" t="n">
        <v>1945</v>
      </c>
      <c r="T2975" t="s">
        <v>19619</v>
      </c>
      <c r="U2975" t="s">
        <v>19620</v>
      </c>
      <c r="V2975" t="s">
        <v>74</v>
      </c>
      <c r="W2975"/>
      <c r="X2975" t="s">
        <v>19621</v>
      </c>
      <c r="Y2975" t="s">
        <v>19622</v>
      </c>
      <c r="Z2975"/>
      <c r="AA2975" t="s">
        <v>19623</v>
      </c>
      <c r="AB2975" t="s">
        <v>7639</v>
      </c>
      <c r="AC2975" t="n">
        <v>151</v>
      </c>
      <c r="AD2975" t="s">
        <v>5328</v>
      </c>
      <c r="AE2975" t="n">
        <v>113</v>
      </c>
      <c r="AF2975" t="s">
        <v>19624</v>
      </c>
      <c r="AG2975" t="n">
        <v>64</v>
      </c>
    </row>
    <row r="2976">
      <c r="A2976" t="s">
        <v>19625</v>
      </c>
      <c r="B2976" t="s">
        <v>27</v>
      </c>
      <c r="C2976" t="s">
        <v>65</v>
      </c>
      <c r="D2976" t="s">
        <v>19626</v>
      </c>
      <c r="E2976" t="s">
        <v>79</v>
      </c>
      <c r="F2976" t="s">
        <v>1274</v>
      </c>
      <c r="G2976"/>
      <c r="H2976" t="n">
        <v>39.7508357771277</v>
      </c>
      <c r="I2976" t="n">
        <v>-104.998893972173</v>
      </c>
      <c r="J2976" t="s">
        <v>35</v>
      </c>
      <c r="K2976" t="s">
        <v>1359</v>
      </c>
      <c r="L2976"/>
      <c r="M2976" t="n">
        <v>1965</v>
      </c>
      <c r="N2976" t="n">
        <v>1983</v>
      </c>
      <c r="O2976" t="s">
        <v>15015</v>
      </c>
      <c r="P2976" t="n">
        <v>9</v>
      </c>
      <c r="Q2976" t="n">
        <v>17</v>
      </c>
      <c r="R2976" t="n">
        <v>4</v>
      </c>
      <c r="S2976" t="n">
        <v>1912</v>
      </c>
      <c r="T2976" t="s">
        <v>19627</v>
      </c>
      <c r="U2976" t="s">
        <v>19628</v>
      </c>
      <c r="V2976" t="s">
        <v>74</v>
      </c>
      <c r="W2976"/>
      <c r="X2976" t="s">
        <v>19629</v>
      </c>
      <c r="Y2976" t="s">
        <v>19630</v>
      </c>
      <c r="Z2976"/>
      <c r="AA2976" t="s">
        <v>19631</v>
      </c>
      <c r="AB2976" t="s">
        <v>19632</v>
      </c>
      <c r="AC2976" t="n">
        <v>158</v>
      </c>
      <c r="AD2976" t="s">
        <v>1333</v>
      </c>
      <c r="AE2976" t="n">
        <v>133</v>
      </c>
      <c r="AF2976" t="s">
        <v>7826</v>
      </c>
      <c r="AG2976" t="n">
        <v>28</v>
      </c>
    </row>
    <row r="2977">
      <c r="A2977" t="s">
        <v>19633</v>
      </c>
      <c r="B2977" t="s">
        <v>27</v>
      </c>
      <c r="C2977" t="s">
        <v>65</v>
      </c>
      <c r="D2977" t="s">
        <v>19634</v>
      </c>
      <c r="E2977" t="s">
        <v>79</v>
      </c>
      <c r="F2977" t="s">
        <v>1274</v>
      </c>
      <c r="G2977"/>
      <c r="H2977" t="n">
        <v>39.7497877792588</v>
      </c>
      <c r="I2977" t="n">
        <v>-105.000276099101</v>
      </c>
      <c r="J2977" t="s">
        <v>35</v>
      </c>
      <c r="K2977" t="s">
        <v>89</v>
      </c>
      <c r="L2977"/>
      <c r="M2977" t="n">
        <v>1965</v>
      </c>
      <c r="N2977" t="n">
        <v>1992</v>
      </c>
      <c r="O2977" t="s">
        <v>310</v>
      </c>
      <c r="P2977" t="n">
        <v>12</v>
      </c>
      <c r="Q2977" t="n">
        <v>8</v>
      </c>
      <c r="R2977" t="n">
        <v>1</v>
      </c>
      <c r="S2977" t="n">
        <v>1932</v>
      </c>
      <c r="T2977" t="s">
        <v>19635</v>
      </c>
      <c r="U2977" t="s">
        <v>19636</v>
      </c>
      <c r="V2977" t="s">
        <v>74</v>
      </c>
      <c r="W2977"/>
      <c r="X2977" t="s">
        <v>19637</v>
      </c>
      <c r="Y2977" t="s">
        <v>19638</v>
      </c>
      <c r="Z2977"/>
      <c r="AA2977" t="s">
        <v>19639</v>
      </c>
      <c r="AB2977" t="s">
        <v>6747</v>
      </c>
      <c r="AC2977" t="n">
        <v>223</v>
      </c>
      <c r="AD2977" t="s">
        <v>5328</v>
      </c>
      <c r="AE2977" t="n">
        <v>33</v>
      </c>
      <c r="AF2977" t="s">
        <v>19640</v>
      </c>
      <c r="AG2977" t="n">
        <v>33</v>
      </c>
    </row>
    <row r="2978">
      <c r="A2978" t="s">
        <v>19641</v>
      </c>
      <c r="B2978" t="s">
        <v>27</v>
      </c>
      <c r="C2978" t="s">
        <v>24</v>
      </c>
      <c r="D2978" t="s">
        <v>19642</v>
      </c>
      <c r="E2978" t="s">
        <v>79</v>
      </c>
      <c r="F2978" t="s">
        <v>1274</v>
      </c>
      <c r="G2978" t="s">
        <v>1653</v>
      </c>
      <c r="H2978" t="n">
        <v>39.7982620212159</v>
      </c>
      <c r="I2978" t="n">
        <v>-104.991031268552</v>
      </c>
      <c r="J2978" t="s">
        <v>35</v>
      </c>
      <c r="K2978" t="s">
        <v>70</v>
      </c>
      <c r="L2978"/>
      <c r="M2978" t="n">
        <v>1966</v>
      </c>
      <c r="N2978" t="n">
        <v>1990</v>
      </c>
      <c r="O2978" t="s">
        <v>4172</v>
      </c>
      <c r="P2978" t="n">
        <v>2</v>
      </c>
      <c r="Q2978" t="n">
        <v>2</v>
      </c>
      <c r="R2978" t="n">
        <v>1</v>
      </c>
      <c r="S2978" t="n">
        <v>1958</v>
      </c>
      <c r="T2978" t="s">
        <v>19643</v>
      </c>
      <c r="U2978" t="s">
        <v>19644</v>
      </c>
      <c r="V2978" t="s">
        <v>4175</v>
      </c>
      <c r="W2978"/>
      <c r="X2978" t="s">
        <v>19645</v>
      </c>
      <c r="Y2978" t="s">
        <v>19646</v>
      </c>
      <c r="Z2978"/>
      <c r="AA2978" t="s">
        <v>19647</v>
      </c>
      <c r="AB2978"/>
      <c r="AC2978"/>
      <c r="AD2978" t="s">
        <v>1794</v>
      </c>
      <c r="AE2978" t="n">
        <v>51</v>
      </c>
      <c r="AF2978" t="s">
        <v>19648</v>
      </c>
      <c r="AG2978" t="n">
        <v>22</v>
      </c>
    </row>
    <row r="2979">
      <c r="A2979" t="s">
        <v>19649</v>
      </c>
      <c r="B2979" t="s">
        <v>27</v>
      </c>
      <c r="C2979" t="s">
        <v>65</v>
      </c>
      <c r="D2979" t="s">
        <v>19650</v>
      </c>
      <c r="E2979" t="s">
        <v>79</v>
      </c>
      <c r="F2979" t="s">
        <v>1274</v>
      </c>
      <c r="G2979" t="s">
        <v>1653</v>
      </c>
      <c r="H2979" t="n">
        <v>39.8018292199171</v>
      </c>
      <c r="I2979" t="n">
        <v>-104.98630122932</v>
      </c>
      <c r="J2979" t="s">
        <v>35</v>
      </c>
      <c r="K2979" t="s">
        <v>141</v>
      </c>
      <c r="L2979"/>
      <c r="M2979" t="n">
        <v>1966</v>
      </c>
      <c r="N2979" t="n">
        <v>1992</v>
      </c>
      <c r="O2979" t="s">
        <v>19651</v>
      </c>
      <c r="P2979" t="n">
        <v>6</v>
      </c>
      <c r="Q2979" t="n">
        <v>2</v>
      </c>
      <c r="R2979" t="n">
        <v>2</v>
      </c>
      <c r="S2979" t="n">
        <v>1933</v>
      </c>
      <c r="T2979" t="s">
        <v>19652</v>
      </c>
      <c r="U2979" t="s">
        <v>19653</v>
      </c>
      <c r="V2979" t="s">
        <v>74</v>
      </c>
      <c r="W2979"/>
      <c r="X2979" t="s">
        <v>19654</v>
      </c>
      <c r="Y2979"/>
      <c r="Z2979"/>
      <c r="AA2979"/>
      <c r="AB2979" t="s">
        <v>9215</v>
      </c>
      <c r="AC2979" t="n">
        <v>237</v>
      </c>
      <c r="AD2979" t="s">
        <v>1953</v>
      </c>
      <c r="AE2979" t="n">
        <v>147</v>
      </c>
      <c r="AF2979" t="s">
        <v>15132</v>
      </c>
      <c r="AG2979" t="n">
        <v>106</v>
      </c>
    </row>
    <row r="2980">
      <c r="A2980" t="s">
        <v>19655</v>
      </c>
      <c r="B2980" t="s">
        <v>27</v>
      </c>
      <c r="C2980" t="s">
        <v>65</v>
      </c>
      <c r="D2980" t="s">
        <v>19656</v>
      </c>
      <c r="E2980" t="s">
        <v>79</v>
      </c>
      <c r="F2980" t="s">
        <v>1274</v>
      </c>
      <c r="G2980" t="s">
        <v>1653</v>
      </c>
      <c r="H2980" t="n">
        <v>39.780453</v>
      </c>
      <c r="I2980" t="n">
        <v>-104.931637</v>
      </c>
      <c r="J2980" t="s">
        <v>35</v>
      </c>
      <c r="K2980" t="s">
        <v>70</v>
      </c>
      <c r="L2980"/>
      <c r="M2980" t="n">
        <v>1966</v>
      </c>
      <c r="N2980" t="n">
        <v>1968</v>
      </c>
      <c r="O2980" t="s">
        <v>2764</v>
      </c>
      <c r="P2980" t="n">
        <v>3</v>
      </c>
      <c r="Q2980" t="n">
        <v>1</v>
      </c>
      <c r="R2980" t="n">
        <v>1</v>
      </c>
      <c r="S2980" t="n">
        <v>1954</v>
      </c>
      <c r="T2980" t="s">
        <v>19657</v>
      </c>
      <c r="U2980" t="s">
        <v>19658</v>
      </c>
      <c r="V2980" t="s">
        <v>74</v>
      </c>
      <c r="W2980"/>
      <c r="X2980" t="s">
        <v>19659</v>
      </c>
      <c r="Y2980"/>
      <c r="Z2980"/>
      <c r="AA2980"/>
      <c r="AB2980" t="s">
        <v>1657</v>
      </c>
      <c r="AC2980" t="n">
        <v>125</v>
      </c>
      <c r="AD2980" t="s">
        <v>19660</v>
      </c>
      <c r="AE2980" t="n">
        <v>76</v>
      </c>
      <c r="AF2980" t="s">
        <v>19661</v>
      </c>
      <c r="AG2980" t="n">
        <v>76</v>
      </c>
    </row>
    <row r="2981">
      <c r="A2981" t="s">
        <v>19662</v>
      </c>
      <c r="B2981" t="s">
        <v>27</v>
      </c>
      <c r="C2981" t="s">
        <v>24</v>
      </c>
      <c r="D2981" t="s">
        <v>19663</v>
      </c>
      <c r="E2981" t="s">
        <v>79</v>
      </c>
      <c r="F2981" t="s">
        <v>1274</v>
      </c>
      <c r="G2981" t="s">
        <v>1881</v>
      </c>
      <c r="H2981" t="n">
        <v>39.7692417154658</v>
      </c>
      <c r="I2981" t="n">
        <v>-104.920773687814</v>
      </c>
      <c r="J2981" t="s">
        <v>35</v>
      </c>
      <c r="K2981" t="s">
        <v>120</v>
      </c>
      <c r="L2981"/>
      <c r="M2981" t="n">
        <v>1966</v>
      </c>
      <c r="N2981" t="n">
        <v>1970</v>
      </c>
      <c r="O2981" t="s">
        <v>388</v>
      </c>
      <c r="P2981" t="n">
        <v>4</v>
      </c>
      <c r="Q2981" t="n">
        <v>2</v>
      </c>
      <c r="R2981" t="n">
        <v>1</v>
      </c>
      <c r="S2981" t="n">
        <v>1963</v>
      </c>
      <c r="T2981" t="s">
        <v>19664</v>
      </c>
      <c r="U2981" t="s">
        <v>19665</v>
      </c>
      <c r="V2981" t="s">
        <v>4175</v>
      </c>
      <c r="W2981"/>
      <c r="X2981" t="s">
        <v>19666</v>
      </c>
      <c r="Y2981" t="s">
        <v>19667</v>
      </c>
      <c r="Z2981"/>
      <c r="AA2981"/>
      <c r="AB2981"/>
      <c r="AC2981"/>
      <c r="AD2981" t="s">
        <v>11408</v>
      </c>
      <c r="AE2981" t="n">
        <v>37</v>
      </c>
      <c r="AF2981" t="s">
        <v>19668</v>
      </c>
      <c r="AG2981" t="n">
        <v>111</v>
      </c>
    </row>
    <row r="2982">
      <c r="A2982" t="s">
        <v>19669</v>
      </c>
      <c r="B2982" t="s">
        <v>27</v>
      </c>
      <c r="C2982" t="s">
        <v>65</v>
      </c>
      <c r="D2982" t="s">
        <v>19670</v>
      </c>
      <c r="E2982" t="s">
        <v>79</v>
      </c>
      <c r="F2982" t="s">
        <v>1274</v>
      </c>
      <c r="G2982" t="s">
        <v>1653</v>
      </c>
      <c r="H2982" t="n">
        <v>39.7765755899506</v>
      </c>
      <c r="I2982" t="n">
        <v>-104.908211962842</v>
      </c>
      <c r="J2982" t="s">
        <v>35</v>
      </c>
      <c r="K2982" t="s">
        <v>133</v>
      </c>
      <c r="L2982" t="s">
        <v>1337</v>
      </c>
      <c r="M2982" t="n">
        <v>1966</v>
      </c>
      <c r="N2982" t="n">
        <v>1992</v>
      </c>
      <c r="O2982" t="s">
        <v>15043</v>
      </c>
      <c r="P2982" t="n">
        <v>8</v>
      </c>
      <c r="Q2982" t="n">
        <v>8</v>
      </c>
      <c r="R2982" t="n">
        <v>2</v>
      </c>
      <c r="S2982" t="n">
        <v>1911</v>
      </c>
      <c r="T2982" t="s">
        <v>19671</v>
      </c>
      <c r="U2982" t="s">
        <v>19672</v>
      </c>
      <c r="V2982" t="s">
        <v>74</v>
      </c>
      <c r="W2982"/>
      <c r="X2982" t="s">
        <v>19673</v>
      </c>
      <c r="Y2982"/>
      <c r="Z2982"/>
      <c r="AA2982"/>
      <c r="AB2982"/>
      <c r="AC2982"/>
      <c r="AD2982" t="s">
        <v>8089</v>
      </c>
      <c r="AE2982" t="n">
        <v>151</v>
      </c>
      <c r="AF2982" t="s">
        <v>19674</v>
      </c>
      <c r="AG2982" t="n">
        <v>81</v>
      </c>
    </row>
    <row r="2983">
      <c r="A2983" t="s">
        <v>19675</v>
      </c>
      <c r="B2983" t="s">
        <v>27</v>
      </c>
      <c r="C2983" t="s">
        <v>65</v>
      </c>
      <c r="D2983" t="s">
        <v>19676</v>
      </c>
      <c r="E2983" t="s">
        <v>79</v>
      </c>
      <c r="F2983" t="s">
        <v>1274</v>
      </c>
      <c r="G2983" t="s">
        <v>1653</v>
      </c>
      <c r="H2983" t="n">
        <v>39.80644</v>
      </c>
      <c r="I2983" t="n">
        <v>-104.987468</v>
      </c>
      <c r="J2983" t="s">
        <v>35</v>
      </c>
      <c r="K2983" t="s">
        <v>70</v>
      </c>
      <c r="L2983"/>
      <c r="M2983" t="n">
        <v>1966</v>
      </c>
      <c r="N2983" t="n">
        <v>1988</v>
      </c>
      <c r="O2983" t="s">
        <v>264</v>
      </c>
      <c r="P2983" t="n">
        <v>6</v>
      </c>
      <c r="Q2983" t="n">
        <v>3</v>
      </c>
      <c r="R2983" t="n">
        <v>1</v>
      </c>
      <c r="S2983" t="n">
        <v>1962</v>
      </c>
      <c r="T2983" t="s">
        <v>19677</v>
      </c>
      <c r="U2983" t="s">
        <v>19678</v>
      </c>
      <c r="V2983" t="s">
        <v>74</v>
      </c>
      <c r="W2983"/>
      <c r="X2983" t="s">
        <v>19679</v>
      </c>
      <c r="Y2983" t="s">
        <v>19680</v>
      </c>
      <c r="Z2983"/>
      <c r="AA2983" t="s">
        <v>19681</v>
      </c>
      <c r="AB2983" t="s">
        <v>8318</v>
      </c>
      <c r="AC2983" t="n">
        <v>186</v>
      </c>
      <c r="AD2983" t="s">
        <v>19682</v>
      </c>
      <c r="AE2983" t="n">
        <v>97</v>
      </c>
      <c r="AF2983" t="s">
        <v>19683</v>
      </c>
      <c r="AG2983" t="n">
        <v>2</v>
      </c>
    </row>
    <row r="2984">
      <c r="A2984" t="s">
        <v>19684</v>
      </c>
      <c r="B2984" t="s">
        <v>27</v>
      </c>
      <c r="C2984" t="s">
        <v>65</v>
      </c>
      <c r="D2984" t="s">
        <v>19685</v>
      </c>
      <c r="E2984" t="s">
        <v>79</v>
      </c>
      <c r="F2984" t="s">
        <v>1274</v>
      </c>
      <c r="G2984" t="s">
        <v>1516</v>
      </c>
      <c r="H2984" t="n">
        <v>39.691245916271</v>
      </c>
      <c r="I2984" t="n">
        <v>-104.988697774868</v>
      </c>
      <c r="J2984" t="s">
        <v>35</v>
      </c>
      <c r="K2984" t="s">
        <v>89</v>
      </c>
      <c r="L2984"/>
      <c r="M2984" t="n">
        <v>1966</v>
      </c>
      <c r="N2984" t="n">
        <v>1983</v>
      </c>
      <c r="O2984" t="s">
        <v>19686</v>
      </c>
      <c r="P2984" t="n">
        <v>6</v>
      </c>
      <c r="Q2984" t="n">
        <v>2</v>
      </c>
      <c r="R2984" t="n">
        <v>2</v>
      </c>
      <c r="S2984" t="n">
        <v>1932</v>
      </c>
      <c r="T2984" t="s">
        <v>19687</v>
      </c>
      <c r="U2984" t="s">
        <v>19688</v>
      </c>
      <c r="V2984" t="s">
        <v>74</v>
      </c>
      <c r="W2984"/>
      <c r="X2984" t="s">
        <v>19689</v>
      </c>
      <c r="Y2984"/>
      <c r="Z2984"/>
      <c r="AA2984"/>
      <c r="AB2984"/>
      <c r="AC2984"/>
      <c r="AD2984" t="s">
        <v>1491</v>
      </c>
      <c r="AE2984" t="n">
        <v>28</v>
      </c>
      <c r="AF2984" t="s">
        <v>19589</v>
      </c>
      <c r="AG2984" t="n">
        <v>116</v>
      </c>
    </row>
    <row r="2985">
      <c r="A2985" t="s">
        <v>19690</v>
      </c>
      <c r="B2985" t="s">
        <v>27</v>
      </c>
      <c r="C2985" t="s">
        <v>65</v>
      </c>
      <c r="D2985" t="s">
        <v>19691</v>
      </c>
      <c r="E2985" t="s">
        <v>79</v>
      </c>
      <c r="F2985" t="s">
        <v>1274</v>
      </c>
      <c r="G2985" t="s">
        <v>1574</v>
      </c>
      <c r="H2985" t="n">
        <v>39.763653</v>
      </c>
      <c r="I2985" t="n">
        <v>-104.982239</v>
      </c>
      <c r="J2985" t="s">
        <v>35</v>
      </c>
      <c r="K2985" t="s">
        <v>6584</v>
      </c>
      <c r="L2985"/>
      <c r="M2985" t="n">
        <v>1966</v>
      </c>
      <c r="N2985" t="n">
        <v>1992</v>
      </c>
      <c r="O2985" t="s">
        <v>19692</v>
      </c>
      <c r="P2985" t="n">
        <v>6</v>
      </c>
      <c r="Q2985" t="n">
        <v>3</v>
      </c>
      <c r="R2985" t="n">
        <v>3</v>
      </c>
      <c r="S2985" t="n">
        <v>1960</v>
      </c>
      <c r="T2985" t="s">
        <v>19693</v>
      </c>
      <c r="U2985" t="s">
        <v>19694</v>
      </c>
      <c r="V2985" t="s">
        <v>74</v>
      </c>
      <c r="W2985"/>
      <c r="X2985" t="s">
        <v>19695</v>
      </c>
      <c r="Y2985" t="s">
        <v>19696</v>
      </c>
      <c r="Z2985"/>
      <c r="AA2985" t="s">
        <v>19697</v>
      </c>
      <c r="AB2985" t="s">
        <v>1711</v>
      </c>
      <c r="AC2985" t="n">
        <v>122</v>
      </c>
      <c r="AD2985" t="s">
        <v>6898</v>
      </c>
      <c r="AE2985" t="n">
        <v>41</v>
      </c>
      <c r="AF2985" t="s">
        <v>15021</v>
      </c>
      <c r="AG2985" t="n">
        <v>27</v>
      </c>
    </row>
    <row r="2986">
      <c r="A2986" t="s">
        <v>19698</v>
      </c>
      <c r="B2986" t="s">
        <v>27</v>
      </c>
      <c r="C2986" t="s">
        <v>65</v>
      </c>
      <c r="D2986" t="s">
        <v>19699</v>
      </c>
      <c r="E2986" t="s">
        <v>79</v>
      </c>
      <c r="F2986" t="s">
        <v>1274</v>
      </c>
      <c r="G2986" t="s">
        <v>1516</v>
      </c>
      <c r="H2986" t="n">
        <v>39.6998150816327</v>
      </c>
      <c r="I2986" t="n">
        <v>-105.001523</v>
      </c>
      <c r="J2986" t="s">
        <v>35</v>
      </c>
      <c r="K2986" t="s">
        <v>2274</v>
      </c>
      <c r="L2986"/>
      <c r="M2986" t="n">
        <v>1966</v>
      </c>
      <c r="N2986" t="n">
        <v>1992</v>
      </c>
      <c r="O2986" t="s">
        <v>7500</v>
      </c>
      <c r="P2986" t="n">
        <v>8</v>
      </c>
      <c r="Q2986" t="n">
        <v>2</v>
      </c>
      <c r="R2986" t="n">
        <v>1</v>
      </c>
      <c r="S2986" t="n">
        <v>1945</v>
      </c>
      <c r="T2986" t="s">
        <v>19700</v>
      </c>
      <c r="U2986" t="s">
        <v>19701</v>
      </c>
      <c r="V2986" t="s">
        <v>74</v>
      </c>
      <c r="W2986"/>
      <c r="X2986" t="s">
        <v>19702</v>
      </c>
      <c r="Y2986"/>
      <c r="Z2986"/>
      <c r="AA2986"/>
      <c r="AB2986" t="s">
        <v>15979</v>
      </c>
      <c r="AC2986" t="n">
        <v>119</v>
      </c>
      <c r="AD2986" t="s">
        <v>1478</v>
      </c>
      <c r="AE2986" t="n">
        <v>92</v>
      </c>
      <c r="AF2986" t="s">
        <v>15980</v>
      </c>
      <c r="AG2986" t="n">
        <v>88</v>
      </c>
    </row>
    <row r="2987">
      <c r="A2987" t="s">
        <v>19703</v>
      </c>
      <c r="B2987" t="s">
        <v>27</v>
      </c>
      <c r="C2987" t="s">
        <v>65</v>
      </c>
      <c r="D2987" t="s">
        <v>19704</v>
      </c>
      <c r="E2987" t="s">
        <v>79</v>
      </c>
      <c r="F2987" t="s">
        <v>1274</v>
      </c>
      <c r="G2987" t="s">
        <v>1574</v>
      </c>
      <c r="H2987" t="n">
        <v>39.7639414446529</v>
      </c>
      <c r="I2987" t="n">
        <v>-104.981865390826</v>
      </c>
      <c r="J2987" t="s">
        <v>35</v>
      </c>
      <c r="K2987" t="s">
        <v>70</v>
      </c>
      <c r="L2987"/>
      <c r="M2987" t="n">
        <v>1966</v>
      </c>
      <c r="N2987" t="n">
        <v>1990</v>
      </c>
      <c r="O2987" t="s">
        <v>310</v>
      </c>
      <c r="P2987" t="n">
        <v>3</v>
      </c>
      <c r="Q2987" t="n">
        <v>2</v>
      </c>
      <c r="R2987" t="n">
        <v>1</v>
      </c>
      <c r="S2987" t="n">
        <v>1876</v>
      </c>
      <c r="T2987" t="s">
        <v>19705</v>
      </c>
      <c r="U2987" t="s">
        <v>19706</v>
      </c>
      <c r="V2987" t="s">
        <v>74</v>
      </c>
      <c r="W2987"/>
      <c r="X2987" t="s">
        <v>19707</v>
      </c>
      <c r="Y2987" t="s">
        <v>19708</v>
      </c>
      <c r="Z2987"/>
      <c r="AA2987" t="s">
        <v>19709</v>
      </c>
      <c r="AB2987" t="s">
        <v>1711</v>
      </c>
      <c r="AC2987" t="n">
        <v>102</v>
      </c>
      <c r="AD2987" t="s">
        <v>6898</v>
      </c>
      <c r="AE2987" t="n">
        <v>4</v>
      </c>
      <c r="AF2987" t="s">
        <v>7429</v>
      </c>
      <c r="AG2987" t="n">
        <v>25</v>
      </c>
    </row>
    <row r="2988">
      <c r="A2988" t="s">
        <v>19710</v>
      </c>
      <c r="B2988" t="s">
        <v>27</v>
      </c>
      <c r="C2988" t="s">
        <v>65</v>
      </c>
      <c r="D2988" t="s">
        <v>19711</v>
      </c>
      <c r="E2988" t="s">
        <v>79</v>
      </c>
      <c r="F2988" t="s">
        <v>1274</v>
      </c>
      <c r="G2988" t="s">
        <v>1881</v>
      </c>
      <c r="H2988" t="n">
        <v>39.7727051628792</v>
      </c>
      <c r="I2988" t="n">
        <v>-104.898498072735</v>
      </c>
      <c r="J2988" t="s">
        <v>35</v>
      </c>
      <c r="K2988" t="s">
        <v>270</v>
      </c>
      <c r="L2988"/>
      <c r="M2988" t="n">
        <v>1966</v>
      </c>
      <c r="N2988" t="n">
        <v>1983</v>
      </c>
      <c r="O2988" t="s">
        <v>19712</v>
      </c>
      <c r="P2988" t="n">
        <v>2</v>
      </c>
      <c r="Q2988" t="n">
        <v>2</v>
      </c>
      <c r="R2988" t="n">
        <v>2</v>
      </c>
      <c r="S2988" t="n">
        <v>1925</v>
      </c>
      <c r="T2988" t="s">
        <v>19713</v>
      </c>
      <c r="U2988" t="s">
        <v>19714</v>
      </c>
      <c r="V2988" t="s">
        <v>74</v>
      </c>
      <c r="W2988"/>
      <c r="X2988" t="s">
        <v>19715</v>
      </c>
      <c r="Y2988"/>
      <c r="Z2988"/>
      <c r="AA2988"/>
      <c r="AB2988" t="s">
        <v>8294</v>
      </c>
      <c r="AC2988" t="n">
        <v>240</v>
      </c>
      <c r="AD2988" t="s">
        <v>8295</v>
      </c>
      <c r="AE2988" t="n">
        <v>60</v>
      </c>
      <c r="AF2988" t="s">
        <v>19716</v>
      </c>
      <c r="AG2988" t="n">
        <v>115</v>
      </c>
    </row>
    <row r="2989">
      <c r="A2989" t="s">
        <v>19717</v>
      </c>
      <c r="B2989" t="s">
        <v>27</v>
      </c>
      <c r="C2989" t="s">
        <v>65</v>
      </c>
      <c r="D2989" t="s">
        <v>19718</v>
      </c>
      <c r="E2989" t="s">
        <v>79</v>
      </c>
      <c r="F2989" t="s">
        <v>1274</v>
      </c>
      <c r="G2989" t="s">
        <v>1555</v>
      </c>
      <c r="H2989" t="n">
        <v>39.738542577125</v>
      </c>
      <c r="I2989" t="n">
        <v>-104.995373060396</v>
      </c>
      <c r="J2989" t="s">
        <v>35</v>
      </c>
      <c r="K2989" t="s">
        <v>796</v>
      </c>
      <c r="L2989"/>
      <c r="M2989" t="n">
        <v>1966</v>
      </c>
      <c r="N2989" t="n">
        <v>1990</v>
      </c>
      <c r="O2989" t="s">
        <v>14935</v>
      </c>
      <c r="P2989" t="n">
        <v>11</v>
      </c>
      <c r="Q2989" t="n">
        <v>4</v>
      </c>
      <c r="R2989" t="n">
        <v>2</v>
      </c>
      <c r="S2989" t="n">
        <v>1946</v>
      </c>
      <c r="T2989" t="s">
        <v>19719</v>
      </c>
      <c r="U2989" t="s">
        <v>19720</v>
      </c>
      <c r="V2989" t="s">
        <v>74</v>
      </c>
      <c r="W2989"/>
      <c r="X2989" t="s">
        <v>19721</v>
      </c>
      <c r="Y2989"/>
      <c r="Z2989"/>
      <c r="AA2989"/>
      <c r="AB2989" t="s">
        <v>19722</v>
      </c>
      <c r="AC2989" t="n">
        <v>125</v>
      </c>
      <c r="AD2989" t="s">
        <v>19723</v>
      </c>
      <c r="AE2989" t="n">
        <v>105</v>
      </c>
      <c r="AF2989" t="s">
        <v>4955</v>
      </c>
      <c r="AG2989" t="n">
        <v>143</v>
      </c>
    </row>
    <row r="2990">
      <c r="A2990" t="s">
        <v>19724</v>
      </c>
      <c r="B2990" t="s">
        <v>27</v>
      </c>
      <c r="C2990" t="s">
        <v>65</v>
      </c>
      <c r="D2990" t="s">
        <v>19725</v>
      </c>
      <c r="E2990" t="s">
        <v>79</v>
      </c>
      <c r="F2990" t="s">
        <v>1274</v>
      </c>
      <c r="G2990" t="s">
        <v>1516</v>
      </c>
      <c r="H2990" t="n">
        <v>39.6760974117628</v>
      </c>
      <c r="I2990" t="n">
        <v>-105.000619416539</v>
      </c>
      <c r="J2990" t="s">
        <v>35</v>
      </c>
      <c r="K2990" t="s">
        <v>201</v>
      </c>
      <c r="L2990" t="s">
        <v>202</v>
      </c>
      <c r="M2990" t="n">
        <v>1966</v>
      </c>
      <c r="N2990" t="n">
        <v>1990</v>
      </c>
      <c r="O2990" t="s">
        <v>19726</v>
      </c>
      <c r="P2990" t="n">
        <v>9</v>
      </c>
      <c r="Q2990" t="n">
        <v>12</v>
      </c>
      <c r="R2990" t="n">
        <v>9</v>
      </c>
      <c r="S2990" t="n">
        <v>1950</v>
      </c>
      <c r="T2990" t="s">
        <v>19727</v>
      </c>
      <c r="U2990" t="s">
        <v>19728</v>
      </c>
      <c r="V2990" t="s">
        <v>74</v>
      </c>
      <c r="W2990"/>
      <c r="X2990" t="s">
        <v>19729</v>
      </c>
      <c r="Y2990" t="s">
        <v>19730</v>
      </c>
      <c r="Z2990"/>
      <c r="AA2990" t="s">
        <v>19731</v>
      </c>
      <c r="AB2990"/>
      <c r="AC2990"/>
      <c r="AD2990" t="s">
        <v>8989</v>
      </c>
      <c r="AE2990" t="n">
        <v>105</v>
      </c>
      <c r="AF2990" t="s">
        <v>19732</v>
      </c>
      <c r="AG2990" t="n">
        <v>25</v>
      </c>
    </row>
    <row r="2991">
      <c r="A2991" t="s">
        <v>19733</v>
      </c>
      <c r="B2991" t="s">
        <v>27</v>
      </c>
      <c r="C2991" t="s">
        <v>65</v>
      </c>
      <c r="D2991" t="s">
        <v>19734</v>
      </c>
      <c r="E2991" t="s">
        <v>79</v>
      </c>
      <c r="F2991" t="s">
        <v>1274</v>
      </c>
      <c r="G2991" t="s">
        <v>1574</v>
      </c>
      <c r="H2991" t="n">
        <v>39.76228</v>
      </c>
      <c r="I2991" t="n">
        <v>-104.980515</v>
      </c>
      <c r="J2991" t="s">
        <v>35</v>
      </c>
      <c r="K2991" t="s">
        <v>234</v>
      </c>
      <c r="L2991"/>
      <c r="M2991" t="n">
        <v>1966</v>
      </c>
      <c r="N2991" t="n">
        <v>1983</v>
      </c>
      <c r="O2991" t="s">
        <v>4114</v>
      </c>
      <c r="P2991" t="n">
        <v>7</v>
      </c>
      <c r="Q2991" t="n">
        <v>5</v>
      </c>
      <c r="R2991" t="n">
        <v>2</v>
      </c>
      <c r="S2991" t="n">
        <v>1878</v>
      </c>
      <c r="T2991" t="s">
        <v>19735</v>
      </c>
      <c r="U2991" t="s">
        <v>19736</v>
      </c>
      <c r="V2991" t="s">
        <v>74</v>
      </c>
      <c r="W2991"/>
      <c r="X2991" t="s">
        <v>19737</v>
      </c>
      <c r="Y2991" t="s">
        <v>19738</v>
      </c>
      <c r="Z2991"/>
      <c r="AA2991" t="s">
        <v>19739</v>
      </c>
      <c r="AB2991" t="s">
        <v>1711</v>
      </c>
      <c r="AC2991" t="n">
        <v>137</v>
      </c>
      <c r="AD2991" t="s">
        <v>6898</v>
      </c>
      <c r="AE2991" t="n">
        <v>38</v>
      </c>
      <c r="AF2991" t="s">
        <v>19624</v>
      </c>
      <c r="AG2991" t="n">
        <v>20</v>
      </c>
    </row>
    <row r="2992">
      <c r="A2992" t="s">
        <v>19740</v>
      </c>
      <c r="B2992" t="s">
        <v>27</v>
      </c>
      <c r="C2992" t="s">
        <v>65</v>
      </c>
      <c r="D2992" t="s">
        <v>19741</v>
      </c>
      <c r="E2992" t="s">
        <v>79</v>
      </c>
      <c r="F2992" t="s">
        <v>1274</v>
      </c>
      <c r="G2992" t="s">
        <v>1653</v>
      </c>
      <c r="H2992" t="n">
        <v>39.7783961809964</v>
      </c>
      <c r="I2992" t="n">
        <v>-104.944075785065</v>
      </c>
      <c r="J2992" t="s">
        <v>35</v>
      </c>
      <c r="K2992" t="s">
        <v>201</v>
      </c>
      <c r="L2992"/>
      <c r="M2992" t="n">
        <v>1966</v>
      </c>
      <c r="N2992" t="n">
        <v>1990</v>
      </c>
      <c r="O2992" t="s">
        <v>19742</v>
      </c>
      <c r="P2992" t="n">
        <v>8</v>
      </c>
      <c r="Q2992" t="n">
        <v>6</v>
      </c>
      <c r="R2992" t="n">
        <v>5</v>
      </c>
      <c r="S2992" t="n">
        <v>1958</v>
      </c>
      <c r="T2992" t="s">
        <v>19743</v>
      </c>
      <c r="U2992" t="s">
        <v>19744</v>
      </c>
      <c r="V2992" t="s">
        <v>74</v>
      </c>
      <c r="W2992"/>
      <c r="X2992" t="s">
        <v>19745</v>
      </c>
      <c r="Y2992" t="s">
        <v>19746</v>
      </c>
      <c r="Z2992" t="s">
        <v>19747</v>
      </c>
      <c r="AA2992" t="s">
        <v>19748</v>
      </c>
      <c r="AB2992"/>
      <c r="AC2992"/>
      <c r="AD2992" t="s">
        <v>2017</v>
      </c>
      <c r="AE2992" t="n">
        <v>98</v>
      </c>
      <c r="AF2992" t="s">
        <v>19749</v>
      </c>
      <c r="AG2992" t="n">
        <v>5</v>
      </c>
    </row>
    <row r="2993">
      <c r="A2993" t="s">
        <v>19750</v>
      </c>
      <c r="B2993" t="s">
        <v>27</v>
      </c>
      <c r="C2993" t="s">
        <v>65</v>
      </c>
      <c r="D2993" t="s">
        <v>19751</v>
      </c>
      <c r="E2993" t="s">
        <v>79</v>
      </c>
      <c r="F2993" t="s">
        <v>1274</v>
      </c>
      <c r="G2993" t="s">
        <v>1691</v>
      </c>
      <c r="H2993" t="n">
        <v>39.6784637288345</v>
      </c>
      <c r="I2993" t="n">
        <v>-104.930005603482</v>
      </c>
      <c r="J2993" t="s">
        <v>35</v>
      </c>
      <c r="K2993" t="s">
        <v>70</v>
      </c>
      <c r="L2993"/>
      <c r="M2993" t="n">
        <v>1967</v>
      </c>
      <c r="N2993" t="n">
        <v>1968</v>
      </c>
      <c r="O2993" t="s">
        <v>1349</v>
      </c>
      <c r="P2993" t="n">
        <v>2</v>
      </c>
      <c r="Q2993" t="n">
        <v>2</v>
      </c>
      <c r="R2993" t="n">
        <v>1</v>
      </c>
      <c r="S2993" t="n">
        <v>1946</v>
      </c>
      <c r="T2993" t="s">
        <v>19752</v>
      </c>
      <c r="U2993" t="s">
        <v>19753</v>
      </c>
      <c r="V2993" t="s">
        <v>74</v>
      </c>
      <c r="W2993"/>
      <c r="X2993" t="s">
        <v>19754</v>
      </c>
      <c r="Y2993"/>
      <c r="Z2993"/>
      <c r="AA2993" t="s">
        <v>19755</v>
      </c>
      <c r="AB2993" t="s">
        <v>7534</v>
      </c>
      <c r="AC2993" t="n">
        <v>209</v>
      </c>
      <c r="AD2993" t="s">
        <v>7535</v>
      </c>
      <c r="AE2993" t="n">
        <v>82</v>
      </c>
      <c r="AF2993" t="s">
        <v>19756</v>
      </c>
      <c r="AG2993" t="n">
        <v>196</v>
      </c>
    </row>
    <row r="2994">
      <c r="A2994" t="s">
        <v>19757</v>
      </c>
      <c r="B2994" t="s">
        <v>27</v>
      </c>
      <c r="C2994" t="s">
        <v>65</v>
      </c>
      <c r="D2994" t="s">
        <v>19758</v>
      </c>
      <c r="E2994" t="s">
        <v>79</v>
      </c>
      <c r="F2994" t="s">
        <v>1274</v>
      </c>
      <c r="G2994" t="s">
        <v>1516</v>
      </c>
      <c r="H2994" t="n">
        <v>39.678514</v>
      </c>
      <c r="I2994" t="n">
        <v>-104.988272</v>
      </c>
      <c r="J2994" t="s">
        <v>35</v>
      </c>
      <c r="K2994" t="s">
        <v>5187</v>
      </c>
      <c r="L2994"/>
      <c r="M2994" t="n">
        <v>1967</v>
      </c>
      <c r="N2994" t="n">
        <v>1967</v>
      </c>
      <c r="O2994" t="s">
        <v>388</v>
      </c>
      <c r="P2994" t="n">
        <v>1</v>
      </c>
      <c r="Q2994" t="n">
        <v>1</v>
      </c>
      <c r="R2994" t="n">
        <v>1</v>
      </c>
      <c r="S2994" t="n">
        <v>1921</v>
      </c>
      <c r="T2994" t="s">
        <v>19759</v>
      </c>
      <c r="U2994" t="s">
        <v>19760</v>
      </c>
      <c r="V2994" t="s">
        <v>74</v>
      </c>
      <c r="W2994"/>
      <c r="X2994" t="s">
        <v>19761</v>
      </c>
      <c r="Y2994"/>
      <c r="Z2994"/>
      <c r="AA2994"/>
      <c r="AB2994"/>
      <c r="AC2994"/>
      <c r="AD2994" t="s">
        <v>1431</v>
      </c>
      <c r="AE2994" t="n">
        <v>31</v>
      </c>
      <c r="AF2994" t="s">
        <v>19762</v>
      </c>
      <c r="AG2994" t="n">
        <v>139</v>
      </c>
    </row>
    <row r="2995">
      <c r="A2995" t="s">
        <v>19763</v>
      </c>
      <c r="B2995" t="s">
        <v>27</v>
      </c>
      <c r="C2995" t="s">
        <v>24</v>
      </c>
      <c r="D2995" t="s">
        <v>19764</v>
      </c>
      <c r="E2995" t="s">
        <v>79</v>
      </c>
      <c r="F2995" t="s">
        <v>1274</v>
      </c>
      <c r="G2995" t="s">
        <v>1555</v>
      </c>
      <c r="H2995" t="n">
        <v>39.729318</v>
      </c>
      <c r="I2995" t="n">
        <v>-105.013988</v>
      </c>
      <c r="J2995" t="s">
        <v>4109</v>
      </c>
      <c r="K2995" t="s">
        <v>120</v>
      </c>
      <c r="L2995" t="s">
        <v>202</v>
      </c>
      <c r="M2995" t="n">
        <v>1967</v>
      </c>
      <c r="N2995" t="n">
        <v>1974</v>
      </c>
      <c r="O2995" t="s">
        <v>409</v>
      </c>
      <c r="P2995" t="n">
        <v>3</v>
      </c>
      <c r="Q2995" t="n">
        <v>3</v>
      </c>
      <c r="R2995" t="n">
        <v>2</v>
      </c>
      <c r="S2995" t="n">
        <v>1963</v>
      </c>
      <c r="T2995" t="s">
        <v>19765</v>
      </c>
      <c r="U2995" t="s">
        <v>19766</v>
      </c>
      <c r="V2995" t="s">
        <v>74</v>
      </c>
      <c r="W2995"/>
      <c r="X2995" t="s">
        <v>19767</v>
      </c>
      <c r="Y2995" t="s">
        <v>19768</v>
      </c>
      <c r="Z2995"/>
      <c r="AA2995" t="s">
        <v>19769</v>
      </c>
      <c r="AB2995"/>
      <c r="AC2995"/>
      <c r="AD2995" t="s">
        <v>4365</v>
      </c>
      <c r="AE2995" t="n">
        <v>154</v>
      </c>
      <c r="AF2995" t="s">
        <v>14863</v>
      </c>
      <c r="AG2995" t="n">
        <v>87</v>
      </c>
    </row>
    <row r="2996">
      <c r="A2996" t="s">
        <v>19770</v>
      </c>
      <c r="B2996" t="s">
        <v>27</v>
      </c>
      <c r="C2996" t="s">
        <v>65</v>
      </c>
      <c r="D2996" t="s">
        <v>19771</v>
      </c>
      <c r="E2996" t="s">
        <v>79</v>
      </c>
      <c r="F2996" t="s">
        <v>1274</v>
      </c>
      <c r="G2996" t="s">
        <v>1516</v>
      </c>
      <c r="H2996" t="n">
        <v>39.7219184197589</v>
      </c>
      <c r="I2996" t="n">
        <v>-105.015183816889</v>
      </c>
      <c r="J2996" t="s">
        <v>35</v>
      </c>
      <c r="K2996" t="s">
        <v>220</v>
      </c>
      <c r="L2996"/>
      <c r="M2996" t="n">
        <v>1968</v>
      </c>
      <c r="N2996" t="n">
        <v>1992</v>
      </c>
      <c r="O2996" t="s">
        <v>19772</v>
      </c>
      <c r="P2996" t="n">
        <v>7</v>
      </c>
      <c r="Q2996" t="n">
        <v>7</v>
      </c>
      <c r="R2996" t="n">
        <v>3</v>
      </c>
      <c r="S2996" t="n">
        <v>1951</v>
      </c>
      <c r="T2996" t="s">
        <v>19773</v>
      </c>
      <c r="U2996" t="s">
        <v>19774</v>
      </c>
      <c r="V2996" t="s">
        <v>74</v>
      </c>
      <c r="W2996"/>
      <c r="X2996" t="s">
        <v>19775</v>
      </c>
      <c r="Y2996" t="s">
        <v>19776</v>
      </c>
      <c r="Z2996"/>
      <c r="AA2996"/>
      <c r="AB2996" t="s">
        <v>7725</v>
      </c>
      <c r="AC2996" t="n">
        <v>120</v>
      </c>
      <c r="AD2996" t="s">
        <v>7221</v>
      </c>
      <c r="AE2996" t="n">
        <v>15</v>
      </c>
      <c r="AF2996" t="s">
        <v>7726</v>
      </c>
      <c r="AG2996" t="n">
        <v>15</v>
      </c>
    </row>
    <row r="2997">
      <c r="A2997" t="s">
        <v>19777</v>
      </c>
      <c r="B2997" t="s">
        <v>27</v>
      </c>
      <c r="C2997" t="s">
        <v>24</v>
      </c>
      <c r="D2997" t="s">
        <v>19778</v>
      </c>
      <c r="E2997" t="s">
        <v>79</v>
      </c>
      <c r="F2997" t="s">
        <v>1274</v>
      </c>
      <c r="G2997" t="s">
        <v>1516</v>
      </c>
      <c r="H2997" t="n">
        <v>39.689393</v>
      </c>
      <c r="I2997" t="n">
        <v>-104.990382</v>
      </c>
      <c r="J2997" t="s">
        <v>4109</v>
      </c>
      <c r="K2997" t="s">
        <v>120</v>
      </c>
      <c r="L2997"/>
      <c r="M2997" t="n">
        <v>1968</v>
      </c>
      <c r="N2997" t="n">
        <v>1968</v>
      </c>
      <c r="O2997" t="s">
        <v>1349</v>
      </c>
      <c r="P2997" t="n">
        <v>1</v>
      </c>
      <c r="Q2997" t="n">
        <v>1</v>
      </c>
      <c r="R2997" t="n">
        <v>1</v>
      </c>
      <c r="S2997" t="n">
        <v>1967</v>
      </c>
      <c r="T2997" t="s">
        <v>19779</v>
      </c>
      <c r="U2997" t="s">
        <v>19780</v>
      </c>
      <c r="V2997" t="s">
        <v>74</v>
      </c>
      <c r="W2997"/>
      <c r="X2997" t="s">
        <v>19781</v>
      </c>
      <c r="Y2997" t="s">
        <v>19782</v>
      </c>
      <c r="Z2997"/>
      <c r="AA2997" t="s">
        <v>19783</v>
      </c>
      <c r="AB2997"/>
      <c r="AC2997"/>
      <c r="AD2997" t="s">
        <v>1521</v>
      </c>
      <c r="AE2997" t="n">
        <v>115</v>
      </c>
      <c r="AF2997" t="s">
        <v>19784</v>
      </c>
      <c r="AG2997" t="n">
        <v>151</v>
      </c>
    </row>
    <row r="2998">
      <c r="A2998" t="s">
        <v>19785</v>
      </c>
      <c r="B2998" t="s">
        <v>27</v>
      </c>
      <c r="C2998" t="s">
        <v>24</v>
      </c>
      <c r="D2998" t="s">
        <v>19786</v>
      </c>
      <c r="E2998" t="s">
        <v>79</v>
      </c>
      <c r="F2998" t="s">
        <v>1274</v>
      </c>
      <c r="G2998" t="s">
        <v>1555</v>
      </c>
      <c r="H2998" t="n">
        <v>39.7289249149638</v>
      </c>
      <c r="I2998" t="n">
        <v>-105.012147673551</v>
      </c>
      <c r="J2998" t="s">
        <v>4109</v>
      </c>
      <c r="K2998" t="s">
        <v>70</v>
      </c>
      <c r="L2998"/>
      <c r="M2998" t="n">
        <v>1968</v>
      </c>
      <c r="N2998" t="n">
        <v>1990</v>
      </c>
      <c r="O2998" t="s">
        <v>8201</v>
      </c>
      <c r="P2998" t="n">
        <v>7</v>
      </c>
      <c r="Q2998" t="n">
        <v>2</v>
      </c>
      <c r="R2998" t="n">
        <v>2</v>
      </c>
      <c r="S2998" t="n">
        <v>1961</v>
      </c>
      <c r="T2998" t="s">
        <v>19787</v>
      </c>
      <c r="U2998" t="s">
        <v>19788</v>
      </c>
      <c r="V2998" t="s">
        <v>74</v>
      </c>
      <c r="W2998"/>
      <c r="X2998" t="s">
        <v>19789</v>
      </c>
      <c r="Y2998"/>
      <c r="Z2998"/>
      <c r="AA2998" t="s">
        <v>19790</v>
      </c>
      <c r="AB2998"/>
      <c r="AC2998"/>
      <c r="AD2998" t="s">
        <v>14977</v>
      </c>
      <c r="AE2998" t="n">
        <v>39</v>
      </c>
      <c r="AF2998" t="s">
        <v>19791</v>
      </c>
      <c r="AG2998" t="n">
        <v>75</v>
      </c>
    </row>
    <row r="2999">
      <c r="A2999" t="s">
        <v>19792</v>
      </c>
      <c r="B2999" t="s">
        <v>27</v>
      </c>
      <c r="C2999" t="s">
        <v>65</v>
      </c>
      <c r="D2999" t="s">
        <v>19793</v>
      </c>
      <c r="E2999" t="s">
        <v>79</v>
      </c>
      <c r="F2999" t="s">
        <v>1274</v>
      </c>
      <c r="G2999" t="s">
        <v>1574</v>
      </c>
      <c r="H2999" t="n">
        <v>39.7652083950216</v>
      </c>
      <c r="I2999" t="n">
        <v>-104.978481892975</v>
      </c>
      <c r="J2999" t="s">
        <v>35</v>
      </c>
      <c r="K2999" t="s">
        <v>70</v>
      </c>
      <c r="L2999"/>
      <c r="M2999" t="n">
        <v>1968</v>
      </c>
      <c r="N2999" t="n">
        <v>1970</v>
      </c>
      <c r="O2999" t="s">
        <v>1587</v>
      </c>
      <c r="P2999" t="n">
        <v>2</v>
      </c>
      <c r="Q2999" t="n">
        <v>1</v>
      </c>
      <c r="R2999" t="n">
        <v>1</v>
      </c>
      <c r="S2999" t="n">
        <v>1955</v>
      </c>
      <c r="T2999" t="s">
        <v>19794</v>
      </c>
      <c r="U2999" t="s">
        <v>19795</v>
      </c>
      <c r="V2999" t="s">
        <v>74</v>
      </c>
      <c r="W2999"/>
      <c r="X2999" t="s">
        <v>19796</v>
      </c>
      <c r="Y2999"/>
      <c r="Z2999"/>
      <c r="AA2999"/>
      <c r="AB2999" t="s">
        <v>1983</v>
      </c>
      <c r="AC2999" t="n">
        <v>88</v>
      </c>
      <c r="AD2999" t="s">
        <v>1712</v>
      </c>
      <c r="AE2999" t="n">
        <v>79</v>
      </c>
      <c r="AF2999" t="s">
        <v>8263</v>
      </c>
      <c r="AG2999" t="n">
        <v>85</v>
      </c>
    </row>
    <row r="3000">
      <c r="A3000" t="s">
        <v>19797</v>
      </c>
      <c r="B3000" t="s">
        <v>27</v>
      </c>
      <c r="C3000" t="s">
        <v>24</v>
      </c>
      <c r="D3000" t="s">
        <v>19798</v>
      </c>
      <c r="E3000" t="s">
        <v>79</v>
      </c>
      <c r="F3000" t="s">
        <v>1274</v>
      </c>
      <c r="G3000" t="s">
        <v>1555</v>
      </c>
      <c r="H3000" t="n">
        <v>39.7284293330896</v>
      </c>
      <c r="I3000" t="n">
        <v>-105.013179209839</v>
      </c>
      <c r="J3000" t="s">
        <v>4109</v>
      </c>
      <c r="K3000" t="s">
        <v>527</v>
      </c>
      <c r="L3000"/>
      <c r="M3000" t="n">
        <v>1968</v>
      </c>
      <c r="N3000" t="n">
        <v>1992</v>
      </c>
      <c r="O3000" t="s">
        <v>19799</v>
      </c>
      <c r="P3000" t="n">
        <v>8</v>
      </c>
      <c r="Q3000" t="n">
        <v>4</v>
      </c>
      <c r="R3000" t="n">
        <v>2</v>
      </c>
      <c r="S3000" t="n">
        <v>1951</v>
      </c>
      <c r="T3000" t="s">
        <v>19800</v>
      </c>
      <c r="U3000" t="s">
        <v>19801</v>
      </c>
      <c r="V3000" t="s">
        <v>74</v>
      </c>
      <c r="W3000"/>
      <c r="X3000" t="s">
        <v>19802</v>
      </c>
      <c r="Y3000"/>
      <c r="Z3000"/>
      <c r="AA3000"/>
      <c r="AB3000"/>
      <c r="AC3000"/>
      <c r="AD3000" t="s">
        <v>4365</v>
      </c>
      <c r="AE3000" t="n">
        <v>66</v>
      </c>
      <c r="AF3000" t="s">
        <v>15905</v>
      </c>
      <c r="AG3000" t="n">
        <v>104</v>
      </c>
    </row>
    <row r="3001">
      <c r="A3001" t="s">
        <v>19803</v>
      </c>
      <c r="B3001" t="s">
        <v>27</v>
      </c>
      <c r="C3001" t="s">
        <v>65</v>
      </c>
      <c r="D3001" t="s">
        <v>19804</v>
      </c>
      <c r="E3001" t="s">
        <v>79</v>
      </c>
      <c r="F3001" t="s">
        <v>1274</v>
      </c>
      <c r="G3001" t="s">
        <v>1653</v>
      </c>
      <c r="H3001" t="n">
        <v>39.794992</v>
      </c>
      <c r="I3001" t="n">
        <v>-104.994949</v>
      </c>
      <c r="J3001" t="s">
        <v>35</v>
      </c>
      <c r="K3001" t="s">
        <v>282</v>
      </c>
      <c r="L3001"/>
      <c r="M3001" t="n">
        <v>1973</v>
      </c>
      <c r="N3001" t="n">
        <v>1990</v>
      </c>
      <c r="O3001" t="s">
        <v>8427</v>
      </c>
      <c r="P3001" t="n">
        <v>3</v>
      </c>
      <c r="Q3001" t="n">
        <v>3</v>
      </c>
      <c r="R3001" t="n">
        <v>3</v>
      </c>
      <c r="S3001" t="n">
        <v>1965</v>
      </c>
      <c r="T3001" t="s">
        <v>19805</v>
      </c>
      <c r="U3001" t="s">
        <v>19806</v>
      </c>
      <c r="V3001" t="s">
        <v>74</v>
      </c>
      <c r="W3001"/>
      <c r="X3001" t="s">
        <v>19807</v>
      </c>
      <c r="Y3001" t="s">
        <v>19808</v>
      </c>
      <c r="Z3001"/>
      <c r="AA3001" t="s">
        <v>19809</v>
      </c>
      <c r="AB3001" t="s">
        <v>19810</v>
      </c>
      <c r="AC3001" t="n">
        <v>103</v>
      </c>
      <c r="AD3001" t="s">
        <v>19811</v>
      </c>
      <c r="AE3001" t="n">
        <v>130</v>
      </c>
      <c r="AF3001" t="s">
        <v>19812</v>
      </c>
      <c r="AG3001" t="n">
        <v>29</v>
      </c>
    </row>
    <row r="3002">
      <c r="A3002" t="s">
        <v>19813</v>
      </c>
      <c r="B3002" t="s">
        <v>27</v>
      </c>
      <c r="C3002" t="s">
        <v>65</v>
      </c>
      <c r="D3002" t="s">
        <v>19814</v>
      </c>
      <c r="E3002" t="s">
        <v>79</v>
      </c>
      <c r="F3002" t="s">
        <v>1274</v>
      </c>
      <c r="G3002" t="s">
        <v>1702</v>
      </c>
      <c r="H3002" t="n">
        <v>39.7896761239246</v>
      </c>
      <c r="I3002" t="n">
        <v>-104.859031198822</v>
      </c>
      <c r="J3002" t="s">
        <v>35</v>
      </c>
      <c r="K3002" t="s">
        <v>796</v>
      </c>
      <c r="L3002"/>
      <c r="M3002" t="n">
        <v>1973</v>
      </c>
      <c r="N3002" t="n">
        <v>1990</v>
      </c>
      <c r="O3002" t="s">
        <v>886</v>
      </c>
      <c r="P3002" t="n">
        <v>7</v>
      </c>
      <c r="Q3002" t="n">
        <v>6</v>
      </c>
      <c r="R3002" t="n">
        <v>2</v>
      </c>
      <c r="S3002" t="n">
        <v>1920</v>
      </c>
      <c r="T3002" t="s">
        <v>19815</v>
      </c>
      <c r="U3002" t="s">
        <v>19816</v>
      </c>
      <c r="V3002" t="s">
        <v>74</v>
      </c>
      <c r="W3002"/>
      <c r="X3002" t="s">
        <v>19817</v>
      </c>
      <c r="Y3002" t="s">
        <v>19818</v>
      </c>
      <c r="Z3002"/>
      <c r="AA3002" t="s">
        <v>19819</v>
      </c>
      <c r="AB3002" t="s">
        <v>8492</v>
      </c>
      <c r="AC3002" t="n">
        <v>84</v>
      </c>
      <c r="AD3002" t="s">
        <v>19820</v>
      </c>
      <c r="AE3002" t="n">
        <v>84</v>
      </c>
      <c r="AF3002" t="s">
        <v>19821</v>
      </c>
      <c r="AG3002" t="n">
        <v>77</v>
      </c>
    </row>
    <row r="3003">
      <c r="A3003" t="s">
        <v>19822</v>
      </c>
      <c r="B3003" t="s">
        <v>27</v>
      </c>
      <c r="C3003" t="s">
        <v>65</v>
      </c>
      <c r="D3003" t="s">
        <v>19823</v>
      </c>
      <c r="E3003" t="s">
        <v>79</v>
      </c>
      <c r="F3003" t="s">
        <v>1274</v>
      </c>
      <c r="G3003" t="s">
        <v>1569</v>
      </c>
      <c r="H3003" t="n">
        <v>39.6918847324961</v>
      </c>
      <c r="I3003" t="n">
        <v>-104.987474807092</v>
      </c>
      <c r="J3003" t="s">
        <v>35</v>
      </c>
      <c r="K3003" t="s">
        <v>616</v>
      </c>
      <c r="L3003"/>
      <c r="M3003" t="n">
        <v>1973</v>
      </c>
      <c r="N3003" t="n">
        <v>1990</v>
      </c>
      <c r="O3003" t="s">
        <v>142</v>
      </c>
      <c r="P3003" t="n">
        <v>5</v>
      </c>
      <c r="Q3003" t="n">
        <v>3</v>
      </c>
      <c r="R3003" t="n">
        <v>3</v>
      </c>
      <c r="S3003" t="n">
        <v>1957</v>
      </c>
      <c r="T3003" t="s">
        <v>19824</v>
      </c>
      <c r="U3003" t="s">
        <v>19825</v>
      </c>
      <c r="V3003" t="s">
        <v>74</v>
      </c>
      <c r="W3003"/>
      <c r="X3003" t="s">
        <v>19826</v>
      </c>
      <c r="Y3003"/>
      <c r="Z3003"/>
      <c r="AA3003" t="s">
        <v>19827</v>
      </c>
      <c r="AB3003"/>
      <c r="AC3003"/>
      <c r="AD3003" t="s">
        <v>1491</v>
      </c>
      <c r="AE3003" t="n">
        <v>92</v>
      </c>
      <c r="AF3003" t="s">
        <v>19589</v>
      </c>
      <c r="AG3003" t="n">
        <v>125</v>
      </c>
    </row>
    <row r="3004">
      <c r="A3004" t="s">
        <v>19828</v>
      </c>
      <c r="B3004" t="s">
        <v>27</v>
      </c>
      <c r="C3004" t="s">
        <v>65</v>
      </c>
      <c r="D3004" t="s">
        <v>19829</v>
      </c>
      <c r="E3004" t="s">
        <v>79</v>
      </c>
      <c r="F3004" t="s">
        <v>1274</v>
      </c>
      <c r="G3004" t="s">
        <v>1702</v>
      </c>
      <c r="H3004" t="n">
        <v>39.7788687962613</v>
      </c>
      <c r="I3004" t="n">
        <v>-104.858042542807</v>
      </c>
      <c r="J3004" t="s">
        <v>35</v>
      </c>
      <c r="K3004" t="s">
        <v>70</v>
      </c>
      <c r="L3004"/>
      <c r="M3004" t="n">
        <v>1973</v>
      </c>
      <c r="N3004" t="n">
        <v>1990</v>
      </c>
      <c r="O3004" t="s">
        <v>19830</v>
      </c>
      <c r="P3004" t="n">
        <v>5</v>
      </c>
      <c r="Q3004" t="n">
        <v>3</v>
      </c>
      <c r="R3004" t="n">
        <v>3</v>
      </c>
      <c r="S3004" t="n">
        <v>1966</v>
      </c>
      <c r="T3004" t="s">
        <v>19831</v>
      </c>
      <c r="U3004" t="s">
        <v>19832</v>
      </c>
      <c r="V3004" t="s">
        <v>74</v>
      </c>
      <c r="W3004"/>
      <c r="X3004" t="s">
        <v>19833</v>
      </c>
      <c r="Y3004" t="s">
        <v>19834</v>
      </c>
      <c r="Z3004"/>
      <c r="AA3004"/>
      <c r="AB3004" t="s">
        <v>19835</v>
      </c>
      <c r="AC3004" t="n">
        <v>195</v>
      </c>
      <c r="AD3004" t="s">
        <v>19836</v>
      </c>
      <c r="AE3004" t="n">
        <v>59</v>
      </c>
      <c r="AF3004" t="s">
        <v>19837</v>
      </c>
      <c r="AG3004" t="n">
        <v>25</v>
      </c>
    </row>
    <row r="3005">
      <c r="A3005" t="s">
        <v>19838</v>
      </c>
      <c r="B3005" t="s">
        <v>27</v>
      </c>
      <c r="C3005" t="s">
        <v>24</v>
      </c>
      <c r="D3005" t="s">
        <v>19839</v>
      </c>
      <c r="E3005" t="s">
        <v>79</v>
      </c>
      <c r="F3005" t="s">
        <v>1274</v>
      </c>
      <c r="G3005" t="s">
        <v>1555</v>
      </c>
      <c r="H3005" t="n">
        <v>39.72573</v>
      </c>
      <c r="I3005" t="n">
        <v>-105.018676</v>
      </c>
      <c r="J3005" t="s">
        <v>4109</v>
      </c>
      <c r="K3005" t="s">
        <v>120</v>
      </c>
      <c r="L3005"/>
      <c r="M3005" t="n">
        <v>1973</v>
      </c>
      <c r="N3005" t="n">
        <v>1990</v>
      </c>
      <c r="O3005" t="s">
        <v>127</v>
      </c>
      <c r="P3005" t="n">
        <v>4</v>
      </c>
      <c r="Q3005" t="n">
        <v>3</v>
      </c>
      <c r="R3005" t="n">
        <v>1</v>
      </c>
      <c r="S3005" t="n">
        <v>1922</v>
      </c>
      <c r="T3005" t="s">
        <v>19840</v>
      </c>
      <c r="U3005" t="s">
        <v>19841</v>
      </c>
      <c r="V3005" t="s">
        <v>74</v>
      </c>
      <c r="W3005"/>
      <c r="X3005" t="s">
        <v>19842</v>
      </c>
      <c r="Y3005" t="s">
        <v>19843</v>
      </c>
      <c r="Z3005"/>
      <c r="AA3005" t="s">
        <v>19844</v>
      </c>
      <c r="AB3005"/>
      <c r="AC3005"/>
      <c r="AD3005" t="s">
        <v>11118</v>
      </c>
      <c r="AE3005" t="n">
        <v>102</v>
      </c>
      <c r="AF3005" t="s">
        <v>6636</v>
      </c>
      <c r="AG3005" t="n">
        <v>136</v>
      </c>
    </row>
    <row r="3006">
      <c r="A3006" t="s">
        <v>19845</v>
      </c>
      <c r="B3006" t="s">
        <v>27</v>
      </c>
      <c r="C3006" t="s">
        <v>65</v>
      </c>
      <c r="D3006" t="s">
        <v>19846</v>
      </c>
      <c r="E3006" t="s">
        <v>79</v>
      </c>
      <c r="F3006" t="s">
        <v>1274</v>
      </c>
      <c r="G3006" t="s">
        <v>1653</v>
      </c>
      <c r="H3006" t="n">
        <v>39.7712053474933</v>
      </c>
      <c r="I3006" t="n">
        <v>-104.990103755497</v>
      </c>
      <c r="J3006" t="s">
        <v>35</v>
      </c>
      <c r="K3006" t="s">
        <v>89</v>
      </c>
      <c r="L3006"/>
      <c r="M3006" t="n">
        <v>1973</v>
      </c>
      <c r="N3006" t="n">
        <v>1980</v>
      </c>
      <c r="O3006" t="s">
        <v>8406</v>
      </c>
      <c r="P3006" t="n">
        <v>3</v>
      </c>
      <c r="Q3006" t="n">
        <v>1</v>
      </c>
      <c r="R3006" t="n">
        <v>1</v>
      </c>
      <c r="S3006" t="n">
        <v>1967</v>
      </c>
      <c r="T3006" t="s">
        <v>19847</v>
      </c>
      <c r="U3006" t="s">
        <v>19848</v>
      </c>
      <c r="V3006" t="s">
        <v>74</v>
      </c>
      <c r="W3006"/>
      <c r="X3006" t="s">
        <v>19849</v>
      </c>
      <c r="Y3006"/>
      <c r="Z3006"/>
      <c r="AA3006" t="s">
        <v>19850</v>
      </c>
      <c r="AB3006"/>
      <c r="AC3006"/>
      <c r="AD3006" t="s">
        <v>19851</v>
      </c>
      <c r="AE3006" t="n">
        <v>42</v>
      </c>
      <c r="AF3006" t="s">
        <v>9255</v>
      </c>
      <c r="AG3006" t="n">
        <v>228</v>
      </c>
    </row>
    <row r="3007">
      <c r="A3007" t="s">
        <v>19852</v>
      </c>
      <c r="B3007" t="s">
        <v>27</v>
      </c>
      <c r="C3007" t="s">
        <v>65</v>
      </c>
      <c r="D3007" t="s">
        <v>19853</v>
      </c>
      <c r="E3007" t="s">
        <v>79</v>
      </c>
      <c r="F3007" t="s">
        <v>1274</v>
      </c>
      <c r="G3007" t="s">
        <v>1516</v>
      </c>
      <c r="H3007" t="n">
        <v>39.695621847273</v>
      </c>
      <c r="I3007" t="n">
        <v>-105.000323649318</v>
      </c>
      <c r="J3007" t="s">
        <v>35</v>
      </c>
      <c r="K3007" t="s">
        <v>220</v>
      </c>
      <c r="L3007"/>
      <c r="M3007" t="n">
        <v>1973</v>
      </c>
      <c r="N3007" t="n">
        <v>1990</v>
      </c>
      <c r="O3007" t="s">
        <v>127</v>
      </c>
      <c r="P3007" t="n">
        <v>6</v>
      </c>
      <c r="Q3007" t="n">
        <v>8</v>
      </c>
      <c r="R3007" t="n">
        <v>2</v>
      </c>
      <c r="S3007" t="n">
        <v>1942</v>
      </c>
      <c r="T3007" t="s">
        <v>19854</v>
      </c>
      <c r="U3007" t="s">
        <v>19855</v>
      </c>
      <c r="V3007" t="s">
        <v>74</v>
      </c>
      <c r="W3007"/>
      <c r="X3007" t="s">
        <v>19856</v>
      </c>
      <c r="Y3007" t="s">
        <v>19857</v>
      </c>
      <c r="Z3007"/>
      <c r="AA3007" t="s">
        <v>19858</v>
      </c>
      <c r="AB3007"/>
      <c r="AC3007"/>
      <c r="AD3007" t="s">
        <v>1565</v>
      </c>
      <c r="AE3007" t="n">
        <v>96</v>
      </c>
      <c r="AF3007" t="s">
        <v>19859</v>
      </c>
      <c r="AG3007" t="n">
        <v>57</v>
      </c>
    </row>
    <row r="3008">
      <c r="A3008" t="s">
        <v>19860</v>
      </c>
      <c r="B3008" t="s">
        <v>27</v>
      </c>
      <c r="C3008" t="s">
        <v>65</v>
      </c>
      <c r="D3008" t="s">
        <v>19861</v>
      </c>
      <c r="E3008" t="s">
        <v>79</v>
      </c>
      <c r="F3008" t="s">
        <v>1274</v>
      </c>
      <c r="G3008" t="s">
        <v>1702</v>
      </c>
      <c r="H3008" t="n">
        <v>39.7823697405674</v>
      </c>
      <c r="I3008" t="n">
        <v>-104.858232307119</v>
      </c>
      <c r="J3008" t="s">
        <v>35</v>
      </c>
      <c r="K3008" t="s">
        <v>89</v>
      </c>
      <c r="L3008"/>
      <c r="M3008" t="n">
        <v>1974</v>
      </c>
      <c r="N3008" t="n">
        <v>1990</v>
      </c>
      <c r="O3008" t="s">
        <v>271</v>
      </c>
      <c r="P3008" t="n">
        <v>4</v>
      </c>
      <c r="Q3008" t="n">
        <v>3</v>
      </c>
      <c r="R3008" t="n">
        <v>2</v>
      </c>
      <c r="S3008" t="n">
        <v>1972</v>
      </c>
      <c r="T3008" t="s">
        <v>19862</v>
      </c>
      <c r="U3008" t="s">
        <v>19863</v>
      </c>
      <c r="V3008" t="s">
        <v>74</v>
      </c>
      <c r="W3008"/>
      <c r="X3008" t="s">
        <v>19864</v>
      </c>
      <c r="Y3008"/>
      <c r="Z3008"/>
      <c r="AA3008"/>
      <c r="AB3008" t="s">
        <v>19835</v>
      </c>
      <c r="AC3008" t="n">
        <v>244</v>
      </c>
      <c r="AD3008" t="s">
        <v>16139</v>
      </c>
      <c r="AE3008" t="n">
        <v>22</v>
      </c>
      <c r="AF3008" t="s">
        <v>16140</v>
      </c>
      <c r="AG3008" t="n">
        <v>121</v>
      </c>
    </row>
    <row r="3009">
      <c r="A3009" t="s">
        <v>19865</v>
      </c>
      <c r="B3009" t="s">
        <v>27</v>
      </c>
      <c r="C3009" t="s">
        <v>65</v>
      </c>
      <c r="D3009" t="s">
        <v>19866</v>
      </c>
      <c r="E3009" t="s">
        <v>79</v>
      </c>
      <c r="F3009" t="s">
        <v>1274</v>
      </c>
      <c r="G3009" t="s">
        <v>1881</v>
      </c>
      <c r="H3009" t="n">
        <v>39.7717315415574</v>
      </c>
      <c r="I3009" t="n">
        <v>-104.930180448146</v>
      </c>
      <c r="J3009" t="s">
        <v>35</v>
      </c>
      <c r="K3009" t="s">
        <v>89</v>
      </c>
      <c r="L3009"/>
      <c r="M3009" t="n">
        <v>1974</v>
      </c>
      <c r="N3009" t="n">
        <v>1990</v>
      </c>
      <c r="O3009" t="s">
        <v>351</v>
      </c>
      <c r="P3009" t="n">
        <v>2</v>
      </c>
      <c r="Q3009" t="n">
        <v>2</v>
      </c>
      <c r="R3009" t="n">
        <v>1</v>
      </c>
      <c r="S3009" t="n">
        <v>1965</v>
      </c>
      <c r="T3009" t="s">
        <v>19867</v>
      </c>
      <c r="U3009" t="s">
        <v>19868</v>
      </c>
      <c r="V3009" t="s">
        <v>74</v>
      </c>
      <c r="W3009"/>
      <c r="X3009" t="s">
        <v>19869</v>
      </c>
      <c r="Y3009" t="s">
        <v>19870</v>
      </c>
      <c r="Z3009"/>
      <c r="AA3009" t="s">
        <v>19871</v>
      </c>
      <c r="AB3009"/>
      <c r="AC3009"/>
      <c r="AD3009" t="s">
        <v>14848</v>
      </c>
      <c r="AE3009" t="n">
        <v>67</v>
      </c>
      <c r="AF3009" t="s">
        <v>19872</v>
      </c>
      <c r="AG3009" t="n">
        <v>8</v>
      </c>
    </row>
    <row r="3010">
      <c r="A3010" t="s">
        <v>19873</v>
      </c>
      <c r="B3010" t="s">
        <v>27</v>
      </c>
      <c r="C3010" t="s">
        <v>65</v>
      </c>
      <c r="D3010" t="s">
        <v>19874</v>
      </c>
      <c r="E3010" t="s">
        <v>79</v>
      </c>
      <c r="F3010" t="s">
        <v>1274</v>
      </c>
      <c r="G3010" t="s">
        <v>1881</v>
      </c>
      <c r="H3010" t="n">
        <v>39.7713262455064</v>
      </c>
      <c r="I3010" t="n">
        <v>-104.929315388469</v>
      </c>
      <c r="J3010" t="s">
        <v>35</v>
      </c>
      <c r="K3010" t="s">
        <v>120</v>
      </c>
      <c r="L3010"/>
      <c r="M3010" t="n">
        <v>1974</v>
      </c>
      <c r="N3010" t="n">
        <v>1990</v>
      </c>
      <c r="O3010" t="s">
        <v>210</v>
      </c>
      <c r="P3010" t="n">
        <v>3</v>
      </c>
      <c r="Q3010" t="n">
        <v>4</v>
      </c>
      <c r="R3010" t="n">
        <v>1</v>
      </c>
      <c r="S3010" t="n">
        <v>1947</v>
      </c>
      <c r="T3010" t="s">
        <v>19875</v>
      </c>
      <c r="U3010" t="s">
        <v>19876</v>
      </c>
      <c r="V3010" t="s">
        <v>74</v>
      </c>
      <c r="W3010"/>
      <c r="X3010" t="s">
        <v>19877</v>
      </c>
      <c r="Y3010" t="s">
        <v>19878</v>
      </c>
      <c r="Z3010"/>
      <c r="AA3010" t="s">
        <v>19879</v>
      </c>
      <c r="AB3010" t="s">
        <v>8072</v>
      </c>
      <c r="AC3010" t="n">
        <v>240</v>
      </c>
      <c r="AD3010" t="s">
        <v>14848</v>
      </c>
      <c r="AE3010" t="n">
        <v>105</v>
      </c>
      <c r="AF3010" t="s">
        <v>19880</v>
      </c>
      <c r="AG3010" t="n">
        <v>40</v>
      </c>
    </row>
    <row r="3011">
      <c r="A3011" t="s">
        <v>19881</v>
      </c>
      <c r="B3011" t="s">
        <v>27</v>
      </c>
      <c r="C3011" t="s">
        <v>65</v>
      </c>
      <c r="D3011" t="s">
        <v>19882</v>
      </c>
      <c r="E3011" t="s">
        <v>79</v>
      </c>
      <c r="F3011" t="s">
        <v>1274</v>
      </c>
      <c r="G3011" t="s">
        <v>1555</v>
      </c>
      <c r="H3011" t="n">
        <v>39.7293085840716</v>
      </c>
      <c r="I3011" t="n">
        <v>-105.011631079217</v>
      </c>
      <c r="J3011" t="s">
        <v>35</v>
      </c>
      <c r="K3011" t="s">
        <v>126</v>
      </c>
      <c r="L3011"/>
      <c r="M3011" t="n">
        <v>1974</v>
      </c>
      <c r="N3011" t="n">
        <v>1990</v>
      </c>
      <c r="O3011" t="s">
        <v>8575</v>
      </c>
      <c r="P3011" t="n">
        <v>2</v>
      </c>
      <c r="Q3011" t="n">
        <v>1</v>
      </c>
      <c r="R3011" t="n">
        <v>1</v>
      </c>
      <c r="S3011" t="n">
        <v>1972</v>
      </c>
      <c r="T3011" t="s">
        <v>19883</v>
      </c>
      <c r="U3011" t="s">
        <v>19884</v>
      </c>
      <c r="V3011" t="s">
        <v>74</v>
      </c>
      <c r="W3011"/>
      <c r="X3011" t="s">
        <v>19885</v>
      </c>
      <c r="Y3011" t="s">
        <v>19886</v>
      </c>
      <c r="Z3011"/>
      <c r="AA3011"/>
      <c r="AB3011"/>
      <c r="AC3011"/>
      <c r="AD3011" t="s">
        <v>14977</v>
      </c>
      <c r="AE3011" t="n">
        <v>82</v>
      </c>
      <c r="AF3011" t="s">
        <v>19791</v>
      </c>
      <c r="AG3011" t="n">
        <v>14</v>
      </c>
    </row>
    <row r="3012">
      <c r="A3012" t="s">
        <v>19887</v>
      </c>
      <c r="B3012" t="s">
        <v>27</v>
      </c>
      <c r="C3012" t="s">
        <v>65</v>
      </c>
      <c r="D3012" t="s">
        <v>19888</v>
      </c>
      <c r="E3012" t="s">
        <v>79</v>
      </c>
      <c r="F3012" t="s">
        <v>1274</v>
      </c>
      <c r="G3012" t="s">
        <v>1516</v>
      </c>
      <c r="H3012" t="n">
        <v>39.6749238367347</v>
      </c>
      <c r="I3012" t="n">
        <v>-104.992275734694</v>
      </c>
      <c r="J3012" t="s">
        <v>35</v>
      </c>
      <c r="K3012" t="s">
        <v>70</v>
      </c>
      <c r="L3012"/>
      <c r="M3012" t="n">
        <v>1974</v>
      </c>
      <c r="N3012" t="n">
        <v>1992</v>
      </c>
      <c r="O3012" t="s">
        <v>210</v>
      </c>
      <c r="P3012" t="n">
        <v>6</v>
      </c>
      <c r="Q3012" t="n">
        <v>3</v>
      </c>
      <c r="R3012" t="n">
        <v>1</v>
      </c>
      <c r="S3012" t="n">
        <v>1966</v>
      </c>
      <c r="T3012" t="s">
        <v>19889</v>
      </c>
      <c r="U3012" t="s">
        <v>19890</v>
      </c>
      <c r="V3012" t="s">
        <v>74</v>
      </c>
      <c r="W3012"/>
      <c r="X3012" t="s">
        <v>19891</v>
      </c>
      <c r="Y3012" t="s">
        <v>19892</v>
      </c>
      <c r="Z3012"/>
      <c r="AA3012"/>
      <c r="AB3012" t="s">
        <v>1370</v>
      </c>
      <c r="AC3012" t="n">
        <v>150</v>
      </c>
      <c r="AD3012" t="s">
        <v>1371</v>
      </c>
      <c r="AE3012" t="n">
        <v>70</v>
      </c>
      <c r="AF3012" t="s">
        <v>19893</v>
      </c>
      <c r="AG3012" t="n">
        <v>48</v>
      </c>
    </row>
    <row r="3013">
      <c r="A3013" t="s">
        <v>19894</v>
      </c>
      <c r="B3013" t="s">
        <v>27</v>
      </c>
      <c r="C3013" t="s">
        <v>25</v>
      </c>
      <c r="D3013" t="s">
        <v>19895</v>
      </c>
      <c r="E3013" t="s">
        <v>79</v>
      </c>
      <c r="F3013" t="s">
        <v>1274</v>
      </c>
      <c r="G3013" t="s">
        <v>1653</v>
      </c>
      <c r="H3013" t="n">
        <v>39.779819</v>
      </c>
      <c r="I3013" t="n">
        <v>-104.935026</v>
      </c>
      <c r="J3013" t="s">
        <v>4109</v>
      </c>
      <c r="K3013" t="s">
        <v>120</v>
      </c>
      <c r="L3013"/>
      <c r="M3013" t="n">
        <v>1974</v>
      </c>
      <c r="N3013" t="n">
        <v>1974</v>
      </c>
      <c r="O3013" t="s">
        <v>210</v>
      </c>
      <c r="P3013" t="n">
        <v>1</v>
      </c>
      <c r="Q3013" t="n">
        <v>1</v>
      </c>
      <c r="R3013" t="n">
        <v>1</v>
      </c>
      <c r="S3013" t="n">
        <v>1970</v>
      </c>
      <c r="T3013" t="s">
        <v>19896</v>
      </c>
      <c r="U3013" t="s">
        <v>19897</v>
      </c>
      <c r="V3013" t="s">
        <v>4175</v>
      </c>
      <c r="W3013"/>
      <c r="X3013" t="s">
        <v>19898</v>
      </c>
      <c r="Y3013" t="s">
        <v>19899</v>
      </c>
      <c r="Z3013"/>
      <c r="AA3013" t="s">
        <v>19900</v>
      </c>
      <c r="AB3013"/>
      <c r="AC3013"/>
      <c r="AD3013" t="s">
        <v>1658</v>
      </c>
      <c r="AE3013" t="n">
        <v>4</v>
      </c>
      <c r="AF3013" t="s">
        <v>1659</v>
      </c>
      <c r="AG3013" t="n">
        <v>139</v>
      </c>
    </row>
    <row r="3014">
      <c r="A3014" t="s">
        <v>19901</v>
      </c>
      <c r="B3014" t="s">
        <v>27</v>
      </c>
      <c r="C3014" t="s">
        <v>65</v>
      </c>
      <c r="D3014" t="s">
        <v>19902</v>
      </c>
      <c r="E3014" t="s">
        <v>79</v>
      </c>
      <c r="F3014" t="s">
        <v>1274</v>
      </c>
      <c r="G3014" t="s">
        <v>1653</v>
      </c>
      <c r="H3014" t="n">
        <v>39.776543</v>
      </c>
      <c r="I3014" t="n">
        <v>-104.926994</v>
      </c>
      <c r="J3014" t="s">
        <v>35</v>
      </c>
      <c r="K3014" t="s">
        <v>1041</v>
      </c>
      <c r="L3014"/>
      <c r="M3014" t="n">
        <v>1977</v>
      </c>
      <c r="N3014" t="n">
        <v>1983</v>
      </c>
      <c r="O3014" t="s">
        <v>528</v>
      </c>
      <c r="P3014" t="n">
        <v>3</v>
      </c>
      <c r="Q3014" t="n">
        <v>1</v>
      </c>
      <c r="R3014" t="n">
        <v>1</v>
      </c>
      <c r="S3014" t="n">
        <v>1972</v>
      </c>
      <c r="T3014" t="s">
        <v>19903</v>
      </c>
      <c r="U3014" t="s">
        <v>19904</v>
      </c>
      <c r="V3014" t="s">
        <v>74</v>
      </c>
      <c r="W3014"/>
      <c r="X3014" t="s">
        <v>19905</v>
      </c>
      <c r="Y3014" t="s">
        <v>19906</v>
      </c>
      <c r="Z3014"/>
      <c r="AA3014" t="s">
        <v>19907</v>
      </c>
      <c r="AB3014"/>
      <c r="AC3014"/>
      <c r="AD3014" t="s">
        <v>8073</v>
      </c>
      <c r="AE3014" t="n">
        <v>16</v>
      </c>
      <c r="AF3014" t="s">
        <v>19908</v>
      </c>
      <c r="AG3014" t="n">
        <v>31</v>
      </c>
    </row>
    <row r="3015">
      <c r="A3015" t="s">
        <v>19909</v>
      </c>
      <c r="B3015" t="s">
        <v>27</v>
      </c>
      <c r="C3015" t="s">
        <v>65</v>
      </c>
      <c r="D3015" t="s">
        <v>19910</v>
      </c>
      <c r="E3015" t="s">
        <v>79</v>
      </c>
      <c r="F3015" t="s">
        <v>1274</v>
      </c>
      <c r="G3015" t="s">
        <v>1653</v>
      </c>
      <c r="H3015" t="n">
        <v>39.776488449048</v>
      </c>
      <c r="I3015" t="n">
        <v>-104.917620487719</v>
      </c>
      <c r="J3015" t="s">
        <v>35</v>
      </c>
      <c r="K3015" t="s">
        <v>133</v>
      </c>
      <c r="L3015"/>
      <c r="M3015" t="n">
        <v>1977</v>
      </c>
      <c r="N3015" t="n">
        <v>1983</v>
      </c>
      <c r="O3015" t="s">
        <v>829</v>
      </c>
      <c r="P3015" t="n">
        <v>3</v>
      </c>
      <c r="Q3015" t="n">
        <v>1</v>
      </c>
      <c r="R3015" t="n">
        <v>1</v>
      </c>
      <c r="S3015" t="n">
        <v>1964</v>
      </c>
      <c r="T3015" t="s">
        <v>19911</v>
      </c>
      <c r="U3015" t="s">
        <v>19912</v>
      </c>
      <c r="V3015" t="s">
        <v>74</v>
      </c>
      <c r="W3015"/>
      <c r="X3015" t="s">
        <v>19913</v>
      </c>
      <c r="Y3015" t="s">
        <v>19914</v>
      </c>
      <c r="Z3015"/>
      <c r="AA3015"/>
      <c r="AB3015" t="s">
        <v>8215</v>
      </c>
      <c r="AC3015" t="n">
        <v>91</v>
      </c>
      <c r="AD3015" t="s">
        <v>15048</v>
      </c>
      <c r="AE3015" t="n">
        <v>51</v>
      </c>
      <c r="AF3015" t="s">
        <v>19915</v>
      </c>
      <c r="AG3015" t="n">
        <v>35</v>
      </c>
    </row>
    <row r="3016">
      <c r="A3016" t="s">
        <v>19916</v>
      </c>
      <c r="B3016" t="s">
        <v>27</v>
      </c>
      <c r="C3016" t="s">
        <v>25</v>
      </c>
      <c r="D3016" t="s">
        <v>19917</v>
      </c>
      <c r="E3016" t="s">
        <v>79</v>
      </c>
      <c r="F3016" t="s">
        <v>1274</v>
      </c>
      <c r="G3016" t="s">
        <v>1440</v>
      </c>
      <c r="H3016" t="n">
        <v>39.725371</v>
      </c>
      <c r="I3016" t="n">
        <v>-105.005634</v>
      </c>
      <c r="J3016" t="s">
        <v>4109</v>
      </c>
      <c r="K3016" t="s">
        <v>120</v>
      </c>
      <c r="L3016"/>
      <c r="M3016" t="n">
        <v>1977</v>
      </c>
      <c r="N3016" t="n">
        <v>1977</v>
      </c>
      <c r="O3016" t="s">
        <v>228</v>
      </c>
      <c r="P3016" t="n">
        <v>1</v>
      </c>
      <c r="Q3016" t="n">
        <v>1</v>
      </c>
      <c r="R3016" t="n">
        <v>1</v>
      </c>
      <c r="S3016" t="n">
        <v>1976</v>
      </c>
      <c r="T3016" t="s">
        <v>19918</v>
      </c>
      <c r="U3016" t="s">
        <v>19919</v>
      </c>
      <c r="V3016" t="s">
        <v>4175</v>
      </c>
      <c r="W3016"/>
      <c r="X3016" t="s">
        <v>19920</v>
      </c>
      <c r="Y3016" t="s">
        <v>19921</v>
      </c>
      <c r="Z3016"/>
      <c r="AA3016" t="s">
        <v>19922</v>
      </c>
      <c r="AB3016"/>
      <c r="AC3016"/>
      <c r="AD3016" t="s">
        <v>16027</v>
      </c>
      <c r="AE3016" t="n">
        <v>165</v>
      </c>
      <c r="AF3016" t="s">
        <v>19923</v>
      </c>
      <c r="AG3016" t="n">
        <v>102</v>
      </c>
    </row>
    <row r="3017">
      <c r="A3017" t="s">
        <v>19924</v>
      </c>
      <c r="B3017" t="s">
        <v>27</v>
      </c>
      <c r="C3017" t="s">
        <v>65</v>
      </c>
      <c r="D3017" t="s">
        <v>19925</v>
      </c>
      <c r="E3017" t="s">
        <v>79</v>
      </c>
      <c r="F3017" t="s">
        <v>1274</v>
      </c>
      <c r="G3017" t="s">
        <v>1653</v>
      </c>
      <c r="H3017" t="n">
        <v>39.8014251055525</v>
      </c>
      <c r="I3017" t="n">
        <v>-104.975839926236</v>
      </c>
      <c r="J3017" t="s">
        <v>35</v>
      </c>
      <c r="K3017" t="s">
        <v>120</v>
      </c>
      <c r="L3017"/>
      <c r="M3017" t="n">
        <v>1980</v>
      </c>
      <c r="N3017" t="n">
        <v>1980</v>
      </c>
      <c r="O3017" t="s">
        <v>255</v>
      </c>
      <c r="P3017" t="n">
        <v>1</v>
      </c>
      <c r="Q3017" t="n">
        <v>1</v>
      </c>
      <c r="R3017" t="n">
        <v>1</v>
      </c>
      <c r="S3017" t="n">
        <v>1976</v>
      </c>
      <c r="T3017" t="s">
        <v>19926</v>
      </c>
      <c r="U3017" t="s">
        <v>19927</v>
      </c>
      <c r="V3017" t="s">
        <v>74</v>
      </c>
      <c r="W3017"/>
      <c r="X3017" t="s">
        <v>19928</v>
      </c>
      <c r="Y3017" t="s">
        <v>19929</v>
      </c>
      <c r="Z3017"/>
      <c r="AA3017"/>
      <c r="AB3017"/>
      <c r="AC3017"/>
      <c r="AD3017" t="s">
        <v>224</v>
      </c>
      <c r="AE3017" t="n">
        <v>77</v>
      </c>
      <c r="AF3017" t="s">
        <v>19930</v>
      </c>
      <c r="AG3017" t="n">
        <v>24</v>
      </c>
    </row>
    <row r="3018">
      <c r="A3018" t="s">
        <v>19931</v>
      </c>
      <c r="B3018" t="s">
        <v>27</v>
      </c>
      <c r="C3018" t="s">
        <v>65</v>
      </c>
      <c r="D3018" t="s">
        <v>19932</v>
      </c>
      <c r="E3018" t="s">
        <v>79</v>
      </c>
      <c r="F3018" t="s">
        <v>1274</v>
      </c>
      <c r="G3018" t="s">
        <v>1653</v>
      </c>
      <c r="H3018" t="n">
        <v>39.7982642288963</v>
      </c>
      <c r="I3018" t="n">
        <v>-104.991839647533</v>
      </c>
      <c r="J3018" t="s">
        <v>35</v>
      </c>
      <c r="K3018" t="s">
        <v>19933</v>
      </c>
      <c r="L3018"/>
      <c r="M3018" t="n">
        <v>1980</v>
      </c>
      <c r="N3018" t="n">
        <v>1992</v>
      </c>
      <c r="O3018" t="s">
        <v>540</v>
      </c>
      <c r="P3018" t="n">
        <v>5</v>
      </c>
      <c r="Q3018" t="n">
        <v>2</v>
      </c>
      <c r="R3018" t="n">
        <v>2</v>
      </c>
      <c r="S3018" t="n">
        <v>1970</v>
      </c>
      <c r="T3018" t="s">
        <v>19934</v>
      </c>
      <c r="U3018" t="s">
        <v>19935</v>
      </c>
      <c r="V3018" t="s">
        <v>74</v>
      </c>
      <c r="W3018"/>
      <c r="X3018" t="s">
        <v>19936</v>
      </c>
      <c r="Y3018" t="s">
        <v>19937</v>
      </c>
      <c r="Z3018"/>
      <c r="AA3018" t="s">
        <v>19938</v>
      </c>
      <c r="AB3018"/>
      <c r="AC3018"/>
      <c r="AD3018" t="s">
        <v>19939</v>
      </c>
      <c r="AE3018" t="n">
        <v>115</v>
      </c>
      <c r="AF3018" t="s">
        <v>19940</v>
      </c>
      <c r="AG3018" t="n">
        <v>11</v>
      </c>
    </row>
    <row r="3019">
      <c r="A3019" t="s">
        <v>19941</v>
      </c>
      <c r="B3019" t="s">
        <v>27</v>
      </c>
      <c r="C3019" t="s">
        <v>65</v>
      </c>
      <c r="D3019" t="s">
        <v>19942</v>
      </c>
      <c r="E3019" t="s">
        <v>79</v>
      </c>
      <c r="F3019" t="s">
        <v>1274</v>
      </c>
      <c r="G3019" t="s">
        <v>1516</v>
      </c>
      <c r="H3019" t="n">
        <v>39.6752967739544</v>
      </c>
      <c r="I3019" t="n">
        <v>-104.991123835238</v>
      </c>
      <c r="J3019" t="s">
        <v>35</v>
      </c>
      <c r="K3019" t="s">
        <v>70</v>
      </c>
      <c r="L3019"/>
      <c r="M3019" t="n">
        <v>1980</v>
      </c>
      <c r="N3019" t="n">
        <v>1980</v>
      </c>
      <c r="O3019" t="s">
        <v>255</v>
      </c>
      <c r="P3019" t="n">
        <v>1</v>
      </c>
      <c r="Q3019" t="n">
        <v>1</v>
      </c>
      <c r="R3019" t="n">
        <v>1</v>
      </c>
      <c r="S3019" t="n">
        <v>1970</v>
      </c>
      <c r="T3019" t="s">
        <v>19943</v>
      </c>
      <c r="U3019" t="s">
        <v>19944</v>
      </c>
      <c r="V3019" t="s">
        <v>74</v>
      </c>
      <c r="W3019"/>
      <c r="X3019" t="s">
        <v>19945</v>
      </c>
      <c r="Y3019"/>
      <c r="Z3019"/>
      <c r="AA3019"/>
      <c r="AB3019" t="s">
        <v>1370</v>
      </c>
      <c r="AC3019" t="n">
        <v>143</v>
      </c>
      <c r="AD3019" t="s">
        <v>1371</v>
      </c>
      <c r="AE3019" t="n">
        <v>41</v>
      </c>
      <c r="AF3019" t="s">
        <v>19946</v>
      </c>
      <c r="AG3019" t="n">
        <v>91</v>
      </c>
    </row>
    <row r="3020">
      <c r="A3020" t="s">
        <v>19947</v>
      </c>
      <c r="B3020" t="s">
        <v>27</v>
      </c>
      <c r="C3020" t="s">
        <v>65</v>
      </c>
      <c r="D3020" t="s">
        <v>19948</v>
      </c>
      <c r="E3020" t="s">
        <v>79</v>
      </c>
      <c r="F3020" t="s">
        <v>1274</v>
      </c>
      <c r="G3020" t="s">
        <v>1881</v>
      </c>
      <c r="H3020" t="n">
        <v>39.7728229600665</v>
      </c>
      <c r="I3020" t="n">
        <v>-104.896919277836</v>
      </c>
      <c r="J3020" t="s">
        <v>35</v>
      </c>
      <c r="K3020" t="s">
        <v>315</v>
      </c>
      <c r="L3020"/>
      <c r="M3020" t="n">
        <v>1980</v>
      </c>
      <c r="N3020" t="n">
        <v>1980</v>
      </c>
      <c r="O3020" t="s">
        <v>255</v>
      </c>
      <c r="P3020" t="n">
        <v>1</v>
      </c>
      <c r="Q3020" t="n">
        <v>1</v>
      </c>
      <c r="R3020" t="n">
        <v>1</v>
      </c>
      <c r="S3020"/>
      <c r="T3020" t="s">
        <v>19949</v>
      </c>
      <c r="U3020" t="s">
        <v>19950</v>
      </c>
      <c r="V3020" t="s">
        <v>74</v>
      </c>
      <c r="W3020"/>
      <c r="X3020" t="s">
        <v>19951</v>
      </c>
      <c r="Y3020" t="s">
        <v>19952</v>
      </c>
      <c r="Z3020"/>
      <c r="AA3020" t="s">
        <v>19953</v>
      </c>
      <c r="AB3020" t="s">
        <v>8294</v>
      </c>
      <c r="AC3020" t="n">
        <v>114</v>
      </c>
      <c r="AD3020" t="s">
        <v>8295</v>
      </c>
      <c r="AE3020" t="n">
        <v>77</v>
      </c>
      <c r="AF3020" t="s">
        <v>19716</v>
      </c>
      <c r="AG3020" t="n">
        <v>20</v>
      </c>
    </row>
    <row r="3021">
      <c r="A3021" t="s">
        <v>19954</v>
      </c>
      <c r="B3021" t="s">
        <v>27</v>
      </c>
      <c r="C3021" t="s">
        <v>24</v>
      </c>
      <c r="D3021" t="s">
        <v>19955</v>
      </c>
      <c r="E3021" t="s">
        <v>79</v>
      </c>
      <c r="F3021" t="s">
        <v>1274</v>
      </c>
      <c r="G3021" t="s">
        <v>1574</v>
      </c>
      <c r="H3021" t="n">
        <v>39.7624877786715</v>
      </c>
      <c r="I3021" t="n">
        <v>-104.980784184163</v>
      </c>
      <c r="J3021" t="s">
        <v>4109</v>
      </c>
      <c r="K3021" t="s">
        <v>527</v>
      </c>
      <c r="L3021" t="s">
        <v>1337</v>
      </c>
      <c r="M3021" t="n">
        <v>1980</v>
      </c>
      <c r="N3021" t="n">
        <v>1988</v>
      </c>
      <c r="O3021" t="s">
        <v>325</v>
      </c>
      <c r="P3021" t="n">
        <v>2</v>
      </c>
      <c r="Q3021" t="n">
        <v>2</v>
      </c>
      <c r="R3021" t="n">
        <v>1</v>
      </c>
      <c r="S3021" t="n">
        <v>1965</v>
      </c>
      <c r="T3021" t="s">
        <v>19956</v>
      </c>
      <c r="U3021" t="s">
        <v>19957</v>
      </c>
      <c r="V3021" t="s">
        <v>74</v>
      </c>
      <c r="W3021"/>
      <c r="X3021" t="s">
        <v>19958</v>
      </c>
      <c r="Y3021" t="s">
        <v>19959</v>
      </c>
      <c r="Z3021"/>
      <c r="AA3021"/>
      <c r="AB3021" t="s">
        <v>1711</v>
      </c>
      <c r="AC3021" t="n">
        <v>111</v>
      </c>
      <c r="AD3021" t="s">
        <v>6898</v>
      </c>
      <c r="AE3021" t="n">
        <v>64</v>
      </c>
      <c r="AF3021" t="s">
        <v>19624</v>
      </c>
      <c r="AG3021" t="n">
        <v>34</v>
      </c>
    </row>
    <row r="3022">
      <c r="A3022" t="s">
        <v>19960</v>
      </c>
      <c r="B3022" t="s">
        <v>27</v>
      </c>
      <c r="C3022" t="s">
        <v>65</v>
      </c>
      <c r="D3022" t="s">
        <v>19961</v>
      </c>
      <c r="E3022" t="s">
        <v>79</v>
      </c>
      <c r="F3022" t="s">
        <v>1274</v>
      </c>
      <c r="G3022" t="s">
        <v>1653</v>
      </c>
      <c r="H3022" t="n">
        <v>39.7762017743137</v>
      </c>
      <c r="I3022" t="n">
        <v>-104.978956778627</v>
      </c>
      <c r="J3022" t="s">
        <v>35</v>
      </c>
      <c r="K3022" t="s">
        <v>796</v>
      </c>
      <c r="L3022"/>
      <c r="M3022" t="n">
        <v>1980</v>
      </c>
      <c r="N3022" t="n">
        <v>1990</v>
      </c>
      <c r="O3022" t="s">
        <v>310</v>
      </c>
      <c r="P3022" t="n">
        <v>3</v>
      </c>
      <c r="Q3022" t="n">
        <v>3</v>
      </c>
      <c r="R3022" t="n">
        <v>2</v>
      </c>
      <c r="S3022" t="n">
        <v>1977</v>
      </c>
      <c r="T3022" t="s">
        <v>19962</v>
      </c>
      <c r="U3022" t="s">
        <v>19963</v>
      </c>
      <c r="V3022" t="s">
        <v>74</v>
      </c>
      <c r="W3022"/>
      <c r="X3022" t="s">
        <v>19964</v>
      </c>
      <c r="Y3022"/>
      <c r="Z3022"/>
      <c r="AA3022" t="s">
        <v>19965</v>
      </c>
      <c r="AB3022" t="s">
        <v>19966</v>
      </c>
      <c r="AC3022" t="n">
        <v>115</v>
      </c>
      <c r="AD3022" t="s">
        <v>7923</v>
      </c>
      <c r="AE3022" t="n">
        <v>5</v>
      </c>
      <c r="AF3022" t="s">
        <v>2012</v>
      </c>
      <c r="AG3022" t="n">
        <v>216</v>
      </c>
    </row>
    <row r="3023">
      <c r="A3023" t="s">
        <v>19967</v>
      </c>
      <c r="B3023" t="s">
        <v>27</v>
      </c>
      <c r="C3023" t="s">
        <v>65</v>
      </c>
      <c r="D3023" t="s">
        <v>19968</v>
      </c>
      <c r="E3023" t="s">
        <v>79</v>
      </c>
      <c r="F3023" t="s">
        <v>1274</v>
      </c>
      <c r="G3023" t="s">
        <v>1653</v>
      </c>
      <c r="H3023" t="n">
        <v>39.780477</v>
      </c>
      <c r="I3023" t="n">
        <v>-104.934466605425</v>
      </c>
      <c r="J3023" t="s">
        <v>35</v>
      </c>
      <c r="K3023" t="s">
        <v>141</v>
      </c>
      <c r="L3023"/>
      <c r="M3023" t="n">
        <v>1980</v>
      </c>
      <c r="N3023" t="n">
        <v>1983</v>
      </c>
      <c r="O3023" t="s">
        <v>528</v>
      </c>
      <c r="P3023" t="n">
        <v>2</v>
      </c>
      <c r="Q3023" t="n">
        <v>2</v>
      </c>
      <c r="R3023" t="n">
        <v>2</v>
      </c>
      <c r="S3023" t="n">
        <v>1972</v>
      </c>
      <c r="T3023" t="s">
        <v>19969</v>
      </c>
      <c r="U3023" t="s">
        <v>19970</v>
      </c>
      <c r="V3023" t="s">
        <v>74</v>
      </c>
      <c r="W3023"/>
      <c r="X3023" t="s">
        <v>19971</v>
      </c>
      <c r="Y3023"/>
      <c r="Z3023"/>
      <c r="AA3023"/>
      <c r="AB3023"/>
      <c r="AC3023"/>
      <c r="AD3023" t="s">
        <v>1658</v>
      </c>
      <c r="AE3023" t="n">
        <v>90</v>
      </c>
      <c r="AF3023" t="s">
        <v>1659</v>
      </c>
      <c r="AG3023" t="n">
        <v>116</v>
      </c>
    </row>
    <row r="3024">
      <c r="A3024" t="s">
        <v>19972</v>
      </c>
      <c r="B3024" t="s">
        <v>27</v>
      </c>
      <c r="C3024" t="s">
        <v>24</v>
      </c>
      <c r="D3024" t="s">
        <v>19973</v>
      </c>
      <c r="E3024" t="s">
        <v>79</v>
      </c>
      <c r="F3024" t="s">
        <v>1274</v>
      </c>
      <c r="G3024" t="s">
        <v>1653</v>
      </c>
      <c r="H3024" t="n">
        <v>39.7780001772229</v>
      </c>
      <c r="I3024" t="n">
        <v>-104.910688689999</v>
      </c>
      <c r="J3024" t="s">
        <v>4109</v>
      </c>
      <c r="K3024" t="s">
        <v>70</v>
      </c>
      <c r="L3024"/>
      <c r="M3024" t="n">
        <v>1980</v>
      </c>
      <c r="N3024" t="n">
        <v>1980</v>
      </c>
      <c r="O3024" t="s">
        <v>255</v>
      </c>
      <c r="P3024" t="n">
        <v>1</v>
      </c>
      <c r="Q3024" t="n">
        <v>1</v>
      </c>
      <c r="R3024" t="n">
        <v>1</v>
      </c>
      <c r="S3024" t="n">
        <v>1976</v>
      </c>
      <c r="T3024" t="s">
        <v>19974</v>
      </c>
      <c r="U3024" t="s">
        <v>19975</v>
      </c>
      <c r="V3024" t="s">
        <v>74</v>
      </c>
      <c r="W3024"/>
      <c r="X3024" t="s">
        <v>19976</v>
      </c>
      <c r="Y3024" t="s">
        <v>19977</v>
      </c>
      <c r="Z3024"/>
      <c r="AA3024" t="s">
        <v>19978</v>
      </c>
      <c r="AB3024"/>
      <c r="AC3024"/>
      <c r="AD3024" t="s">
        <v>8089</v>
      </c>
      <c r="AE3024" t="n">
        <v>209</v>
      </c>
      <c r="AF3024" t="s">
        <v>9081</v>
      </c>
      <c r="AG3024" t="n">
        <v>47</v>
      </c>
    </row>
    <row r="3025">
      <c r="A3025" t="s">
        <v>19979</v>
      </c>
      <c r="B3025" t="s">
        <v>27</v>
      </c>
      <c r="C3025" t="s">
        <v>65</v>
      </c>
      <c r="D3025" t="s">
        <v>19980</v>
      </c>
      <c r="E3025" t="s">
        <v>79</v>
      </c>
      <c r="F3025" t="s">
        <v>1274</v>
      </c>
      <c r="G3025" t="s">
        <v>1702</v>
      </c>
      <c r="H3025" t="n">
        <v>39.778866</v>
      </c>
      <c r="I3025" t="n">
        <v>-104.858997</v>
      </c>
      <c r="J3025" t="s">
        <v>35</v>
      </c>
      <c r="K3025" t="s">
        <v>120</v>
      </c>
      <c r="L3025"/>
      <c r="M3025" t="n">
        <v>1980</v>
      </c>
      <c r="N3025" t="n">
        <v>1990</v>
      </c>
      <c r="O3025" t="s">
        <v>582</v>
      </c>
      <c r="P3025" t="n">
        <v>3</v>
      </c>
      <c r="Q3025" t="n">
        <v>2</v>
      </c>
      <c r="R3025" t="n">
        <v>2</v>
      </c>
      <c r="S3025" t="n">
        <v>1962</v>
      </c>
      <c r="T3025" t="s">
        <v>19981</v>
      </c>
      <c r="U3025" t="s">
        <v>19982</v>
      </c>
      <c r="V3025" t="s">
        <v>74</v>
      </c>
      <c r="W3025"/>
      <c r="X3025" t="s">
        <v>19983</v>
      </c>
      <c r="Y3025"/>
      <c r="Z3025"/>
      <c r="AA3025"/>
      <c r="AB3025" t="s">
        <v>19835</v>
      </c>
      <c r="AC3025" t="n">
        <v>244</v>
      </c>
      <c r="AD3025" t="s">
        <v>19836</v>
      </c>
      <c r="AE3025" t="n">
        <v>33</v>
      </c>
      <c r="AF3025" t="s">
        <v>19837</v>
      </c>
      <c r="AG3025" t="n">
        <v>57</v>
      </c>
    </row>
    <row r="3026">
      <c r="A3026" t="s">
        <v>19984</v>
      </c>
      <c r="B3026" t="s">
        <v>27</v>
      </c>
      <c r="C3026" t="s">
        <v>65</v>
      </c>
      <c r="D3026" t="s">
        <v>19985</v>
      </c>
      <c r="E3026" t="s">
        <v>79</v>
      </c>
      <c r="F3026" t="s">
        <v>1274</v>
      </c>
      <c r="G3026" t="s">
        <v>1702</v>
      </c>
      <c r="H3026" t="n">
        <v>39.7703269569745</v>
      </c>
      <c r="I3026" t="n">
        <v>-104.861101206427</v>
      </c>
      <c r="J3026" t="s">
        <v>35</v>
      </c>
      <c r="K3026" t="s">
        <v>120</v>
      </c>
      <c r="L3026"/>
      <c r="M3026" t="n">
        <v>1980</v>
      </c>
      <c r="N3026" t="n">
        <v>1983</v>
      </c>
      <c r="O3026" t="s">
        <v>528</v>
      </c>
      <c r="P3026" t="n">
        <v>2</v>
      </c>
      <c r="Q3026" t="n">
        <v>1</v>
      </c>
      <c r="R3026" t="n">
        <v>1</v>
      </c>
      <c r="S3026" t="n">
        <v>1976</v>
      </c>
      <c r="T3026" t="s">
        <v>19986</v>
      </c>
      <c r="U3026" t="s">
        <v>19987</v>
      </c>
      <c r="V3026" t="s">
        <v>74</v>
      </c>
      <c r="W3026"/>
      <c r="X3026" t="s">
        <v>19988</v>
      </c>
      <c r="Y3026"/>
      <c r="Z3026"/>
      <c r="AA3026" t="s">
        <v>19989</v>
      </c>
      <c r="AB3026"/>
      <c r="AC3026"/>
      <c r="AD3026" t="s">
        <v>19990</v>
      </c>
      <c r="AE3026" t="n">
        <v>16</v>
      </c>
      <c r="AF3026" t="s">
        <v>19991</v>
      </c>
      <c r="AG3026" t="n">
        <v>61</v>
      </c>
    </row>
    <row r="3027">
      <c r="A3027" t="s">
        <v>19992</v>
      </c>
      <c r="B3027" t="s">
        <v>27</v>
      </c>
      <c r="C3027" t="s">
        <v>24</v>
      </c>
      <c r="D3027" t="s">
        <v>19993</v>
      </c>
      <c r="E3027" t="s">
        <v>79</v>
      </c>
      <c r="F3027" t="s">
        <v>1274</v>
      </c>
      <c r="G3027" t="s">
        <v>1555</v>
      </c>
      <c r="H3027" t="n">
        <v>39.7285488211085</v>
      </c>
      <c r="I3027" t="n">
        <v>-105.012142086239</v>
      </c>
      <c r="J3027" t="s">
        <v>4109</v>
      </c>
      <c r="K3027" t="s">
        <v>5187</v>
      </c>
      <c r="L3027"/>
      <c r="M3027" t="n">
        <v>1980</v>
      </c>
      <c r="N3027" t="n">
        <v>1992</v>
      </c>
      <c r="O3027" t="s">
        <v>4855</v>
      </c>
      <c r="P3027" t="n">
        <v>5</v>
      </c>
      <c r="Q3027" t="n">
        <v>2</v>
      </c>
      <c r="R3027" t="n">
        <v>1</v>
      </c>
      <c r="S3027" t="n">
        <v>1971</v>
      </c>
      <c r="T3027" t="s">
        <v>19994</v>
      </c>
      <c r="U3027" t="s">
        <v>19995</v>
      </c>
      <c r="V3027" t="s">
        <v>74</v>
      </c>
      <c r="W3027"/>
      <c r="X3027" t="s">
        <v>19996</v>
      </c>
      <c r="Y3027"/>
      <c r="Z3027"/>
      <c r="AA3027" t="s">
        <v>19997</v>
      </c>
      <c r="AB3027"/>
      <c r="AC3027"/>
      <c r="AD3027" t="s">
        <v>14977</v>
      </c>
      <c r="AE3027" t="n">
        <v>18</v>
      </c>
      <c r="AF3027" t="s">
        <v>15905</v>
      </c>
      <c r="AG3027" t="n">
        <v>69</v>
      </c>
    </row>
    <row r="3028">
      <c r="A3028" t="s">
        <v>19998</v>
      </c>
      <c r="B3028" t="s">
        <v>27</v>
      </c>
      <c r="C3028" t="s">
        <v>65</v>
      </c>
      <c r="D3028" t="s">
        <v>19999</v>
      </c>
      <c r="E3028" t="s">
        <v>79</v>
      </c>
      <c r="F3028" t="s">
        <v>1274</v>
      </c>
      <c r="G3028" t="s">
        <v>1653</v>
      </c>
      <c r="H3028" t="n">
        <v>39.8019404117647</v>
      </c>
      <c r="I3028" t="n">
        <v>-104.975770941177</v>
      </c>
      <c r="J3028" t="s">
        <v>35</v>
      </c>
      <c r="K3028" t="s">
        <v>1041</v>
      </c>
      <c r="L3028"/>
      <c r="M3028" t="n">
        <v>1983</v>
      </c>
      <c r="N3028" t="n">
        <v>1990</v>
      </c>
      <c r="O3028" t="s">
        <v>351</v>
      </c>
      <c r="P3028" t="n">
        <v>3</v>
      </c>
      <c r="Q3028" t="n">
        <v>5</v>
      </c>
      <c r="R3028" t="n">
        <v>1</v>
      </c>
      <c r="S3028" t="n">
        <v>1966</v>
      </c>
      <c r="T3028" t="s">
        <v>20000</v>
      </c>
      <c r="U3028" t="s">
        <v>20001</v>
      </c>
      <c r="V3028" t="s">
        <v>74</v>
      </c>
      <c r="W3028"/>
      <c r="X3028" t="s">
        <v>20002</v>
      </c>
      <c r="Y3028" t="s">
        <v>20003</v>
      </c>
      <c r="Z3028"/>
      <c r="AA3028" t="s">
        <v>20004</v>
      </c>
      <c r="AB3028"/>
      <c r="AC3028"/>
      <c r="AD3028" t="s">
        <v>224</v>
      </c>
      <c r="AE3028" t="n">
        <v>73</v>
      </c>
      <c r="AF3028" t="s">
        <v>19930</v>
      </c>
      <c r="AG3028" t="n">
        <v>34</v>
      </c>
    </row>
    <row r="3029">
      <c r="A3029" t="s">
        <v>20005</v>
      </c>
      <c r="B3029" t="s">
        <v>27</v>
      </c>
      <c r="C3029" t="s">
        <v>24</v>
      </c>
      <c r="D3029" t="s">
        <v>20006</v>
      </c>
      <c r="E3029" t="s">
        <v>79</v>
      </c>
      <c r="F3029" t="s">
        <v>1274</v>
      </c>
      <c r="G3029" t="s">
        <v>1881</v>
      </c>
      <c r="H3029" t="n">
        <v>39.7675421211539</v>
      </c>
      <c r="I3029" t="n">
        <v>-104.926999646074</v>
      </c>
      <c r="J3029" t="s">
        <v>4109</v>
      </c>
      <c r="K3029" t="s">
        <v>133</v>
      </c>
      <c r="L3029"/>
      <c r="M3029" t="n">
        <v>1983</v>
      </c>
      <c r="N3029" t="n">
        <v>1983</v>
      </c>
      <c r="O3029" t="s">
        <v>264</v>
      </c>
      <c r="P3029" t="n">
        <v>1</v>
      </c>
      <c r="Q3029" t="n">
        <v>1</v>
      </c>
      <c r="R3029" t="n">
        <v>1</v>
      </c>
      <c r="S3029" t="n">
        <v>1973</v>
      </c>
      <c r="T3029" t="s">
        <v>20007</v>
      </c>
      <c r="U3029" t="s">
        <v>20008</v>
      </c>
      <c r="V3029" t="s">
        <v>74</v>
      </c>
      <c r="W3029"/>
      <c r="X3029" t="s">
        <v>20009</v>
      </c>
      <c r="Y3029"/>
      <c r="Z3029"/>
      <c r="AA3029"/>
      <c r="AB3029"/>
      <c r="AC3029"/>
      <c r="AD3029" t="s">
        <v>8073</v>
      </c>
      <c r="AE3029" t="n">
        <v>58</v>
      </c>
      <c r="AF3029" t="s">
        <v>8074</v>
      </c>
      <c r="AG3029" t="n">
        <v>102</v>
      </c>
    </row>
    <row r="3030">
      <c r="A3030" t="s">
        <v>20010</v>
      </c>
      <c r="B3030" t="s">
        <v>27</v>
      </c>
      <c r="C3030" t="s">
        <v>65</v>
      </c>
      <c r="D3030" t="s">
        <v>20011</v>
      </c>
      <c r="E3030" t="s">
        <v>79</v>
      </c>
      <c r="F3030" t="s">
        <v>1274</v>
      </c>
      <c r="G3030" t="s">
        <v>1516</v>
      </c>
      <c r="H3030" t="n">
        <v>39.6764000001156</v>
      </c>
      <c r="I3030" t="n">
        <v>-104.999460286502</v>
      </c>
      <c r="J3030" t="s">
        <v>35</v>
      </c>
      <c r="K3030" t="s">
        <v>141</v>
      </c>
      <c r="L3030"/>
      <c r="M3030" t="n">
        <v>1983</v>
      </c>
      <c r="N3030" t="n">
        <v>1983</v>
      </c>
      <c r="O3030" t="s">
        <v>264</v>
      </c>
      <c r="P3030" t="n">
        <v>1</v>
      </c>
      <c r="Q3030" t="n">
        <v>2</v>
      </c>
      <c r="R3030" t="n">
        <v>2</v>
      </c>
      <c r="S3030" t="n">
        <v>1980</v>
      </c>
      <c r="T3030" t="s">
        <v>20012</v>
      </c>
      <c r="U3030" t="s">
        <v>20013</v>
      </c>
      <c r="V3030" t="s">
        <v>74</v>
      </c>
      <c r="W3030"/>
      <c r="X3030" t="s">
        <v>20014</v>
      </c>
      <c r="Y3030" t="s">
        <v>20015</v>
      </c>
      <c r="Z3030"/>
      <c r="AA3030"/>
      <c r="AB3030"/>
      <c r="AC3030"/>
      <c r="AD3030" t="s">
        <v>8989</v>
      </c>
      <c r="AE3030" t="n">
        <v>3</v>
      </c>
      <c r="AF3030" t="s">
        <v>19581</v>
      </c>
      <c r="AG3030" t="n">
        <v>3</v>
      </c>
    </row>
    <row r="3031">
      <c r="A3031" t="s">
        <v>20016</v>
      </c>
      <c r="B3031" t="s">
        <v>27</v>
      </c>
      <c r="C3031" t="s">
        <v>65</v>
      </c>
      <c r="D3031" t="s">
        <v>20017</v>
      </c>
      <c r="E3031" t="s">
        <v>79</v>
      </c>
      <c r="F3031" t="s">
        <v>1274</v>
      </c>
      <c r="G3031" t="s">
        <v>1702</v>
      </c>
      <c r="H3031" t="n">
        <v>39.7903176463258</v>
      </c>
      <c r="I3031" t="n">
        <v>-104.863483312816</v>
      </c>
      <c r="J3031" t="s">
        <v>35</v>
      </c>
      <c r="K3031" t="s">
        <v>89</v>
      </c>
      <c r="L3031"/>
      <c r="M3031" t="n">
        <v>1983</v>
      </c>
      <c r="N3031" t="n">
        <v>1990</v>
      </c>
      <c r="O3031" t="s">
        <v>293</v>
      </c>
      <c r="P3031" t="n">
        <v>2</v>
      </c>
      <c r="Q3031" t="n">
        <v>1</v>
      </c>
      <c r="R3031" t="n">
        <v>1</v>
      </c>
      <c r="S3031" t="n">
        <v>1980</v>
      </c>
      <c r="T3031" t="s">
        <v>20018</v>
      </c>
      <c r="U3031" t="s">
        <v>20019</v>
      </c>
      <c r="V3031" t="s">
        <v>74</v>
      </c>
      <c r="W3031"/>
      <c r="X3031" t="s">
        <v>20020</v>
      </c>
      <c r="Y3031"/>
      <c r="Z3031"/>
      <c r="AA3031" t="s">
        <v>20021</v>
      </c>
      <c r="AB3031"/>
      <c r="AC3031"/>
      <c r="AD3031" t="s">
        <v>20022</v>
      </c>
      <c r="AE3031" t="n">
        <v>1</v>
      </c>
      <c r="AF3031" t="s">
        <v>20023</v>
      </c>
      <c r="AG3031" t="n">
        <v>104</v>
      </c>
    </row>
    <row r="3032">
      <c r="A3032" t="s">
        <v>20024</v>
      </c>
      <c r="B3032" t="s">
        <v>27</v>
      </c>
      <c r="C3032" t="s">
        <v>65</v>
      </c>
      <c r="D3032" t="s">
        <v>20025</v>
      </c>
      <c r="E3032" t="s">
        <v>79</v>
      </c>
      <c r="F3032" t="s">
        <v>1274</v>
      </c>
      <c r="G3032" t="s">
        <v>1702</v>
      </c>
      <c r="H3032" t="n">
        <v>39.7903287512246</v>
      </c>
      <c r="I3032" t="n">
        <v>-104.85747674387</v>
      </c>
      <c r="J3032" t="s">
        <v>35</v>
      </c>
      <c r="K3032" t="s">
        <v>201</v>
      </c>
      <c r="L3032"/>
      <c r="M3032" t="n">
        <v>1983</v>
      </c>
      <c r="N3032" t="n">
        <v>1990</v>
      </c>
      <c r="O3032" t="s">
        <v>293</v>
      </c>
      <c r="P3032" t="n">
        <v>2</v>
      </c>
      <c r="Q3032" t="n">
        <v>1</v>
      </c>
      <c r="R3032" t="n">
        <v>1</v>
      </c>
      <c r="S3032" t="n">
        <v>1972</v>
      </c>
      <c r="T3032" t="s">
        <v>20026</v>
      </c>
      <c r="U3032" t="s">
        <v>20027</v>
      </c>
      <c r="V3032" t="s">
        <v>74</v>
      </c>
      <c r="W3032"/>
      <c r="X3032" t="s">
        <v>20028</v>
      </c>
      <c r="Y3032" t="s">
        <v>20029</v>
      </c>
      <c r="Z3032"/>
      <c r="AA3032"/>
      <c r="AB3032" t="s">
        <v>8492</v>
      </c>
      <c r="AC3032" t="n">
        <v>206</v>
      </c>
      <c r="AD3032" t="s">
        <v>20030</v>
      </c>
      <c r="AE3032" t="n">
        <v>74</v>
      </c>
      <c r="AF3032" t="s">
        <v>20031</v>
      </c>
      <c r="AG3032" t="n">
        <v>27</v>
      </c>
    </row>
    <row r="3033">
      <c r="A3033" t="s">
        <v>20032</v>
      </c>
      <c r="B3033" t="s">
        <v>27</v>
      </c>
      <c r="C3033" t="s">
        <v>65</v>
      </c>
      <c r="D3033" t="s">
        <v>20033</v>
      </c>
      <c r="E3033" t="s">
        <v>79</v>
      </c>
      <c r="F3033" t="s">
        <v>1274</v>
      </c>
      <c r="G3033" t="s">
        <v>1612</v>
      </c>
      <c r="H3033" t="n">
        <v>39.6759930002985</v>
      </c>
      <c r="I3033" t="n">
        <v>-104.999459164523</v>
      </c>
      <c r="J3033" t="s">
        <v>35</v>
      </c>
      <c r="K3033" t="s">
        <v>120</v>
      </c>
      <c r="L3033"/>
      <c r="M3033" t="n">
        <v>1983</v>
      </c>
      <c r="N3033" t="n">
        <v>1990</v>
      </c>
      <c r="O3033" t="s">
        <v>271</v>
      </c>
      <c r="P3033" t="n">
        <v>3</v>
      </c>
      <c r="Q3033" t="n">
        <v>2</v>
      </c>
      <c r="R3033" t="n">
        <v>2</v>
      </c>
      <c r="S3033" t="n">
        <v>1975</v>
      </c>
      <c r="T3033" t="s">
        <v>20034</v>
      </c>
      <c r="U3033" t="s">
        <v>20035</v>
      </c>
      <c r="V3033" t="s">
        <v>74</v>
      </c>
      <c r="W3033"/>
      <c r="X3033" t="s">
        <v>20036</v>
      </c>
      <c r="Y3033"/>
      <c r="Z3033"/>
      <c r="AA3033"/>
      <c r="AB3033"/>
      <c r="AC3033"/>
      <c r="AD3033" t="s">
        <v>8989</v>
      </c>
      <c r="AE3033" t="n">
        <v>42</v>
      </c>
      <c r="AF3033" t="s">
        <v>19581</v>
      </c>
      <c r="AG3033" t="n">
        <v>49</v>
      </c>
    </row>
    <row r="3034">
      <c r="A3034" t="s">
        <v>20037</v>
      </c>
      <c r="B3034" t="s">
        <v>27</v>
      </c>
      <c r="C3034" t="s">
        <v>65</v>
      </c>
      <c r="D3034" t="s">
        <v>20038</v>
      </c>
      <c r="E3034" t="s">
        <v>79</v>
      </c>
      <c r="F3034" t="s">
        <v>1274</v>
      </c>
      <c r="G3034" t="s">
        <v>1653</v>
      </c>
      <c r="H3034" t="n">
        <v>39.780415</v>
      </c>
      <c r="I3034" t="n">
        <v>-104.922285</v>
      </c>
      <c r="J3034" t="s">
        <v>35</v>
      </c>
      <c r="K3034" t="s">
        <v>133</v>
      </c>
      <c r="L3034"/>
      <c r="M3034" t="n">
        <v>1983</v>
      </c>
      <c r="N3034" t="n">
        <v>1990</v>
      </c>
      <c r="O3034" t="s">
        <v>283</v>
      </c>
      <c r="P3034" t="n">
        <v>3</v>
      </c>
      <c r="Q3034" t="n">
        <v>1</v>
      </c>
      <c r="R3034" t="n">
        <v>1</v>
      </c>
      <c r="S3034" t="n">
        <v>1981</v>
      </c>
      <c r="T3034" t="s">
        <v>20039</v>
      </c>
      <c r="U3034" t="s">
        <v>20040</v>
      </c>
      <c r="V3034" t="s">
        <v>74</v>
      </c>
      <c r="W3034"/>
      <c r="X3034" t="s">
        <v>20041</v>
      </c>
      <c r="Y3034" t="s">
        <v>20042</v>
      </c>
      <c r="Z3034"/>
      <c r="AA3034"/>
      <c r="AB3034" t="s">
        <v>2082</v>
      </c>
      <c r="AC3034" t="n">
        <v>224</v>
      </c>
      <c r="AD3034" t="s">
        <v>1730</v>
      </c>
      <c r="AE3034" t="n">
        <v>34</v>
      </c>
      <c r="AF3034" t="s">
        <v>20043</v>
      </c>
      <c r="AG3034" t="n">
        <v>37</v>
      </c>
    </row>
    <row r="3035">
      <c r="A3035" t="s">
        <v>20044</v>
      </c>
      <c r="B3035" t="s">
        <v>27</v>
      </c>
      <c r="C3035" t="s">
        <v>65</v>
      </c>
      <c r="D3035" t="s">
        <v>20045</v>
      </c>
      <c r="E3035" t="s">
        <v>79</v>
      </c>
      <c r="F3035" t="s">
        <v>1274</v>
      </c>
      <c r="G3035" t="s">
        <v>1653</v>
      </c>
      <c r="H3035" t="n">
        <v>39.79384</v>
      </c>
      <c r="I3035" t="n">
        <v>-104.968765</v>
      </c>
      <c r="J3035" t="s">
        <v>35</v>
      </c>
      <c r="K3035" t="s">
        <v>70</v>
      </c>
      <c r="L3035"/>
      <c r="M3035" t="n">
        <v>1983</v>
      </c>
      <c r="N3035" t="n">
        <v>1983</v>
      </c>
      <c r="O3035" t="s">
        <v>264</v>
      </c>
      <c r="P3035" t="n">
        <v>1</v>
      </c>
      <c r="Q3035" t="n">
        <v>1</v>
      </c>
      <c r="R3035" t="n">
        <v>1</v>
      </c>
      <c r="S3035" t="n">
        <v>1904</v>
      </c>
      <c r="T3035" t="s">
        <v>20046</v>
      </c>
      <c r="U3035" t="s">
        <v>20047</v>
      </c>
      <c r="V3035" t="s">
        <v>74</v>
      </c>
      <c r="W3035"/>
      <c r="X3035" t="s">
        <v>20048</v>
      </c>
      <c r="Y3035"/>
      <c r="Z3035"/>
      <c r="AA3035" t="s">
        <v>20049</v>
      </c>
      <c r="AB3035"/>
      <c r="AC3035"/>
      <c r="AD3035" t="s">
        <v>18728</v>
      </c>
      <c r="AE3035" t="n">
        <v>2</v>
      </c>
      <c r="AF3035" t="s">
        <v>20050</v>
      </c>
      <c r="AG3035" t="n">
        <v>107</v>
      </c>
    </row>
    <row r="3036">
      <c r="A3036" t="s">
        <v>20051</v>
      </c>
      <c r="B3036" t="s">
        <v>27</v>
      </c>
      <c r="C3036" t="s">
        <v>65</v>
      </c>
      <c r="D3036" t="s">
        <v>20052</v>
      </c>
      <c r="E3036" t="s">
        <v>79</v>
      </c>
      <c r="F3036" t="s">
        <v>1274</v>
      </c>
      <c r="G3036" t="s">
        <v>1702</v>
      </c>
      <c r="H3036" t="n">
        <v>39.7716564566199</v>
      </c>
      <c r="I3036" t="n">
        <v>-104.861101785478</v>
      </c>
      <c r="J3036" t="s">
        <v>35</v>
      </c>
      <c r="K3036" t="s">
        <v>89</v>
      </c>
      <c r="L3036"/>
      <c r="M3036" t="n">
        <v>1983</v>
      </c>
      <c r="N3036" t="n">
        <v>1992</v>
      </c>
      <c r="O3036" t="s">
        <v>2061</v>
      </c>
      <c r="P3036" t="n">
        <v>4</v>
      </c>
      <c r="Q3036" t="n">
        <v>3</v>
      </c>
      <c r="R3036" t="n">
        <v>3</v>
      </c>
      <c r="S3036" t="n">
        <v>1946</v>
      </c>
      <c r="T3036" t="s">
        <v>20053</v>
      </c>
      <c r="U3036" t="s">
        <v>20054</v>
      </c>
      <c r="V3036" t="s">
        <v>74</v>
      </c>
      <c r="W3036"/>
      <c r="X3036" t="s">
        <v>20055</v>
      </c>
      <c r="Y3036" t="s">
        <v>20056</v>
      </c>
      <c r="Z3036"/>
      <c r="AA3036"/>
      <c r="AB3036"/>
      <c r="AC3036"/>
      <c r="AD3036" t="s">
        <v>15891</v>
      </c>
      <c r="AE3036" t="n">
        <v>13</v>
      </c>
      <c r="AF3036" t="s">
        <v>20057</v>
      </c>
      <c r="AG3036" t="n">
        <v>55</v>
      </c>
    </row>
    <row r="3037">
      <c r="A3037" t="s">
        <v>20058</v>
      </c>
      <c r="B3037" t="s">
        <v>27</v>
      </c>
      <c r="C3037" t="s">
        <v>65</v>
      </c>
      <c r="D3037" t="s">
        <v>20059</v>
      </c>
      <c r="E3037" t="s">
        <v>79</v>
      </c>
      <c r="F3037" t="s">
        <v>1274</v>
      </c>
      <c r="G3037" t="s">
        <v>1702</v>
      </c>
      <c r="H3037" t="n">
        <v>39.790328</v>
      </c>
      <c r="I3037" t="n">
        <v>-104.858599093531</v>
      </c>
      <c r="J3037" t="s">
        <v>35</v>
      </c>
      <c r="K3037" t="s">
        <v>141</v>
      </c>
      <c r="L3037"/>
      <c r="M3037" t="n">
        <v>1983</v>
      </c>
      <c r="N3037" t="n">
        <v>1990</v>
      </c>
      <c r="O3037" t="s">
        <v>293</v>
      </c>
      <c r="P3037" t="n">
        <v>2</v>
      </c>
      <c r="Q3037" t="n">
        <v>1</v>
      </c>
      <c r="R3037" t="n">
        <v>1</v>
      </c>
      <c r="S3037" t="n">
        <v>1968</v>
      </c>
      <c r="T3037" t="s">
        <v>20060</v>
      </c>
      <c r="U3037" t="s">
        <v>20061</v>
      </c>
      <c r="V3037" t="s">
        <v>74</v>
      </c>
      <c r="W3037"/>
      <c r="X3037" t="s">
        <v>20062</v>
      </c>
      <c r="Y3037" t="s">
        <v>20063</v>
      </c>
      <c r="Z3037"/>
      <c r="AA3037" t="s">
        <v>20064</v>
      </c>
      <c r="AB3037" t="s">
        <v>8492</v>
      </c>
      <c r="AC3037" t="n">
        <v>161</v>
      </c>
      <c r="AD3037" t="s">
        <v>19820</v>
      </c>
      <c r="AE3037" t="n">
        <v>79</v>
      </c>
      <c r="AF3037" t="s">
        <v>19821</v>
      </c>
      <c r="AG3037" t="n">
        <v>11</v>
      </c>
    </row>
    <row r="3038">
      <c r="A3038" t="s">
        <v>20065</v>
      </c>
      <c r="B3038" t="s">
        <v>27</v>
      </c>
      <c r="C3038" t="s">
        <v>65</v>
      </c>
      <c r="D3038" t="s">
        <v>20066</v>
      </c>
      <c r="E3038" t="s">
        <v>79</v>
      </c>
      <c r="F3038" t="s">
        <v>1274</v>
      </c>
      <c r="G3038" t="s">
        <v>1702</v>
      </c>
      <c r="H3038" t="n">
        <v>39.7881568333409</v>
      </c>
      <c r="I3038" t="n">
        <v>-104.848894947342</v>
      </c>
      <c r="J3038" t="s">
        <v>35</v>
      </c>
      <c r="K3038" t="s">
        <v>796</v>
      </c>
      <c r="L3038"/>
      <c r="M3038" t="n">
        <v>1983</v>
      </c>
      <c r="N3038" t="n">
        <v>1992</v>
      </c>
      <c r="O3038" t="s">
        <v>264</v>
      </c>
      <c r="P3038" t="n">
        <v>3</v>
      </c>
      <c r="Q3038" t="n">
        <v>1</v>
      </c>
      <c r="R3038" t="n">
        <v>1</v>
      </c>
      <c r="S3038" t="n">
        <v>1927</v>
      </c>
      <c r="T3038" t="s">
        <v>20067</v>
      </c>
      <c r="U3038" t="s">
        <v>20068</v>
      </c>
      <c r="V3038" t="s">
        <v>74</v>
      </c>
      <c r="W3038"/>
      <c r="X3038" t="s">
        <v>20069</v>
      </c>
      <c r="Y3038" t="s">
        <v>20070</v>
      </c>
      <c r="Z3038"/>
      <c r="AA3038" t="s">
        <v>20071</v>
      </c>
      <c r="AB3038"/>
      <c r="AC3038"/>
      <c r="AD3038" t="s">
        <v>2160</v>
      </c>
      <c r="AE3038" t="n">
        <v>80</v>
      </c>
      <c r="AF3038" t="s">
        <v>20072</v>
      </c>
      <c r="AG3038" t="n">
        <v>6</v>
      </c>
    </row>
    <row r="3039">
      <c r="A3039" t="s">
        <v>20073</v>
      </c>
      <c r="B3039" t="s">
        <v>27</v>
      </c>
      <c r="C3039" t="s">
        <v>65</v>
      </c>
      <c r="D3039" t="s">
        <v>20074</v>
      </c>
      <c r="E3039" t="s">
        <v>79</v>
      </c>
      <c r="F3039" t="s">
        <v>1274</v>
      </c>
      <c r="G3039" t="s">
        <v>1653</v>
      </c>
      <c r="H3039" t="n">
        <v>39.8090949703359</v>
      </c>
      <c r="I3039" t="n">
        <v>-104.991400823926</v>
      </c>
      <c r="J3039" t="s">
        <v>35</v>
      </c>
      <c r="K3039" t="s">
        <v>133</v>
      </c>
      <c r="L3039"/>
      <c r="M3039" t="n">
        <v>1988</v>
      </c>
      <c r="N3039" t="n">
        <v>1992</v>
      </c>
      <c r="O3039" t="s">
        <v>310</v>
      </c>
      <c r="P3039" t="n">
        <v>3</v>
      </c>
      <c r="Q3039" t="n">
        <v>1</v>
      </c>
      <c r="R3039" t="n">
        <v>1</v>
      </c>
      <c r="S3039" t="n">
        <v>1969</v>
      </c>
      <c r="T3039" t="s">
        <v>20075</v>
      </c>
      <c r="U3039" t="s">
        <v>20076</v>
      </c>
      <c r="V3039" t="s">
        <v>74</v>
      </c>
      <c r="W3039"/>
      <c r="X3039" t="s">
        <v>20077</v>
      </c>
      <c r="Y3039" t="s">
        <v>20078</v>
      </c>
      <c r="Z3039"/>
      <c r="AA3039" t="s">
        <v>20079</v>
      </c>
      <c r="AB3039" t="s">
        <v>20080</v>
      </c>
      <c r="AC3039" t="n">
        <v>160</v>
      </c>
      <c r="AD3039" t="s">
        <v>20081</v>
      </c>
      <c r="AE3039" t="n">
        <v>54</v>
      </c>
      <c r="AF3039" t="s">
        <v>20082</v>
      </c>
      <c r="AG3039" t="n">
        <v>35</v>
      </c>
    </row>
    <row r="3040">
      <c r="A3040" t="s">
        <v>20083</v>
      </c>
      <c r="B3040" t="s">
        <v>27</v>
      </c>
      <c r="C3040" t="s">
        <v>65</v>
      </c>
      <c r="D3040" t="s">
        <v>20084</v>
      </c>
      <c r="E3040" t="s">
        <v>79</v>
      </c>
      <c r="F3040" t="s">
        <v>1274</v>
      </c>
      <c r="G3040" t="s">
        <v>1702</v>
      </c>
      <c r="H3040" t="n">
        <v>39.7875293171101</v>
      </c>
      <c r="I3040" t="n">
        <v>-104.856632364586</v>
      </c>
      <c r="J3040" t="s">
        <v>35</v>
      </c>
      <c r="K3040" t="s">
        <v>70</v>
      </c>
      <c r="L3040"/>
      <c r="M3040" t="n">
        <v>1988</v>
      </c>
      <c r="N3040" t="n">
        <v>1990</v>
      </c>
      <c r="O3040" t="s">
        <v>310</v>
      </c>
      <c r="P3040" t="n">
        <v>2</v>
      </c>
      <c r="Q3040" t="n">
        <v>2</v>
      </c>
      <c r="R3040" t="n">
        <v>2</v>
      </c>
      <c r="S3040" t="n">
        <v>1976</v>
      </c>
      <c r="T3040" t="s">
        <v>20085</v>
      </c>
      <c r="U3040" t="s">
        <v>20086</v>
      </c>
      <c r="V3040" t="s">
        <v>74</v>
      </c>
      <c r="W3040"/>
      <c r="X3040" t="s">
        <v>20087</v>
      </c>
      <c r="Y3040" t="s">
        <v>20088</v>
      </c>
      <c r="Z3040"/>
      <c r="AA3040" t="s">
        <v>20089</v>
      </c>
      <c r="AB3040"/>
      <c r="AC3040"/>
      <c r="AD3040" t="s">
        <v>16053</v>
      </c>
      <c r="AE3040" t="n">
        <v>52</v>
      </c>
      <c r="AF3040" t="s">
        <v>2127</v>
      </c>
      <c r="AG3040" t="n">
        <v>20</v>
      </c>
    </row>
    <row r="3041">
      <c r="A3041" t="s">
        <v>20090</v>
      </c>
      <c r="B3041" t="s">
        <v>27</v>
      </c>
      <c r="C3041" t="s">
        <v>24</v>
      </c>
      <c r="D3041" t="s">
        <v>20091</v>
      </c>
      <c r="E3041" t="s">
        <v>79</v>
      </c>
      <c r="F3041" t="s">
        <v>1274</v>
      </c>
      <c r="G3041" t="s">
        <v>1702</v>
      </c>
      <c r="H3041" t="n">
        <v>39.771059793854</v>
      </c>
      <c r="I3041" t="n">
        <v>-104.920388515715</v>
      </c>
      <c r="J3041" t="s">
        <v>4109</v>
      </c>
      <c r="K3041" t="s">
        <v>120</v>
      </c>
      <c r="L3041"/>
      <c r="M3041" t="n">
        <v>1988</v>
      </c>
      <c r="N3041" t="n">
        <v>1990</v>
      </c>
      <c r="O3041" t="s">
        <v>310</v>
      </c>
      <c r="P3041" t="n">
        <v>2</v>
      </c>
      <c r="Q3041" t="n">
        <v>2</v>
      </c>
      <c r="R3041" t="n">
        <v>2</v>
      </c>
      <c r="S3041" t="n">
        <v>1976</v>
      </c>
      <c r="T3041" t="s">
        <v>20092</v>
      </c>
      <c r="U3041" t="s">
        <v>20093</v>
      </c>
      <c r="V3041" t="s">
        <v>74</v>
      </c>
      <c r="W3041"/>
      <c r="X3041" t="s">
        <v>20094</v>
      </c>
      <c r="Y3041" t="s">
        <v>20095</v>
      </c>
      <c r="Z3041"/>
      <c r="AA3041" t="s">
        <v>20096</v>
      </c>
      <c r="AB3041"/>
      <c r="AC3041"/>
      <c r="AD3041" t="s">
        <v>11408</v>
      </c>
      <c r="AE3041" t="n">
        <v>177</v>
      </c>
      <c r="AF3041" t="s">
        <v>20097</v>
      </c>
      <c r="AG3041" t="n">
        <v>29</v>
      </c>
    </row>
    <row r="3042">
      <c r="A3042" t="s">
        <v>20098</v>
      </c>
      <c r="B3042" t="s">
        <v>27</v>
      </c>
      <c r="C3042" t="s">
        <v>24</v>
      </c>
      <c r="D3042" t="s">
        <v>20099</v>
      </c>
      <c r="E3042" t="s">
        <v>79</v>
      </c>
      <c r="F3042" t="s">
        <v>1274</v>
      </c>
      <c r="G3042" t="s">
        <v>1653</v>
      </c>
      <c r="H3042" t="n">
        <v>39.819960281407</v>
      </c>
      <c r="I3042" t="n">
        <v>-104.966250909548</v>
      </c>
      <c r="J3042" t="s">
        <v>4109</v>
      </c>
      <c r="K3042" t="s">
        <v>89</v>
      </c>
      <c r="L3042"/>
      <c r="M3042" t="n">
        <v>1988</v>
      </c>
      <c r="N3042" t="n">
        <v>1988</v>
      </c>
      <c r="O3042" t="s">
        <v>325</v>
      </c>
      <c r="P3042" t="n">
        <v>1</v>
      </c>
      <c r="Q3042" t="n">
        <v>1</v>
      </c>
      <c r="R3042" t="n">
        <v>1</v>
      </c>
      <c r="S3042" t="n">
        <v>1982</v>
      </c>
      <c r="T3042" t="s">
        <v>20100</v>
      </c>
      <c r="U3042" t="s">
        <v>20101</v>
      </c>
      <c r="V3042" t="s">
        <v>74</v>
      </c>
      <c r="W3042"/>
      <c r="X3042" t="s">
        <v>20102</v>
      </c>
      <c r="Y3042" t="s">
        <v>20103</v>
      </c>
      <c r="Z3042"/>
      <c r="AA3042" t="s">
        <v>20104</v>
      </c>
      <c r="AB3042"/>
      <c r="AC3042"/>
      <c r="AD3042" t="s">
        <v>13072</v>
      </c>
      <c r="AE3042" t="n">
        <v>161</v>
      </c>
      <c r="AF3042" t="s">
        <v>13073</v>
      </c>
      <c r="AG3042" t="n">
        <v>103</v>
      </c>
    </row>
    <row r="3043">
      <c r="A3043" t="s">
        <v>20105</v>
      </c>
      <c r="B3043" t="s">
        <v>27</v>
      </c>
      <c r="C3043" t="s">
        <v>24</v>
      </c>
      <c r="D3043" t="s">
        <v>20106</v>
      </c>
      <c r="E3043" t="s">
        <v>79</v>
      </c>
      <c r="F3043" t="s">
        <v>1274</v>
      </c>
      <c r="G3043" t="s">
        <v>1653</v>
      </c>
      <c r="H3043" t="n">
        <v>39.7716937781021</v>
      </c>
      <c r="I3043" t="n">
        <v>-104.989794899295</v>
      </c>
      <c r="J3043" t="s">
        <v>4109</v>
      </c>
      <c r="K3043" t="s">
        <v>5187</v>
      </c>
      <c r="L3043"/>
      <c r="M3043" t="n">
        <v>1990</v>
      </c>
      <c r="N3043" t="n">
        <v>1992</v>
      </c>
      <c r="O3043" t="s">
        <v>357</v>
      </c>
      <c r="P3043" t="n">
        <v>2</v>
      </c>
      <c r="Q3043" t="n">
        <v>1</v>
      </c>
      <c r="R3043" t="n">
        <v>1</v>
      </c>
      <c r="S3043" t="n">
        <v>1927</v>
      </c>
      <c r="T3043" t="s">
        <v>20107</v>
      </c>
      <c r="U3043" t="s">
        <v>20108</v>
      </c>
      <c r="V3043" t="s">
        <v>74</v>
      </c>
      <c r="W3043"/>
      <c r="X3043" t="s">
        <v>20109</v>
      </c>
      <c r="Y3043" t="s">
        <v>20110</v>
      </c>
      <c r="Z3043"/>
      <c r="AA3043" t="s">
        <v>20111</v>
      </c>
      <c r="AB3043"/>
      <c r="AC3043"/>
      <c r="AD3043" t="s">
        <v>19851</v>
      </c>
      <c r="AE3043" t="n">
        <v>97</v>
      </c>
      <c r="AF3043" t="s">
        <v>9255</v>
      </c>
      <c r="AG3043" t="n">
        <v>168</v>
      </c>
    </row>
    <row r="3044">
      <c r="A3044" t="s">
        <v>20112</v>
      </c>
      <c r="B3044" t="s">
        <v>27</v>
      </c>
      <c r="C3044" t="s">
        <v>65</v>
      </c>
      <c r="D3044" t="s">
        <v>20113</v>
      </c>
      <c r="E3044" t="s">
        <v>79</v>
      </c>
      <c r="F3044" t="s">
        <v>1274</v>
      </c>
      <c r="G3044" t="s">
        <v>1702</v>
      </c>
      <c r="H3044" t="n">
        <v>39.7676011677852</v>
      </c>
      <c r="I3044" t="n">
        <v>-104.842107872483</v>
      </c>
      <c r="J3044" t="s">
        <v>35</v>
      </c>
      <c r="K3044" t="s">
        <v>70</v>
      </c>
      <c r="L3044"/>
      <c r="M3044" t="n">
        <v>1990</v>
      </c>
      <c r="N3044" t="n">
        <v>1992</v>
      </c>
      <c r="O3044" t="s">
        <v>357</v>
      </c>
      <c r="P3044" t="n">
        <v>2</v>
      </c>
      <c r="Q3044" t="n">
        <v>2</v>
      </c>
      <c r="R3044" t="n">
        <v>2</v>
      </c>
      <c r="S3044" t="n">
        <v>1982</v>
      </c>
      <c r="T3044" t="s">
        <v>20114</v>
      </c>
      <c r="U3044" t="s">
        <v>20115</v>
      </c>
      <c r="V3044" t="s">
        <v>74</v>
      </c>
      <c r="W3044"/>
      <c r="X3044" t="s">
        <v>20116</v>
      </c>
      <c r="Y3044"/>
      <c r="Z3044"/>
      <c r="AA3044"/>
      <c r="AB3044"/>
      <c r="AC3044"/>
      <c r="AD3044" t="s">
        <v>11651</v>
      </c>
      <c r="AE3044" t="n">
        <v>82</v>
      </c>
      <c r="AF3044"/>
      <c r="AG3044"/>
    </row>
    <row r="3045">
      <c r="A3045" t="s">
        <v>20117</v>
      </c>
      <c r="B3045" t="s">
        <v>27</v>
      </c>
      <c r="C3045" t="s">
        <v>24</v>
      </c>
      <c r="D3045" t="s">
        <v>20118</v>
      </c>
      <c r="E3045" t="s">
        <v>79</v>
      </c>
      <c r="F3045" t="s">
        <v>1274</v>
      </c>
      <c r="G3045" t="s">
        <v>1702</v>
      </c>
      <c r="H3045" t="n">
        <v>39.7903289457878</v>
      </c>
      <c r="I3045" t="n">
        <v>-104.852256206677</v>
      </c>
      <c r="J3045" t="s">
        <v>4109</v>
      </c>
      <c r="K3045" t="s">
        <v>120</v>
      </c>
      <c r="L3045"/>
      <c r="M3045" t="n">
        <v>1990</v>
      </c>
      <c r="N3045" t="n">
        <v>1990</v>
      </c>
      <c r="O3045" t="s">
        <v>351</v>
      </c>
      <c r="P3045" t="n">
        <v>1</v>
      </c>
      <c r="Q3045" t="n">
        <v>1</v>
      </c>
      <c r="R3045" t="n">
        <v>1</v>
      </c>
      <c r="S3045" t="n">
        <v>1979</v>
      </c>
      <c r="T3045" t="s">
        <v>20119</v>
      </c>
      <c r="U3045" t="s">
        <v>20120</v>
      </c>
      <c r="V3045" t="s">
        <v>74</v>
      </c>
      <c r="W3045"/>
      <c r="X3045" t="s">
        <v>20121</v>
      </c>
      <c r="Y3045" t="s">
        <v>20122</v>
      </c>
      <c r="Z3045"/>
      <c r="AA3045" t="s">
        <v>20123</v>
      </c>
      <c r="AB3045"/>
      <c r="AC3045"/>
      <c r="AD3045" t="s">
        <v>15795</v>
      </c>
      <c r="AE3045" t="n">
        <v>39</v>
      </c>
      <c r="AF3045" t="s">
        <v>20124</v>
      </c>
      <c r="AG3045" t="n">
        <v>21</v>
      </c>
    </row>
    <row r="3046">
      <c r="A3046" t="s">
        <v>20125</v>
      </c>
      <c r="B3046" t="s">
        <v>27</v>
      </c>
      <c r="C3046" t="s">
        <v>65</v>
      </c>
      <c r="D3046" t="s">
        <v>20126</v>
      </c>
      <c r="E3046" t="s">
        <v>79</v>
      </c>
      <c r="F3046" t="s">
        <v>1274</v>
      </c>
      <c r="G3046" t="s">
        <v>1440</v>
      </c>
      <c r="H3046" t="n">
        <v>39.7788606960276</v>
      </c>
      <c r="I3046" t="n">
        <v>-105.001709510227</v>
      </c>
      <c r="J3046" t="s">
        <v>35</v>
      </c>
      <c r="K3046" t="s">
        <v>141</v>
      </c>
      <c r="L3046"/>
      <c r="M3046" t="n">
        <v>1990</v>
      </c>
      <c r="N3046" t="n">
        <v>1990</v>
      </c>
      <c r="O3046" t="s">
        <v>351</v>
      </c>
      <c r="P3046" t="n">
        <v>1</v>
      </c>
      <c r="Q3046" t="n">
        <v>1</v>
      </c>
      <c r="R3046" t="n">
        <v>1</v>
      </c>
      <c r="S3046" t="n">
        <v>1979</v>
      </c>
      <c r="T3046" t="s">
        <v>20127</v>
      </c>
      <c r="U3046" t="s">
        <v>20128</v>
      </c>
      <c r="V3046" t="s">
        <v>74</v>
      </c>
      <c r="W3046"/>
      <c r="X3046" t="s">
        <v>20129</v>
      </c>
      <c r="Y3046" t="s">
        <v>20130</v>
      </c>
      <c r="Z3046"/>
      <c r="AA3046"/>
      <c r="AB3046" t="s">
        <v>1918</v>
      </c>
      <c r="AC3046" t="n">
        <v>155</v>
      </c>
      <c r="AD3046" t="s">
        <v>1919</v>
      </c>
      <c r="AE3046" t="n">
        <v>4</v>
      </c>
      <c r="AF3046" t="s">
        <v>5199</v>
      </c>
      <c r="AG3046" t="n">
        <v>54</v>
      </c>
    </row>
    <row r="3047">
      <c r="A3047" t="s">
        <v>20131</v>
      </c>
      <c r="B3047" t="s">
        <v>27</v>
      </c>
      <c r="C3047" t="s">
        <v>65</v>
      </c>
      <c r="D3047" t="s">
        <v>20132</v>
      </c>
      <c r="E3047" t="s">
        <v>386</v>
      </c>
      <c r="F3047" t="s">
        <v>2221</v>
      </c>
      <c r="G3047" t="s">
        <v>4575</v>
      </c>
      <c r="H3047" t="n">
        <v>39.5508065323286</v>
      </c>
      <c r="I3047" t="n">
        <v>-105.042044286815</v>
      </c>
      <c r="J3047" t="s">
        <v>35</v>
      </c>
      <c r="K3047" t="s">
        <v>1041</v>
      </c>
      <c r="L3047"/>
      <c r="M3047" t="n">
        <v>1977</v>
      </c>
      <c r="N3047" t="n">
        <v>1992</v>
      </c>
      <c r="O3047" t="s">
        <v>325</v>
      </c>
      <c r="P3047" t="n">
        <v>4</v>
      </c>
      <c r="Q3047" t="n">
        <v>2</v>
      </c>
      <c r="R3047" t="n">
        <v>1</v>
      </c>
      <c r="S3047" t="n">
        <v>1966</v>
      </c>
      <c r="T3047" t="s">
        <v>20133</v>
      </c>
      <c r="U3047" t="s">
        <v>20134</v>
      </c>
      <c r="V3047" t="s">
        <v>74</v>
      </c>
      <c r="W3047"/>
      <c r="X3047" t="s">
        <v>20135</v>
      </c>
      <c r="Y3047" t="s">
        <v>20136</v>
      </c>
      <c r="Z3047"/>
      <c r="AA3047" t="s">
        <v>20137</v>
      </c>
      <c r="AB3047"/>
      <c r="AC3047"/>
      <c r="AD3047" t="s">
        <v>20138</v>
      </c>
      <c r="AE3047" t="n">
        <v>9</v>
      </c>
      <c r="AF3047" t="s">
        <v>20139</v>
      </c>
      <c r="AG3047" t="n">
        <v>9</v>
      </c>
    </row>
    <row r="3048">
      <c r="A3048" t="s">
        <v>20140</v>
      </c>
      <c r="B3048" t="s">
        <v>27</v>
      </c>
      <c r="C3048" t="s">
        <v>24</v>
      </c>
      <c r="D3048" t="s">
        <v>20141</v>
      </c>
      <c r="E3048" t="s">
        <v>4565</v>
      </c>
      <c r="F3048" t="s">
        <v>2221</v>
      </c>
      <c r="G3048" t="s">
        <v>4566</v>
      </c>
      <c r="H3048" t="n">
        <v>39.472994</v>
      </c>
      <c r="I3048" t="n">
        <v>-105.026563</v>
      </c>
      <c r="J3048" t="s">
        <v>4109</v>
      </c>
      <c r="K3048" t="s">
        <v>89</v>
      </c>
      <c r="L3048"/>
      <c r="M3048" t="n">
        <v>1983</v>
      </c>
      <c r="N3048" t="n">
        <v>1983</v>
      </c>
      <c r="O3048" t="s">
        <v>264</v>
      </c>
      <c r="P3048" t="n">
        <v>1</v>
      </c>
      <c r="Q3048" t="n">
        <v>1</v>
      </c>
      <c r="R3048" t="n">
        <v>1</v>
      </c>
      <c r="S3048" t="n">
        <v>1966</v>
      </c>
      <c r="T3048" t="s">
        <v>20142</v>
      </c>
      <c r="U3048" t="s">
        <v>20143</v>
      </c>
      <c r="V3048" t="s">
        <v>74</v>
      </c>
      <c r="W3048"/>
      <c r="X3048" t="s">
        <v>20144</v>
      </c>
      <c r="Y3048"/>
      <c r="Z3048"/>
      <c r="AA3048" t="s">
        <v>20145</v>
      </c>
      <c r="AB3048"/>
      <c r="AC3048"/>
      <c r="AD3048" t="s">
        <v>20146</v>
      </c>
      <c r="AE3048" t="n">
        <v>235</v>
      </c>
      <c r="AF3048"/>
      <c r="AG3048"/>
    </row>
    <row r="3049">
      <c r="A3049" t="s">
        <v>20147</v>
      </c>
      <c r="B3049" t="s">
        <v>27</v>
      </c>
      <c r="C3049" t="s">
        <v>65</v>
      </c>
      <c r="D3049" t="s">
        <v>20148</v>
      </c>
      <c r="E3049" t="s">
        <v>386</v>
      </c>
      <c r="F3049" t="s">
        <v>2221</v>
      </c>
      <c r="G3049" t="s">
        <v>4575</v>
      </c>
      <c r="H3049" t="n">
        <v>39.5010637017172</v>
      </c>
      <c r="I3049" t="n">
        <v>-105.018044227149</v>
      </c>
      <c r="J3049" t="s">
        <v>35</v>
      </c>
      <c r="K3049" t="s">
        <v>1041</v>
      </c>
      <c r="L3049"/>
      <c r="M3049" t="n">
        <v>1988</v>
      </c>
      <c r="N3049" t="n">
        <v>1992</v>
      </c>
      <c r="O3049" t="s">
        <v>4855</v>
      </c>
      <c r="P3049" t="n">
        <v>2</v>
      </c>
      <c r="Q3049" t="n">
        <v>1</v>
      </c>
      <c r="R3049" t="n">
        <v>1</v>
      </c>
      <c r="S3049" t="n">
        <v>1981</v>
      </c>
      <c r="T3049" t="s">
        <v>20149</v>
      </c>
      <c r="U3049" t="s">
        <v>20150</v>
      </c>
      <c r="V3049" t="s">
        <v>74</v>
      </c>
      <c r="W3049"/>
      <c r="X3049" t="s">
        <v>20151</v>
      </c>
      <c r="Y3049" t="s">
        <v>20152</v>
      </c>
      <c r="Z3049"/>
      <c r="AA3049" t="s">
        <v>20153</v>
      </c>
      <c r="AB3049"/>
      <c r="AC3049"/>
      <c r="AD3049" t="s">
        <v>20154</v>
      </c>
      <c r="AE3049" t="n">
        <v>17</v>
      </c>
      <c r="AF3049" t="s">
        <v>20155</v>
      </c>
      <c r="AG3049" t="n">
        <v>45</v>
      </c>
    </row>
    <row r="3050">
      <c r="A3050" t="s">
        <v>20156</v>
      </c>
      <c r="B3050" t="s">
        <v>27</v>
      </c>
      <c r="C3050" t="s">
        <v>24</v>
      </c>
      <c r="D3050" t="s">
        <v>20157</v>
      </c>
      <c r="E3050" t="s">
        <v>386</v>
      </c>
      <c r="F3050" t="s">
        <v>2221</v>
      </c>
      <c r="G3050" t="s">
        <v>4575</v>
      </c>
      <c r="H3050" t="n">
        <v>39.5027823782181</v>
      </c>
      <c r="I3050" t="n">
        <v>-105.017741739017</v>
      </c>
      <c r="J3050" t="s">
        <v>4109</v>
      </c>
      <c r="K3050" t="s">
        <v>70</v>
      </c>
      <c r="L3050"/>
      <c r="M3050" t="n">
        <v>1990</v>
      </c>
      <c r="N3050" t="n">
        <v>1990</v>
      </c>
      <c r="O3050" t="s">
        <v>351</v>
      </c>
      <c r="P3050" t="n">
        <v>1</v>
      </c>
      <c r="Q3050" t="n">
        <v>1</v>
      </c>
      <c r="R3050" t="n">
        <v>1</v>
      </c>
      <c r="S3050" t="n">
        <v>1982</v>
      </c>
      <c r="T3050" t="s">
        <v>20158</v>
      </c>
      <c r="U3050" t="s">
        <v>20159</v>
      </c>
      <c r="V3050" t="s">
        <v>74</v>
      </c>
      <c r="W3050"/>
      <c r="X3050" t="s">
        <v>20160</v>
      </c>
      <c r="Y3050" t="s">
        <v>20161</v>
      </c>
      <c r="Z3050"/>
      <c r="AA3050" t="s">
        <v>20162</v>
      </c>
      <c r="AB3050"/>
      <c r="AC3050"/>
      <c r="AD3050" t="s">
        <v>20154</v>
      </c>
      <c r="AE3050" t="n">
        <v>191</v>
      </c>
      <c r="AF3050" t="s">
        <v>20163</v>
      </c>
      <c r="AG3050" t="n">
        <v>1</v>
      </c>
    </row>
    <row r="3051">
      <c r="A3051" t="s">
        <v>20164</v>
      </c>
      <c r="B3051" t="s">
        <v>27</v>
      </c>
      <c r="C3051" t="s">
        <v>65</v>
      </c>
      <c r="D3051" t="s">
        <v>20165</v>
      </c>
      <c r="E3051" t="s">
        <v>2220</v>
      </c>
      <c r="F3051" t="s">
        <v>2221</v>
      </c>
      <c r="G3051" t="s">
        <v>2222</v>
      </c>
      <c r="H3051" t="n">
        <v>39.3732923472597</v>
      </c>
      <c r="I3051" t="n">
        <v>-104.873735234249</v>
      </c>
      <c r="J3051" t="s">
        <v>35</v>
      </c>
      <c r="K3051" t="s">
        <v>282</v>
      </c>
      <c r="L3051" t="s">
        <v>98</v>
      </c>
      <c r="M3051" t="n">
        <v>1992</v>
      </c>
      <c r="N3051" t="n">
        <v>1992</v>
      </c>
      <c r="O3051" t="s">
        <v>1016</v>
      </c>
      <c r="P3051" t="n">
        <v>1</v>
      </c>
      <c r="Q3051" t="n">
        <v>1</v>
      </c>
      <c r="R3051" t="n">
        <v>1</v>
      </c>
      <c r="S3051"/>
      <c r="T3051" t="s">
        <v>20166</v>
      </c>
      <c r="U3051" t="s">
        <v>20167</v>
      </c>
      <c r="V3051" t="s">
        <v>74</v>
      </c>
      <c r="W3051"/>
      <c r="X3051" t="s">
        <v>20168</v>
      </c>
      <c r="Y3051" t="s">
        <v>20169</v>
      </c>
      <c r="Z3051"/>
      <c r="AA3051"/>
      <c r="AB3051"/>
      <c r="AC3051"/>
      <c r="AD3051" t="s">
        <v>20170</v>
      </c>
      <c r="AE3051" t="n">
        <v>12</v>
      </c>
      <c r="AF3051" t="s">
        <v>20171</v>
      </c>
      <c r="AG3051" t="n">
        <v>25</v>
      </c>
    </row>
    <row r="3052">
      <c r="A3052" t="s">
        <v>20172</v>
      </c>
      <c r="B3052" t="s">
        <v>27</v>
      </c>
      <c r="C3052" t="s">
        <v>65</v>
      </c>
      <c r="D3052" t="s">
        <v>20173</v>
      </c>
      <c r="E3052" t="s">
        <v>2272</v>
      </c>
      <c r="F3052" t="s">
        <v>2267</v>
      </c>
      <c r="G3052"/>
      <c r="H3052" t="n">
        <v>38.8415554077556</v>
      </c>
      <c r="I3052" t="n">
        <v>-104.738728527132</v>
      </c>
      <c r="J3052" t="s">
        <v>35</v>
      </c>
      <c r="K3052" t="s">
        <v>89</v>
      </c>
      <c r="L3052" t="s">
        <v>202</v>
      </c>
      <c r="M3052" t="n">
        <v>1966</v>
      </c>
      <c r="N3052" t="n">
        <v>1990</v>
      </c>
      <c r="O3052" t="s">
        <v>1517</v>
      </c>
      <c r="P3052" t="n">
        <v>8</v>
      </c>
      <c r="Q3052" t="n">
        <v>2</v>
      </c>
      <c r="R3052" t="n">
        <v>2</v>
      </c>
      <c r="S3052" t="n">
        <v>1944</v>
      </c>
      <c r="T3052" t="s">
        <v>20174</v>
      </c>
      <c r="U3052" t="s">
        <v>20175</v>
      </c>
      <c r="V3052" t="s">
        <v>74</v>
      </c>
      <c r="W3052"/>
      <c r="X3052" t="s">
        <v>20176</v>
      </c>
      <c r="Y3052"/>
      <c r="Z3052"/>
      <c r="AA3052" t="s">
        <v>20177</v>
      </c>
      <c r="AB3052"/>
      <c r="AC3052"/>
      <c r="AD3052" t="s">
        <v>20178</v>
      </c>
      <c r="AE3052" t="n">
        <v>7</v>
      </c>
      <c r="AF3052" t="s">
        <v>20179</v>
      </c>
      <c r="AG3052" t="n">
        <v>174</v>
      </c>
    </row>
    <row r="3053">
      <c r="A3053" t="s">
        <v>20180</v>
      </c>
      <c r="B3053" t="s">
        <v>27</v>
      </c>
      <c r="C3053" t="s">
        <v>24</v>
      </c>
      <c r="D3053" t="s">
        <v>20181</v>
      </c>
      <c r="E3053" t="s">
        <v>2272</v>
      </c>
      <c r="F3053" t="s">
        <v>2267</v>
      </c>
      <c r="G3053" t="s">
        <v>2296</v>
      </c>
      <c r="H3053" t="n">
        <v>38.881687</v>
      </c>
      <c r="I3053" t="n">
        <v>-104.815901</v>
      </c>
      <c r="J3053" t="s">
        <v>4109</v>
      </c>
      <c r="K3053" t="s">
        <v>141</v>
      </c>
      <c r="L3053"/>
      <c r="M3053" t="n">
        <v>1966</v>
      </c>
      <c r="N3053" t="n">
        <v>1974</v>
      </c>
      <c r="O3053" t="s">
        <v>127</v>
      </c>
      <c r="P3053" t="n">
        <v>3</v>
      </c>
      <c r="Q3053" t="n">
        <v>3</v>
      </c>
      <c r="R3053" t="n">
        <v>2</v>
      </c>
      <c r="S3053" t="n">
        <v>1937</v>
      </c>
      <c r="T3053" t="s">
        <v>20182</v>
      </c>
      <c r="U3053" t="s">
        <v>20183</v>
      </c>
      <c r="V3053" t="s">
        <v>74</v>
      </c>
      <c r="W3053"/>
      <c r="X3053" t="s">
        <v>20184</v>
      </c>
      <c r="Y3053" t="s">
        <v>20185</v>
      </c>
      <c r="Z3053"/>
      <c r="AA3053" t="s">
        <v>20186</v>
      </c>
      <c r="AB3053"/>
      <c r="AC3053"/>
      <c r="AD3053" t="s">
        <v>20187</v>
      </c>
      <c r="AE3053" t="n">
        <v>36</v>
      </c>
      <c r="AF3053" t="s">
        <v>20188</v>
      </c>
      <c r="AG3053" t="n">
        <v>120</v>
      </c>
    </row>
    <row r="3054">
      <c r="A3054" t="s">
        <v>20189</v>
      </c>
      <c r="B3054" t="s">
        <v>27</v>
      </c>
      <c r="C3054" t="s">
        <v>65</v>
      </c>
      <c r="D3054" t="s">
        <v>20190</v>
      </c>
      <c r="E3054" t="s">
        <v>2272</v>
      </c>
      <c r="F3054" t="s">
        <v>2267</v>
      </c>
      <c r="G3054" t="s">
        <v>2296</v>
      </c>
      <c r="H3054" t="n">
        <v>38.8751993673469</v>
      </c>
      <c r="I3054" t="n">
        <v>-104.816157142857</v>
      </c>
      <c r="J3054" t="s">
        <v>35</v>
      </c>
      <c r="K3054" t="s">
        <v>2274</v>
      </c>
      <c r="L3054"/>
      <c r="M3054" t="n">
        <v>1967</v>
      </c>
      <c r="N3054" t="n">
        <v>1980</v>
      </c>
      <c r="O3054" t="s">
        <v>20191</v>
      </c>
      <c r="P3054" t="n">
        <v>3</v>
      </c>
      <c r="Q3054" t="n">
        <v>3</v>
      </c>
      <c r="R3054" t="n">
        <v>3</v>
      </c>
      <c r="S3054" t="n">
        <v>1963</v>
      </c>
      <c r="T3054" t="s">
        <v>20192</v>
      </c>
      <c r="U3054" t="s">
        <v>20193</v>
      </c>
      <c r="V3054" t="s">
        <v>74</v>
      </c>
      <c r="W3054"/>
      <c r="X3054" t="s">
        <v>20194</v>
      </c>
      <c r="Y3054" t="s">
        <v>20195</v>
      </c>
      <c r="Z3054"/>
      <c r="AA3054" t="s">
        <v>20196</v>
      </c>
      <c r="AB3054" t="s">
        <v>9575</v>
      </c>
      <c r="AC3054" t="n">
        <v>107</v>
      </c>
      <c r="AD3054" t="s">
        <v>9429</v>
      </c>
      <c r="AE3054" t="n">
        <v>6</v>
      </c>
      <c r="AF3054" t="s">
        <v>20197</v>
      </c>
      <c r="AG3054" t="n">
        <v>17</v>
      </c>
    </row>
    <row r="3055">
      <c r="A3055" t="s">
        <v>20198</v>
      </c>
      <c r="B3055" t="s">
        <v>27</v>
      </c>
      <c r="C3055" t="s">
        <v>65</v>
      </c>
      <c r="D3055" t="s">
        <v>20199</v>
      </c>
      <c r="E3055" t="s">
        <v>2272</v>
      </c>
      <c r="F3055" t="s">
        <v>2267</v>
      </c>
      <c r="G3055" t="s">
        <v>2374</v>
      </c>
      <c r="H3055" t="n">
        <v>38.8279967291678</v>
      </c>
      <c r="I3055" t="n">
        <v>-104.816639924417</v>
      </c>
      <c r="J3055" t="s">
        <v>35</v>
      </c>
      <c r="K3055" t="s">
        <v>70</v>
      </c>
      <c r="L3055"/>
      <c r="M3055" t="n">
        <v>1967</v>
      </c>
      <c r="N3055" t="n">
        <v>1992</v>
      </c>
      <c r="O3055" t="s">
        <v>582</v>
      </c>
      <c r="P3055" t="n">
        <v>9</v>
      </c>
      <c r="Q3055" t="n">
        <v>3</v>
      </c>
      <c r="R3055" t="n">
        <v>2</v>
      </c>
      <c r="S3055" t="n">
        <v>1945</v>
      </c>
      <c r="T3055" t="s">
        <v>20200</v>
      </c>
      <c r="U3055" t="s">
        <v>20201</v>
      </c>
      <c r="V3055" t="s">
        <v>74</v>
      </c>
      <c r="W3055"/>
      <c r="X3055" t="s">
        <v>20202</v>
      </c>
      <c r="Y3055"/>
      <c r="Z3055"/>
      <c r="AA3055" t="s">
        <v>20203</v>
      </c>
      <c r="AB3055"/>
      <c r="AC3055"/>
      <c r="AD3055" t="s">
        <v>2352</v>
      </c>
      <c r="AE3055" t="n">
        <v>40</v>
      </c>
      <c r="AF3055" t="s">
        <v>20204</v>
      </c>
      <c r="AG3055" t="n">
        <v>154</v>
      </c>
    </row>
    <row r="3056">
      <c r="A3056" t="s">
        <v>20205</v>
      </c>
      <c r="B3056" t="s">
        <v>27</v>
      </c>
      <c r="C3056" t="s">
        <v>65</v>
      </c>
      <c r="D3056" t="s">
        <v>20206</v>
      </c>
      <c r="E3056" t="s">
        <v>2272</v>
      </c>
      <c r="F3056" t="s">
        <v>2267</v>
      </c>
      <c r="G3056" t="s">
        <v>2296</v>
      </c>
      <c r="H3056" t="n">
        <v>38.883662</v>
      </c>
      <c r="I3056" t="n">
        <v>-104.815903</v>
      </c>
      <c r="J3056" t="s">
        <v>35</v>
      </c>
      <c r="K3056" t="s">
        <v>201</v>
      </c>
      <c r="L3056"/>
      <c r="M3056" t="n">
        <v>1968</v>
      </c>
      <c r="N3056" t="n">
        <v>1983</v>
      </c>
      <c r="O3056" t="s">
        <v>20207</v>
      </c>
      <c r="P3056" t="n">
        <v>4</v>
      </c>
      <c r="Q3056" t="n">
        <v>6</v>
      </c>
      <c r="R3056" t="n">
        <v>5</v>
      </c>
      <c r="S3056" t="n">
        <v>1963</v>
      </c>
      <c r="T3056" t="s">
        <v>20208</v>
      </c>
      <c r="U3056" t="s">
        <v>20209</v>
      </c>
      <c r="V3056" t="s">
        <v>74</v>
      </c>
      <c r="W3056"/>
      <c r="X3056" t="s">
        <v>20210</v>
      </c>
      <c r="Y3056"/>
      <c r="Z3056"/>
      <c r="AA3056"/>
      <c r="AB3056"/>
      <c r="AC3056"/>
      <c r="AD3056" t="s">
        <v>20211</v>
      </c>
      <c r="AE3056" t="n">
        <v>37</v>
      </c>
      <c r="AF3056" t="s">
        <v>20212</v>
      </c>
      <c r="AG3056" t="n">
        <v>52</v>
      </c>
    </row>
    <row r="3057">
      <c r="A3057" t="s">
        <v>20213</v>
      </c>
      <c r="B3057" t="s">
        <v>27</v>
      </c>
      <c r="C3057" t="s">
        <v>65</v>
      </c>
      <c r="D3057" t="s">
        <v>20214</v>
      </c>
      <c r="E3057" t="s">
        <v>2272</v>
      </c>
      <c r="F3057" t="s">
        <v>2267</v>
      </c>
      <c r="G3057" t="s">
        <v>2296</v>
      </c>
      <c r="H3057" t="n">
        <v>38.875847</v>
      </c>
      <c r="I3057" t="n">
        <v>-104.816122</v>
      </c>
      <c r="J3057" t="s">
        <v>35</v>
      </c>
      <c r="K3057" t="s">
        <v>70</v>
      </c>
      <c r="L3057"/>
      <c r="M3057" t="n">
        <v>1968</v>
      </c>
      <c r="N3057" t="n">
        <v>1968</v>
      </c>
      <c r="O3057" t="s">
        <v>1349</v>
      </c>
      <c r="P3057" t="n">
        <v>1</v>
      </c>
      <c r="Q3057" t="n">
        <v>1</v>
      </c>
      <c r="R3057" t="n">
        <v>1</v>
      </c>
      <c r="S3057"/>
      <c r="T3057" t="s">
        <v>20215</v>
      </c>
      <c r="U3057" t="s">
        <v>20216</v>
      </c>
      <c r="V3057" t="s">
        <v>74</v>
      </c>
      <c r="W3057"/>
      <c r="X3057" t="s">
        <v>20217</v>
      </c>
      <c r="Y3057" t="s">
        <v>20218</v>
      </c>
      <c r="Z3057"/>
      <c r="AA3057"/>
      <c r="AB3057" t="s">
        <v>2434</v>
      </c>
      <c r="AC3057" t="n">
        <v>159</v>
      </c>
      <c r="AD3057" t="s">
        <v>9429</v>
      </c>
      <c r="AE3057" t="n">
        <v>66</v>
      </c>
      <c r="AF3057" t="s">
        <v>20219</v>
      </c>
      <c r="AG3057" t="n">
        <v>0</v>
      </c>
    </row>
    <row r="3058">
      <c r="A3058" t="s">
        <v>20220</v>
      </c>
      <c r="B3058" t="s">
        <v>27</v>
      </c>
      <c r="C3058" t="s">
        <v>24</v>
      </c>
      <c r="D3058" t="s">
        <v>20221</v>
      </c>
      <c r="E3058" t="s">
        <v>2272</v>
      </c>
      <c r="F3058" t="s">
        <v>2267</v>
      </c>
      <c r="G3058" t="s">
        <v>2374</v>
      </c>
      <c r="H3058" t="n">
        <v>38.8883523858947</v>
      </c>
      <c r="I3058" t="n">
        <v>-104.819012923321</v>
      </c>
      <c r="J3058" t="s">
        <v>35</v>
      </c>
      <c r="K3058" t="s">
        <v>70</v>
      </c>
      <c r="L3058"/>
      <c r="M3058" t="n">
        <v>1968</v>
      </c>
      <c r="N3058" t="n">
        <v>1990</v>
      </c>
      <c r="O3058" t="s">
        <v>121</v>
      </c>
      <c r="P3058" t="n">
        <v>6</v>
      </c>
      <c r="Q3058" t="n">
        <v>4</v>
      </c>
      <c r="R3058" t="n">
        <v>1</v>
      </c>
      <c r="S3058" t="n">
        <v>1936</v>
      </c>
      <c r="T3058" t="s">
        <v>20222</v>
      </c>
      <c r="U3058" t="s">
        <v>20223</v>
      </c>
      <c r="V3058" t="s">
        <v>4175</v>
      </c>
      <c r="W3058"/>
      <c r="X3058" t="s">
        <v>20224</v>
      </c>
      <c r="Y3058"/>
      <c r="Z3058"/>
      <c r="AA3058"/>
      <c r="AB3058"/>
      <c r="AC3058"/>
      <c r="AD3058" t="s">
        <v>20225</v>
      </c>
      <c r="AE3058" t="n">
        <v>88</v>
      </c>
      <c r="AF3058" t="s">
        <v>20226</v>
      </c>
      <c r="AG3058" t="n">
        <v>206</v>
      </c>
    </row>
    <row r="3059">
      <c r="A3059" t="s">
        <v>20227</v>
      </c>
      <c r="B3059" t="s">
        <v>27</v>
      </c>
      <c r="C3059" t="s">
        <v>65</v>
      </c>
      <c r="D3059" t="s">
        <v>20228</v>
      </c>
      <c r="E3059" t="s">
        <v>2272</v>
      </c>
      <c r="F3059" t="s">
        <v>2267</v>
      </c>
      <c r="G3059" t="s">
        <v>2444</v>
      </c>
      <c r="H3059" t="n">
        <v>38.8446778821091</v>
      </c>
      <c r="I3059" t="n">
        <v>-104.747292332946</v>
      </c>
      <c r="J3059" t="s">
        <v>35</v>
      </c>
      <c r="K3059" t="s">
        <v>796</v>
      </c>
      <c r="L3059"/>
      <c r="M3059" t="n">
        <v>1970</v>
      </c>
      <c r="N3059" t="n">
        <v>1992</v>
      </c>
      <c r="O3059" t="s">
        <v>20229</v>
      </c>
      <c r="P3059" t="n">
        <v>8</v>
      </c>
      <c r="Q3059" t="n">
        <v>3</v>
      </c>
      <c r="R3059" t="n">
        <v>3</v>
      </c>
      <c r="S3059" t="n">
        <v>1967</v>
      </c>
      <c r="T3059" t="s">
        <v>20230</v>
      </c>
      <c r="U3059" t="s">
        <v>20231</v>
      </c>
      <c r="V3059" t="s">
        <v>74</v>
      </c>
      <c r="W3059"/>
      <c r="X3059" t="s">
        <v>20232</v>
      </c>
      <c r="Y3059"/>
      <c r="Z3059"/>
      <c r="AA3059"/>
      <c r="AB3059"/>
      <c r="AC3059"/>
      <c r="AD3059" t="s">
        <v>20233</v>
      </c>
      <c r="AE3059" t="n">
        <v>71</v>
      </c>
      <c r="AF3059" t="s">
        <v>20234</v>
      </c>
      <c r="AG3059" t="n">
        <v>78</v>
      </c>
    </row>
    <row r="3060">
      <c r="A3060" t="s">
        <v>20235</v>
      </c>
      <c r="B3060" t="s">
        <v>27</v>
      </c>
      <c r="C3060" t="s">
        <v>24</v>
      </c>
      <c r="D3060" t="s">
        <v>20236</v>
      </c>
      <c r="E3060" t="s">
        <v>2272</v>
      </c>
      <c r="F3060" t="s">
        <v>2267</v>
      </c>
      <c r="G3060" t="s">
        <v>2289</v>
      </c>
      <c r="H3060" t="n">
        <v>38.8262336122449</v>
      </c>
      <c r="I3060" t="n">
        <v>-104.827572204082</v>
      </c>
      <c r="J3060" t="s">
        <v>4109</v>
      </c>
      <c r="K3060" t="s">
        <v>120</v>
      </c>
      <c r="L3060"/>
      <c r="M3060" t="n">
        <v>1970</v>
      </c>
      <c r="N3060" t="n">
        <v>1970</v>
      </c>
      <c r="O3060" t="s">
        <v>726</v>
      </c>
      <c r="P3060" t="n">
        <v>1</v>
      </c>
      <c r="Q3060" t="n">
        <v>1</v>
      </c>
      <c r="R3060" t="n">
        <v>1</v>
      </c>
      <c r="S3060" t="n">
        <v>1927</v>
      </c>
      <c r="T3060" t="s">
        <v>20237</v>
      </c>
      <c r="U3060" t="s">
        <v>20238</v>
      </c>
      <c r="V3060" t="s">
        <v>74</v>
      </c>
      <c r="W3060"/>
      <c r="X3060" t="s">
        <v>20239</v>
      </c>
      <c r="Y3060" t="s">
        <v>20240</v>
      </c>
      <c r="Z3060"/>
      <c r="AA3060" t="s">
        <v>20241</v>
      </c>
      <c r="AB3060"/>
      <c r="AC3060"/>
      <c r="AD3060" t="s">
        <v>20242</v>
      </c>
      <c r="AE3060" t="n">
        <v>22</v>
      </c>
      <c r="AF3060" t="s">
        <v>20243</v>
      </c>
      <c r="AG3060" t="n">
        <v>2</v>
      </c>
    </row>
    <row r="3061">
      <c r="A3061" t="s">
        <v>20244</v>
      </c>
      <c r="B3061" t="s">
        <v>27</v>
      </c>
      <c r="C3061" t="s">
        <v>65</v>
      </c>
      <c r="D3061" t="s">
        <v>20245</v>
      </c>
      <c r="E3061" t="s">
        <v>2272</v>
      </c>
      <c r="F3061" t="s">
        <v>2267</v>
      </c>
      <c r="G3061" t="s">
        <v>2374</v>
      </c>
      <c r="H3061" t="n">
        <v>38.8822312499993</v>
      </c>
      <c r="I3061" t="n">
        <v>-104.811883918588</v>
      </c>
      <c r="J3061" t="s">
        <v>35</v>
      </c>
      <c r="K3061" t="s">
        <v>767</v>
      </c>
      <c r="L3061" t="s">
        <v>202</v>
      </c>
      <c r="M3061" t="n">
        <v>1970</v>
      </c>
      <c r="N3061" t="n">
        <v>1990</v>
      </c>
      <c r="O3061" t="s">
        <v>20246</v>
      </c>
      <c r="P3061" t="n">
        <v>5</v>
      </c>
      <c r="Q3061" t="n">
        <v>8</v>
      </c>
      <c r="R3061" t="n">
        <v>7</v>
      </c>
      <c r="S3061" t="n">
        <v>1941</v>
      </c>
      <c r="T3061" t="s">
        <v>20247</v>
      </c>
      <c r="U3061" t="s">
        <v>20248</v>
      </c>
      <c r="V3061" t="s">
        <v>74</v>
      </c>
      <c r="W3061"/>
      <c r="X3061" t="s">
        <v>20249</v>
      </c>
      <c r="Y3061" t="s">
        <v>20250</v>
      </c>
      <c r="Z3061"/>
      <c r="AA3061"/>
      <c r="AB3061"/>
      <c r="AC3061"/>
      <c r="AD3061" t="s">
        <v>2370</v>
      </c>
      <c r="AE3061" t="n">
        <v>43</v>
      </c>
      <c r="AF3061" t="s">
        <v>20251</v>
      </c>
      <c r="AG3061" t="n">
        <v>3</v>
      </c>
    </row>
    <row r="3062">
      <c r="A3062" t="s">
        <v>20252</v>
      </c>
      <c r="B3062" t="s">
        <v>27</v>
      </c>
      <c r="C3062" t="s">
        <v>65</v>
      </c>
      <c r="D3062" t="s">
        <v>20253</v>
      </c>
      <c r="E3062" t="s">
        <v>2272</v>
      </c>
      <c r="F3062" t="s">
        <v>2267</v>
      </c>
      <c r="G3062" t="s">
        <v>2374</v>
      </c>
      <c r="H3062" t="n">
        <v>38.8836661126376</v>
      </c>
      <c r="I3062" t="n">
        <v>-104.818139054382</v>
      </c>
      <c r="J3062" t="s">
        <v>35</v>
      </c>
      <c r="K3062" t="s">
        <v>141</v>
      </c>
      <c r="L3062"/>
      <c r="M3062" t="n">
        <v>1970</v>
      </c>
      <c r="N3062" t="n">
        <v>1990</v>
      </c>
      <c r="O3062" t="s">
        <v>20254</v>
      </c>
      <c r="P3062" t="n">
        <v>7</v>
      </c>
      <c r="Q3062" t="n">
        <v>4</v>
      </c>
      <c r="R3062" t="n">
        <v>4</v>
      </c>
      <c r="S3062" t="n">
        <v>1926</v>
      </c>
      <c r="T3062" t="s">
        <v>20255</v>
      </c>
      <c r="U3062" t="s">
        <v>20256</v>
      </c>
      <c r="V3062" t="s">
        <v>74</v>
      </c>
      <c r="W3062"/>
      <c r="X3062" t="s">
        <v>20257</v>
      </c>
      <c r="Y3062" t="s">
        <v>20258</v>
      </c>
      <c r="Z3062"/>
      <c r="AA3062"/>
      <c r="AB3062"/>
      <c r="AC3062"/>
      <c r="AD3062" t="s">
        <v>20259</v>
      </c>
      <c r="AE3062" t="n">
        <v>12</v>
      </c>
      <c r="AF3062" t="s">
        <v>20260</v>
      </c>
      <c r="AG3062" t="n">
        <v>20</v>
      </c>
    </row>
    <row r="3063">
      <c r="A3063" t="s">
        <v>20261</v>
      </c>
      <c r="B3063" t="s">
        <v>27</v>
      </c>
      <c r="C3063" t="s">
        <v>65</v>
      </c>
      <c r="D3063" t="s">
        <v>20262</v>
      </c>
      <c r="E3063" t="s">
        <v>2272</v>
      </c>
      <c r="F3063" t="s">
        <v>2267</v>
      </c>
      <c r="G3063" t="s">
        <v>4597</v>
      </c>
      <c r="H3063" t="n">
        <v>38.8892528517865</v>
      </c>
      <c r="I3063" t="n">
        <v>-104.83291067758</v>
      </c>
      <c r="J3063" t="s">
        <v>35</v>
      </c>
      <c r="K3063" t="s">
        <v>901</v>
      </c>
      <c r="L3063" t="s">
        <v>202</v>
      </c>
      <c r="M3063" t="n">
        <v>1973</v>
      </c>
      <c r="N3063" t="n">
        <v>1990</v>
      </c>
      <c r="O3063" t="s">
        <v>445</v>
      </c>
      <c r="P3063" t="n">
        <v>6</v>
      </c>
      <c r="Q3063" t="n">
        <v>5</v>
      </c>
      <c r="R3063" t="n">
        <v>5</v>
      </c>
      <c r="S3063" t="n">
        <v>1958</v>
      </c>
      <c r="T3063" t="s">
        <v>20263</v>
      </c>
      <c r="U3063" t="s">
        <v>20264</v>
      </c>
      <c r="V3063" t="s">
        <v>74</v>
      </c>
      <c r="W3063"/>
      <c r="X3063" t="s">
        <v>20265</v>
      </c>
      <c r="Y3063"/>
      <c r="Z3063"/>
      <c r="AA3063" t="s">
        <v>20266</v>
      </c>
      <c r="AB3063" t="s">
        <v>9507</v>
      </c>
      <c r="AC3063" t="n">
        <v>171</v>
      </c>
      <c r="AD3063" t="s">
        <v>20267</v>
      </c>
      <c r="AE3063" t="n">
        <v>31</v>
      </c>
      <c r="AF3063" t="s">
        <v>11421</v>
      </c>
      <c r="AG3063" t="n">
        <v>146</v>
      </c>
    </row>
    <row r="3064">
      <c r="A3064" t="s">
        <v>20268</v>
      </c>
      <c r="B3064" t="s">
        <v>27</v>
      </c>
      <c r="C3064" t="s">
        <v>65</v>
      </c>
      <c r="D3064" t="s">
        <v>20269</v>
      </c>
      <c r="E3064" t="s">
        <v>2272</v>
      </c>
      <c r="F3064" t="s">
        <v>2267</v>
      </c>
      <c r="G3064" t="s">
        <v>2296</v>
      </c>
      <c r="H3064" t="n">
        <v>38.8821560453399</v>
      </c>
      <c r="I3064" t="n">
        <v>-104.822661743044</v>
      </c>
      <c r="J3064" t="s">
        <v>35</v>
      </c>
      <c r="K3064" t="s">
        <v>220</v>
      </c>
      <c r="L3064"/>
      <c r="M3064" t="n">
        <v>1973</v>
      </c>
      <c r="N3064" t="n">
        <v>1990</v>
      </c>
      <c r="O3064" t="s">
        <v>310</v>
      </c>
      <c r="P3064" t="n">
        <v>4</v>
      </c>
      <c r="Q3064" t="n">
        <v>4</v>
      </c>
      <c r="R3064" t="n">
        <v>3</v>
      </c>
      <c r="S3064" t="n">
        <v>1942</v>
      </c>
      <c r="T3064" t="s">
        <v>20270</v>
      </c>
      <c r="U3064" t="s">
        <v>20271</v>
      </c>
      <c r="V3064" t="s">
        <v>74</v>
      </c>
      <c r="W3064"/>
      <c r="X3064" t="s">
        <v>20272</v>
      </c>
      <c r="Y3064"/>
      <c r="Z3064"/>
      <c r="AA3064"/>
      <c r="AB3064"/>
      <c r="AC3064"/>
      <c r="AD3064" t="s">
        <v>16353</v>
      </c>
      <c r="AE3064" t="n">
        <v>6</v>
      </c>
      <c r="AF3064" t="s">
        <v>20273</v>
      </c>
      <c r="AG3064" t="n">
        <v>122</v>
      </c>
    </row>
    <row r="3065">
      <c r="A3065" t="s">
        <v>20274</v>
      </c>
      <c r="B3065" t="s">
        <v>27</v>
      </c>
      <c r="C3065" t="s">
        <v>24</v>
      </c>
      <c r="D3065" t="s">
        <v>20275</v>
      </c>
      <c r="E3065" t="s">
        <v>2272</v>
      </c>
      <c r="F3065" t="s">
        <v>2267</v>
      </c>
      <c r="G3065" t="s">
        <v>2296</v>
      </c>
      <c r="H3065" t="n">
        <v>38.8856408382353</v>
      </c>
      <c r="I3065" t="n">
        <v>-104.811424430927</v>
      </c>
      <c r="J3065" t="s">
        <v>4109</v>
      </c>
      <c r="K3065" t="s">
        <v>796</v>
      </c>
      <c r="L3065" t="s">
        <v>554</v>
      </c>
      <c r="M3065" t="n">
        <v>1973</v>
      </c>
      <c r="N3065" t="n">
        <v>1988</v>
      </c>
      <c r="O3065" t="s">
        <v>20276</v>
      </c>
      <c r="P3065" t="n">
        <v>5</v>
      </c>
      <c r="Q3065" t="n">
        <v>1</v>
      </c>
      <c r="R3065" t="n">
        <v>1</v>
      </c>
      <c r="S3065" t="n">
        <v>1966</v>
      </c>
      <c r="T3065" t="s">
        <v>20277</v>
      </c>
      <c r="U3065" t="s">
        <v>20278</v>
      </c>
      <c r="V3065" t="s">
        <v>74</v>
      </c>
      <c r="W3065"/>
      <c r="X3065" t="s">
        <v>20279</v>
      </c>
      <c r="Y3065" t="s">
        <v>20280</v>
      </c>
      <c r="Z3065"/>
      <c r="AA3065" t="s">
        <v>20281</v>
      </c>
      <c r="AB3065"/>
      <c r="AC3065"/>
      <c r="AD3065" t="s">
        <v>20282</v>
      </c>
      <c r="AE3065" t="n">
        <v>243</v>
      </c>
      <c r="AF3065" t="s">
        <v>20283</v>
      </c>
      <c r="AG3065" t="n">
        <v>101</v>
      </c>
    </row>
    <row r="3066">
      <c r="A3066" t="s">
        <v>20284</v>
      </c>
      <c r="B3066" t="s">
        <v>27</v>
      </c>
      <c r="C3066" t="s">
        <v>24</v>
      </c>
      <c r="D3066" t="s">
        <v>20285</v>
      </c>
      <c r="E3066" t="s">
        <v>2272</v>
      </c>
      <c r="F3066" t="s">
        <v>2267</v>
      </c>
      <c r="G3066" t="s">
        <v>2296</v>
      </c>
      <c r="H3066" t="n">
        <v>38.888607</v>
      </c>
      <c r="I3066" t="n">
        <v>-104.823071</v>
      </c>
      <c r="J3066" t="s">
        <v>4109</v>
      </c>
      <c r="K3066" t="s">
        <v>70</v>
      </c>
      <c r="L3066"/>
      <c r="M3066" t="n">
        <v>1973</v>
      </c>
      <c r="N3066" t="n">
        <v>1983</v>
      </c>
      <c r="O3066" t="s">
        <v>4592</v>
      </c>
      <c r="P3066" t="n">
        <v>4</v>
      </c>
      <c r="Q3066" t="n">
        <v>1</v>
      </c>
      <c r="R3066" t="n">
        <v>1</v>
      </c>
      <c r="S3066" t="n">
        <v>1966</v>
      </c>
      <c r="T3066" t="s">
        <v>20286</v>
      </c>
      <c r="U3066" t="s">
        <v>20287</v>
      </c>
      <c r="V3066" t="s">
        <v>74</v>
      </c>
      <c r="W3066"/>
      <c r="X3066" t="s">
        <v>20288</v>
      </c>
      <c r="Y3066" t="s">
        <v>20289</v>
      </c>
      <c r="Z3066"/>
      <c r="AA3066" t="s">
        <v>20290</v>
      </c>
      <c r="AB3066"/>
      <c r="AC3066"/>
      <c r="AD3066" t="s">
        <v>20291</v>
      </c>
      <c r="AE3066" t="n">
        <v>182</v>
      </c>
      <c r="AF3066" t="s">
        <v>20292</v>
      </c>
      <c r="AG3066" t="n">
        <v>113</v>
      </c>
    </row>
    <row r="3067">
      <c r="A3067" t="s">
        <v>20293</v>
      </c>
      <c r="B3067" t="s">
        <v>27</v>
      </c>
      <c r="C3067" t="s">
        <v>24</v>
      </c>
      <c r="D3067" t="s">
        <v>20294</v>
      </c>
      <c r="E3067" t="s">
        <v>2272</v>
      </c>
      <c r="F3067" t="s">
        <v>2267</v>
      </c>
      <c r="G3067" t="s">
        <v>2296</v>
      </c>
      <c r="H3067" t="n">
        <v>38.8777417091025</v>
      </c>
      <c r="I3067" t="n">
        <v>-104.825932404832</v>
      </c>
      <c r="J3067" t="s">
        <v>4109</v>
      </c>
      <c r="K3067" t="s">
        <v>141</v>
      </c>
      <c r="L3067"/>
      <c r="M3067" t="n">
        <v>1973</v>
      </c>
      <c r="N3067" t="n">
        <v>1990</v>
      </c>
      <c r="O3067" t="s">
        <v>12197</v>
      </c>
      <c r="P3067" t="n">
        <v>5</v>
      </c>
      <c r="Q3067" t="n">
        <v>4</v>
      </c>
      <c r="R3067" t="n">
        <v>3</v>
      </c>
      <c r="S3067" t="n">
        <v>1954</v>
      </c>
      <c r="T3067" t="s">
        <v>20295</v>
      </c>
      <c r="U3067" t="s">
        <v>20296</v>
      </c>
      <c r="V3067" t="s">
        <v>74</v>
      </c>
      <c r="W3067"/>
      <c r="X3067" t="s">
        <v>20297</v>
      </c>
      <c r="Y3067" t="s">
        <v>20298</v>
      </c>
      <c r="Z3067"/>
      <c r="AA3067" t="s">
        <v>20299</v>
      </c>
      <c r="AB3067"/>
      <c r="AC3067"/>
      <c r="AD3067" t="s">
        <v>16384</v>
      </c>
      <c r="AE3067" t="n">
        <v>218</v>
      </c>
      <c r="AF3067" t="s">
        <v>20300</v>
      </c>
      <c r="AG3067" t="n">
        <v>211</v>
      </c>
    </row>
    <row r="3068">
      <c r="A3068" t="s">
        <v>20301</v>
      </c>
      <c r="B3068" t="s">
        <v>27</v>
      </c>
      <c r="C3068" t="s">
        <v>24</v>
      </c>
      <c r="D3068" t="s">
        <v>20302</v>
      </c>
      <c r="E3068" t="s">
        <v>2272</v>
      </c>
      <c r="F3068" t="s">
        <v>2267</v>
      </c>
      <c r="G3068" t="s">
        <v>2296</v>
      </c>
      <c r="H3068" t="n">
        <v>38.8849641891478</v>
      </c>
      <c r="I3068" t="n">
        <v>-104.811029685688</v>
      </c>
      <c r="J3068" t="s">
        <v>4109</v>
      </c>
      <c r="K3068" t="s">
        <v>141</v>
      </c>
      <c r="L3068"/>
      <c r="M3068" t="n">
        <v>1973</v>
      </c>
      <c r="N3068" t="n">
        <v>1988</v>
      </c>
      <c r="O3068" t="s">
        <v>325</v>
      </c>
      <c r="P3068" t="n">
        <v>5</v>
      </c>
      <c r="Q3068" t="n">
        <v>3</v>
      </c>
      <c r="R3068" t="n">
        <v>1</v>
      </c>
      <c r="S3068" t="n">
        <v>1960</v>
      </c>
      <c r="T3068" t="s">
        <v>20303</v>
      </c>
      <c r="U3068" t="s">
        <v>20304</v>
      </c>
      <c r="V3068" t="s">
        <v>74</v>
      </c>
      <c r="W3068"/>
      <c r="X3068" t="s">
        <v>20305</v>
      </c>
      <c r="Y3068" t="s">
        <v>20306</v>
      </c>
      <c r="Z3068"/>
      <c r="AA3068" t="s">
        <v>20307</v>
      </c>
      <c r="AB3068"/>
      <c r="AC3068"/>
      <c r="AD3068" t="s">
        <v>20282</v>
      </c>
      <c r="AE3068" t="n">
        <v>165</v>
      </c>
      <c r="AF3068" t="s">
        <v>20283</v>
      </c>
      <c r="AG3068" t="n">
        <v>18</v>
      </c>
    </row>
    <row r="3069">
      <c r="A3069" t="s">
        <v>20308</v>
      </c>
      <c r="B3069" t="s">
        <v>27</v>
      </c>
      <c r="C3069" t="s">
        <v>65</v>
      </c>
      <c r="D3069" t="s">
        <v>20309</v>
      </c>
      <c r="E3069" t="s">
        <v>2272</v>
      </c>
      <c r="F3069" t="s">
        <v>2267</v>
      </c>
      <c r="G3069" t="s">
        <v>2296</v>
      </c>
      <c r="H3069" t="n">
        <v>38.9015238328683</v>
      </c>
      <c r="I3069" t="n">
        <v>-104.826249616577</v>
      </c>
      <c r="J3069" t="s">
        <v>35</v>
      </c>
      <c r="K3069" t="s">
        <v>141</v>
      </c>
      <c r="L3069"/>
      <c r="M3069" t="n">
        <v>1973</v>
      </c>
      <c r="N3069" t="n">
        <v>1990</v>
      </c>
      <c r="O3069" t="s">
        <v>445</v>
      </c>
      <c r="P3069" t="n">
        <v>6</v>
      </c>
      <c r="Q3069" t="n">
        <v>2</v>
      </c>
      <c r="R3069" t="n">
        <v>2</v>
      </c>
      <c r="S3069" t="n">
        <v>1970</v>
      </c>
      <c r="T3069" t="s">
        <v>20310</v>
      </c>
      <c r="U3069" t="s">
        <v>20311</v>
      </c>
      <c r="V3069" t="s">
        <v>74</v>
      </c>
      <c r="W3069"/>
      <c r="X3069" t="s">
        <v>20312</v>
      </c>
      <c r="Y3069" t="s">
        <v>20313</v>
      </c>
      <c r="Z3069"/>
      <c r="AA3069" t="s">
        <v>20314</v>
      </c>
      <c r="AB3069"/>
      <c r="AC3069"/>
      <c r="AD3069" t="s">
        <v>2583</v>
      </c>
      <c r="AE3069" t="n">
        <v>26</v>
      </c>
      <c r="AF3069" t="s">
        <v>20315</v>
      </c>
      <c r="AG3069" t="n">
        <v>21</v>
      </c>
    </row>
    <row r="3070">
      <c r="A3070" t="s">
        <v>20316</v>
      </c>
      <c r="B3070" t="s">
        <v>27</v>
      </c>
      <c r="C3070" t="s">
        <v>24</v>
      </c>
      <c r="D3070" t="s">
        <v>20317</v>
      </c>
      <c r="E3070" t="s">
        <v>2272</v>
      </c>
      <c r="F3070" t="s">
        <v>2267</v>
      </c>
      <c r="G3070" t="s">
        <v>2296</v>
      </c>
      <c r="H3070" t="n">
        <v>38.8979790612459</v>
      </c>
      <c r="I3070" t="n">
        <v>-104.830573906738</v>
      </c>
      <c r="J3070" t="s">
        <v>4109</v>
      </c>
      <c r="K3070" t="s">
        <v>70</v>
      </c>
      <c r="L3070"/>
      <c r="M3070" t="n">
        <v>1973</v>
      </c>
      <c r="N3070" t="n">
        <v>1973</v>
      </c>
      <c r="O3070" t="s">
        <v>121</v>
      </c>
      <c r="P3070" t="n">
        <v>1</v>
      </c>
      <c r="Q3070" t="n">
        <v>1</v>
      </c>
      <c r="R3070" t="n">
        <v>1</v>
      </c>
      <c r="S3070" t="n">
        <v>1965</v>
      </c>
      <c r="T3070" t="s">
        <v>20318</v>
      </c>
      <c r="U3070" t="s">
        <v>4000</v>
      </c>
      <c r="V3070" t="s">
        <v>74</v>
      </c>
      <c r="W3070"/>
      <c r="X3070" t="s">
        <v>20319</v>
      </c>
      <c r="Y3070" t="s">
        <v>20320</v>
      </c>
      <c r="Z3070"/>
      <c r="AA3070" t="s">
        <v>20321</v>
      </c>
      <c r="AB3070"/>
      <c r="AC3070"/>
      <c r="AD3070" t="s">
        <v>20322</v>
      </c>
      <c r="AE3070" t="n">
        <v>247</v>
      </c>
      <c r="AF3070" t="s">
        <v>20323</v>
      </c>
      <c r="AG3070" t="n">
        <v>168</v>
      </c>
    </row>
    <row r="3071">
      <c r="A3071" t="s">
        <v>20324</v>
      </c>
      <c r="B3071" t="s">
        <v>27</v>
      </c>
      <c r="C3071" t="s">
        <v>24</v>
      </c>
      <c r="D3071" t="s">
        <v>20325</v>
      </c>
      <c r="E3071" t="s">
        <v>2272</v>
      </c>
      <c r="F3071" t="s">
        <v>2267</v>
      </c>
      <c r="G3071" t="s">
        <v>2296</v>
      </c>
      <c r="H3071" t="n">
        <v>38.887903</v>
      </c>
      <c r="I3071" t="n">
        <v>-104.822729</v>
      </c>
      <c r="J3071" t="s">
        <v>4109</v>
      </c>
      <c r="K3071" t="s">
        <v>315</v>
      </c>
      <c r="L3071"/>
      <c r="M3071" t="n">
        <v>1973</v>
      </c>
      <c r="N3071" t="n">
        <v>1983</v>
      </c>
      <c r="O3071" t="s">
        <v>528</v>
      </c>
      <c r="P3071" t="n">
        <v>4</v>
      </c>
      <c r="Q3071" t="n">
        <v>4</v>
      </c>
      <c r="R3071" t="n">
        <v>2</v>
      </c>
      <c r="S3071" t="n">
        <v>1959</v>
      </c>
      <c r="T3071" t="s">
        <v>20326</v>
      </c>
      <c r="U3071" t="s">
        <v>20327</v>
      </c>
      <c r="V3071" t="s">
        <v>74</v>
      </c>
      <c r="W3071"/>
      <c r="X3071" t="s">
        <v>20328</v>
      </c>
      <c r="Y3071" t="s">
        <v>20329</v>
      </c>
      <c r="Z3071"/>
      <c r="AA3071" t="s">
        <v>20330</v>
      </c>
      <c r="AB3071"/>
      <c r="AC3071"/>
      <c r="AD3071" t="s">
        <v>20291</v>
      </c>
      <c r="AE3071" t="n">
        <v>221</v>
      </c>
      <c r="AF3071" t="s">
        <v>20292</v>
      </c>
      <c r="AG3071" t="n">
        <v>190</v>
      </c>
    </row>
    <row r="3072">
      <c r="A3072" t="s">
        <v>20331</v>
      </c>
      <c r="B3072" t="s">
        <v>27</v>
      </c>
      <c r="C3072" t="s">
        <v>65</v>
      </c>
      <c r="D3072" t="s">
        <v>20332</v>
      </c>
      <c r="E3072" t="s">
        <v>2272</v>
      </c>
      <c r="F3072" t="s">
        <v>2267</v>
      </c>
      <c r="G3072" t="s">
        <v>2423</v>
      </c>
      <c r="H3072" t="n">
        <v>38.7932317113968</v>
      </c>
      <c r="I3072" t="n">
        <v>-104.769237058795</v>
      </c>
      <c r="J3072" t="s">
        <v>35</v>
      </c>
      <c r="K3072" t="s">
        <v>120</v>
      </c>
      <c r="L3072"/>
      <c r="M3072" t="n">
        <v>1974</v>
      </c>
      <c r="N3072" t="n">
        <v>1974</v>
      </c>
      <c r="O3072" t="s">
        <v>210</v>
      </c>
      <c r="P3072" t="n">
        <v>1</v>
      </c>
      <c r="Q3072" t="n">
        <v>1</v>
      </c>
      <c r="R3072" t="n">
        <v>1</v>
      </c>
      <c r="S3072" t="n">
        <v>1972</v>
      </c>
      <c r="T3072" t="s">
        <v>20333</v>
      </c>
      <c r="U3072" t="s">
        <v>20334</v>
      </c>
      <c r="V3072" t="s">
        <v>74</v>
      </c>
      <c r="W3072"/>
      <c r="X3072" t="s">
        <v>20335</v>
      </c>
      <c r="Y3072" t="s">
        <v>20336</v>
      </c>
      <c r="Z3072"/>
      <c r="AA3072"/>
      <c r="AB3072"/>
      <c r="AC3072"/>
      <c r="AD3072" t="s">
        <v>20337</v>
      </c>
      <c r="AE3072" t="n">
        <v>12</v>
      </c>
      <c r="AF3072" t="s">
        <v>20338</v>
      </c>
      <c r="AG3072" t="n">
        <v>12</v>
      </c>
    </row>
    <row r="3073">
      <c r="A3073" t="s">
        <v>20339</v>
      </c>
      <c r="B3073" t="s">
        <v>27</v>
      </c>
      <c r="C3073" t="s">
        <v>65</v>
      </c>
      <c r="D3073" t="s">
        <v>20340</v>
      </c>
      <c r="E3073" t="s">
        <v>2272</v>
      </c>
      <c r="F3073" t="s">
        <v>2267</v>
      </c>
      <c r="G3073" t="s">
        <v>2296</v>
      </c>
      <c r="H3073" t="n">
        <v>38.883678</v>
      </c>
      <c r="I3073" t="n">
        <v>-104.812673</v>
      </c>
      <c r="J3073" t="s">
        <v>35</v>
      </c>
      <c r="K3073" t="s">
        <v>70</v>
      </c>
      <c r="L3073"/>
      <c r="M3073" t="n">
        <v>1977</v>
      </c>
      <c r="N3073" t="n">
        <v>1977</v>
      </c>
      <c r="O3073" t="s">
        <v>228</v>
      </c>
      <c r="P3073" t="n">
        <v>1</v>
      </c>
      <c r="Q3073" t="n">
        <v>1</v>
      </c>
      <c r="R3073" t="n">
        <v>1</v>
      </c>
      <c r="S3073" t="n">
        <v>1975</v>
      </c>
      <c r="T3073" t="s">
        <v>20341</v>
      </c>
      <c r="U3073" t="s">
        <v>20342</v>
      </c>
      <c r="V3073" t="s">
        <v>74</v>
      </c>
      <c r="W3073"/>
      <c r="X3073" t="s">
        <v>20343</v>
      </c>
      <c r="Y3073"/>
      <c r="Z3073"/>
      <c r="AA3073" t="s">
        <v>20344</v>
      </c>
      <c r="AB3073"/>
      <c r="AC3073"/>
      <c r="AD3073" t="s">
        <v>2370</v>
      </c>
      <c r="AE3073" t="n">
        <v>21</v>
      </c>
      <c r="AF3073" t="s">
        <v>20345</v>
      </c>
      <c r="AG3073" t="n">
        <v>82</v>
      </c>
    </row>
    <row r="3074">
      <c r="A3074" t="s">
        <v>20346</v>
      </c>
      <c r="B3074" t="s">
        <v>27</v>
      </c>
      <c r="C3074" t="s">
        <v>65</v>
      </c>
      <c r="D3074" t="s">
        <v>20347</v>
      </c>
      <c r="E3074" t="s">
        <v>2272</v>
      </c>
      <c r="F3074" t="s">
        <v>2267</v>
      </c>
      <c r="G3074" t="s">
        <v>2296</v>
      </c>
      <c r="H3074" t="n">
        <v>38.890442</v>
      </c>
      <c r="I3074" t="n">
        <v>-104.81747</v>
      </c>
      <c r="J3074" t="s">
        <v>35</v>
      </c>
      <c r="K3074" t="s">
        <v>81</v>
      </c>
      <c r="L3074"/>
      <c r="M3074" t="n">
        <v>1977</v>
      </c>
      <c r="N3074" t="n">
        <v>1990</v>
      </c>
      <c r="O3074" t="s">
        <v>1487</v>
      </c>
      <c r="P3074" t="n">
        <v>5</v>
      </c>
      <c r="Q3074" t="n">
        <v>2</v>
      </c>
      <c r="R3074" t="n">
        <v>2</v>
      </c>
      <c r="S3074" t="n">
        <v>1968</v>
      </c>
      <c r="T3074" t="s">
        <v>20348</v>
      </c>
      <c r="U3074" t="s">
        <v>20349</v>
      </c>
      <c r="V3074" t="s">
        <v>74</v>
      </c>
      <c r="W3074"/>
      <c r="X3074" t="s">
        <v>20350</v>
      </c>
      <c r="Y3074" t="s">
        <v>20351</v>
      </c>
      <c r="Z3074"/>
      <c r="AA3074" t="s">
        <v>20352</v>
      </c>
      <c r="AB3074"/>
      <c r="AC3074"/>
      <c r="AD3074" t="s">
        <v>20353</v>
      </c>
      <c r="AE3074" t="n">
        <v>120</v>
      </c>
      <c r="AF3074" t="s">
        <v>20354</v>
      </c>
      <c r="AG3074" t="n">
        <v>25</v>
      </c>
    </row>
    <row r="3075">
      <c r="A3075" t="s">
        <v>20355</v>
      </c>
      <c r="B3075" t="s">
        <v>27</v>
      </c>
      <c r="C3075" t="s">
        <v>65</v>
      </c>
      <c r="D3075" t="s">
        <v>20356</v>
      </c>
      <c r="E3075" t="s">
        <v>2272</v>
      </c>
      <c r="F3075" t="s">
        <v>2267</v>
      </c>
      <c r="G3075" t="s">
        <v>2296</v>
      </c>
      <c r="H3075" t="n">
        <v>38.883279</v>
      </c>
      <c r="I3075" t="n">
        <v>-104.812678</v>
      </c>
      <c r="J3075" t="s">
        <v>35</v>
      </c>
      <c r="K3075" t="s">
        <v>527</v>
      </c>
      <c r="L3075"/>
      <c r="M3075" t="n">
        <v>1980</v>
      </c>
      <c r="N3075" t="n">
        <v>1990</v>
      </c>
      <c r="O3075" t="s">
        <v>555</v>
      </c>
      <c r="P3075" t="n">
        <v>2</v>
      </c>
      <c r="Q3075" t="n">
        <v>2</v>
      </c>
      <c r="R3075" t="n">
        <v>2</v>
      </c>
      <c r="S3075" t="n">
        <v>1973</v>
      </c>
      <c r="T3075" t="s">
        <v>20357</v>
      </c>
      <c r="U3075" t="s">
        <v>20358</v>
      </c>
      <c r="V3075" t="s">
        <v>74</v>
      </c>
      <c r="W3075"/>
      <c r="X3075" t="s">
        <v>20359</v>
      </c>
      <c r="Y3075" t="s">
        <v>20360</v>
      </c>
      <c r="Z3075"/>
      <c r="AA3075" t="s">
        <v>20361</v>
      </c>
      <c r="AB3075"/>
      <c r="AC3075"/>
      <c r="AD3075" t="s">
        <v>2370</v>
      </c>
      <c r="AE3075" t="n">
        <v>24</v>
      </c>
      <c r="AF3075" t="s">
        <v>20345</v>
      </c>
      <c r="AG3075" t="n">
        <v>38</v>
      </c>
    </row>
    <row r="3076">
      <c r="A3076" t="s">
        <v>20362</v>
      </c>
      <c r="B3076" t="s">
        <v>27</v>
      </c>
      <c r="C3076" t="s">
        <v>65</v>
      </c>
      <c r="D3076" t="s">
        <v>20363</v>
      </c>
      <c r="E3076" t="s">
        <v>2272</v>
      </c>
      <c r="F3076" t="s">
        <v>2267</v>
      </c>
      <c r="G3076" t="s">
        <v>2296</v>
      </c>
      <c r="H3076" t="n">
        <v>38.8814711223436</v>
      </c>
      <c r="I3076" t="n">
        <v>-104.82270376802</v>
      </c>
      <c r="J3076" t="s">
        <v>35</v>
      </c>
      <c r="K3076" t="s">
        <v>70</v>
      </c>
      <c r="L3076"/>
      <c r="M3076" t="n">
        <v>1980</v>
      </c>
      <c r="N3076" t="n">
        <v>1992</v>
      </c>
      <c r="O3076" t="s">
        <v>3881</v>
      </c>
      <c r="P3076" t="n">
        <v>4</v>
      </c>
      <c r="Q3076" t="n">
        <v>1</v>
      </c>
      <c r="R3076" t="n">
        <v>1</v>
      </c>
      <c r="S3076" t="n">
        <v>1963</v>
      </c>
      <c r="T3076" t="s">
        <v>20364</v>
      </c>
      <c r="U3076" t="s">
        <v>20365</v>
      </c>
      <c r="V3076" t="s">
        <v>74</v>
      </c>
      <c r="W3076"/>
      <c r="X3076" t="s">
        <v>20366</v>
      </c>
      <c r="Y3076"/>
      <c r="Z3076"/>
      <c r="AA3076"/>
      <c r="AB3076"/>
      <c r="AC3076"/>
      <c r="AD3076" t="s">
        <v>16353</v>
      </c>
      <c r="AE3076" t="n">
        <v>70</v>
      </c>
      <c r="AF3076" t="s">
        <v>20273</v>
      </c>
      <c r="AG3076" t="n">
        <v>96</v>
      </c>
    </row>
    <row r="3077">
      <c r="A3077" t="s">
        <v>20367</v>
      </c>
      <c r="B3077" t="s">
        <v>27</v>
      </c>
      <c r="C3077" t="s">
        <v>65</v>
      </c>
      <c r="D3077" t="s">
        <v>20368</v>
      </c>
      <c r="E3077" t="s">
        <v>2272</v>
      </c>
      <c r="F3077" t="s">
        <v>2267</v>
      </c>
      <c r="G3077" t="s">
        <v>2296</v>
      </c>
      <c r="H3077" t="n">
        <v>38.880236269804</v>
      </c>
      <c r="I3077" t="n">
        <v>-104.822776242708</v>
      </c>
      <c r="J3077" t="s">
        <v>35</v>
      </c>
      <c r="K3077" t="s">
        <v>527</v>
      </c>
      <c r="L3077"/>
      <c r="M3077" t="n">
        <v>1983</v>
      </c>
      <c r="N3077" t="n">
        <v>1990</v>
      </c>
      <c r="O3077" t="s">
        <v>293</v>
      </c>
      <c r="P3077" t="n">
        <v>2</v>
      </c>
      <c r="Q3077" t="n">
        <v>2</v>
      </c>
      <c r="R3077" t="n">
        <v>2</v>
      </c>
      <c r="S3077" t="n">
        <v>1969</v>
      </c>
      <c r="T3077" t="s">
        <v>20369</v>
      </c>
      <c r="U3077" t="s">
        <v>20370</v>
      </c>
      <c r="V3077" t="s">
        <v>74</v>
      </c>
      <c r="W3077"/>
      <c r="X3077" t="s">
        <v>20371</v>
      </c>
      <c r="Y3077"/>
      <c r="Z3077" t="s">
        <v>20372</v>
      </c>
      <c r="AA3077" t="s">
        <v>20373</v>
      </c>
      <c r="AB3077"/>
      <c r="AC3077"/>
      <c r="AD3077" t="s">
        <v>20374</v>
      </c>
      <c r="AE3077" t="n">
        <v>96</v>
      </c>
      <c r="AF3077" t="s">
        <v>20375</v>
      </c>
      <c r="AG3077" t="n">
        <v>87</v>
      </c>
    </row>
    <row r="3078">
      <c r="A3078" t="s">
        <v>20376</v>
      </c>
      <c r="B3078" t="s">
        <v>27</v>
      </c>
      <c r="C3078" t="s">
        <v>24</v>
      </c>
      <c r="D3078" t="s">
        <v>20377</v>
      </c>
      <c r="E3078" t="s">
        <v>2272</v>
      </c>
      <c r="F3078" t="s">
        <v>2267</v>
      </c>
      <c r="G3078" t="s">
        <v>11881</v>
      </c>
      <c r="H3078" t="n">
        <v>38.7817123248223</v>
      </c>
      <c r="I3078" t="n">
        <v>-104.767085123809</v>
      </c>
      <c r="J3078" t="s">
        <v>4109</v>
      </c>
      <c r="K3078" t="s">
        <v>5547</v>
      </c>
      <c r="L3078"/>
      <c r="M3078" t="n">
        <v>1983</v>
      </c>
      <c r="N3078" t="n">
        <v>1992</v>
      </c>
      <c r="O3078" t="s">
        <v>3904</v>
      </c>
      <c r="P3078" t="n">
        <v>3</v>
      </c>
      <c r="Q3078" t="n">
        <v>2</v>
      </c>
      <c r="R3078" t="n">
        <v>2</v>
      </c>
      <c r="S3078" t="n">
        <v>1955</v>
      </c>
      <c r="T3078" t="s">
        <v>20378</v>
      </c>
      <c r="U3078" t="s">
        <v>20379</v>
      </c>
      <c r="V3078" t="s">
        <v>74</v>
      </c>
      <c r="W3078"/>
      <c r="X3078" t="s">
        <v>20380</v>
      </c>
      <c r="Y3078" t="s">
        <v>20381</v>
      </c>
      <c r="Z3078"/>
      <c r="AA3078" t="s">
        <v>20382</v>
      </c>
      <c r="AB3078"/>
      <c r="AC3078"/>
      <c r="AD3078" t="s">
        <v>20383</v>
      </c>
      <c r="AE3078" t="n">
        <v>94</v>
      </c>
      <c r="AF3078" t="s">
        <v>20384</v>
      </c>
      <c r="AG3078" t="n">
        <v>54</v>
      </c>
    </row>
    <row r="3079">
      <c r="A3079" t="s">
        <v>20385</v>
      </c>
      <c r="B3079" t="s">
        <v>27</v>
      </c>
      <c r="C3079" t="s">
        <v>65</v>
      </c>
      <c r="D3079" t="s">
        <v>20386</v>
      </c>
      <c r="E3079" t="s">
        <v>2272</v>
      </c>
      <c r="F3079" t="s">
        <v>2267</v>
      </c>
      <c r="G3079" t="s">
        <v>2475</v>
      </c>
      <c r="H3079" t="n">
        <v>38.7974240472876</v>
      </c>
      <c r="I3079" t="n">
        <v>-104.794402561734</v>
      </c>
      <c r="J3079" t="s">
        <v>35</v>
      </c>
      <c r="K3079" t="s">
        <v>220</v>
      </c>
      <c r="L3079"/>
      <c r="M3079" t="n">
        <v>1983</v>
      </c>
      <c r="N3079" t="n">
        <v>1992</v>
      </c>
      <c r="O3079" t="s">
        <v>2061</v>
      </c>
      <c r="P3079" t="n">
        <v>4</v>
      </c>
      <c r="Q3079" t="n">
        <v>3</v>
      </c>
      <c r="R3079" t="n">
        <v>3</v>
      </c>
      <c r="S3079" t="n">
        <v>1960</v>
      </c>
      <c r="T3079" t="s">
        <v>20387</v>
      </c>
      <c r="U3079" t="s">
        <v>20388</v>
      </c>
      <c r="V3079" t="s">
        <v>74</v>
      </c>
      <c r="W3079"/>
      <c r="X3079" t="s">
        <v>20389</v>
      </c>
      <c r="Y3079" t="s">
        <v>20390</v>
      </c>
      <c r="Z3079"/>
      <c r="AA3079"/>
      <c r="AB3079"/>
      <c r="AC3079"/>
      <c r="AD3079"/>
      <c r="AE3079"/>
      <c r="AF3079" t="s">
        <v>2567</v>
      </c>
      <c r="AG3079" t="n">
        <v>139</v>
      </c>
    </row>
    <row r="3080">
      <c r="A3080" t="s">
        <v>20391</v>
      </c>
      <c r="B3080" t="s">
        <v>27</v>
      </c>
      <c r="C3080" t="s">
        <v>65</v>
      </c>
      <c r="D3080" t="s">
        <v>20392</v>
      </c>
      <c r="E3080" t="s">
        <v>2272</v>
      </c>
      <c r="F3080" t="s">
        <v>2267</v>
      </c>
      <c r="G3080" t="s">
        <v>2296</v>
      </c>
      <c r="H3080" t="n">
        <v>38.9012153293502</v>
      </c>
      <c r="I3080" t="n">
        <v>-104.826314559878</v>
      </c>
      <c r="J3080" t="s">
        <v>35</v>
      </c>
      <c r="K3080" t="s">
        <v>120</v>
      </c>
      <c r="L3080" t="s">
        <v>202</v>
      </c>
      <c r="M3080" t="n">
        <v>1983</v>
      </c>
      <c r="N3080" t="n">
        <v>1990</v>
      </c>
      <c r="O3080" t="s">
        <v>271</v>
      </c>
      <c r="P3080" t="n">
        <v>3</v>
      </c>
      <c r="Q3080" t="n">
        <v>5</v>
      </c>
      <c r="R3080" t="n">
        <v>5</v>
      </c>
      <c r="S3080" t="n">
        <v>1976</v>
      </c>
      <c r="T3080" t="s">
        <v>20393</v>
      </c>
      <c r="U3080" t="s">
        <v>20394</v>
      </c>
      <c r="V3080" t="s">
        <v>74</v>
      </c>
      <c r="W3080"/>
      <c r="X3080" t="s">
        <v>20395</v>
      </c>
      <c r="Y3080" t="s">
        <v>20396</v>
      </c>
      <c r="Z3080"/>
      <c r="AA3080"/>
      <c r="AB3080"/>
      <c r="AC3080"/>
      <c r="AD3080" t="s">
        <v>2583</v>
      </c>
      <c r="AE3080" t="n">
        <v>61</v>
      </c>
      <c r="AF3080" t="s">
        <v>20315</v>
      </c>
      <c r="AG3080" t="n">
        <v>14</v>
      </c>
    </row>
    <row r="3081">
      <c r="A3081" t="s">
        <v>20397</v>
      </c>
      <c r="B3081" t="s">
        <v>27</v>
      </c>
      <c r="C3081" t="s">
        <v>24</v>
      </c>
      <c r="D3081" t="s">
        <v>20398</v>
      </c>
      <c r="E3081" t="s">
        <v>2272</v>
      </c>
      <c r="F3081" t="s">
        <v>2267</v>
      </c>
      <c r="G3081" t="s">
        <v>2444</v>
      </c>
      <c r="H3081" t="n">
        <v>38.8476922006961</v>
      </c>
      <c r="I3081" t="n">
        <v>-104.713820731502</v>
      </c>
      <c r="J3081" t="s">
        <v>4109</v>
      </c>
      <c r="K3081" t="s">
        <v>141</v>
      </c>
      <c r="L3081"/>
      <c r="M3081" t="n">
        <v>1983</v>
      </c>
      <c r="N3081" t="n">
        <v>1983</v>
      </c>
      <c r="O3081" t="s">
        <v>264</v>
      </c>
      <c r="P3081" t="n">
        <v>1</v>
      </c>
      <c r="Q3081" t="n">
        <v>2</v>
      </c>
      <c r="R3081" t="n">
        <v>2</v>
      </c>
      <c r="S3081" t="n">
        <v>1961</v>
      </c>
      <c r="T3081" t="s">
        <v>20399</v>
      </c>
      <c r="U3081" t="s">
        <v>20400</v>
      </c>
      <c r="V3081" t="s">
        <v>74</v>
      </c>
      <c r="W3081"/>
      <c r="X3081" t="s">
        <v>20401</v>
      </c>
      <c r="Y3081" t="s">
        <v>20402</v>
      </c>
      <c r="Z3081"/>
      <c r="AA3081" t="s">
        <v>20403</v>
      </c>
      <c r="AB3081"/>
      <c r="AC3081"/>
      <c r="AD3081" t="s">
        <v>16542</v>
      </c>
      <c r="AE3081" t="n">
        <v>170</v>
      </c>
      <c r="AF3081" t="s">
        <v>2626</v>
      </c>
      <c r="AG3081" t="n">
        <v>42</v>
      </c>
    </row>
    <row r="3082">
      <c r="A3082" t="s">
        <v>20404</v>
      </c>
      <c r="B3082" t="s">
        <v>27</v>
      </c>
      <c r="C3082" t="s">
        <v>65</v>
      </c>
      <c r="D3082" t="s">
        <v>20405</v>
      </c>
      <c r="E3082" t="s">
        <v>2272</v>
      </c>
      <c r="F3082" t="s">
        <v>2267</v>
      </c>
      <c r="G3082" t="s">
        <v>2296</v>
      </c>
      <c r="H3082" t="n">
        <v>38.8895973493762</v>
      </c>
      <c r="I3082" t="n">
        <v>-104.820916715702</v>
      </c>
      <c r="J3082" t="s">
        <v>35</v>
      </c>
      <c r="K3082" t="s">
        <v>141</v>
      </c>
      <c r="L3082"/>
      <c r="M3082" t="n">
        <v>1983</v>
      </c>
      <c r="N3082" t="n">
        <v>1992</v>
      </c>
      <c r="O3082" t="s">
        <v>3904</v>
      </c>
      <c r="P3082" t="n">
        <v>3</v>
      </c>
      <c r="Q3082" t="n">
        <v>3</v>
      </c>
      <c r="R3082" t="n">
        <v>2</v>
      </c>
      <c r="S3082" t="n">
        <v>1977</v>
      </c>
      <c r="T3082" t="s">
        <v>20406</v>
      </c>
      <c r="U3082" t="s">
        <v>20407</v>
      </c>
      <c r="V3082" t="s">
        <v>74</v>
      </c>
      <c r="W3082"/>
      <c r="X3082" t="s">
        <v>20408</v>
      </c>
      <c r="Y3082" t="s">
        <v>20409</v>
      </c>
      <c r="Z3082"/>
      <c r="AA3082" t="s">
        <v>20410</v>
      </c>
      <c r="AB3082"/>
      <c r="AC3082"/>
      <c r="AD3082" t="s">
        <v>20291</v>
      </c>
      <c r="AE3082" t="n">
        <v>43</v>
      </c>
      <c r="AF3082" t="s">
        <v>20411</v>
      </c>
      <c r="AG3082" t="n">
        <v>6</v>
      </c>
    </row>
    <row r="3083">
      <c r="A3083" t="s">
        <v>20412</v>
      </c>
      <c r="B3083" t="s">
        <v>27</v>
      </c>
      <c r="C3083" t="s">
        <v>24</v>
      </c>
      <c r="D3083" t="s">
        <v>20413</v>
      </c>
      <c r="E3083" t="s">
        <v>2272</v>
      </c>
      <c r="F3083" t="s">
        <v>2267</v>
      </c>
      <c r="G3083" t="s">
        <v>2296</v>
      </c>
      <c r="H3083" t="n">
        <v>38.8773294484538</v>
      </c>
      <c r="I3083" t="n">
        <v>-104.82691779394</v>
      </c>
      <c r="J3083" t="s">
        <v>4109</v>
      </c>
      <c r="K3083" t="s">
        <v>141</v>
      </c>
      <c r="L3083"/>
      <c r="M3083" t="n">
        <v>1983</v>
      </c>
      <c r="N3083" t="n">
        <v>1992</v>
      </c>
      <c r="O3083" t="s">
        <v>357</v>
      </c>
      <c r="P3083" t="n">
        <v>3</v>
      </c>
      <c r="Q3083" t="n">
        <v>2</v>
      </c>
      <c r="R3083" t="n">
        <v>1</v>
      </c>
      <c r="S3083" t="n">
        <v>1980</v>
      </c>
      <c r="T3083" t="s">
        <v>20414</v>
      </c>
      <c r="U3083" t="s">
        <v>20415</v>
      </c>
      <c r="V3083" t="s">
        <v>74</v>
      </c>
      <c r="W3083"/>
      <c r="X3083" t="s">
        <v>20416</v>
      </c>
      <c r="Y3083" t="s">
        <v>20417</v>
      </c>
      <c r="Z3083"/>
      <c r="AA3083" t="s">
        <v>20418</v>
      </c>
      <c r="AB3083"/>
      <c r="AC3083"/>
      <c r="AD3083" t="s">
        <v>16384</v>
      </c>
      <c r="AE3083" t="n">
        <v>121</v>
      </c>
      <c r="AF3083" t="s">
        <v>20300</v>
      </c>
      <c r="AG3083" t="n">
        <v>115</v>
      </c>
    </row>
    <row r="3084">
      <c r="A3084" t="s">
        <v>20419</v>
      </c>
      <c r="B3084" t="s">
        <v>27</v>
      </c>
      <c r="C3084" t="s">
        <v>65</v>
      </c>
      <c r="D3084" t="s">
        <v>20420</v>
      </c>
      <c r="E3084" t="s">
        <v>2272</v>
      </c>
      <c r="F3084" t="s">
        <v>2267</v>
      </c>
      <c r="G3084" t="s">
        <v>2475</v>
      </c>
      <c r="H3084" t="n">
        <v>38.7899347381792</v>
      </c>
      <c r="I3084" t="n">
        <v>-104.790737990995</v>
      </c>
      <c r="J3084" t="s">
        <v>35</v>
      </c>
      <c r="K3084" t="s">
        <v>120</v>
      </c>
      <c r="L3084"/>
      <c r="M3084" t="n">
        <v>1983</v>
      </c>
      <c r="N3084" t="n">
        <v>1992</v>
      </c>
      <c r="O3084" t="s">
        <v>1016</v>
      </c>
      <c r="P3084" t="n">
        <v>4</v>
      </c>
      <c r="Q3084" t="n">
        <v>4</v>
      </c>
      <c r="R3084" t="n">
        <v>1</v>
      </c>
      <c r="S3084" t="n">
        <v>1980</v>
      </c>
      <c r="T3084" t="s">
        <v>20421</v>
      </c>
      <c r="U3084" t="s">
        <v>20422</v>
      </c>
      <c r="V3084" t="s">
        <v>74</v>
      </c>
      <c r="W3084"/>
      <c r="X3084" t="s">
        <v>20423</v>
      </c>
      <c r="Y3084" t="s">
        <v>20424</v>
      </c>
      <c r="Z3084"/>
      <c r="AA3084"/>
      <c r="AB3084"/>
      <c r="AC3084"/>
      <c r="AD3084" t="s">
        <v>20425</v>
      </c>
      <c r="AE3084" t="n">
        <v>61</v>
      </c>
      <c r="AF3084" t="s">
        <v>20426</v>
      </c>
      <c r="AG3084" t="n">
        <v>74</v>
      </c>
    </row>
    <row r="3085">
      <c r="A3085" t="s">
        <v>20427</v>
      </c>
      <c r="B3085" t="s">
        <v>27</v>
      </c>
      <c r="C3085" t="s">
        <v>65</v>
      </c>
      <c r="D3085" t="s">
        <v>20428</v>
      </c>
      <c r="E3085" t="s">
        <v>2272</v>
      </c>
      <c r="F3085" t="s">
        <v>2267</v>
      </c>
      <c r="G3085" t="s">
        <v>2296</v>
      </c>
      <c r="H3085" t="n">
        <v>38.8848475306122</v>
      </c>
      <c r="I3085" t="n">
        <v>-104.818963061224</v>
      </c>
      <c r="J3085" t="s">
        <v>35</v>
      </c>
      <c r="K3085" t="s">
        <v>120</v>
      </c>
      <c r="L3085"/>
      <c r="M3085" t="n">
        <v>1983</v>
      </c>
      <c r="N3085" t="n">
        <v>1990</v>
      </c>
      <c r="O3085" t="s">
        <v>351</v>
      </c>
      <c r="P3085" t="n">
        <v>2</v>
      </c>
      <c r="Q3085" t="n">
        <v>1</v>
      </c>
      <c r="R3085" t="n">
        <v>1</v>
      </c>
      <c r="S3085" t="n">
        <v>1970</v>
      </c>
      <c r="T3085" t="s">
        <v>20429</v>
      </c>
      <c r="U3085" t="s">
        <v>20430</v>
      </c>
      <c r="V3085" t="s">
        <v>74</v>
      </c>
      <c r="W3085"/>
      <c r="X3085" t="s">
        <v>20431</v>
      </c>
      <c r="Y3085"/>
      <c r="Z3085"/>
      <c r="AA3085" t="s">
        <v>20432</v>
      </c>
      <c r="AB3085"/>
      <c r="AC3085"/>
      <c r="AD3085" t="s">
        <v>20433</v>
      </c>
      <c r="AE3085" t="n">
        <v>92</v>
      </c>
      <c r="AF3085" t="s">
        <v>20434</v>
      </c>
      <c r="AG3085" t="n">
        <v>87</v>
      </c>
    </row>
    <row r="3086">
      <c r="A3086" t="s">
        <v>20435</v>
      </c>
      <c r="B3086" t="s">
        <v>27</v>
      </c>
      <c r="C3086" t="s">
        <v>24</v>
      </c>
      <c r="D3086" t="s">
        <v>20436</v>
      </c>
      <c r="E3086" t="s">
        <v>2272</v>
      </c>
      <c r="F3086" t="s">
        <v>2267</v>
      </c>
      <c r="G3086" t="s">
        <v>2296</v>
      </c>
      <c r="H3086" t="n">
        <v>38.8966310849848</v>
      </c>
      <c r="I3086" t="n">
        <v>-104.847931001272</v>
      </c>
      <c r="J3086" t="s">
        <v>4109</v>
      </c>
      <c r="K3086" t="s">
        <v>120</v>
      </c>
      <c r="L3086"/>
      <c r="M3086" t="n">
        <v>1983</v>
      </c>
      <c r="N3086" t="n">
        <v>1988</v>
      </c>
      <c r="O3086" t="s">
        <v>283</v>
      </c>
      <c r="P3086" t="n">
        <v>2</v>
      </c>
      <c r="Q3086" t="n">
        <v>1</v>
      </c>
      <c r="R3086" t="n">
        <v>1</v>
      </c>
      <c r="S3086" t="n">
        <v>1970</v>
      </c>
      <c r="T3086" t="s">
        <v>20437</v>
      </c>
      <c r="U3086" t="s">
        <v>20438</v>
      </c>
      <c r="V3086" t="s">
        <v>74</v>
      </c>
      <c r="W3086"/>
      <c r="X3086" t="s">
        <v>20439</v>
      </c>
      <c r="Y3086" t="s">
        <v>20440</v>
      </c>
      <c r="Z3086"/>
      <c r="AA3086" t="s">
        <v>20441</v>
      </c>
      <c r="AB3086"/>
      <c r="AC3086"/>
      <c r="AD3086" t="s">
        <v>20442</v>
      </c>
      <c r="AE3086" t="n">
        <v>83</v>
      </c>
      <c r="AF3086" t="s">
        <v>20443</v>
      </c>
      <c r="AG3086" t="n">
        <v>19</v>
      </c>
    </row>
    <row r="3087">
      <c r="A3087" t="s">
        <v>20444</v>
      </c>
      <c r="B3087" t="s">
        <v>27</v>
      </c>
      <c r="C3087" t="s">
        <v>65</v>
      </c>
      <c r="D3087" t="s">
        <v>20445</v>
      </c>
      <c r="E3087" t="s">
        <v>2272</v>
      </c>
      <c r="F3087" t="s">
        <v>2267</v>
      </c>
      <c r="G3087" t="s">
        <v>2296</v>
      </c>
      <c r="H3087" t="n">
        <v>38.9014080109272</v>
      </c>
      <c r="I3087" t="n">
        <v>-104.842928995197</v>
      </c>
      <c r="J3087" t="s">
        <v>35</v>
      </c>
      <c r="K3087" t="s">
        <v>141</v>
      </c>
      <c r="L3087" t="s">
        <v>2204</v>
      </c>
      <c r="M3087" t="n">
        <v>1983</v>
      </c>
      <c r="N3087" t="n">
        <v>1990</v>
      </c>
      <c r="O3087" t="s">
        <v>271</v>
      </c>
      <c r="P3087" t="n">
        <v>3</v>
      </c>
      <c r="Q3087" t="n">
        <v>4</v>
      </c>
      <c r="R3087" t="n">
        <v>4</v>
      </c>
      <c r="S3087" t="n">
        <v>1978</v>
      </c>
      <c r="T3087" t="s">
        <v>20446</v>
      </c>
      <c r="U3087" t="s">
        <v>20447</v>
      </c>
      <c r="V3087" t="s">
        <v>74</v>
      </c>
      <c r="W3087"/>
      <c r="X3087" t="s">
        <v>20448</v>
      </c>
      <c r="Y3087" t="s">
        <v>20449</v>
      </c>
      <c r="Z3087"/>
      <c r="AA3087"/>
      <c r="AB3087"/>
      <c r="AC3087"/>
      <c r="AD3087" t="s">
        <v>20450</v>
      </c>
      <c r="AE3087" t="n">
        <v>85</v>
      </c>
      <c r="AF3087" t="s">
        <v>20451</v>
      </c>
      <c r="AG3087" t="n">
        <v>7</v>
      </c>
    </row>
    <row r="3088">
      <c r="A3088" t="s">
        <v>20452</v>
      </c>
      <c r="B3088" t="s">
        <v>27</v>
      </c>
      <c r="C3088" t="s">
        <v>24</v>
      </c>
      <c r="D3088" t="s">
        <v>20453</v>
      </c>
      <c r="E3088" t="s">
        <v>2272</v>
      </c>
      <c r="F3088" t="s">
        <v>2267</v>
      </c>
      <c r="G3088" t="s">
        <v>2296</v>
      </c>
      <c r="H3088" t="n">
        <v>38.885446993996</v>
      </c>
      <c r="I3088" t="n">
        <v>-104.811104054585</v>
      </c>
      <c r="J3088" t="s">
        <v>4109</v>
      </c>
      <c r="K3088" t="s">
        <v>120</v>
      </c>
      <c r="L3088"/>
      <c r="M3088" t="n">
        <v>1988</v>
      </c>
      <c r="N3088" t="n">
        <v>1990</v>
      </c>
      <c r="O3088" t="s">
        <v>310</v>
      </c>
      <c r="P3088" t="n">
        <v>2</v>
      </c>
      <c r="Q3088" t="n">
        <v>1</v>
      </c>
      <c r="R3088" t="n">
        <v>1</v>
      </c>
      <c r="S3088" t="n">
        <v>1980</v>
      </c>
      <c r="T3088" t="s">
        <v>20454</v>
      </c>
      <c r="U3088" t="s">
        <v>20455</v>
      </c>
      <c r="V3088" t="s">
        <v>74</v>
      </c>
      <c r="W3088"/>
      <c r="X3088" t="s">
        <v>20456</v>
      </c>
      <c r="Y3088" t="s">
        <v>20457</v>
      </c>
      <c r="Z3088"/>
      <c r="AA3088" t="s">
        <v>20458</v>
      </c>
      <c r="AB3088"/>
      <c r="AC3088"/>
      <c r="AD3088" t="s">
        <v>20282</v>
      </c>
      <c r="AE3088" t="n">
        <v>219</v>
      </c>
      <c r="AF3088" t="s">
        <v>20283</v>
      </c>
      <c r="AG3088" t="n">
        <v>72</v>
      </c>
    </row>
    <row r="3089">
      <c r="A3089" t="s">
        <v>20459</v>
      </c>
      <c r="B3089" t="s">
        <v>27</v>
      </c>
      <c r="C3089" t="s">
        <v>65</v>
      </c>
      <c r="D3089" t="s">
        <v>20460</v>
      </c>
      <c r="E3089" t="s">
        <v>2272</v>
      </c>
      <c r="F3089" t="s">
        <v>2267</v>
      </c>
      <c r="G3089" t="s">
        <v>2289</v>
      </c>
      <c r="H3089" t="n">
        <v>38.8253813287586</v>
      </c>
      <c r="I3089" t="n">
        <v>-104.829360271584</v>
      </c>
      <c r="J3089" t="s">
        <v>35</v>
      </c>
      <c r="K3089" t="s">
        <v>533</v>
      </c>
      <c r="L3089"/>
      <c r="M3089" t="n">
        <v>1988</v>
      </c>
      <c r="N3089" t="n">
        <v>1992</v>
      </c>
      <c r="O3089" t="s">
        <v>325</v>
      </c>
      <c r="P3089" t="n">
        <v>2</v>
      </c>
      <c r="Q3089" t="n">
        <v>2</v>
      </c>
      <c r="R3089" t="n">
        <v>1</v>
      </c>
      <c r="S3089" t="n">
        <v>1927</v>
      </c>
      <c r="T3089" t="s">
        <v>20461</v>
      </c>
      <c r="U3089" t="s">
        <v>20462</v>
      </c>
      <c r="V3089" t="s">
        <v>74</v>
      </c>
      <c r="W3089"/>
      <c r="X3089" t="s">
        <v>20463</v>
      </c>
      <c r="Y3089" t="s">
        <v>20464</v>
      </c>
      <c r="Z3089"/>
      <c r="AA3089" t="s">
        <v>20465</v>
      </c>
      <c r="AB3089" t="s">
        <v>20466</v>
      </c>
      <c r="AC3089" t="n">
        <v>111</v>
      </c>
      <c r="AD3089" t="s">
        <v>20467</v>
      </c>
      <c r="AE3089" t="n">
        <v>32</v>
      </c>
      <c r="AF3089" t="s">
        <v>20468</v>
      </c>
      <c r="AG3089" t="n">
        <v>109</v>
      </c>
    </row>
    <row r="3090">
      <c r="A3090" t="s">
        <v>20469</v>
      </c>
      <c r="B3090" t="s">
        <v>27</v>
      </c>
      <c r="C3090" t="s">
        <v>65</v>
      </c>
      <c r="D3090" t="s">
        <v>20470</v>
      </c>
      <c r="E3090" t="s">
        <v>2272</v>
      </c>
      <c r="F3090" t="s">
        <v>2267</v>
      </c>
      <c r="G3090" t="s">
        <v>2444</v>
      </c>
      <c r="H3090" t="n">
        <v>38.8431141999693</v>
      </c>
      <c r="I3090" t="n">
        <v>-104.738724003187</v>
      </c>
      <c r="J3090" t="s">
        <v>35</v>
      </c>
      <c r="K3090" t="s">
        <v>120</v>
      </c>
      <c r="L3090"/>
      <c r="M3090" t="n">
        <v>1988</v>
      </c>
      <c r="N3090" t="n">
        <v>1990</v>
      </c>
      <c r="O3090" t="s">
        <v>310</v>
      </c>
      <c r="P3090" t="n">
        <v>2</v>
      </c>
      <c r="Q3090" t="n">
        <v>1</v>
      </c>
      <c r="R3090" t="n">
        <v>1</v>
      </c>
      <c r="S3090" t="n">
        <v>1973</v>
      </c>
      <c r="T3090" t="s">
        <v>20471</v>
      </c>
      <c r="U3090" t="s">
        <v>20472</v>
      </c>
      <c r="V3090" t="s">
        <v>74</v>
      </c>
      <c r="W3090"/>
      <c r="X3090" t="s">
        <v>20473</v>
      </c>
      <c r="Y3090" t="s">
        <v>20474</v>
      </c>
      <c r="Z3090"/>
      <c r="AA3090" t="s">
        <v>20475</v>
      </c>
      <c r="AB3090"/>
      <c r="AC3090"/>
      <c r="AD3090" t="s">
        <v>16746</v>
      </c>
      <c r="AE3090" t="n">
        <v>20</v>
      </c>
      <c r="AF3090" t="s">
        <v>20179</v>
      </c>
      <c r="AG3090" t="n">
        <v>1</v>
      </c>
    </row>
    <row r="3091">
      <c r="A3091" t="s">
        <v>20476</v>
      </c>
      <c r="B3091" t="s">
        <v>27</v>
      </c>
      <c r="C3091" t="s">
        <v>65</v>
      </c>
      <c r="D3091" t="s">
        <v>20477</v>
      </c>
      <c r="E3091" t="s">
        <v>2272</v>
      </c>
      <c r="F3091" t="s">
        <v>2267</v>
      </c>
      <c r="G3091" t="s">
        <v>2296</v>
      </c>
      <c r="H3091" t="n">
        <v>38.8796849564755</v>
      </c>
      <c r="I3091" t="n">
        <v>-104.823336844845</v>
      </c>
      <c r="J3091" t="s">
        <v>35</v>
      </c>
      <c r="K3091" t="s">
        <v>527</v>
      </c>
      <c r="L3091"/>
      <c r="M3091" t="n">
        <v>1988</v>
      </c>
      <c r="N3091" t="n">
        <v>1992</v>
      </c>
      <c r="O3091" t="s">
        <v>320</v>
      </c>
      <c r="P3091" t="n">
        <v>3</v>
      </c>
      <c r="Q3091" t="n">
        <v>7</v>
      </c>
      <c r="R3091" t="n">
        <v>2</v>
      </c>
      <c r="S3091" t="n">
        <v>1946</v>
      </c>
      <c r="T3091" t="s">
        <v>20478</v>
      </c>
      <c r="U3091" t="s">
        <v>20479</v>
      </c>
      <c r="V3091" t="s">
        <v>74</v>
      </c>
      <c r="W3091"/>
      <c r="X3091" t="s">
        <v>20480</v>
      </c>
      <c r="Y3091" t="s">
        <v>20481</v>
      </c>
      <c r="Z3091" t="s">
        <v>20482</v>
      </c>
      <c r="AA3091" t="s">
        <v>20483</v>
      </c>
      <c r="AB3091"/>
      <c r="AC3091"/>
      <c r="AD3091" t="s">
        <v>20484</v>
      </c>
      <c r="AE3091" t="n">
        <v>78</v>
      </c>
      <c r="AF3091" t="s">
        <v>20375</v>
      </c>
      <c r="AG3091" t="n">
        <v>42</v>
      </c>
    </row>
    <row r="3092">
      <c r="A3092" t="s">
        <v>20485</v>
      </c>
      <c r="B3092" t="s">
        <v>27</v>
      </c>
      <c r="C3092" t="s">
        <v>65</v>
      </c>
      <c r="D3092" t="s">
        <v>20486</v>
      </c>
      <c r="E3092" t="s">
        <v>2272</v>
      </c>
      <c r="F3092" t="s">
        <v>2267</v>
      </c>
      <c r="G3092" t="s">
        <v>2444</v>
      </c>
      <c r="H3092" t="n">
        <v>38.8438677998775</v>
      </c>
      <c r="I3092" t="n">
        <v>-104.738736012697</v>
      </c>
      <c r="J3092" t="s">
        <v>35</v>
      </c>
      <c r="K3092" t="s">
        <v>120</v>
      </c>
      <c r="L3092"/>
      <c r="M3092" t="n">
        <v>1988</v>
      </c>
      <c r="N3092" t="n">
        <v>1988</v>
      </c>
      <c r="O3092" t="s">
        <v>325</v>
      </c>
      <c r="P3092" t="n">
        <v>1</v>
      </c>
      <c r="Q3092" t="n">
        <v>1</v>
      </c>
      <c r="R3092" t="n">
        <v>1</v>
      </c>
      <c r="S3092" t="n">
        <v>1984</v>
      </c>
      <c r="T3092" t="s">
        <v>20487</v>
      </c>
      <c r="U3092" t="s">
        <v>20488</v>
      </c>
      <c r="V3092" t="s">
        <v>74</v>
      </c>
      <c r="W3092"/>
      <c r="X3092" t="s">
        <v>20489</v>
      </c>
      <c r="Y3092"/>
      <c r="Z3092"/>
      <c r="AA3092"/>
      <c r="AB3092"/>
      <c r="AC3092"/>
      <c r="AD3092" t="s">
        <v>16746</v>
      </c>
      <c r="AE3092" t="n">
        <v>64</v>
      </c>
      <c r="AF3092" t="s">
        <v>16797</v>
      </c>
      <c r="AG3092" t="n">
        <v>65</v>
      </c>
    </row>
    <row r="3093">
      <c r="A3093" t="s">
        <v>20490</v>
      </c>
      <c r="B3093" t="s">
        <v>27</v>
      </c>
      <c r="C3093" t="s">
        <v>24</v>
      </c>
      <c r="D3093" t="s">
        <v>20491</v>
      </c>
      <c r="E3093" t="s">
        <v>2272</v>
      </c>
      <c r="F3093" t="s">
        <v>2267</v>
      </c>
      <c r="G3093" t="s">
        <v>2475</v>
      </c>
      <c r="H3093" t="n">
        <v>38.78985560865</v>
      </c>
      <c r="I3093" t="n">
        <v>-104.787183452264</v>
      </c>
      <c r="J3093" t="s">
        <v>4109</v>
      </c>
      <c r="K3093" t="s">
        <v>120</v>
      </c>
      <c r="L3093" t="s">
        <v>202</v>
      </c>
      <c r="M3093" t="n">
        <v>1988</v>
      </c>
      <c r="N3093" t="n">
        <v>1992</v>
      </c>
      <c r="O3093" t="s">
        <v>320</v>
      </c>
      <c r="P3093" t="n">
        <v>3</v>
      </c>
      <c r="Q3093" t="n">
        <v>3</v>
      </c>
      <c r="R3093" t="n">
        <v>3</v>
      </c>
      <c r="S3093" t="n">
        <v>1978</v>
      </c>
      <c r="T3093" t="s">
        <v>20492</v>
      </c>
      <c r="U3093" t="s">
        <v>20493</v>
      </c>
      <c r="V3093" t="s">
        <v>74</v>
      </c>
      <c r="W3093"/>
      <c r="X3093" t="s">
        <v>20494</v>
      </c>
      <c r="Y3093" t="s">
        <v>20495</v>
      </c>
      <c r="Z3093"/>
      <c r="AA3093" t="s">
        <v>20496</v>
      </c>
      <c r="AB3093"/>
      <c r="AC3093"/>
      <c r="AD3093" t="s">
        <v>11922</v>
      </c>
      <c r="AE3093" t="n">
        <v>229</v>
      </c>
      <c r="AF3093" t="s">
        <v>20497</v>
      </c>
      <c r="AG3093" t="n">
        <v>9</v>
      </c>
    </row>
    <row r="3094">
      <c r="A3094" t="s">
        <v>20498</v>
      </c>
      <c r="B3094" t="s">
        <v>27</v>
      </c>
      <c r="C3094" t="s">
        <v>24</v>
      </c>
      <c r="D3094" t="s">
        <v>20499</v>
      </c>
      <c r="E3094" t="s">
        <v>2272</v>
      </c>
      <c r="F3094" t="s">
        <v>2267</v>
      </c>
      <c r="G3094" t="s">
        <v>2296</v>
      </c>
      <c r="H3094" t="n">
        <v>38.8832990000899</v>
      </c>
      <c r="I3094" t="n">
        <v>-104.815901946299</v>
      </c>
      <c r="J3094" t="s">
        <v>4109</v>
      </c>
      <c r="K3094" t="s">
        <v>527</v>
      </c>
      <c r="L3094"/>
      <c r="M3094" t="n">
        <v>1988</v>
      </c>
      <c r="N3094" t="n">
        <v>1988</v>
      </c>
      <c r="O3094" t="s">
        <v>325</v>
      </c>
      <c r="P3094" t="n">
        <v>1</v>
      </c>
      <c r="Q3094" t="n">
        <v>1</v>
      </c>
      <c r="R3094" t="n">
        <v>1</v>
      </c>
      <c r="S3094" t="n">
        <v>1976</v>
      </c>
      <c r="T3094" t="s">
        <v>20500</v>
      </c>
      <c r="U3094" t="s">
        <v>20501</v>
      </c>
      <c r="V3094" t="s">
        <v>74</v>
      </c>
      <c r="W3094"/>
      <c r="X3094" t="s">
        <v>20502</v>
      </c>
      <c r="Y3094" t="s">
        <v>20503</v>
      </c>
      <c r="Z3094"/>
      <c r="AA3094" t="s">
        <v>20504</v>
      </c>
      <c r="AB3094"/>
      <c r="AC3094"/>
      <c r="AD3094" t="s">
        <v>20211</v>
      </c>
      <c r="AE3094" t="n">
        <v>3</v>
      </c>
      <c r="AF3094" t="s">
        <v>20212</v>
      </c>
      <c r="AG3094" t="n">
        <v>92</v>
      </c>
    </row>
    <row r="3095">
      <c r="A3095" t="s">
        <v>20505</v>
      </c>
      <c r="B3095" t="s">
        <v>27</v>
      </c>
      <c r="C3095" t="s">
        <v>65</v>
      </c>
      <c r="D3095" t="s">
        <v>20506</v>
      </c>
      <c r="E3095" t="s">
        <v>2272</v>
      </c>
      <c r="F3095" t="s">
        <v>2267</v>
      </c>
      <c r="G3095" t="s">
        <v>2296</v>
      </c>
      <c r="H3095" t="n">
        <v>38.9004518367347</v>
      </c>
      <c r="I3095" t="n">
        <v>-104.841026795918</v>
      </c>
      <c r="J3095" t="s">
        <v>35</v>
      </c>
      <c r="K3095" t="s">
        <v>70</v>
      </c>
      <c r="L3095"/>
      <c r="M3095" t="n">
        <v>1988</v>
      </c>
      <c r="N3095" t="n">
        <v>1990</v>
      </c>
      <c r="O3095" t="s">
        <v>310</v>
      </c>
      <c r="P3095" t="n">
        <v>2</v>
      </c>
      <c r="Q3095" t="n">
        <v>2</v>
      </c>
      <c r="R3095" t="n">
        <v>2</v>
      </c>
      <c r="S3095" t="n">
        <v>1979</v>
      </c>
      <c r="T3095" t="s">
        <v>20507</v>
      </c>
      <c r="U3095" t="s">
        <v>20508</v>
      </c>
      <c r="V3095" t="s">
        <v>74</v>
      </c>
      <c r="W3095"/>
      <c r="X3095" t="s">
        <v>20509</v>
      </c>
      <c r="Y3095"/>
      <c r="Z3095"/>
      <c r="AA3095"/>
      <c r="AB3095" t="s">
        <v>9460</v>
      </c>
      <c r="AC3095" t="n">
        <v>191</v>
      </c>
      <c r="AD3095" t="s">
        <v>9499</v>
      </c>
      <c r="AE3095" t="n">
        <v>38</v>
      </c>
      <c r="AF3095" t="s">
        <v>9500</v>
      </c>
      <c r="AG3095" t="n">
        <v>73</v>
      </c>
    </row>
    <row r="3096">
      <c r="A3096" t="s">
        <v>20510</v>
      </c>
      <c r="B3096" t="s">
        <v>27</v>
      </c>
      <c r="C3096" t="s">
        <v>24</v>
      </c>
      <c r="D3096" t="s">
        <v>20511</v>
      </c>
      <c r="E3096" t="s">
        <v>2272</v>
      </c>
      <c r="F3096" t="s">
        <v>2267</v>
      </c>
      <c r="G3096" t="s">
        <v>2296</v>
      </c>
      <c r="H3096" t="n">
        <v>38.8966235064293</v>
      </c>
      <c r="I3096" t="n">
        <v>-104.849620387395</v>
      </c>
      <c r="J3096" t="s">
        <v>4109</v>
      </c>
      <c r="K3096" t="s">
        <v>315</v>
      </c>
      <c r="L3096"/>
      <c r="M3096" t="n">
        <v>1990</v>
      </c>
      <c r="N3096" t="n">
        <v>1992</v>
      </c>
      <c r="O3096" t="s">
        <v>357</v>
      </c>
      <c r="P3096" t="n">
        <v>2</v>
      </c>
      <c r="Q3096" t="n">
        <v>1</v>
      </c>
      <c r="R3096" t="n">
        <v>1</v>
      </c>
      <c r="S3096" t="n">
        <v>1976</v>
      </c>
      <c r="T3096" t="s">
        <v>20512</v>
      </c>
      <c r="U3096" t="s">
        <v>20513</v>
      </c>
      <c r="V3096" t="s">
        <v>74</v>
      </c>
      <c r="W3096"/>
      <c r="X3096" t="s">
        <v>20514</v>
      </c>
      <c r="Y3096" t="s">
        <v>20515</v>
      </c>
      <c r="Z3096"/>
      <c r="AA3096" t="s">
        <v>20516</v>
      </c>
      <c r="AB3096"/>
      <c r="AC3096"/>
      <c r="AD3096" t="s">
        <v>20442</v>
      </c>
      <c r="AE3096" t="n">
        <v>228</v>
      </c>
      <c r="AF3096" t="s">
        <v>20517</v>
      </c>
      <c r="AG3096" t="n">
        <v>26</v>
      </c>
    </row>
    <row r="3097">
      <c r="A3097" t="s">
        <v>20518</v>
      </c>
      <c r="B3097" t="s">
        <v>27</v>
      </c>
      <c r="C3097" t="s">
        <v>65</v>
      </c>
      <c r="D3097" t="s">
        <v>20519</v>
      </c>
      <c r="E3097" t="s">
        <v>2272</v>
      </c>
      <c r="F3097" t="s">
        <v>2267</v>
      </c>
      <c r="G3097" t="s">
        <v>2296</v>
      </c>
      <c r="H3097" t="n">
        <v>38.9512287501406</v>
      </c>
      <c r="I3097" t="n">
        <v>-104.765346837924</v>
      </c>
      <c r="J3097" t="s">
        <v>35</v>
      </c>
      <c r="K3097" t="s">
        <v>120</v>
      </c>
      <c r="L3097"/>
      <c r="M3097" t="n">
        <v>1990</v>
      </c>
      <c r="N3097" t="n">
        <v>1990</v>
      </c>
      <c r="O3097" t="s">
        <v>351</v>
      </c>
      <c r="P3097" t="n">
        <v>1</v>
      </c>
      <c r="Q3097" t="n">
        <v>1</v>
      </c>
      <c r="R3097" t="n">
        <v>1</v>
      </c>
      <c r="S3097" t="n">
        <v>1962</v>
      </c>
      <c r="T3097" t="s">
        <v>20520</v>
      </c>
      <c r="U3097" t="s">
        <v>20521</v>
      </c>
      <c r="V3097" t="s">
        <v>74</v>
      </c>
      <c r="W3097"/>
      <c r="X3097" t="s">
        <v>20522</v>
      </c>
      <c r="Y3097"/>
      <c r="Z3097"/>
      <c r="AA3097" t="s">
        <v>20523</v>
      </c>
      <c r="AB3097"/>
      <c r="AC3097"/>
      <c r="AD3097" t="s">
        <v>20524</v>
      </c>
      <c r="AE3097" t="n">
        <v>96</v>
      </c>
      <c r="AF3097"/>
      <c r="AG3097"/>
    </row>
    <row r="3098">
      <c r="A3098" t="s">
        <v>20525</v>
      </c>
      <c r="B3098" t="s">
        <v>27</v>
      </c>
      <c r="C3098" t="s">
        <v>24</v>
      </c>
      <c r="D3098" t="s">
        <v>20526</v>
      </c>
      <c r="E3098" t="s">
        <v>2272</v>
      </c>
      <c r="F3098" t="s">
        <v>2267</v>
      </c>
      <c r="G3098" t="s">
        <v>2296</v>
      </c>
      <c r="H3098" t="n">
        <v>38.8895075714286</v>
      </c>
      <c r="I3098" t="n">
        <v>-104.818990571429</v>
      </c>
      <c r="J3098" t="s">
        <v>4109</v>
      </c>
      <c r="K3098" t="s">
        <v>133</v>
      </c>
      <c r="L3098"/>
      <c r="M3098" t="n">
        <v>1990</v>
      </c>
      <c r="N3098" t="n">
        <v>1992</v>
      </c>
      <c r="O3098" t="s">
        <v>351</v>
      </c>
      <c r="P3098" t="n">
        <v>2</v>
      </c>
      <c r="Q3098" t="n">
        <v>1</v>
      </c>
      <c r="R3098" t="n">
        <v>1</v>
      </c>
      <c r="S3098" t="n">
        <v>1969</v>
      </c>
      <c r="T3098" t="s">
        <v>20527</v>
      </c>
      <c r="U3098" t="s">
        <v>20528</v>
      </c>
      <c r="V3098" t="s">
        <v>74</v>
      </c>
      <c r="W3098"/>
      <c r="X3098" t="s">
        <v>20529</v>
      </c>
      <c r="Y3098" t="s">
        <v>20530</v>
      </c>
      <c r="Z3098"/>
      <c r="AA3098" t="s">
        <v>20531</v>
      </c>
      <c r="AB3098"/>
      <c r="AC3098"/>
      <c r="AD3098" t="s">
        <v>20291</v>
      </c>
      <c r="AE3098" t="n">
        <v>210</v>
      </c>
      <c r="AF3098" t="s">
        <v>20532</v>
      </c>
      <c r="AG3098" t="n">
        <v>153</v>
      </c>
    </row>
    <row r="3099">
      <c r="A3099" t="s">
        <v>20533</v>
      </c>
      <c r="B3099" t="s">
        <v>27</v>
      </c>
      <c r="C3099" t="s">
        <v>65</v>
      </c>
      <c r="D3099" t="s">
        <v>20534</v>
      </c>
      <c r="E3099" t="s">
        <v>2272</v>
      </c>
      <c r="F3099" t="s">
        <v>2267</v>
      </c>
      <c r="G3099" t="s">
        <v>2296</v>
      </c>
      <c r="H3099" t="n">
        <v>38.8843518</v>
      </c>
      <c r="I3099" t="n">
        <v>-104.8126658</v>
      </c>
      <c r="J3099" t="s">
        <v>35</v>
      </c>
      <c r="K3099" t="s">
        <v>70</v>
      </c>
      <c r="L3099"/>
      <c r="M3099" t="n">
        <v>1990</v>
      </c>
      <c r="N3099" t="n">
        <v>1990</v>
      </c>
      <c r="O3099" t="s">
        <v>351</v>
      </c>
      <c r="P3099" t="n">
        <v>1</v>
      </c>
      <c r="Q3099" t="n">
        <v>1</v>
      </c>
      <c r="R3099" t="n">
        <v>1</v>
      </c>
      <c r="S3099" t="n">
        <v>1973</v>
      </c>
      <c r="T3099" t="s">
        <v>20535</v>
      </c>
      <c r="U3099" t="s">
        <v>20536</v>
      </c>
      <c r="V3099" t="s">
        <v>74</v>
      </c>
      <c r="W3099"/>
      <c r="X3099" t="s">
        <v>20537</v>
      </c>
      <c r="Y3099"/>
      <c r="Z3099"/>
      <c r="AA3099"/>
      <c r="AB3099"/>
      <c r="AC3099"/>
      <c r="AD3099" t="s">
        <v>2370</v>
      </c>
      <c r="AE3099" t="n">
        <v>96</v>
      </c>
      <c r="AF3099" t="s">
        <v>20538</v>
      </c>
      <c r="AG3099" t="n">
        <v>149</v>
      </c>
    </row>
    <row r="3100">
      <c r="A3100" t="s">
        <v>20539</v>
      </c>
      <c r="B3100" t="s">
        <v>27</v>
      </c>
      <c r="C3100" t="s">
        <v>24</v>
      </c>
      <c r="D3100" t="s">
        <v>20540</v>
      </c>
      <c r="E3100" t="s">
        <v>2272</v>
      </c>
      <c r="F3100" t="s">
        <v>2267</v>
      </c>
      <c r="G3100" t="s">
        <v>2296</v>
      </c>
      <c r="H3100" t="n">
        <v>38.8966358539608</v>
      </c>
      <c r="I3100" t="n">
        <v>-104.846942034878</v>
      </c>
      <c r="J3100" t="s">
        <v>4109</v>
      </c>
      <c r="K3100" t="s">
        <v>133</v>
      </c>
      <c r="L3100"/>
      <c r="M3100" t="n">
        <v>1992</v>
      </c>
      <c r="N3100" t="n">
        <v>1992</v>
      </c>
      <c r="O3100" t="s">
        <v>1016</v>
      </c>
      <c r="P3100" t="n">
        <v>1</v>
      </c>
      <c r="Q3100" t="n">
        <v>1</v>
      </c>
      <c r="R3100" t="n">
        <v>1</v>
      </c>
      <c r="S3100" t="n">
        <v>1954</v>
      </c>
      <c r="T3100" t="s">
        <v>20541</v>
      </c>
      <c r="U3100" t="s">
        <v>20542</v>
      </c>
      <c r="V3100" t="s">
        <v>74</v>
      </c>
      <c r="W3100"/>
      <c r="X3100" t="s">
        <v>20543</v>
      </c>
      <c r="Y3100" t="s">
        <v>20544</v>
      </c>
      <c r="Z3100"/>
      <c r="AA3100" t="s">
        <v>20545</v>
      </c>
      <c r="AB3100"/>
      <c r="AC3100"/>
      <c r="AD3100" t="s">
        <v>20442</v>
      </c>
      <c r="AE3100" t="n">
        <v>19</v>
      </c>
      <c r="AF3100" t="s">
        <v>20443</v>
      </c>
      <c r="AG3100" t="n">
        <v>105</v>
      </c>
    </row>
    <row r="3101">
      <c r="A3101" t="s">
        <v>20546</v>
      </c>
      <c r="B3101" t="s">
        <v>27</v>
      </c>
      <c r="C3101" t="s">
        <v>65</v>
      </c>
      <c r="D3101" t="s">
        <v>20547</v>
      </c>
      <c r="E3101" t="s">
        <v>2639</v>
      </c>
      <c r="F3101" t="s">
        <v>2640</v>
      </c>
      <c r="G3101" t="s">
        <v>2641</v>
      </c>
      <c r="H3101" t="n">
        <v>38.4423237900154</v>
      </c>
      <c r="I3101" t="n">
        <v>-105.231495143162</v>
      </c>
      <c r="J3101" t="s">
        <v>35</v>
      </c>
      <c r="K3101" t="s">
        <v>89</v>
      </c>
      <c r="L3101"/>
      <c r="M3101" t="n">
        <v>1966</v>
      </c>
      <c r="N3101" t="n">
        <v>1990</v>
      </c>
      <c r="O3101" t="s">
        <v>271</v>
      </c>
      <c r="P3101" t="n">
        <v>6</v>
      </c>
      <c r="Q3101" t="n">
        <v>3</v>
      </c>
      <c r="R3101" t="n">
        <v>2</v>
      </c>
      <c r="S3101" t="n">
        <v>1865</v>
      </c>
      <c r="T3101" t="s">
        <v>20548</v>
      </c>
      <c r="U3101" t="s">
        <v>20549</v>
      </c>
      <c r="V3101" t="s">
        <v>74</v>
      </c>
      <c r="W3101"/>
      <c r="X3101" t="s">
        <v>20550</v>
      </c>
      <c r="Y3101"/>
      <c r="Z3101"/>
      <c r="AA3101"/>
      <c r="AB3101"/>
      <c r="AC3101"/>
      <c r="AD3101" t="s">
        <v>20551</v>
      </c>
      <c r="AE3101" t="n">
        <v>59</v>
      </c>
      <c r="AF3101" t="s">
        <v>20552</v>
      </c>
      <c r="AG3101" t="n">
        <v>145</v>
      </c>
    </row>
    <row r="3102">
      <c r="A3102" t="s">
        <v>20553</v>
      </c>
      <c r="B3102" t="s">
        <v>27</v>
      </c>
      <c r="C3102" t="s">
        <v>65</v>
      </c>
      <c r="D3102" t="s">
        <v>20554</v>
      </c>
      <c r="E3102" t="s">
        <v>2639</v>
      </c>
      <c r="F3102" t="s">
        <v>2640</v>
      </c>
      <c r="G3102" t="s">
        <v>2641</v>
      </c>
      <c r="H3102" t="n">
        <v>38.439759693469</v>
      </c>
      <c r="I3102" t="n">
        <v>-105.23303652311</v>
      </c>
      <c r="J3102" t="s">
        <v>35</v>
      </c>
      <c r="K3102" t="s">
        <v>120</v>
      </c>
      <c r="L3102"/>
      <c r="M3102" t="n">
        <v>1966</v>
      </c>
      <c r="N3102" t="n">
        <v>1990</v>
      </c>
      <c r="O3102" t="s">
        <v>121</v>
      </c>
      <c r="P3102" t="n">
        <v>5</v>
      </c>
      <c r="Q3102" t="n">
        <v>2</v>
      </c>
      <c r="R3102" t="n">
        <v>1</v>
      </c>
      <c r="S3102" t="n">
        <v>1906</v>
      </c>
      <c r="T3102" t="s">
        <v>20555</v>
      </c>
      <c r="U3102" t="s">
        <v>20556</v>
      </c>
      <c r="V3102" t="s">
        <v>74</v>
      </c>
      <c r="W3102"/>
      <c r="X3102" t="s">
        <v>20557</v>
      </c>
      <c r="Y3102"/>
      <c r="Z3102"/>
      <c r="AA3102" t="s">
        <v>20558</v>
      </c>
      <c r="AB3102"/>
      <c r="AC3102"/>
      <c r="AD3102" t="s">
        <v>20559</v>
      </c>
      <c r="AE3102" t="n">
        <v>146</v>
      </c>
      <c r="AF3102" t="s">
        <v>20560</v>
      </c>
      <c r="AG3102" t="n">
        <v>130</v>
      </c>
    </row>
    <row r="3103">
      <c r="A3103" t="s">
        <v>20561</v>
      </c>
      <c r="B3103" t="s">
        <v>27</v>
      </c>
      <c r="C3103" t="s">
        <v>24</v>
      </c>
      <c r="D3103" t="s">
        <v>20562</v>
      </c>
      <c r="E3103" t="s">
        <v>2748</v>
      </c>
      <c r="F3103" t="s">
        <v>2724</v>
      </c>
      <c r="G3103" t="s">
        <v>2856</v>
      </c>
      <c r="H3103" t="n">
        <v>39.7369884693878</v>
      </c>
      <c r="I3103" t="n">
        <v>-105.062625591837</v>
      </c>
      <c r="J3103" t="s">
        <v>4109</v>
      </c>
      <c r="K3103" t="s">
        <v>70</v>
      </c>
      <c r="L3103"/>
      <c r="M3103" t="n">
        <v>1966</v>
      </c>
      <c r="N3103" t="n">
        <v>1974</v>
      </c>
      <c r="O3103" t="s">
        <v>1645</v>
      </c>
      <c r="P3103" t="n">
        <v>3</v>
      </c>
      <c r="Q3103" t="n">
        <v>1</v>
      </c>
      <c r="R3103" t="n">
        <v>1</v>
      </c>
      <c r="S3103" t="n">
        <v>1957</v>
      </c>
      <c r="T3103" t="s">
        <v>20563</v>
      </c>
      <c r="U3103" t="s">
        <v>20564</v>
      </c>
      <c r="V3103" t="s">
        <v>74</v>
      </c>
      <c r="W3103"/>
      <c r="X3103" t="s">
        <v>20565</v>
      </c>
      <c r="Y3103" t="s">
        <v>20566</v>
      </c>
      <c r="Z3103"/>
      <c r="AA3103" t="s">
        <v>20567</v>
      </c>
      <c r="AB3103" t="s">
        <v>9702</v>
      </c>
      <c r="AC3103" t="n">
        <v>83</v>
      </c>
      <c r="AD3103" t="s">
        <v>2870</v>
      </c>
      <c r="AE3103" t="n">
        <v>66</v>
      </c>
      <c r="AF3103" t="s">
        <v>20568</v>
      </c>
      <c r="AG3103" t="n">
        <v>31</v>
      </c>
    </row>
    <row r="3104">
      <c r="A3104" t="s">
        <v>20569</v>
      </c>
      <c r="B3104" t="s">
        <v>27</v>
      </c>
      <c r="C3104" t="s">
        <v>65</v>
      </c>
      <c r="D3104" t="s">
        <v>20570</v>
      </c>
      <c r="E3104" t="s">
        <v>2723</v>
      </c>
      <c r="F3104" t="s">
        <v>2724</v>
      </c>
      <c r="G3104" t="s">
        <v>2778</v>
      </c>
      <c r="H3104" t="n">
        <v>39.7761719497487</v>
      </c>
      <c r="I3104" t="n">
        <v>-105.167528065327</v>
      </c>
      <c r="J3104" t="s">
        <v>35</v>
      </c>
      <c r="K3104" t="s">
        <v>141</v>
      </c>
      <c r="L3104"/>
      <c r="M3104" t="n">
        <v>1966</v>
      </c>
      <c r="N3104" t="n">
        <v>1990</v>
      </c>
      <c r="O3104" t="s">
        <v>20571</v>
      </c>
      <c r="P3104" t="n">
        <v>7</v>
      </c>
      <c r="Q3104" t="n">
        <v>3</v>
      </c>
      <c r="R3104" t="n">
        <v>3</v>
      </c>
      <c r="S3104" t="n">
        <v>1955</v>
      </c>
      <c r="T3104" t="s">
        <v>20572</v>
      </c>
      <c r="U3104" t="s">
        <v>20573</v>
      </c>
      <c r="V3104" t="s">
        <v>74</v>
      </c>
      <c r="W3104"/>
      <c r="X3104" t="s">
        <v>20574</v>
      </c>
      <c r="Y3104"/>
      <c r="Z3104"/>
      <c r="AA3104" t="s">
        <v>20575</v>
      </c>
      <c r="AB3104"/>
      <c r="AC3104"/>
      <c r="AD3104" t="s">
        <v>20576</v>
      </c>
      <c r="AE3104" t="n">
        <v>86</v>
      </c>
      <c r="AF3104" t="s">
        <v>20577</v>
      </c>
      <c r="AG3104" t="n">
        <v>50</v>
      </c>
    </row>
    <row r="3105">
      <c r="A3105" t="s">
        <v>20578</v>
      </c>
      <c r="B3105" t="s">
        <v>27</v>
      </c>
      <c r="C3105" t="s">
        <v>65</v>
      </c>
      <c r="D3105" t="s">
        <v>20579</v>
      </c>
      <c r="E3105" t="s">
        <v>2769</v>
      </c>
      <c r="F3105" t="s">
        <v>2724</v>
      </c>
      <c r="G3105" t="s">
        <v>2770</v>
      </c>
      <c r="H3105" t="n">
        <v>39.7907934555827</v>
      </c>
      <c r="I3105" t="n">
        <v>-105.137975863636</v>
      </c>
      <c r="J3105" t="s">
        <v>35</v>
      </c>
      <c r="K3105" t="s">
        <v>141</v>
      </c>
      <c r="L3105"/>
      <c r="M3105" t="n">
        <v>1966</v>
      </c>
      <c r="N3105" t="n">
        <v>1990</v>
      </c>
      <c r="O3105" t="s">
        <v>1818</v>
      </c>
      <c r="P3105" t="n">
        <v>10</v>
      </c>
      <c r="Q3105" t="n">
        <v>10</v>
      </c>
      <c r="R3105" t="n">
        <v>5</v>
      </c>
      <c r="S3105" t="n">
        <v>1953</v>
      </c>
      <c r="T3105" t="s">
        <v>20580</v>
      </c>
      <c r="U3105" t="s">
        <v>20581</v>
      </c>
      <c r="V3105" t="s">
        <v>74</v>
      </c>
      <c r="W3105"/>
      <c r="X3105" t="s">
        <v>20582</v>
      </c>
      <c r="Y3105" t="s">
        <v>20583</v>
      </c>
      <c r="Z3105"/>
      <c r="AA3105" t="s">
        <v>20584</v>
      </c>
      <c r="AB3105" t="s">
        <v>20585</v>
      </c>
      <c r="AC3105" t="n">
        <v>199</v>
      </c>
      <c r="AD3105" t="s">
        <v>20586</v>
      </c>
      <c r="AE3105" t="n">
        <v>10</v>
      </c>
      <c r="AF3105" t="s">
        <v>20587</v>
      </c>
      <c r="AG3105" t="n">
        <v>38</v>
      </c>
    </row>
    <row r="3106">
      <c r="A3106" t="s">
        <v>20588</v>
      </c>
      <c r="B3106" t="s">
        <v>27</v>
      </c>
      <c r="C3106" t="s">
        <v>65</v>
      </c>
      <c r="D3106" t="s">
        <v>20589</v>
      </c>
      <c r="E3106" t="s">
        <v>2723</v>
      </c>
      <c r="F3106" t="s">
        <v>2724</v>
      </c>
      <c r="G3106" t="s">
        <v>2778</v>
      </c>
      <c r="H3106" t="n">
        <v>39.7761818994975</v>
      </c>
      <c r="I3106" t="n">
        <v>-105.165436130653</v>
      </c>
      <c r="J3106" t="s">
        <v>35</v>
      </c>
      <c r="K3106" t="s">
        <v>282</v>
      </c>
      <c r="L3106" t="s">
        <v>98</v>
      </c>
      <c r="M3106" t="n">
        <v>1967</v>
      </c>
      <c r="N3106" t="n">
        <v>1990</v>
      </c>
      <c r="O3106" t="s">
        <v>20590</v>
      </c>
      <c r="P3106" t="n">
        <v>7</v>
      </c>
      <c r="Q3106" t="n">
        <v>1</v>
      </c>
      <c r="R3106" t="n">
        <v>1</v>
      </c>
      <c r="S3106" t="n">
        <v>1947</v>
      </c>
      <c r="T3106" t="s">
        <v>20591</v>
      </c>
      <c r="U3106" t="s">
        <v>20592</v>
      </c>
      <c r="V3106" t="s">
        <v>74</v>
      </c>
      <c r="W3106"/>
      <c r="X3106" t="s">
        <v>20593</v>
      </c>
      <c r="Y3106" t="s">
        <v>20594</v>
      </c>
      <c r="Z3106"/>
      <c r="AA3106" t="s">
        <v>20595</v>
      </c>
      <c r="AB3106"/>
      <c r="AC3106"/>
      <c r="AD3106" t="s">
        <v>20596</v>
      </c>
      <c r="AE3106" t="n">
        <v>51</v>
      </c>
      <c r="AF3106" t="s">
        <v>20597</v>
      </c>
      <c r="AG3106" t="n">
        <v>2</v>
      </c>
    </row>
    <row r="3107">
      <c r="A3107" t="s">
        <v>20598</v>
      </c>
      <c r="B3107" t="s">
        <v>27</v>
      </c>
      <c r="C3107" t="s">
        <v>65</v>
      </c>
      <c r="D3107" t="s">
        <v>20599</v>
      </c>
      <c r="E3107" t="s">
        <v>2729</v>
      </c>
      <c r="F3107" t="s">
        <v>2724</v>
      </c>
      <c r="G3107" t="s">
        <v>2730</v>
      </c>
      <c r="H3107" t="n">
        <v>39.7983440985915</v>
      </c>
      <c r="I3107" t="n">
        <v>-105.059750507981</v>
      </c>
      <c r="J3107" t="s">
        <v>35</v>
      </c>
      <c r="K3107" t="s">
        <v>767</v>
      </c>
      <c r="L3107"/>
      <c r="M3107" t="n">
        <v>1968</v>
      </c>
      <c r="N3107" t="n">
        <v>1990</v>
      </c>
      <c r="O3107" t="s">
        <v>20600</v>
      </c>
      <c r="P3107" t="n">
        <v>3</v>
      </c>
      <c r="Q3107" t="n">
        <v>4</v>
      </c>
      <c r="R3107" t="n">
        <v>4</v>
      </c>
      <c r="S3107" t="n">
        <v>1965</v>
      </c>
      <c r="T3107" t="s">
        <v>20601</v>
      </c>
      <c r="U3107" t="s">
        <v>20602</v>
      </c>
      <c r="V3107" t="s">
        <v>74</v>
      </c>
      <c r="W3107"/>
      <c r="X3107" t="s">
        <v>20603</v>
      </c>
      <c r="Y3107" t="s">
        <v>20604</v>
      </c>
      <c r="Z3107"/>
      <c r="AA3107" t="s">
        <v>20605</v>
      </c>
      <c r="AB3107" t="s">
        <v>3784</v>
      </c>
      <c r="AC3107" t="n">
        <v>114</v>
      </c>
      <c r="AD3107" t="s">
        <v>3785</v>
      </c>
      <c r="AE3107" t="n">
        <v>52</v>
      </c>
      <c r="AF3107" t="s">
        <v>20606</v>
      </c>
      <c r="AG3107" t="n">
        <v>51</v>
      </c>
    </row>
    <row r="3108">
      <c r="A3108" t="s">
        <v>20607</v>
      </c>
      <c r="B3108" t="s">
        <v>27</v>
      </c>
      <c r="C3108" t="s">
        <v>65</v>
      </c>
      <c r="D3108" t="s">
        <v>20608</v>
      </c>
      <c r="E3108" t="s">
        <v>2723</v>
      </c>
      <c r="F3108" t="s">
        <v>2724</v>
      </c>
      <c r="G3108" t="s">
        <v>2778</v>
      </c>
      <c r="H3108" t="n">
        <v>39.7741315501362</v>
      </c>
      <c r="I3108" t="n">
        <v>-105.169796054155</v>
      </c>
      <c r="J3108" t="s">
        <v>35</v>
      </c>
      <c r="K3108" t="s">
        <v>796</v>
      </c>
      <c r="L3108"/>
      <c r="M3108" t="n">
        <v>1973</v>
      </c>
      <c r="N3108" t="n">
        <v>1990</v>
      </c>
      <c r="O3108" t="s">
        <v>3943</v>
      </c>
      <c r="P3108" t="n">
        <v>2</v>
      </c>
      <c r="Q3108" t="n">
        <v>2</v>
      </c>
      <c r="R3108" t="n">
        <v>2</v>
      </c>
      <c r="S3108" t="n">
        <v>1971</v>
      </c>
      <c r="T3108" t="s">
        <v>20609</v>
      </c>
      <c r="U3108" t="s">
        <v>20610</v>
      </c>
      <c r="V3108" t="s">
        <v>74</v>
      </c>
      <c r="W3108"/>
      <c r="X3108" t="s">
        <v>20611</v>
      </c>
      <c r="Y3108"/>
      <c r="Z3108"/>
      <c r="AA3108"/>
      <c r="AB3108"/>
      <c r="AC3108"/>
      <c r="AD3108" t="s">
        <v>2887</v>
      </c>
      <c r="AE3108" t="n">
        <v>165</v>
      </c>
      <c r="AF3108" t="s">
        <v>20612</v>
      </c>
      <c r="AG3108" t="n">
        <v>50</v>
      </c>
    </row>
    <row r="3109">
      <c r="A3109" t="s">
        <v>20613</v>
      </c>
      <c r="B3109" t="s">
        <v>27</v>
      </c>
      <c r="C3109" t="s">
        <v>65</v>
      </c>
      <c r="D3109" t="s">
        <v>20614</v>
      </c>
      <c r="E3109" t="s">
        <v>2729</v>
      </c>
      <c r="F3109" t="s">
        <v>2724</v>
      </c>
      <c r="G3109" t="s">
        <v>2952</v>
      </c>
      <c r="H3109" t="n">
        <v>39.8053718231292</v>
      </c>
      <c r="I3109" t="n">
        <v>-105.044029503401</v>
      </c>
      <c r="J3109" t="s">
        <v>35</v>
      </c>
      <c r="K3109" t="s">
        <v>120</v>
      </c>
      <c r="L3109"/>
      <c r="M3109" t="n">
        <v>1977</v>
      </c>
      <c r="N3109" t="n">
        <v>1983</v>
      </c>
      <c r="O3109" t="s">
        <v>829</v>
      </c>
      <c r="P3109" t="n">
        <v>3</v>
      </c>
      <c r="Q3109" t="n">
        <v>1</v>
      </c>
      <c r="R3109" t="n">
        <v>1</v>
      </c>
      <c r="S3109" t="n">
        <v>1966</v>
      </c>
      <c r="T3109" t="s">
        <v>20615</v>
      </c>
      <c r="U3109" t="s">
        <v>20616</v>
      </c>
      <c r="V3109" t="s">
        <v>74</v>
      </c>
      <c r="W3109"/>
      <c r="X3109" t="s">
        <v>20617</v>
      </c>
      <c r="Y3109" t="s">
        <v>20618</v>
      </c>
      <c r="Z3109"/>
      <c r="AA3109" t="s">
        <v>20619</v>
      </c>
      <c r="AB3109"/>
      <c r="AC3109"/>
      <c r="AD3109" t="s">
        <v>20620</v>
      </c>
      <c r="AE3109" t="n">
        <v>37</v>
      </c>
      <c r="AF3109" t="s">
        <v>17064</v>
      </c>
      <c r="AG3109" t="n">
        <v>41</v>
      </c>
    </row>
    <row r="3110">
      <c r="A3110" t="s">
        <v>20621</v>
      </c>
      <c r="B3110" t="s">
        <v>27</v>
      </c>
      <c r="C3110" t="s">
        <v>65</v>
      </c>
      <c r="D3110" t="s">
        <v>20622</v>
      </c>
      <c r="E3110" t="s">
        <v>386</v>
      </c>
      <c r="F3110" t="s">
        <v>2724</v>
      </c>
      <c r="G3110" t="s">
        <v>2809</v>
      </c>
      <c r="H3110" t="n">
        <v>39.5674783258033</v>
      </c>
      <c r="I3110" t="n">
        <v>-105.114972978338</v>
      </c>
      <c r="J3110" t="s">
        <v>35</v>
      </c>
      <c r="K3110" t="s">
        <v>133</v>
      </c>
      <c r="L3110"/>
      <c r="M3110" t="n">
        <v>1980</v>
      </c>
      <c r="N3110" t="n">
        <v>1990</v>
      </c>
      <c r="O3110" t="s">
        <v>310</v>
      </c>
      <c r="P3110" t="n">
        <v>4</v>
      </c>
      <c r="Q3110" t="n">
        <v>4</v>
      </c>
      <c r="R3110" t="n">
        <v>1</v>
      </c>
      <c r="S3110" t="n">
        <v>1945</v>
      </c>
      <c r="T3110" t="s">
        <v>20623</v>
      </c>
      <c r="U3110" t="s">
        <v>20624</v>
      </c>
      <c r="V3110" t="s">
        <v>74</v>
      </c>
      <c r="W3110"/>
      <c r="X3110" t="s">
        <v>20625</v>
      </c>
      <c r="Y3110" t="s">
        <v>20626</v>
      </c>
      <c r="Z3110"/>
      <c r="AA3110" t="s">
        <v>20627</v>
      </c>
      <c r="AB3110"/>
      <c r="AC3110"/>
      <c r="AD3110" t="s">
        <v>20628</v>
      </c>
      <c r="AE3110" t="n">
        <v>82</v>
      </c>
      <c r="AF3110" t="s">
        <v>20629</v>
      </c>
      <c r="AG3110" t="n">
        <v>5</v>
      </c>
    </row>
    <row r="3111">
      <c r="A3111" t="s">
        <v>20630</v>
      </c>
      <c r="B3111" t="s">
        <v>27</v>
      </c>
      <c r="C3111" t="s">
        <v>65</v>
      </c>
      <c r="D3111" t="s">
        <v>20631</v>
      </c>
      <c r="E3111" t="s">
        <v>4743</v>
      </c>
      <c r="F3111" t="s">
        <v>2724</v>
      </c>
      <c r="G3111" t="s">
        <v>4744</v>
      </c>
      <c r="H3111" t="n">
        <v>39.6506647589434</v>
      </c>
      <c r="I3111" t="n">
        <v>-105.346122609765</v>
      </c>
      <c r="J3111" t="s">
        <v>35</v>
      </c>
      <c r="K3111" t="s">
        <v>120</v>
      </c>
      <c r="L3111"/>
      <c r="M3111" t="n">
        <v>1980</v>
      </c>
      <c r="N3111" t="n">
        <v>1980</v>
      </c>
      <c r="O3111" t="s">
        <v>255</v>
      </c>
      <c r="P3111" t="n">
        <v>1</v>
      </c>
      <c r="Q3111" t="n">
        <v>1</v>
      </c>
      <c r="R3111" t="n">
        <v>1</v>
      </c>
      <c r="S3111" t="n">
        <v>1973</v>
      </c>
      <c r="T3111" t="s">
        <v>20632</v>
      </c>
      <c r="U3111" t="s">
        <v>20633</v>
      </c>
      <c r="V3111" t="s">
        <v>74</v>
      </c>
      <c r="W3111"/>
      <c r="X3111" t="s">
        <v>20634</v>
      </c>
      <c r="Y3111" t="s">
        <v>20635</v>
      </c>
      <c r="Z3111"/>
      <c r="AA3111" t="s">
        <v>20636</v>
      </c>
      <c r="AB3111"/>
      <c r="AC3111"/>
      <c r="AD3111" t="s">
        <v>20637</v>
      </c>
      <c r="AE3111" t="n">
        <v>82</v>
      </c>
      <c r="AF3111" t="s">
        <v>20638</v>
      </c>
      <c r="AG3111" t="n">
        <v>12</v>
      </c>
    </row>
    <row r="3112">
      <c r="A3112" t="s">
        <v>20639</v>
      </c>
      <c r="B3112" t="s">
        <v>27</v>
      </c>
      <c r="C3112" t="s">
        <v>24</v>
      </c>
      <c r="D3112" t="s">
        <v>20640</v>
      </c>
      <c r="E3112" t="s">
        <v>2723</v>
      </c>
      <c r="F3112" t="s">
        <v>2724</v>
      </c>
      <c r="G3112" t="s">
        <v>2778</v>
      </c>
      <c r="H3112" t="n">
        <v>39.7761671256281</v>
      </c>
      <c r="I3112" t="n">
        <v>-105.168542336683</v>
      </c>
      <c r="J3112" t="s">
        <v>4109</v>
      </c>
      <c r="K3112" t="s">
        <v>120</v>
      </c>
      <c r="L3112"/>
      <c r="M3112" t="n">
        <v>1980</v>
      </c>
      <c r="N3112" t="n">
        <v>1983</v>
      </c>
      <c r="O3112" t="s">
        <v>528</v>
      </c>
      <c r="P3112" t="n">
        <v>2</v>
      </c>
      <c r="Q3112" t="n">
        <v>2</v>
      </c>
      <c r="R3112" t="n">
        <v>2</v>
      </c>
      <c r="S3112" t="n">
        <v>1971</v>
      </c>
      <c r="T3112" t="s">
        <v>20641</v>
      </c>
      <c r="U3112" t="s">
        <v>20642</v>
      </c>
      <c r="V3112" t="s">
        <v>74</v>
      </c>
      <c r="W3112"/>
      <c r="X3112" t="s">
        <v>20643</v>
      </c>
      <c r="Y3112" t="s">
        <v>20644</v>
      </c>
      <c r="Z3112"/>
      <c r="AA3112" t="s">
        <v>20645</v>
      </c>
      <c r="AB3112"/>
      <c r="AC3112"/>
      <c r="AD3112" t="s">
        <v>20576</v>
      </c>
      <c r="AE3112" t="n">
        <v>3</v>
      </c>
      <c r="AF3112" t="s">
        <v>20646</v>
      </c>
      <c r="AG3112" t="n">
        <v>12</v>
      </c>
    </row>
    <row r="3113">
      <c r="A3113" t="s">
        <v>20647</v>
      </c>
      <c r="B3113" t="s">
        <v>27</v>
      </c>
      <c r="C3113" t="s">
        <v>65</v>
      </c>
      <c r="D3113" t="s">
        <v>20648</v>
      </c>
      <c r="E3113" t="s">
        <v>2723</v>
      </c>
      <c r="F3113" t="s">
        <v>2724</v>
      </c>
      <c r="G3113" t="s">
        <v>2778</v>
      </c>
      <c r="H3113" t="n">
        <v>39.7761689346734</v>
      </c>
      <c r="I3113" t="n">
        <v>-105.168161984925</v>
      </c>
      <c r="J3113" t="s">
        <v>35</v>
      </c>
      <c r="K3113" t="s">
        <v>120</v>
      </c>
      <c r="L3113"/>
      <c r="M3113" t="n">
        <v>1980</v>
      </c>
      <c r="N3113" t="n">
        <v>1980</v>
      </c>
      <c r="O3113" t="s">
        <v>255</v>
      </c>
      <c r="P3113" t="n">
        <v>1</v>
      </c>
      <c r="Q3113" t="n">
        <v>1</v>
      </c>
      <c r="R3113" t="n">
        <v>1</v>
      </c>
      <c r="S3113" t="n">
        <v>1973</v>
      </c>
      <c r="T3113" t="s">
        <v>20649</v>
      </c>
      <c r="U3113" t="s">
        <v>20650</v>
      </c>
      <c r="V3113" t="s">
        <v>74</v>
      </c>
      <c r="W3113"/>
      <c r="X3113" t="s">
        <v>20651</v>
      </c>
      <c r="Y3113" t="s">
        <v>20652</v>
      </c>
      <c r="Z3113"/>
      <c r="AA3113" t="s">
        <v>20653</v>
      </c>
      <c r="AB3113"/>
      <c r="AC3113"/>
      <c r="AD3113" t="s">
        <v>20576</v>
      </c>
      <c r="AE3113" t="n">
        <v>32</v>
      </c>
      <c r="AF3113" t="s">
        <v>20577</v>
      </c>
      <c r="AG3113" t="n">
        <v>5</v>
      </c>
    </row>
    <row r="3114">
      <c r="A3114" t="s">
        <v>20654</v>
      </c>
      <c r="B3114" t="s">
        <v>27</v>
      </c>
      <c r="C3114" t="s">
        <v>65</v>
      </c>
      <c r="D3114" t="s">
        <v>20655</v>
      </c>
      <c r="E3114" t="s">
        <v>2748</v>
      </c>
      <c r="F3114" t="s">
        <v>2724</v>
      </c>
      <c r="G3114" t="s">
        <v>2749</v>
      </c>
      <c r="H3114" t="n">
        <v>39.7365564451676</v>
      </c>
      <c r="I3114" t="n">
        <v>-105.127962000981</v>
      </c>
      <c r="J3114" t="s">
        <v>35</v>
      </c>
      <c r="K3114" t="s">
        <v>120</v>
      </c>
      <c r="L3114"/>
      <c r="M3114" t="n">
        <v>1980</v>
      </c>
      <c r="N3114" t="n">
        <v>1990</v>
      </c>
      <c r="O3114" t="s">
        <v>582</v>
      </c>
      <c r="P3114" t="n">
        <v>3</v>
      </c>
      <c r="Q3114" t="n">
        <v>2</v>
      </c>
      <c r="R3114" t="n">
        <v>2</v>
      </c>
      <c r="S3114" t="n">
        <v>1966</v>
      </c>
      <c r="T3114" t="s">
        <v>20656</v>
      </c>
      <c r="U3114" t="s">
        <v>20657</v>
      </c>
      <c r="V3114" t="s">
        <v>74</v>
      </c>
      <c r="W3114"/>
      <c r="X3114" t="s">
        <v>20658</v>
      </c>
      <c r="Y3114" t="s">
        <v>20659</v>
      </c>
      <c r="Z3114"/>
      <c r="AA3114"/>
      <c r="AB3114" t="s">
        <v>9902</v>
      </c>
      <c r="AC3114" t="n">
        <v>116</v>
      </c>
      <c r="AD3114" t="s">
        <v>9730</v>
      </c>
      <c r="AE3114" t="n">
        <v>64</v>
      </c>
      <c r="AF3114" t="s">
        <v>9988</v>
      </c>
      <c r="AG3114" t="n">
        <v>37</v>
      </c>
    </row>
    <row r="3115">
      <c r="A3115" t="s">
        <v>20660</v>
      </c>
      <c r="B3115" t="s">
        <v>27</v>
      </c>
      <c r="C3115" t="s">
        <v>65</v>
      </c>
      <c r="D3115" t="s">
        <v>20661</v>
      </c>
      <c r="E3115" t="s">
        <v>2723</v>
      </c>
      <c r="F3115" t="s">
        <v>2724</v>
      </c>
      <c r="G3115" t="s">
        <v>2778</v>
      </c>
      <c r="H3115" t="n">
        <v>39.810821262547</v>
      </c>
      <c r="I3115" t="n">
        <v>-105.166569487667</v>
      </c>
      <c r="J3115" t="s">
        <v>35</v>
      </c>
      <c r="K3115" t="s">
        <v>141</v>
      </c>
      <c r="L3115"/>
      <c r="M3115" t="n">
        <v>1980</v>
      </c>
      <c r="N3115" t="n">
        <v>1992</v>
      </c>
      <c r="O3115" t="s">
        <v>6152</v>
      </c>
      <c r="P3115" t="n">
        <v>5</v>
      </c>
      <c r="Q3115" t="n">
        <v>5</v>
      </c>
      <c r="R3115" t="n">
        <v>3</v>
      </c>
      <c r="S3115" t="n">
        <v>1969</v>
      </c>
      <c r="T3115" t="s">
        <v>20662</v>
      </c>
      <c r="U3115" t="s">
        <v>20663</v>
      </c>
      <c r="V3115" t="s">
        <v>74</v>
      </c>
      <c r="W3115"/>
      <c r="X3115" t="s">
        <v>20664</v>
      </c>
      <c r="Y3115" t="s">
        <v>20665</v>
      </c>
      <c r="Z3115"/>
      <c r="AA3115" t="s">
        <v>20666</v>
      </c>
      <c r="AB3115"/>
      <c r="AC3115"/>
      <c r="AD3115" t="s">
        <v>20667</v>
      </c>
      <c r="AE3115" t="n">
        <v>154</v>
      </c>
      <c r="AF3115" t="s">
        <v>20668</v>
      </c>
      <c r="AG3115" t="n">
        <v>8</v>
      </c>
    </row>
    <row r="3116">
      <c r="A3116" t="s">
        <v>20669</v>
      </c>
      <c r="B3116" t="s">
        <v>27</v>
      </c>
      <c r="C3116" t="s">
        <v>24</v>
      </c>
      <c r="D3116" t="s">
        <v>20670</v>
      </c>
      <c r="E3116" t="s">
        <v>2723</v>
      </c>
      <c r="F3116" t="s">
        <v>2724</v>
      </c>
      <c r="G3116" t="s">
        <v>2778</v>
      </c>
      <c r="H3116" t="n">
        <v>39.821868</v>
      </c>
      <c r="I3116" t="n">
        <v>-105.169064</v>
      </c>
      <c r="J3116" t="s">
        <v>4109</v>
      </c>
      <c r="K3116" t="s">
        <v>527</v>
      </c>
      <c r="L3116"/>
      <c r="M3116" t="n">
        <v>1983</v>
      </c>
      <c r="N3116" t="n">
        <v>1983</v>
      </c>
      <c r="O3116" t="s">
        <v>264</v>
      </c>
      <c r="P3116" t="n">
        <v>1</v>
      </c>
      <c r="Q3116" t="n">
        <v>1</v>
      </c>
      <c r="R3116" t="n">
        <v>1</v>
      </c>
      <c r="S3116" t="n">
        <v>1961</v>
      </c>
      <c r="T3116" t="s">
        <v>20671</v>
      </c>
      <c r="U3116" t="s">
        <v>20672</v>
      </c>
      <c r="V3116" t="s">
        <v>74</v>
      </c>
      <c r="W3116"/>
      <c r="X3116" t="s">
        <v>20673</v>
      </c>
      <c r="Y3116" t="s">
        <v>20674</v>
      </c>
      <c r="Z3116"/>
      <c r="AA3116" t="s">
        <v>20675</v>
      </c>
      <c r="AB3116"/>
      <c r="AC3116"/>
      <c r="AD3116" t="s">
        <v>20676</v>
      </c>
      <c r="AE3116" t="n">
        <v>246</v>
      </c>
      <c r="AF3116" t="s">
        <v>20677</v>
      </c>
      <c r="AG3116" t="n">
        <v>76</v>
      </c>
    </row>
    <row r="3117">
      <c r="A3117" t="s">
        <v>20678</v>
      </c>
      <c r="B3117" t="s">
        <v>27</v>
      </c>
      <c r="C3117" t="s">
        <v>24</v>
      </c>
      <c r="D3117" t="s">
        <v>20679</v>
      </c>
      <c r="E3117" t="s">
        <v>1164</v>
      </c>
      <c r="F3117" t="s">
        <v>2724</v>
      </c>
      <c r="G3117" t="s">
        <v>20680</v>
      </c>
      <c r="H3117" t="n">
        <v>40.003837</v>
      </c>
      <c r="I3117" t="n">
        <v>-105.106379</v>
      </c>
      <c r="J3117" t="s">
        <v>4109</v>
      </c>
      <c r="K3117" t="s">
        <v>120</v>
      </c>
      <c r="L3117"/>
      <c r="M3117" t="n">
        <v>1988</v>
      </c>
      <c r="N3117" t="n">
        <v>1988</v>
      </c>
      <c r="O3117" t="s">
        <v>325</v>
      </c>
      <c r="P3117" t="n">
        <v>1</v>
      </c>
      <c r="Q3117" t="n">
        <v>1</v>
      </c>
      <c r="R3117" t="n">
        <v>1</v>
      </c>
      <c r="S3117" t="n">
        <v>1976</v>
      </c>
      <c r="T3117" t="s">
        <v>20681</v>
      </c>
      <c r="U3117" t="s">
        <v>20682</v>
      </c>
      <c r="V3117" t="s">
        <v>74</v>
      </c>
      <c r="W3117"/>
      <c r="X3117" t="s">
        <v>20683</v>
      </c>
      <c r="Y3117"/>
      <c r="Z3117"/>
      <c r="AA3117" t="s">
        <v>20684</v>
      </c>
      <c r="AB3117"/>
      <c r="AC3117"/>
      <c r="AD3117" t="s">
        <v>1128</v>
      </c>
      <c r="AE3117" t="n">
        <v>166</v>
      </c>
      <c r="AF3117"/>
      <c r="AG3117"/>
    </row>
    <row r="3118">
      <c r="A3118" t="s">
        <v>20685</v>
      </c>
      <c r="B3118" t="s">
        <v>27</v>
      </c>
      <c r="C3118" t="s">
        <v>65</v>
      </c>
      <c r="D3118" t="s">
        <v>20686</v>
      </c>
      <c r="E3118" t="s">
        <v>2769</v>
      </c>
      <c r="F3118" t="s">
        <v>2724</v>
      </c>
      <c r="G3118" t="s">
        <v>2770</v>
      </c>
      <c r="H3118" t="n">
        <v>39.7874115503194</v>
      </c>
      <c r="I3118" t="n">
        <v>-105.118886115651</v>
      </c>
      <c r="J3118" t="s">
        <v>35</v>
      </c>
      <c r="K3118" t="s">
        <v>1282</v>
      </c>
      <c r="L3118"/>
      <c r="M3118" t="n">
        <v>1988</v>
      </c>
      <c r="N3118" t="n">
        <v>1992</v>
      </c>
      <c r="O3118" t="s">
        <v>325</v>
      </c>
      <c r="P3118" t="n">
        <v>3</v>
      </c>
      <c r="Q3118" t="n">
        <v>2</v>
      </c>
      <c r="R3118" t="n">
        <v>2</v>
      </c>
      <c r="S3118" t="n">
        <v>1968</v>
      </c>
      <c r="T3118" t="s">
        <v>20687</v>
      </c>
      <c r="U3118" t="s">
        <v>20688</v>
      </c>
      <c r="V3118" t="s">
        <v>74</v>
      </c>
      <c r="W3118"/>
      <c r="X3118" t="s">
        <v>20689</v>
      </c>
      <c r="Y3118"/>
      <c r="Z3118"/>
      <c r="AA3118"/>
      <c r="AB3118"/>
      <c r="AC3118"/>
      <c r="AD3118" t="s">
        <v>20690</v>
      </c>
      <c r="AE3118" t="n">
        <v>6</v>
      </c>
      <c r="AF3118" t="s">
        <v>20691</v>
      </c>
      <c r="AG3118" t="n">
        <v>102</v>
      </c>
    </row>
    <row r="3119">
      <c r="A3119" t="s">
        <v>20692</v>
      </c>
      <c r="B3119" t="s">
        <v>27</v>
      </c>
      <c r="C3119" t="s">
        <v>24</v>
      </c>
      <c r="D3119" t="s">
        <v>20693</v>
      </c>
      <c r="E3119" t="s">
        <v>2769</v>
      </c>
      <c r="F3119" t="s">
        <v>2724</v>
      </c>
      <c r="G3119" t="s">
        <v>2770</v>
      </c>
      <c r="H3119" t="n">
        <v>39.7866519253633</v>
      </c>
      <c r="I3119" t="n">
        <v>-105.114345225827</v>
      </c>
      <c r="J3119" t="s">
        <v>4109</v>
      </c>
      <c r="K3119" t="s">
        <v>70</v>
      </c>
      <c r="L3119"/>
      <c r="M3119" t="n">
        <v>1988</v>
      </c>
      <c r="N3119" t="n">
        <v>1988</v>
      </c>
      <c r="O3119" t="s">
        <v>325</v>
      </c>
      <c r="P3119" t="n">
        <v>1</v>
      </c>
      <c r="Q3119" t="n">
        <v>1</v>
      </c>
      <c r="R3119" t="n">
        <v>1</v>
      </c>
      <c r="S3119"/>
      <c r="T3119" t="s">
        <v>20694</v>
      </c>
      <c r="U3119" t="s">
        <v>20695</v>
      </c>
      <c r="V3119" t="s">
        <v>74</v>
      </c>
      <c r="W3119"/>
      <c r="X3119" t="s">
        <v>20696</v>
      </c>
      <c r="Y3119" t="s">
        <v>20697</v>
      </c>
      <c r="Z3119" t="s">
        <v>20698</v>
      </c>
      <c r="AA3119" t="s">
        <v>20699</v>
      </c>
      <c r="AB3119"/>
      <c r="AC3119"/>
      <c r="AD3119" t="s">
        <v>20700</v>
      </c>
      <c r="AE3119" t="n">
        <v>174</v>
      </c>
      <c r="AF3119" t="s">
        <v>20701</v>
      </c>
      <c r="AG3119" t="n">
        <v>13</v>
      </c>
    </row>
    <row r="3120">
      <c r="A3120" t="s">
        <v>20702</v>
      </c>
      <c r="B3120" t="s">
        <v>27</v>
      </c>
      <c r="C3120" t="s">
        <v>65</v>
      </c>
      <c r="D3120" t="s">
        <v>20703</v>
      </c>
      <c r="E3120" t="s">
        <v>2729</v>
      </c>
      <c r="F3120" t="s">
        <v>2724</v>
      </c>
      <c r="G3120" t="s">
        <v>2970</v>
      </c>
      <c r="H3120" t="n">
        <v>39.8152527740188</v>
      </c>
      <c r="I3120" t="n">
        <v>-105.158393292106</v>
      </c>
      <c r="J3120" t="s">
        <v>35</v>
      </c>
      <c r="K3120" t="s">
        <v>141</v>
      </c>
      <c r="L3120"/>
      <c r="M3120" t="n">
        <v>1990</v>
      </c>
      <c r="N3120" t="n">
        <v>1990</v>
      </c>
      <c r="O3120" t="s">
        <v>351</v>
      </c>
      <c r="P3120" t="n">
        <v>1</v>
      </c>
      <c r="Q3120" t="n">
        <v>2</v>
      </c>
      <c r="R3120" t="n">
        <v>2</v>
      </c>
      <c r="S3120" t="n">
        <v>1957</v>
      </c>
      <c r="T3120" t="s">
        <v>20704</v>
      </c>
      <c r="U3120" t="s">
        <v>20705</v>
      </c>
      <c r="V3120" t="s">
        <v>74</v>
      </c>
      <c r="W3120"/>
      <c r="X3120" t="s">
        <v>20706</v>
      </c>
      <c r="Y3120" t="s">
        <v>20707</v>
      </c>
      <c r="Z3120"/>
      <c r="AA3120" t="s">
        <v>20708</v>
      </c>
      <c r="AB3120"/>
      <c r="AC3120"/>
      <c r="AD3120" t="s">
        <v>17474</v>
      </c>
      <c r="AE3120" t="n">
        <v>42</v>
      </c>
      <c r="AF3120" t="s">
        <v>20709</v>
      </c>
      <c r="AG3120" t="n">
        <v>90</v>
      </c>
    </row>
    <row r="3121">
      <c r="A3121" t="s">
        <v>20710</v>
      </c>
      <c r="B3121" t="s">
        <v>27</v>
      </c>
      <c r="C3121" t="s">
        <v>24</v>
      </c>
      <c r="D3121" t="s">
        <v>20711</v>
      </c>
      <c r="E3121" t="s">
        <v>2729</v>
      </c>
      <c r="F3121" t="s">
        <v>2724</v>
      </c>
      <c r="G3121" t="s">
        <v>2970</v>
      </c>
      <c r="H3121" t="n">
        <v>39.812457</v>
      </c>
      <c r="I3121" t="n">
        <v>-105.165174</v>
      </c>
      <c r="J3121" t="s">
        <v>4109</v>
      </c>
      <c r="K3121" t="s">
        <v>120</v>
      </c>
      <c r="L3121"/>
      <c r="M3121" t="n">
        <v>1990</v>
      </c>
      <c r="N3121" t="n">
        <v>1990</v>
      </c>
      <c r="O3121" t="s">
        <v>351</v>
      </c>
      <c r="P3121" t="n">
        <v>1</v>
      </c>
      <c r="Q3121" t="n">
        <v>1</v>
      </c>
      <c r="R3121" t="n">
        <v>1</v>
      </c>
      <c r="S3121" t="n">
        <v>1970</v>
      </c>
      <c r="T3121" t="s">
        <v>20712</v>
      </c>
      <c r="U3121" t="s">
        <v>20713</v>
      </c>
      <c r="V3121" t="s">
        <v>74</v>
      </c>
      <c r="W3121"/>
      <c r="X3121" t="s">
        <v>20714</v>
      </c>
      <c r="Y3121" t="s">
        <v>20715</v>
      </c>
      <c r="Z3121"/>
      <c r="AA3121" t="s">
        <v>20716</v>
      </c>
      <c r="AB3121"/>
      <c r="AC3121"/>
      <c r="AD3121" t="s">
        <v>20717</v>
      </c>
      <c r="AE3121" t="n">
        <v>187</v>
      </c>
      <c r="AF3121" t="s">
        <v>20718</v>
      </c>
      <c r="AG3121" t="n">
        <v>58</v>
      </c>
    </row>
    <row r="3122">
      <c r="A3122" t="s">
        <v>20719</v>
      </c>
      <c r="B3122" t="s">
        <v>27</v>
      </c>
      <c r="C3122" t="s">
        <v>24</v>
      </c>
      <c r="D3122" t="s">
        <v>20720</v>
      </c>
      <c r="E3122" t="s">
        <v>2723</v>
      </c>
      <c r="F3122" t="s">
        <v>2724</v>
      </c>
      <c r="G3122" t="s">
        <v>3030</v>
      </c>
      <c r="H3122" t="n">
        <v>39.82214</v>
      </c>
      <c r="I3122" t="n">
        <v>-105.169074</v>
      </c>
      <c r="J3122" t="s">
        <v>4109</v>
      </c>
      <c r="K3122" t="s">
        <v>70</v>
      </c>
      <c r="L3122"/>
      <c r="M3122" t="n">
        <v>1990</v>
      </c>
      <c r="N3122" t="n">
        <v>1990</v>
      </c>
      <c r="O3122" t="s">
        <v>351</v>
      </c>
      <c r="P3122" t="n">
        <v>1</v>
      </c>
      <c r="Q3122" t="n">
        <v>1</v>
      </c>
      <c r="R3122" t="n">
        <v>1</v>
      </c>
      <c r="S3122" t="n">
        <v>1965</v>
      </c>
      <c r="T3122" t="s">
        <v>20721</v>
      </c>
      <c r="U3122" t="s">
        <v>20722</v>
      </c>
      <c r="V3122" t="s">
        <v>74</v>
      </c>
      <c r="W3122"/>
      <c r="X3122" t="s">
        <v>20723</v>
      </c>
      <c r="Y3122" t="s">
        <v>20724</v>
      </c>
      <c r="Z3122"/>
      <c r="AA3122" t="s">
        <v>20725</v>
      </c>
      <c r="AB3122"/>
      <c r="AC3122"/>
      <c r="AD3122" t="s">
        <v>20676</v>
      </c>
      <c r="AE3122" t="n">
        <v>236</v>
      </c>
      <c r="AF3122" t="s">
        <v>20677</v>
      </c>
      <c r="AG3122" t="n">
        <v>47</v>
      </c>
    </row>
    <row r="3123">
      <c r="A3123" t="s">
        <v>20726</v>
      </c>
      <c r="B3123" t="s">
        <v>27</v>
      </c>
      <c r="C3123" t="s">
        <v>24</v>
      </c>
      <c r="D3123" t="s">
        <v>20727</v>
      </c>
      <c r="E3123" t="s">
        <v>2723</v>
      </c>
      <c r="F3123" t="s">
        <v>2724</v>
      </c>
      <c r="G3123" t="s">
        <v>3030</v>
      </c>
      <c r="H3123" t="n">
        <v>39.823456</v>
      </c>
      <c r="I3123" t="n">
        <v>-105.166357</v>
      </c>
      <c r="J3123" t="s">
        <v>4109</v>
      </c>
      <c r="K3123" t="s">
        <v>527</v>
      </c>
      <c r="L3123"/>
      <c r="M3123" t="n">
        <v>1992</v>
      </c>
      <c r="N3123" t="n">
        <v>1992</v>
      </c>
      <c r="O3123" t="s">
        <v>1016</v>
      </c>
      <c r="P3123" t="n">
        <v>1</v>
      </c>
      <c r="Q3123" t="n">
        <v>1</v>
      </c>
      <c r="R3123" t="n">
        <v>1</v>
      </c>
      <c r="S3123"/>
      <c r="T3123" t="s">
        <v>20728</v>
      </c>
      <c r="U3123" t="s">
        <v>20729</v>
      </c>
      <c r="V3123" t="s">
        <v>74</v>
      </c>
      <c r="W3123"/>
      <c r="X3123" t="s">
        <v>20730</v>
      </c>
      <c r="Y3123" t="s">
        <v>20731</v>
      </c>
      <c r="Z3123"/>
      <c r="AA3123" t="s">
        <v>20732</v>
      </c>
      <c r="AB3123"/>
      <c r="AC3123"/>
      <c r="AD3123" t="s">
        <v>20676</v>
      </c>
      <c r="AE3123" t="n">
        <v>69</v>
      </c>
      <c r="AF3123" t="s">
        <v>10344</v>
      </c>
      <c r="AG3123" t="n">
        <v>69</v>
      </c>
    </row>
    <row r="3124">
      <c r="A3124" t="s">
        <v>20733</v>
      </c>
      <c r="B3124" t="s">
        <v>27</v>
      </c>
      <c r="C3124" t="s">
        <v>65</v>
      </c>
      <c r="D3124" t="s">
        <v>20734</v>
      </c>
      <c r="E3124" t="s">
        <v>2769</v>
      </c>
      <c r="F3124" t="s">
        <v>2724</v>
      </c>
      <c r="G3124" t="s">
        <v>2770</v>
      </c>
      <c r="H3124" t="n">
        <v>39.7738638571429</v>
      </c>
      <c r="I3124" t="n">
        <v>-105.081408142857</v>
      </c>
      <c r="J3124" t="s">
        <v>35</v>
      </c>
      <c r="K3124" t="s">
        <v>70</v>
      </c>
      <c r="L3124"/>
      <c r="M3124" t="n">
        <v>1992</v>
      </c>
      <c r="N3124" t="n">
        <v>1992</v>
      </c>
      <c r="O3124" t="s">
        <v>1016</v>
      </c>
      <c r="P3124" t="n">
        <v>1</v>
      </c>
      <c r="Q3124" t="n">
        <v>1</v>
      </c>
      <c r="R3124" t="n">
        <v>1</v>
      </c>
      <c r="S3124" t="n">
        <v>1986</v>
      </c>
      <c r="T3124" t="s">
        <v>20735</v>
      </c>
      <c r="U3124" t="s">
        <v>20736</v>
      </c>
      <c r="V3124" t="s">
        <v>74</v>
      </c>
      <c r="W3124"/>
      <c r="X3124" t="s">
        <v>20737</v>
      </c>
      <c r="Y3124"/>
      <c r="Z3124"/>
      <c r="AA3124"/>
      <c r="AB3124" t="s">
        <v>17166</v>
      </c>
      <c r="AC3124" t="n">
        <v>186</v>
      </c>
      <c r="AD3124" t="s">
        <v>2800</v>
      </c>
      <c r="AE3124" t="n">
        <v>21</v>
      </c>
      <c r="AF3124" t="s">
        <v>2800</v>
      </c>
      <c r="AG3124" t="n">
        <v>92</v>
      </c>
    </row>
    <row r="3125">
      <c r="A3125" t="s">
        <v>20738</v>
      </c>
      <c r="B3125" t="s">
        <v>27</v>
      </c>
      <c r="C3125" t="s">
        <v>24</v>
      </c>
      <c r="D3125" t="s">
        <v>20739</v>
      </c>
      <c r="E3125" t="s">
        <v>3170</v>
      </c>
      <c r="F3125" t="s">
        <v>3152</v>
      </c>
      <c r="G3125" t="s">
        <v>3171</v>
      </c>
      <c r="H3125" t="n">
        <v>40.5834978882839</v>
      </c>
      <c r="I3125" t="n">
        <v>-105.050184740303</v>
      </c>
      <c r="J3125" t="s">
        <v>4109</v>
      </c>
      <c r="K3125" t="s">
        <v>81</v>
      </c>
      <c r="L3125"/>
      <c r="M3125" t="n">
        <v>1966</v>
      </c>
      <c r="N3125" t="n">
        <v>1990</v>
      </c>
      <c r="O3125" t="s">
        <v>20740</v>
      </c>
      <c r="P3125" t="n">
        <v>9</v>
      </c>
      <c r="Q3125" t="n">
        <v>12</v>
      </c>
      <c r="R3125" t="n">
        <v>4</v>
      </c>
      <c r="S3125" t="n">
        <v>1906</v>
      </c>
      <c r="T3125" t="s">
        <v>20741</v>
      </c>
      <c r="U3125" t="s">
        <v>20742</v>
      </c>
      <c r="V3125" t="s">
        <v>74</v>
      </c>
      <c r="W3125"/>
      <c r="X3125" t="s">
        <v>20743</v>
      </c>
      <c r="Y3125" t="s">
        <v>20744</v>
      </c>
      <c r="Z3125"/>
      <c r="AA3125" t="s">
        <v>20745</v>
      </c>
      <c r="AB3125"/>
      <c r="AC3125"/>
      <c r="AD3125" t="s">
        <v>20746</v>
      </c>
      <c r="AE3125" t="n">
        <v>111</v>
      </c>
      <c r="AF3125" t="s">
        <v>20747</v>
      </c>
      <c r="AG3125" t="n">
        <v>21</v>
      </c>
    </row>
    <row r="3126">
      <c r="A3126" t="s">
        <v>20748</v>
      </c>
      <c r="B3126" t="s">
        <v>27</v>
      </c>
      <c r="C3126" t="s">
        <v>24</v>
      </c>
      <c r="D3126" t="s">
        <v>20749</v>
      </c>
      <c r="E3126" t="s">
        <v>3151</v>
      </c>
      <c r="F3126" t="s">
        <v>3152</v>
      </c>
      <c r="G3126" t="s">
        <v>3163</v>
      </c>
      <c r="H3126" t="n">
        <v>40.3855731277762</v>
      </c>
      <c r="I3126" t="n">
        <v>-105.070806776104</v>
      </c>
      <c r="J3126" t="s">
        <v>4109</v>
      </c>
      <c r="K3126" t="s">
        <v>234</v>
      </c>
      <c r="L3126"/>
      <c r="M3126" t="n">
        <v>1970</v>
      </c>
      <c r="N3126" t="n">
        <v>1990</v>
      </c>
      <c r="O3126" t="s">
        <v>20750</v>
      </c>
      <c r="P3126" t="n">
        <v>7</v>
      </c>
      <c r="Q3126" t="n">
        <v>5</v>
      </c>
      <c r="R3126" t="n">
        <v>4</v>
      </c>
      <c r="S3126" t="n">
        <v>1962</v>
      </c>
      <c r="T3126" t="s">
        <v>20751</v>
      </c>
      <c r="U3126" t="s">
        <v>20752</v>
      </c>
      <c r="V3126" t="s">
        <v>74</v>
      </c>
      <c r="W3126"/>
      <c r="X3126" t="s">
        <v>20753</v>
      </c>
      <c r="Y3126" t="s">
        <v>20754</v>
      </c>
      <c r="Z3126"/>
      <c r="AA3126" t="s">
        <v>20755</v>
      </c>
      <c r="AB3126"/>
      <c r="AC3126"/>
      <c r="AD3126" t="s">
        <v>20756</v>
      </c>
      <c r="AE3126" t="n">
        <v>112</v>
      </c>
      <c r="AF3126" t="s">
        <v>20757</v>
      </c>
      <c r="AG3126" t="n">
        <v>36</v>
      </c>
    </row>
    <row r="3127">
      <c r="A3127" t="s">
        <v>20758</v>
      </c>
      <c r="B3127" t="s">
        <v>27</v>
      </c>
      <c r="C3127" t="s">
        <v>24</v>
      </c>
      <c r="D3127" t="s">
        <v>20759</v>
      </c>
      <c r="E3127" t="s">
        <v>3170</v>
      </c>
      <c r="F3127" t="s">
        <v>3152</v>
      </c>
      <c r="G3127" t="s">
        <v>3171</v>
      </c>
      <c r="H3127" t="n">
        <v>40.5820711960784</v>
      </c>
      <c r="I3127" t="n">
        <v>-105.05020072549</v>
      </c>
      <c r="J3127" t="s">
        <v>4109</v>
      </c>
      <c r="K3127" t="s">
        <v>120</v>
      </c>
      <c r="L3127"/>
      <c r="M3127" t="n">
        <v>1977</v>
      </c>
      <c r="N3127" t="n">
        <v>1990</v>
      </c>
      <c r="O3127" t="s">
        <v>228</v>
      </c>
      <c r="P3127" t="n">
        <v>3</v>
      </c>
      <c r="Q3127" t="n">
        <v>2</v>
      </c>
      <c r="R3127" t="n">
        <v>1</v>
      </c>
      <c r="S3127" t="n">
        <v>1974</v>
      </c>
      <c r="T3127" t="s">
        <v>20760</v>
      </c>
      <c r="U3127" t="s">
        <v>20761</v>
      </c>
      <c r="V3127" t="s">
        <v>74</v>
      </c>
      <c r="W3127"/>
      <c r="X3127" t="s">
        <v>20762</v>
      </c>
      <c r="Y3127" t="s">
        <v>20763</v>
      </c>
      <c r="Z3127"/>
      <c r="AA3127" t="s">
        <v>20764</v>
      </c>
      <c r="AB3127"/>
      <c r="AC3127"/>
      <c r="AD3127" t="s">
        <v>20746</v>
      </c>
      <c r="AE3127" t="n">
        <v>180</v>
      </c>
      <c r="AF3127" t="s">
        <v>20747</v>
      </c>
      <c r="AG3127" t="n">
        <v>119</v>
      </c>
    </row>
    <row r="3128">
      <c r="A3128" t="s">
        <v>20765</v>
      </c>
      <c r="B3128" t="s">
        <v>27</v>
      </c>
      <c r="C3128" t="s">
        <v>65</v>
      </c>
      <c r="D3128" t="s">
        <v>20766</v>
      </c>
      <c r="E3128" t="s">
        <v>3170</v>
      </c>
      <c r="F3128" t="s">
        <v>3152</v>
      </c>
      <c r="G3128" t="s">
        <v>3171</v>
      </c>
      <c r="H3128" t="n">
        <v>40.592893</v>
      </c>
      <c r="I3128" t="n">
        <v>-105.069664</v>
      </c>
      <c r="J3128" t="s">
        <v>35</v>
      </c>
      <c r="K3128" t="s">
        <v>70</v>
      </c>
      <c r="L3128"/>
      <c r="M3128" t="n">
        <v>1977</v>
      </c>
      <c r="N3128" t="n">
        <v>1990</v>
      </c>
      <c r="O3128" t="s">
        <v>351</v>
      </c>
      <c r="P3128" t="n">
        <v>2</v>
      </c>
      <c r="Q3128" t="n">
        <v>2</v>
      </c>
      <c r="R3128" t="n">
        <v>1</v>
      </c>
      <c r="S3128" t="n">
        <v>1909</v>
      </c>
      <c r="T3128" t="s">
        <v>20767</v>
      </c>
      <c r="U3128" t="s">
        <v>20768</v>
      </c>
      <c r="V3128" t="s">
        <v>74</v>
      </c>
      <c r="W3128"/>
      <c r="X3128" t="s">
        <v>20769</v>
      </c>
      <c r="Y3128"/>
      <c r="Z3128"/>
      <c r="AA3128" t="s">
        <v>20770</v>
      </c>
      <c r="AB3128"/>
      <c r="AC3128"/>
      <c r="AD3128" t="s">
        <v>20771</v>
      </c>
      <c r="AE3128" t="n">
        <v>96</v>
      </c>
      <c r="AF3128"/>
      <c r="AG3128"/>
    </row>
    <row r="3129">
      <c r="A3129" t="s">
        <v>20772</v>
      </c>
      <c r="B3129" t="s">
        <v>27</v>
      </c>
      <c r="C3129" t="s">
        <v>65</v>
      </c>
      <c r="D3129" t="s">
        <v>20773</v>
      </c>
      <c r="E3129" t="s">
        <v>3209</v>
      </c>
      <c r="F3129" t="s">
        <v>3152</v>
      </c>
      <c r="G3129" t="s">
        <v>3210</v>
      </c>
      <c r="H3129" t="n">
        <v>40.5310495073171</v>
      </c>
      <c r="I3129" t="n">
        <v>-104.982293312195</v>
      </c>
      <c r="J3129" t="s">
        <v>35</v>
      </c>
      <c r="K3129" t="s">
        <v>141</v>
      </c>
      <c r="L3129"/>
      <c r="M3129" t="n">
        <v>1977</v>
      </c>
      <c r="N3129" t="n">
        <v>1990</v>
      </c>
      <c r="O3129" t="s">
        <v>351</v>
      </c>
      <c r="P3129" t="n">
        <v>4</v>
      </c>
      <c r="Q3129" t="n">
        <v>2</v>
      </c>
      <c r="R3129" t="n">
        <v>1</v>
      </c>
      <c r="S3129" t="n">
        <v>1969</v>
      </c>
      <c r="T3129" t="s">
        <v>20774</v>
      </c>
      <c r="U3129" t="s">
        <v>20775</v>
      </c>
      <c r="V3129" t="s">
        <v>74</v>
      </c>
      <c r="W3129"/>
      <c r="X3129" t="s">
        <v>20776</v>
      </c>
      <c r="Y3129"/>
      <c r="Z3129"/>
      <c r="AA3129"/>
      <c r="AB3129"/>
      <c r="AC3129"/>
      <c r="AD3129" t="s">
        <v>3214</v>
      </c>
      <c r="AE3129" t="n">
        <v>119</v>
      </c>
      <c r="AF3129"/>
      <c r="AG3129"/>
    </row>
    <row r="3130">
      <c r="A3130" t="s">
        <v>20777</v>
      </c>
      <c r="B3130" t="s">
        <v>27</v>
      </c>
      <c r="C3130" t="s">
        <v>65</v>
      </c>
      <c r="D3130" t="s">
        <v>20778</v>
      </c>
      <c r="E3130" t="s">
        <v>3170</v>
      </c>
      <c r="F3130" t="s">
        <v>3152</v>
      </c>
      <c r="G3130" t="s">
        <v>3171</v>
      </c>
      <c r="H3130" t="n">
        <v>40.612421</v>
      </c>
      <c r="I3130" t="n">
        <v>-105.114128</v>
      </c>
      <c r="J3130" t="s">
        <v>35</v>
      </c>
      <c r="K3130" t="s">
        <v>120</v>
      </c>
      <c r="L3130"/>
      <c r="M3130" t="n">
        <v>1980</v>
      </c>
      <c r="N3130" t="n">
        <v>1990</v>
      </c>
      <c r="O3130" t="s">
        <v>1668</v>
      </c>
      <c r="P3130" t="n">
        <v>4</v>
      </c>
      <c r="Q3130" t="n">
        <v>2</v>
      </c>
      <c r="R3130" t="n">
        <v>1</v>
      </c>
      <c r="S3130" t="n">
        <v>1960</v>
      </c>
      <c r="T3130" t="s">
        <v>20779</v>
      </c>
      <c r="U3130" t="s">
        <v>20780</v>
      </c>
      <c r="V3130" t="s">
        <v>74</v>
      </c>
      <c r="W3130"/>
      <c r="X3130" t="s">
        <v>20781</v>
      </c>
      <c r="Y3130" t="s">
        <v>20782</v>
      </c>
      <c r="Z3130"/>
      <c r="AA3130" t="s">
        <v>20783</v>
      </c>
      <c r="AB3130"/>
      <c r="AC3130"/>
      <c r="AD3130" t="s">
        <v>20784</v>
      </c>
      <c r="AE3130" t="n">
        <v>21</v>
      </c>
      <c r="AF3130"/>
      <c r="AG3130"/>
    </row>
    <row r="3131">
      <c r="A3131" t="s">
        <v>20785</v>
      </c>
      <c r="B3131" t="s">
        <v>27</v>
      </c>
      <c r="C3131" t="s">
        <v>24</v>
      </c>
      <c r="D3131" t="s">
        <v>20786</v>
      </c>
      <c r="E3131" t="s">
        <v>3170</v>
      </c>
      <c r="F3131" t="s">
        <v>3152</v>
      </c>
      <c r="G3131" t="s">
        <v>3332</v>
      </c>
      <c r="H3131" t="n">
        <v>40.5263590933746</v>
      </c>
      <c r="I3131" t="n">
        <v>-105.040300920186</v>
      </c>
      <c r="J3131" t="s">
        <v>4109</v>
      </c>
      <c r="K3131" t="s">
        <v>120</v>
      </c>
      <c r="L3131"/>
      <c r="M3131" t="n">
        <v>1980</v>
      </c>
      <c r="N3131" t="n">
        <v>1980</v>
      </c>
      <c r="O3131" t="s">
        <v>255</v>
      </c>
      <c r="P3131" t="n">
        <v>1</v>
      </c>
      <c r="Q3131" t="n">
        <v>1</v>
      </c>
      <c r="R3131" t="n">
        <v>1</v>
      </c>
      <c r="S3131" t="n">
        <v>1959</v>
      </c>
      <c r="T3131" t="s">
        <v>20787</v>
      </c>
      <c r="U3131" t="s">
        <v>20788</v>
      </c>
      <c r="V3131" t="s">
        <v>74</v>
      </c>
      <c r="W3131"/>
      <c r="X3131" t="s">
        <v>20789</v>
      </c>
      <c r="Y3131"/>
      <c r="Z3131"/>
      <c r="AA3131" t="s">
        <v>20790</v>
      </c>
      <c r="AB3131"/>
      <c r="AC3131"/>
      <c r="AD3131" t="s">
        <v>20791</v>
      </c>
      <c r="AE3131" t="n">
        <v>235</v>
      </c>
      <c r="AF3131"/>
      <c r="AG3131"/>
    </row>
    <row r="3132">
      <c r="A3132" t="s">
        <v>20792</v>
      </c>
      <c r="B3132" t="s">
        <v>27</v>
      </c>
      <c r="C3132" t="s">
        <v>24</v>
      </c>
      <c r="D3132" t="s">
        <v>20793</v>
      </c>
      <c r="E3132" t="s">
        <v>3170</v>
      </c>
      <c r="F3132" t="s">
        <v>3152</v>
      </c>
      <c r="G3132" t="s">
        <v>3292</v>
      </c>
      <c r="H3132" t="n">
        <v>40.5673741911707</v>
      </c>
      <c r="I3132" t="n">
        <v>-105.034634382078</v>
      </c>
      <c r="J3132" t="s">
        <v>4109</v>
      </c>
      <c r="K3132" t="s">
        <v>70</v>
      </c>
      <c r="L3132" t="s">
        <v>2814</v>
      </c>
      <c r="M3132" t="n">
        <v>1983</v>
      </c>
      <c r="N3132" t="n">
        <v>1992</v>
      </c>
      <c r="O3132" t="s">
        <v>271</v>
      </c>
      <c r="P3132" t="n">
        <v>4</v>
      </c>
      <c r="Q3132" t="n">
        <v>5</v>
      </c>
      <c r="R3132" t="n">
        <v>5</v>
      </c>
      <c r="S3132" t="n">
        <v>1974</v>
      </c>
      <c r="T3132" t="s">
        <v>20794</v>
      </c>
      <c r="U3132" t="s">
        <v>20795</v>
      </c>
      <c r="V3132" t="s">
        <v>74</v>
      </c>
      <c r="W3132"/>
      <c r="X3132" t="s">
        <v>20796</v>
      </c>
      <c r="Y3132" t="s">
        <v>20797</v>
      </c>
      <c r="Z3132"/>
      <c r="AA3132" t="s">
        <v>20798</v>
      </c>
      <c r="AB3132"/>
      <c r="AC3132"/>
      <c r="AD3132" t="s">
        <v>3274</v>
      </c>
      <c r="AE3132" t="n">
        <v>92</v>
      </c>
      <c r="AF3132" t="s">
        <v>20799</v>
      </c>
      <c r="AG3132" t="n">
        <v>3</v>
      </c>
    </row>
    <row r="3133">
      <c r="A3133" t="s">
        <v>20800</v>
      </c>
      <c r="B3133" t="s">
        <v>27</v>
      </c>
      <c r="C3133" t="s">
        <v>24</v>
      </c>
      <c r="D3133" t="s">
        <v>20801</v>
      </c>
      <c r="E3133" t="s">
        <v>3170</v>
      </c>
      <c r="F3133" t="s">
        <v>3152</v>
      </c>
      <c r="G3133" t="s">
        <v>3332</v>
      </c>
      <c r="H3133" t="n">
        <v>40.567352</v>
      </c>
      <c r="I3133" t="n">
        <v>-105.033584</v>
      </c>
      <c r="J3133" t="s">
        <v>4109</v>
      </c>
      <c r="K3133" t="s">
        <v>133</v>
      </c>
      <c r="L3133"/>
      <c r="M3133" t="n">
        <v>1983</v>
      </c>
      <c r="N3133" t="n">
        <v>1988</v>
      </c>
      <c r="O3133" t="s">
        <v>325</v>
      </c>
      <c r="P3133" t="n">
        <v>2</v>
      </c>
      <c r="Q3133" t="n">
        <v>2</v>
      </c>
      <c r="R3133" t="n">
        <v>1</v>
      </c>
      <c r="S3133" t="n">
        <v>1962</v>
      </c>
      <c r="T3133" t="s">
        <v>20802</v>
      </c>
      <c r="U3133" t="s">
        <v>20803</v>
      </c>
      <c r="V3133" t="s">
        <v>74</v>
      </c>
      <c r="W3133"/>
      <c r="X3133" t="s">
        <v>20804</v>
      </c>
      <c r="Y3133" t="s">
        <v>20805</v>
      </c>
      <c r="Z3133"/>
      <c r="AA3133" t="s">
        <v>20806</v>
      </c>
      <c r="AB3133"/>
      <c r="AC3133"/>
      <c r="AD3133" t="s">
        <v>3274</v>
      </c>
      <c r="AE3133" t="n">
        <v>25</v>
      </c>
      <c r="AF3133" t="s">
        <v>20807</v>
      </c>
      <c r="AG3133" t="n">
        <v>1</v>
      </c>
    </row>
    <row r="3134">
      <c r="A3134" t="s">
        <v>20808</v>
      </c>
      <c r="B3134" t="s">
        <v>27</v>
      </c>
      <c r="C3134" t="s">
        <v>65</v>
      </c>
      <c r="D3134" t="s">
        <v>20809</v>
      </c>
      <c r="E3134" t="s">
        <v>3170</v>
      </c>
      <c r="F3134" t="s">
        <v>3152</v>
      </c>
      <c r="G3134" t="s">
        <v>3292</v>
      </c>
      <c r="H3134" t="n">
        <v>40.5833459249857</v>
      </c>
      <c r="I3134" t="n">
        <v>-105.052347590539</v>
      </c>
      <c r="J3134" t="s">
        <v>35</v>
      </c>
      <c r="K3134" t="s">
        <v>796</v>
      </c>
      <c r="L3134"/>
      <c r="M3134" t="n">
        <v>1983</v>
      </c>
      <c r="N3134" t="n">
        <v>1990</v>
      </c>
      <c r="O3134" t="s">
        <v>351</v>
      </c>
      <c r="P3134" t="n">
        <v>2</v>
      </c>
      <c r="Q3134" t="n">
        <v>2</v>
      </c>
      <c r="R3134" t="n">
        <v>2</v>
      </c>
      <c r="S3134" t="n">
        <v>1977</v>
      </c>
      <c r="T3134" t="s">
        <v>20810</v>
      </c>
      <c r="U3134" t="s">
        <v>20811</v>
      </c>
      <c r="V3134" t="s">
        <v>74</v>
      </c>
      <c r="W3134"/>
      <c r="X3134" t="s">
        <v>20812</v>
      </c>
      <c r="Y3134"/>
      <c r="Z3134"/>
      <c r="AA3134"/>
      <c r="AB3134"/>
      <c r="AC3134"/>
      <c r="AD3134" t="s">
        <v>20746</v>
      </c>
      <c r="AE3134" t="n">
        <v>72</v>
      </c>
      <c r="AF3134" t="s">
        <v>20813</v>
      </c>
      <c r="AG3134" t="n">
        <v>43</v>
      </c>
    </row>
    <row r="3135">
      <c r="A3135" t="s">
        <v>20814</v>
      </c>
      <c r="B3135" t="s">
        <v>27</v>
      </c>
      <c r="C3135" t="s">
        <v>24</v>
      </c>
      <c r="D3135" t="s">
        <v>20815</v>
      </c>
      <c r="E3135" t="s">
        <v>3170</v>
      </c>
      <c r="F3135" t="s">
        <v>3152</v>
      </c>
      <c r="G3135" t="s">
        <v>3292</v>
      </c>
      <c r="H3135" t="n">
        <v>40.588159</v>
      </c>
      <c r="I3135" t="n">
        <v>-105.031917</v>
      </c>
      <c r="J3135" t="s">
        <v>4109</v>
      </c>
      <c r="K3135" t="s">
        <v>70</v>
      </c>
      <c r="L3135"/>
      <c r="M3135" t="n">
        <v>1988</v>
      </c>
      <c r="N3135" t="n">
        <v>1988</v>
      </c>
      <c r="O3135" t="s">
        <v>325</v>
      </c>
      <c r="P3135" t="n">
        <v>1</v>
      </c>
      <c r="Q3135" t="n">
        <v>1</v>
      </c>
      <c r="R3135" t="n">
        <v>1</v>
      </c>
      <c r="S3135"/>
      <c r="T3135" t="s">
        <v>20816</v>
      </c>
      <c r="U3135" t="s">
        <v>20817</v>
      </c>
      <c r="V3135" t="s">
        <v>74</v>
      </c>
      <c r="W3135"/>
      <c r="X3135" t="s">
        <v>20818</v>
      </c>
      <c r="Y3135" t="s">
        <v>20819</v>
      </c>
      <c r="Z3135"/>
      <c r="AA3135" t="s">
        <v>20820</v>
      </c>
      <c r="AB3135"/>
      <c r="AC3135"/>
      <c r="AD3135" t="s">
        <v>20821</v>
      </c>
      <c r="AE3135" t="n">
        <v>238</v>
      </c>
      <c r="AF3135" t="s">
        <v>17943</v>
      </c>
      <c r="AG3135" t="n">
        <v>105</v>
      </c>
    </row>
    <row r="3136">
      <c r="A3136" t="s">
        <v>20822</v>
      </c>
      <c r="B3136" t="s">
        <v>27</v>
      </c>
      <c r="C3136" t="s">
        <v>24</v>
      </c>
      <c r="D3136" t="s">
        <v>20823</v>
      </c>
      <c r="E3136" t="s">
        <v>3170</v>
      </c>
      <c r="F3136" t="s">
        <v>3152</v>
      </c>
      <c r="G3136" t="s">
        <v>3292</v>
      </c>
      <c r="H3136" t="n">
        <v>40.595703</v>
      </c>
      <c r="I3136" t="n">
        <v>-105.068737</v>
      </c>
      <c r="J3136" t="s">
        <v>4109</v>
      </c>
      <c r="K3136" t="s">
        <v>133</v>
      </c>
      <c r="L3136"/>
      <c r="M3136" t="n">
        <v>1990</v>
      </c>
      <c r="N3136" t="n">
        <v>1990</v>
      </c>
      <c r="O3136" t="s">
        <v>351</v>
      </c>
      <c r="P3136" t="n">
        <v>1</v>
      </c>
      <c r="Q3136" t="n">
        <v>1</v>
      </c>
      <c r="R3136" t="n">
        <v>1</v>
      </c>
      <c r="S3136" t="n">
        <v>1954</v>
      </c>
      <c r="T3136" t="s">
        <v>20824</v>
      </c>
      <c r="U3136" t="s">
        <v>20825</v>
      </c>
      <c r="V3136" t="s">
        <v>74</v>
      </c>
      <c r="W3136"/>
      <c r="X3136" t="s">
        <v>20826</v>
      </c>
      <c r="Y3136" t="s">
        <v>20827</v>
      </c>
      <c r="Z3136"/>
      <c r="AA3136" t="s">
        <v>20828</v>
      </c>
      <c r="AB3136"/>
      <c r="AC3136"/>
      <c r="AD3136" t="s">
        <v>20771</v>
      </c>
      <c r="AE3136" t="n">
        <v>238</v>
      </c>
      <c r="AF3136" t="s">
        <v>20829</v>
      </c>
      <c r="AG3136" t="n">
        <v>29</v>
      </c>
    </row>
    <row r="3137">
      <c r="A3137" t="s">
        <v>20830</v>
      </c>
      <c r="B3137" t="s">
        <v>27</v>
      </c>
      <c r="C3137" t="s">
        <v>65</v>
      </c>
      <c r="D3137" t="s">
        <v>20831</v>
      </c>
      <c r="E3137" t="s">
        <v>3461</v>
      </c>
      <c r="F3137" t="s">
        <v>3462</v>
      </c>
      <c r="G3137" t="s">
        <v>3480</v>
      </c>
      <c r="H3137" t="n">
        <v>39.046135250829</v>
      </c>
      <c r="I3137" t="n">
        <v>-108.552330085093</v>
      </c>
      <c r="J3137" t="s">
        <v>35</v>
      </c>
      <c r="K3137" t="s">
        <v>315</v>
      </c>
      <c r="L3137"/>
      <c r="M3137" t="n">
        <v>1966</v>
      </c>
      <c r="N3137" t="n">
        <v>1992</v>
      </c>
      <c r="O3137" t="s">
        <v>20832</v>
      </c>
      <c r="P3137" t="n">
        <v>8</v>
      </c>
      <c r="Q3137" t="n">
        <v>5</v>
      </c>
      <c r="R3137" t="n">
        <v>4</v>
      </c>
      <c r="S3137" t="n">
        <v>1957</v>
      </c>
      <c r="T3137" t="s">
        <v>20833</v>
      </c>
      <c r="U3137" t="s">
        <v>20834</v>
      </c>
      <c r="V3137" t="s">
        <v>74</v>
      </c>
      <c r="W3137"/>
      <c r="X3137" t="s">
        <v>20835</v>
      </c>
      <c r="Y3137"/>
      <c r="Z3137"/>
      <c r="AA3137"/>
      <c r="AB3137"/>
      <c r="AC3137"/>
      <c r="AD3137" t="s">
        <v>20836</v>
      </c>
      <c r="AE3137" t="n">
        <v>111</v>
      </c>
      <c r="AF3137"/>
      <c r="AG3137"/>
    </row>
    <row r="3138">
      <c r="A3138" t="s">
        <v>20837</v>
      </c>
      <c r="B3138" t="s">
        <v>27</v>
      </c>
      <c r="C3138" t="s">
        <v>24</v>
      </c>
      <c r="D3138" t="s">
        <v>20838</v>
      </c>
      <c r="E3138" t="s">
        <v>3461</v>
      </c>
      <c r="F3138" t="s">
        <v>3462</v>
      </c>
      <c r="G3138"/>
      <c r="H3138" t="n">
        <v>39.0602074411239</v>
      </c>
      <c r="I3138" t="n">
        <v>-108.555143875097</v>
      </c>
      <c r="J3138" t="s">
        <v>4109</v>
      </c>
      <c r="K3138" t="s">
        <v>141</v>
      </c>
      <c r="L3138"/>
      <c r="M3138" t="n">
        <v>1966</v>
      </c>
      <c r="N3138" t="n">
        <v>1992</v>
      </c>
      <c r="O3138" t="s">
        <v>20839</v>
      </c>
      <c r="P3138" t="n">
        <v>5</v>
      </c>
      <c r="Q3138" t="n">
        <v>3</v>
      </c>
      <c r="R3138" t="n">
        <v>3</v>
      </c>
      <c r="S3138" t="n">
        <v>1947</v>
      </c>
      <c r="T3138" t="s">
        <v>20840</v>
      </c>
      <c r="U3138" t="s">
        <v>20841</v>
      </c>
      <c r="V3138" t="s">
        <v>74</v>
      </c>
      <c r="W3138"/>
      <c r="X3138" t="s">
        <v>20842</v>
      </c>
      <c r="Y3138"/>
      <c r="Z3138"/>
      <c r="AA3138"/>
      <c r="AB3138"/>
      <c r="AC3138"/>
      <c r="AD3138" t="s">
        <v>3591</v>
      </c>
      <c r="AE3138" t="n">
        <v>57</v>
      </c>
      <c r="AF3138" t="s">
        <v>20843</v>
      </c>
      <c r="AG3138" t="n">
        <v>128</v>
      </c>
    </row>
    <row r="3139">
      <c r="A3139" t="s">
        <v>20844</v>
      </c>
      <c r="B3139" t="s">
        <v>27</v>
      </c>
      <c r="C3139" t="s">
        <v>65</v>
      </c>
      <c r="D3139" t="s">
        <v>20845</v>
      </c>
      <c r="E3139" t="s">
        <v>3461</v>
      </c>
      <c r="F3139" t="s">
        <v>3462</v>
      </c>
      <c r="G3139" t="s">
        <v>3487</v>
      </c>
      <c r="H3139" t="n">
        <v>39.0673123163265</v>
      </c>
      <c r="I3139" t="n">
        <v>-108.571483908163</v>
      </c>
      <c r="J3139" t="s">
        <v>35</v>
      </c>
      <c r="K3139" t="s">
        <v>133</v>
      </c>
      <c r="L3139"/>
      <c r="M3139" t="n">
        <v>1968</v>
      </c>
      <c r="N3139" t="n">
        <v>1988</v>
      </c>
      <c r="O3139" t="s">
        <v>1587</v>
      </c>
      <c r="P3139" t="n">
        <v>4</v>
      </c>
      <c r="Q3139" t="n">
        <v>2</v>
      </c>
      <c r="R3139" t="n">
        <v>1</v>
      </c>
      <c r="S3139" t="n">
        <v>1958</v>
      </c>
      <c r="T3139" t="s">
        <v>20846</v>
      </c>
      <c r="U3139" t="s">
        <v>20847</v>
      </c>
      <c r="V3139" t="s">
        <v>74</v>
      </c>
      <c r="W3139"/>
      <c r="X3139" t="s">
        <v>20848</v>
      </c>
      <c r="Y3139"/>
      <c r="Z3139"/>
      <c r="AA3139"/>
      <c r="AB3139" t="s">
        <v>20849</v>
      </c>
      <c r="AC3139" t="n">
        <v>197</v>
      </c>
      <c r="AD3139" t="s">
        <v>3469</v>
      </c>
      <c r="AE3139" t="n">
        <v>76</v>
      </c>
      <c r="AF3139" t="s">
        <v>20850</v>
      </c>
      <c r="AG3139" t="n">
        <v>115</v>
      </c>
    </row>
    <row r="3140">
      <c r="A3140" t="s">
        <v>20851</v>
      </c>
      <c r="B3140" t="s">
        <v>27</v>
      </c>
      <c r="C3140" t="s">
        <v>65</v>
      </c>
      <c r="D3140" t="s">
        <v>20852</v>
      </c>
      <c r="E3140" t="s">
        <v>3461</v>
      </c>
      <c r="F3140" t="s">
        <v>3462</v>
      </c>
      <c r="G3140" t="s">
        <v>3487</v>
      </c>
      <c r="H3140" t="n">
        <v>39.0601479038333</v>
      </c>
      <c r="I3140" t="n">
        <v>-108.559246978431</v>
      </c>
      <c r="J3140" t="s">
        <v>35</v>
      </c>
      <c r="K3140" t="s">
        <v>20853</v>
      </c>
      <c r="L3140"/>
      <c r="M3140" t="n">
        <v>1973</v>
      </c>
      <c r="N3140" t="n">
        <v>1988</v>
      </c>
      <c r="O3140" t="s">
        <v>20276</v>
      </c>
      <c r="P3140" t="n">
        <v>5</v>
      </c>
      <c r="Q3140" t="n">
        <v>2</v>
      </c>
      <c r="R3140" t="n">
        <v>2</v>
      </c>
      <c r="S3140" t="n">
        <v>1966</v>
      </c>
      <c r="T3140" t="s">
        <v>20854</v>
      </c>
      <c r="U3140" t="s">
        <v>20855</v>
      </c>
      <c r="V3140" t="s">
        <v>74</v>
      </c>
      <c r="W3140"/>
      <c r="X3140" t="s">
        <v>20856</v>
      </c>
      <c r="Y3140"/>
      <c r="Z3140" t="s">
        <v>20857</v>
      </c>
      <c r="AA3140"/>
      <c r="AB3140" t="s">
        <v>3565</v>
      </c>
      <c r="AC3140" t="n">
        <v>225</v>
      </c>
      <c r="AD3140" t="s">
        <v>18101</v>
      </c>
      <c r="AE3140" t="n">
        <v>97</v>
      </c>
      <c r="AF3140" t="s">
        <v>20858</v>
      </c>
      <c r="AG3140" t="n">
        <v>115</v>
      </c>
    </row>
    <row r="3141">
      <c r="A3141" t="s">
        <v>20859</v>
      </c>
      <c r="B3141" t="s">
        <v>27</v>
      </c>
      <c r="C3141" t="s">
        <v>65</v>
      </c>
      <c r="D3141" t="s">
        <v>20860</v>
      </c>
      <c r="E3141" t="s">
        <v>3461</v>
      </c>
      <c r="F3141" t="s">
        <v>3462</v>
      </c>
      <c r="G3141" t="s">
        <v>3487</v>
      </c>
      <c r="H3141" t="n">
        <v>39.0590100534503</v>
      </c>
      <c r="I3141" t="n">
        <v>-108.542978909124</v>
      </c>
      <c r="J3141" t="s">
        <v>35</v>
      </c>
      <c r="K3141" t="s">
        <v>20861</v>
      </c>
      <c r="L3141"/>
      <c r="M3141" t="n">
        <v>1973</v>
      </c>
      <c r="N3141" t="n">
        <v>1988</v>
      </c>
      <c r="O3141" t="s">
        <v>16529</v>
      </c>
      <c r="P3141" t="n">
        <v>6</v>
      </c>
      <c r="Q3141" t="n">
        <v>5</v>
      </c>
      <c r="R3141" t="n">
        <v>4</v>
      </c>
      <c r="S3141" t="n">
        <v>1957</v>
      </c>
      <c r="T3141" t="s">
        <v>20862</v>
      </c>
      <c r="U3141" t="s">
        <v>20863</v>
      </c>
      <c r="V3141" t="s">
        <v>74</v>
      </c>
      <c r="W3141"/>
      <c r="X3141" t="s">
        <v>20864</v>
      </c>
      <c r="Y3141"/>
      <c r="Z3141"/>
      <c r="AA3141" t="s">
        <v>20865</v>
      </c>
      <c r="AB3141"/>
      <c r="AC3141"/>
      <c r="AD3141" t="s">
        <v>3559</v>
      </c>
      <c r="AE3141" t="n">
        <v>114</v>
      </c>
      <c r="AF3141" t="s">
        <v>3560</v>
      </c>
      <c r="AG3141" t="n">
        <v>103</v>
      </c>
    </row>
    <row r="3142">
      <c r="A3142" t="s">
        <v>20866</v>
      </c>
      <c r="B3142" t="s">
        <v>27</v>
      </c>
      <c r="C3142" t="s">
        <v>65</v>
      </c>
      <c r="D3142" t="s">
        <v>20867</v>
      </c>
      <c r="E3142" t="s">
        <v>3461</v>
      </c>
      <c r="F3142" t="s">
        <v>3462</v>
      </c>
      <c r="G3142" t="s">
        <v>3487</v>
      </c>
      <c r="H3142" t="n">
        <v>39.0721672556744</v>
      </c>
      <c r="I3142" t="n">
        <v>-108.524399063646</v>
      </c>
      <c r="J3142" t="s">
        <v>35</v>
      </c>
      <c r="K3142" t="s">
        <v>315</v>
      </c>
      <c r="L3142"/>
      <c r="M3142" t="n">
        <v>1977</v>
      </c>
      <c r="N3142" t="n">
        <v>1980</v>
      </c>
      <c r="O3142" t="s">
        <v>1949</v>
      </c>
      <c r="P3142" t="n">
        <v>2</v>
      </c>
      <c r="Q3142" t="n">
        <v>1</v>
      </c>
      <c r="R3142" t="n">
        <v>1</v>
      </c>
      <c r="S3142" t="n">
        <v>1948</v>
      </c>
      <c r="T3142" t="s">
        <v>20868</v>
      </c>
      <c r="U3142" t="s">
        <v>20869</v>
      </c>
      <c r="V3142" t="s">
        <v>74</v>
      </c>
      <c r="W3142"/>
      <c r="X3142" t="s">
        <v>20870</v>
      </c>
      <c r="Y3142" t="s">
        <v>20871</v>
      </c>
      <c r="Z3142"/>
      <c r="AA3142"/>
      <c r="AB3142"/>
      <c r="AC3142"/>
      <c r="AD3142" t="s">
        <v>20836</v>
      </c>
      <c r="AE3142" t="n">
        <v>99</v>
      </c>
      <c r="AF3142" t="s">
        <v>20872</v>
      </c>
      <c r="AG3142" t="n">
        <v>36</v>
      </c>
    </row>
    <row r="3143">
      <c r="A3143" t="s">
        <v>20873</v>
      </c>
      <c r="B3143" t="s">
        <v>27</v>
      </c>
      <c r="C3143" t="s">
        <v>65</v>
      </c>
      <c r="D3143" t="s">
        <v>20874</v>
      </c>
      <c r="E3143" t="s">
        <v>3461</v>
      </c>
      <c r="F3143" t="s">
        <v>3462</v>
      </c>
      <c r="G3143" t="s">
        <v>3487</v>
      </c>
      <c r="H3143" t="n">
        <v>39.0584028887878</v>
      </c>
      <c r="I3143" t="n">
        <v>-108.548718454051</v>
      </c>
      <c r="J3143" t="s">
        <v>35</v>
      </c>
      <c r="K3143" t="s">
        <v>89</v>
      </c>
      <c r="L3143"/>
      <c r="M3143" t="n">
        <v>1977</v>
      </c>
      <c r="N3143" t="n">
        <v>1992</v>
      </c>
      <c r="O3143" t="s">
        <v>10943</v>
      </c>
      <c r="P3143" t="n">
        <v>5</v>
      </c>
      <c r="Q3143" t="n">
        <v>3</v>
      </c>
      <c r="R3143" t="n">
        <v>2</v>
      </c>
      <c r="S3143" t="n">
        <v>1969</v>
      </c>
      <c r="T3143" t="s">
        <v>20875</v>
      </c>
      <c r="U3143" t="s">
        <v>20876</v>
      </c>
      <c r="V3143" t="s">
        <v>74</v>
      </c>
      <c r="W3143"/>
      <c r="X3143" t="s">
        <v>20877</v>
      </c>
      <c r="Y3143"/>
      <c r="Z3143"/>
      <c r="AA3143"/>
      <c r="AB3143" t="s">
        <v>10252</v>
      </c>
      <c r="AC3143" t="n">
        <v>150</v>
      </c>
      <c r="AD3143" t="s">
        <v>20878</v>
      </c>
      <c r="AE3143" t="n">
        <v>5</v>
      </c>
      <c r="AF3143" t="s">
        <v>20879</v>
      </c>
      <c r="AG3143" t="n">
        <v>111</v>
      </c>
    </row>
    <row r="3144">
      <c r="A3144" t="s">
        <v>20880</v>
      </c>
      <c r="B3144" t="s">
        <v>27</v>
      </c>
      <c r="C3144" t="s">
        <v>24</v>
      </c>
      <c r="D3144" t="s">
        <v>20881</v>
      </c>
      <c r="E3144" t="s">
        <v>3461</v>
      </c>
      <c r="F3144" t="s">
        <v>3462</v>
      </c>
      <c r="G3144" t="s">
        <v>3480</v>
      </c>
      <c r="H3144" t="n">
        <v>39.0592752423237</v>
      </c>
      <c r="I3144" t="n">
        <v>-108.558988452125</v>
      </c>
      <c r="J3144" t="s">
        <v>4109</v>
      </c>
      <c r="K3144" t="s">
        <v>533</v>
      </c>
      <c r="L3144"/>
      <c r="M3144" t="n">
        <v>1980</v>
      </c>
      <c r="N3144" t="n">
        <v>1992</v>
      </c>
      <c r="O3144" t="s">
        <v>3614</v>
      </c>
      <c r="P3144" t="n">
        <v>4</v>
      </c>
      <c r="Q3144" t="n">
        <v>3</v>
      </c>
      <c r="R3144" t="n">
        <v>3</v>
      </c>
      <c r="S3144" t="n">
        <v>1966</v>
      </c>
      <c r="T3144" t="s">
        <v>20882</v>
      </c>
      <c r="U3144" t="s">
        <v>20883</v>
      </c>
      <c r="V3144" t="s">
        <v>74</v>
      </c>
      <c r="W3144"/>
      <c r="X3144" t="s">
        <v>20884</v>
      </c>
      <c r="Y3144"/>
      <c r="Z3144"/>
      <c r="AA3144"/>
      <c r="AB3144" t="s">
        <v>3565</v>
      </c>
      <c r="AC3144" t="n">
        <v>220</v>
      </c>
      <c r="AD3144" t="s">
        <v>3469</v>
      </c>
      <c r="AE3144" t="n">
        <v>77</v>
      </c>
      <c r="AF3144" t="s">
        <v>20885</v>
      </c>
      <c r="AG3144" t="n">
        <v>100</v>
      </c>
    </row>
    <row r="3145">
      <c r="A3145" t="s">
        <v>20886</v>
      </c>
      <c r="B3145" t="s">
        <v>27</v>
      </c>
      <c r="C3145" t="s">
        <v>65</v>
      </c>
      <c r="D3145" t="s">
        <v>20887</v>
      </c>
      <c r="E3145" t="s">
        <v>3461</v>
      </c>
      <c r="F3145" t="s">
        <v>3462</v>
      </c>
      <c r="G3145" t="s">
        <v>3487</v>
      </c>
      <c r="H3145" t="n">
        <v>39.0580915809433</v>
      </c>
      <c r="I3145" t="n">
        <v>-108.544283239611</v>
      </c>
      <c r="J3145" t="s">
        <v>35</v>
      </c>
      <c r="K3145" t="s">
        <v>5547</v>
      </c>
      <c r="L3145" t="s">
        <v>2476</v>
      </c>
      <c r="M3145" t="n">
        <v>1980</v>
      </c>
      <c r="N3145" t="n">
        <v>1992</v>
      </c>
      <c r="O3145" t="s">
        <v>2482</v>
      </c>
      <c r="P3145" t="n">
        <v>3</v>
      </c>
      <c r="Q3145" t="n">
        <v>3</v>
      </c>
      <c r="R3145" t="n">
        <v>2</v>
      </c>
      <c r="S3145" t="n">
        <v>1977</v>
      </c>
      <c r="T3145" t="s">
        <v>20888</v>
      </c>
      <c r="U3145" t="s">
        <v>20889</v>
      </c>
      <c r="V3145" t="s">
        <v>74</v>
      </c>
      <c r="W3145"/>
      <c r="X3145" t="s">
        <v>20890</v>
      </c>
      <c r="Y3145"/>
      <c r="Z3145"/>
      <c r="AA3145"/>
      <c r="AB3145"/>
      <c r="AC3145"/>
      <c r="AD3145" t="s">
        <v>3559</v>
      </c>
      <c r="AE3145" t="n">
        <v>73</v>
      </c>
      <c r="AF3145" t="s">
        <v>3560</v>
      </c>
      <c r="AG3145" t="n">
        <v>111</v>
      </c>
    </row>
    <row r="3146">
      <c r="A3146" t="s">
        <v>20891</v>
      </c>
      <c r="B3146" t="s">
        <v>27</v>
      </c>
      <c r="C3146" t="s">
        <v>24</v>
      </c>
      <c r="D3146" t="s">
        <v>20892</v>
      </c>
      <c r="E3146" t="s">
        <v>3461</v>
      </c>
      <c r="F3146" t="s">
        <v>3462</v>
      </c>
      <c r="G3146" t="s">
        <v>3487</v>
      </c>
      <c r="H3146" t="n">
        <v>39.055777</v>
      </c>
      <c r="I3146" t="n">
        <v>-108.564158</v>
      </c>
      <c r="J3146" t="s">
        <v>4109</v>
      </c>
      <c r="K3146" t="s">
        <v>70</v>
      </c>
      <c r="L3146"/>
      <c r="M3146" t="n">
        <v>1980</v>
      </c>
      <c r="N3146" t="n">
        <v>1980</v>
      </c>
      <c r="O3146" t="s">
        <v>255</v>
      </c>
      <c r="P3146" t="n">
        <v>1</v>
      </c>
      <c r="Q3146" t="n">
        <v>1</v>
      </c>
      <c r="R3146" t="n">
        <v>1</v>
      </c>
      <c r="S3146" t="n">
        <v>1975</v>
      </c>
      <c r="T3146" t="s">
        <v>20893</v>
      </c>
      <c r="U3146" t="s">
        <v>20894</v>
      </c>
      <c r="V3146" t="s">
        <v>74</v>
      </c>
      <c r="W3146"/>
      <c r="X3146" t="s">
        <v>20895</v>
      </c>
      <c r="Y3146" t="s">
        <v>20896</v>
      </c>
      <c r="Z3146"/>
      <c r="AA3146" t="s">
        <v>20897</v>
      </c>
      <c r="AB3146"/>
      <c r="AC3146"/>
      <c r="AD3146" t="s">
        <v>20898</v>
      </c>
      <c r="AE3146" t="n">
        <v>131</v>
      </c>
      <c r="AF3146" t="s">
        <v>20899</v>
      </c>
      <c r="AG3146" t="n">
        <v>90</v>
      </c>
    </row>
    <row r="3147">
      <c r="A3147" t="s">
        <v>20900</v>
      </c>
      <c r="B3147" t="s">
        <v>27</v>
      </c>
      <c r="C3147" t="s">
        <v>65</v>
      </c>
      <c r="D3147" t="s">
        <v>20901</v>
      </c>
      <c r="E3147" t="s">
        <v>3461</v>
      </c>
      <c r="F3147" t="s">
        <v>3462</v>
      </c>
      <c r="G3147" t="s">
        <v>3569</v>
      </c>
      <c r="H3147" t="n">
        <v>39.0873532178021</v>
      </c>
      <c r="I3147" t="n">
        <v>-108.603498343618</v>
      </c>
      <c r="J3147" t="s">
        <v>35</v>
      </c>
      <c r="K3147" t="s">
        <v>89</v>
      </c>
      <c r="L3147"/>
      <c r="M3147" t="n">
        <v>1988</v>
      </c>
      <c r="N3147" t="n">
        <v>1990</v>
      </c>
      <c r="O3147" t="s">
        <v>310</v>
      </c>
      <c r="P3147" t="n">
        <v>2</v>
      </c>
      <c r="Q3147" t="n">
        <v>2</v>
      </c>
      <c r="R3147" t="n">
        <v>2</v>
      </c>
      <c r="S3147" t="n">
        <v>1972</v>
      </c>
      <c r="T3147" t="s">
        <v>20902</v>
      </c>
      <c r="U3147" t="s">
        <v>20903</v>
      </c>
      <c r="V3147" t="s">
        <v>74</v>
      </c>
      <c r="W3147"/>
      <c r="X3147" t="s">
        <v>20904</v>
      </c>
      <c r="Y3147" t="s">
        <v>20905</v>
      </c>
      <c r="Z3147"/>
      <c r="AA3147" t="s">
        <v>20906</v>
      </c>
      <c r="AB3147"/>
      <c r="AC3147"/>
      <c r="AD3147" t="s">
        <v>20907</v>
      </c>
      <c r="AE3147" t="n">
        <v>57</v>
      </c>
      <c r="AF3147" t="s">
        <v>20908</v>
      </c>
      <c r="AG3147" t="n">
        <v>19</v>
      </c>
    </row>
    <row r="3148">
      <c r="A3148" t="s">
        <v>20909</v>
      </c>
      <c r="B3148" t="s">
        <v>27</v>
      </c>
      <c r="C3148" t="s">
        <v>24</v>
      </c>
      <c r="D3148" t="s">
        <v>20910</v>
      </c>
      <c r="E3148" t="s">
        <v>3461</v>
      </c>
      <c r="F3148" t="s">
        <v>3462</v>
      </c>
      <c r="G3148" t="s">
        <v>20911</v>
      </c>
      <c r="H3148" t="n">
        <v>39.117658</v>
      </c>
      <c r="I3148" t="n">
        <v>-108.534131</v>
      </c>
      <c r="J3148" t="s">
        <v>4109</v>
      </c>
      <c r="K3148" t="s">
        <v>396</v>
      </c>
      <c r="L3148"/>
      <c r="M3148" t="n">
        <v>1988</v>
      </c>
      <c r="N3148" t="n">
        <v>1990</v>
      </c>
      <c r="O3148" t="s">
        <v>310</v>
      </c>
      <c r="P3148" t="n">
        <v>2</v>
      </c>
      <c r="Q3148" t="n">
        <v>1</v>
      </c>
      <c r="R3148" t="n">
        <v>1</v>
      </c>
      <c r="S3148" t="n">
        <v>1986</v>
      </c>
      <c r="T3148" t="s">
        <v>20912</v>
      </c>
      <c r="U3148" t="s">
        <v>20913</v>
      </c>
      <c r="V3148" t="s">
        <v>74</v>
      </c>
      <c r="W3148"/>
      <c r="X3148" t="s">
        <v>20914</v>
      </c>
      <c r="Y3148" t="s">
        <v>20915</v>
      </c>
      <c r="Z3148"/>
      <c r="AA3148" t="s">
        <v>20916</v>
      </c>
      <c r="AB3148"/>
      <c r="AC3148"/>
      <c r="AD3148" t="s">
        <v>5681</v>
      </c>
      <c r="AE3148" t="n">
        <v>122</v>
      </c>
      <c r="AF3148" t="s">
        <v>20917</v>
      </c>
      <c r="AG3148" t="n">
        <v>126</v>
      </c>
    </row>
    <row r="3149">
      <c r="A3149" t="s">
        <v>20918</v>
      </c>
      <c r="B3149" t="s">
        <v>27</v>
      </c>
      <c r="C3149" t="s">
        <v>65</v>
      </c>
      <c r="D3149" t="s">
        <v>20919</v>
      </c>
      <c r="E3149" t="s">
        <v>3492</v>
      </c>
      <c r="F3149" t="s">
        <v>3462</v>
      </c>
      <c r="G3149" t="s">
        <v>3493</v>
      </c>
      <c r="H3149" t="n">
        <v>39.1690602863748</v>
      </c>
      <c r="I3149" t="n">
        <v>-108.757064510346</v>
      </c>
      <c r="J3149" t="s">
        <v>35</v>
      </c>
      <c r="K3149" t="s">
        <v>70</v>
      </c>
      <c r="L3149" t="s">
        <v>2204</v>
      </c>
      <c r="M3149" t="n">
        <v>1990</v>
      </c>
      <c r="N3149" t="n">
        <v>1992</v>
      </c>
      <c r="O3149" t="s">
        <v>357</v>
      </c>
      <c r="P3149" t="n">
        <v>2</v>
      </c>
      <c r="Q3149" t="n">
        <v>2</v>
      </c>
      <c r="R3149" t="n">
        <v>2</v>
      </c>
      <c r="S3149" t="n">
        <v>1977</v>
      </c>
      <c r="T3149" t="s">
        <v>20920</v>
      </c>
      <c r="U3149" t="s">
        <v>20921</v>
      </c>
      <c r="V3149" t="s">
        <v>74</v>
      </c>
      <c r="W3149"/>
      <c r="X3149" t="s">
        <v>20922</v>
      </c>
      <c r="Y3149" t="s">
        <v>20923</v>
      </c>
      <c r="Z3149"/>
      <c r="AA3149" t="s">
        <v>20924</v>
      </c>
      <c r="AB3149"/>
      <c r="AC3149"/>
      <c r="AD3149" t="s">
        <v>20925</v>
      </c>
      <c r="AE3149" t="n">
        <v>28</v>
      </c>
      <c r="AF3149"/>
      <c r="AG3149"/>
    </row>
    <row r="3150">
      <c r="A3150" t="s">
        <v>20926</v>
      </c>
      <c r="B3150" t="s">
        <v>27</v>
      </c>
      <c r="C3150" t="s">
        <v>24</v>
      </c>
      <c r="D3150" t="s">
        <v>20927</v>
      </c>
      <c r="E3150" t="s">
        <v>3461</v>
      </c>
      <c r="F3150" t="s">
        <v>3462</v>
      </c>
      <c r="G3150" t="s">
        <v>3487</v>
      </c>
      <c r="H3150" t="n">
        <v>39.048416</v>
      </c>
      <c r="I3150" t="n">
        <v>-108.552338</v>
      </c>
      <c r="J3150" t="s">
        <v>4109</v>
      </c>
      <c r="K3150" t="s">
        <v>133</v>
      </c>
      <c r="L3150"/>
      <c r="M3150" t="n">
        <v>1990</v>
      </c>
      <c r="N3150" t="n">
        <v>1990</v>
      </c>
      <c r="O3150" t="s">
        <v>351</v>
      </c>
      <c r="P3150" t="n">
        <v>1</v>
      </c>
      <c r="Q3150" t="n">
        <v>3</v>
      </c>
      <c r="R3150" t="n">
        <v>1</v>
      </c>
      <c r="S3150" t="n">
        <v>1957</v>
      </c>
      <c r="T3150" t="s">
        <v>20928</v>
      </c>
      <c r="U3150" t="s">
        <v>20929</v>
      </c>
      <c r="V3150" t="s">
        <v>74</v>
      </c>
      <c r="W3150"/>
      <c r="X3150" t="s">
        <v>20930</v>
      </c>
      <c r="Y3150"/>
      <c r="Z3150"/>
      <c r="AA3150" t="s">
        <v>20931</v>
      </c>
      <c r="AB3150"/>
      <c r="AC3150"/>
      <c r="AD3150" t="s">
        <v>20836</v>
      </c>
      <c r="AE3150" t="n">
        <v>143</v>
      </c>
      <c r="AF3150"/>
      <c r="AG3150"/>
    </row>
    <row r="3151">
      <c r="A3151" t="s">
        <v>20932</v>
      </c>
      <c r="B3151" t="s">
        <v>27</v>
      </c>
      <c r="C3151" t="s">
        <v>24</v>
      </c>
      <c r="D3151" t="s">
        <v>20933</v>
      </c>
      <c r="E3151" t="s">
        <v>3658</v>
      </c>
      <c r="F3151" t="s">
        <v>3659</v>
      </c>
      <c r="G3151" t="s">
        <v>3660</v>
      </c>
      <c r="H3151" t="n">
        <v>38.4993929134973</v>
      </c>
      <c r="I3151" t="n">
        <v>-107.902674123991</v>
      </c>
      <c r="J3151" t="s">
        <v>4109</v>
      </c>
      <c r="K3151" t="s">
        <v>133</v>
      </c>
      <c r="L3151"/>
      <c r="M3151" t="n">
        <v>1988</v>
      </c>
      <c r="N3151" t="n">
        <v>1990</v>
      </c>
      <c r="O3151" t="s">
        <v>310</v>
      </c>
      <c r="P3151" t="n">
        <v>2</v>
      </c>
      <c r="Q3151" t="n">
        <v>1</v>
      </c>
      <c r="R3151" t="n">
        <v>1</v>
      </c>
      <c r="S3151" t="n">
        <v>1972</v>
      </c>
      <c r="T3151" t="s">
        <v>20934</v>
      </c>
      <c r="U3151" t="s">
        <v>20935</v>
      </c>
      <c r="V3151" t="s">
        <v>74</v>
      </c>
      <c r="W3151"/>
      <c r="X3151" t="s">
        <v>20936</v>
      </c>
      <c r="Y3151" t="s">
        <v>20937</v>
      </c>
      <c r="Z3151" t="s">
        <v>20938</v>
      </c>
      <c r="AA3151" t="s">
        <v>20939</v>
      </c>
      <c r="AB3151"/>
      <c r="AC3151"/>
      <c r="AD3151" t="s">
        <v>20940</v>
      </c>
      <c r="AE3151" t="n">
        <v>81</v>
      </c>
      <c r="AF3151" t="s">
        <v>20941</v>
      </c>
      <c r="AG3151" t="n">
        <v>109</v>
      </c>
    </row>
    <row r="3152">
      <c r="A3152" t="s">
        <v>20942</v>
      </c>
      <c r="B3152" t="s">
        <v>27</v>
      </c>
      <c r="C3152" t="s">
        <v>65</v>
      </c>
      <c r="D3152" t="s">
        <v>20943</v>
      </c>
      <c r="E3152" t="s">
        <v>3722</v>
      </c>
      <c r="F3152" t="s">
        <v>3706</v>
      </c>
      <c r="G3152" t="s">
        <v>3723</v>
      </c>
      <c r="H3152" t="n">
        <v>40.2545573636364</v>
      </c>
      <c r="I3152" t="n">
        <v>-103.801484022727</v>
      </c>
      <c r="J3152" t="s">
        <v>35</v>
      </c>
      <c r="K3152" t="s">
        <v>120</v>
      </c>
      <c r="L3152"/>
      <c r="M3152" t="n">
        <v>1966</v>
      </c>
      <c r="N3152" t="n">
        <v>1992</v>
      </c>
      <c r="O3152" t="s">
        <v>2736</v>
      </c>
      <c r="P3152" t="n">
        <v>6</v>
      </c>
      <c r="Q3152" t="n">
        <v>3</v>
      </c>
      <c r="R3152" t="n">
        <v>2</v>
      </c>
      <c r="S3152" t="n">
        <v>1916</v>
      </c>
      <c r="T3152" t="s">
        <v>20944</v>
      </c>
      <c r="U3152" t="s">
        <v>20945</v>
      </c>
      <c r="V3152" t="s">
        <v>74</v>
      </c>
      <c r="W3152"/>
      <c r="X3152" t="s">
        <v>20946</v>
      </c>
      <c r="Y3152" t="s">
        <v>20947</v>
      </c>
      <c r="Z3152"/>
      <c r="AA3152" t="s">
        <v>20948</v>
      </c>
      <c r="AB3152" t="s">
        <v>20949</v>
      </c>
      <c r="AC3152" t="n">
        <v>161</v>
      </c>
      <c r="AD3152" t="s">
        <v>20950</v>
      </c>
      <c r="AE3152" t="n">
        <v>61</v>
      </c>
      <c r="AF3152" t="s">
        <v>20951</v>
      </c>
      <c r="AG3152" t="n">
        <v>33</v>
      </c>
    </row>
    <row r="3153">
      <c r="A3153" t="s">
        <v>20952</v>
      </c>
      <c r="B3153" t="s">
        <v>27</v>
      </c>
      <c r="C3153" t="s">
        <v>65</v>
      </c>
      <c r="D3153" t="s">
        <v>20953</v>
      </c>
      <c r="E3153" t="s">
        <v>2729</v>
      </c>
      <c r="F3153" t="s">
        <v>3781</v>
      </c>
      <c r="G3153"/>
      <c r="H3153" t="n">
        <v>39.79502</v>
      </c>
      <c r="I3153" t="n">
        <v>-105.068527</v>
      </c>
      <c r="J3153" t="s">
        <v>35</v>
      </c>
      <c r="K3153" t="s">
        <v>201</v>
      </c>
      <c r="L3153"/>
      <c r="M3153" t="n">
        <v>1965</v>
      </c>
      <c r="N3153" t="n">
        <v>1990</v>
      </c>
      <c r="O3153" t="s">
        <v>20954</v>
      </c>
      <c r="P3153" t="n">
        <v>8</v>
      </c>
      <c r="Q3153" t="n">
        <v>3</v>
      </c>
      <c r="R3153" t="n">
        <v>3</v>
      </c>
      <c r="S3153" t="n">
        <v>1947</v>
      </c>
      <c r="T3153" t="s">
        <v>20955</v>
      </c>
      <c r="U3153" t="s">
        <v>20956</v>
      </c>
      <c r="V3153" t="s">
        <v>74</v>
      </c>
      <c r="W3153"/>
      <c r="X3153" t="s">
        <v>20957</v>
      </c>
      <c r="Y3153"/>
      <c r="Z3153"/>
      <c r="AA3153" t="s">
        <v>20958</v>
      </c>
      <c r="AB3153"/>
      <c r="AC3153"/>
      <c r="AD3153" t="s">
        <v>17320</v>
      </c>
      <c r="AE3153" t="n">
        <v>6</v>
      </c>
      <c r="AF3153" t="s">
        <v>17321</v>
      </c>
      <c r="AG3153" t="n">
        <v>186</v>
      </c>
    </row>
    <row r="3154">
      <c r="A3154" t="s">
        <v>20959</v>
      </c>
      <c r="B3154" t="s">
        <v>27</v>
      </c>
      <c r="C3154" t="s">
        <v>65</v>
      </c>
      <c r="D3154" t="s">
        <v>20960</v>
      </c>
      <c r="E3154" t="s">
        <v>3789</v>
      </c>
      <c r="F3154" t="s">
        <v>3790</v>
      </c>
      <c r="G3154" t="s">
        <v>3797</v>
      </c>
      <c r="H3154" t="n">
        <v>38.0967049230343</v>
      </c>
      <c r="I3154" t="n">
        <v>-102.609894681896</v>
      </c>
      <c r="J3154" t="s">
        <v>35</v>
      </c>
      <c r="K3154" t="s">
        <v>120</v>
      </c>
      <c r="L3154"/>
      <c r="M3154" t="n">
        <v>1988</v>
      </c>
      <c r="N3154" t="n">
        <v>1988</v>
      </c>
      <c r="O3154" t="s">
        <v>325</v>
      </c>
      <c r="P3154" t="n">
        <v>1</v>
      </c>
      <c r="Q3154" t="n">
        <v>1</v>
      </c>
      <c r="R3154" t="n">
        <v>1</v>
      </c>
      <c r="S3154" t="n">
        <v>1981</v>
      </c>
      <c r="T3154" t="s">
        <v>20961</v>
      </c>
      <c r="U3154" t="s">
        <v>20962</v>
      </c>
      <c r="V3154" t="s">
        <v>74</v>
      </c>
      <c r="W3154"/>
      <c r="X3154" t="s">
        <v>20963</v>
      </c>
      <c r="Y3154" t="s">
        <v>20964</v>
      </c>
      <c r="Z3154"/>
      <c r="AA3154"/>
      <c r="AB3154"/>
      <c r="AC3154"/>
      <c r="AD3154" t="s">
        <v>20965</v>
      </c>
      <c r="AE3154" t="n">
        <v>98</v>
      </c>
      <c r="AF3154" t="s">
        <v>20966</v>
      </c>
      <c r="AG3154" t="n">
        <v>54</v>
      </c>
    </row>
    <row r="3155">
      <c r="A3155" t="s">
        <v>20967</v>
      </c>
      <c r="B3155" t="s">
        <v>27</v>
      </c>
      <c r="C3155" t="s">
        <v>24</v>
      </c>
      <c r="D3155" t="s">
        <v>20968</v>
      </c>
      <c r="E3155" t="s">
        <v>3803</v>
      </c>
      <c r="F3155" t="s">
        <v>3804</v>
      </c>
      <c r="G3155" t="s">
        <v>3805</v>
      </c>
      <c r="H3155" t="n">
        <v>38.293838</v>
      </c>
      <c r="I3155" t="n">
        <v>-104.608631</v>
      </c>
      <c r="J3155" t="s">
        <v>4109</v>
      </c>
      <c r="K3155" t="s">
        <v>70</v>
      </c>
      <c r="L3155"/>
      <c r="M3155" t="n">
        <v>1967</v>
      </c>
      <c r="N3155" t="n">
        <v>1992</v>
      </c>
      <c r="O3155" t="s">
        <v>357</v>
      </c>
      <c r="P3155" t="n">
        <v>9</v>
      </c>
      <c r="Q3155" t="n">
        <v>2</v>
      </c>
      <c r="R3155" t="n">
        <v>1</v>
      </c>
      <c r="S3155" t="n">
        <v>1893</v>
      </c>
      <c r="T3155" t="s">
        <v>20969</v>
      </c>
      <c r="U3155" t="s">
        <v>20970</v>
      </c>
      <c r="V3155" t="s">
        <v>74</v>
      </c>
      <c r="W3155"/>
      <c r="X3155" t="s">
        <v>20971</v>
      </c>
      <c r="Y3155" t="s">
        <v>20972</v>
      </c>
      <c r="Z3155"/>
      <c r="AA3155" t="s">
        <v>20973</v>
      </c>
      <c r="AB3155"/>
      <c r="AC3155"/>
      <c r="AD3155" t="s">
        <v>20974</v>
      </c>
      <c r="AE3155" t="n">
        <v>100</v>
      </c>
      <c r="AF3155" t="s">
        <v>20975</v>
      </c>
      <c r="AG3155" t="n">
        <v>12</v>
      </c>
    </row>
    <row r="3156">
      <c r="A3156" t="s">
        <v>20976</v>
      </c>
      <c r="B3156" t="s">
        <v>27</v>
      </c>
      <c r="C3156" t="s">
        <v>65</v>
      </c>
      <c r="D3156" t="s">
        <v>20977</v>
      </c>
      <c r="E3156" t="s">
        <v>3803</v>
      </c>
      <c r="F3156" t="s">
        <v>3804</v>
      </c>
      <c r="G3156" t="s">
        <v>3836</v>
      </c>
      <c r="H3156" t="n">
        <v>38.22931</v>
      </c>
      <c r="I3156" t="n">
        <v>-104.614828795918</v>
      </c>
      <c r="J3156" t="s">
        <v>35</v>
      </c>
      <c r="K3156" t="s">
        <v>70</v>
      </c>
      <c r="L3156"/>
      <c r="M3156" t="n">
        <v>1980</v>
      </c>
      <c r="N3156" t="n">
        <v>1980</v>
      </c>
      <c r="O3156" t="s">
        <v>255</v>
      </c>
      <c r="P3156" t="n">
        <v>1</v>
      </c>
      <c r="Q3156" t="n">
        <v>1</v>
      </c>
      <c r="R3156" t="n">
        <v>1</v>
      </c>
      <c r="S3156"/>
      <c r="T3156" t="s">
        <v>20978</v>
      </c>
      <c r="U3156" t="s">
        <v>20979</v>
      </c>
      <c r="V3156" t="s">
        <v>74</v>
      </c>
      <c r="W3156"/>
      <c r="X3156" t="s">
        <v>20980</v>
      </c>
      <c r="Y3156"/>
      <c r="Z3156"/>
      <c r="AA3156"/>
      <c r="AB3156"/>
      <c r="AC3156"/>
      <c r="AD3156" t="s">
        <v>20981</v>
      </c>
      <c r="AE3156" t="n">
        <v>86</v>
      </c>
      <c r="AF3156" t="s">
        <v>20982</v>
      </c>
      <c r="AG3156" t="n">
        <v>86</v>
      </c>
    </row>
    <row r="3157">
      <c r="A3157" t="s">
        <v>20983</v>
      </c>
      <c r="B3157" t="s">
        <v>27</v>
      </c>
      <c r="C3157" t="s">
        <v>65</v>
      </c>
      <c r="D3157" t="s">
        <v>20984</v>
      </c>
      <c r="E3157" t="s">
        <v>3803</v>
      </c>
      <c r="F3157" t="s">
        <v>3804</v>
      </c>
      <c r="G3157" t="s">
        <v>3887</v>
      </c>
      <c r="H3157" t="n">
        <v>38.282012204947</v>
      </c>
      <c r="I3157" t="n">
        <v>-104.499591498233</v>
      </c>
      <c r="J3157" t="s">
        <v>35</v>
      </c>
      <c r="K3157" t="s">
        <v>1041</v>
      </c>
      <c r="L3157"/>
      <c r="M3157" t="n">
        <v>1980</v>
      </c>
      <c r="N3157" t="n">
        <v>1990</v>
      </c>
      <c r="O3157" t="s">
        <v>540</v>
      </c>
      <c r="P3157" t="n">
        <v>4</v>
      </c>
      <c r="Q3157" t="n">
        <v>2</v>
      </c>
      <c r="R3157" t="n">
        <v>2</v>
      </c>
      <c r="S3157" t="n">
        <v>1973</v>
      </c>
      <c r="T3157" t="s">
        <v>20985</v>
      </c>
      <c r="U3157" t="s">
        <v>20986</v>
      </c>
      <c r="V3157" t="s">
        <v>74</v>
      </c>
      <c r="W3157"/>
      <c r="X3157" t="s">
        <v>20987</v>
      </c>
      <c r="Y3157" t="s">
        <v>20988</v>
      </c>
      <c r="Z3157"/>
      <c r="AA3157" t="s">
        <v>20989</v>
      </c>
      <c r="AB3157" t="s">
        <v>20990</v>
      </c>
      <c r="AC3157" t="n">
        <v>221</v>
      </c>
      <c r="AD3157" t="s">
        <v>20991</v>
      </c>
      <c r="AE3157" t="n">
        <v>85</v>
      </c>
      <c r="AF3157" t="s">
        <v>20992</v>
      </c>
      <c r="AG3157" t="n">
        <v>85</v>
      </c>
    </row>
    <row r="3158">
      <c r="A3158" t="s">
        <v>20993</v>
      </c>
      <c r="B3158" t="s">
        <v>27</v>
      </c>
      <c r="C3158" t="s">
        <v>65</v>
      </c>
      <c r="D3158" t="s">
        <v>20994</v>
      </c>
      <c r="E3158" t="s">
        <v>3803</v>
      </c>
      <c r="F3158" t="s">
        <v>3804</v>
      </c>
      <c r="G3158" t="s">
        <v>3841</v>
      </c>
      <c r="H3158" t="n">
        <v>38.279548</v>
      </c>
      <c r="I3158" t="n">
        <v>-104.508121</v>
      </c>
      <c r="J3158" t="s">
        <v>35</v>
      </c>
      <c r="K3158" t="s">
        <v>120</v>
      </c>
      <c r="L3158"/>
      <c r="M3158" t="n">
        <v>1990</v>
      </c>
      <c r="N3158" t="n">
        <v>1990</v>
      </c>
      <c r="O3158" t="s">
        <v>351</v>
      </c>
      <c r="P3158" t="n">
        <v>1</v>
      </c>
      <c r="Q3158" t="n">
        <v>1</v>
      </c>
      <c r="R3158" t="n">
        <v>1</v>
      </c>
      <c r="S3158" t="n">
        <v>1984</v>
      </c>
      <c r="T3158" t="s">
        <v>20995</v>
      </c>
      <c r="U3158" t="s">
        <v>20996</v>
      </c>
      <c r="V3158" t="s">
        <v>74</v>
      </c>
      <c r="W3158"/>
      <c r="X3158" t="s">
        <v>20997</v>
      </c>
      <c r="Y3158"/>
      <c r="Z3158"/>
      <c r="AA3158" t="s">
        <v>20998</v>
      </c>
      <c r="AB3158"/>
      <c r="AC3158"/>
      <c r="AD3158" t="s">
        <v>20999</v>
      </c>
      <c r="AE3158" t="n">
        <v>99</v>
      </c>
      <c r="AF3158"/>
      <c r="AG3158"/>
    </row>
    <row r="3159">
      <c r="A3159" t="s">
        <v>21000</v>
      </c>
      <c r="B3159" t="s">
        <v>27</v>
      </c>
      <c r="C3159" t="s">
        <v>24</v>
      </c>
      <c r="D3159" t="s">
        <v>21001</v>
      </c>
      <c r="E3159" t="s">
        <v>10536</v>
      </c>
      <c r="F3159" t="s">
        <v>10537</v>
      </c>
      <c r="G3159" t="s">
        <v>10538</v>
      </c>
      <c r="H3159" t="n">
        <v>37.585366683327</v>
      </c>
      <c r="I3159" t="n">
        <v>-106.149462771937</v>
      </c>
      <c r="J3159" t="s">
        <v>4109</v>
      </c>
      <c r="K3159" t="s">
        <v>120</v>
      </c>
      <c r="L3159"/>
      <c r="M3159" t="n">
        <v>1977</v>
      </c>
      <c r="N3159" t="n">
        <v>1977</v>
      </c>
      <c r="O3159" t="s">
        <v>228</v>
      </c>
      <c r="P3159" t="n">
        <v>1</v>
      </c>
      <c r="Q3159" t="n">
        <v>1</v>
      </c>
      <c r="R3159" t="n">
        <v>1</v>
      </c>
      <c r="S3159" t="n">
        <v>1909</v>
      </c>
      <c r="T3159" t="s">
        <v>21002</v>
      </c>
      <c r="U3159" t="s">
        <v>21003</v>
      </c>
      <c r="V3159" t="s">
        <v>74</v>
      </c>
      <c r="W3159"/>
      <c r="X3159" t="s">
        <v>21004</v>
      </c>
      <c r="Y3159"/>
      <c r="Z3159"/>
      <c r="AA3159" t="s">
        <v>21005</v>
      </c>
      <c r="AB3159"/>
      <c r="AC3159"/>
      <c r="AD3159" t="s">
        <v>10555</v>
      </c>
      <c r="AE3159" t="n">
        <v>202</v>
      </c>
      <c r="AF3159"/>
      <c r="AG3159"/>
    </row>
    <row r="3160">
      <c r="A3160" t="s">
        <v>21006</v>
      </c>
      <c r="B3160" t="s">
        <v>27</v>
      </c>
      <c r="C3160" t="s">
        <v>24</v>
      </c>
      <c r="D3160" t="s">
        <v>21007</v>
      </c>
      <c r="E3160" t="s">
        <v>3967</v>
      </c>
      <c r="F3160" t="s">
        <v>3950</v>
      </c>
      <c r="G3160"/>
      <c r="H3160" t="n">
        <v>40.3952072623907</v>
      </c>
      <c r="I3160" t="n">
        <v>-104.691137965015</v>
      </c>
      <c r="J3160" t="s">
        <v>4109</v>
      </c>
      <c r="K3160" t="s">
        <v>120</v>
      </c>
      <c r="L3160"/>
      <c r="M3160" t="n">
        <v>1965</v>
      </c>
      <c r="N3160" t="n">
        <v>1990</v>
      </c>
      <c r="O3160" t="s">
        <v>310</v>
      </c>
      <c r="P3160" t="n">
        <v>5</v>
      </c>
      <c r="Q3160" t="n">
        <v>4</v>
      </c>
      <c r="R3160" t="n">
        <v>2</v>
      </c>
      <c r="S3160" t="n">
        <v>1946</v>
      </c>
      <c r="T3160" t="s">
        <v>21008</v>
      </c>
      <c r="U3160" t="s">
        <v>21009</v>
      </c>
      <c r="V3160" t="s">
        <v>74</v>
      </c>
      <c r="W3160"/>
      <c r="X3160" t="s">
        <v>21010</v>
      </c>
      <c r="Y3160"/>
      <c r="Z3160"/>
      <c r="AA3160" t="s">
        <v>21011</v>
      </c>
      <c r="AB3160"/>
      <c r="AC3160"/>
      <c r="AD3160" t="s">
        <v>4035</v>
      </c>
      <c r="AE3160" t="n">
        <v>25</v>
      </c>
      <c r="AF3160" t="s">
        <v>21012</v>
      </c>
      <c r="AG3160" t="n">
        <v>73</v>
      </c>
    </row>
    <row r="3161">
      <c r="A3161" t="s">
        <v>21013</v>
      </c>
      <c r="B3161" t="s">
        <v>27</v>
      </c>
      <c r="C3161" t="s">
        <v>65</v>
      </c>
      <c r="D3161" t="s">
        <v>21014</v>
      </c>
      <c r="E3161" t="s">
        <v>3967</v>
      </c>
      <c r="F3161" t="s">
        <v>3950</v>
      </c>
      <c r="G3161"/>
      <c r="H3161" t="n">
        <v>40.3972483372043</v>
      </c>
      <c r="I3161" t="n">
        <v>-104.68469418509</v>
      </c>
      <c r="J3161" t="s">
        <v>35</v>
      </c>
      <c r="K3161" t="s">
        <v>120</v>
      </c>
      <c r="L3161"/>
      <c r="M3161" t="n">
        <v>1965</v>
      </c>
      <c r="N3161" t="n">
        <v>1980</v>
      </c>
      <c r="O3161" t="s">
        <v>1275</v>
      </c>
      <c r="P3161" t="n">
        <v>5</v>
      </c>
      <c r="Q3161" t="n">
        <v>2</v>
      </c>
      <c r="R3161" t="n">
        <v>1</v>
      </c>
      <c r="S3161" t="n">
        <v>1947</v>
      </c>
      <c r="T3161" t="s">
        <v>21015</v>
      </c>
      <c r="U3161" t="s">
        <v>21016</v>
      </c>
      <c r="V3161" t="s">
        <v>74</v>
      </c>
      <c r="W3161"/>
      <c r="X3161" t="s">
        <v>21017</v>
      </c>
      <c r="Y3161"/>
      <c r="Z3161"/>
      <c r="AA3161" t="s">
        <v>21018</v>
      </c>
      <c r="AB3161"/>
      <c r="AC3161"/>
      <c r="AD3161" t="s">
        <v>10776</v>
      </c>
      <c r="AE3161" t="n">
        <v>40</v>
      </c>
      <c r="AF3161" t="s">
        <v>3184</v>
      </c>
      <c r="AG3161" t="n">
        <v>157</v>
      </c>
    </row>
    <row r="3162">
      <c r="A3162" t="s">
        <v>21019</v>
      </c>
      <c r="B3162" t="s">
        <v>27</v>
      </c>
      <c r="C3162" t="s">
        <v>24</v>
      </c>
      <c r="D3162" t="s">
        <v>21020</v>
      </c>
      <c r="E3162" t="s">
        <v>3967</v>
      </c>
      <c r="F3162" t="s">
        <v>3950</v>
      </c>
      <c r="G3162" t="s">
        <v>3976</v>
      </c>
      <c r="H3162" t="n">
        <v>40.3989199081588</v>
      </c>
      <c r="I3162" t="n">
        <v>-104.684341354624</v>
      </c>
      <c r="J3162" t="s">
        <v>4109</v>
      </c>
      <c r="K3162" t="s">
        <v>120</v>
      </c>
      <c r="L3162"/>
      <c r="M3162" t="n">
        <v>1966</v>
      </c>
      <c r="N3162" t="n">
        <v>1992</v>
      </c>
      <c r="O3162" t="s">
        <v>210</v>
      </c>
      <c r="P3162" t="n">
        <v>6</v>
      </c>
      <c r="Q3162" t="n">
        <v>4</v>
      </c>
      <c r="R3162" t="n">
        <v>1</v>
      </c>
      <c r="S3162" t="n">
        <v>1961</v>
      </c>
      <c r="T3162" t="s">
        <v>21021</v>
      </c>
      <c r="U3162" t="s">
        <v>21022</v>
      </c>
      <c r="V3162" t="s">
        <v>74</v>
      </c>
      <c r="W3162"/>
      <c r="X3162" t="s">
        <v>21023</v>
      </c>
      <c r="Y3162"/>
      <c r="Z3162"/>
      <c r="AA3162" t="s">
        <v>21024</v>
      </c>
      <c r="AB3162"/>
      <c r="AC3162"/>
      <c r="AD3162" t="s">
        <v>21025</v>
      </c>
      <c r="AE3162" t="n">
        <v>79</v>
      </c>
      <c r="AF3162" t="s">
        <v>21026</v>
      </c>
      <c r="AG3162" t="n">
        <v>47</v>
      </c>
    </row>
    <row r="3163">
      <c r="A3163" t="s">
        <v>21027</v>
      </c>
      <c r="B3163" t="s">
        <v>27</v>
      </c>
      <c r="C3163" t="s">
        <v>24</v>
      </c>
      <c r="D3163" t="s">
        <v>21028</v>
      </c>
      <c r="E3163" t="s">
        <v>3967</v>
      </c>
      <c r="F3163" t="s">
        <v>3950</v>
      </c>
      <c r="G3163" t="s">
        <v>3976</v>
      </c>
      <c r="H3163" t="n">
        <v>40.428531</v>
      </c>
      <c r="I3163" t="n">
        <v>-104.683554</v>
      </c>
      <c r="J3163" t="s">
        <v>4109</v>
      </c>
      <c r="K3163" t="s">
        <v>70</v>
      </c>
      <c r="L3163"/>
      <c r="M3163" t="n">
        <v>1974</v>
      </c>
      <c r="N3163" t="n">
        <v>1980</v>
      </c>
      <c r="O3163" t="s">
        <v>255</v>
      </c>
      <c r="P3163" t="n">
        <v>2</v>
      </c>
      <c r="Q3163" t="n">
        <v>2</v>
      </c>
      <c r="R3163" t="n">
        <v>1</v>
      </c>
      <c r="S3163" t="n">
        <v>1974</v>
      </c>
      <c r="T3163" t="s">
        <v>21029</v>
      </c>
      <c r="U3163" t="s">
        <v>21030</v>
      </c>
      <c r="V3163" t="s">
        <v>74</v>
      </c>
      <c r="W3163"/>
      <c r="X3163" t="s">
        <v>21031</v>
      </c>
      <c r="Y3163" t="s">
        <v>21032</v>
      </c>
      <c r="Z3163"/>
      <c r="AA3163" t="s">
        <v>21033</v>
      </c>
      <c r="AB3163"/>
      <c r="AC3163"/>
      <c r="AD3163" t="s">
        <v>18546</v>
      </c>
      <c r="AE3163" t="n">
        <v>144</v>
      </c>
      <c r="AF3163" t="s">
        <v>18547</v>
      </c>
      <c r="AG3163" t="n">
        <v>224</v>
      </c>
    </row>
    <row r="3164">
      <c r="A3164" t="s">
        <v>21034</v>
      </c>
      <c r="B3164" t="s">
        <v>27</v>
      </c>
      <c r="C3164" t="s">
        <v>24</v>
      </c>
      <c r="D3164" t="s">
        <v>21035</v>
      </c>
      <c r="E3164" t="s">
        <v>3967</v>
      </c>
      <c r="F3164" t="s">
        <v>3950</v>
      </c>
      <c r="G3164" t="s">
        <v>3976</v>
      </c>
      <c r="H3164" t="n">
        <v>40.3985656534584</v>
      </c>
      <c r="I3164" t="n">
        <v>-104.685785429579</v>
      </c>
      <c r="J3164" t="s">
        <v>4109</v>
      </c>
      <c r="K3164" t="s">
        <v>315</v>
      </c>
      <c r="L3164"/>
      <c r="M3164" t="n">
        <v>1977</v>
      </c>
      <c r="N3164" t="n">
        <v>1980</v>
      </c>
      <c r="O3164" t="s">
        <v>1949</v>
      </c>
      <c r="P3164" t="n">
        <v>2</v>
      </c>
      <c r="Q3164" t="n">
        <v>1</v>
      </c>
      <c r="R3164" t="n">
        <v>1</v>
      </c>
      <c r="S3164" t="n">
        <v>1974</v>
      </c>
      <c r="T3164" t="s">
        <v>21036</v>
      </c>
      <c r="U3164" t="s">
        <v>21037</v>
      </c>
      <c r="V3164" t="s">
        <v>74</v>
      </c>
      <c r="W3164"/>
      <c r="X3164" t="s">
        <v>21038</v>
      </c>
      <c r="Y3164" t="s">
        <v>21039</v>
      </c>
      <c r="Z3164"/>
      <c r="AA3164" t="s">
        <v>21040</v>
      </c>
      <c r="AB3164"/>
      <c r="AC3164"/>
      <c r="AD3164" t="s">
        <v>21041</v>
      </c>
      <c r="AE3164" t="n">
        <v>152</v>
      </c>
      <c r="AF3164" t="s">
        <v>21026</v>
      </c>
      <c r="AG3164" t="n">
        <v>149</v>
      </c>
    </row>
    <row r="3165">
      <c r="A3165" t="s">
        <v>21042</v>
      </c>
      <c r="B3165" t="s">
        <v>27</v>
      </c>
      <c r="C3165" t="s">
        <v>65</v>
      </c>
      <c r="D3165" t="s">
        <v>21043</v>
      </c>
      <c r="E3165" t="s">
        <v>3958</v>
      </c>
      <c r="F3165" t="s">
        <v>3950</v>
      </c>
      <c r="G3165" t="s">
        <v>3959</v>
      </c>
      <c r="H3165" t="n">
        <v>40.5281871762073</v>
      </c>
      <c r="I3165" t="n">
        <v>-104.709671942426</v>
      </c>
      <c r="J3165" t="s">
        <v>35</v>
      </c>
      <c r="K3165" t="s">
        <v>89</v>
      </c>
      <c r="L3165"/>
      <c r="M3165" t="n">
        <v>1980</v>
      </c>
      <c r="N3165" t="n">
        <v>1990</v>
      </c>
      <c r="O3165" t="s">
        <v>351</v>
      </c>
      <c r="P3165" t="n">
        <v>2</v>
      </c>
      <c r="Q3165" t="n">
        <v>1</v>
      </c>
      <c r="R3165" t="n">
        <v>1</v>
      </c>
      <c r="S3165" t="n">
        <v>1905</v>
      </c>
      <c r="T3165" t="s">
        <v>21044</v>
      </c>
      <c r="U3165" t="s">
        <v>21045</v>
      </c>
      <c r="V3165" t="s">
        <v>74</v>
      </c>
      <c r="W3165"/>
      <c r="X3165" t="s">
        <v>21046</v>
      </c>
      <c r="Y3165" t="s">
        <v>21047</v>
      </c>
      <c r="Z3165"/>
      <c r="AA3165"/>
      <c r="AB3165"/>
      <c r="AC3165"/>
      <c r="AD3165" t="s">
        <v>21048</v>
      </c>
      <c r="AE3165" t="n">
        <v>116</v>
      </c>
      <c r="AF3165" t="s">
        <v>21049</v>
      </c>
      <c r="AG3165" t="n">
        <v>96</v>
      </c>
    </row>
    <row r="3166">
      <c r="A3166" t="s">
        <v>21050</v>
      </c>
      <c r="B3166" t="s">
        <v>27</v>
      </c>
      <c r="C3166" t="s">
        <v>65</v>
      </c>
      <c r="D3166" t="s">
        <v>21051</v>
      </c>
      <c r="E3166" t="s">
        <v>3967</v>
      </c>
      <c r="F3166" t="s">
        <v>3950</v>
      </c>
      <c r="G3166" t="s">
        <v>3976</v>
      </c>
      <c r="H3166" t="n">
        <v>40.4251430840654</v>
      </c>
      <c r="I3166" t="n">
        <v>-104.674569298844</v>
      </c>
      <c r="J3166" t="s">
        <v>35</v>
      </c>
      <c r="K3166" t="s">
        <v>70</v>
      </c>
      <c r="L3166"/>
      <c r="M3166" t="n">
        <v>1980</v>
      </c>
      <c r="N3166" t="n">
        <v>1990</v>
      </c>
      <c r="O3166" t="s">
        <v>1668</v>
      </c>
      <c r="P3166" t="n">
        <v>4</v>
      </c>
      <c r="Q3166" t="n">
        <v>2</v>
      </c>
      <c r="R3166" t="n">
        <v>2</v>
      </c>
      <c r="S3166" t="n">
        <v>1972</v>
      </c>
      <c r="T3166" t="s">
        <v>21052</v>
      </c>
      <c r="U3166" t="s">
        <v>21053</v>
      </c>
      <c r="V3166" t="s">
        <v>74</v>
      </c>
      <c r="W3166"/>
      <c r="X3166" t="s">
        <v>21054</v>
      </c>
      <c r="Y3166" t="s">
        <v>21055</v>
      </c>
      <c r="Z3166"/>
      <c r="AA3166"/>
      <c r="AB3166"/>
      <c r="AC3166"/>
      <c r="AD3166" t="s">
        <v>21056</v>
      </c>
      <c r="AE3166" t="n">
        <v>28</v>
      </c>
      <c r="AF3166" t="s">
        <v>21057</v>
      </c>
      <c r="AG3166" t="n">
        <v>139</v>
      </c>
    </row>
    <row r="3167">
      <c r="A3167" t="s">
        <v>21058</v>
      </c>
      <c r="B3167" t="s">
        <v>27</v>
      </c>
      <c r="C3167" t="s">
        <v>24</v>
      </c>
      <c r="D3167" t="s">
        <v>21059</v>
      </c>
      <c r="E3167" t="s">
        <v>3967</v>
      </c>
      <c r="F3167" t="s">
        <v>3950</v>
      </c>
      <c r="G3167" t="s">
        <v>3976</v>
      </c>
      <c r="H3167" t="n">
        <v>40.4291494752791</v>
      </c>
      <c r="I3167" t="n">
        <v>-104.685342197687</v>
      </c>
      <c r="J3167" t="s">
        <v>4109</v>
      </c>
      <c r="K3167" t="s">
        <v>141</v>
      </c>
      <c r="L3167"/>
      <c r="M3167" t="n">
        <v>1980</v>
      </c>
      <c r="N3167" t="n">
        <v>1990</v>
      </c>
      <c r="O3167" t="s">
        <v>582</v>
      </c>
      <c r="P3167" t="n">
        <v>3</v>
      </c>
      <c r="Q3167" t="n">
        <v>1</v>
      </c>
      <c r="R3167" t="n">
        <v>1</v>
      </c>
      <c r="S3167" t="n">
        <v>1973</v>
      </c>
      <c r="T3167" t="s">
        <v>21060</v>
      </c>
      <c r="U3167" t="s">
        <v>21061</v>
      </c>
      <c r="V3167" t="s">
        <v>74</v>
      </c>
      <c r="W3167"/>
      <c r="X3167" t="s">
        <v>21062</v>
      </c>
      <c r="Y3167"/>
      <c r="Z3167"/>
      <c r="AA3167"/>
      <c r="AB3167"/>
      <c r="AC3167"/>
      <c r="AD3167" t="s">
        <v>18546</v>
      </c>
      <c r="AE3167" t="n">
        <v>8</v>
      </c>
      <c r="AF3167" t="s">
        <v>21063</v>
      </c>
      <c r="AG3167" t="n">
        <v>154</v>
      </c>
    </row>
    <row r="3168">
      <c r="A3168" t="s">
        <v>21064</v>
      </c>
      <c r="B3168" t="s">
        <v>27</v>
      </c>
      <c r="C3168" t="s">
        <v>24</v>
      </c>
      <c r="D3168" t="s">
        <v>21065</v>
      </c>
      <c r="E3168" t="s">
        <v>3967</v>
      </c>
      <c r="F3168" t="s">
        <v>3950</v>
      </c>
      <c r="G3168" t="s">
        <v>4082</v>
      </c>
      <c r="H3168" t="n">
        <v>40.4253204059419</v>
      </c>
      <c r="I3168" t="n">
        <v>-104.793951357857</v>
      </c>
      <c r="J3168" t="s">
        <v>4109</v>
      </c>
      <c r="K3168" t="s">
        <v>120</v>
      </c>
      <c r="L3168" t="s">
        <v>1002</v>
      </c>
      <c r="M3168" t="n">
        <v>1983</v>
      </c>
      <c r="N3168" t="n">
        <v>1990</v>
      </c>
      <c r="O3168" t="s">
        <v>271</v>
      </c>
      <c r="P3168" t="n">
        <v>3</v>
      </c>
      <c r="Q3168" t="n">
        <v>2</v>
      </c>
      <c r="R3168" t="n">
        <v>2</v>
      </c>
      <c r="S3168" t="n">
        <v>1980</v>
      </c>
      <c r="T3168" t="s">
        <v>21066</v>
      </c>
      <c r="U3168" t="s">
        <v>21067</v>
      </c>
      <c r="V3168" t="s">
        <v>74</v>
      </c>
      <c r="W3168"/>
      <c r="X3168" t="s">
        <v>21068</v>
      </c>
      <c r="Y3168"/>
      <c r="Z3168"/>
      <c r="AA3168"/>
      <c r="AB3168"/>
      <c r="AC3168"/>
      <c r="AD3168" t="s">
        <v>21069</v>
      </c>
      <c r="AE3168" t="n">
        <v>5</v>
      </c>
      <c r="AF3168"/>
      <c r="AG3168"/>
    </row>
    <row r="3169">
      <c r="A3169" t="s">
        <v>21070</v>
      </c>
      <c r="B3169" t="s">
        <v>27</v>
      </c>
      <c r="C3169" t="s">
        <v>24</v>
      </c>
      <c r="D3169" t="s">
        <v>21071</v>
      </c>
      <c r="E3169" t="s">
        <v>4012</v>
      </c>
      <c r="F3169" t="s">
        <v>3950</v>
      </c>
      <c r="G3169" t="s">
        <v>4013</v>
      </c>
      <c r="H3169" t="n">
        <v>40.0946302461547</v>
      </c>
      <c r="I3169" t="n">
        <v>-104.802740800441</v>
      </c>
      <c r="J3169" t="s">
        <v>4109</v>
      </c>
      <c r="K3169" t="s">
        <v>70</v>
      </c>
      <c r="L3169"/>
      <c r="M3169" t="n">
        <v>1990</v>
      </c>
      <c r="N3169" t="n">
        <v>1990</v>
      </c>
      <c r="O3169" t="s">
        <v>351</v>
      </c>
      <c r="P3169" t="n">
        <v>1</v>
      </c>
      <c r="Q3169" t="n">
        <v>1</v>
      </c>
      <c r="R3169" t="n">
        <v>1</v>
      </c>
      <c r="S3169" t="n">
        <v>1984</v>
      </c>
      <c r="T3169" t="s">
        <v>21072</v>
      </c>
      <c r="U3169" t="s">
        <v>21073</v>
      </c>
      <c r="V3169" t="s">
        <v>74</v>
      </c>
      <c r="W3169"/>
      <c r="X3169" t="s">
        <v>21074</v>
      </c>
      <c r="Y3169" t="s">
        <v>21075</v>
      </c>
      <c r="Z3169"/>
      <c r="AA3169"/>
      <c r="AB3169"/>
      <c r="AC3169"/>
      <c r="AD3169" t="s">
        <v>21076</v>
      </c>
      <c r="AE3169" t="n">
        <v>131</v>
      </c>
      <c r="AF3169" t="s">
        <v>21077</v>
      </c>
      <c r="AG3169" t="n">
        <v>189</v>
      </c>
    </row>
    <row r="3170">
      <c r="A3170" t="s">
        <v>21078</v>
      </c>
      <c r="B3170" t="s">
        <v>27</v>
      </c>
      <c r="C3170" t="s">
        <v>24</v>
      </c>
      <c r="D3170" t="s">
        <v>21079</v>
      </c>
      <c r="E3170" t="s">
        <v>3967</v>
      </c>
      <c r="F3170" t="s">
        <v>3950</v>
      </c>
      <c r="G3170" t="s">
        <v>3976</v>
      </c>
      <c r="H3170" t="n">
        <v>40.410086</v>
      </c>
      <c r="I3170" t="n">
        <v>-104.677994</v>
      </c>
      <c r="J3170" t="s">
        <v>4109</v>
      </c>
      <c r="K3170" t="s">
        <v>70</v>
      </c>
      <c r="L3170"/>
      <c r="M3170" t="n">
        <v>1992</v>
      </c>
      <c r="N3170" t="n">
        <v>1992</v>
      </c>
      <c r="O3170" t="s">
        <v>1016</v>
      </c>
      <c r="P3170" t="n">
        <v>1</v>
      </c>
      <c r="Q3170" t="n">
        <v>1</v>
      </c>
      <c r="R3170" t="n">
        <v>1</v>
      </c>
      <c r="S3170" t="n">
        <v>1980</v>
      </c>
      <c r="T3170" t="s">
        <v>21080</v>
      </c>
      <c r="U3170" t="s">
        <v>21081</v>
      </c>
      <c r="V3170" t="s">
        <v>74</v>
      </c>
      <c r="W3170"/>
      <c r="X3170" t="s">
        <v>21082</v>
      </c>
      <c r="Y3170" t="s">
        <v>21083</v>
      </c>
      <c r="Z3170"/>
      <c r="AA3170" t="s">
        <v>21084</v>
      </c>
      <c r="AB3170"/>
      <c r="AC3170"/>
      <c r="AD3170" t="s">
        <v>4022</v>
      </c>
      <c r="AE3170" t="n">
        <v>244</v>
      </c>
      <c r="AF3170" t="s">
        <v>12556</v>
      </c>
      <c r="AG317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0.71" hidden="0" customWidth="1"/>
    <col min="3" max="3" width="10.71" hidden="0" customWidth="1"/>
    <col min="4" max="4" width="31.71" hidden="0" customWidth="1"/>
    <col min="5" max="5" width="22.71" hidden="0" customWidth="1"/>
    <col min="6" max="6" width="12.71" hidden="0" customWidth="1"/>
    <col min="7" max="7" width="10.71" hidden="0" customWidth="1"/>
    <col min="8" max="8" width="18.71" hidden="0" customWidth="1"/>
    <col min="9" max="9" width="19.71" hidden="0" customWidth="1"/>
    <col min="10" max="10" width="16.71" hidden="0" customWidth="1"/>
    <col min="11" max="11" width="10.71" hidden="0" customWidth="1"/>
    <col min="12" max="12" width="58.71" hidden="0" customWidth="1"/>
    <col min="13" max="13" width="10.71" hidden="0" customWidth="1"/>
    <col min="14" max="14" width="10.71" hidden="0" customWidth="1"/>
    <col min="15" max="15" width="46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60.71" hidden="0" customWidth="1"/>
    <col min="21" max="21" width="60.71" hidden="0" customWidth="1"/>
    <col min="22" max="22" width="10.71" hidden="0" customWidth="1"/>
    <col min="23" max="23" width="60.71" hidden="0" customWidth="1"/>
    <col min="24" max="24" width="60.71" hidden="0" customWidth="1"/>
    <col min="25" max="25" width="60.71" hidden="0" customWidth="1"/>
    <col min="26" max="26" width="60.71" hidden="0" customWidth="1"/>
    <col min="27" max="27" width="60.71" hidden="0" customWidth="1"/>
    <col min="28" max="28" width="36.71" hidden="0" customWidth="1"/>
    <col min="29" max="29" width="10.71" hidden="0" customWidth="1"/>
    <col min="30" max="30" width="54.71" hidden="0" customWidth="1"/>
    <col min="31" max="31" width="10.71" hidden="0" customWidth="1"/>
    <col min="32" max="32" width="60.71" hidden="0" customWidth="1"/>
    <col min="33" max="33" width="10.71" hidden="0" customWidth="1"/>
  </cols>
  <sheetData>
    <row r="1">
      <c r="A1" s="1" t="s">
        <v>34</v>
      </c>
      <c r="B1" s="1" t="s">
        <v>11</v>
      </c>
      <c r="C1" s="1" t="s">
        <v>13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</row>
    <row r="2">
      <c r="A2" t="s">
        <v>21085</v>
      </c>
      <c r="B2" t="s">
        <v>26</v>
      </c>
      <c r="C2" t="s">
        <v>65</v>
      </c>
      <c r="D2" t="s">
        <v>21086</v>
      </c>
      <c r="E2" t="s">
        <v>177</v>
      </c>
      <c r="F2" t="s">
        <v>68</v>
      </c>
      <c r="G2" t="s">
        <v>178</v>
      </c>
      <c r="H2" t="n">
        <v>39.8308990604027</v>
      </c>
      <c r="I2" t="n">
        <v>-105.025285248322</v>
      </c>
      <c r="J2" t="s">
        <v>35</v>
      </c>
      <c r="K2"/>
      <c r="L2" t="s">
        <v>1117</v>
      </c>
      <c r="M2" t="n">
        <v>1992</v>
      </c>
      <c r="N2" t="n">
        <v>1992</v>
      </c>
      <c r="O2" t="s">
        <v>1016</v>
      </c>
      <c r="P2" t="n">
        <v>1</v>
      </c>
      <c r="Q2" t="n">
        <v>1</v>
      </c>
      <c r="R2" t="n">
        <v>1</v>
      </c>
      <c r="S2" t="n">
        <v>1989</v>
      </c>
      <c r="T2" t="s">
        <v>21087</v>
      </c>
      <c r="U2" t="s">
        <v>21088</v>
      </c>
      <c r="V2" t="s">
        <v>74</v>
      </c>
      <c r="W2" t="s">
        <v>21089</v>
      </c>
      <c r="X2"/>
      <c r="Y2" t="s">
        <v>21090</v>
      </c>
      <c r="Z2"/>
      <c r="AA2" t="s">
        <v>21091</v>
      </c>
      <c r="AB2" t="s">
        <v>21092</v>
      </c>
      <c r="AC2" t="n">
        <v>23</v>
      </c>
      <c r="AD2"/>
      <c r="AE2"/>
      <c r="AF2" t="s">
        <v>21093</v>
      </c>
      <c r="AG2" t="n">
        <v>29</v>
      </c>
    </row>
    <row r="3">
      <c r="A3" t="s">
        <v>21094</v>
      </c>
      <c r="B3" t="s">
        <v>26</v>
      </c>
      <c r="C3" t="s">
        <v>65</v>
      </c>
      <c r="D3" t="s">
        <v>21095</v>
      </c>
      <c r="E3" t="s">
        <v>394</v>
      </c>
      <c r="F3" t="s">
        <v>387</v>
      </c>
      <c r="G3" t="s">
        <v>395</v>
      </c>
      <c r="H3" t="n">
        <v>39.667739</v>
      </c>
      <c r="I3" t="n">
        <v>-105.009849</v>
      </c>
      <c r="J3" t="s">
        <v>35</v>
      </c>
      <c r="K3"/>
      <c r="L3" t="s">
        <v>21096</v>
      </c>
      <c r="M3" t="n">
        <v>1968</v>
      </c>
      <c r="N3" t="n">
        <v>1974</v>
      </c>
      <c r="O3" t="s">
        <v>1613</v>
      </c>
      <c r="P3" t="n">
        <v>3</v>
      </c>
      <c r="Q3" t="n">
        <v>4</v>
      </c>
      <c r="R3" t="n">
        <v>3</v>
      </c>
      <c r="S3" t="n">
        <v>1964</v>
      </c>
      <c r="T3" t="s">
        <v>21097</v>
      </c>
      <c r="U3" t="s">
        <v>21098</v>
      </c>
      <c r="V3" t="s">
        <v>74</v>
      </c>
      <c r="W3" t="s">
        <v>21099</v>
      </c>
      <c r="X3"/>
      <c r="Y3" t="s">
        <v>21100</v>
      </c>
      <c r="Z3"/>
      <c r="AA3" t="s">
        <v>21101</v>
      </c>
      <c r="AB3" t="s">
        <v>5969</v>
      </c>
      <c r="AC3" t="n">
        <v>14</v>
      </c>
      <c r="AD3" t="s">
        <v>5970</v>
      </c>
      <c r="AE3" t="n">
        <v>165</v>
      </c>
      <c r="AF3" t="s">
        <v>21102</v>
      </c>
      <c r="AG3" t="n">
        <v>35</v>
      </c>
    </row>
    <row r="4">
      <c r="A4" t="s">
        <v>21103</v>
      </c>
      <c r="B4" t="s">
        <v>26</v>
      </c>
      <c r="C4" t="s">
        <v>65</v>
      </c>
      <c r="D4" t="s">
        <v>21104</v>
      </c>
      <c r="E4" t="s">
        <v>394</v>
      </c>
      <c r="F4" t="s">
        <v>387</v>
      </c>
      <c r="G4" t="s">
        <v>395</v>
      </c>
      <c r="H4" t="n">
        <v>39.637419244898</v>
      </c>
      <c r="I4" t="n">
        <v>-105.025361632653</v>
      </c>
      <c r="J4" t="s">
        <v>35</v>
      </c>
      <c r="K4"/>
      <c r="L4" t="s">
        <v>202</v>
      </c>
      <c r="M4" t="n">
        <v>1980</v>
      </c>
      <c r="N4" t="n">
        <v>1983</v>
      </c>
      <c r="O4" t="s">
        <v>528</v>
      </c>
      <c r="P4" t="n">
        <v>2</v>
      </c>
      <c r="Q4" t="n">
        <v>1</v>
      </c>
      <c r="R4" t="n">
        <v>1</v>
      </c>
      <c r="S4" t="n">
        <v>1963</v>
      </c>
      <c r="T4" t="s">
        <v>21105</v>
      </c>
      <c r="U4" t="s">
        <v>21106</v>
      </c>
      <c r="V4" t="s">
        <v>74</v>
      </c>
      <c r="W4" t="s">
        <v>21107</v>
      </c>
      <c r="X4"/>
      <c r="Y4"/>
      <c r="Z4"/>
      <c r="AA4"/>
      <c r="AB4" t="s">
        <v>654</v>
      </c>
      <c r="AC4" t="n">
        <v>46</v>
      </c>
      <c r="AD4"/>
      <c r="AE4"/>
      <c r="AF4" t="s">
        <v>21108</v>
      </c>
      <c r="AG4" t="n">
        <v>237</v>
      </c>
    </row>
    <row r="5">
      <c r="A5" t="s">
        <v>21109</v>
      </c>
      <c r="B5" t="s">
        <v>26</v>
      </c>
      <c r="C5" t="s">
        <v>24</v>
      </c>
      <c r="D5" t="s">
        <v>21110</v>
      </c>
      <c r="E5" t="s">
        <v>723</v>
      </c>
      <c r="F5" t="s">
        <v>724</v>
      </c>
      <c r="G5" t="s">
        <v>725</v>
      </c>
      <c r="H5" t="n">
        <v>40.056829</v>
      </c>
      <c r="I5" t="n">
        <v>-105.282125</v>
      </c>
      <c r="J5" t="s">
        <v>4109</v>
      </c>
      <c r="K5"/>
      <c r="L5" t="s">
        <v>21111</v>
      </c>
      <c r="M5" t="n">
        <v>1966</v>
      </c>
      <c r="N5" t="n">
        <v>1968</v>
      </c>
      <c r="O5" t="s">
        <v>1349</v>
      </c>
      <c r="P5" t="n">
        <v>2</v>
      </c>
      <c r="Q5" t="n">
        <v>2</v>
      </c>
      <c r="R5" t="n">
        <v>1</v>
      </c>
      <c r="S5" t="n">
        <v>1955</v>
      </c>
      <c r="T5" t="s">
        <v>21112</v>
      </c>
      <c r="U5" t="s">
        <v>21113</v>
      </c>
      <c r="V5" t="s">
        <v>74</v>
      </c>
      <c r="W5" t="s">
        <v>21114</v>
      </c>
      <c r="X5"/>
      <c r="Y5" t="s">
        <v>21115</v>
      </c>
      <c r="Z5"/>
      <c r="AA5" t="s">
        <v>21116</v>
      </c>
      <c r="AB5" t="s">
        <v>6316</v>
      </c>
      <c r="AC5" t="n">
        <v>110</v>
      </c>
      <c r="AD5"/>
      <c r="AE5"/>
      <c r="AF5" t="s">
        <v>21117</v>
      </c>
      <c r="AG5" t="n">
        <v>6</v>
      </c>
    </row>
    <row r="6">
      <c r="A6" t="s">
        <v>21118</v>
      </c>
      <c r="B6" t="s">
        <v>26</v>
      </c>
      <c r="C6" t="s">
        <v>65</v>
      </c>
      <c r="D6" t="s">
        <v>21119</v>
      </c>
      <c r="E6" t="s">
        <v>723</v>
      </c>
      <c r="F6" t="s">
        <v>724</v>
      </c>
      <c r="G6" t="s">
        <v>725</v>
      </c>
      <c r="H6" t="n">
        <v>40.0197270428118</v>
      </c>
      <c r="I6" t="n">
        <v>-105.248359957465</v>
      </c>
      <c r="J6" t="s">
        <v>35</v>
      </c>
      <c r="K6"/>
      <c r="L6" t="s">
        <v>202</v>
      </c>
      <c r="M6" t="n">
        <v>1973</v>
      </c>
      <c r="N6" t="n">
        <v>1973</v>
      </c>
      <c r="O6" t="s">
        <v>121</v>
      </c>
      <c r="P6" t="n">
        <v>1</v>
      </c>
      <c r="Q6" t="n">
        <v>1</v>
      </c>
      <c r="R6" t="n">
        <v>1</v>
      </c>
      <c r="S6" t="n">
        <v>1965</v>
      </c>
      <c r="T6" t="s">
        <v>21120</v>
      </c>
      <c r="U6" t="s">
        <v>21121</v>
      </c>
      <c r="V6" t="s">
        <v>74</v>
      </c>
      <c r="W6" t="s">
        <v>21122</v>
      </c>
      <c r="X6" t="s">
        <v>21123</v>
      </c>
      <c r="Y6" t="s">
        <v>21124</v>
      </c>
      <c r="Z6"/>
      <c r="AA6" t="s">
        <v>21125</v>
      </c>
      <c r="AB6" t="s">
        <v>6306</v>
      </c>
      <c r="AC6" t="n">
        <v>71</v>
      </c>
      <c r="AD6" t="s">
        <v>6307</v>
      </c>
      <c r="AE6" t="n">
        <v>26</v>
      </c>
      <c r="AF6" t="s">
        <v>21126</v>
      </c>
      <c r="AG6" t="n">
        <v>2</v>
      </c>
    </row>
    <row r="7">
      <c r="A7" t="s">
        <v>21127</v>
      </c>
      <c r="B7" t="s">
        <v>26</v>
      </c>
      <c r="C7" t="s">
        <v>24</v>
      </c>
      <c r="D7" t="s">
        <v>21128</v>
      </c>
      <c r="E7" t="s">
        <v>723</v>
      </c>
      <c r="F7" t="s">
        <v>724</v>
      </c>
      <c r="G7" t="s">
        <v>817</v>
      </c>
      <c r="H7" t="n">
        <v>40.0629757540886</v>
      </c>
      <c r="I7" t="n">
        <v>-105.206752731718</v>
      </c>
      <c r="J7" t="s">
        <v>4109</v>
      </c>
      <c r="K7"/>
      <c r="L7" t="s">
        <v>2445</v>
      </c>
      <c r="M7" t="n">
        <v>1974</v>
      </c>
      <c r="N7" t="n">
        <v>1990</v>
      </c>
      <c r="O7" t="s">
        <v>13833</v>
      </c>
      <c r="P7" t="n">
        <v>3</v>
      </c>
      <c r="Q7" t="n">
        <v>2</v>
      </c>
      <c r="R7" t="n">
        <v>2</v>
      </c>
      <c r="S7" t="n">
        <v>1972</v>
      </c>
      <c r="T7" t="s">
        <v>21129</v>
      </c>
      <c r="U7" t="s">
        <v>21130</v>
      </c>
      <c r="V7" t="s">
        <v>74</v>
      </c>
      <c r="W7" t="s">
        <v>21131</v>
      </c>
      <c r="X7" t="s">
        <v>21132</v>
      </c>
      <c r="Y7" t="s">
        <v>21133</v>
      </c>
      <c r="Z7"/>
      <c r="AA7" t="s">
        <v>21134</v>
      </c>
      <c r="AB7" t="s">
        <v>21135</v>
      </c>
      <c r="AC7" t="n">
        <v>29</v>
      </c>
      <c r="AD7" t="s">
        <v>6327</v>
      </c>
      <c r="AE7" t="n">
        <v>204</v>
      </c>
      <c r="AF7" t="s">
        <v>21136</v>
      </c>
      <c r="AG7" t="n">
        <v>12</v>
      </c>
    </row>
    <row r="8">
      <c r="A8" t="s">
        <v>21137</v>
      </c>
      <c r="B8" t="s">
        <v>26</v>
      </c>
      <c r="C8" t="s">
        <v>65</v>
      </c>
      <c r="D8" t="s">
        <v>21138</v>
      </c>
      <c r="E8" t="s">
        <v>738</v>
      </c>
      <c r="F8" t="s">
        <v>724</v>
      </c>
      <c r="G8" t="s">
        <v>739</v>
      </c>
      <c r="H8" t="n">
        <v>40.1578155884903</v>
      </c>
      <c r="I8" t="n">
        <v>-105.103646159639</v>
      </c>
      <c r="J8" t="s">
        <v>35</v>
      </c>
      <c r="K8"/>
      <c r="L8" t="s">
        <v>202</v>
      </c>
      <c r="M8" t="n">
        <v>1980</v>
      </c>
      <c r="N8" t="n">
        <v>1980</v>
      </c>
      <c r="O8" t="s">
        <v>255</v>
      </c>
      <c r="P8" t="n">
        <v>1</v>
      </c>
      <c r="Q8" t="n">
        <v>1</v>
      </c>
      <c r="R8" t="n">
        <v>1</v>
      </c>
      <c r="S8" t="n">
        <v>1979</v>
      </c>
      <c r="T8" t="s">
        <v>21139</v>
      </c>
      <c r="U8" t="s">
        <v>21140</v>
      </c>
      <c r="V8" t="s">
        <v>74</v>
      </c>
      <c r="W8" t="s">
        <v>21141</v>
      </c>
      <c r="X8"/>
      <c r="Y8"/>
      <c r="Z8"/>
      <c r="AA8"/>
      <c r="AB8" t="s">
        <v>21142</v>
      </c>
      <c r="AC8" t="n">
        <v>41</v>
      </c>
      <c r="AD8"/>
      <c r="AE8"/>
      <c r="AF8" t="s">
        <v>11000</v>
      </c>
      <c r="AG8" t="n">
        <v>94</v>
      </c>
    </row>
    <row r="9">
      <c r="A9" t="s">
        <v>21143</v>
      </c>
      <c r="B9" t="s">
        <v>26</v>
      </c>
      <c r="C9" t="s">
        <v>65</v>
      </c>
      <c r="D9" t="s">
        <v>21144</v>
      </c>
      <c r="E9" t="s">
        <v>79</v>
      </c>
      <c r="F9" t="s">
        <v>1274</v>
      </c>
      <c r="G9" t="s">
        <v>1653</v>
      </c>
      <c r="H9" t="n">
        <v>39.7892963264309</v>
      </c>
      <c r="I9" t="n">
        <v>-104.978282591613</v>
      </c>
      <c r="J9" t="s">
        <v>35</v>
      </c>
      <c r="K9"/>
      <c r="L9" t="s">
        <v>2204</v>
      </c>
      <c r="M9" t="n">
        <v>1965</v>
      </c>
      <c r="N9" t="n">
        <v>1973</v>
      </c>
      <c r="O9" t="s">
        <v>1716</v>
      </c>
      <c r="P9" t="n">
        <v>4</v>
      </c>
      <c r="Q9" t="n">
        <v>3</v>
      </c>
      <c r="R9" t="n">
        <v>2</v>
      </c>
      <c r="S9" t="n">
        <v>1946</v>
      </c>
      <c r="T9" t="s">
        <v>21145</v>
      </c>
      <c r="U9" t="s">
        <v>21146</v>
      </c>
      <c r="V9" t="s">
        <v>74</v>
      </c>
      <c r="W9" t="s">
        <v>6578</v>
      </c>
      <c r="X9" t="s">
        <v>21147</v>
      </c>
      <c r="Y9"/>
      <c r="Z9"/>
      <c r="AA9" t="s">
        <v>21148</v>
      </c>
      <c r="AB9" t="s">
        <v>6990</v>
      </c>
      <c r="AC9" t="n">
        <v>128</v>
      </c>
      <c r="AD9" t="s">
        <v>6580</v>
      </c>
      <c r="AE9" t="n">
        <v>51</v>
      </c>
      <c r="AF9" t="s">
        <v>21149</v>
      </c>
      <c r="AG9" t="n">
        <v>62</v>
      </c>
    </row>
    <row r="10">
      <c r="A10" t="s">
        <v>21150</v>
      </c>
      <c r="B10" t="s">
        <v>26</v>
      </c>
      <c r="C10" t="s">
        <v>65</v>
      </c>
      <c r="D10" t="s">
        <v>21151</v>
      </c>
      <c r="E10" t="s">
        <v>79</v>
      </c>
      <c r="F10" t="s">
        <v>1274</v>
      </c>
      <c r="G10" t="s">
        <v>1569</v>
      </c>
      <c r="H10" t="n">
        <v>39.6841234825291</v>
      </c>
      <c r="I10" t="n">
        <v>-104.987543686609</v>
      </c>
      <c r="J10" t="s">
        <v>35</v>
      </c>
      <c r="K10"/>
      <c r="L10" t="s">
        <v>21111</v>
      </c>
      <c r="M10" t="n">
        <v>1967</v>
      </c>
      <c r="N10" t="n">
        <v>1983</v>
      </c>
      <c r="O10" t="s">
        <v>21152</v>
      </c>
      <c r="P10" t="n">
        <v>7</v>
      </c>
      <c r="Q10" t="n">
        <v>1</v>
      </c>
      <c r="R10" t="n">
        <v>1</v>
      </c>
      <c r="S10" t="n">
        <v>1925</v>
      </c>
      <c r="T10" t="s">
        <v>21153</v>
      </c>
      <c r="U10" t="s">
        <v>21154</v>
      </c>
      <c r="V10" t="s">
        <v>74</v>
      </c>
      <c r="W10" t="s">
        <v>6540</v>
      </c>
      <c r="X10"/>
      <c r="Y10"/>
      <c r="Z10"/>
      <c r="AA10" t="s">
        <v>21155</v>
      </c>
      <c r="AB10" t="s">
        <v>7581</v>
      </c>
      <c r="AC10" t="n">
        <v>237</v>
      </c>
      <c r="AD10" t="s">
        <v>7582</v>
      </c>
      <c r="AE10" t="n">
        <v>228</v>
      </c>
      <c r="AF10" t="s">
        <v>21156</v>
      </c>
      <c r="AG10" t="n">
        <v>126</v>
      </c>
    </row>
    <row r="11">
      <c r="A11" t="s">
        <v>21157</v>
      </c>
      <c r="B11" t="s">
        <v>26</v>
      </c>
      <c r="C11" t="s">
        <v>65</v>
      </c>
      <c r="D11" t="s">
        <v>21158</v>
      </c>
      <c r="E11" t="s">
        <v>79</v>
      </c>
      <c r="F11" t="s">
        <v>1274</v>
      </c>
      <c r="G11" t="s">
        <v>1574</v>
      </c>
      <c r="H11" t="n">
        <v>39.7699791631915</v>
      </c>
      <c r="I11" t="n">
        <v>-104.965943</v>
      </c>
      <c r="J11" t="s">
        <v>35</v>
      </c>
      <c r="K11"/>
      <c r="L11" t="s">
        <v>2901</v>
      </c>
      <c r="M11" t="n">
        <v>1967</v>
      </c>
      <c r="N11" t="n">
        <v>1970</v>
      </c>
      <c r="O11" t="s">
        <v>3494</v>
      </c>
      <c r="P11" t="n">
        <v>3</v>
      </c>
      <c r="Q11" t="n">
        <v>1</v>
      </c>
      <c r="R11" t="n">
        <v>1</v>
      </c>
      <c r="S11" t="n">
        <v>1940</v>
      </c>
      <c r="T11" t="s">
        <v>21159</v>
      </c>
      <c r="U11" t="s">
        <v>21160</v>
      </c>
      <c r="V11" t="s">
        <v>74</v>
      </c>
      <c r="W11" t="s">
        <v>6610</v>
      </c>
      <c r="X11"/>
      <c r="Y11"/>
      <c r="Z11"/>
      <c r="AA11"/>
      <c r="AB11"/>
      <c r="AC11"/>
      <c r="AD11"/>
      <c r="AE11"/>
      <c r="AF11" t="s">
        <v>8355</v>
      </c>
      <c r="AG11" t="n">
        <v>212</v>
      </c>
    </row>
    <row r="12">
      <c r="A12" t="s">
        <v>21161</v>
      </c>
      <c r="B12" t="s">
        <v>26</v>
      </c>
      <c r="C12" t="s">
        <v>65</v>
      </c>
      <c r="D12" t="s">
        <v>21162</v>
      </c>
      <c r="E12" t="s">
        <v>79</v>
      </c>
      <c r="F12" t="s">
        <v>1274</v>
      </c>
      <c r="G12"/>
      <c r="H12" t="n">
        <v>39.7785763385655</v>
      </c>
      <c r="I12" t="n">
        <v>-104.966467981511</v>
      </c>
      <c r="J12" t="s">
        <v>35</v>
      </c>
      <c r="K12"/>
      <c r="L12" t="s">
        <v>2204</v>
      </c>
      <c r="M12" t="n">
        <v>1967</v>
      </c>
      <c r="N12" t="n">
        <v>1990</v>
      </c>
      <c r="O12" t="s">
        <v>351</v>
      </c>
      <c r="P12" t="n">
        <v>8</v>
      </c>
      <c r="Q12" t="n">
        <v>6</v>
      </c>
      <c r="R12" t="n">
        <v>1</v>
      </c>
      <c r="S12" t="n">
        <v>1946</v>
      </c>
      <c r="T12" t="s">
        <v>21163</v>
      </c>
      <c r="U12" t="s">
        <v>21164</v>
      </c>
      <c r="V12" t="s">
        <v>74</v>
      </c>
      <c r="W12" t="s">
        <v>6610</v>
      </c>
      <c r="X12"/>
      <c r="Y12"/>
      <c r="Z12"/>
      <c r="AA12"/>
      <c r="AB12" t="s">
        <v>21165</v>
      </c>
      <c r="AC12" t="n">
        <v>182</v>
      </c>
      <c r="AD12"/>
      <c r="AE12"/>
      <c r="AF12"/>
      <c r="AG12"/>
    </row>
    <row r="13">
      <c r="A13" t="s">
        <v>21166</v>
      </c>
      <c r="B13" t="s">
        <v>26</v>
      </c>
      <c r="C13" t="s">
        <v>65</v>
      </c>
      <c r="D13" t="s">
        <v>21167</v>
      </c>
      <c r="E13" t="s">
        <v>79</v>
      </c>
      <c r="F13" t="s">
        <v>1274</v>
      </c>
      <c r="G13" t="s">
        <v>4335</v>
      </c>
      <c r="H13" t="n">
        <v>39.7219529183673</v>
      </c>
      <c r="I13" t="n">
        <v>-104.972696938775</v>
      </c>
      <c r="J13" t="s">
        <v>35</v>
      </c>
      <c r="K13"/>
      <c r="L13" t="s">
        <v>202</v>
      </c>
      <c r="M13" t="n">
        <v>1973</v>
      </c>
      <c r="N13" t="n">
        <v>1973</v>
      </c>
      <c r="O13" t="s">
        <v>121</v>
      </c>
      <c r="P13" t="n">
        <v>1</v>
      </c>
      <c r="Q13" t="n">
        <v>1</v>
      </c>
      <c r="R13" t="n">
        <v>1</v>
      </c>
      <c r="S13" t="n">
        <v>1961</v>
      </c>
      <c r="T13" t="s">
        <v>21168</v>
      </c>
      <c r="U13" t="s">
        <v>21169</v>
      </c>
      <c r="V13" t="s">
        <v>74</v>
      </c>
      <c r="W13" t="s">
        <v>21170</v>
      </c>
      <c r="X13"/>
      <c r="Y13" t="s">
        <v>21171</v>
      </c>
      <c r="Z13"/>
      <c r="AA13"/>
      <c r="AB13" t="s">
        <v>21172</v>
      </c>
      <c r="AC13" t="n">
        <v>36</v>
      </c>
      <c r="AD13"/>
      <c r="AE13"/>
      <c r="AF13" t="s">
        <v>21173</v>
      </c>
      <c r="AG13" t="n">
        <v>31</v>
      </c>
    </row>
    <row r="14">
      <c r="A14" t="s">
        <v>21174</v>
      </c>
      <c r="B14" t="s">
        <v>26</v>
      </c>
      <c r="C14" t="s">
        <v>65</v>
      </c>
      <c r="D14" t="s">
        <v>21175</v>
      </c>
      <c r="E14" t="s">
        <v>79</v>
      </c>
      <c r="F14" t="s">
        <v>1274</v>
      </c>
      <c r="G14" t="s">
        <v>1653</v>
      </c>
      <c r="H14" t="n">
        <v>39.7769308252509</v>
      </c>
      <c r="I14" t="n">
        <v>-104.917617121465</v>
      </c>
      <c r="J14" t="s">
        <v>35</v>
      </c>
      <c r="K14"/>
      <c r="L14" t="s">
        <v>202</v>
      </c>
      <c r="M14" t="n">
        <v>1974</v>
      </c>
      <c r="N14" t="n">
        <v>1983</v>
      </c>
      <c r="O14" t="s">
        <v>210</v>
      </c>
      <c r="P14" t="n">
        <v>4</v>
      </c>
      <c r="Q14" t="n">
        <v>4</v>
      </c>
      <c r="R14" t="n">
        <v>1</v>
      </c>
      <c r="S14" t="n">
        <v>1968</v>
      </c>
      <c r="T14" t="s">
        <v>21176</v>
      </c>
      <c r="U14" t="s">
        <v>21177</v>
      </c>
      <c r="V14" t="s">
        <v>74</v>
      </c>
      <c r="W14" t="s">
        <v>21178</v>
      </c>
      <c r="X14" t="s">
        <v>21179</v>
      </c>
      <c r="Y14" t="s">
        <v>21180</v>
      </c>
      <c r="Z14"/>
      <c r="AA14" t="s">
        <v>21181</v>
      </c>
      <c r="AB14" t="s">
        <v>8215</v>
      </c>
      <c r="AC14" t="n">
        <v>42</v>
      </c>
      <c r="AD14" t="s">
        <v>15048</v>
      </c>
      <c r="AE14" t="n">
        <v>3</v>
      </c>
      <c r="AF14" t="s">
        <v>8960</v>
      </c>
      <c r="AG14" t="n">
        <v>34</v>
      </c>
    </row>
    <row r="15">
      <c r="A15" t="s">
        <v>21182</v>
      </c>
      <c r="B15" t="s">
        <v>26</v>
      </c>
      <c r="C15" t="s">
        <v>65</v>
      </c>
      <c r="D15" t="s">
        <v>21183</v>
      </c>
      <c r="E15" t="s">
        <v>79</v>
      </c>
      <c r="F15" t="s">
        <v>1274</v>
      </c>
      <c r="G15" t="s">
        <v>1574</v>
      </c>
      <c r="H15" t="n">
        <v>39.7714558088455</v>
      </c>
      <c r="I15" t="n">
        <v>-104.972143675778</v>
      </c>
      <c r="J15" t="s">
        <v>35</v>
      </c>
      <c r="K15"/>
      <c r="L15" t="s">
        <v>2901</v>
      </c>
      <c r="M15" t="n">
        <v>1974</v>
      </c>
      <c r="N15" t="n">
        <v>1990</v>
      </c>
      <c r="O15" t="s">
        <v>21184</v>
      </c>
      <c r="P15" t="n">
        <v>5</v>
      </c>
      <c r="Q15" t="n">
        <v>3</v>
      </c>
      <c r="R15" t="n">
        <v>3</v>
      </c>
      <c r="S15" t="n">
        <v>1940</v>
      </c>
      <c r="T15" t="s">
        <v>21185</v>
      </c>
      <c r="U15" t="s">
        <v>21186</v>
      </c>
      <c r="V15" t="s">
        <v>74</v>
      </c>
      <c r="W15" t="s">
        <v>21187</v>
      </c>
      <c r="X15"/>
      <c r="Y15" t="s">
        <v>21188</v>
      </c>
      <c r="Z15"/>
      <c r="AA15"/>
      <c r="AB15" t="s">
        <v>7521</v>
      </c>
      <c r="AC15" t="n">
        <v>19</v>
      </c>
      <c r="AD15"/>
      <c r="AE15"/>
      <c r="AF15" t="s">
        <v>21189</v>
      </c>
      <c r="AG15" t="n">
        <v>1</v>
      </c>
    </row>
    <row r="16">
      <c r="A16" t="s">
        <v>21190</v>
      </c>
      <c r="B16" t="s">
        <v>26</v>
      </c>
      <c r="C16" t="s">
        <v>24</v>
      </c>
      <c r="D16" t="s">
        <v>21191</v>
      </c>
      <c r="E16" t="s">
        <v>79</v>
      </c>
      <c r="F16" t="s">
        <v>1274</v>
      </c>
      <c r="G16" t="s">
        <v>1653</v>
      </c>
      <c r="H16" t="n">
        <v>39.77357</v>
      </c>
      <c r="I16" t="n">
        <v>-104.988642</v>
      </c>
      <c r="J16" t="s">
        <v>4109</v>
      </c>
      <c r="K16"/>
      <c r="L16" t="s">
        <v>1002</v>
      </c>
      <c r="M16" t="n">
        <v>1980</v>
      </c>
      <c r="N16" t="n">
        <v>1980</v>
      </c>
      <c r="O16" t="s">
        <v>255</v>
      </c>
      <c r="P16" t="n">
        <v>1</v>
      </c>
      <c r="Q16" t="n">
        <v>1</v>
      </c>
      <c r="R16" t="n">
        <v>1</v>
      </c>
      <c r="S16" t="n">
        <v>1976</v>
      </c>
      <c r="T16" t="s">
        <v>21192</v>
      </c>
      <c r="U16" t="s">
        <v>21193</v>
      </c>
      <c r="V16" t="s">
        <v>74</v>
      </c>
      <c r="W16" t="s">
        <v>6610</v>
      </c>
      <c r="X16" t="s">
        <v>21194</v>
      </c>
      <c r="Y16" t="s">
        <v>21195</v>
      </c>
      <c r="Z16"/>
      <c r="AA16" t="s">
        <v>21196</v>
      </c>
      <c r="AB16"/>
      <c r="AC16"/>
      <c r="AD16" t="s">
        <v>9254</v>
      </c>
      <c r="AE16" t="n">
        <v>122</v>
      </c>
      <c r="AF16" t="s">
        <v>21197</v>
      </c>
      <c r="AG16" t="n">
        <v>13</v>
      </c>
    </row>
    <row r="17">
      <c r="A17" t="s">
        <v>21198</v>
      </c>
      <c r="B17" t="s">
        <v>26</v>
      </c>
      <c r="C17" t="s">
        <v>24</v>
      </c>
      <c r="D17" t="s">
        <v>21199</v>
      </c>
      <c r="E17" t="s">
        <v>79</v>
      </c>
      <c r="F17" t="s">
        <v>1274</v>
      </c>
      <c r="G17" t="s">
        <v>1509</v>
      </c>
      <c r="H17" t="n">
        <v>39.7469347959184</v>
      </c>
      <c r="I17" t="n">
        <v>-104.999311653061</v>
      </c>
      <c r="J17" t="s">
        <v>4109</v>
      </c>
      <c r="K17"/>
      <c r="L17" t="s">
        <v>202</v>
      </c>
      <c r="M17" t="n">
        <v>1983</v>
      </c>
      <c r="N17" t="n">
        <v>1988</v>
      </c>
      <c r="O17" t="s">
        <v>325</v>
      </c>
      <c r="P17" t="n">
        <v>2</v>
      </c>
      <c r="Q17" t="n">
        <v>2</v>
      </c>
      <c r="R17" t="n">
        <v>1</v>
      </c>
      <c r="S17" t="n">
        <v>1979</v>
      </c>
      <c r="T17" t="s">
        <v>21200</v>
      </c>
      <c r="U17" t="s">
        <v>21201</v>
      </c>
      <c r="V17" t="s">
        <v>74</v>
      </c>
      <c r="W17" t="s">
        <v>21202</v>
      </c>
      <c r="X17"/>
      <c r="Y17" t="s">
        <v>21203</v>
      </c>
      <c r="Z17"/>
      <c r="AA17"/>
      <c r="AB17" t="s">
        <v>1332</v>
      </c>
      <c r="AC17" t="n">
        <v>4</v>
      </c>
      <c r="AD17"/>
      <c r="AE17"/>
      <c r="AF17" t="s">
        <v>1320</v>
      </c>
      <c r="AG17" t="n">
        <v>1</v>
      </c>
    </row>
    <row r="18">
      <c r="A18" t="s">
        <v>21204</v>
      </c>
      <c r="B18" t="s">
        <v>26</v>
      </c>
      <c r="C18" t="s">
        <v>24</v>
      </c>
      <c r="D18" t="s">
        <v>21205</v>
      </c>
      <c r="E18" t="s">
        <v>79</v>
      </c>
      <c r="F18" t="s">
        <v>1274</v>
      </c>
      <c r="G18" t="s">
        <v>1967</v>
      </c>
      <c r="H18" t="n">
        <v>39.7011696938776</v>
      </c>
      <c r="I18" t="n">
        <v>-104.908220142857</v>
      </c>
      <c r="J18" t="s">
        <v>4109</v>
      </c>
      <c r="K18"/>
      <c r="L18" t="s">
        <v>554</v>
      </c>
      <c r="M18" t="n">
        <v>1983</v>
      </c>
      <c r="N18" t="n">
        <v>1983</v>
      </c>
      <c r="O18" t="s">
        <v>264</v>
      </c>
      <c r="P18" t="n">
        <v>1</v>
      </c>
      <c r="Q18" t="n">
        <v>1</v>
      </c>
      <c r="R18" t="n">
        <v>1</v>
      </c>
      <c r="S18" t="n">
        <v>1982</v>
      </c>
      <c r="T18" t="s">
        <v>21206</v>
      </c>
      <c r="U18" t="s">
        <v>21207</v>
      </c>
      <c r="V18" t="s">
        <v>74</v>
      </c>
      <c r="W18" t="s">
        <v>21208</v>
      </c>
      <c r="X18"/>
      <c r="Y18" t="s">
        <v>21209</v>
      </c>
      <c r="Z18"/>
      <c r="AA18" t="s">
        <v>21210</v>
      </c>
      <c r="AB18" t="s">
        <v>21211</v>
      </c>
      <c r="AC18" t="n">
        <v>95</v>
      </c>
      <c r="AD18"/>
      <c r="AE18"/>
      <c r="AF18" t="s">
        <v>21212</v>
      </c>
      <c r="AG18" t="n">
        <v>40</v>
      </c>
    </row>
    <row r="19">
      <c r="A19" t="s">
        <v>21213</v>
      </c>
      <c r="B19" t="s">
        <v>26</v>
      </c>
      <c r="C19" t="s">
        <v>65</v>
      </c>
      <c r="D19" t="s">
        <v>21214</v>
      </c>
      <c r="E19" t="s">
        <v>79</v>
      </c>
      <c r="F19" t="s">
        <v>1274</v>
      </c>
      <c r="G19" t="s">
        <v>1516</v>
      </c>
      <c r="H19" t="n">
        <v>39.6841102629985</v>
      </c>
      <c r="I19" t="n">
        <v>-104.989925545617</v>
      </c>
      <c r="J19" t="s">
        <v>35</v>
      </c>
      <c r="K19"/>
      <c r="L19" t="s">
        <v>21111</v>
      </c>
      <c r="M19" t="n">
        <v>1988</v>
      </c>
      <c r="N19" t="n">
        <v>1990</v>
      </c>
      <c r="O19" t="s">
        <v>310</v>
      </c>
      <c r="P19" t="n">
        <v>2</v>
      </c>
      <c r="Q19" t="n">
        <v>1</v>
      </c>
      <c r="R19" t="n">
        <v>1</v>
      </c>
      <c r="S19" t="n">
        <v>1925</v>
      </c>
      <c r="T19" t="s">
        <v>21215</v>
      </c>
      <c r="U19" t="s">
        <v>21216</v>
      </c>
      <c r="V19" t="s">
        <v>74</v>
      </c>
      <c r="W19" t="s">
        <v>6540</v>
      </c>
      <c r="X19" t="s">
        <v>21217</v>
      </c>
      <c r="Y19"/>
      <c r="Z19"/>
      <c r="AA19" t="s">
        <v>21218</v>
      </c>
      <c r="AB19" t="s">
        <v>7581</v>
      </c>
      <c r="AC19" t="n">
        <v>120</v>
      </c>
      <c r="AD19" t="s">
        <v>7582</v>
      </c>
      <c r="AE19" t="n">
        <v>87</v>
      </c>
      <c r="AF19" t="s">
        <v>21156</v>
      </c>
      <c r="AG19" t="n">
        <v>120</v>
      </c>
    </row>
    <row r="20">
      <c r="A20" t="s">
        <v>21219</v>
      </c>
      <c r="B20" t="s">
        <v>26</v>
      </c>
      <c r="C20" t="s">
        <v>65</v>
      </c>
      <c r="D20" t="s">
        <v>21220</v>
      </c>
      <c r="E20" t="s">
        <v>79</v>
      </c>
      <c r="F20" t="s">
        <v>1274</v>
      </c>
      <c r="G20" t="s">
        <v>1653</v>
      </c>
      <c r="H20" t="n">
        <v>39.7982605600333</v>
      </c>
      <c r="I20" t="n">
        <v>-104.993335013248</v>
      </c>
      <c r="J20" t="s">
        <v>35</v>
      </c>
      <c r="K20"/>
      <c r="L20" t="s">
        <v>2204</v>
      </c>
      <c r="M20" t="n">
        <v>1988</v>
      </c>
      <c r="N20" t="n">
        <v>1990</v>
      </c>
      <c r="O20" t="s">
        <v>325</v>
      </c>
      <c r="P20" t="n">
        <v>2</v>
      </c>
      <c r="Q20" t="n">
        <v>2</v>
      </c>
      <c r="R20" t="n">
        <v>1</v>
      </c>
      <c r="S20" t="n">
        <v>1927</v>
      </c>
      <c r="T20" t="s">
        <v>21221</v>
      </c>
      <c r="U20" t="s">
        <v>21222</v>
      </c>
      <c r="V20" t="s">
        <v>74</v>
      </c>
      <c r="W20" t="s">
        <v>21223</v>
      </c>
      <c r="X20" t="s">
        <v>21224</v>
      </c>
      <c r="Y20" t="s">
        <v>21225</v>
      </c>
      <c r="Z20"/>
      <c r="AA20" t="s">
        <v>21226</v>
      </c>
      <c r="AB20"/>
      <c r="AC20"/>
      <c r="AD20" t="s">
        <v>19939</v>
      </c>
      <c r="AE20" t="n">
        <v>12</v>
      </c>
      <c r="AF20" t="s">
        <v>21227</v>
      </c>
      <c r="AG20" t="n">
        <v>12</v>
      </c>
    </row>
    <row r="21">
      <c r="A21" t="s">
        <v>21228</v>
      </c>
      <c r="B21" t="s">
        <v>26</v>
      </c>
      <c r="C21" t="s">
        <v>24</v>
      </c>
      <c r="D21" t="s">
        <v>21229</v>
      </c>
      <c r="E21" t="s">
        <v>2272</v>
      </c>
      <c r="F21" t="s">
        <v>2267</v>
      </c>
      <c r="G21"/>
      <c r="H21" t="n">
        <v>38.8966801865855</v>
      </c>
      <c r="I21" t="n">
        <v>-104.862623184678</v>
      </c>
      <c r="J21" t="s">
        <v>4109</v>
      </c>
      <c r="K21"/>
      <c r="L21" t="s">
        <v>2445</v>
      </c>
      <c r="M21" t="n">
        <v>1973</v>
      </c>
      <c r="N21" t="n">
        <v>1990</v>
      </c>
      <c r="O21" t="s">
        <v>228</v>
      </c>
      <c r="P21" t="n">
        <v>4</v>
      </c>
      <c r="Q21" t="n">
        <v>1</v>
      </c>
      <c r="R21" t="n">
        <v>1</v>
      </c>
      <c r="S21" t="n">
        <v>1962</v>
      </c>
      <c r="T21" t="s">
        <v>21230</v>
      </c>
      <c r="U21" t="s">
        <v>21231</v>
      </c>
      <c r="V21" t="s">
        <v>74</v>
      </c>
      <c r="W21" t="s">
        <v>21232</v>
      </c>
      <c r="X21" t="s">
        <v>21233</v>
      </c>
      <c r="Y21" t="s">
        <v>21234</v>
      </c>
      <c r="Z21"/>
      <c r="AA21"/>
      <c r="AB21" t="s">
        <v>21235</v>
      </c>
      <c r="AC21" t="n">
        <v>30</v>
      </c>
      <c r="AD21" t="s">
        <v>21236</v>
      </c>
      <c r="AE21" t="n">
        <v>30</v>
      </c>
      <c r="AF21" t="s">
        <v>21237</v>
      </c>
      <c r="AG21" t="n">
        <v>27</v>
      </c>
    </row>
    <row r="22">
      <c r="A22" t="s">
        <v>21238</v>
      </c>
      <c r="B22" t="s">
        <v>26</v>
      </c>
      <c r="C22" t="s">
        <v>65</v>
      </c>
      <c r="D22" t="s">
        <v>21239</v>
      </c>
      <c r="E22" t="s">
        <v>2272</v>
      </c>
      <c r="F22" t="s">
        <v>2267</v>
      </c>
      <c r="G22" t="s">
        <v>2289</v>
      </c>
      <c r="H22" t="n">
        <v>38.8350187295448</v>
      </c>
      <c r="I22" t="n">
        <v>-104.814617366634</v>
      </c>
      <c r="J22" t="s">
        <v>35</v>
      </c>
      <c r="K22"/>
      <c r="L22" t="s">
        <v>9157</v>
      </c>
      <c r="M22" t="n">
        <v>1992</v>
      </c>
      <c r="N22" t="n">
        <v>1992</v>
      </c>
      <c r="O22" t="s">
        <v>1016</v>
      </c>
      <c r="P22" t="n">
        <v>1</v>
      </c>
      <c r="Q22" t="n">
        <v>1</v>
      </c>
      <c r="R22" t="n">
        <v>1</v>
      </c>
      <c r="S22"/>
      <c r="T22" t="s">
        <v>21240</v>
      </c>
      <c r="U22" t="s">
        <v>21241</v>
      </c>
      <c r="V22" t="s">
        <v>74</v>
      </c>
      <c r="W22" t="s">
        <v>21242</v>
      </c>
      <c r="X22"/>
      <c r="Y22"/>
      <c r="Z22"/>
      <c r="AA22"/>
      <c r="AB22" t="s">
        <v>21243</v>
      </c>
      <c r="AC22" t="n">
        <v>47</v>
      </c>
      <c r="AD22"/>
      <c r="AE22"/>
      <c r="AF22" t="s">
        <v>21244</v>
      </c>
      <c r="AG22" t="n">
        <v>177</v>
      </c>
    </row>
    <row r="23">
      <c r="A23" t="s">
        <v>21245</v>
      </c>
      <c r="B23" t="s">
        <v>26</v>
      </c>
      <c r="C23" t="s">
        <v>65</v>
      </c>
      <c r="D23" t="s">
        <v>21246</v>
      </c>
      <c r="E23" t="s">
        <v>2723</v>
      </c>
      <c r="F23" t="s">
        <v>2724</v>
      </c>
      <c r="G23" t="s">
        <v>2778</v>
      </c>
      <c r="H23" t="n">
        <v>39.781121</v>
      </c>
      <c r="I23" t="n">
        <v>-105.165359</v>
      </c>
      <c r="J23" t="s">
        <v>35</v>
      </c>
      <c r="K23"/>
      <c r="L23" t="s">
        <v>202</v>
      </c>
      <c r="M23" t="n">
        <v>1973</v>
      </c>
      <c r="N23" t="n">
        <v>1973</v>
      </c>
      <c r="O23" t="s">
        <v>121</v>
      </c>
      <c r="P23" t="n">
        <v>1</v>
      </c>
      <c r="Q23" t="n">
        <v>1</v>
      </c>
      <c r="R23" t="n">
        <v>1</v>
      </c>
      <c r="S23" t="n">
        <v>1969</v>
      </c>
      <c r="T23" t="s">
        <v>21247</v>
      </c>
      <c r="U23" t="s">
        <v>21248</v>
      </c>
      <c r="V23" t="s">
        <v>74</v>
      </c>
      <c r="W23" t="s">
        <v>21249</v>
      </c>
      <c r="X23"/>
      <c r="Y23" t="s">
        <v>21250</v>
      </c>
      <c r="Z23"/>
      <c r="AA23"/>
      <c r="AB23" t="s">
        <v>21251</v>
      </c>
      <c r="AC23" t="n">
        <v>46</v>
      </c>
      <c r="AD23"/>
      <c r="AE23"/>
      <c r="AF23" t="s">
        <v>9666</v>
      </c>
      <c r="AG23" t="n">
        <v>61</v>
      </c>
    </row>
    <row r="24">
      <c r="A24" t="s">
        <v>21252</v>
      </c>
      <c r="B24" t="s">
        <v>26</v>
      </c>
      <c r="C24" t="s">
        <v>65</v>
      </c>
      <c r="D24" t="s">
        <v>21253</v>
      </c>
      <c r="E24" t="s">
        <v>3170</v>
      </c>
      <c r="F24" t="s">
        <v>3152</v>
      </c>
      <c r="G24" t="s">
        <v>3332</v>
      </c>
      <c r="H24" t="n">
        <v>40.541136</v>
      </c>
      <c r="I24" t="n">
        <v>-105.039266</v>
      </c>
      <c r="J24" t="s">
        <v>35</v>
      </c>
      <c r="K24"/>
      <c r="L24" t="s">
        <v>2814</v>
      </c>
      <c r="M24" t="n">
        <v>1990</v>
      </c>
      <c r="N24" t="n">
        <v>1990</v>
      </c>
      <c r="O24" t="s">
        <v>351</v>
      </c>
      <c r="P24" t="n">
        <v>1</v>
      </c>
      <c r="Q24" t="n">
        <v>1</v>
      </c>
      <c r="R24" t="n">
        <v>1</v>
      </c>
      <c r="S24" t="n">
        <v>1979</v>
      </c>
      <c r="T24" t="s">
        <v>21254</v>
      </c>
      <c r="U24" t="s">
        <v>21255</v>
      </c>
      <c r="V24" t="s">
        <v>74</v>
      </c>
      <c r="W24" t="s">
        <v>21256</v>
      </c>
      <c r="X24" t="s">
        <v>21257</v>
      </c>
      <c r="Y24" t="s">
        <v>21258</v>
      </c>
      <c r="Z24"/>
      <c r="AA24"/>
      <c r="AB24" t="s">
        <v>17896</v>
      </c>
      <c r="AC24" t="n">
        <v>101</v>
      </c>
      <c r="AD24" t="s">
        <v>17897</v>
      </c>
      <c r="AE24" t="n">
        <v>19</v>
      </c>
      <c r="AF24" t="s">
        <v>21259</v>
      </c>
      <c r="AG24" t="n">
        <v>19</v>
      </c>
    </row>
    <row r="25">
      <c r="A25" t="s">
        <v>21260</v>
      </c>
      <c r="B25" t="s">
        <v>26</v>
      </c>
      <c r="C25" t="s">
        <v>24</v>
      </c>
      <c r="D25" t="s">
        <v>21261</v>
      </c>
      <c r="E25" t="s">
        <v>4839</v>
      </c>
      <c r="F25" t="s">
        <v>4840</v>
      </c>
      <c r="G25"/>
      <c r="H25" t="n">
        <v>37.1714815561224</v>
      </c>
      <c r="I25" t="n">
        <v>-104.507665045918</v>
      </c>
      <c r="J25" t="s">
        <v>4109</v>
      </c>
      <c r="K25"/>
      <c r="L25" t="s">
        <v>21111</v>
      </c>
      <c r="M25" t="n">
        <v>1965</v>
      </c>
      <c r="N25" t="n">
        <v>1980</v>
      </c>
      <c r="O25" t="s">
        <v>255</v>
      </c>
      <c r="P25" t="n">
        <v>4</v>
      </c>
      <c r="Q25" t="n">
        <v>2</v>
      </c>
      <c r="R25" t="n">
        <v>1</v>
      </c>
      <c r="S25" t="n">
        <v>1909</v>
      </c>
      <c r="T25" t="s">
        <v>21262</v>
      </c>
      <c r="U25" t="s">
        <v>21263</v>
      </c>
      <c r="V25" t="s">
        <v>74</v>
      </c>
      <c r="W25" t="s">
        <v>21264</v>
      </c>
      <c r="X25"/>
      <c r="Y25" t="s">
        <v>21265</v>
      </c>
      <c r="Z25"/>
      <c r="AA25" t="s">
        <v>21266</v>
      </c>
      <c r="AB25" t="s">
        <v>10129</v>
      </c>
      <c r="AC25" t="n">
        <v>153</v>
      </c>
      <c r="AD25"/>
      <c r="AE25"/>
      <c r="AF25" t="s">
        <v>21267</v>
      </c>
      <c r="AG25" t="n">
        <v>165</v>
      </c>
    </row>
    <row r="26">
      <c r="A26" t="s">
        <v>21268</v>
      </c>
      <c r="B26" t="s">
        <v>26</v>
      </c>
      <c r="C26" t="s">
        <v>65</v>
      </c>
      <c r="D26" t="s">
        <v>21269</v>
      </c>
      <c r="E26" t="s">
        <v>3461</v>
      </c>
      <c r="F26" t="s">
        <v>3462</v>
      </c>
      <c r="G26"/>
      <c r="H26" t="n">
        <v>39.071031003138</v>
      </c>
      <c r="I26" t="n">
        <v>-108.53957012247</v>
      </c>
      <c r="J26" t="s">
        <v>35</v>
      </c>
      <c r="K26"/>
      <c r="L26" t="s">
        <v>202</v>
      </c>
      <c r="M26" t="n">
        <v>1965</v>
      </c>
      <c r="N26" t="n">
        <v>1990</v>
      </c>
      <c r="O26" t="s">
        <v>21270</v>
      </c>
      <c r="P26" t="n">
        <v>9</v>
      </c>
      <c r="Q26" t="n">
        <v>1</v>
      </c>
      <c r="R26" t="n">
        <v>1</v>
      </c>
      <c r="S26" t="n">
        <v>1956</v>
      </c>
      <c r="T26" t="s">
        <v>21271</v>
      </c>
      <c r="U26" t="s">
        <v>21272</v>
      </c>
      <c r="V26" t="s">
        <v>74</v>
      </c>
      <c r="W26" t="s">
        <v>21273</v>
      </c>
      <c r="X26"/>
      <c r="Y26" t="s">
        <v>21274</v>
      </c>
      <c r="Z26"/>
      <c r="AA26"/>
      <c r="AB26" t="s">
        <v>21275</v>
      </c>
      <c r="AC26" t="n">
        <v>105</v>
      </c>
      <c r="AD26"/>
      <c r="AE26"/>
      <c r="AF26" t="s">
        <v>21276</v>
      </c>
      <c r="AG26" t="n">
        <v>0</v>
      </c>
    </row>
    <row r="27">
      <c r="A27" t="s">
        <v>21277</v>
      </c>
      <c r="B27" t="s">
        <v>26</v>
      </c>
      <c r="C27" t="s">
        <v>65</v>
      </c>
      <c r="D27" t="s">
        <v>21278</v>
      </c>
      <c r="E27" t="s">
        <v>3461</v>
      </c>
      <c r="F27" t="s">
        <v>3462</v>
      </c>
      <c r="G27" t="s">
        <v>3487</v>
      </c>
      <c r="H27" t="n">
        <v>39.0713310037655</v>
      </c>
      <c r="I27" t="n">
        <v>-108.539572244936</v>
      </c>
      <c r="J27" t="s">
        <v>35</v>
      </c>
      <c r="K27"/>
      <c r="L27" t="s">
        <v>202</v>
      </c>
      <c r="M27" t="n">
        <v>1968</v>
      </c>
      <c r="N27" t="n">
        <v>1968</v>
      </c>
      <c r="O27" t="s">
        <v>1349</v>
      </c>
      <c r="P27" t="n">
        <v>1</v>
      </c>
      <c r="Q27" t="n">
        <v>1</v>
      </c>
      <c r="R27" t="n">
        <v>1</v>
      </c>
      <c r="S27" t="n">
        <v>1956</v>
      </c>
      <c r="T27" t="s">
        <v>21279</v>
      </c>
      <c r="U27" t="s">
        <v>21280</v>
      </c>
      <c r="V27" t="s">
        <v>74</v>
      </c>
      <c r="W27" t="s">
        <v>21281</v>
      </c>
      <c r="X27"/>
      <c r="Y27" t="s">
        <v>21282</v>
      </c>
      <c r="Z27"/>
      <c r="AA27"/>
      <c r="AB27" t="s">
        <v>21275</v>
      </c>
      <c r="AC27" t="n">
        <v>136</v>
      </c>
      <c r="AD27"/>
      <c r="AE27"/>
      <c r="AF27" t="s">
        <v>21276</v>
      </c>
      <c r="AG27" t="n">
        <v>34</v>
      </c>
    </row>
    <row r="28">
      <c r="A28" t="s">
        <v>21283</v>
      </c>
      <c r="B28" t="s">
        <v>26</v>
      </c>
      <c r="C28" t="s">
        <v>24</v>
      </c>
      <c r="D28" t="s">
        <v>21284</v>
      </c>
      <c r="E28" t="s">
        <v>3967</v>
      </c>
      <c r="F28" t="s">
        <v>3950</v>
      </c>
      <c r="G28"/>
      <c r="H28" t="n">
        <v>40.4211274285714</v>
      </c>
      <c r="I28" t="n">
        <v>-104.685707142857</v>
      </c>
      <c r="J28" t="s">
        <v>4109</v>
      </c>
      <c r="K28"/>
      <c r="L28" t="s">
        <v>2901</v>
      </c>
      <c r="M28" t="n">
        <v>1965</v>
      </c>
      <c r="N28" t="n">
        <v>1965</v>
      </c>
      <c r="O28" t="s">
        <v>1275</v>
      </c>
      <c r="P28" t="n">
        <v>1</v>
      </c>
      <c r="Q28" t="n">
        <v>1</v>
      </c>
      <c r="R28" t="n">
        <v>1</v>
      </c>
      <c r="S28"/>
      <c r="T28" t="s">
        <v>21285</v>
      </c>
      <c r="U28" t="s">
        <v>21286</v>
      </c>
      <c r="V28" t="s">
        <v>74</v>
      </c>
      <c r="W28" t="s">
        <v>21287</v>
      </c>
      <c r="X28"/>
      <c r="Y28" t="s">
        <v>21288</v>
      </c>
      <c r="Z28"/>
      <c r="AA28" t="s">
        <v>21289</v>
      </c>
      <c r="AB28" t="s">
        <v>3972</v>
      </c>
      <c r="AC28" t="n">
        <v>160</v>
      </c>
      <c r="AD28"/>
      <c r="AE28"/>
      <c r="AF28" t="s">
        <v>21290</v>
      </c>
      <c r="AG28" t="n">
        <v>147</v>
      </c>
    </row>
    <row r="29">
      <c r="A29" t="s">
        <v>21291</v>
      </c>
      <c r="B29" t="s">
        <v>31</v>
      </c>
      <c r="C29" t="s">
        <v>65</v>
      </c>
      <c r="D29" t="s">
        <v>21292</v>
      </c>
      <c r="E29" t="s">
        <v>177</v>
      </c>
      <c r="F29" t="s">
        <v>68</v>
      </c>
      <c r="G29" t="s">
        <v>178</v>
      </c>
      <c r="H29" t="n">
        <v>39.8279123061224</v>
      </c>
      <c r="I29" t="n">
        <v>-105.037469918367</v>
      </c>
      <c r="J29" t="s">
        <v>35</v>
      </c>
      <c r="K29"/>
      <c r="L29" t="s">
        <v>202</v>
      </c>
      <c r="M29" t="n">
        <v>1980</v>
      </c>
      <c r="N29" t="n">
        <v>1980</v>
      </c>
      <c r="O29" t="s">
        <v>255</v>
      </c>
      <c r="P29" t="n">
        <v>1</v>
      </c>
      <c r="Q29" t="n">
        <v>1</v>
      </c>
      <c r="R29" t="n">
        <v>1</v>
      </c>
      <c r="S29" t="n">
        <v>1979</v>
      </c>
      <c r="T29" t="s">
        <v>21293</v>
      </c>
      <c r="U29" t="s">
        <v>21294</v>
      </c>
      <c r="V29" t="s">
        <v>74</v>
      </c>
      <c r="W29"/>
      <c r="X29"/>
      <c r="Y29"/>
      <c r="Z29"/>
      <c r="AA29"/>
      <c r="AB29" t="s">
        <v>12843</v>
      </c>
      <c r="AC29" t="n">
        <v>179</v>
      </c>
      <c r="AD29"/>
      <c r="AE29"/>
      <c r="AF29" t="s">
        <v>21295</v>
      </c>
      <c r="AG29" t="n">
        <v>146</v>
      </c>
    </row>
    <row r="30">
      <c r="A30" t="s">
        <v>21296</v>
      </c>
      <c r="B30" t="s">
        <v>31</v>
      </c>
      <c r="C30" t="s">
        <v>65</v>
      </c>
      <c r="D30" t="s">
        <v>21297</v>
      </c>
      <c r="E30" t="s">
        <v>170</v>
      </c>
      <c r="F30" t="s">
        <v>68</v>
      </c>
      <c r="G30" t="s">
        <v>171</v>
      </c>
      <c r="H30" t="n">
        <v>39.8863864899998</v>
      </c>
      <c r="I30" t="n">
        <v>-104.962577294015</v>
      </c>
      <c r="J30" t="s">
        <v>35</v>
      </c>
      <c r="K30"/>
      <c r="L30" t="s">
        <v>2814</v>
      </c>
      <c r="M30" t="n">
        <v>1988</v>
      </c>
      <c r="N30" t="n">
        <v>1990</v>
      </c>
      <c r="O30" t="s">
        <v>310</v>
      </c>
      <c r="P30" t="n">
        <v>2</v>
      </c>
      <c r="Q30" t="n">
        <v>1</v>
      </c>
      <c r="R30" t="n">
        <v>1</v>
      </c>
      <c r="S30" t="n">
        <v>1987</v>
      </c>
      <c r="T30" t="s">
        <v>21298</v>
      </c>
      <c r="U30" t="s">
        <v>21299</v>
      </c>
      <c r="V30" t="s">
        <v>74</v>
      </c>
      <c r="W30"/>
      <c r="X30"/>
      <c r="Y30"/>
      <c r="Z30"/>
      <c r="AA30"/>
      <c r="AB30"/>
      <c r="AC30"/>
      <c r="AD30"/>
      <c r="AE30"/>
      <c r="AF30" t="s">
        <v>21300</v>
      </c>
      <c r="AG30" t="n">
        <v>156</v>
      </c>
    </row>
    <row r="31">
      <c r="A31" t="s">
        <v>21301</v>
      </c>
      <c r="B31" t="s">
        <v>31</v>
      </c>
      <c r="C31" t="s">
        <v>65</v>
      </c>
      <c r="D31" t="s">
        <v>21302</v>
      </c>
      <c r="E31" t="s">
        <v>177</v>
      </c>
      <c r="F31" t="s">
        <v>68</v>
      </c>
      <c r="G31" t="s">
        <v>178</v>
      </c>
      <c r="H31" t="n">
        <v>39.8417884897959</v>
      </c>
      <c r="I31" t="n">
        <v>-105.050799265306</v>
      </c>
      <c r="J31" t="s">
        <v>35</v>
      </c>
      <c r="K31"/>
      <c r="L31" t="s">
        <v>1002</v>
      </c>
      <c r="M31" t="n">
        <v>1988</v>
      </c>
      <c r="N31" t="n">
        <v>1988</v>
      </c>
      <c r="O31" t="s">
        <v>325</v>
      </c>
      <c r="P31" t="n">
        <v>1</v>
      </c>
      <c r="Q31" t="n">
        <v>1</v>
      </c>
      <c r="R31" t="n">
        <v>1</v>
      </c>
      <c r="S31" t="n">
        <v>1972</v>
      </c>
      <c r="T31" t="s">
        <v>21303</v>
      </c>
      <c r="U31" t="s">
        <v>21304</v>
      </c>
      <c r="V31" t="s">
        <v>74</v>
      </c>
      <c r="W31"/>
      <c r="X31"/>
      <c r="Y31"/>
      <c r="Z31"/>
      <c r="AA31"/>
      <c r="AB31"/>
      <c r="AC31"/>
      <c r="AD31"/>
      <c r="AE31"/>
      <c r="AF31" t="s">
        <v>21305</v>
      </c>
      <c r="AG31" t="n">
        <v>169</v>
      </c>
    </row>
    <row r="32">
      <c r="A32" t="s">
        <v>21306</v>
      </c>
      <c r="B32" t="s">
        <v>31</v>
      </c>
      <c r="C32" t="s">
        <v>65</v>
      </c>
      <c r="D32" t="s">
        <v>21307</v>
      </c>
      <c r="E32" t="s">
        <v>386</v>
      </c>
      <c r="F32" t="s">
        <v>387</v>
      </c>
      <c r="G32" t="s">
        <v>428</v>
      </c>
      <c r="H32" t="n">
        <v>39.5940409673902</v>
      </c>
      <c r="I32" t="n">
        <v>-105.019777850801</v>
      </c>
      <c r="J32" t="s">
        <v>35</v>
      </c>
      <c r="K32"/>
      <c r="L32" t="s">
        <v>202</v>
      </c>
      <c r="M32" t="n">
        <v>1973</v>
      </c>
      <c r="N32" t="n">
        <v>1974</v>
      </c>
      <c r="O32" t="s">
        <v>127</v>
      </c>
      <c r="P32" t="n">
        <v>2</v>
      </c>
      <c r="Q32" t="n">
        <v>1</v>
      </c>
      <c r="R32" t="n">
        <v>1</v>
      </c>
      <c r="S32" t="n">
        <v>1971</v>
      </c>
      <c r="T32" t="s">
        <v>21308</v>
      </c>
      <c r="U32" t="s">
        <v>21309</v>
      </c>
      <c r="V32" t="s">
        <v>74</v>
      </c>
      <c r="W32"/>
      <c r="X32"/>
      <c r="Y32"/>
      <c r="Z32"/>
      <c r="AA32"/>
      <c r="AB32" t="s">
        <v>21310</v>
      </c>
      <c r="AC32" t="n">
        <v>164</v>
      </c>
      <c r="AD32"/>
      <c r="AE32"/>
      <c r="AF32"/>
      <c r="AG32"/>
    </row>
    <row r="33">
      <c r="A33" t="s">
        <v>21311</v>
      </c>
      <c r="B33" t="s">
        <v>31</v>
      </c>
      <c r="C33" t="s">
        <v>65</v>
      </c>
      <c r="D33" t="s">
        <v>21312</v>
      </c>
      <c r="E33" t="s">
        <v>386</v>
      </c>
      <c r="F33" t="s">
        <v>387</v>
      </c>
      <c r="G33" t="s">
        <v>428</v>
      </c>
      <c r="H33" t="n">
        <v>39.5712276985517</v>
      </c>
      <c r="I33" t="n">
        <v>-105.005591436584</v>
      </c>
      <c r="J33" t="s">
        <v>35</v>
      </c>
      <c r="K33"/>
      <c r="L33" t="s">
        <v>202</v>
      </c>
      <c r="M33" t="n">
        <v>1988</v>
      </c>
      <c r="N33" t="n">
        <v>1992</v>
      </c>
      <c r="O33" t="s">
        <v>351</v>
      </c>
      <c r="P33" t="n">
        <v>3</v>
      </c>
      <c r="Q33" t="n">
        <v>4</v>
      </c>
      <c r="R33" t="n">
        <v>1</v>
      </c>
      <c r="S33" t="n">
        <v>1962</v>
      </c>
      <c r="T33" t="s">
        <v>21313</v>
      </c>
      <c r="U33" t="s">
        <v>21314</v>
      </c>
      <c r="V33" t="s">
        <v>74</v>
      </c>
      <c r="W33"/>
      <c r="X33"/>
      <c r="Y33"/>
      <c r="Z33"/>
      <c r="AA33"/>
      <c r="AB33"/>
      <c r="AC33"/>
      <c r="AD33" t="s">
        <v>21315</v>
      </c>
      <c r="AE33" t="n">
        <v>229</v>
      </c>
      <c r="AF33" t="s">
        <v>21316</v>
      </c>
      <c r="AG33" t="n">
        <v>181</v>
      </c>
    </row>
    <row r="34">
      <c r="A34" t="s">
        <v>21317</v>
      </c>
      <c r="B34" t="s">
        <v>31</v>
      </c>
      <c r="C34" t="s">
        <v>65</v>
      </c>
      <c r="D34" t="s">
        <v>21318</v>
      </c>
      <c r="E34" t="s">
        <v>394</v>
      </c>
      <c r="F34" t="s">
        <v>387</v>
      </c>
      <c r="G34" t="s">
        <v>553</v>
      </c>
      <c r="H34" t="n">
        <v>39.58573</v>
      </c>
      <c r="I34" t="n">
        <v>-104.821119</v>
      </c>
      <c r="J34" t="s">
        <v>35</v>
      </c>
      <c r="K34"/>
      <c r="L34" t="s">
        <v>202</v>
      </c>
      <c r="M34" t="n">
        <v>1990</v>
      </c>
      <c r="N34" t="n">
        <v>1990</v>
      </c>
      <c r="O34" t="s">
        <v>351</v>
      </c>
      <c r="P34" t="n">
        <v>1</v>
      </c>
      <c r="Q34" t="n">
        <v>1</v>
      </c>
      <c r="R34" t="n">
        <v>1</v>
      </c>
      <c r="S34" t="n">
        <v>1985</v>
      </c>
      <c r="T34" t="s">
        <v>21319</v>
      </c>
      <c r="U34" t="s">
        <v>21320</v>
      </c>
      <c r="V34" t="s">
        <v>74</v>
      </c>
      <c r="W34"/>
      <c r="X34"/>
      <c r="Y34"/>
      <c r="Z34"/>
      <c r="AA34"/>
      <c r="AB34"/>
      <c r="AC34"/>
      <c r="AD34"/>
      <c r="AE34"/>
      <c r="AF34" t="s">
        <v>21321</v>
      </c>
      <c r="AG34" t="n">
        <v>96</v>
      </c>
    </row>
    <row r="35">
      <c r="A35" t="s">
        <v>21322</v>
      </c>
      <c r="B35" t="s">
        <v>31</v>
      </c>
      <c r="C35" t="s">
        <v>65</v>
      </c>
      <c r="D35" t="s">
        <v>21323</v>
      </c>
      <c r="E35" t="s">
        <v>723</v>
      </c>
      <c r="F35" t="s">
        <v>724</v>
      </c>
      <c r="G35" t="s">
        <v>817</v>
      </c>
      <c r="H35" t="n">
        <v>40.0262503948922</v>
      </c>
      <c r="I35" t="n">
        <v>-105.178514246653</v>
      </c>
      <c r="J35" t="s">
        <v>35</v>
      </c>
      <c r="K35"/>
      <c r="L35" t="s">
        <v>202</v>
      </c>
      <c r="M35" t="n">
        <v>1967</v>
      </c>
      <c r="N35" t="n">
        <v>1990</v>
      </c>
      <c r="O35" t="s">
        <v>3494</v>
      </c>
      <c r="P35" t="n">
        <v>4</v>
      </c>
      <c r="Q35" t="n">
        <v>2</v>
      </c>
      <c r="R35" t="n">
        <v>2</v>
      </c>
      <c r="S35" t="n">
        <v>1942</v>
      </c>
      <c r="T35" t="s">
        <v>21324</v>
      </c>
      <c r="U35" t="s">
        <v>21325</v>
      </c>
      <c r="V35" t="s">
        <v>74</v>
      </c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21326</v>
      </c>
      <c r="B36" t="s">
        <v>31</v>
      </c>
      <c r="C36" t="s">
        <v>65</v>
      </c>
      <c r="D36" t="s">
        <v>21327</v>
      </c>
      <c r="E36" t="s">
        <v>723</v>
      </c>
      <c r="F36" t="s">
        <v>724</v>
      </c>
      <c r="G36" t="s">
        <v>725</v>
      </c>
      <c r="H36" t="n">
        <v>40.0172297693877</v>
      </c>
      <c r="I36" t="n">
        <v>-105.278341765306</v>
      </c>
      <c r="J36" t="s">
        <v>35</v>
      </c>
      <c r="K36"/>
      <c r="L36" t="s">
        <v>2814</v>
      </c>
      <c r="M36" t="n">
        <v>1973</v>
      </c>
      <c r="N36" t="n">
        <v>1983</v>
      </c>
      <c r="O36" t="s">
        <v>255</v>
      </c>
      <c r="P36" t="n">
        <v>3</v>
      </c>
      <c r="Q36" t="n">
        <v>4</v>
      </c>
      <c r="R36" t="n">
        <v>1</v>
      </c>
      <c r="S36" t="n">
        <v>1962</v>
      </c>
      <c r="T36" t="s">
        <v>21328</v>
      </c>
      <c r="U36" t="s">
        <v>21329</v>
      </c>
      <c r="V36" t="s">
        <v>74</v>
      </c>
      <c r="W36"/>
      <c r="X36"/>
      <c r="Y36"/>
      <c r="Z36"/>
      <c r="AA36"/>
      <c r="AB36" t="s">
        <v>21330</v>
      </c>
      <c r="AC36" t="n">
        <v>117</v>
      </c>
      <c r="AD36"/>
      <c r="AE36"/>
      <c r="AF36" t="s">
        <v>793</v>
      </c>
      <c r="AG36" t="n">
        <v>202</v>
      </c>
    </row>
    <row r="37">
      <c r="A37" t="s">
        <v>21331</v>
      </c>
      <c r="B37" t="s">
        <v>31</v>
      </c>
      <c r="C37" t="s">
        <v>65</v>
      </c>
      <c r="D37" t="s">
        <v>21332</v>
      </c>
      <c r="E37" t="s">
        <v>723</v>
      </c>
      <c r="F37" t="s">
        <v>724</v>
      </c>
      <c r="G37" t="s">
        <v>725</v>
      </c>
      <c r="H37" t="n">
        <v>40.0165074382621</v>
      </c>
      <c r="I37" t="n">
        <v>-105.186897017338</v>
      </c>
      <c r="J37" t="s">
        <v>35</v>
      </c>
      <c r="K37"/>
      <c r="L37" t="s">
        <v>202</v>
      </c>
      <c r="M37" t="n">
        <v>1980</v>
      </c>
      <c r="N37" t="n">
        <v>1983</v>
      </c>
      <c r="O37" t="s">
        <v>264</v>
      </c>
      <c r="P37" t="n">
        <v>2</v>
      </c>
      <c r="Q37" t="n">
        <v>2</v>
      </c>
      <c r="R37" t="n">
        <v>1</v>
      </c>
      <c r="S37" t="n">
        <v>1978</v>
      </c>
      <c r="T37" t="s">
        <v>21333</v>
      </c>
      <c r="U37" t="s">
        <v>21334</v>
      </c>
      <c r="V37" t="s">
        <v>74</v>
      </c>
      <c r="W37"/>
      <c r="X37"/>
      <c r="Y37"/>
      <c r="Z37"/>
      <c r="AA37"/>
      <c r="AB37"/>
      <c r="AC37"/>
      <c r="AD37"/>
      <c r="AE37"/>
      <c r="AF37" t="s">
        <v>13857</v>
      </c>
      <c r="AG37" t="n">
        <v>82</v>
      </c>
    </row>
    <row r="38">
      <c r="A38" t="s">
        <v>21335</v>
      </c>
      <c r="B38" t="s">
        <v>31</v>
      </c>
      <c r="C38" t="s">
        <v>24</v>
      </c>
      <c r="D38" t="s">
        <v>21336</v>
      </c>
      <c r="E38" t="s">
        <v>723</v>
      </c>
      <c r="F38" t="s">
        <v>724</v>
      </c>
      <c r="G38" t="s">
        <v>725</v>
      </c>
      <c r="H38" t="n">
        <v>40.1186611428571</v>
      </c>
      <c r="I38" t="n">
        <v>-105.28230055102</v>
      </c>
      <c r="J38" t="s">
        <v>4109</v>
      </c>
      <c r="K38"/>
      <c r="L38" t="s">
        <v>202</v>
      </c>
      <c r="M38" t="n">
        <v>1983</v>
      </c>
      <c r="N38" t="n">
        <v>1983</v>
      </c>
      <c r="O38" t="s">
        <v>264</v>
      </c>
      <c r="P38" t="n">
        <v>1</v>
      </c>
      <c r="Q38" t="n">
        <v>1</v>
      </c>
      <c r="R38" t="n">
        <v>1</v>
      </c>
      <c r="S38" t="n">
        <v>1976</v>
      </c>
      <c r="T38" t="s">
        <v>21337</v>
      </c>
      <c r="U38" t="s">
        <v>21338</v>
      </c>
      <c r="V38" t="s">
        <v>74</v>
      </c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21339</v>
      </c>
      <c r="B39" t="s">
        <v>31</v>
      </c>
      <c r="C39" t="s">
        <v>65</v>
      </c>
      <c r="D39" t="s">
        <v>21340</v>
      </c>
      <c r="E39" t="s">
        <v>723</v>
      </c>
      <c r="F39" t="s">
        <v>724</v>
      </c>
      <c r="G39" t="s">
        <v>817</v>
      </c>
      <c r="H39" t="n">
        <v>40.0582937912288</v>
      </c>
      <c r="I39" t="n">
        <v>-105.266304712205</v>
      </c>
      <c r="J39" t="s">
        <v>35</v>
      </c>
      <c r="K39"/>
      <c r="L39" t="s">
        <v>1117</v>
      </c>
      <c r="M39" t="n">
        <v>1988</v>
      </c>
      <c r="N39" t="n">
        <v>1992</v>
      </c>
      <c r="O39" t="s">
        <v>351</v>
      </c>
      <c r="P39" t="n">
        <v>3</v>
      </c>
      <c r="Q39" t="n">
        <v>3</v>
      </c>
      <c r="R39" t="n">
        <v>1</v>
      </c>
      <c r="S39" t="n">
        <v>1964</v>
      </c>
      <c r="T39" t="s">
        <v>21341</v>
      </c>
      <c r="U39" t="s">
        <v>21342</v>
      </c>
      <c r="V39" t="s">
        <v>74</v>
      </c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21343</v>
      </c>
      <c r="B40" t="s">
        <v>31</v>
      </c>
      <c r="C40" t="s">
        <v>65</v>
      </c>
      <c r="D40" t="s">
        <v>21344</v>
      </c>
      <c r="E40" t="s">
        <v>1164</v>
      </c>
      <c r="F40" t="s">
        <v>1165</v>
      </c>
      <c r="G40" t="s">
        <v>1166</v>
      </c>
      <c r="H40" t="n">
        <v>39.9199276682926</v>
      </c>
      <c r="I40" t="n">
        <v>-105.094389119563</v>
      </c>
      <c r="J40" t="s">
        <v>35</v>
      </c>
      <c r="K40"/>
      <c r="L40" t="s">
        <v>202</v>
      </c>
      <c r="M40" t="n">
        <v>1967</v>
      </c>
      <c r="N40" t="n">
        <v>1970</v>
      </c>
      <c r="O40" t="s">
        <v>3494</v>
      </c>
      <c r="P40" t="n">
        <v>3</v>
      </c>
      <c r="Q40" t="n">
        <v>2</v>
      </c>
      <c r="R40" t="n">
        <v>2</v>
      </c>
      <c r="S40" t="n">
        <v>1953</v>
      </c>
      <c r="T40" t="s">
        <v>21345</v>
      </c>
      <c r="U40" t="s">
        <v>21346</v>
      </c>
      <c r="V40" t="s">
        <v>74</v>
      </c>
      <c r="W40"/>
      <c r="X40"/>
      <c r="Y40"/>
      <c r="Z40"/>
      <c r="AA40"/>
      <c r="AB40"/>
      <c r="AC40"/>
      <c r="AD40"/>
      <c r="AE40"/>
      <c r="AF40" t="s">
        <v>6474</v>
      </c>
      <c r="AG40" t="n">
        <v>77</v>
      </c>
    </row>
    <row r="41">
      <c r="A41" t="s">
        <v>21347</v>
      </c>
      <c r="B41" t="s">
        <v>31</v>
      </c>
      <c r="C41" t="s">
        <v>24</v>
      </c>
      <c r="D41" t="s">
        <v>21348</v>
      </c>
      <c r="E41" t="s">
        <v>1164</v>
      </c>
      <c r="F41" t="s">
        <v>1165</v>
      </c>
      <c r="G41" t="s">
        <v>1166</v>
      </c>
      <c r="H41" t="n">
        <v>39.926685</v>
      </c>
      <c r="I41" t="n">
        <v>-105.058133</v>
      </c>
      <c r="J41" t="s">
        <v>4109</v>
      </c>
      <c r="K41"/>
      <c r="L41" t="s">
        <v>202</v>
      </c>
      <c r="M41" t="n">
        <v>1980</v>
      </c>
      <c r="N41" t="n">
        <v>1983</v>
      </c>
      <c r="O41" t="s">
        <v>264</v>
      </c>
      <c r="P41" t="n">
        <v>2</v>
      </c>
      <c r="Q41" t="n">
        <v>2</v>
      </c>
      <c r="R41" t="n">
        <v>1</v>
      </c>
      <c r="S41" t="n">
        <v>1980</v>
      </c>
      <c r="T41" t="s">
        <v>21349</v>
      </c>
      <c r="U41" t="s">
        <v>21350</v>
      </c>
      <c r="V41" t="s">
        <v>74</v>
      </c>
      <c r="W41"/>
      <c r="X41"/>
      <c r="Y41"/>
      <c r="Z41"/>
      <c r="AA41"/>
      <c r="AB41"/>
      <c r="AC41"/>
      <c r="AD41"/>
      <c r="AE41"/>
      <c r="AF41"/>
      <c r="AG41"/>
    </row>
    <row r="42">
      <c r="A42" t="s">
        <v>21351</v>
      </c>
      <c r="B42" t="s">
        <v>31</v>
      </c>
      <c r="C42" t="s">
        <v>65</v>
      </c>
      <c r="D42" t="s">
        <v>21352</v>
      </c>
      <c r="E42" t="s">
        <v>1164</v>
      </c>
      <c r="F42" t="s">
        <v>1165</v>
      </c>
      <c r="G42" t="s">
        <v>1166</v>
      </c>
      <c r="H42" t="n">
        <v>39.918302</v>
      </c>
      <c r="I42" t="n">
        <v>-105.111836</v>
      </c>
      <c r="J42" t="s">
        <v>35</v>
      </c>
      <c r="K42"/>
      <c r="L42" t="s">
        <v>202</v>
      </c>
      <c r="M42" t="n">
        <v>1990</v>
      </c>
      <c r="N42" t="n">
        <v>1990</v>
      </c>
      <c r="O42" t="s">
        <v>351</v>
      </c>
      <c r="P42" t="n">
        <v>1</v>
      </c>
      <c r="Q42" t="n">
        <v>1</v>
      </c>
      <c r="R42" t="n">
        <v>1</v>
      </c>
      <c r="S42" t="n">
        <v>1982</v>
      </c>
      <c r="T42" t="s">
        <v>21353</v>
      </c>
      <c r="U42" t="s">
        <v>21354</v>
      </c>
      <c r="V42" t="s">
        <v>74</v>
      </c>
      <c r="W42"/>
      <c r="X42"/>
      <c r="Y42"/>
      <c r="Z42"/>
      <c r="AA42"/>
      <c r="AB42"/>
      <c r="AC42"/>
      <c r="AD42"/>
      <c r="AE42"/>
      <c r="AF42" t="s">
        <v>21355</v>
      </c>
      <c r="AG42" t="n">
        <v>165</v>
      </c>
    </row>
    <row r="43">
      <c r="A43" t="s">
        <v>21356</v>
      </c>
      <c r="B43" t="s">
        <v>31</v>
      </c>
      <c r="C43" t="s">
        <v>65</v>
      </c>
      <c r="D43" t="s">
        <v>21357</v>
      </c>
      <c r="E43" t="s">
        <v>79</v>
      </c>
      <c r="F43" t="s">
        <v>1274</v>
      </c>
      <c r="G43"/>
      <c r="H43" t="n">
        <v>39.6965225877423</v>
      </c>
      <c r="I43" t="n">
        <v>-104.980375015574</v>
      </c>
      <c r="J43" t="s">
        <v>35</v>
      </c>
      <c r="K43"/>
      <c r="L43" t="s">
        <v>554</v>
      </c>
      <c r="M43" t="n">
        <v>1965</v>
      </c>
      <c r="N43" t="n">
        <v>1983</v>
      </c>
      <c r="O43" t="s">
        <v>210</v>
      </c>
      <c r="P43" t="n">
        <v>4</v>
      </c>
      <c r="Q43" t="n">
        <v>4</v>
      </c>
      <c r="R43" t="n">
        <v>1</v>
      </c>
      <c r="S43" t="n">
        <v>1957</v>
      </c>
      <c r="T43" t="s">
        <v>21358</v>
      </c>
      <c r="U43" t="s">
        <v>21359</v>
      </c>
      <c r="V43" t="s">
        <v>74</v>
      </c>
      <c r="W43"/>
      <c r="X43"/>
      <c r="Y43"/>
      <c r="Z43"/>
      <c r="AA43"/>
      <c r="AB43"/>
      <c r="AC43"/>
      <c r="AD43"/>
      <c r="AE43"/>
      <c r="AF43" t="s">
        <v>21360</v>
      </c>
      <c r="AG43" t="n">
        <v>125</v>
      </c>
    </row>
    <row r="44">
      <c r="A44" t="s">
        <v>21361</v>
      </c>
      <c r="B44" t="s">
        <v>31</v>
      </c>
      <c r="C44" t="s">
        <v>25</v>
      </c>
      <c r="D44" t="s">
        <v>21362</v>
      </c>
      <c r="E44" t="s">
        <v>79</v>
      </c>
      <c r="F44" t="s">
        <v>1274</v>
      </c>
      <c r="G44" t="s">
        <v>4335</v>
      </c>
      <c r="H44" t="n">
        <v>39.7252465103501</v>
      </c>
      <c r="I44" t="n">
        <v>-104.969439083135</v>
      </c>
      <c r="J44" t="s">
        <v>4109</v>
      </c>
      <c r="K44"/>
      <c r="L44" t="s">
        <v>554</v>
      </c>
      <c r="M44" t="n">
        <v>1966</v>
      </c>
      <c r="N44" t="n">
        <v>1966</v>
      </c>
      <c r="O44" t="s">
        <v>4172</v>
      </c>
      <c r="P44" t="n">
        <v>1</v>
      </c>
      <c r="Q44" t="n">
        <v>1</v>
      </c>
      <c r="R44" t="n">
        <v>1</v>
      </c>
      <c r="S44" t="n">
        <v>1961</v>
      </c>
      <c r="T44" t="s">
        <v>21363</v>
      </c>
      <c r="U44" t="s">
        <v>21364</v>
      </c>
      <c r="V44" t="s">
        <v>4175</v>
      </c>
      <c r="W44"/>
      <c r="X44"/>
      <c r="Y44"/>
      <c r="Z44"/>
      <c r="AA44"/>
      <c r="AB44" t="s">
        <v>21365</v>
      </c>
      <c r="AC44" t="n">
        <v>221</v>
      </c>
      <c r="AD44"/>
      <c r="AE44"/>
      <c r="AF44" t="s">
        <v>21366</v>
      </c>
      <c r="AG44" t="n">
        <v>153</v>
      </c>
    </row>
    <row r="45">
      <c r="A45" t="s">
        <v>21367</v>
      </c>
      <c r="B45" t="s">
        <v>31</v>
      </c>
      <c r="C45" t="s">
        <v>65</v>
      </c>
      <c r="D45" t="s">
        <v>21368</v>
      </c>
      <c r="E45" t="s">
        <v>79</v>
      </c>
      <c r="F45" t="s">
        <v>1274</v>
      </c>
      <c r="G45" t="s">
        <v>1569</v>
      </c>
      <c r="H45" t="n">
        <v>39.6922371153509</v>
      </c>
      <c r="I45" t="n">
        <v>-104.978080773015</v>
      </c>
      <c r="J45" t="s">
        <v>35</v>
      </c>
      <c r="K45"/>
      <c r="L45" t="s">
        <v>554</v>
      </c>
      <c r="M45" t="n">
        <v>1966</v>
      </c>
      <c r="N45" t="n">
        <v>1980</v>
      </c>
      <c r="O45" t="s">
        <v>255</v>
      </c>
      <c r="P45" t="n">
        <v>4</v>
      </c>
      <c r="Q45" t="n">
        <v>3</v>
      </c>
      <c r="R45" t="n">
        <v>1</v>
      </c>
      <c r="S45" t="n">
        <v>1909</v>
      </c>
      <c r="T45" t="s">
        <v>21369</v>
      </c>
      <c r="U45" t="s">
        <v>21370</v>
      </c>
      <c r="V45" t="s">
        <v>74</v>
      </c>
      <c r="W45"/>
      <c r="X45"/>
      <c r="Y45"/>
      <c r="Z45"/>
      <c r="AA45"/>
      <c r="AB45"/>
      <c r="AC45"/>
      <c r="AD45"/>
      <c r="AE45"/>
      <c r="AF45"/>
      <c r="AG45"/>
    </row>
    <row r="46">
      <c r="A46" t="s">
        <v>21371</v>
      </c>
      <c r="B46" t="s">
        <v>31</v>
      </c>
      <c r="C46" t="s">
        <v>65</v>
      </c>
      <c r="D46" t="s">
        <v>21372</v>
      </c>
      <c r="E46" t="s">
        <v>79</v>
      </c>
      <c r="F46" t="s">
        <v>1274</v>
      </c>
      <c r="G46" t="s">
        <v>2170</v>
      </c>
      <c r="H46" t="n">
        <v>39.6501006238957</v>
      </c>
      <c r="I46" t="n">
        <v>-104.922999053295</v>
      </c>
      <c r="J46" t="s">
        <v>35</v>
      </c>
      <c r="K46"/>
      <c r="L46" t="s">
        <v>202</v>
      </c>
      <c r="M46" t="n">
        <v>1966</v>
      </c>
      <c r="N46" t="n">
        <v>1988</v>
      </c>
      <c r="O46" t="s">
        <v>1668</v>
      </c>
      <c r="P46" t="n">
        <v>8</v>
      </c>
      <c r="Q46" t="n">
        <v>2</v>
      </c>
      <c r="R46" t="n">
        <v>1</v>
      </c>
      <c r="S46" t="n">
        <v>1958</v>
      </c>
      <c r="T46" t="s">
        <v>21373</v>
      </c>
      <c r="U46" t="s">
        <v>21374</v>
      </c>
      <c r="V46" t="s">
        <v>74</v>
      </c>
      <c r="W46"/>
      <c r="X46"/>
      <c r="Y46"/>
      <c r="Z46"/>
      <c r="AA46"/>
      <c r="AB46"/>
      <c r="AC46"/>
      <c r="AD46"/>
      <c r="AE46"/>
      <c r="AF46"/>
      <c r="AG46"/>
    </row>
    <row r="47">
      <c r="A47" t="s">
        <v>21375</v>
      </c>
      <c r="B47" t="s">
        <v>31</v>
      </c>
      <c r="C47" t="s">
        <v>24</v>
      </c>
      <c r="D47" t="s">
        <v>21376</v>
      </c>
      <c r="E47" t="s">
        <v>79</v>
      </c>
      <c r="F47" t="s">
        <v>1274</v>
      </c>
      <c r="G47" t="s">
        <v>1540</v>
      </c>
      <c r="H47" t="n">
        <v>39.7826382263798</v>
      </c>
      <c r="I47" t="n">
        <v>-105.040432244911</v>
      </c>
      <c r="J47" t="s">
        <v>35</v>
      </c>
      <c r="K47"/>
      <c r="L47" t="s">
        <v>2204</v>
      </c>
      <c r="M47" t="n">
        <v>1966</v>
      </c>
      <c r="N47" t="n">
        <v>1966</v>
      </c>
      <c r="O47" t="s">
        <v>4172</v>
      </c>
      <c r="P47" t="n">
        <v>1</v>
      </c>
      <c r="Q47" t="n">
        <v>1</v>
      </c>
      <c r="R47" t="n">
        <v>1</v>
      </c>
      <c r="S47" t="n">
        <v>1949</v>
      </c>
      <c r="T47" t="s">
        <v>21377</v>
      </c>
      <c r="U47" t="s">
        <v>21378</v>
      </c>
      <c r="V47" t="s">
        <v>4175</v>
      </c>
      <c r="W47"/>
      <c r="X47"/>
      <c r="Y47"/>
      <c r="Z47"/>
      <c r="AA47"/>
      <c r="AB47"/>
      <c r="AC47"/>
      <c r="AD47"/>
      <c r="AE47"/>
      <c r="AF47"/>
      <c r="AG47"/>
    </row>
    <row r="48">
      <c r="A48" t="s">
        <v>21379</v>
      </c>
      <c r="B48" t="s">
        <v>31</v>
      </c>
      <c r="C48" t="s">
        <v>24</v>
      </c>
      <c r="D48" t="s">
        <v>21380</v>
      </c>
      <c r="E48" t="s">
        <v>79</v>
      </c>
      <c r="F48" t="s">
        <v>1274</v>
      </c>
      <c r="G48" t="s">
        <v>1612</v>
      </c>
      <c r="H48" t="n">
        <v>39.7060454225949</v>
      </c>
      <c r="I48" t="n">
        <v>-105.040107719341</v>
      </c>
      <c r="J48" t="s">
        <v>35</v>
      </c>
      <c r="K48"/>
      <c r="L48" t="s">
        <v>1337</v>
      </c>
      <c r="M48" t="n">
        <v>1973</v>
      </c>
      <c r="N48" t="n">
        <v>1977</v>
      </c>
      <c r="O48" t="s">
        <v>228</v>
      </c>
      <c r="P48" t="n">
        <v>2</v>
      </c>
      <c r="Q48" t="n">
        <v>2</v>
      </c>
      <c r="R48" t="n">
        <v>1</v>
      </c>
      <c r="S48" t="n">
        <v>1970</v>
      </c>
      <c r="T48" t="s">
        <v>21381</v>
      </c>
      <c r="U48" t="s">
        <v>21382</v>
      </c>
      <c r="V48" t="s">
        <v>4175</v>
      </c>
      <c r="W48"/>
      <c r="X48"/>
      <c r="Y48"/>
      <c r="Z48"/>
      <c r="AA48"/>
      <c r="AB48" t="s">
        <v>21383</v>
      </c>
      <c r="AC48" t="n">
        <v>84</v>
      </c>
      <c r="AD48"/>
      <c r="AE48"/>
      <c r="AF48" t="s">
        <v>6564</v>
      </c>
      <c r="AG48" t="n">
        <v>138</v>
      </c>
    </row>
    <row r="49">
      <c r="A49" t="s">
        <v>21384</v>
      </c>
      <c r="B49" t="s">
        <v>31</v>
      </c>
      <c r="C49" t="s">
        <v>65</v>
      </c>
      <c r="D49" t="s">
        <v>21385</v>
      </c>
      <c r="E49" t="s">
        <v>79</v>
      </c>
      <c r="F49" t="s">
        <v>1274</v>
      </c>
      <c r="G49" t="s">
        <v>1881</v>
      </c>
      <c r="H49" t="n">
        <v>39.7679158195939</v>
      </c>
      <c r="I49" t="n">
        <v>-104.906991794085</v>
      </c>
      <c r="J49" t="s">
        <v>35</v>
      </c>
      <c r="K49"/>
      <c r="L49" t="s">
        <v>9157</v>
      </c>
      <c r="M49" t="n">
        <v>1974</v>
      </c>
      <c r="N49" t="n">
        <v>1974</v>
      </c>
      <c r="O49" t="s">
        <v>210</v>
      </c>
      <c r="P49" t="n">
        <v>1</v>
      </c>
      <c r="Q49" t="n">
        <v>1</v>
      </c>
      <c r="R49" t="n">
        <v>1</v>
      </c>
      <c r="S49" t="n">
        <v>1955</v>
      </c>
      <c r="T49" t="s">
        <v>21386</v>
      </c>
      <c r="U49" t="s">
        <v>21387</v>
      </c>
      <c r="V49" t="s">
        <v>74</v>
      </c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21388</v>
      </c>
      <c r="B50" t="s">
        <v>31</v>
      </c>
      <c r="C50" t="s">
        <v>65</v>
      </c>
      <c r="D50" t="s">
        <v>21389</v>
      </c>
      <c r="E50" t="s">
        <v>79</v>
      </c>
      <c r="F50" t="s">
        <v>1274</v>
      </c>
      <c r="G50" t="s">
        <v>1691</v>
      </c>
      <c r="H50" t="n">
        <v>39.678579</v>
      </c>
      <c r="I50" t="n">
        <v>-104.880223471698</v>
      </c>
      <c r="J50" t="s">
        <v>35</v>
      </c>
      <c r="K50"/>
      <c r="L50" t="s">
        <v>202</v>
      </c>
      <c r="M50" t="n">
        <v>1980</v>
      </c>
      <c r="N50" t="n">
        <v>1980</v>
      </c>
      <c r="O50" t="s">
        <v>255</v>
      </c>
      <c r="P50" t="n">
        <v>1</v>
      </c>
      <c r="Q50" t="n">
        <v>1</v>
      </c>
      <c r="R50" t="n">
        <v>1</v>
      </c>
      <c r="S50" t="n">
        <v>1962</v>
      </c>
      <c r="T50" t="s">
        <v>21390</v>
      </c>
      <c r="U50" t="s">
        <v>21391</v>
      </c>
      <c r="V50" t="s">
        <v>74</v>
      </c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21392</v>
      </c>
      <c r="B51" t="s">
        <v>31</v>
      </c>
      <c r="C51" t="s">
        <v>65</v>
      </c>
      <c r="D51" t="s">
        <v>21393</v>
      </c>
      <c r="E51" t="s">
        <v>79</v>
      </c>
      <c r="F51" t="s">
        <v>1274</v>
      </c>
      <c r="G51" t="s">
        <v>1440</v>
      </c>
      <c r="H51" t="n">
        <v>39.75841384135</v>
      </c>
      <c r="I51" t="n">
        <v>-105.01720925004</v>
      </c>
      <c r="J51" t="s">
        <v>35</v>
      </c>
      <c r="K51"/>
      <c r="L51" t="s">
        <v>202</v>
      </c>
      <c r="M51" t="n">
        <v>1980</v>
      </c>
      <c r="N51" t="n">
        <v>1980</v>
      </c>
      <c r="O51" t="s">
        <v>255</v>
      </c>
      <c r="P51" t="n">
        <v>1</v>
      </c>
      <c r="Q51" t="n">
        <v>1</v>
      </c>
      <c r="R51" t="n">
        <v>1</v>
      </c>
      <c r="S51" t="n">
        <v>1978</v>
      </c>
      <c r="T51" t="s">
        <v>21394</v>
      </c>
      <c r="U51" t="s">
        <v>21395</v>
      </c>
      <c r="V51" t="s">
        <v>74</v>
      </c>
      <c r="W51"/>
      <c r="X51"/>
      <c r="Y51"/>
      <c r="Z51"/>
      <c r="AA51"/>
      <c r="AB51"/>
      <c r="AC51"/>
      <c r="AD51"/>
      <c r="AE51"/>
      <c r="AF51" t="s">
        <v>4282</v>
      </c>
      <c r="AG51" t="n">
        <v>51</v>
      </c>
    </row>
    <row r="52">
      <c r="A52" t="s">
        <v>21396</v>
      </c>
      <c r="B52" t="s">
        <v>31</v>
      </c>
      <c r="C52" t="s">
        <v>65</v>
      </c>
      <c r="D52" t="s">
        <v>21397</v>
      </c>
      <c r="E52" t="s">
        <v>79</v>
      </c>
      <c r="F52" t="s">
        <v>1274</v>
      </c>
      <c r="G52" t="s">
        <v>1574</v>
      </c>
      <c r="H52" t="n">
        <v>39.7696440209302</v>
      </c>
      <c r="I52" t="n">
        <v>-104.974481398367</v>
      </c>
      <c r="J52" t="s">
        <v>35</v>
      </c>
      <c r="K52"/>
      <c r="L52" t="s">
        <v>2901</v>
      </c>
      <c r="M52" t="n">
        <v>1983</v>
      </c>
      <c r="N52" t="n">
        <v>1983</v>
      </c>
      <c r="O52" t="s">
        <v>264</v>
      </c>
      <c r="P52" t="n">
        <v>1</v>
      </c>
      <c r="Q52" t="n">
        <v>1</v>
      </c>
      <c r="R52" t="n">
        <v>1</v>
      </c>
      <c r="S52" t="n">
        <v>1940</v>
      </c>
      <c r="T52" t="s">
        <v>21398</v>
      </c>
      <c r="U52" t="s">
        <v>21399</v>
      </c>
      <c r="V52" t="s">
        <v>74</v>
      </c>
      <c r="W52"/>
      <c r="X52"/>
      <c r="Y52"/>
      <c r="Z52"/>
      <c r="AA52"/>
      <c r="AB52" t="s">
        <v>1590</v>
      </c>
      <c r="AC52" t="n">
        <v>116</v>
      </c>
      <c r="AD52" t="s">
        <v>1591</v>
      </c>
      <c r="AE52" t="n">
        <v>147</v>
      </c>
      <c r="AF52" t="s">
        <v>1592</v>
      </c>
      <c r="AG52" t="n">
        <v>112</v>
      </c>
    </row>
    <row r="53">
      <c r="A53" t="s">
        <v>21400</v>
      </c>
      <c r="B53" t="s">
        <v>31</v>
      </c>
      <c r="C53" t="s">
        <v>65</v>
      </c>
      <c r="D53" t="s">
        <v>21401</v>
      </c>
      <c r="E53" t="s">
        <v>79</v>
      </c>
      <c r="F53" t="s">
        <v>1274</v>
      </c>
      <c r="G53" t="s">
        <v>1612</v>
      </c>
      <c r="H53" t="n">
        <v>39.7103027088596</v>
      </c>
      <c r="I53" t="n">
        <v>-105.028916366698</v>
      </c>
      <c r="J53" t="s">
        <v>35</v>
      </c>
      <c r="K53"/>
      <c r="L53" t="s">
        <v>554</v>
      </c>
      <c r="M53" t="n">
        <v>1988</v>
      </c>
      <c r="N53" t="n">
        <v>1990</v>
      </c>
      <c r="O53" t="s">
        <v>310</v>
      </c>
      <c r="P53" t="n">
        <v>2</v>
      </c>
      <c r="Q53" t="n">
        <v>1</v>
      </c>
      <c r="R53" t="n">
        <v>1</v>
      </c>
      <c r="S53" t="n">
        <v>1982</v>
      </c>
      <c r="T53" t="s">
        <v>21402</v>
      </c>
      <c r="U53" t="s">
        <v>21403</v>
      </c>
      <c r="V53" t="s">
        <v>74</v>
      </c>
      <c r="W53"/>
      <c r="X53"/>
      <c r="Y53"/>
      <c r="Z53"/>
      <c r="AA53"/>
      <c r="AB53"/>
      <c r="AC53"/>
      <c r="AD53"/>
      <c r="AE53"/>
      <c r="AF53" t="s">
        <v>1925</v>
      </c>
      <c r="AG53" t="n">
        <v>108</v>
      </c>
    </row>
    <row r="54">
      <c r="A54" t="s">
        <v>21404</v>
      </c>
      <c r="B54" t="s">
        <v>31</v>
      </c>
      <c r="C54" t="s">
        <v>65</v>
      </c>
      <c r="D54" t="s">
        <v>21405</v>
      </c>
      <c r="E54" t="s">
        <v>2252</v>
      </c>
      <c r="F54" t="s">
        <v>2253</v>
      </c>
      <c r="G54" t="s">
        <v>2254</v>
      </c>
      <c r="H54" t="n">
        <v>39.6183289407689</v>
      </c>
      <c r="I54" t="n">
        <v>-106.427626315962</v>
      </c>
      <c r="J54" t="s">
        <v>35</v>
      </c>
      <c r="K54"/>
      <c r="L54" t="s">
        <v>2814</v>
      </c>
      <c r="M54" t="n">
        <v>1980</v>
      </c>
      <c r="N54" t="n">
        <v>1980</v>
      </c>
      <c r="O54" t="s">
        <v>255</v>
      </c>
      <c r="P54" t="n">
        <v>1</v>
      </c>
      <c r="Q54" t="n">
        <v>1</v>
      </c>
      <c r="R54" t="n">
        <v>1</v>
      </c>
      <c r="S54"/>
      <c r="T54" t="s">
        <v>21406</v>
      </c>
      <c r="U54" t="s">
        <v>21407</v>
      </c>
      <c r="V54" t="s">
        <v>74</v>
      </c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21408</v>
      </c>
      <c r="B55" t="s">
        <v>31</v>
      </c>
      <c r="C55" t="s">
        <v>65</v>
      </c>
      <c r="D55" t="s">
        <v>21409</v>
      </c>
      <c r="E55" t="s">
        <v>2266</v>
      </c>
      <c r="F55" t="s">
        <v>2267</v>
      </c>
      <c r="G55"/>
      <c r="H55" t="n">
        <v>38.857774064286</v>
      </c>
      <c r="I55" t="n">
        <v>-104.916739463929</v>
      </c>
      <c r="J55" t="s">
        <v>35</v>
      </c>
      <c r="K55"/>
      <c r="L55" t="s">
        <v>202</v>
      </c>
      <c r="M55" t="n">
        <v>1965</v>
      </c>
      <c r="N55" t="n">
        <v>1990</v>
      </c>
      <c r="O55" t="s">
        <v>325</v>
      </c>
      <c r="P55" t="n">
        <v>3</v>
      </c>
      <c r="Q55" t="n">
        <v>3</v>
      </c>
      <c r="R55" t="n">
        <v>1</v>
      </c>
      <c r="S55" t="n">
        <v>1969</v>
      </c>
      <c r="T55" t="s">
        <v>21410</v>
      </c>
      <c r="U55" t="s">
        <v>21411</v>
      </c>
      <c r="V55" t="s">
        <v>74</v>
      </c>
      <c r="W55"/>
      <c r="X55"/>
      <c r="Y55"/>
      <c r="Z55"/>
      <c r="AA55"/>
      <c r="AB55"/>
      <c r="AC55"/>
      <c r="AD55"/>
      <c r="AE55"/>
      <c r="AF55" t="s">
        <v>21412</v>
      </c>
      <c r="AG55" t="n">
        <v>71</v>
      </c>
    </row>
    <row r="56">
      <c r="A56" t="s">
        <v>21413</v>
      </c>
      <c r="B56" t="s">
        <v>31</v>
      </c>
      <c r="C56" t="s">
        <v>65</v>
      </c>
      <c r="D56" t="s">
        <v>21414</v>
      </c>
      <c r="E56" t="s">
        <v>2272</v>
      </c>
      <c r="F56" t="s">
        <v>2267</v>
      </c>
      <c r="G56" t="s">
        <v>2444</v>
      </c>
      <c r="H56" t="n">
        <v>38.8457176720344</v>
      </c>
      <c r="I56" t="n">
        <v>-104.738718873172</v>
      </c>
      <c r="J56" t="s">
        <v>35</v>
      </c>
      <c r="K56"/>
      <c r="L56" t="s">
        <v>202</v>
      </c>
      <c r="M56" t="n">
        <v>1973</v>
      </c>
      <c r="N56" t="n">
        <v>1980</v>
      </c>
      <c r="O56" t="s">
        <v>12197</v>
      </c>
      <c r="P56" t="n">
        <v>3</v>
      </c>
      <c r="Q56" t="n">
        <v>1</v>
      </c>
      <c r="R56" t="n">
        <v>1</v>
      </c>
      <c r="S56" t="n">
        <v>1959</v>
      </c>
      <c r="T56" t="s">
        <v>21415</v>
      </c>
      <c r="U56" t="s">
        <v>21416</v>
      </c>
      <c r="V56" t="s">
        <v>74</v>
      </c>
      <c r="W56"/>
      <c r="X56"/>
      <c r="Y56"/>
      <c r="Z56"/>
      <c r="AA56"/>
      <c r="AB56"/>
      <c r="AC56"/>
      <c r="AD56"/>
      <c r="AE56"/>
      <c r="AF56" t="s">
        <v>16747</v>
      </c>
      <c r="AG56" t="n">
        <v>89</v>
      </c>
    </row>
    <row r="57">
      <c r="A57" t="s">
        <v>21417</v>
      </c>
      <c r="B57" t="s">
        <v>31</v>
      </c>
      <c r="C57" t="s">
        <v>65</v>
      </c>
      <c r="D57" t="s">
        <v>21418</v>
      </c>
      <c r="E57" t="s">
        <v>2272</v>
      </c>
      <c r="F57" t="s">
        <v>2267</v>
      </c>
      <c r="G57" t="s">
        <v>2326</v>
      </c>
      <c r="H57" t="n">
        <v>38.8562052935473</v>
      </c>
      <c r="I57" t="n">
        <v>-104.86384594496</v>
      </c>
      <c r="J57" t="s">
        <v>35</v>
      </c>
      <c r="K57"/>
      <c r="L57" t="s">
        <v>202</v>
      </c>
      <c r="M57" t="n">
        <v>1977</v>
      </c>
      <c r="N57" t="n">
        <v>1990</v>
      </c>
      <c r="O57" t="s">
        <v>228</v>
      </c>
      <c r="P57" t="n">
        <v>4</v>
      </c>
      <c r="Q57" t="n">
        <v>2</v>
      </c>
      <c r="R57" t="n">
        <v>1</v>
      </c>
      <c r="S57" t="n">
        <v>1965</v>
      </c>
      <c r="T57" t="s">
        <v>21419</v>
      </c>
      <c r="U57" t="s">
        <v>21420</v>
      </c>
      <c r="V57" t="s">
        <v>74</v>
      </c>
      <c r="W57"/>
      <c r="X57"/>
      <c r="Y57"/>
      <c r="Z57"/>
      <c r="AA57"/>
      <c r="AB57"/>
      <c r="AC57"/>
      <c r="AD57"/>
      <c r="AE57"/>
      <c r="AF57"/>
      <c r="AG57"/>
    </row>
    <row r="58">
      <c r="A58" t="s">
        <v>21421</v>
      </c>
      <c r="B58" t="s">
        <v>31</v>
      </c>
      <c r="C58" t="s">
        <v>65</v>
      </c>
      <c r="D58" t="s">
        <v>21422</v>
      </c>
      <c r="E58" t="s">
        <v>2272</v>
      </c>
      <c r="F58" t="s">
        <v>2267</v>
      </c>
      <c r="G58" t="s">
        <v>2296</v>
      </c>
      <c r="H58" t="n">
        <v>38.8774401553517</v>
      </c>
      <c r="I58" t="n">
        <v>-104.812812399128</v>
      </c>
      <c r="J58" t="s">
        <v>35</v>
      </c>
      <c r="K58"/>
      <c r="L58" t="s">
        <v>202</v>
      </c>
      <c r="M58" t="n">
        <v>1980</v>
      </c>
      <c r="N58" t="n">
        <v>1980</v>
      </c>
      <c r="O58" t="s">
        <v>255</v>
      </c>
      <c r="P58" t="n">
        <v>1</v>
      </c>
      <c r="Q58" t="n">
        <v>1</v>
      </c>
      <c r="R58" t="n">
        <v>1</v>
      </c>
      <c r="S58" t="n">
        <v>1974</v>
      </c>
      <c r="T58" t="s">
        <v>21423</v>
      </c>
      <c r="U58" t="s">
        <v>21424</v>
      </c>
      <c r="V58" t="s">
        <v>74</v>
      </c>
      <c r="W58"/>
      <c r="X58"/>
      <c r="Y58"/>
      <c r="Z58"/>
      <c r="AA58"/>
      <c r="AB58" t="s">
        <v>21425</v>
      </c>
      <c r="AC58" t="n">
        <v>124</v>
      </c>
      <c r="AD58"/>
      <c r="AE58"/>
      <c r="AF58" t="s">
        <v>16370</v>
      </c>
      <c r="AG58" t="n">
        <v>111</v>
      </c>
    </row>
    <row r="59">
      <c r="A59" t="s">
        <v>21426</v>
      </c>
      <c r="B59" t="s">
        <v>31</v>
      </c>
      <c r="C59" t="s">
        <v>65</v>
      </c>
      <c r="D59" t="s">
        <v>21427</v>
      </c>
      <c r="E59" t="s">
        <v>2272</v>
      </c>
      <c r="F59" t="s">
        <v>2267</v>
      </c>
      <c r="G59" t="s">
        <v>2296</v>
      </c>
      <c r="H59" t="n">
        <v>38.8711728583393</v>
      </c>
      <c r="I59" t="n">
        <v>-104.807708455062</v>
      </c>
      <c r="J59" t="s">
        <v>35</v>
      </c>
      <c r="K59"/>
      <c r="L59" t="s">
        <v>2445</v>
      </c>
      <c r="M59" t="n">
        <v>1983</v>
      </c>
      <c r="N59" t="n">
        <v>1990</v>
      </c>
      <c r="O59" t="s">
        <v>271</v>
      </c>
      <c r="P59" t="n">
        <v>3</v>
      </c>
      <c r="Q59" t="n">
        <v>2</v>
      </c>
      <c r="R59" t="n">
        <v>2</v>
      </c>
      <c r="S59" t="n">
        <v>1974</v>
      </c>
      <c r="T59" t="s">
        <v>21428</v>
      </c>
      <c r="U59" t="s">
        <v>21429</v>
      </c>
      <c r="V59" t="s">
        <v>74</v>
      </c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21430</v>
      </c>
      <c r="B60" t="s">
        <v>31</v>
      </c>
      <c r="C60" t="s">
        <v>65</v>
      </c>
      <c r="D60" t="s">
        <v>21431</v>
      </c>
      <c r="E60" t="s">
        <v>2272</v>
      </c>
      <c r="F60" t="s">
        <v>2267</v>
      </c>
      <c r="G60" t="s">
        <v>9473</v>
      </c>
      <c r="H60" t="n">
        <v>38.771363430177</v>
      </c>
      <c r="I60" t="n">
        <v>-104.730031955784</v>
      </c>
      <c r="J60" t="s">
        <v>35</v>
      </c>
      <c r="K60"/>
      <c r="L60" t="s">
        <v>2814</v>
      </c>
      <c r="M60" t="n">
        <v>1983</v>
      </c>
      <c r="N60" t="n">
        <v>1983</v>
      </c>
      <c r="O60" t="s">
        <v>264</v>
      </c>
      <c r="P60" t="n">
        <v>1</v>
      </c>
      <c r="Q60" t="n">
        <v>1</v>
      </c>
      <c r="R60" t="n">
        <v>1</v>
      </c>
      <c r="S60" t="n">
        <v>1962</v>
      </c>
      <c r="T60" t="s">
        <v>21432</v>
      </c>
      <c r="U60" t="s">
        <v>21433</v>
      </c>
      <c r="V60" t="s">
        <v>74</v>
      </c>
      <c r="W60"/>
      <c r="X60"/>
      <c r="Y60"/>
      <c r="Z60"/>
      <c r="AA60"/>
      <c r="AB60"/>
      <c r="AC60"/>
      <c r="AD60"/>
      <c r="AE60"/>
      <c r="AF60"/>
      <c r="AG60"/>
    </row>
    <row r="61">
      <c r="A61" t="s">
        <v>21434</v>
      </c>
      <c r="B61" t="s">
        <v>31</v>
      </c>
      <c r="C61" t="s">
        <v>24</v>
      </c>
      <c r="D61" t="s">
        <v>21435</v>
      </c>
      <c r="E61" t="s">
        <v>2272</v>
      </c>
      <c r="F61" t="s">
        <v>2267</v>
      </c>
      <c r="G61" t="s">
        <v>4608</v>
      </c>
      <c r="H61" t="n">
        <v>38.9161059529898</v>
      </c>
      <c r="I61" t="n">
        <v>-104.821469576101</v>
      </c>
      <c r="J61" t="s">
        <v>4109</v>
      </c>
      <c r="K61"/>
      <c r="L61" t="s">
        <v>202</v>
      </c>
      <c r="M61" t="n">
        <v>1988</v>
      </c>
      <c r="N61" t="n">
        <v>1988</v>
      </c>
      <c r="O61" t="s">
        <v>325</v>
      </c>
      <c r="P61" t="n">
        <v>1</v>
      </c>
      <c r="Q61" t="n">
        <v>1</v>
      </c>
      <c r="R61" t="n">
        <v>1</v>
      </c>
      <c r="S61"/>
      <c r="T61" t="s">
        <v>21436</v>
      </c>
      <c r="U61" t="s">
        <v>21437</v>
      </c>
      <c r="V61" t="s">
        <v>74</v>
      </c>
      <c r="W61"/>
      <c r="X61"/>
      <c r="Y61"/>
      <c r="Z61"/>
      <c r="AA61"/>
      <c r="AB61"/>
      <c r="AC61"/>
      <c r="AD61"/>
      <c r="AE61"/>
      <c r="AF61"/>
      <c r="AG61"/>
    </row>
    <row r="62">
      <c r="A62" t="s">
        <v>21438</v>
      </c>
      <c r="B62" t="s">
        <v>31</v>
      </c>
      <c r="C62" t="s">
        <v>24</v>
      </c>
      <c r="D62" t="s">
        <v>21439</v>
      </c>
      <c r="E62" t="s">
        <v>2272</v>
      </c>
      <c r="F62" t="s">
        <v>2267</v>
      </c>
      <c r="G62" t="s">
        <v>2296</v>
      </c>
      <c r="H62" t="n">
        <v>38.889799</v>
      </c>
      <c r="I62" t="n">
        <v>-104.795882</v>
      </c>
      <c r="J62" t="s">
        <v>4109</v>
      </c>
      <c r="K62"/>
      <c r="L62" t="s">
        <v>1310</v>
      </c>
      <c r="M62" t="n">
        <v>1988</v>
      </c>
      <c r="N62" t="n">
        <v>1990</v>
      </c>
      <c r="O62" t="s">
        <v>325</v>
      </c>
      <c r="P62" t="n">
        <v>2</v>
      </c>
      <c r="Q62" t="n">
        <v>2</v>
      </c>
      <c r="R62" t="n">
        <v>1</v>
      </c>
      <c r="S62"/>
      <c r="T62" t="s">
        <v>21440</v>
      </c>
      <c r="U62" t="s">
        <v>21441</v>
      </c>
      <c r="V62" t="s">
        <v>74</v>
      </c>
      <c r="W62"/>
      <c r="X62"/>
      <c r="Y62"/>
      <c r="Z62"/>
      <c r="AA62"/>
      <c r="AB62"/>
      <c r="AC62"/>
      <c r="AD62"/>
      <c r="AE62"/>
      <c r="AF62"/>
      <c r="AG62"/>
    </row>
    <row r="63">
      <c r="A63" t="s">
        <v>21442</v>
      </c>
      <c r="B63" t="s">
        <v>31</v>
      </c>
      <c r="C63" t="s">
        <v>65</v>
      </c>
      <c r="D63" t="s">
        <v>21443</v>
      </c>
      <c r="E63" t="s">
        <v>21444</v>
      </c>
      <c r="F63" t="s">
        <v>2267</v>
      </c>
      <c r="G63" t="s">
        <v>21445</v>
      </c>
      <c r="H63" t="n">
        <v>38.9339984541952</v>
      </c>
      <c r="I63" t="n">
        <v>-105.014750500642</v>
      </c>
      <c r="J63" t="s">
        <v>35</v>
      </c>
      <c r="K63"/>
      <c r="L63" t="s">
        <v>554</v>
      </c>
      <c r="M63" t="n">
        <v>1988</v>
      </c>
      <c r="N63" t="n">
        <v>1992</v>
      </c>
      <c r="O63" t="s">
        <v>351</v>
      </c>
      <c r="P63" t="n">
        <v>3</v>
      </c>
      <c r="Q63" t="n">
        <v>3</v>
      </c>
      <c r="R63" t="n">
        <v>1</v>
      </c>
      <c r="S63" t="n">
        <v>1978</v>
      </c>
      <c r="T63" t="s">
        <v>21446</v>
      </c>
      <c r="U63" t="s">
        <v>21447</v>
      </c>
      <c r="V63" t="s">
        <v>74</v>
      </c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21448</v>
      </c>
      <c r="B64" t="s">
        <v>31</v>
      </c>
      <c r="C64" t="s">
        <v>65</v>
      </c>
      <c r="D64" t="s">
        <v>21449</v>
      </c>
      <c r="E64" t="s">
        <v>2272</v>
      </c>
      <c r="F64" t="s">
        <v>2267</v>
      </c>
      <c r="G64" t="s">
        <v>21450</v>
      </c>
      <c r="H64" t="n">
        <v>38.9452457677183</v>
      </c>
      <c r="I64" t="n">
        <v>-104.787313685553</v>
      </c>
      <c r="J64" t="s">
        <v>35</v>
      </c>
      <c r="K64"/>
      <c r="L64" t="s">
        <v>554</v>
      </c>
      <c r="M64" t="n">
        <v>1990</v>
      </c>
      <c r="N64" t="n">
        <v>1990</v>
      </c>
      <c r="O64" t="s">
        <v>351</v>
      </c>
      <c r="P64" t="n">
        <v>1</v>
      </c>
      <c r="Q64" t="n">
        <v>1</v>
      </c>
      <c r="R64" t="n">
        <v>1</v>
      </c>
      <c r="S64" t="n">
        <v>1988</v>
      </c>
      <c r="T64" t="s">
        <v>21451</v>
      </c>
      <c r="U64" t="s">
        <v>21452</v>
      </c>
      <c r="V64" t="s">
        <v>74</v>
      </c>
      <c r="W64"/>
      <c r="X64"/>
      <c r="Y64"/>
      <c r="Z64"/>
      <c r="AA64"/>
      <c r="AB64"/>
      <c r="AC64"/>
      <c r="AD64"/>
      <c r="AE64"/>
      <c r="AF64"/>
      <c r="AG64"/>
    </row>
    <row r="65">
      <c r="A65" t="s">
        <v>21453</v>
      </c>
      <c r="B65" t="s">
        <v>31</v>
      </c>
      <c r="C65" t="s">
        <v>65</v>
      </c>
      <c r="D65" t="s">
        <v>21454</v>
      </c>
      <c r="E65" t="s">
        <v>2646</v>
      </c>
      <c r="F65" t="s">
        <v>2640</v>
      </c>
      <c r="G65" t="s">
        <v>2647</v>
      </c>
      <c r="H65" t="n">
        <v>38.3891483673469</v>
      </c>
      <c r="I65" t="n">
        <v>-105.113422653061</v>
      </c>
      <c r="J65" t="s">
        <v>35</v>
      </c>
      <c r="K65"/>
      <c r="L65" t="s">
        <v>202</v>
      </c>
      <c r="M65" t="n">
        <v>1974</v>
      </c>
      <c r="N65" t="n">
        <v>1974</v>
      </c>
      <c r="O65" t="s">
        <v>210</v>
      </c>
      <c r="P65" t="n">
        <v>1</v>
      </c>
      <c r="Q65" t="n">
        <v>1</v>
      </c>
      <c r="R65" t="n">
        <v>1</v>
      </c>
      <c r="S65" t="n">
        <v>1949</v>
      </c>
      <c r="T65" t="s">
        <v>21455</v>
      </c>
      <c r="U65" t="s">
        <v>21456</v>
      </c>
      <c r="V65" t="s">
        <v>74</v>
      </c>
      <c r="W65"/>
      <c r="X65"/>
      <c r="Y65"/>
      <c r="Z65"/>
      <c r="AA65"/>
      <c r="AB65"/>
      <c r="AC65"/>
      <c r="AD65"/>
      <c r="AE65"/>
      <c r="AF65" t="s">
        <v>21457</v>
      </c>
      <c r="AG65" t="n">
        <v>159</v>
      </c>
    </row>
    <row r="66">
      <c r="A66" t="s">
        <v>21458</v>
      </c>
      <c r="B66" t="s">
        <v>31</v>
      </c>
      <c r="C66" t="s">
        <v>65</v>
      </c>
      <c r="D66" t="s">
        <v>21459</v>
      </c>
      <c r="E66" t="s">
        <v>16988</v>
      </c>
      <c r="F66" t="s">
        <v>2667</v>
      </c>
      <c r="G66" t="s">
        <v>16989</v>
      </c>
      <c r="H66" t="n">
        <v>39.3997144840851</v>
      </c>
      <c r="I66" t="n">
        <v>-107.216858321029</v>
      </c>
      <c r="J66" t="s">
        <v>35</v>
      </c>
      <c r="K66"/>
      <c r="L66" t="s">
        <v>1337</v>
      </c>
      <c r="M66" t="n">
        <v>1988</v>
      </c>
      <c r="N66" t="n">
        <v>1988</v>
      </c>
      <c r="O66" t="s">
        <v>325</v>
      </c>
      <c r="P66" t="n">
        <v>1</v>
      </c>
      <c r="Q66" t="n">
        <v>1</v>
      </c>
      <c r="R66" t="n">
        <v>1</v>
      </c>
      <c r="S66" t="n">
        <v>1986</v>
      </c>
      <c r="T66" t="s">
        <v>21460</v>
      </c>
      <c r="U66" t="s">
        <v>21461</v>
      </c>
      <c r="V66" t="s">
        <v>74</v>
      </c>
      <c r="W66"/>
      <c r="X66"/>
      <c r="Y66"/>
      <c r="Z66"/>
      <c r="AA66"/>
      <c r="AB66"/>
      <c r="AC66"/>
      <c r="AD66"/>
      <c r="AE66"/>
      <c r="AF66" t="s">
        <v>21462</v>
      </c>
      <c r="AG66" t="n">
        <v>243</v>
      </c>
    </row>
    <row r="67">
      <c r="A67" t="s">
        <v>21463</v>
      </c>
      <c r="B67" t="s">
        <v>31</v>
      </c>
      <c r="C67" t="s">
        <v>65</v>
      </c>
      <c r="D67" t="s">
        <v>21464</v>
      </c>
      <c r="E67" t="s">
        <v>2748</v>
      </c>
      <c r="F67" t="s">
        <v>2724</v>
      </c>
      <c r="G67" t="s">
        <v>2851</v>
      </c>
      <c r="H67" t="n">
        <v>39.657169808014</v>
      </c>
      <c r="I67" t="n">
        <v>-105.062174428066</v>
      </c>
      <c r="J67" t="s">
        <v>35</v>
      </c>
      <c r="K67"/>
      <c r="L67" t="s">
        <v>202</v>
      </c>
      <c r="M67" t="n">
        <v>1974</v>
      </c>
      <c r="N67" t="n">
        <v>1974</v>
      </c>
      <c r="O67" t="s">
        <v>210</v>
      </c>
      <c r="P67" t="n">
        <v>1</v>
      </c>
      <c r="Q67" t="n">
        <v>1</v>
      </c>
      <c r="R67" t="n">
        <v>1</v>
      </c>
      <c r="S67" t="n">
        <v>1964</v>
      </c>
      <c r="T67" t="s">
        <v>21465</v>
      </c>
      <c r="U67" t="s">
        <v>21466</v>
      </c>
      <c r="V67" t="s">
        <v>74</v>
      </c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21467</v>
      </c>
      <c r="B68" t="s">
        <v>31</v>
      </c>
      <c r="C68" t="s">
        <v>65</v>
      </c>
      <c r="D68" t="s">
        <v>21468</v>
      </c>
      <c r="E68" t="s">
        <v>2748</v>
      </c>
      <c r="F68" t="s">
        <v>2724</v>
      </c>
      <c r="G68" t="s">
        <v>2856</v>
      </c>
      <c r="H68" t="n">
        <v>39.7530300357143</v>
      </c>
      <c r="I68" t="n">
        <v>-105.055276137755</v>
      </c>
      <c r="J68" t="s">
        <v>35</v>
      </c>
      <c r="K68"/>
      <c r="L68" t="s">
        <v>2445</v>
      </c>
      <c r="M68" t="n">
        <v>1983</v>
      </c>
      <c r="N68" t="n">
        <v>1990</v>
      </c>
      <c r="O68" t="s">
        <v>293</v>
      </c>
      <c r="P68" t="n">
        <v>3</v>
      </c>
      <c r="Q68" t="n">
        <v>2</v>
      </c>
      <c r="R68" t="n">
        <v>1</v>
      </c>
      <c r="S68" t="n">
        <v>1980</v>
      </c>
      <c r="T68" t="s">
        <v>21469</v>
      </c>
      <c r="U68" t="s">
        <v>21470</v>
      </c>
      <c r="V68" t="s">
        <v>74</v>
      </c>
      <c r="W68"/>
      <c r="X68"/>
      <c r="Y68"/>
      <c r="Z68"/>
      <c r="AA68"/>
      <c r="AB68" t="s">
        <v>9783</v>
      </c>
      <c r="AC68" t="n">
        <v>173</v>
      </c>
      <c r="AD68"/>
      <c r="AE68"/>
      <c r="AF68" t="s">
        <v>9784</v>
      </c>
      <c r="AG68" t="n">
        <v>244</v>
      </c>
    </row>
    <row r="69">
      <c r="A69" t="s">
        <v>21471</v>
      </c>
      <c r="B69" t="s">
        <v>31</v>
      </c>
      <c r="C69" t="s">
        <v>65</v>
      </c>
      <c r="D69" t="s">
        <v>21472</v>
      </c>
      <c r="E69" t="s">
        <v>21473</v>
      </c>
      <c r="F69" t="s">
        <v>2724</v>
      </c>
      <c r="G69" t="s">
        <v>21474</v>
      </c>
      <c r="H69" t="n">
        <v>39.4694076281175</v>
      </c>
      <c r="I69" t="n">
        <v>-105.401337812624</v>
      </c>
      <c r="J69" t="s">
        <v>35</v>
      </c>
      <c r="K69"/>
      <c r="L69" t="s">
        <v>202</v>
      </c>
      <c r="M69" t="n">
        <v>1988</v>
      </c>
      <c r="N69" t="n">
        <v>1990</v>
      </c>
      <c r="O69" t="s">
        <v>310</v>
      </c>
      <c r="P69" t="n">
        <v>2</v>
      </c>
      <c r="Q69" t="n">
        <v>2</v>
      </c>
      <c r="R69" t="n">
        <v>2</v>
      </c>
      <c r="S69" t="n">
        <v>1978</v>
      </c>
      <c r="T69" t="s">
        <v>21475</v>
      </c>
      <c r="U69" t="s">
        <v>21476</v>
      </c>
      <c r="V69" t="s">
        <v>74</v>
      </c>
      <c r="W69"/>
      <c r="X69"/>
      <c r="Y69"/>
      <c r="Z69"/>
      <c r="AA69"/>
      <c r="AB69"/>
      <c r="AC69"/>
      <c r="AD69"/>
      <c r="AE69"/>
      <c r="AF69" t="s">
        <v>21477</v>
      </c>
      <c r="AG69" t="n">
        <v>158</v>
      </c>
    </row>
    <row r="70">
      <c r="A70" t="s">
        <v>21478</v>
      </c>
      <c r="B70" t="s">
        <v>31</v>
      </c>
      <c r="C70" t="s">
        <v>24</v>
      </c>
      <c r="D70" t="s">
        <v>21479</v>
      </c>
      <c r="E70" t="s">
        <v>2723</v>
      </c>
      <c r="F70" t="s">
        <v>2724</v>
      </c>
      <c r="G70" t="s">
        <v>2778</v>
      </c>
      <c r="H70" t="n">
        <v>39.7273234902872</v>
      </c>
      <c r="I70" t="n">
        <v>-105.150191728076</v>
      </c>
      <c r="J70" t="s">
        <v>4109</v>
      </c>
      <c r="K70"/>
      <c r="L70" t="s">
        <v>1310</v>
      </c>
      <c r="M70" t="n">
        <v>1990</v>
      </c>
      <c r="N70" t="n">
        <v>1992</v>
      </c>
      <c r="O70" t="s">
        <v>351</v>
      </c>
      <c r="P70" t="n">
        <v>2</v>
      </c>
      <c r="Q70" t="n">
        <v>1</v>
      </c>
      <c r="R70" t="n">
        <v>1</v>
      </c>
      <c r="S70" t="n">
        <v>1982</v>
      </c>
      <c r="T70" t="s">
        <v>21480</v>
      </c>
      <c r="U70" t="s">
        <v>21481</v>
      </c>
      <c r="V70" t="s">
        <v>74</v>
      </c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21482</v>
      </c>
      <c r="B71" t="s">
        <v>31</v>
      </c>
      <c r="C71" t="s">
        <v>65</v>
      </c>
      <c r="D71" t="s">
        <v>21483</v>
      </c>
      <c r="E71" t="s">
        <v>2729</v>
      </c>
      <c r="F71" t="s">
        <v>2724</v>
      </c>
      <c r="G71" t="s">
        <v>2970</v>
      </c>
      <c r="H71" t="n">
        <v>39.807174</v>
      </c>
      <c r="I71" t="n">
        <v>-105.098324</v>
      </c>
      <c r="J71" t="s">
        <v>35</v>
      </c>
      <c r="K71"/>
      <c r="L71" t="s">
        <v>554</v>
      </c>
      <c r="M71" t="n">
        <v>1992</v>
      </c>
      <c r="N71" t="n">
        <v>1992</v>
      </c>
      <c r="O71" t="s">
        <v>1016</v>
      </c>
      <c r="P71" t="n">
        <v>1</v>
      </c>
      <c r="Q71" t="n">
        <v>1</v>
      </c>
      <c r="R71" t="n">
        <v>1</v>
      </c>
      <c r="S71" t="n">
        <v>1969</v>
      </c>
      <c r="T71" t="s">
        <v>21484</v>
      </c>
      <c r="U71" t="s">
        <v>21485</v>
      </c>
      <c r="V71" t="s">
        <v>74</v>
      </c>
      <c r="W71"/>
      <c r="X71"/>
      <c r="Y71"/>
      <c r="Z71"/>
      <c r="AA71"/>
      <c r="AB71"/>
      <c r="AC71"/>
      <c r="AD71"/>
      <c r="AE71"/>
      <c r="AF71"/>
      <c r="AG71"/>
    </row>
    <row r="72">
      <c r="A72" t="s">
        <v>21486</v>
      </c>
      <c r="B72" t="s">
        <v>31</v>
      </c>
      <c r="C72" t="s">
        <v>65</v>
      </c>
      <c r="D72" t="s">
        <v>21487</v>
      </c>
      <c r="E72" t="s">
        <v>3151</v>
      </c>
      <c r="F72" t="s">
        <v>3152</v>
      </c>
      <c r="G72" t="s">
        <v>3163</v>
      </c>
      <c r="H72" t="n">
        <v>40.4071858484849</v>
      </c>
      <c r="I72" t="n">
        <v>-105.099199454545</v>
      </c>
      <c r="J72" t="s">
        <v>35</v>
      </c>
      <c r="K72"/>
      <c r="L72" t="s">
        <v>202</v>
      </c>
      <c r="M72" t="n">
        <v>1970</v>
      </c>
      <c r="N72" t="n">
        <v>1970</v>
      </c>
      <c r="O72" t="s">
        <v>726</v>
      </c>
      <c r="P72" t="n">
        <v>1</v>
      </c>
      <c r="Q72" t="n">
        <v>1</v>
      </c>
      <c r="R72" t="n">
        <v>1</v>
      </c>
      <c r="S72" t="n">
        <v>1968</v>
      </c>
      <c r="T72" t="s">
        <v>21488</v>
      </c>
      <c r="U72" t="s">
        <v>21489</v>
      </c>
      <c r="V72" t="s">
        <v>74</v>
      </c>
      <c r="W72"/>
      <c r="X72"/>
      <c r="Y72"/>
      <c r="Z72"/>
      <c r="AA72"/>
      <c r="AB72" t="s">
        <v>3437</v>
      </c>
      <c r="AC72" t="n">
        <v>133</v>
      </c>
      <c r="AD72"/>
      <c r="AE72"/>
      <c r="AF72" t="s">
        <v>17859</v>
      </c>
      <c r="AG72" t="n">
        <v>108</v>
      </c>
    </row>
    <row r="73">
      <c r="A73" t="s">
        <v>21490</v>
      </c>
      <c r="B73" t="s">
        <v>31</v>
      </c>
      <c r="C73" t="s">
        <v>65</v>
      </c>
      <c r="D73" t="s">
        <v>21491</v>
      </c>
      <c r="E73" t="s">
        <v>3170</v>
      </c>
      <c r="F73" t="s">
        <v>3152</v>
      </c>
      <c r="G73" t="s">
        <v>3171</v>
      </c>
      <c r="H73" t="n">
        <v>40.5854393333333</v>
      </c>
      <c r="I73" t="n">
        <v>-105.078971040816</v>
      </c>
      <c r="J73" t="s">
        <v>35</v>
      </c>
      <c r="K73"/>
      <c r="L73" t="s">
        <v>202</v>
      </c>
      <c r="M73" t="n">
        <v>1977</v>
      </c>
      <c r="N73" t="n">
        <v>1990</v>
      </c>
      <c r="O73" t="s">
        <v>255</v>
      </c>
      <c r="P73" t="n">
        <v>3</v>
      </c>
      <c r="Q73" t="n">
        <v>3</v>
      </c>
      <c r="R73" t="n">
        <v>1</v>
      </c>
      <c r="S73" t="n">
        <v>1970</v>
      </c>
      <c r="T73" t="s">
        <v>21492</v>
      </c>
      <c r="U73" t="s">
        <v>21493</v>
      </c>
      <c r="V73" t="s">
        <v>74</v>
      </c>
      <c r="W73"/>
      <c r="X73"/>
      <c r="Y73"/>
      <c r="Z73"/>
      <c r="AA73"/>
      <c r="AB73"/>
      <c r="AC73"/>
      <c r="AD73"/>
      <c r="AE73"/>
      <c r="AF73" t="s">
        <v>3377</v>
      </c>
      <c r="AG73" t="n">
        <v>72</v>
      </c>
    </row>
    <row r="74">
      <c r="A74" t="s">
        <v>21494</v>
      </c>
      <c r="B74" t="s">
        <v>31</v>
      </c>
      <c r="C74" t="s">
        <v>65</v>
      </c>
      <c r="D74" t="s">
        <v>21495</v>
      </c>
      <c r="E74" t="s">
        <v>3170</v>
      </c>
      <c r="F74" t="s">
        <v>3152</v>
      </c>
      <c r="G74" t="s">
        <v>3171</v>
      </c>
      <c r="H74" t="n">
        <v>40.5702750949286</v>
      </c>
      <c r="I74" t="n">
        <v>-105.047740522754</v>
      </c>
      <c r="J74" t="s">
        <v>35</v>
      </c>
      <c r="K74"/>
      <c r="L74" t="s">
        <v>2445</v>
      </c>
      <c r="M74" t="n">
        <v>1977</v>
      </c>
      <c r="N74" t="n">
        <v>1983</v>
      </c>
      <c r="O74" t="s">
        <v>829</v>
      </c>
      <c r="P74" t="n">
        <v>3</v>
      </c>
      <c r="Q74" t="n">
        <v>2</v>
      </c>
      <c r="R74" t="n">
        <v>2</v>
      </c>
      <c r="S74" t="n">
        <v>1975</v>
      </c>
      <c r="T74" t="s">
        <v>21496</v>
      </c>
      <c r="U74" t="s">
        <v>21497</v>
      </c>
      <c r="V74" t="s">
        <v>74</v>
      </c>
      <c r="W74"/>
      <c r="X74"/>
      <c r="Y74"/>
      <c r="Z74"/>
      <c r="AA74"/>
      <c r="AB74"/>
      <c r="AC74"/>
      <c r="AD74"/>
      <c r="AE74"/>
      <c r="AF74" t="s">
        <v>21498</v>
      </c>
      <c r="AG74" t="n">
        <v>233</v>
      </c>
    </row>
    <row r="75">
      <c r="A75" t="s">
        <v>21499</v>
      </c>
      <c r="B75" t="s">
        <v>31</v>
      </c>
      <c r="C75" t="s">
        <v>65</v>
      </c>
      <c r="D75" t="s">
        <v>21500</v>
      </c>
      <c r="E75" t="s">
        <v>3170</v>
      </c>
      <c r="F75" t="s">
        <v>3152</v>
      </c>
      <c r="G75" t="s">
        <v>3171</v>
      </c>
      <c r="H75" t="n">
        <v>40.4786399213373</v>
      </c>
      <c r="I75" t="n">
        <v>-105.066626662222</v>
      </c>
      <c r="J75" t="s">
        <v>35</v>
      </c>
      <c r="K75"/>
      <c r="L75" t="s">
        <v>202</v>
      </c>
      <c r="M75" t="n">
        <v>1983</v>
      </c>
      <c r="N75" t="n">
        <v>1990</v>
      </c>
      <c r="O75" t="s">
        <v>293</v>
      </c>
      <c r="P75" t="n">
        <v>2</v>
      </c>
      <c r="Q75" t="n">
        <v>2</v>
      </c>
      <c r="R75" t="n">
        <v>2</v>
      </c>
      <c r="S75" t="n">
        <v>1970</v>
      </c>
      <c r="T75" t="s">
        <v>21501</v>
      </c>
      <c r="U75" t="s">
        <v>21502</v>
      </c>
      <c r="V75" t="s">
        <v>74</v>
      </c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21503</v>
      </c>
      <c r="B76" t="s">
        <v>31</v>
      </c>
      <c r="C76" t="s">
        <v>65</v>
      </c>
      <c r="D76" t="s">
        <v>21504</v>
      </c>
      <c r="E76" t="s">
        <v>3170</v>
      </c>
      <c r="F76" t="s">
        <v>3152</v>
      </c>
      <c r="G76" t="s">
        <v>3332</v>
      </c>
      <c r="H76" t="n">
        <v>40.5674133265306</v>
      </c>
      <c r="I76" t="n">
        <v>-105.035769020408</v>
      </c>
      <c r="J76" t="s">
        <v>35</v>
      </c>
      <c r="K76"/>
      <c r="L76" t="s">
        <v>554</v>
      </c>
      <c r="M76" t="n">
        <v>1988</v>
      </c>
      <c r="N76" t="n">
        <v>1990</v>
      </c>
      <c r="O76" t="s">
        <v>310</v>
      </c>
      <c r="P76" t="n">
        <v>2</v>
      </c>
      <c r="Q76" t="n">
        <v>3</v>
      </c>
      <c r="R76" t="n">
        <v>1</v>
      </c>
      <c r="S76" t="n">
        <v>1974</v>
      </c>
      <c r="T76" t="s">
        <v>21505</v>
      </c>
      <c r="U76" t="s">
        <v>21506</v>
      </c>
      <c r="V76" t="s">
        <v>74</v>
      </c>
      <c r="W76"/>
      <c r="X76"/>
      <c r="Y76"/>
      <c r="Z76"/>
      <c r="AA76"/>
      <c r="AB76"/>
      <c r="AC76"/>
      <c r="AD76" t="s">
        <v>3274</v>
      </c>
      <c r="AE76" t="n">
        <v>187</v>
      </c>
      <c r="AF76" t="s">
        <v>20799</v>
      </c>
      <c r="AG76" t="n">
        <v>93</v>
      </c>
    </row>
    <row r="77">
      <c r="A77" t="s">
        <v>21507</v>
      </c>
      <c r="B77" t="s">
        <v>31</v>
      </c>
      <c r="C77" t="s">
        <v>24</v>
      </c>
      <c r="D77" t="s">
        <v>21508</v>
      </c>
      <c r="E77" t="s">
        <v>3461</v>
      </c>
      <c r="F77" t="s">
        <v>3462</v>
      </c>
      <c r="G77" t="s">
        <v>3487</v>
      </c>
      <c r="H77" t="n">
        <v>39.0648659175867</v>
      </c>
      <c r="I77" t="n">
        <v>-108.561054</v>
      </c>
      <c r="J77" t="s">
        <v>35</v>
      </c>
      <c r="K77"/>
      <c r="L77" t="s">
        <v>2204</v>
      </c>
      <c r="M77" t="n">
        <v>1966</v>
      </c>
      <c r="N77" t="n">
        <v>1966</v>
      </c>
      <c r="O77" t="s">
        <v>4172</v>
      </c>
      <c r="P77" t="n">
        <v>1</v>
      </c>
      <c r="Q77" t="n">
        <v>1</v>
      </c>
      <c r="R77" t="n">
        <v>1</v>
      </c>
      <c r="S77" t="n">
        <v>1865</v>
      </c>
      <c r="T77" t="s">
        <v>21509</v>
      </c>
      <c r="U77" t="s">
        <v>21510</v>
      </c>
      <c r="V77" t="s">
        <v>4175</v>
      </c>
      <c r="W77"/>
      <c r="X77"/>
      <c r="Y77"/>
      <c r="Z77"/>
      <c r="AA77"/>
      <c r="AB77" t="s">
        <v>21511</v>
      </c>
      <c r="AC77" t="n">
        <v>161</v>
      </c>
      <c r="AD77"/>
      <c r="AE77"/>
      <c r="AF77" t="s">
        <v>21512</v>
      </c>
      <c r="AG77" t="n">
        <v>96</v>
      </c>
    </row>
    <row r="78">
      <c r="A78" t="s">
        <v>21513</v>
      </c>
      <c r="B78" t="s">
        <v>31</v>
      </c>
      <c r="C78" t="s">
        <v>65</v>
      </c>
      <c r="D78" t="s">
        <v>21514</v>
      </c>
      <c r="E78" t="s">
        <v>3461</v>
      </c>
      <c r="F78" t="s">
        <v>3462</v>
      </c>
      <c r="G78" t="s">
        <v>3487</v>
      </c>
      <c r="H78" t="n">
        <v>39.0754365555359</v>
      </c>
      <c r="I78" t="n">
        <v>-108.570545256661</v>
      </c>
      <c r="J78" t="s">
        <v>35</v>
      </c>
      <c r="K78"/>
      <c r="L78" t="s">
        <v>21111</v>
      </c>
      <c r="M78" t="n">
        <v>1983</v>
      </c>
      <c r="N78" t="n">
        <v>1983</v>
      </c>
      <c r="O78" t="s">
        <v>264</v>
      </c>
      <c r="P78" t="n">
        <v>1</v>
      </c>
      <c r="Q78" t="n">
        <v>1</v>
      </c>
      <c r="R78" t="n">
        <v>1</v>
      </c>
      <c r="S78" t="n">
        <v>1978</v>
      </c>
      <c r="T78" t="s">
        <v>21515</v>
      </c>
      <c r="U78" t="s">
        <v>21516</v>
      </c>
      <c r="V78" t="s">
        <v>74</v>
      </c>
      <c r="W78"/>
      <c r="X78"/>
      <c r="Y78"/>
      <c r="Z78"/>
      <c r="AA78"/>
      <c r="AB78"/>
      <c r="AC78"/>
      <c r="AD78"/>
      <c r="AE78"/>
      <c r="AF78" t="s">
        <v>21517</v>
      </c>
      <c r="AG78" t="n">
        <v>107</v>
      </c>
    </row>
    <row r="79">
      <c r="A79" t="s">
        <v>21518</v>
      </c>
      <c r="B79" t="s">
        <v>31</v>
      </c>
      <c r="C79" t="s">
        <v>25</v>
      </c>
      <c r="D79" t="s">
        <v>21519</v>
      </c>
      <c r="E79" t="s">
        <v>3967</v>
      </c>
      <c r="F79" t="s">
        <v>3950</v>
      </c>
      <c r="G79" t="s">
        <v>3976</v>
      </c>
      <c r="H79" t="n">
        <v>40.4307109419656</v>
      </c>
      <c r="I79" t="n">
        <v>-104.711206552981</v>
      </c>
      <c r="J79" t="s">
        <v>4109</v>
      </c>
      <c r="K79"/>
      <c r="L79" t="s">
        <v>2204</v>
      </c>
      <c r="M79" t="n">
        <v>1966</v>
      </c>
      <c r="N79" t="n">
        <v>1966</v>
      </c>
      <c r="O79" t="s">
        <v>4172</v>
      </c>
      <c r="P79" t="n">
        <v>1</v>
      </c>
      <c r="Q79" t="n">
        <v>1</v>
      </c>
      <c r="R79" t="n">
        <v>1</v>
      </c>
      <c r="S79" t="n">
        <v>1960</v>
      </c>
      <c r="T79" t="s">
        <v>21520</v>
      </c>
      <c r="U79" t="s">
        <v>21521</v>
      </c>
      <c r="V79" t="s">
        <v>4175</v>
      </c>
      <c r="W79"/>
      <c r="X79"/>
      <c r="Y79"/>
      <c r="Z79"/>
      <c r="AA79"/>
      <c r="AB79"/>
      <c r="AC79"/>
      <c r="AD79"/>
      <c r="AE79"/>
      <c r="AF79"/>
      <c r="AG79"/>
    </row>
    <row r="80">
      <c r="A80" t="s">
        <v>21522</v>
      </c>
      <c r="B80" t="s">
        <v>31</v>
      </c>
      <c r="C80" t="s">
        <v>65</v>
      </c>
      <c r="D80" t="s">
        <v>21523</v>
      </c>
      <c r="E80" t="s">
        <v>3967</v>
      </c>
      <c r="F80" t="s">
        <v>3950</v>
      </c>
      <c r="G80"/>
      <c r="H80" t="n">
        <v>40.4348913281278</v>
      </c>
      <c r="I80" t="n">
        <v>-104.691201726823</v>
      </c>
      <c r="J80" t="s">
        <v>35</v>
      </c>
      <c r="K80"/>
      <c r="L80" t="s">
        <v>2901</v>
      </c>
      <c r="M80" t="n">
        <v>1988</v>
      </c>
      <c r="N80" t="n">
        <v>1988</v>
      </c>
      <c r="O80" t="s">
        <v>325</v>
      </c>
      <c r="P80" t="n">
        <v>1</v>
      </c>
      <c r="Q80" t="n">
        <v>1</v>
      </c>
      <c r="R80" t="n">
        <v>1</v>
      </c>
      <c r="S80" t="n">
        <v>1985</v>
      </c>
      <c r="T80" t="s">
        <v>21524</v>
      </c>
      <c r="U80" t="s">
        <v>21525</v>
      </c>
      <c r="V80" t="s">
        <v>74</v>
      </c>
      <c r="W80"/>
      <c r="X80"/>
      <c r="Y80"/>
      <c r="Z80"/>
      <c r="AA80"/>
      <c r="AB80"/>
      <c r="AC80"/>
      <c r="AD80"/>
      <c r="AE80"/>
      <c r="AF80" t="s">
        <v>10463</v>
      </c>
      <c r="AG80" t="n">
        <v>106</v>
      </c>
    </row>
    <row r="81">
      <c r="A81" t="s">
        <v>21526</v>
      </c>
      <c r="B81" t="s">
        <v>30</v>
      </c>
      <c r="C81" t="s">
        <v>65</v>
      </c>
      <c r="D81" t="s">
        <v>21527</v>
      </c>
      <c r="E81" t="s">
        <v>161</v>
      </c>
      <c r="F81" t="s">
        <v>68</v>
      </c>
      <c r="G81" t="s">
        <v>340</v>
      </c>
      <c r="H81" t="n">
        <v>39.9193383535002</v>
      </c>
      <c r="I81" t="n">
        <v>-104.979128480391</v>
      </c>
      <c r="J81" t="s">
        <v>35</v>
      </c>
      <c r="K81"/>
      <c r="L81" t="s">
        <v>202</v>
      </c>
      <c r="M81" t="n">
        <v>1988</v>
      </c>
      <c r="N81" t="n">
        <v>1988</v>
      </c>
      <c r="O81" t="s">
        <v>325</v>
      </c>
      <c r="P81" t="n">
        <v>1</v>
      </c>
      <c r="Q81" t="n">
        <v>1</v>
      </c>
      <c r="R81" t="n">
        <v>1</v>
      </c>
      <c r="S81" t="n">
        <v>1973</v>
      </c>
      <c r="T81" t="s">
        <v>21528</v>
      </c>
      <c r="U81" t="s">
        <v>21529</v>
      </c>
      <c r="V81" t="s">
        <v>74</v>
      </c>
      <c r="W81"/>
      <c r="X81"/>
      <c r="Y81"/>
      <c r="Z81"/>
      <c r="AA81" t="s">
        <v>21530</v>
      </c>
      <c r="AB81"/>
      <c r="AC81"/>
      <c r="AD81"/>
      <c r="AE81"/>
      <c r="AF81" t="s">
        <v>21531</v>
      </c>
      <c r="AG81" t="n">
        <v>211</v>
      </c>
    </row>
    <row r="82">
      <c r="A82" t="s">
        <v>21532</v>
      </c>
      <c r="B82" t="s">
        <v>30</v>
      </c>
      <c r="C82" t="s">
        <v>65</v>
      </c>
      <c r="D82" t="s">
        <v>21533</v>
      </c>
      <c r="E82" t="s">
        <v>161</v>
      </c>
      <c r="F82" t="s">
        <v>68</v>
      </c>
      <c r="G82" t="s">
        <v>340</v>
      </c>
      <c r="H82" t="n">
        <v>39.9214285365814</v>
      </c>
      <c r="I82" t="n">
        <v>-104.977980193421</v>
      </c>
      <c r="J82" t="s">
        <v>35</v>
      </c>
      <c r="K82"/>
      <c r="L82" t="s">
        <v>1310</v>
      </c>
      <c r="M82" t="n">
        <v>1992</v>
      </c>
      <c r="N82" t="n">
        <v>1992</v>
      </c>
      <c r="O82" t="s">
        <v>1016</v>
      </c>
      <c r="P82" t="n">
        <v>1</v>
      </c>
      <c r="Q82" t="n">
        <v>1</v>
      </c>
      <c r="R82" t="n">
        <v>1</v>
      </c>
      <c r="S82" t="n">
        <v>1988</v>
      </c>
      <c r="T82" t="s">
        <v>21534</v>
      </c>
      <c r="U82" t="s">
        <v>21535</v>
      </c>
      <c r="V82" t="s">
        <v>74</v>
      </c>
      <c r="W82"/>
      <c r="X82"/>
      <c r="Y82"/>
      <c r="Z82"/>
      <c r="AA82" t="s">
        <v>21536</v>
      </c>
      <c r="AB82"/>
      <c r="AC82"/>
      <c r="AD82"/>
      <c r="AE82"/>
      <c r="AF82" t="s">
        <v>5432</v>
      </c>
      <c r="AG82" t="n">
        <v>63</v>
      </c>
    </row>
    <row r="83">
      <c r="A83" t="s">
        <v>21537</v>
      </c>
      <c r="B83" t="s">
        <v>30</v>
      </c>
      <c r="C83" t="s">
        <v>65</v>
      </c>
      <c r="D83" t="s">
        <v>21538</v>
      </c>
      <c r="E83" t="s">
        <v>95</v>
      </c>
      <c r="F83" t="s">
        <v>387</v>
      </c>
      <c r="G83" t="s">
        <v>433</v>
      </c>
      <c r="H83" t="n">
        <v>39.7386146938776</v>
      </c>
      <c r="I83" t="n">
        <v>-104.871767265306</v>
      </c>
      <c r="J83" t="s">
        <v>35</v>
      </c>
      <c r="K83"/>
      <c r="L83" t="s">
        <v>202</v>
      </c>
      <c r="M83" t="n">
        <v>1983</v>
      </c>
      <c r="N83" t="n">
        <v>1983</v>
      </c>
      <c r="O83" t="s">
        <v>264</v>
      </c>
      <c r="P83" t="n">
        <v>1</v>
      </c>
      <c r="Q83" t="n">
        <v>1</v>
      </c>
      <c r="R83" t="n">
        <v>1</v>
      </c>
      <c r="S83" t="n">
        <v>1979</v>
      </c>
      <c r="T83" t="s">
        <v>21539</v>
      </c>
      <c r="U83" t="s">
        <v>21540</v>
      </c>
      <c r="V83" t="s">
        <v>74</v>
      </c>
      <c r="W83"/>
      <c r="X83"/>
      <c r="Y83"/>
      <c r="Z83"/>
      <c r="AA83" t="s">
        <v>21541</v>
      </c>
      <c r="AB83"/>
      <c r="AC83"/>
      <c r="AD83"/>
      <c r="AE83"/>
      <c r="AF83" t="s">
        <v>21542</v>
      </c>
      <c r="AG83" t="n">
        <v>118</v>
      </c>
    </row>
    <row r="84">
      <c r="A84" t="s">
        <v>21543</v>
      </c>
      <c r="B84" t="s">
        <v>30</v>
      </c>
      <c r="C84" t="s">
        <v>65</v>
      </c>
      <c r="D84" t="s">
        <v>21544</v>
      </c>
      <c r="E84" t="s">
        <v>394</v>
      </c>
      <c r="F84" t="s">
        <v>387</v>
      </c>
      <c r="G84" t="s">
        <v>395</v>
      </c>
      <c r="H84" t="n">
        <v>39.6532863872491</v>
      </c>
      <c r="I84" t="n">
        <v>-105.028744788655</v>
      </c>
      <c r="J84" t="s">
        <v>35</v>
      </c>
      <c r="K84"/>
      <c r="L84" t="s">
        <v>554</v>
      </c>
      <c r="M84" t="n">
        <v>1988</v>
      </c>
      <c r="N84" t="n">
        <v>1992</v>
      </c>
      <c r="O84" t="s">
        <v>1016</v>
      </c>
      <c r="P84" t="n">
        <v>3</v>
      </c>
      <c r="Q84" t="n">
        <v>3</v>
      </c>
      <c r="R84" t="n">
        <v>1</v>
      </c>
      <c r="S84" t="n">
        <v>1974</v>
      </c>
      <c r="T84" t="s">
        <v>21545</v>
      </c>
      <c r="U84" t="s">
        <v>21546</v>
      </c>
      <c r="V84" t="s">
        <v>74</v>
      </c>
      <c r="W84"/>
      <c r="X84"/>
      <c r="Y84"/>
      <c r="Z84"/>
      <c r="AA84" t="s">
        <v>21547</v>
      </c>
      <c r="AB84" t="s">
        <v>13395</v>
      </c>
      <c r="AC84" t="n">
        <v>209</v>
      </c>
      <c r="AD84"/>
      <c r="AE84"/>
      <c r="AF84" t="s">
        <v>21548</v>
      </c>
      <c r="AG84" t="n">
        <v>79</v>
      </c>
    </row>
    <row r="85">
      <c r="A85" t="s">
        <v>21549</v>
      </c>
      <c r="B85" t="s">
        <v>30</v>
      </c>
      <c r="C85" t="s">
        <v>24</v>
      </c>
      <c r="D85" t="s">
        <v>21550</v>
      </c>
      <c r="E85" t="s">
        <v>723</v>
      </c>
      <c r="F85" t="s">
        <v>724</v>
      </c>
      <c r="G85" t="s">
        <v>817</v>
      </c>
      <c r="H85" t="n">
        <v>40.000314</v>
      </c>
      <c r="I85" t="n">
        <v>-105.245631</v>
      </c>
      <c r="J85" t="s">
        <v>4109</v>
      </c>
      <c r="K85"/>
      <c r="L85" t="s">
        <v>202</v>
      </c>
      <c r="M85" t="n">
        <v>1980</v>
      </c>
      <c r="N85" t="n">
        <v>1980</v>
      </c>
      <c r="O85" t="s">
        <v>255</v>
      </c>
      <c r="P85" t="n">
        <v>1</v>
      </c>
      <c r="Q85" t="n">
        <v>1</v>
      </c>
      <c r="R85" t="n">
        <v>1</v>
      </c>
      <c r="S85" t="n">
        <v>1973</v>
      </c>
      <c r="T85" t="s">
        <v>21551</v>
      </c>
      <c r="U85" t="s">
        <v>21552</v>
      </c>
      <c r="V85" t="s">
        <v>74</v>
      </c>
      <c r="W85"/>
      <c r="X85"/>
      <c r="Y85"/>
      <c r="Z85"/>
      <c r="AA85" t="s">
        <v>21553</v>
      </c>
      <c r="AB85"/>
      <c r="AC85"/>
      <c r="AD85"/>
      <c r="AE85"/>
      <c r="AF85"/>
      <c r="AG85"/>
    </row>
    <row r="86">
      <c r="A86" t="s">
        <v>21554</v>
      </c>
      <c r="B86" t="s">
        <v>30</v>
      </c>
      <c r="C86" t="s">
        <v>24</v>
      </c>
      <c r="D86" t="s">
        <v>21555</v>
      </c>
      <c r="E86" t="s">
        <v>1010</v>
      </c>
      <c r="F86" t="s">
        <v>724</v>
      </c>
      <c r="G86" t="s">
        <v>1011</v>
      </c>
      <c r="H86" t="n">
        <v>40.052027122449</v>
      </c>
      <c r="I86" t="n">
        <v>-105.048824816327</v>
      </c>
      <c r="J86" t="s">
        <v>4109</v>
      </c>
      <c r="K86"/>
      <c r="L86" t="s">
        <v>202</v>
      </c>
      <c r="M86" t="n">
        <v>1988</v>
      </c>
      <c r="N86" t="n">
        <v>1988</v>
      </c>
      <c r="O86" t="s">
        <v>325</v>
      </c>
      <c r="P86" t="n">
        <v>1</v>
      </c>
      <c r="Q86" t="n">
        <v>1</v>
      </c>
      <c r="R86" t="n">
        <v>1</v>
      </c>
      <c r="S86" t="n">
        <v>1982</v>
      </c>
      <c r="T86" t="s">
        <v>21556</v>
      </c>
      <c r="U86" t="s">
        <v>21557</v>
      </c>
      <c r="V86" t="s">
        <v>74</v>
      </c>
      <c r="W86"/>
      <c r="X86"/>
      <c r="Y86"/>
      <c r="Z86"/>
      <c r="AA86" t="s">
        <v>21558</v>
      </c>
      <c r="AB86"/>
      <c r="AC86"/>
      <c r="AD86"/>
      <c r="AE86"/>
      <c r="AF86"/>
      <c r="AG86"/>
    </row>
    <row r="87">
      <c r="A87" t="s">
        <v>21559</v>
      </c>
      <c r="B87" t="s">
        <v>30</v>
      </c>
      <c r="C87" t="s">
        <v>24</v>
      </c>
      <c r="D87" t="s">
        <v>21560</v>
      </c>
      <c r="E87" t="s">
        <v>723</v>
      </c>
      <c r="F87" t="s">
        <v>724</v>
      </c>
      <c r="G87" t="s">
        <v>4171</v>
      </c>
      <c r="H87" t="n">
        <v>39.9864984171524</v>
      </c>
      <c r="I87" t="n">
        <v>-105.229145564468</v>
      </c>
      <c r="J87" t="s">
        <v>4109</v>
      </c>
      <c r="K87"/>
      <c r="L87" t="s">
        <v>1310</v>
      </c>
      <c r="M87" t="n">
        <v>1992</v>
      </c>
      <c r="N87" t="n">
        <v>1992</v>
      </c>
      <c r="O87" t="s">
        <v>1016</v>
      </c>
      <c r="P87" t="n">
        <v>1</v>
      </c>
      <c r="Q87" t="n">
        <v>1</v>
      </c>
      <c r="R87" t="n">
        <v>1</v>
      </c>
      <c r="S87" t="n">
        <v>1991</v>
      </c>
      <c r="T87" t="s">
        <v>21561</v>
      </c>
      <c r="U87" t="s">
        <v>21562</v>
      </c>
      <c r="V87" t="s">
        <v>74</v>
      </c>
      <c r="W87"/>
      <c r="X87"/>
      <c r="Y87"/>
      <c r="Z87"/>
      <c r="AA87" t="s">
        <v>21563</v>
      </c>
      <c r="AB87"/>
      <c r="AC87"/>
      <c r="AD87"/>
      <c r="AE87"/>
      <c r="AF87"/>
      <c r="AG87"/>
    </row>
    <row r="88">
      <c r="A88" t="s">
        <v>21564</v>
      </c>
      <c r="B88" t="s">
        <v>30</v>
      </c>
      <c r="C88" t="s">
        <v>65</v>
      </c>
      <c r="D88" t="s">
        <v>21565</v>
      </c>
      <c r="E88" t="s">
        <v>79</v>
      </c>
      <c r="F88" t="s">
        <v>1274</v>
      </c>
      <c r="G88"/>
      <c r="H88" t="n">
        <v>39.7384573535354</v>
      </c>
      <c r="I88" t="n">
        <v>-104.997718686869</v>
      </c>
      <c r="J88" t="s">
        <v>35</v>
      </c>
      <c r="K88"/>
      <c r="L88" t="s">
        <v>2901</v>
      </c>
      <c r="M88" t="n">
        <v>1965</v>
      </c>
      <c r="N88" t="n">
        <v>1965</v>
      </c>
      <c r="O88" t="s">
        <v>1275</v>
      </c>
      <c r="P88" t="n">
        <v>1</v>
      </c>
      <c r="Q88" t="n">
        <v>1</v>
      </c>
      <c r="R88" t="n">
        <v>1</v>
      </c>
      <c r="S88"/>
      <c r="T88" t="s">
        <v>21566</v>
      </c>
      <c r="U88" t="s">
        <v>21567</v>
      </c>
      <c r="V88" t="s">
        <v>74</v>
      </c>
      <c r="W88"/>
      <c r="X88"/>
      <c r="Y88"/>
      <c r="Z88"/>
      <c r="AA88" t="s">
        <v>21568</v>
      </c>
      <c r="AB88" t="s">
        <v>19722</v>
      </c>
      <c r="AC88" t="n">
        <v>139</v>
      </c>
      <c r="AD88" t="s">
        <v>19723</v>
      </c>
      <c r="AE88" t="n">
        <v>134</v>
      </c>
      <c r="AF88" t="s">
        <v>4955</v>
      </c>
      <c r="AG88" t="n">
        <v>61</v>
      </c>
    </row>
    <row r="89">
      <c r="A89" t="s">
        <v>21569</v>
      </c>
      <c r="B89" t="s">
        <v>30</v>
      </c>
      <c r="C89" t="s">
        <v>24</v>
      </c>
      <c r="D89" t="s">
        <v>21570</v>
      </c>
      <c r="E89" t="s">
        <v>79</v>
      </c>
      <c r="F89" t="s">
        <v>1274</v>
      </c>
      <c r="G89"/>
      <c r="H89" t="n">
        <v>39.7503316615967</v>
      </c>
      <c r="I89" t="n">
        <v>-104.997715832968</v>
      </c>
      <c r="J89" t="s">
        <v>35</v>
      </c>
      <c r="K89"/>
      <c r="L89" t="s">
        <v>2204</v>
      </c>
      <c r="M89" t="n">
        <v>1965</v>
      </c>
      <c r="N89" t="n">
        <v>1990</v>
      </c>
      <c r="O89" t="s">
        <v>4172</v>
      </c>
      <c r="P89" t="n">
        <v>4</v>
      </c>
      <c r="Q89" t="n">
        <v>4</v>
      </c>
      <c r="R89" t="n">
        <v>1</v>
      </c>
      <c r="S89" t="n">
        <v>1985</v>
      </c>
      <c r="T89" t="s">
        <v>21571</v>
      </c>
      <c r="U89" t="s">
        <v>21572</v>
      </c>
      <c r="V89" t="s">
        <v>4175</v>
      </c>
      <c r="W89"/>
      <c r="X89"/>
      <c r="Y89"/>
      <c r="Z89"/>
      <c r="AA89" t="s">
        <v>21573</v>
      </c>
      <c r="AB89" t="s">
        <v>21574</v>
      </c>
      <c r="AC89" t="n">
        <v>127</v>
      </c>
      <c r="AD89" t="s">
        <v>1853</v>
      </c>
      <c r="AE89" t="n">
        <v>179</v>
      </c>
      <c r="AF89" t="s">
        <v>7555</v>
      </c>
      <c r="AG89" t="n">
        <v>80</v>
      </c>
    </row>
    <row r="90">
      <c r="A90" t="s">
        <v>21575</v>
      </c>
      <c r="B90" t="s">
        <v>30</v>
      </c>
      <c r="C90" t="s">
        <v>65</v>
      </c>
      <c r="D90" t="s">
        <v>21576</v>
      </c>
      <c r="E90" t="s">
        <v>79</v>
      </c>
      <c r="F90" t="s">
        <v>1274</v>
      </c>
      <c r="G90" t="s">
        <v>1574</v>
      </c>
      <c r="H90" t="n">
        <v>39.7607508752566</v>
      </c>
      <c r="I90" t="n">
        <v>-104.984246584779</v>
      </c>
      <c r="J90" t="s">
        <v>35</v>
      </c>
      <c r="K90"/>
      <c r="L90" t="s">
        <v>554</v>
      </c>
      <c r="M90" t="n">
        <v>1966</v>
      </c>
      <c r="N90" t="n">
        <v>1983</v>
      </c>
      <c r="O90" t="s">
        <v>7764</v>
      </c>
      <c r="P90" t="n">
        <v>8</v>
      </c>
      <c r="Q90" t="n">
        <v>1</v>
      </c>
      <c r="R90" t="n">
        <v>1</v>
      </c>
      <c r="S90" t="n">
        <v>1960</v>
      </c>
      <c r="T90" t="s">
        <v>21577</v>
      </c>
      <c r="U90" t="s">
        <v>21578</v>
      </c>
      <c r="V90" t="s">
        <v>74</v>
      </c>
      <c r="W90"/>
      <c r="X90"/>
      <c r="Y90"/>
      <c r="Z90"/>
      <c r="AA90" t="s">
        <v>21579</v>
      </c>
      <c r="AB90" t="s">
        <v>9006</v>
      </c>
      <c r="AC90" t="n">
        <v>99</v>
      </c>
      <c r="AD90" t="s">
        <v>6699</v>
      </c>
      <c r="AE90" t="n">
        <v>115</v>
      </c>
      <c r="AF90" t="s">
        <v>21580</v>
      </c>
      <c r="AG90" t="n">
        <v>105</v>
      </c>
    </row>
    <row r="91">
      <c r="A91" t="s">
        <v>21581</v>
      </c>
      <c r="B91" t="s">
        <v>30</v>
      </c>
      <c r="C91" t="s">
        <v>24</v>
      </c>
      <c r="D91" t="s">
        <v>21582</v>
      </c>
      <c r="E91" t="s">
        <v>79</v>
      </c>
      <c r="F91" t="s">
        <v>1274</v>
      </c>
      <c r="G91" t="s">
        <v>1881</v>
      </c>
      <c r="H91" t="n">
        <v>39.7704181672846</v>
      </c>
      <c r="I91" t="n">
        <v>-104.929329833336</v>
      </c>
      <c r="J91" t="s">
        <v>4109</v>
      </c>
      <c r="K91"/>
      <c r="L91" t="s">
        <v>554</v>
      </c>
      <c r="M91" t="n">
        <v>1968</v>
      </c>
      <c r="N91" t="n">
        <v>1977</v>
      </c>
      <c r="O91" t="s">
        <v>1349</v>
      </c>
      <c r="P91" t="n">
        <v>2</v>
      </c>
      <c r="Q91" t="n">
        <v>2</v>
      </c>
      <c r="R91" t="n">
        <v>1</v>
      </c>
      <c r="S91" t="n">
        <v>1961</v>
      </c>
      <c r="T91" t="s">
        <v>21583</v>
      </c>
      <c r="U91" t="s">
        <v>21584</v>
      </c>
      <c r="V91" t="s">
        <v>74</v>
      </c>
      <c r="W91"/>
      <c r="X91"/>
      <c r="Y91"/>
      <c r="Z91"/>
      <c r="AA91" t="s">
        <v>21585</v>
      </c>
      <c r="AB91" t="s">
        <v>8072</v>
      </c>
      <c r="AC91" t="n">
        <v>204</v>
      </c>
      <c r="AD91" t="s">
        <v>14848</v>
      </c>
      <c r="AE91" t="n">
        <v>203</v>
      </c>
      <c r="AF91" t="s">
        <v>19880</v>
      </c>
      <c r="AG91" t="n">
        <v>117</v>
      </c>
    </row>
    <row r="92">
      <c r="A92" t="s">
        <v>21586</v>
      </c>
      <c r="B92" t="s">
        <v>30</v>
      </c>
      <c r="C92" t="s">
        <v>65</v>
      </c>
      <c r="D92" t="s">
        <v>21587</v>
      </c>
      <c r="E92" t="s">
        <v>79</v>
      </c>
      <c r="F92" t="s">
        <v>1274</v>
      </c>
      <c r="G92" t="s">
        <v>1555</v>
      </c>
      <c r="H92" t="n">
        <v>39.730459</v>
      </c>
      <c r="I92" t="n">
        <v>-104.990259</v>
      </c>
      <c r="J92" t="s">
        <v>35</v>
      </c>
      <c r="K92"/>
      <c r="L92" t="s">
        <v>850</v>
      </c>
      <c r="M92" t="n">
        <v>1970</v>
      </c>
      <c r="N92" t="n">
        <v>1983</v>
      </c>
      <c r="O92" t="s">
        <v>21588</v>
      </c>
      <c r="P92" t="n">
        <v>3</v>
      </c>
      <c r="Q92" t="n">
        <v>3</v>
      </c>
      <c r="R92" t="n">
        <v>3</v>
      </c>
      <c r="S92" t="n">
        <v>1948</v>
      </c>
      <c r="T92" t="s">
        <v>21589</v>
      </c>
      <c r="U92" t="s">
        <v>21590</v>
      </c>
      <c r="V92" t="s">
        <v>74</v>
      </c>
      <c r="W92"/>
      <c r="X92"/>
      <c r="Y92"/>
      <c r="Z92"/>
      <c r="AA92" t="s">
        <v>21591</v>
      </c>
      <c r="AB92" t="s">
        <v>21592</v>
      </c>
      <c r="AC92" t="n">
        <v>180</v>
      </c>
      <c r="AD92"/>
      <c r="AE92"/>
      <c r="AF92" t="s">
        <v>21593</v>
      </c>
      <c r="AG92" t="n">
        <v>132</v>
      </c>
    </row>
    <row r="93">
      <c r="A93" t="s">
        <v>21594</v>
      </c>
      <c r="B93" t="s">
        <v>30</v>
      </c>
      <c r="C93" t="s">
        <v>24</v>
      </c>
      <c r="D93" t="s">
        <v>21595</v>
      </c>
      <c r="E93" t="s">
        <v>79</v>
      </c>
      <c r="F93" t="s">
        <v>1274</v>
      </c>
      <c r="G93" t="s">
        <v>1881</v>
      </c>
      <c r="H93" t="n">
        <v>39.7707886935684</v>
      </c>
      <c r="I93" t="n">
        <v>-104.912692</v>
      </c>
      <c r="J93" t="s">
        <v>4109</v>
      </c>
      <c r="K93"/>
      <c r="L93" t="s">
        <v>202</v>
      </c>
      <c r="M93" t="n">
        <v>1974</v>
      </c>
      <c r="N93" t="n">
        <v>1977</v>
      </c>
      <c r="O93" t="s">
        <v>210</v>
      </c>
      <c r="P93" t="n">
        <v>2</v>
      </c>
      <c r="Q93" t="n">
        <v>2</v>
      </c>
      <c r="R93" t="n">
        <v>1</v>
      </c>
      <c r="S93" t="n">
        <v>1953</v>
      </c>
      <c r="T93" t="s">
        <v>21596</v>
      </c>
      <c r="U93" t="s">
        <v>21597</v>
      </c>
      <c r="V93" t="s">
        <v>74</v>
      </c>
      <c r="W93"/>
      <c r="X93"/>
      <c r="Y93"/>
      <c r="Z93"/>
      <c r="AA93" t="s">
        <v>21598</v>
      </c>
      <c r="AB93" t="s">
        <v>8729</v>
      </c>
      <c r="AC93" t="n">
        <v>217</v>
      </c>
      <c r="AD93"/>
      <c r="AE93"/>
      <c r="AF93" t="s">
        <v>21599</v>
      </c>
      <c r="AG93" t="n">
        <v>110</v>
      </c>
    </row>
    <row r="94">
      <c r="A94" t="s">
        <v>21600</v>
      </c>
      <c r="B94" t="s">
        <v>30</v>
      </c>
      <c r="C94" t="s">
        <v>65</v>
      </c>
      <c r="D94" t="s">
        <v>21601</v>
      </c>
      <c r="E94" t="s">
        <v>79</v>
      </c>
      <c r="F94" t="s">
        <v>1274</v>
      </c>
      <c r="G94" t="s">
        <v>1691</v>
      </c>
      <c r="H94" t="n">
        <v>39.6767052443711</v>
      </c>
      <c r="I94" t="n">
        <v>-104.93851438641</v>
      </c>
      <c r="J94" t="s">
        <v>35</v>
      </c>
      <c r="K94"/>
      <c r="L94" t="s">
        <v>202</v>
      </c>
      <c r="M94" t="n">
        <v>1977</v>
      </c>
      <c r="N94" t="n">
        <v>1977</v>
      </c>
      <c r="O94" t="s">
        <v>228</v>
      </c>
      <c r="P94" t="n">
        <v>1</v>
      </c>
      <c r="Q94" t="n">
        <v>1</v>
      </c>
      <c r="R94" t="n">
        <v>1</v>
      </c>
      <c r="S94" t="n">
        <v>1975</v>
      </c>
      <c r="T94" t="s">
        <v>21602</v>
      </c>
      <c r="U94" t="s">
        <v>21603</v>
      </c>
      <c r="V94" t="s">
        <v>74</v>
      </c>
      <c r="W94"/>
      <c r="X94"/>
      <c r="Y94"/>
      <c r="Z94"/>
      <c r="AA94" t="s">
        <v>21604</v>
      </c>
      <c r="AB94" t="s">
        <v>11432</v>
      </c>
      <c r="AC94" t="n">
        <v>204</v>
      </c>
      <c r="AD94"/>
      <c r="AE94"/>
      <c r="AF94" t="s">
        <v>21605</v>
      </c>
      <c r="AG94" t="n">
        <v>64</v>
      </c>
    </row>
    <row r="95">
      <c r="A95" t="s">
        <v>21606</v>
      </c>
      <c r="B95" t="s">
        <v>30</v>
      </c>
      <c r="C95" t="s">
        <v>65</v>
      </c>
      <c r="D95" t="s">
        <v>21607</v>
      </c>
      <c r="E95" t="s">
        <v>79</v>
      </c>
      <c r="F95" t="s">
        <v>1274</v>
      </c>
      <c r="G95" t="s">
        <v>1824</v>
      </c>
      <c r="H95" t="n">
        <v>39.69797052954</v>
      </c>
      <c r="I95" t="n">
        <v>-104.961753198108</v>
      </c>
      <c r="J95" t="s">
        <v>35</v>
      </c>
      <c r="K95"/>
      <c r="L95" t="s">
        <v>1337</v>
      </c>
      <c r="M95" t="n">
        <v>1983</v>
      </c>
      <c r="N95" t="n">
        <v>1990</v>
      </c>
      <c r="O95" t="s">
        <v>325</v>
      </c>
      <c r="P95" t="n">
        <v>3</v>
      </c>
      <c r="Q95" t="n">
        <v>3</v>
      </c>
      <c r="R95" t="n">
        <v>1</v>
      </c>
      <c r="S95" t="n">
        <v>1979</v>
      </c>
      <c r="T95" t="s">
        <v>21608</v>
      </c>
      <c r="U95" t="s">
        <v>21609</v>
      </c>
      <c r="V95" t="s">
        <v>74</v>
      </c>
      <c r="W95"/>
      <c r="X95"/>
      <c r="Y95"/>
      <c r="Z95"/>
      <c r="AA95" t="s">
        <v>21610</v>
      </c>
      <c r="AB95"/>
      <c r="AC95"/>
      <c r="AD95"/>
      <c r="AE95"/>
      <c r="AF95"/>
      <c r="AG95"/>
    </row>
    <row r="96">
      <c r="A96" t="s">
        <v>21611</v>
      </c>
      <c r="B96" t="s">
        <v>30</v>
      </c>
      <c r="C96" t="s">
        <v>24</v>
      </c>
      <c r="D96" t="s">
        <v>21612</v>
      </c>
      <c r="E96" t="s">
        <v>2272</v>
      </c>
      <c r="F96" t="s">
        <v>2267</v>
      </c>
      <c r="G96" t="s">
        <v>2475</v>
      </c>
      <c r="H96" t="n">
        <v>38.799547</v>
      </c>
      <c r="I96" t="n">
        <v>-104.851805</v>
      </c>
      <c r="J96" t="s">
        <v>4109</v>
      </c>
      <c r="K96"/>
      <c r="L96" t="s">
        <v>2814</v>
      </c>
      <c r="M96" t="n">
        <v>1977</v>
      </c>
      <c r="N96" t="n">
        <v>1977</v>
      </c>
      <c r="O96" t="s">
        <v>228</v>
      </c>
      <c r="P96" t="n">
        <v>1</v>
      </c>
      <c r="Q96" t="n">
        <v>1</v>
      </c>
      <c r="R96" t="n">
        <v>1</v>
      </c>
      <c r="S96" t="n">
        <v>1974</v>
      </c>
      <c r="T96" t="s">
        <v>21613</v>
      </c>
      <c r="U96" t="s">
        <v>21614</v>
      </c>
      <c r="V96" t="s">
        <v>74</v>
      </c>
      <c r="W96"/>
      <c r="X96"/>
      <c r="Y96"/>
      <c r="Z96"/>
      <c r="AA96" t="s">
        <v>21615</v>
      </c>
      <c r="AB96"/>
      <c r="AC96"/>
      <c r="AD96"/>
      <c r="AE96"/>
      <c r="AF96"/>
      <c r="AG96"/>
    </row>
    <row r="97">
      <c r="A97" t="s">
        <v>21616</v>
      </c>
      <c r="B97" t="s">
        <v>30</v>
      </c>
      <c r="C97" t="s">
        <v>65</v>
      </c>
      <c r="D97" t="s">
        <v>21617</v>
      </c>
      <c r="E97" t="s">
        <v>2723</v>
      </c>
      <c r="F97" t="s">
        <v>2724</v>
      </c>
      <c r="G97" t="s">
        <v>2778</v>
      </c>
      <c r="H97" t="n">
        <v>39.7382273490987</v>
      </c>
      <c r="I97" t="n">
        <v>-105.194682282031</v>
      </c>
      <c r="J97" t="s">
        <v>35</v>
      </c>
      <c r="K97"/>
      <c r="L97" t="s">
        <v>554</v>
      </c>
      <c r="M97" t="n">
        <v>1977</v>
      </c>
      <c r="N97" t="n">
        <v>1983</v>
      </c>
      <c r="O97" t="s">
        <v>264</v>
      </c>
      <c r="P97" t="n">
        <v>3</v>
      </c>
      <c r="Q97" t="n">
        <v>2</v>
      </c>
      <c r="R97" t="n">
        <v>1</v>
      </c>
      <c r="S97" t="n">
        <v>1946</v>
      </c>
      <c r="T97" t="s">
        <v>21618</v>
      </c>
      <c r="U97" t="s">
        <v>21619</v>
      </c>
      <c r="V97" t="s">
        <v>74</v>
      </c>
      <c r="W97"/>
      <c r="X97"/>
      <c r="Y97"/>
      <c r="Z97"/>
      <c r="AA97" t="s">
        <v>21620</v>
      </c>
      <c r="AB97"/>
      <c r="AC97"/>
      <c r="AD97"/>
      <c r="AE97"/>
      <c r="AF97" t="s">
        <v>21621</v>
      </c>
      <c r="AG97" t="n">
        <v>91</v>
      </c>
    </row>
    <row r="98">
      <c r="A98" t="s">
        <v>21622</v>
      </c>
      <c r="B98" t="s">
        <v>30</v>
      </c>
      <c r="C98" t="s">
        <v>65</v>
      </c>
      <c r="D98" t="s">
        <v>21623</v>
      </c>
      <c r="E98" t="s">
        <v>2769</v>
      </c>
      <c r="F98" t="s">
        <v>2724</v>
      </c>
      <c r="G98" t="s">
        <v>2770</v>
      </c>
      <c r="H98" t="n">
        <v>39.7766356938776</v>
      </c>
      <c r="I98" t="n">
        <v>-105.075617</v>
      </c>
      <c r="J98" t="s">
        <v>35</v>
      </c>
      <c r="K98"/>
      <c r="L98" t="s">
        <v>1310</v>
      </c>
      <c r="M98" t="n">
        <v>1983</v>
      </c>
      <c r="N98" t="n">
        <v>1990</v>
      </c>
      <c r="O98" t="s">
        <v>351</v>
      </c>
      <c r="P98" t="n">
        <v>3</v>
      </c>
      <c r="Q98" t="n">
        <v>2</v>
      </c>
      <c r="R98" t="n">
        <v>1</v>
      </c>
      <c r="S98" t="n">
        <v>1975</v>
      </c>
      <c r="T98" t="s">
        <v>21624</v>
      </c>
      <c r="U98" t="s">
        <v>21625</v>
      </c>
      <c r="V98" t="s">
        <v>74</v>
      </c>
      <c r="W98"/>
      <c r="X98"/>
      <c r="Y98"/>
      <c r="Z98"/>
      <c r="AA98" t="s">
        <v>21626</v>
      </c>
      <c r="AB98" t="s">
        <v>21627</v>
      </c>
      <c r="AC98" t="n">
        <v>89</v>
      </c>
      <c r="AD98"/>
      <c r="AE98"/>
      <c r="AF98" t="s">
        <v>21628</v>
      </c>
      <c r="AG98" t="n">
        <v>87</v>
      </c>
    </row>
    <row r="99">
      <c r="A99" t="s">
        <v>21629</v>
      </c>
      <c r="B99" t="s">
        <v>30</v>
      </c>
      <c r="C99" t="s">
        <v>24</v>
      </c>
      <c r="D99" t="s">
        <v>21630</v>
      </c>
      <c r="E99" t="s">
        <v>21473</v>
      </c>
      <c r="F99" t="s">
        <v>2724</v>
      </c>
      <c r="G99" t="s">
        <v>21474</v>
      </c>
      <c r="H99" t="n">
        <v>39.4630502273081</v>
      </c>
      <c r="I99" t="n">
        <v>-105.400078592869</v>
      </c>
      <c r="J99" t="s">
        <v>4109</v>
      </c>
      <c r="K99"/>
      <c r="L99" t="s">
        <v>202</v>
      </c>
      <c r="M99" t="n">
        <v>1983</v>
      </c>
      <c r="N99" t="n">
        <v>1983</v>
      </c>
      <c r="O99" t="s">
        <v>264</v>
      </c>
      <c r="P99" t="n">
        <v>1</v>
      </c>
      <c r="Q99" t="n">
        <v>1</v>
      </c>
      <c r="R99" t="n">
        <v>1</v>
      </c>
      <c r="S99" t="n">
        <v>1978</v>
      </c>
      <c r="T99" t="s">
        <v>21631</v>
      </c>
      <c r="U99" t="s">
        <v>3334</v>
      </c>
      <c r="V99" t="s">
        <v>74</v>
      </c>
      <c r="W99"/>
      <c r="X99"/>
      <c r="Y99"/>
      <c r="Z99"/>
      <c r="AA99" t="s">
        <v>21632</v>
      </c>
      <c r="AB99"/>
      <c r="AC99"/>
      <c r="AD99"/>
      <c r="AE99"/>
      <c r="AF99"/>
      <c r="AG99"/>
    </row>
    <row r="100">
      <c r="A100" t="s">
        <v>21633</v>
      </c>
      <c r="B100" t="s">
        <v>30</v>
      </c>
      <c r="C100" t="s">
        <v>65</v>
      </c>
      <c r="D100" t="s">
        <v>21634</v>
      </c>
      <c r="E100" t="s">
        <v>3170</v>
      </c>
      <c r="F100" t="s">
        <v>3152</v>
      </c>
      <c r="G100" t="s">
        <v>3292</v>
      </c>
      <c r="H100" t="n">
        <v>40.589384379335</v>
      </c>
      <c r="I100" t="n">
        <v>-105.032352140774</v>
      </c>
      <c r="J100" t="s">
        <v>35</v>
      </c>
      <c r="K100"/>
      <c r="L100" t="s">
        <v>554</v>
      </c>
      <c r="M100" t="n">
        <v>1988</v>
      </c>
      <c r="N100" t="n">
        <v>1990</v>
      </c>
      <c r="O100" t="s">
        <v>310</v>
      </c>
      <c r="P100" t="n">
        <v>2</v>
      </c>
      <c r="Q100" t="n">
        <v>2</v>
      </c>
      <c r="R100" t="n">
        <v>2</v>
      </c>
      <c r="S100" t="n">
        <v>1977</v>
      </c>
      <c r="T100" t="s">
        <v>21635</v>
      </c>
      <c r="U100" t="s">
        <v>21636</v>
      </c>
      <c r="V100" t="s">
        <v>74</v>
      </c>
      <c r="W100"/>
      <c r="X100"/>
      <c r="Y100"/>
      <c r="Z100"/>
      <c r="AA100" t="s">
        <v>21637</v>
      </c>
      <c r="AB100"/>
      <c r="AC100"/>
      <c r="AD100"/>
      <c r="AE100"/>
      <c r="AF100" t="s">
        <v>21638</v>
      </c>
      <c r="AG100" t="n">
        <v>67</v>
      </c>
    </row>
    <row r="101">
      <c r="A101" t="s">
        <v>21639</v>
      </c>
      <c r="B101" t="s">
        <v>30</v>
      </c>
      <c r="C101" t="s">
        <v>65</v>
      </c>
      <c r="D101" t="s">
        <v>21640</v>
      </c>
      <c r="E101" t="s">
        <v>3151</v>
      </c>
      <c r="F101" t="s">
        <v>3152</v>
      </c>
      <c r="G101" t="s">
        <v>3429</v>
      </c>
      <c r="H101" t="n">
        <v>40.4217399393991</v>
      </c>
      <c r="I101" t="n">
        <v>-105.068083956051</v>
      </c>
      <c r="J101" t="s">
        <v>35</v>
      </c>
      <c r="K101"/>
      <c r="L101" t="s">
        <v>554</v>
      </c>
      <c r="M101" t="n">
        <v>1988</v>
      </c>
      <c r="N101" t="n">
        <v>1992</v>
      </c>
      <c r="O101" t="s">
        <v>325</v>
      </c>
      <c r="P101" t="n">
        <v>3</v>
      </c>
      <c r="Q101" t="n">
        <v>2</v>
      </c>
      <c r="R101" t="n">
        <v>1</v>
      </c>
      <c r="S101" t="n">
        <v>1974</v>
      </c>
      <c r="T101" t="s">
        <v>21641</v>
      </c>
      <c r="U101" t="s">
        <v>21642</v>
      </c>
      <c r="V101" t="s">
        <v>74</v>
      </c>
      <c r="W101"/>
      <c r="X101"/>
      <c r="Y101"/>
      <c r="Z101"/>
      <c r="AA101" t="s">
        <v>21643</v>
      </c>
      <c r="AB101"/>
      <c r="AC101"/>
      <c r="AD101"/>
      <c r="AE101"/>
      <c r="AF101"/>
      <c r="AG101"/>
    </row>
    <row r="102">
      <c r="A102" t="s">
        <v>21644</v>
      </c>
      <c r="B102" t="s">
        <v>28</v>
      </c>
      <c r="C102" t="s">
        <v>24</v>
      </c>
      <c r="D102" t="s">
        <v>21645</v>
      </c>
      <c r="E102" t="s">
        <v>79</v>
      </c>
      <c r="F102" t="s">
        <v>68</v>
      </c>
      <c r="G102" t="s">
        <v>80</v>
      </c>
      <c r="H102" t="n">
        <v>39.8661400971437</v>
      </c>
      <c r="I102" t="n">
        <v>-105.022705043342</v>
      </c>
      <c r="J102" t="s">
        <v>4109</v>
      </c>
      <c r="K102"/>
      <c r="L102" t="s">
        <v>1002</v>
      </c>
      <c r="M102" t="n">
        <v>1990</v>
      </c>
      <c r="N102" t="n">
        <v>1990</v>
      </c>
      <c r="O102" t="s">
        <v>351</v>
      </c>
      <c r="P102" t="n">
        <v>1</v>
      </c>
      <c r="Q102" t="n">
        <v>1</v>
      </c>
      <c r="R102" t="n">
        <v>1</v>
      </c>
      <c r="S102" t="n">
        <v>1972</v>
      </c>
      <c r="T102" t="s">
        <v>21646</v>
      </c>
      <c r="U102" t="s">
        <v>21647</v>
      </c>
      <c r="V102" t="s">
        <v>74</v>
      </c>
      <c r="W102"/>
      <c r="X102"/>
      <c r="Y102" t="s">
        <v>21648</v>
      </c>
      <c r="Z102"/>
      <c r="AA102" t="s">
        <v>21649</v>
      </c>
      <c r="AB102"/>
      <c r="AC102"/>
      <c r="AD102"/>
      <c r="AE102"/>
      <c r="AF102" t="s">
        <v>21650</v>
      </c>
      <c r="AG102" t="n">
        <v>225</v>
      </c>
    </row>
    <row r="103">
      <c r="A103" t="s">
        <v>21651</v>
      </c>
      <c r="B103" t="s">
        <v>28</v>
      </c>
      <c r="C103" t="s">
        <v>65</v>
      </c>
      <c r="D103" t="s">
        <v>21652</v>
      </c>
      <c r="E103" t="s">
        <v>386</v>
      </c>
      <c r="F103" t="s">
        <v>387</v>
      </c>
      <c r="G103" t="s">
        <v>428</v>
      </c>
      <c r="H103" t="n">
        <v>39.616835</v>
      </c>
      <c r="I103" t="n">
        <v>-104.988028</v>
      </c>
      <c r="J103" t="s">
        <v>35</v>
      </c>
      <c r="K103"/>
      <c r="L103" t="s">
        <v>554</v>
      </c>
      <c r="M103" t="n">
        <v>1970</v>
      </c>
      <c r="N103" t="n">
        <v>1983</v>
      </c>
      <c r="O103" t="s">
        <v>4255</v>
      </c>
      <c r="P103" t="n">
        <v>4</v>
      </c>
      <c r="Q103" t="n">
        <v>2</v>
      </c>
      <c r="R103" t="n">
        <v>1</v>
      </c>
      <c r="S103" t="n">
        <v>1885</v>
      </c>
      <c r="T103" t="s">
        <v>21653</v>
      </c>
      <c r="U103" t="s">
        <v>21654</v>
      </c>
      <c r="V103" t="s">
        <v>74</v>
      </c>
      <c r="W103"/>
      <c r="X103"/>
      <c r="Y103" t="s">
        <v>21655</v>
      </c>
      <c r="Z103"/>
      <c r="AA103"/>
      <c r="AB103" t="s">
        <v>21656</v>
      </c>
      <c r="AC103" t="n">
        <v>96</v>
      </c>
      <c r="AD103"/>
      <c r="AE103"/>
      <c r="AF103" t="s">
        <v>21657</v>
      </c>
      <c r="AG103" t="n">
        <v>5</v>
      </c>
    </row>
    <row r="104">
      <c r="A104" t="s">
        <v>21658</v>
      </c>
      <c r="B104" t="s">
        <v>28</v>
      </c>
      <c r="C104" t="s">
        <v>65</v>
      </c>
      <c r="D104" t="s">
        <v>21659</v>
      </c>
      <c r="E104" t="s">
        <v>394</v>
      </c>
      <c r="F104" t="s">
        <v>387</v>
      </c>
      <c r="G104" t="s">
        <v>553</v>
      </c>
      <c r="H104" t="n">
        <v>39.5789882085359</v>
      </c>
      <c r="I104" t="n">
        <v>-104.861934824077</v>
      </c>
      <c r="J104" t="s">
        <v>35</v>
      </c>
      <c r="K104"/>
      <c r="L104" t="s">
        <v>1002</v>
      </c>
      <c r="M104" t="n">
        <v>1977</v>
      </c>
      <c r="N104" t="n">
        <v>1990</v>
      </c>
      <c r="O104" t="s">
        <v>325</v>
      </c>
      <c r="P104" t="n">
        <v>5</v>
      </c>
      <c r="Q104" t="n">
        <v>10</v>
      </c>
      <c r="R104" t="n">
        <v>1</v>
      </c>
      <c r="S104" t="n">
        <v>1965</v>
      </c>
      <c r="T104" t="s">
        <v>21660</v>
      </c>
      <c r="U104" t="s">
        <v>21661</v>
      </c>
      <c r="V104" t="s">
        <v>74</v>
      </c>
      <c r="W104"/>
      <c r="X104"/>
      <c r="Y104" t="s">
        <v>21662</v>
      </c>
      <c r="Z104"/>
      <c r="AA104" t="s">
        <v>21663</v>
      </c>
      <c r="AB104"/>
      <c r="AC104"/>
      <c r="AD104"/>
      <c r="AE104"/>
      <c r="AF104" t="s">
        <v>21664</v>
      </c>
      <c r="AG104" t="n">
        <v>14</v>
      </c>
    </row>
    <row r="105">
      <c r="A105" t="s">
        <v>21665</v>
      </c>
      <c r="B105" t="s">
        <v>28</v>
      </c>
      <c r="C105" t="s">
        <v>65</v>
      </c>
      <c r="D105" t="s">
        <v>21666</v>
      </c>
      <c r="E105" t="s">
        <v>723</v>
      </c>
      <c r="F105" t="s">
        <v>724</v>
      </c>
      <c r="G105" t="s">
        <v>725</v>
      </c>
      <c r="H105" t="n">
        <v>40.021926357852</v>
      </c>
      <c r="I105" t="n">
        <v>-105.260262093713</v>
      </c>
      <c r="J105" t="s">
        <v>35</v>
      </c>
      <c r="K105"/>
      <c r="L105" t="s">
        <v>202</v>
      </c>
      <c r="M105" t="n">
        <v>1967</v>
      </c>
      <c r="N105" t="n">
        <v>1983</v>
      </c>
      <c r="O105" t="s">
        <v>21667</v>
      </c>
      <c r="P105" t="n">
        <v>8</v>
      </c>
      <c r="Q105" t="n">
        <v>4</v>
      </c>
      <c r="R105" t="n">
        <v>3</v>
      </c>
      <c r="S105" t="n">
        <v>1966</v>
      </c>
      <c r="T105" t="s">
        <v>21668</v>
      </c>
      <c r="U105" t="s">
        <v>21669</v>
      </c>
      <c r="V105" t="s">
        <v>74</v>
      </c>
      <c r="W105"/>
      <c r="X105"/>
      <c r="Y105" t="s">
        <v>21670</v>
      </c>
      <c r="Z105"/>
      <c r="AA105" t="s">
        <v>21671</v>
      </c>
      <c r="AB105"/>
      <c r="AC105"/>
      <c r="AD105"/>
      <c r="AE105"/>
      <c r="AF105" t="s">
        <v>10952</v>
      </c>
      <c r="AG105" t="n">
        <v>8</v>
      </c>
    </row>
    <row r="106">
      <c r="A106" t="s">
        <v>21672</v>
      </c>
      <c r="B106" t="s">
        <v>28</v>
      </c>
      <c r="C106" t="s">
        <v>65</v>
      </c>
      <c r="D106" t="s">
        <v>21673</v>
      </c>
      <c r="E106" t="s">
        <v>723</v>
      </c>
      <c r="F106" t="s">
        <v>724</v>
      </c>
      <c r="G106" t="s">
        <v>817</v>
      </c>
      <c r="H106" t="n">
        <v>40.023189697114</v>
      </c>
      <c r="I106" t="n">
        <v>-105.183062840725</v>
      </c>
      <c r="J106" t="s">
        <v>35</v>
      </c>
      <c r="K106"/>
      <c r="L106" t="s">
        <v>202</v>
      </c>
      <c r="M106" t="n">
        <v>1980</v>
      </c>
      <c r="N106" t="n">
        <v>1992</v>
      </c>
      <c r="O106" t="s">
        <v>582</v>
      </c>
      <c r="P106" t="n">
        <v>4</v>
      </c>
      <c r="Q106" t="n">
        <v>2</v>
      </c>
      <c r="R106" t="n">
        <v>2</v>
      </c>
      <c r="S106" t="n">
        <v>1968</v>
      </c>
      <c r="T106" t="s">
        <v>21674</v>
      </c>
      <c r="U106" t="s">
        <v>21675</v>
      </c>
      <c r="V106" t="s">
        <v>74</v>
      </c>
      <c r="W106"/>
      <c r="X106"/>
      <c r="Y106" t="s">
        <v>21676</v>
      </c>
      <c r="Z106"/>
      <c r="AA106"/>
      <c r="AB106"/>
      <c r="AC106"/>
      <c r="AD106"/>
      <c r="AE106"/>
      <c r="AF106" t="s">
        <v>21677</v>
      </c>
      <c r="AG106" t="n">
        <v>49</v>
      </c>
    </row>
    <row r="107">
      <c r="A107" t="s">
        <v>21678</v>
      </c>
      <c r="B107" t="s">
        <v>28</v>
      </c>
      <c r="C107" t="s">
        <v>65</v>
      </c>
      <c r="D107" t="s">
        <v>21679</v>
      </c>
      <c r="E107" t="s">
        <v>723</v>
      </c>
      <c r="F107" t="s">
        <v>724</v>
      </c>
      <c r="G107" t="s">
        <v>817</v>
      </c>
      <c r="H107" t="n">
        <v>40.0700738860021</v>
      </c>
      <c r="I107" t="n">
        <v>-105.204657654367</v>
      </c>
      <c r="J107" t="s">
        <v>35</v>
      </c>
      <c r="K107"/>
      <c r="L107" t="s">
        <v>202</v>
      </c>
      <c r="M107" t="n">
        <v>1983</v>
      </c>
      <c r="N107" t="n">
        <v>1992</v>
      </c>
      <c r="O107" t="s">
        <v>264</v>
      </c>
      <c r="P107" t="n">
        <v>4</v>
      </c>
      <c r="Q107" t="n">
        <v>5</v>
      </c>
      <c r="R107" t="n">
        <v>1</v>
      </c>
      <c r="S107" t="n">
        <v>1978</v>
      </c>
      <c r="T107" t="s">
        <v>21680</v>
      </c>
      <c r="U107" t="s">
        <v>21681</v>
      </c>
      <c r="V107" t="s">
        <v>74</v>
      </c>
      <c r="W107"/>
      <c r="X107"/>
      <c r="Y107" t="s">
        <v>21682</v>
      </c>
      <c r="Z107"/>
      <c r="AA107" t="s">
        <v>21683</v>
      </c>
      <c r="AB107"/>
      <c r="AC107"/>
      <c r="AD107"/>
      <c r="AE107"/>
      <c r="AF107" t="s">
        <v>21684</v>
      </c>
      <c r="AG107" t="n">
        <v>9</v>
      </c>
    </row>
    <row r="108">
      <c r="A108" t="s">
        <v>21685</v>
      </c>
      <c r="B108" t="s">
        <v>28</v>
      </c>
      <c r="C108" t="s">
        <v>65</v>
      </c>
      <c r="D108" t="s">
        <v>21686</v>
      </c>
      <c r="E108" t="s">
        <v>723</v>
      </c>
      <c r="F108" t="s">
        <v>724</v>
      </c>
      <c r="G108" t="s">
        <v>817</v>
      </c>
      <c r="H108" t="n">
        <v>40.0162739426117</v>
      </c>
      <c r="I108" t="n">
        <v>-105.230074107971</v>
      </c>
      <c r="J108" t="s">
        <v>35</v>
      </c>
      <c r="K108"/>
      <c r="L108" t="s">
        <v>2445</v>
      </c>
      <c r="M108" t="n">
        <v>1983</v>
      </c>
      <c r="N108" t="n">
        <v>1992</v>
      </c>
      <c r="O108" t="s">
        <v>271</v>
      </c>
      <c r="P108" t="n">
        <v>4</v>
      </c>
      <c r="Q108" t="n">
        <v>2</v>
      </c>
      <c r="R108" t="n">
        <v>2</v>
      </c>
      <c r="S108" t="n">
        <v>1966</v>
      </c>
      <c r="T108" t="s">
        <v>21687</v>
      </c>
      <c r="U108" t="s">
        <v>21688</v>
      </c>
      <c r="V108" t="s">
        <v>74</v>
      </c>
      <c r="W108"/>
      <c r="X108"/>
      <c r="Y108" t="s">
        <v>21689</v>
      </c>
      <c r="Z108"/>
      <c r="AA108"/>
      <c r="AB108" t="s">
        <v>837</v>
      </c>
      <c r="AC108" t="n">
        <v>241</v>
      </c>
      <c r="AD108" t="s">
        <v>14012</v>
      </c>
      <c r="AE108" t="n">
        <v>209</v>
      </c>
      <c r="AF108" t="s">
        <v>21690</v>
      </c>
      <c r="AG108" t="n">
        <v>17</v>
      </c>
    </row>
    <row r="109">
      <c r="A109" t="s">
        <v>21691</v>
      </c>
      <c r="B109" t="s">
        <v>28</v>
      </c>
      <c r="C109" t="s">
        <v>65</v>
      </c>
      <c r="D109" t="s">
        <v>21692</v>
      </c>
      <c r="E109" t="s">
        <v>738</v>
      </c>
      <c r="F109" t="s">
        <v>724</v>
      </c>
      <c r="G109" t="s">
        <v>739</v>
      </c>
      <c r="H109" t="n">
        <v>40.1577307489201</v>
      </c>
      <c r="I109" t="n">
        <v>-105.107664787865</v>
      </c>
      <c r="J109" t="s">
        <v>35</v>
      </c>
      <c r="K109"/>
      <c r="L109" t="s">
        <v>202</v>
      </c>
      <c r="M109" t="n">
        <v>1983</v>
      </c>
      <c r="N109" t="n">
        <v>1988</v>
      </c>
      <c r="O109" t="s">
        <v>283</v>
      </c>
      <c r="P109" t="n">
        <v>2</v>
      </c>
      <c r="Q109" t="n">
        <v>1</v>
      </c>
      <c r="R109" t="n">
        <v>1</v>
      </c>
      <c r="S109" t="n">
        <v>1970</v>
      </c>
      <c r="T109" t="s">
        <v>21693</v>
      </c>
      <c r="U109" t="s">
        <v>21694</v>
      </c>
      <c r="V109" t="s">
        <v>74</v>
      </c>
      <c r="W109"/>
      <c r="X109"/>
      <c r="Y109" t="s">
        <v>21695</v>
      </c>
      <c r="Z109"/>
      <c r="AA109"/>
      <c r="AB109" t="s">
        <v>14081</v>
      </c>
      <c r="AC109" t="n">
        <v>137</v>
      </c>
      <c r="AD109"/>
      <c r="AE109"/>
      <c r="AF109" t="s">
        <v>21696</v>
      </c>
      <c r="AG109" t="n">
        <v>48</v>
      </c>
    </row>
    <row r="110">
      <c r="A110" t="s">
        <v>21697</v>
      </c>
      <c r="B110" t="s">
        <v>28</v>
      </c>
      <c r="C110" t="s">
        <v>65</v>
      </c>
      <c r="D110" t="s">
        <v>21698</v>
      </c>
      <c r="E110" t="s">
        <v>738</v>
      </c>
      <c r="F110" t="s">
        <v>724</v>
      </c>
      <c r="G110" t="s">
        <v>739</v>
      </c>
      <c r="H110" t="n">
        <v>40.1433238936508</v>
      </c>
      <c r="I110" t="n">
        <v>-105.122938344407</v>
      </c>
      <c r="J110" t="s">
        <v>35</v>
      </c>
      <c r="K110"/>
      <c r="L110" t="s">
        <v>202</v>
      </c>
      <c r="M110" t="n">
        <v>1988</v>
      </c>
      <c r="N110" t="n">
        <v>1990</v>
      </c>
      <c r="O110" t="s">
        <v>310</v>
      </c>
      <c r="P110" t="n">
        <v>2</v>
      </c>
      <c r="Q110" t="n">
        <v>1</v>
      </c>
      <c r="R110" t="n">
        <v>1</v>
      </c>
      <c r="S110" t="n">
        <v>1980</v>
      </c>
      <c r="T110" t="s">
        <v>21699</v>
      </c>
      <c r="U110" t="s">
        <v>21700</v>
      </c>
      <c r="V110" t="s">
        <v>74</v>
      </c>
      <c r="W110"/>
      <c r="X110"/>
      <c r="Y110" t="s">
        <v>21701</v>
      </c>
      <c r="Z110"/>
      <c r="AA110" t="s">
        <v>21702</v>
      </c>
      <c r="AB110"/>
      <c r="AC110"/>
      <c r="AD110" t="s">
        <v>1006</v>
      </c>
      <c r="AE110" t="n">
        <v>207</v>
      </c>
      <c r="AF110" t="s">
        <v>1007</v>
      </c>
      <c r="AG110" t="n">
        <v>16</v>
      </c>
    </row>
    <row r="111">
      <c r="A111" t="s">
        <v>21703</v>
      </c>
      <c r="B111" t="s">
        <v>28</v>
      </c>
      <c r="C111" t="s">
        <v>65</v>
      </c>
      <c r="D111" t="s">
        <v>21704</v>
      </c>
      <c r="E111" t="s">
        <v>1164</v>
      </c>
      <c r="F111" t="s">
        <v>1165</v>
      </c>
      <c r="G111" t="s">
        <v>1166</v>
      </c>
      <c r="H111" t="n">
        <v>39.9119480827506</v>
      </c>
      <c r="I111" t="n">
        <v>-105.106526501531</v>
      </c>
      <c r="J111" t="s">
        <v>35</v>
      </c>
      <c r="K111"/>
      <c r="L111" t="s">
        <v>554</v>
      </c>
      <c r="M111" t="n">
        <v>1977</v>
      </c>
      <c r="N111" t="n">
        <v>1977</v>
      </c>
      <c r="O111" t="s">
        <v>228</v>
      </c>
      <c r="P111" t="n">
        <v>1</v>
      </c>
      <c r="Q111" t="n">
        <v>1</v>
      </c>
      <c r="R111" t="n">
        <v>1</v>
      </c>
      <c r="S111" t="n">
        <v>1975</v>
      </c>
      <c r="T111" t="s">
        <v>21705</v>
      </c>
      <c r="U111" t="s">
        <v>21706</v>
      </c>
      <c r="V111" t="s">
        <v>74</v>
      </c>
      <c r="W111"/>
      <c r="X111"/>
      <c r="Y111" t="s">
        <v>21707</v>
      </c>
      <c r="Z111"/>
      <c r="AA111"/>
      <c r="AB111"/>
      <c r="AC111"/>
      <c r="AD111"/>
      <c r="AE111"/>
      <c r="AF111" t="s">
        <v>21708</v>
      </c>
      <c r="AG111" t="n">
        <v>14</v>
      </c>
    </row>
    <row r="112">
      <c r="A112" t="s">
        <v>21709</v>
      </c>
      <c r="B112" t="s">
        <v>28</v>
      </c>
      <c r="C112" t="s">
        <v>24</v>
      </c>
      <c r="D112" t="s">
        <v>21710</v>
      </c>
      <c r="E112" t="s">
        <v>4237</v>
      </c>
      <c r="F112" t="s">
        <v>1240</v>
      </c>
      <c r="G112" t="s">
        <v>4238</v>
      </c>
      <c r="H112" t="n">
        <v>38.841445</v>
      </c>
      <c r="I112" t="n">
        <v>-106.130425</v>
      </c>
      <c r="J112" t="s">
        <v>4109</v>
      </c>
      <c r="K112"/>
      <c r="L112" t="s">
        <v>21111</v>
      </c>
      <c r="M112" t="n">
        <v>1967</v>
      </c>
      <c r="N112" t="n">
        <v>1967</v>
      </c>
      <c r="O112" t="s">
        <v>388</v>
      </c>
      <c r="P112" t="n">
        <v>1</v>
      </c>
      <c r="Q112" t="n">
        <v>1</v>
      </c>
      <c r="R112" t="n">
        <v>1</v>
      </c>
      <c r="S112" t="n">
        <v>1965</v>
      </c>
      <c r="T112" t="s">
        <v>21711</v>
      </c>
      <c r="U112" t="s">
        <v>21712</v>
      </c>
      <c r="V112" t="s">
        <v>74</v>
      </c>
      <c r="W112"/>
      <c r="X112"/>
      <c r="Y112" t="s">
        <v>21713</v>
      </c>
      <c r="Z112"/>
      <c r="AA112" t="s">
        <v>21714</v>
      </c>
      <c r="AB112"/>
      <c r="AC112"/>
      <c r="AD112"/>
      <c r="AE112"/>
      <c r="AF112" t="s">
        <v>21715</v>
      </c>
      <c r="AG112" t="n">
        <v>203</v>
      </c>
    </row>
    <row r="113">
      <c r="A113" t="s">
        <v>21716</v>
      </c>
      <c r="B113" t="s">
        <v>28</v>
      </c>
      <c r="C113" t="s">
        <v>65</v>
      </c>
      <c r="D113" t="s">
        <v>21717</v>
      </c>
      <c r="E113" t="s">
        <v>79</v>
      </c>
      <c r="F113" t="s">
        <v>1274</v>
      </c>
      <c r="G113"/>
      <c r="H113" t="n">
        <v>39.7108958775461</v>
      </c>
      <c r="I113" t="n">
        <v>-104.980381164277</v>
      </c>
      <c r="J113" t="s">
        <v>35</v>
      </c>
      <c r="K113"/>
      <c r="L113" t="s">
        <v>554</v>
      </c>
      <c r="M113" t="n">
        <v>1965</v>
      </c>
      <c r="N113" t="n">
        <v>1965</v>
      </c>
      <c r="O113" t="s">
        <v>1275</v>
      </c>
      <c r="P113" t="n">
        <v>1</v>
      </c>
      <c r="Q113" t="n">
        <v>1</v>
      </c>
      <c r="R113" t="n">
        <v>1</v>
      </c>
      <c r="S113"/>
      <c r="T113" t="s">
        <v>21718</v>
      </c>
      <c r="U113" t="s">
        <v>21719</v>
      </c>
      <c r="V113" t="s">
        <v>74</v>
      </c>
      <c r="W113"/>
      <c r="X113"/>
      <c r="Y113" t="s">
        <v>21720</v>
      </c>
      <c r="Z113"/>
      <c r="AA113" t="s">
        <v>21721</v>
      </c>
      <c r="AB113"/>
      <c r="AC113"/>
      <c r="AD113"/>
      <c r="AE113"/>
      <c r="AF113" t="s">
        <v>21722</v>
      </c>
      <c r="AG113" t="n">
        <v>0</v>
      </c>
    </row>
    <row r="114">
      <c r="A114" t="s">
        <v>21723</v>
      </c>
      <c r="B114" t="s">
        <v>28</v>
      </c>
      <c r="C114" t="s">
        <v>24</v>
      </c>
      <c r="D114" t="s">
        <v>21724</v>
      </c>
      <c r="E114" t="s">
        <v>79</v>
      </c>
      <c r="F114" t="s">
        <v>1274</v>
      </c>
      <c r="G114" t="s">
        <v>1525</v>
      </c>
      <c r="H114" t="n">
        <v>39.7266011469388</v>
      </c>
      <c r="I114" t="n">
        <v>-104.98362135102</v>
      </c>
      <c r="J114" t="s">
        <v>4109</v>
      </c>
      <c r="K114"/>
      <c r="L114" t="s">
        <v>554</v>
      </c>
      <c r="M114" t="n">
        <v>1966</v>
      </c>
      <c r="N114" t="n">
        <v>1992</v>
      </c>
      <c r="O114" t="s">
        <v>325</v>
      </c>
      <c r="P114" t="n">
        <v>5</v>
      </c>
      <c r="Q114" t="n">
        <v>4</v>
      </c>
      <c r="R114" t="n">
        <v>1</v>
      </c>
      <c r="S114" t="n">
        <v>1960</v>
      </c>
      <c r="T114" t="s">
        <v>21725</v>
      </c>
      <c r="U114" t="s">
        <v>21726</v>
      </c>
      <c r="V114" t="s">
        <v>74</v>
      </c>
      <c r="W114"/>
      <c r="X114"/>
      <c r="Y114" t="s">
        <v>21727</v>
      </c>
      <c r="Z114"/>
      <c r="AA114" t="s">
        <v>21728</v>
      </c>
      <c r="AB114" t="s">
        <v>21729</v>
      </c>
      <c r="AC114" t="n">
        <v>143</v>
      </c>
      <c r="AD114"/>
      <c r="AE114"/>
      <c r="AF114" t="s">
        <v>21730</v>
      </c>
      <c r="AG114" t="n">
        <v>22</v>
      </c>
    </row>
    <row r="115">
      <c r="A115" t="s">
        <v>21731</v>
      </c>
      <c r="B115" t="s">
        <v>28</v>
      </c>
      <c r="C115" t="s">
        <v>24</v>
      </c>
      <c r="D115" t="s">
        <v>21732</v>
      </c>
      <c r="E115" t="s">
        <v>79</v>
      </c>
      <c r="F115" t="s">
        <v>1274</v>
      </c>
      <c r="G115" t="s">
        <v>11156</v>
      </c>
      <c r="H115" t="n">
        <v>39.7186798668376</v>
      </c>
      <c r="I115" t="n">
        <v>-104.947375294291</v>
      </c>
      <c r="J115" t="s">
        <v>35</v>
      </c>
      <c r="K115"/>
      <c r="L115" t="s">
        <v>21111</v>
      </c>
      <c r="M115" t="n">
        <v>1966</v>
      </c>
      <c r="N115" t="n">
        <v>1974</v>
      </c>
      <c r="O115" t="s">
        <v>4172</v>
      </c>
      <c r="P115" t="n">
        <v>2</v>
      </c>
      <c r="Q115" t="n">
        <v>2</v>
      </c>
      <c r="R115" t="n">
        <v>1</v>
      </c>
      <c r="S115" t="n">
        <v>1869</v>
      </c>
      <c r="T115" t="s">
        <v>21733</v>
      </c>
      <c r="U115" t="s">
        <v>21734</v>
      </c>
      <c r="V115" t="s">
        <v>4175</v>
      </c>
      <c r="W115"/>
      <c r="X115"/>
      <c r="Y115" t="s">
        <v>21735</v>
      </c>
      <c r="Z115"/>
      <c r="AA115"/>
      <c r="AB115"/>
      <c r="AC115"/>
      <c r="AD115"/>
      <c r="AE115"/>
      <c r="AF115" t="s">
        <v>21736</v>
      </c>
      <c r="AG115" t="n">
        <v>8</v>
      </c>
    </row>
    <row r="116">
      <c r="A116" t="s">
        <v>21737</v>
      </c>
      <c r="B116" t="s">
        <v>28</v>
      </c>
      <c r="C116" t="s">
        <v>24</v>
      </c>
      <c r="D116" t="s">
        <v>21738</v>
      </c>
      <c r="E116" t="s">
        <v>79</v>
      </c>
      <c r="F116" t="s">
        <v>1274</v>
      </c>
      <c r="G116" t="s">
        <v>1440</v>
      </c>
      <c r="H116" t="n">
        <v>39.763492</v>
      </c>
      <c r="I116" t="n">
        <v>-105.002953</v>
      </c>
      <c r="J116" t="s">
        <v>4109</v>
      </c>
      <c r="K116"/>
      <c r="L116" t="s">
        <v>21111</v>
      </c>
      <c r="M116" t="n">
        <v>1968</v>
      </c>
      <c r="N116" t="n">
        <v>1974</v>
      </c>
      <c r="O116" t="s">
        <v>1613</v>
      </c>
      <c r="P116" t="n">
        <v>3</v>
      </c>
      <c r="Q116" t="n">
        <v>2</v>
      </c>
      <c r="R116" t="n">
        <v>2</v>
      </c>
      <c r="S116" t="n">
        <v>1966</v>
      </c>
      <c r="T116" t="s">
        <v>21739</v>
      </c>
      <c r="U116" t="s">
        <v>21740</v>
      </c>
      <c r="V116" t="s">
        <v>74</v>
      </c>
      <c r="W116"/>
      <c r="X116"/>
      <c r="Y116" t="s">
        <v>21741</v>
      </c>
      <c r="Z116"/>
      <c r="AA116" t="s">
        <v>21742</v>
      </c>
      <c r="AB116"/>
      <c r="AC116"/>
      <c r="AD116"/>
      <c r="AE116"/>
      <c r="AF116" t="s">
        <v>14672</v>
      </c>
      <c r="AG116" t="n">
        <v>149</v>
      </c>
    </row>
    <row r="117">
      <c r="A117" t="s">
        <v>21743</v>
      </c>
      <c r="B117" t="s">
        <v>28</v>
      </c>
      <c r="C117" t="s">
        <v>65</v>
      </c>
      <c r="D117" t="s">
        <v>21744</v>
      </c>
      <c r="E117" t="s">
        <v>79</v>
      </c>
      <c r="F117" t="s">
        <v>1274</v>
      </c>
      <c r="G117" t="s">
        <v>2041</v>
      </c>
      <c r="H117" t="n">
        <v>39.6792542443917</v>
      </c>
      <c r="I117" t="n">
        <v>-104.92535342421</v>
      </c>
      <c r="J117" t="s">
        <v>35</v>
      </c>
      <c r="K117"/>
      <c r="L117" t="s">
        <v>554</v>
      </c>
      <c r="M117" t="n">
        <v>1973</v>
      </c>
      <c r="N117" t="n">
        <v>1973</v>
      </c>
      <c r="O117" t="s">
        <v>121</v>
      </c>
      <c r="P117" t="n">
        <v>1</v>
      </c>
      <c r="Q117" t="n">
        <v>1</v>
      </c>
      <c r="R117" t="n">
        <v>1</v>
      </c>
      <c r="S117" t="n">
        <v>1970</v>
      </c>
      <c r="T117" t="s">
        <v>21745</v>
      </c>
      <c r="U117" t="s">
        <v>21746</v>
      </c>
      <c r="V117" t="s">
        <v>74</v>
      </c>
      <c r="W117"/>
      <c r="X117"/>
      <c r="Y117" t="s">
        <v>21747</v>
      </c>
      <c r="Z117"/>
      <c r="AA117"/>
      <c r="AB117"/>
      <c r="AC117"/>
      <c r="AD117"/>
      <c r="AE117"/>
      <c r="AF117" t="s">
        <v>1908</v>
      </c>
      <c r="AG117" t="n">
        <v>26</v>
      </c>
    </row>
    <row r="118">
      <c r="A118" t="s">
        <v>21748</v>
      </c>
      <c r="B118" t="s">
        <v>28</v>
      </c>
      <c r="C118" t="s">
        <v>65</v>
      </c>
      <c r="D118" t="s">
        <v>21749</v>
      </c>
      <c r="E118" t="s">
        <v>79</v>
      </c>
      <c r="F118" t="s">
        <v>1274</v>
      </c>
      <c r="G118" t="s">
        <v>1702</v>
      </c>
      <c r="H118" t="n">
        <v>39.790061019306</v>
      </c>
      <c r="I118" t="n">
        <v>-104.850669327438</v>
      </c>
      <c r="J118" t="s">
        <v>35</v>
      </c>
      <c r="K118"/>
      <c r="L118" t="s">
        <v>554</v>
      </c>
      <c r="M118" t="n">
        <v>1988</v>
      </c>
      <c r="N118" t="n">
        <v>1990</v>
      </c>
      <c r="O118" t="s">
        <v>325</v>
      </c>
      <c r="P118" t="n">
        <v>2</v>
      </c>
      <c r="Q118" t="n">
        <v>1</v>
      </c>
      <c r="R118" t="n">
        <v>1</v>
      </c>
      <c r="S118" t="n">
        <v>1978</v>
      </c>
      <c r="T118" t="s">
        <v>21750</v>
      </c>
      <c r="U118" t="s">
        <v>21751</v>
      </c>
      <c r="V118" t="s">
        <v>74</v>
      </c>
      <c r="W118"/>
      <c r="X118"/>
      <c r="Y118" t="s">
        <v>21752</v>
      </c>
      <c r="Z118"/>
      <c r="AA118"/>
      <c r="AB118"/>
      <c r="AC118"/>
      <c r="AD118" t="s">
        <v>15795</v>
      </c>
      <c r="AE118" t="n">
        <v>156</v>
      </c>
      <c r="AF118" t="s">
        <v>15796</v>
      </c>
      <c r="AG118" t="n">
        <v>31</v>
      </c>
    </row>
    <row r="119">
      <c r="A119" t="s">
        <v>21753</v>
      </c>
      <c r="B119" t="s">
        <v>28</v>
      </c>
      <c r="C119" t="s">
        <v>65</v>
      </c>
      <c r="D119" t="s">
        <v>21754</v>
      </c>
      <c r="E119" t="s">
        <v>2272</v>
      </c>
      <c r="F119" t="s">
        <v>2267</v>
      </c>
      <c r="G119" t="s">
        <v>2289</v>
      </c>
      <c r="H119" t="n">
        <v>38.8292817451786</v>
      </c>
      <c r="I119" t="n">
        <v>-104.821397412561</v>
      </c>
      <c r="J119" t="s">
        <v>35</v>
      </c>
      <c r="K119"/>
      <c r="L119" t="s">
        <v>1310</v>
      </c>
      <c r="M119" t="n">
        <v>1966</v>
      </c>
      <c r="N119" t="n">
        <v>1977</v>
      </c>
      <c r="O119" t="s">
        <v>1349</v>
      </c>
      <c r="P119" t="n">
        <v>3</v>
      </c>
      <c r="Q119" t="n">
        <v>2</v>
      </c>
      <c r="R119" t="n">
        <v>1</v>
      </c>
      <c r="S119" t="n">
        <v>1959</v>
      </c>
      <c r="T119" t="s">
        <v>21755</v>
      </c>
      <c r="U119" t="s">
        <v>21756</v>
      </c>
      <c r="V119" t="s">
        <v>74</v>
      </c>
      <c r="W119"/>
      <c r="X119"/>
      <c r="Y119" t="s">
        <v>21757</v>
      </c>
      <c r="Z119"/>
      <c r="AA119" t="s">
        <v>21758</v>
      </c>
      <c r="AB119"/>
      <c r="AC119"/>
      <c r="AD119"/>
      <c r="AE119"/>
      <c r="AF119" t="s">
        <v>21759</v>
      </c>
      <c r="AG119" t="n">
        <v>3</v>
      </c>
    </row>
    <row r="120">
      <c r="A120" t="s">
        <v>21760</v>
      </c>
      <c r="B120" t="s">
        <v>28</v>
      </c>
      <c r="C120" t="s">
        <v>65</v>
      </c>
      <c r="D120" t="s">
        <v>21761</v>
      </c>
      <c r="E120" t="s">
        <v>2272</v>
      </c>
      <c r="F120" t="s">
        <v>2267</v>
      </c>
      <c r="G120" t="s">
        <v>4608</v>
      </c>
      <c r="H120" t="n">
        <v>38.9035813671536</v>
      </c>
      <c r="I120" t="n">
        <v>-104.857670734307</v>
      </c>
      <c r="J120" t="s">
        <v>35</v>
      </c>
      <c r="K120"/>
      <c r="L120" t="s">
        <v>1002</v>
      </c>
      <c r="M120" t="n">
        <v>1983</v>
      </c>
      <c r="N120" t="n">
        <v>1983</v>
      </c>
      <c r="O120" t="s">
        <v>264</v>
      </c>
      <c r="P120" t="n">
        <v>1</v>
      </c>
      <c r="Q120" t="n">
        <v>1</v>
      </c>
      <c r="R120" t="n">
        <v>1</v>
      </c>
      <c r="S120" t="n">
        <v>1978</v>
      </c>
      <c r="T120" t="s">
        <v>21762</v>
      </c>
      <c r="U120" t="s">
        <v>21763</v>
      </c>
      <c r="V120" t="s">
        <v>74</v>
      </c>
      <c r="W120"/>
      <c r="X120"/>
      <c r="Y120" t="s">
        <v>21764</v>
      </c>
      <c r="Z120"/>
      <c r="AA120"/>
      <c r="AB120"/>
      <c r="AC120"/>
      <c r="AD120"/>
      <c r="AE120"/>
      <c r="AF120" t="s">
        <v>21765</v>
      </c>
      <c r="AG120" t="n">
        <v>13</v>
      </c>
    </row>
    <row r="121">
      <c r="A121" t="s">
        <v>21766</v>
      </c>
      <c r="B121" t="s">
        <v>28</v>
      </c>
      <c r="C121" t="s">
        <v>65</v>
      </c>
      <c r="D121" t="s">
        <v>21767</v>
      </c>
      <c r="E121" t="s">
        <v>2272</v>
      </c>
      <c r="F121" t="s">
        <v>2267</v>
      </c>
      <c r="G121" t="s">
        <v>2296</v>
      </c>
      <c r="H121" t="n">
        <v>38.8994960748381</v>
      </c>
      <c r="I121" t="n">
        <v>-104.84704004459</v>
      </c>
      <c r="J121" t="s">
        <v>35</v>
      </c>
      <c r="K121"/>
      <c r="L121" t="s">
        <v>18068</v>
      </c>
      <c r="M121" t="n">
        <v>1988</v>
      </c>
      <c r="N121" t="n">
        <v>1990</v>
      </c>
      <c r="O121" t="s">
        <v>310</v>
      </c>
      <c r="P121" t="n">
        <v>2</v>
      </c>
      <c r="Q121" t="n">
        <v>3</v>
      </c>
      <c r="R121" t="n">
        <v>2</v>
      </c>
      <c r="S121" t="n">
        <v>1983</v>
      </c>
      <c r="T121" t="s">
        <v>21768</v>
      </c>
      <c r="U121" t="s">
        <v>21769</v>
      </c>
      <c r="V121" t="s">
        <v>74</v>
      </c>
      <c r="W121"/>
      <c r="X121"/>
      <c r="Y121" t="s">
        <v>21770</v>
      </c>
      <c r="Z121"/>
      <c r="AA121" t="s">
        <v>21771</v>
      </c>
      <c r="AB121"/>
      <c r="AC121"/>
      <c r="AD121"/>
      <c r="AE121"/>
      <c r="AF121" t="s">
        <v>21772</v>
      </c>
      <c r="AG121" t="n">
        <v>3</v>
      </c>
    </row>
    <row r="122">
      <c r="A122" t="s">
        <v>21773</v>
      </c>
      <c r="B122" t="s">
        <v>28</v>
      </c>
      <c r="C122" t="s">
        <v>65</v>
      </c>
      <c r="D122" t="s">
        <v>21774</v>
      </c>
      <c r="E122" t="s">
        <v>2272</v>
      </c>
      <c r="F122" t="s">
        <v>2267</v>
      </c>
      <c r="G122" t="s">
        <v>2475</v>
      </c>
      <c r="H122" t="n">
        <v>38.7915710031581</v>
      </c>
      <c r="I122" t="n">
        <v>-104.786257101213</v>
      </c>
      <c r="J122" t="s">
        <v>35</v>
      </c>
      <c r="K122"/>
      <c r="L122" t="s">
        <v>202</v>
      </c>
      <c r="M122" t="n">
        <v>1988</v>
      </c>
      <c r="N122" t="n">
        <v>1992</v>
      </c>
      <c r="O122" t="s">
        <v>320</v>
      </c>
      <c r="P122" t="n">
        <v>3</v>
      </c>
      <c r="Q122" t="n">
        <v>2</v>
      </c>
      <c r="R122" t="n">
        <v>2</v>
      </c>
      <c r="S122" t="n">
        <v>1967</v>
      </c>
      <c r="T122" t="s">
        <v>21775</v>
      </c>
      <c r="U122" t="s">
        <v>21776</v>
      </c>
      <c r="V122" t="s">
        <v>74</v>
      </c>
      <c r="W122"/>
      <c r="X122"/>
      <c r="Y122" t="s">
        <v>21777</v>
      </c>
      <c r="Z122"/>
      <c r="AA122"/>
      <c r="AB122"/>
      <c r="AC122"/>
      <c r="AD122" t="s">
        <v>11922</v>
      </c>
      <c r="AE122" t="n">
        <v>157</v>
      </c>
      <c r="AF122" t="s">
        <v>21778</v>
      </c>
      <c r="AG122" t="n">
        <v>64</v>
      </c>
    </row>
    <row r="123">
      <c r="A123" t="s">
        <v>21779</v>
      </c>
      <c r="B123" t="s">
        <v>28</v>
      </c>
      <c r="C123" t="s">
        <v>65</v>
      </c>
      <c r="D123" t="s">
        <v>21780</v>
      </c>
      <c r="E123" t="s">
        <v>2272</v>
      </c>
      <c r="F123" t="s">
        <v>2267</v>
      </c>
      <c r="G123" t="s">
        <v>2423</v>
      </c>
      <c r="H123" t="n">
        <v>38.7937316819911</v>
      </c>
      <c r="I123" t="n">
        <v>-104.773908196682</v>
      </c>
      <c r="J123" t="s">
        <v>35</v>
      </c>
      <c r="K123"/>
      <c r="L123" t="s">
        <v>554</v>
      </c>
      <c r="M123" t="n">
        <v>1990</v>
      </c>
      <c r="N123" t="n">
        <v>1990</v>
      </c>
      <c r="O123" t="s">
        <v>351</v>
      </c>
      <c r="P123" t="n">
        <v>1</v>
      </c>
      <c r="Q123" t="n">
        <v>1</v>
      </c>
      <c r="R123" t="n">
        <v>1</v>
      </c>
      <c r="S123" t="n">
        <v>1979</v>
      </c>
      <c r="T123" t="s">
        <v>21781</v>
      </c>
      <c r="U123" t="s">
        <v>21782</v>
      </c>
      <c r="V123" t="s">
        <v>74</v>
      </c>
      <c r="W123"/>
      <c r="X123"/>
      <c r="Y123" t="s">
        <v>21783</v>
      </c>
      <c r="Z123"/>
      <c r="AA123" t="s">
        <v>21784</v>
      </c>
      <c r="AB123"/>
      <c r="AC123"/>
      <c r="AD123" t="s">
        <v>16502</v>
      </c>
      <c r="AE123" t="n">
        <v>211</v>
      </c>
      <c r="AF123" t="s">
        <v>16503</v>
      </c>
      <c r="AG123" t="n">
        <v>37</v>
      </c>
    </row>
    <row r="124">
      <c r="A124" t="s">
        <v>21785</v>
      </c>
      <c r="B124" t="s">
        <v>28</v>
      </c>
      <c r="C124" t="s">
        <v>65</v>
      </c>
      <c r="D124" t="s">
        <v>21786</v>
      </c>
      <c r="E124" t="s">
        <v>2272</v>
      </c>
      <c r="F124" t="s">
        <v>2267</v>
      </c>
      <c r="G124" t="s">
        <v>2273</v>
      </c>
      <c r="H124" t="n">
        <v>38.8375517315775</v>
      </c>
      <c r="I124" t="n">
        <v>-104.750034023667</v>
      </c>
      <c r="J124" t="s">
        <v>35</v>
      </c>
      <c r="K124"/>
      <c r="L124" t="s">
        <v>202</v>
      </c>
      <c r="M124" t="n">
        <v>1990</v>
      </c>
      <c r="N124" t="n">
        <v>1992</v>
      </c>
      <c r="O124" t="s">
        <v>351</v>
      </c>
      <c r="P124" t="n">
        <v>2</v>
      </c>
      <c r="Q124" t="n">
        <v>2</v>
      </c>
      <c r="R124" t="n">
        <v>1</v>
      </c>
      <c r="S124" t="n">
        <v>1972</v>
      </c>
      <c r="T124" t="s">
        <v>21787</v>
      </c>
      <c r="U124" t="s">
        <v>21788</v>
      </c>
      <c r="V124" t="s">
        <v>74</v>
      </c>
      <c r="W124"/>
      <c r="X124"/>
      <c r="Y124" t="s">
        <v>21789</v>
      </c>
      <c r="Z124"/>
      <c r="AA124" t="s">
        <v>21790</v>
      </c>
      <c r="AB124"/>
      <c r="AC124"/>
      <c r="AD124"/>
      <c r="AE124"/>
      <c r="AF124" t="s">
        <v>21791</v>
      </c>
      <c r="AG124" t="n">
        <v>23</v>
      </c>
    </row>
    <row r="125">
      <c r="A125" t="s">
        <v>21792</v>
      </c>
      <c r="B125" t="s">
        <v>28</v>
      </c>
      <c r="C125" t="s">
        <v>24</v>
      </c>
      <c r="D125" t="s">
        <v>21793</v>
      </c>
      <c r="E125" t="s">
        <v>2729</v>
      </c>
      <c r="F125" t="s">
        <v>2724</v>
      </c>
      <c r="G125" t="s">
        <v>2730</v>
      </c>
      <c r="H125" t="n">
        <v>39.859759</v>
      </c>
      <c r="I125" t="n">
        <v>-105.071342</v>
      </c>
      <c r="J125" t="s">
        <v>4109</v>
      </c>
      <c r="K125"/>
      <c r="L125" t="s">
        <v>202</v>
      </c>
      <c r="M125" t="n">
        <v>1980</v>
      </c>
      <c r="N125" t="n">
        <v>1980</v>
      </c>
      <c r="O125" t="s">
        <v>255</v>
      </c>
      <c r="P125" t="n">
        <v>1</v>
      </c>
      <c r="Q125" t="n">
        <v>1</v>
      </c>
      <c r="R125" t="n">
        <v>1</v>
      </c>
      <c r="S125" t="n">
        <v>1968</v>
      </c>
      <c r="T125" t="s">
        <v>21794</v>
      </c>
      <c r="U125" t="s">
        <v>21795</v>
      </c>
      <c r="V125" t="s">
        <v>74</v>
      </c>
      <c r="W125"/>
      <c r="X125"/>
      <c r="Y125" t="s">
        <v>21796</v>
      </c>
      <c r="Z125"/>
      <c r="AA125" t="s">
        <v>21797</v>
      </c>
      <c r="AB125"/>
      <c r="AC125"/>
      <c r="AD125"/>
      <c r="AE125"/>
      <c r="AF125" t="s">
        <v>21798</v>
      </c>
      <c r="AG125" t="n">
        <v>150</v>
      </c>
    </row>
    <row r="126">
      <c r="A126" t="s">
        <v>21799</v>
      </c>
      <c r="B126" t="s">
        <v>28</v>
      </c>
      <c r="C126" t="s">
        <v>65</v>
      </c>
      <c r="D126" t="s">
        <v>21800</v>
      </c>
      <c r="E126" t="s">
        <v>2836</v>
      </c>
      <c r="F126" t="s">
        <v>2724</v>
      </c>
      <c r="G126" t="s">
        <v>2837</v>
      </c>
      <c r="H126" t="n">
        <v>39.6513992552593</v>
      </c>
      <c r="I126" t="n">
        <v>-105.197999209242</v>
      </c>
      <c r="J126" t="s">
        <v>35</v>
      </c>
      <c r="K126"/>
      <c r="L126" t="s">
        <v>554</v>
      </c>
      <c r="M126" t="n">
        <v>1980</v>
      </c>
      <c r="N126" t="n">
        <v>1990</v>
      </c>
      <c r="O126" t="s">
        <v>283</v>
      </c>
      <c r="P126" t="n">
        <v>4</v>
      </c>
      <c r="Q126" t="n">
        <v>2</v>
      </c>
      <c r="R126" t="n">
        <v>2</v>
      </c>
      <c r="S126" t="n">
        <v>1970</v>
      </c>
      <c r="T126" t="s">
        <v>21801</v>
      </c>
      <c r="U126" t="s">
        <v>21802</v>
      </c>
      <c r="V126" t="s">
        <v>74</v>
      </c>
      <c r="W126"/>
      <c r="X126"/>
      <c r="Y126" t="s">
        <v>21803</v>
      </c>
      <c r="Z126"/>
      <c r="AA126"/>
      <c r="AB126"/>
      <c r="AC126"/>
      <c r="AD126"/>
      <c r="AE126"/>
      <c r="AF126" t="s">
        <v>21804</v>
      </c>
      <c r="AG126" t="n">
        <v>46</v>
      </c>
    </row>
    <row r="127">
      <c r="A127" t="s">
        <v>21805</v>
      </c>
      <c r="B127" t="s">
        <v>28</v>
      </c>
      <c r="C127" t="s">
        <v>65</v>
      </c>
      <c r="D127" t="s">
        <v>21806</v>
      </c>
      <c r="E127" t="s">
        <v>2729</v>
      </c>
      <c r="F127" t="s">
        <v>2724</v>
      </c>
      <c r="G127" t="s">
        <v>2730</v>
      </c>
      <c r="H127" t="n">
        <v>39.7982711483599</v>
      </c>
      <c r="I127" t="n">
        <v>-105.070359033703</v>
      </c>
      <c r="J127" t="s">
        <v>35</v>
      </c>
      <c r="K127"/>
      <c r="L127" t="s">
        <v>202</v>
      </c>
      <c r="M127" t="n">
        <v>1983</v>
      </c>
      <c r="N127" t="n">
        <v>1983</v>
      </c>
      <c r="O127" t="s">
        <v>264</v>
      </c>
      <c r="P127" t="n">
        <v>1</v>
      </c>
      <c r="Q127" t="n">
        <v>1</v>
      </c>
      <c r="R127" t="n">
        <v>1</v>
      </c>
      <c r="S127" t="n">
        <v>1968</v>
      </c>
      <c r="T127" t="s">
        <v>21807</v>
      </c>
      <c r="U127" t="s">
        <v>21808</v>
      </c>
      <c r="V127" t="s">
        <v>74</v>
      </c>
      <c r="W127"/>
      <c r="X127"/>
      <c r="Y127" t="s">
        <v>21809</v>
      </c>
      <c r="Z127"/>
      <c r="AA127"/>
      <c r="AB127" t="s">
        <v>10332</v>
      </c>
      <c r="AC127" t="n">
        <v>213</v>
      </c>
      <c r="AD127"/>
      <c r="AE127"/>
      <c r="AF127" t="s">
        <v>21810</v>
      </c>
      <c r="AG127" t="n">
        <v>84</v>
      </c>
    </row>
    <row r="128">
      <c r="A128" t="s">
        <v>21811</v>
      </c>
      <c r="B128" t="s">
        <v>28</v>
      </c>
      <c r="C128" t="s">
        <v>24</v>
      </c>
      <c r="D128" t="s">
        <v>21812</v>
      </c>
      <c r="E128" t="s">
        <v>3170</v>
      </c>
      <c r="F128" t="s">
        <v>3152</v>
      </c>
      <c r="G128" t="s">
        <v>3332</v>
      </c>
      <c r="H128" t="n">
        <v>40.523402</v>
      </c>
      <c r="I128" t="n">
        <v>-105.010658</v>
      </c>
      <c r="J128" t="s">
        <v>4109</v>
      </c>
      <c r="K128"/>
      <c r="L128" t="s">
        <v>2445</v>
      </c>
      <c r="M128" t="n">
        <v>1988</v>
      </c>
      <c r="N128" t="n">
        <v>1992</v>
      </c>
      <c r="O128" t="s">
        <v>320</v>
      </c>
      <c r="P128" t="n">
        <v>3</v>
      </c>
      <c r="Q128" t="n">
        <v>2</v>
      </c>
      <c r="R128" t="n">
        <v>2</v>
      </c>
      <c r="S128" t="n">
        <v>1976</v>
      </c>
      <c r="T128" t="s">
        <v>21813</v>
      </c>
      <c r="U128" t="s">
        <v>21814</v>
      </c>
      <c r="V128" t="s">
        <v>74</v>
      </c>
      <c r="W128"/>
      <c r="X128"/>
      <c r="Y128" t="s">
        <v>21815</v>
      </c>
      <c r="Z128"/>
      <c r="AA128" t="s">
        <v>21816</v>
      </c>
      <c r="AB128"/>
      <c r="AC128"/>
      <c r="AD128"/>
      <c r="AE128"/>
      <c r="AF128" t="s">
        <v>21817</v>
      </c>
      <c r="AG128" t="n">
        <v>202</v>
      </c>
    </row>
    <row r="129">
      <c r="A129" t="s">
        <v>21818</v>
      </c>
      <c r="B129" t="s">
        <v>28</v>
      </c>
      <c r="C129" t="s">
        <v>65</v>
      </c>
      <c r="D129" t="s">
        <v>21819</v>
      </c>
      <c r="E129" t="s">
        <v>3170</v>
      </c>
      <c r="F129" t="s">
        <v>3152</v>
      </c>
      <c r="G129" t="s">
        <v>3332</v>
      </c>
      <c r="H129" t="n">
        <v>40.562036</v>
      </c>
      <c r="I129" t="n">
        <v>-105.028833</v>
      </c>
      <c r="J129" t="s">
        <v>35</v>
      </c>
      <c r="K129"/>
      <c r="L129" t="s">
        <v>202</v>
      </c>
      <c r="M129" t="n">
        <v>1988</v>
      </c>
      <c r="N129" t="n">
        <v>1990</v>
      </c>
      <c r="O129" t="s">
        <v>310</v>
      </c>
      <c r="P129" t="n">
        <v>2</v>
      </c>
      <c r="Q129" t="n">
        <v>2</v>
      </c>
      <c r="R129" t="n">
        <v>2</v>
      </c>
      <c r="S129" t="n">
        <v>1987</v>
      </c>
      <c r="T129" t="s">
        <v>21820</v>
      </c>
      <c r="U129" t="s">
        <v>21821</v>
      </c>
      <c r="V129" t="s">
        <v>74</v>
      </c>
      <c r="W129"/>
      <c r="X129"/>
      <c r="Y129" t="s">
        <v>21822</v>
      </c>
      <c r="Z129"/>
      <c r="AA129"/>
      <c r="AB129"/>
      <c r="AC129"/>
      <c r="AD129"/>
      <c r="AE129"/>
      <c r="AF129" t="s">
        <v>21823</v>
      </c>
      <c r="AG129" t="n">
        <v>6</v>
      </c>
    </row>
    <row r="130">
      <c r="A130" t="s">
        <v>21824</v>
      </c>
      <c r="B130" t="s">
        <v>28</v>
      </c>
      <c r="C130" t="s">
        <v>65</v>
      </c>
      <c r="D130" t="s">
        <v>21825</v>
      </c>
      <c r="E130" t="s">
        <v>3170</v>
      </c>
      <c r="F130" t="s">
        <v>3152</v>
      </c>
      <c r="G130" t="s">
        <v>3332</v>
      </c>
      <c r="H130" t="n">
        <v>40.561351</v>
      </c>
      <c r="I130" t="n">
        <v>-105.028025</v>
      </c>
      <c r="J130" t="s">
        <v>35</v>
      </c>
      <c r="K130"/>
      <c r="L130" t="s">
        <v>202</v>
      </c>
      <c r="M130" t="n">
        <v>1988</v>
      </c>
      <c r="N130" t="n">
        <v>1992</v>
      </c>
      <c r="O130" t="s">
        <v>320</v>
      </c>
      <c r="P130" t="n">
        <v>3</v>
      </c>
      <c r="Q130" t="n">
        <v>4</v>
      </c>
      <c r="R130" t="n">
        <v>3</v>
      </c>
      <c r="S130" t="n">
        <v>1979</v>
      </c>
      <c r="T130" t="s">
        <v>21826</v>
      </c>
      <c r="U130" t="s">
        <v>21827</v>
      </c>
      <c r="V130" t="s">
        <v>74</v>
      </c>
      <c r="W130"/>
      <c r="X130"/>
      <c r="Y130" t="s">
        <v>21828</v>
      </c>
      <c r="Z130"/>
      <c r="AA130"/>
      <c r="AB130"/>
      <c r="AC130"/>
      <c r="AD130"/>
      <c r="AE130"/>
      <c r="AF130" t="s">
        <v>21829</v>
      </c>
      <c r="AG130" t="n">
        <v>2</v>
      </c>
    </row>
    <row r="131">
      <c r="A131" t="s">
        <v>21830</v>
      </c>
      <c r="B131" t="s">
        <v>28</v>
      </c>
      <c r="C131" t="s">
        <v>65</v>
      </c>
      <c r="D131" t="s">
        <v>21831</v>
      </c>
      <c r="E131" t="s">
        <v>3170</v>
      </c>
      <c r="F131" t="s">
        <v>3152</v>
      </c>
      <c r="G131" t="s">
        <v>3292</v>
      </c>
      <c r="H131" t="n">
        <v>40.5783514534529</v>
      </c>
      <c r="I131" t="n">
        <v>-105.008437112696</v>
      </c>
      <c r="J131" t="s">
        <v>35</v>
      </c>
      <c r="K131"/>
      <c r="L131" t="s">
        <v>2814</v>
      </c>
      <c r="M131" t="n">
        <v>1990</v>
      </c>
      <c r="N131" t="n">
        <v>1990</v>
      </c>
      <c r="O131" t="s">
        <v>351</v>
      </c>
      <c r="P131" t="n">
        <v>1</v>
      </c>
      <c r="Q131" t="n">
        <v>1</v>
      </c>
      <c r="R131" t="n">
        <v>1</v>
      </c>
      <c r="S131" t="n">
        <v>1981</v>
      </c>
      <c r="T131" t="s">
        <v>21832</v>
      </c>
      <c r="U131" t="s">
        <v>21833</v>
      </c>
      <c r="V131" t="s">
        <v>74</v>
      </c>
      <c r="W131"/>
      <c r="X131"/>
      <c r="Y131" t="s">
        <v>21834</v>
      </c>
      <c r="Z131"/>
      <c r="AA131" t="s">
        <v>21835</v>
      </c>
      <c r="AB131"/>
      <c r="AC131"/>
      <c r="AD131"/>
      <c r="AE131"/>
      <c r="AF131" t="s">
        <v>4827</v>
      </c>
      <c r="AG131" t="n">
        <v>15</v>
      </c>
    </row>
    <row r="132">
      <c r="A132" t="s">
        <v>21836</v>
      </c>
      <c r="B132" t="s">
        <v>28</v>
      </c>
      <c r="C132" t="s">
        <v>65</v>
      </c>
      <c r="D132" t="s">
        <v>21837</v>
      </c>
      <c r="E132" t="s">
        <v>3461</v>
      </c>
      <c r="F132" t="s">
        <v>3462</v>
      </c>
      <c r="G132" t="s">
        <v>3487</v>
      </c>
      <c r="H132" t="n">
        <v>39.077332</v>
      </c>
      <c r="I132" t="n">
        <v>-108.516383</v>
      </c>
      <c r="J132" t="s">
        <v>35</v>
      </c>
      <c r="K132"/>
      <c r="L132" t="s">
        <v>21838</v>
      </c>
      <c r="M132" t="n">
        <v>1966</v>
      </c>
      <c r="N132" t="n">
        <v>1977</v>
      </c>
      <c r="O132" t="s">
        <v>1830</v>
      </c>
      <c r="P132" t="n">
        <v>4</v>
      </c>
      <c r="Q132" t="n">
        <v>2</v>
      </c>
      <c r="R132" t="n">
        <v>1</v>
      </c>
      <c r="S132" t="n">
        <v>1963</v>
      </c>
      <c r="T132" t="s">
        <v>21839</v>
      </c>
      <c r="U132" t="s">
        <v>21840</v>
      </c>
      <c r="V132" t="s">
        <v>74</v>
      </c>
      <c r="W132"/>
      <c r="X132"/>
      <c r="Y132" t="s">
        <v>21841</v>
      </c>
      <c r="Z132"/>
      <c r="AA132" t="s">
        <v>21842</v>
      </c>
      <c r="AB132" t="s">
        <v>18044</v>
      </c>
      <c r="AC132" t="n">
        <v>163</v>
      </c>
      <c r="AD132"/>
      <c r="AE132"/>
      <c r="AF132" t="s">
        <v>21843</v>
      </c>
      <c r="AG132" t="n">
        <v>8</v>
      </c>
    </row>
    <row r="133">
      <c r="A133" t="s">
        <v>21844</v>
      </c>
      <c r="B133" t="s">
        <v>28</v>
      </c>
      <c r="C133" t="s">
        <v>65</v>
      </c>
      <c r="D133" t="s">
        <v>21845</v>
      </c>
      <c r="E133" t="s">
        <v>18522</v>
      </c>
      <c r="F133" t="s">
        <v>12479</v>
      </c>
      <c r="G133" t="s">
        <v>21846</v>
      </c>
      <c r="H133" t="n">
        <v>38.9974540113296</v>
      </c>
      <c r="I133" t="n">
        <v>-105.046860288298</v>
      </c>
      <c r="J133" t="s">
        <v>35</v>
      </c>
      <c r="K133"/>
      <c r="L133" t="s">
        <v>1310</v>
      </c>
      <c r="M133" t="n">
        <v>1988</v>
      </c>
      <c r="N133" t="n">
        <v>1990</v>
      </c>
      <c r="O133" t="s">
        <v>351</v>
      </c>
      <c r="P133" t="n">
        <v>2</v>
      </c>
      <c r="Q133" t="n">
        <v>2</v>
      </c>
      <c r="R133" t="n">
        <v>1</v>
      </c>
      <c r="S133" t="n">
        <v>1983</v>
      </c>
      <c r="T133" t="s">
        <v>21847</v>
      </c>
      <c r="U133" t="s">
        <v>21848</v>
      </c>
      <c r="V133" t="s">
        <v>74</v>
      </c>
      <c r="W133"/>
      <c r="X133"/>
      <c r="Y133" t="s">
        <v>21849</v>
      </c>
      <c r="Z133"/>
      <c r="AA133"/>
      <c r="AB133"/>
      <c r="AC133"/>
      <c r="AD133"/>
      <c r="AE133"/>
      <c r="AF133" t="s">
        <v>21850</v>
      </c>
      <c r="AG133" t="n">
        <v>100</v>
      </c>
    </row>
    <row r="134">
      <c r="A134" t="s">
        <v>21851</v>
      </c>
      <c r="B134" t="s">
        <v>28</v>
      </c>
      <c r="C134" t="s">
        <v>24</v>
      </c>
      <c r="D134" t="s">
        <v>21852</v>
      </c>
      <c r="E134" t="s">
        <v>12540</v>
      </c>
      <c r="F134" t="s">
        <v>3950</v>
      </c>
      <c r="G134" t="s">
        <v>12541</v>
      </c>
      <c r="H134" t="n">
        <v>40.0977555908827</v>
      </c>
      <c r="I134" t="n">
        <v>-104.940742309221</v>
      </c>
      <c r="J134" t="s">
        <v>4109</v>
      </c>
      <c r="K134"/>
      <c r="L134" t="s">
        <v>202</v>
      </c>
      <c r="M134" t="n">
        <v>1990</v>
      </c>
      <c r="N134" t="n">
        <v>1992</v>
      </c>
      <c r="O134" t="s">
        <v>351</v>
      </c>
      <c r="P134" t="n">
        <v>2</v>
      </c>
      <c r="Q134" t="n">
        <v>2</v>
      </c>
      <c r="R134" t="n">
        <v>1</v>
      </c>
      <c r="S134" t="n">
        <v>1973</v>
      </c>
      <c r="T134" t="s">
        <v>21853</v>
      </c>
      <c r="U134" t="s">
        <v>21854</v>
      </c>
      <c r="V134" t="s">
        <v>74</v>
      </c>
      <c r="W134"/>
      <c r="X134"/>
      <c r="Y134" t="s">
        <v>21855</v>
      </c>
      <c r="Z134"/>
      <c r="AA134"/>
      <c r="AB134"/>
      <c r="AC134"/>
      <c r="AD134"/>
      <c r="AE134"/>
      <c r="AF134" t="s">
        <v>21856</v>
      </c>
      <c r="AG134" t="n">
        <v>3</v>
      </c>
    </row>
    <row r="135">
      <c r="A135" t="s">
        <v>21857</v>
      </c>
      <c r="B135" t="s">
        <v>29</v>
      </c>
      <c r="C135" t="s">
        <v>65</v>
      </c>
      <c r="D135" t="s">
        <v>21858</v>
      </c>
      <c r="E135" t="s">
        <v>723</v>
      </c>
      <c r="F135" t="s">
        <v>724</v>
      </c>
      <c r="G135" t="s">
        <v>725</v>
      </c>
      <c r="H135" t="n">
        <v>40.0291937356322</v>
      </c>
      <c r="I135" t="n">
        <v>-105.252991298851</v>
      </c>
      <c r="J135" t="s">
        <v>35</v>
      </c>
      <c r="K135"/>
      <c r="L135" t="s">
        <v>202</v>
      </c>
      <c r="M135" t="n">
        <v>1973</v>
      </c>
      <c r="N135" t="n">
        <v>1983</v>
      </c>
      <c r="O135" t="s">
        <v>121</v>
      </c>
      <c r="P135" t="n">
        <v>3</v>
      </c>
      <c r="Q135" t="n">
        <v>2</v>
      </c>
      <c r="R135" t="n">
        <v>1</v>
      </c>
      <c r="S135" t="n">
        <v>1971</v>
      </c>
      <c r="T135" t="s">
        <v>21859</v>
      </c>
      <c r="U135" t="s">
        <v>21860</v>
      </c>
      <c r="V135" t="s">
        <v>74</v>
      </c>
      <c r="W135"/>
      <c r="X135"/>
      <c r="Y135"/>
      <c r="Z135" t="s">
        <v>21861</v>
      </c>
      <c r="AA135" t="s">
        <v>21862</v>
      </c>
      <c r="AB135"/>
      <c r="AC135"/>
      <c r="AD135" t="s">
        <v>13941</v>
      </c>
      <c r="AE135" t="n">
        <v>223</v>
      </c>
      <c r="AF135" t="s">
        <v>21863</v>
      </c>
      <c r="AG135" t="n">
        <v>59</v>
      </c>
    </row>
    <row r="136">
      <c r="A136" t="s">
        <v>21864</v>
      </c>
      <c r="B136" t="s">
        <v>27</v>
      </c>
      <c r="C136" t="s">
        <v>65</v>
      </c>
      <c r="D136" t="s">
        <v>21865</v>
      </c>
      <c r="E136" t="s">
        <v>738</v>
      </c>
      <c r="F136" t="s">
        <v>724</v>
      </c>
      <c r="G136" t="s">
        <v>739</v>
      </c>
      <c r="H136" t="n">
        <v>40.1479284777358</v>
      </c>
      <c r="I136" t="n">
        <v>-105.123223577672</v>
      </c>
      <c r="J136" t="s">
        <v>35</v>
      </c>
      <c r="K136"/>
      <c r="L136" t="s">
        <v>2445</v>
      </c>
      <c r="M136" t="n">
        <v>1980</v>
      </c>
      <c r="N136" t="n">
        <v>1990</v>
      </c>
      <c r="O136" t="s">
        <v>540</v>
      </c>
      <c r="P136" t="n">
        <v>4</v>
      </c>
      <c r="Q136" t="n">
        <v>1</v>
      </c>
      <c r="R136" t="n">
        <v>1</v>
      </c>
      <c r="S136" t="n">
        <v>1966</v>
      </c>
      <c r="T136" t="s">
        <v>21866</v>
      </c>
      <c r="U136" t="s">
        <v>21867</v>
      </c>
      <c r="V136" t="s">
        <v>74</v>
      </c>
      <c r="W136"/>
      <c r="X136" t="s">
        <v>21868</v>
      </c>
      <c r="Y136" t="s">
        <v>21869</v>
      </c>
      <c r="Z136"/>
      <c r="AA136" t="s">
        <v>21870</v>
      </c>
      <c r="AB136" t="s">
        <v>6403</v>
      </c>
      <c r="AC136" t="n">
        <v>156</v>
      </c>
      <c r="AD136" t="s">
        <v>6404</v>
      </c>
      <c r="AE136" t="n">
        <v>71</v>
      </c>
      <c r="AF136" t="s">
        <v>21871</v>
      </c>
      <c r="AG136" t="n">
        <v>3</v>
      </c>
    </row>
    <row r="137">
      <c r="A137" t="s">
        <v>21872</v>
      </c>
      <c r="B137" t="s">
        <v>27</v>
      </c>
      <c r="C137" t="s">
        <v>65</v>
      </c>
      <c r="D137" t="s">
        <v>21873</v>
      </c>
      <c r="E137" t="s">
        <v>723</v>
      </c>
      <c r="F137" t="s">
        <v>724</v>
      </c>
      <c r="G137" t="s">
        <v>817</v>
      </c>
      <c r="H137" t="n">
        <v>40.0273141725162</v>
      </c>
      <c r="I137" t="n">
        <v>-105.240370543188</v>
      </c>
      <c r="J137" t="s">
        <v>35</v>
      </c>
      <c r="K137"/>
      <c r="L137" t="s">
        <v>1808</v>
      </c>
      <c r="M137" t="n">
        <v>1990</v>
      </c>
      <c r="N137" t="n">
        <v>1990</v>
      </c>
      <c r="O137" t="s">
        <v>351</v>
      </c>
      <c r="P137" t="n">
        <v>1</v>
      </c>
      <c r="Q137" t="n">
        <v>1</v>
      </c>
      <c r="R137" t="n">
        <v>1</v>
      </c>
      <c r="S137" t="n">
        <v>1982</v>
      </c>
      <c r="T137" t="s">
        <v>21874</v>
      </c>
      <c r="U137" t="s">
        <v>21875</v>
      </c>
      <c r="V137" t="s">
        <v>74</v>
      </c>
      <c r="W137"/>
      <c r="X137" t="s">
        <v>21876</v>
      </c>
      <c r="Y137"/>
      <c r="Z137"/>
      <c r="AA137" t="s">
        <v>21877</v>
      </c>
      <c r="AB137"/>
      <c r="AC137"/>
      <c r="AD137" t="s">
        <v>915</v>
      </c>
      <c r="AE137" t="n">
        <v>61</v>
      </c>
      <c r="AF137" t="s">
        <v>19416</v>
      </c>
      <c r="AG137" t="n">
        <v>59</v>
      </c>
    </row>
    <row r="138">
      <c r="A138" t="s">
        <v>21878</v>
      </c>
      <c r="B138" t="s">
        <v>27</v>
      </c>
      <c r="C138" t="s">
        <v>65</v>
      </c>
      <c r="D138" t="s">
        <v>21879</v>
      </c>
      <c r="E138" t="s">
        <v>1164</v>
      </c>
      <c r="F138" t="s">
        <v>1165</v>
      </c>
      <c r="G138" t="s">
        <v>1166</v>
      </c>
      <c r="H138" t="n">
        <v>39.924916061544</v>
      </c>
      <c r="I138" t="n">
        <v>-105.091939838949</v>
      </c>
      <c r="J138" t="s">
        <v>35</v>
      </c>
      <c r="K138"/>
      <c r="L138" t="s">
        <v>1310</v>
      </c>
      <c r="M138" t="n">
        <v>1990</v>
      </c>
      <c r="N138" t="n">
        <v>1990</v>
      </c>
      <c r="O138" t="s">
        <v>351</v>
      </c>
      <c r="P138" t="n">
        <v>1</v>
      </c>
      <c r="Q138" t="n">
        <v>1</v>
      </c>
      <c r="R138" t="n">
        <v>1</v>
      </c>
      <c r="S138" t="n">
        <v>1987</v>
      </c>
      <c r="T138" t="s">
        <v>21880</v>
      </c>
      <c r="U138" t="s">
        <v>21881</v>
      </c>
      <c r="V138" t="s">
        <v>74</v>
      </c>
      <c r="W138"/>
      <c r="X138" t="s">
        <v>21882</v>
      </c>
      <c r="Y138" t="s">
        <v>21883</v>
      </c>
      <c r="Z138"/>
      <c r="AA138" t="s">
        <v>21884</v>
      </c>
      <c r="AB138"/>
      <c r="AC138"/>
      <c r="AD138" t="s">
        <v>14311</v>
      </c>
      <c r="AE138" t="n">
        <v>38</v>
      </c>
      <c r="AF138" t="s">
        <v>21885</v>
      </c>
      <c r="AG138" t="n">
        <v>38</v>
      </c>
    </row>
    <row r="139">
      <c r="A139" t="s">
        <v>21886</v>
      </c>
      <c r="B139" t="s">
        <v>27</v>
      </c>
      <c r="C139" t="s">
        <v>24</v>
      </c>
      <c r="D139" t="s">
        <v>21887</v>
      </c>
      <c r="E139" t="s">
        <v>1164</v>
      </c>
      <c r="F139" t="s">
        <v>1165</v>
      </c>
      <c r="G139" t="s">
        <v>1166</v>
      </c>
      <c r="H139" t="n">
        <v>39.9600640396822</v>
      </c>
      <c r="I139" t="n">
        <v>-105.120480525169</v>
      </c>
      <c r="J139" t="s">
        <v>4109</v>
      </c>
      <c r="K139"/>
      <c r="L139" t="s">
        <v>554</v>
      </c>
      <c r="M139" t="n">
        <v>1990</v>
      </c>
      <c r="N139" t="n">
        <v>1990</v>
      </c>
      <c r="O139" t="s">
        <v>351</v>
      </c>
      <c r="P139" t="n">
        <v>1</v>
      </c>
      <c r="Q139" t="n">
        <v>1</v>
      </c>
      <c r="R139" t="n">
        <v>1</v>
      </c>
      <c r="S139" t="n">
        <v>1976</v>
      </c>
      <c r="T139" t="s">
        <v>21888</v>
      </c>
      <c r="U139" t="s">
        <v>21889</v>
      </c>
      <c r="V139" t="s">
        <v>74</v>
      </c>
      <c r="W139"/>
      <c r="X139" t="s">
        <v>21890</v>
      </c>
      <c r="Y139" t="s">
        <v>21891</v>
      </c>
      <c r="Z139"/>
      <c r="AA139" t="s">
        <v>21892</v>
      </c>
      <c r="AB139"/>
      <c r="AC139"/>
      <c r="AD139" t="s">
        <v>1140</v>
      </c>
      <c r="AE139" t="n">
        <v>132</v>
      </c>
      <c r="AF139" t="s">
        <v>21893</v>
      </c>
      <c r="AG139" t="n">
        <v>43</v>
      </c>
    </row>
    <row r="140">
      <c r="A140" t="s">
        <v>21894</v>
      </c>
      <c r="B140" t="s">
        <v>27</v>
      </c>
      <c r="C140" t="s">
        <v>24</v>
      </c>
      <c r="D140" t="s">
        <v>21895</v>
      </c>
      <c r="E140" t="s">
        <v>79</v>
      </c>
      <c r="F140" t="s">
        <v>1274</v>
      </c>
      <c r="G140" t="s">
        <v>1440</v>
      </c>
      <c r="H140" t="n">
        <v>39.7595745971763</v>
      </c>
      <c r="I140" t="n">
        <v>-105.008508590892</v>
      </c>
      <c r="J140" t="s">
        <v>4109</v>
      </c>
      <c r="K140"/>
      <c r="L140" t="s">
        <v>554</v>
      </c>
      <c r="M140" t="n">
        <v>1980</v>
      </c>
      <c r="N140" t="n">
        <v>1990</v>
      </c>
      <c r="O140" t="s">
        <v>264</v>
      </c>
      <c r="P140" t="n">
        <v>3</v>
      </c>
      <c r="Q140" t="n">
        <v>1</v>
      </c>
      <c r="R140" t="n">
        <v>1</v>
      </c>
      <c r="S140" t="n">
        <v>1964</v>
      </c>
      <c r="T140" t="s">
        <v>21896</v>
      </c>
      <c r="U140" t="s">
        <v>21897</v>
      </c>
      <c r="V140" t="s">
        <v>74</v>
      </c>
      <c r="W140"/>
      <c r="X140" t="s">
        <v>21898</v>
      </c>
      <c r="Y140" t="s">
        <v>21899</v>
      </c>
      <c r="Z140"/>
      <c r="AA140"/>
      <c r="AB140" t="s">
        <v>21900</v>
      </c>
      <c r="AC140" t="n">
        <v>197</v>
      </c>
      <c r="AD140" t="s">
        <v>1278</v>
      </c>
      <c r="AE140" t="n">
        <v>37</v>
      </c>
      <c r="AF140" t="s">
        <v>1279</v>
      </c>
      <c r="AG140" t="n">
        <v>137</v>
      </c>
    </row>
    <row r="141">
      <c r="A141" t="s">
        <v>21901</v>
      </c>
      <c r="B141" t="s">
        <v>27</v>
      </c>
      <c r="C141" t="s">
        <v>65</v>
      </c>
      <c r="D141" t="s">
        <v>21902</v>
      </c>
      <c r="E141" t="s">
        <v>79</v>
      </c>
      <c r="F141" t="s">
        <v>1274</v>
      </c>
      <c r="G141" t="s">
        <v>1653</v>
      </c>
      <c r="H141" t="n">
        <v>39.7772176865812</v>
      </c>
      <c r="I141" t="n">
        <v>-104.926991386186</v>
      </c>
      <c r="J141" t="s">
        <v>35</v>
      </c>
      <c r="K141"/>
      <c r="L141" t="s">
        <v>202</v>
      </c>
      <c r="M141" t="n">
        <v>1988</v>
      </c>
      <c r="N141" t="n">
        <v>1992</v>
      </c>
      <c r="O141" t="s">
        <v>351</v>
      </c>
      <c r="P141" t="n">
        <v>3</v>
      </c>
      <c r="Q141" t="n">
        <v>2</v>
      </c>
      <c r="R141" t="n">
        <v>1</v>
      </c>
      <c r="S141" t="n">
        <v>1951</v>
      </c>
      <c r="T141" t="s">
        <v>21903</v>
      </c>
      <c r="U141" t="s">
        <v>21904</v>
      </c>
      <c r="V141" t="s">
        <v>74</v>
      </c>
      <c r="W141"/>
      <c r="X141" t="s">
        <v>21905</v>
      </c>
      <c r="Y141"/>
      <c r="Z141"/>
      <c r="AA141" t="s">
        <v>21906</v>
      </c>
      <c r="AB141"/>
      <c r="AC141"/>
      <c r="AD141" t="s">
        <v>8073</v>
      </c>
      <c r="AE141" t="n">
        <v>59</v>
      </c>
      <c r="AF141" t="s">
        <v>18132</v>
      </c>
      <c r="AG141" t="n">
        <v>73</v>
      </c>
    </row>
    <row r="142">
      <c r="A142" t="s">
        <v>21907</v>
      </c>
      <c r="B142" t="s">
        <v>27</v>
      </c>
      <c r="C142" t="s">
        <v>24</v>
      </c>
      <c r="D142" t="s">
        <v>21908</v>
      </c>
      <c r="E142" t="s">
        <v>79</v>
      </c>
      <c r="F142" t="s">
        <v>1274</v>
      </c>
      <c r="G142" t="s">
        <v>1440</v>
      </c>
      <c r="H142" t="n">
        <v>39.7605023061224</v>
      </c>
      <c r="I142" t="n">
        <v>-105.009722061224</v>
      </c>
      <c r="J142" t="s">
        <v>4109</v>
      </c>
      <c r="K142"/>
      <c r="L142" t="s">
        <v>554</v>
      </c>
      <c r="M142" t="n">
        <v>1988</v>
      </c>
      <c r="N142" t="n">
        <v>1988</v>
      </c>
      <c r="O142" t="s">
        <v>325</v>
      </c>
      <c r="P142" t="n">
        <v>1</v>
      </c>
      <c r="Q142" t="n">
        <v>1</v>
      </c>
      <c r="R142" t="n">
        <v>1</v>
      </c>
      <c r="S142" t="n">
        <v>1964</v>
      </c>
      <c r="T142" t="s">
        <v>21909</v>
      </c>
      <c r="U142" t="s">
        <v>21910</v>
      </c>
      <c r="V142" t="s">
        <v>74</v>
      </c>
      <c r="W142"/>
      <c r="X142" t="s">
        <v>21911</v>
      </c>
      <c r="Y142" t="s">
        <v>21912</v>
      </c>
      <c r="Z142"/>
      <c r="AA142"/>
      <c r="AB142" t="s">
        <v>1341</v>
      </c>
      <c r="AC142" t="n">
        <v>179</v>
      </c>
      <c r="AD142" t="s">
        <v>1278</v>
      </c>
      <c r="AE142" t="n">
        <v>109</v>
      </c>
      <c r="AF142" t="s">
        <v>1279</v>
      </c>
      <c r="AG142" t="n">
        <v>9</v>
      </c>
    </row>
    <row r="143">
      <c r="A143" t="s">
        <v>21913</v>
      </c>
      <c r="B143" t="s">
        <v>27</v>
      </c>
      <c r="C143" t="s">
        <v>24</v>
      </c>
      <c r="D143" t="s">
        <v>21914</v>
      </c>
      <c r="E143" t="s">
        <v>2220</v>
      </c>
      <c r="F143" t="s">
        <v>2221</v>
      </c>
      <c r="G143" t="s">
        <v>2222</v>
      </c>
      <c r="H143" t="n">
        <v>39.3763276333862</v>
      </c>
      <c r="I143" t="n">
        <v>-104.868725093532</v>
      </c>
      <c r="J143" t="s">
        <v>4109</v>
      </c>
      <c r="K143"/>
      <c r="L143" t="s">
        <v>2901</v>
      </c>
      <c r="M143" t="n">
        <v>1992</v>
      </c>
      <c r="N143" t="n">
        <v>1992</v>
      </c>
      <c r="O143" t="s">
        <v>1016</v>
      </c>
      <c r="P143" t="n">
        <v>1</v>
      </c>
      <c r="Q143" t="n">
        <v>1</v>
      </c>
      <c r="R143" t="n">
        <v>1</v>
      </c>
      <c r="S143"/>
      <c r="T143" t="s">
        <v>21915</v>
      </c>
      <c r="U143" t="s">
        <v>21916</v>
      </c>
      <c r="V143" t="s">
        <v>74</v>
      </c>
      <c r="W143"/>
      <c r="X143" t="s">
        <v>21917</v>
      </c>
      <c r="Y143" t="s">
        <v>21918</v>
      </c>
      <c r="Z143"/>
      <c r="AA143" t="s">
        <v>21919</v>
      </c>
      <c r="AB143"/>
      <c r="AC143"/>
      <c r="AD143" t="s">
        <v>16281</v>
      </c>
      <c r="AE143" t="n">
        <v>233</v>
      </c>
      <c r="AF143" t="s">
        <v>16282</v>
      </c>
      <c r="AG143" t="n">
        <v>91</v>
      </c>
    </row>
    <row r="144">
      <c r="A144" t="s">
        <v>21920</v>
      </c>
      <c r="B144" t="s">
        <v>27</v>
      </c>
      <c r="C144" t="s">
        <v>24</v>
      </c>
      <c r="D144" t="s">
        <v>21921</v>
      </c>
      <c r="E144" t="s">
        <v>2272</v>
      </c>
      <c r="F144" t="s">
        <v>2267</v>
      </c>
      <c r="G144"/>
      <c r="H144" t="n">
        <v>38.8814184489257</v>
      </c>
      <c r="I144" t="n">
        <v>-104.821123992721</v>
      </c>
      <c r="J144" t="s">
        <v>4109</v>
      </c>
      <c r="K144"/>
      <c r="L144" t="s">
        <v>202</v>
      </c>
      <c r="M144" t="n">
        <v>1967</v>
      </c>
      <c r="N144" t="n">
        <v>1990</v>
      </c>
      <c r="O144" t="s">
        <v>388</v>
      </c>
      <c r="P144" t="n">
        <v>3</v>
      </c>
      <c r="Q144" t="n">
        <v>3</v>
      </c>
      <c r="R144" t="n">
        <v>1</v>
      </c>
      <c r="S144" t="n">
        <v>1966</v>
      </c>
      <c r="T144" t="s">
        <v>21922</v>
      </c>
      <c r="U144" t="s">
        <v>21923</v>
      </c>
      <c r="V144" t="s">
        <v>74</v>
      </c>
      <c r="W144"/>
      <c r="X144" t="s">
        <v>21924</v>
      </c>
      <c r="Y144" t="s">
        <v>21925</v>
      </c>
      <c r="Z144" t="s">
        <v>21926</v>
      </c>
      <c r="AA144" t="s">
        <v>21927</v>
      </c>
      <c r="AB144"/>
      <c r="AC144"/>
      <c r="AD144" t="s">
        <v>16353</v>
      </c>
      <c r="AE144" t="n">
        <v>154</v>
      </c>
      <c r="AF144" t="s">
        <v>20273</v>
      </c>
      <c r="AG144" t="n">
        <v>38</v>
      </c>
    </row>
    <row r="145">
      <c r="A145" t="s">
        <v>21928</v>
      </c>
      <c r="B145" t="s">
        <v>27</v>
      </c>
      <c r="C145" t="s">
        <v>65</v>
      </c>
      <c r="D145" t="s">
        <v>21929</v>
      </c>
      <c r="E145" t="s">
        <v>2272</v>
      </c>
      <c r="F145" t="s">
        <v>2267</v>
      </c>
      <c r="G145" t="s">
        <v>2530</v>
      </c>
      <c r="H145" t="n">
        <v>38.8095677241274</v>
      </c>
      <c r="I145" t="n">
        <v>-104.733729803323</v>
      </c>
      <c r="J145" t="s">
        <v>35</v>
      </c>
      <c r="K145"/>
      <c r="L145" t="s">
        <v>2814</v>
      </c>
      <c r="M145" t="n">
        <v>1988</v>
      </c>
      <c r="N145" t="n">
        <v>1992</v>
      </c>
      <c r="O145" t="s">
        <v>320</v>
      </c>
      <c r="P145" t="n">
        <v>3</v>
      </c>
      <c r="Q145" t="n">
        <v>1</v>
      </c>
      <c r="R145" t="n">
        <v>1</v>
      </c>
      <c r="S145" t="n">
        <v>1975</v>
      </c>
      <c r="T145" t="s">
        <v>21930</v>
      </c>
      <c r="U145" t="s">
        <v>21931</v>
      </c>
      <c r="V145" t="s">
        <v>74</v>
      </c>
      <c r="W145"/>
      <c r="X145" t="s">
        <v>21932</v>
      </c>
      <c r="Y145" t="s">
        <v>21933</v>
      </c>
      <c r="Z145"/>
      <c r="AA145" t="s">
        <v>21934</v>
      </c>
      <c r="AB145"/>
      <c r="AC145"/>
      <c r="AD145" t="s">
        <v>21935</v>
      </c>
      <c r="AE145" t="n">
        <v>0</v>
      </c>
      <c r="AF145" t="s">
        <v>21936</v>
      </c>
      <c r="AG145" t="n">
        <v>28</v>
      </c>
    </row>
    <row r="146">
      <c r="A146" t="s">
        <v>21937</v>
      </c>
      <c r="B146" t="s">
        <v>27</v>
      </c>
      <c r="C146" t="s">
        <v>65</v>
      </c>
      <c r="D146" t="s">
        <v>21938</v>
      </c>
      <c r="E146" t="s">
        <v>2272</v>
      </c>
      <c r="F146" t="s">
        <v>2267</v>
      </c>
      <c r="G146" t="s">
        <v>2444</v>
      </c>
      <c r="H146" t="n">
        <v>38.8462045962025</v>
      </c>
      <c r="I146" t="n">
        <v>-104.715140096845</v>
      </c>
      <c r="J146" t="s">
        <v>35</v>
      </c>
      <c r="K146"/>
      <c r="L146" t="s">
        <v>202</v>
      </c>
      <c r="M146" t="n">
        <v>1988</v>
      </c>
      <c r="N146" t="n">
        <v>1990</v>
      </c>
      <c r="O146" t="s">
        <v>310</v>
      </c>
      <c r="P146" t="n">
        <v>2</v>
      </c>
      <c r="Q146" t="n">
        <v>1</v>
      </c>
      <c r="R146" t="n">
        <v>1</v>
      </c>
      <c r="S146" t="n">
        <v>1979</v>
      </c>
      <c r="T146" t="s">
        <v>21939</v>
      </c>
      <c r="U146" t="s">
        <v>21940</v>
      </c>
      <c r="V146" t="s">
        <v>74</v>
      </c>
      <c r="W146"/>
      <c r="X146" t="s">
        <v>21941</v>
      </c>
      <c r="Y146"/>
      <c r="Z146"/>
      <c r="AA146"/>
      <c r="AB146"/>
      <c r="AC146"/>
      <c r="AD146" t="s">
        <v>16542</v>
      </c>
      <c r="AE146" t="n">
        <v>70</v>
      </c>
      <c r="AF146" t="s">
        <v>2626</v>
      </c>
      <c r="AG146" t="n">
        <v>235</v>
      </c>
    </row>
    <row r="147">
      <c r="A147" t="s">
        <v>21942</v>
      </c>
      <c r="B147" t="s">
        <v>27</v>
      </c>
      <c r="C147" t="s">
        <v>65</v>
      </c>
      <c r="D147" t="s">
        <v>21943</v>
      </c>
      <c r="E147" t="s">
        <v>2272</v>
      </c>
      <c r="F147" t="s">
        <v>2267</v>
      </c>
      <c r="G147" t="s">
        <v>4608</v>
      </c>
      <c r="H147" t="n">
        <v>38.9022528114809</v>
      </c>
      <c r="I147" t="n">
        <v>-104.855459553484</v>
      </c>
      <c r="J147" t="s">
        <v>35</v>
      </c>
      <c r="K147"/>
      <c r="L147" t="s">
        <v>1002</v>
      </c>
      <c r="M147" t="n">
        <v>1990</v>
      </c>
      <c r="N147" t="n">
        <v>1990</v>
      </c>
      <c r="O147" t="s">
        <v>351</v>
      </c>
      <c r="P147" t="n">
        <v>1</v>
      </c>
      <c r="Q147" t="n">
        <v>1</v>
      </c>
      <c r="R147" t="n">
        <v>1</v>
      </c>
      <c r="S147"/>
      <c r="T147" t="s">
        <v>21944</v>
      </c>
      <c r="U147" t="s">
        <v>21945</v>
      </c>
      <c r="V147" t="s">
        <v>74</v>
      </c>
      <c r="W147"/>
      <c r="X147" t="s">
        <v>21946</v>
      </c>
      <c r="Y147" t="s">
        <v>21947</v>
      </c>
      <c r="Z147"/>
      <c r="AA147"/>
      <c r="AB147"/>
      <c r="AC147"/>
      <c r="AD147" t="s">
        <v>21948</v>
      </c>
      <c r="AE147" t="n">
        <v>93</v>
      </c>
      <c r="AF147" t="s">
        <v>21949</v>
      </c>
      <c r="AG147" t="n">
        <v>17</v>
      </c>
    </row>
    <row r="148">
      <c r="A148" t="s">
        <v>21950</v>
      </c>
      <c r="B148" t="s">
        <v>27</v>
      </c>
      <c r="C148" t="s">
        <v>24</v>
      </c>
      <c r="D148" t="s">
        <v>21951</v>
      </c>
      <c r="E148" t="s">
        <v>386</v>
      </c>
      <c r="F148" t="s">
        <v>2724</v>
      </c>
      <c r="G148" t="s">
        <v>2809</v>
      </c>
      <c r="H148" t="n">
        <v>39.5687564578313</v>
      </c>
      <c r="I148" t="n">
        <v>-105.119166771084</v>
      </c>
      <c r="J148" t="s">
        <v>4109</v>
      </c>
      <c r="K148"/>
      <c r="L148" t="s">
        <v>1310</v>
      </c>
      <c r="M148" t="n">
        <v>1988</v>
      </c>
      <c r="N148" t="n">
        <v>1988</v>
      </c>
      <c r="O148" t="s">
        <v>325</v>
      </c>
      <c r="P148" t="n">
        <v>1</v>
      </c>
      <c r="Q148" t="n">
        <v>1</v>
      </c>
      <c r="R148" t="n">
        <v>1</v>
      </c>
      <c r="S148" t="n">
        <v>1984</v>
      </c>
      <c r="T148" t="s">
        <v>21952</v>
      </c>
      <c r="U148" t="s">
        <v>21953</v>
      </c>
      <c r="V148" t="s">
        <v>74</v>
      </c>
      <c r="W148"/>
      <c r="X148" t="s">
        <v>21954</v>
      </c>
      <c r="Y148" t="s">
        <v>21955</v>
      </c>
      <c r="Z148"/>
      <c r="AA148" t="s">
        <v>21956</v>
      </c>
      <c r="AB148"/>
      <c r="AC148"/>
      <c r="AD148" t="s">
        <v>3014</v>
      </c>
      <c r="AE148" t="n">
        <v>193</v>
      </c>
      <c r="AF148" t="s">
        <v>3014</v>
      </c>
      <c r="AG148" t="n">
        <v>17</v>
      </c>
    </row>
    <row r="149">
      <c r="A149" t="s">
        <v>21957</v>
      </c>
      <c r="B149" t="s">
        <v>27</v>
      </c>
      <c r="C149" t="s">
        <v>24</v>
      </c>
      <c r="D149" t="s">
        <v>21958</v>
      </c>
      <c r="E149" t="s">
        <v>3170</v>
      </c>
      <c r="F149" t="s">
        <v>3152</v>
      </c>
      <c r="G149" t="s">
        <v>3332</v>
      </c>
      <c r="H149" t="n">
        <v>40.565311</v>
      </c>
      <c r="I149" t="n">
        <v>-105.033607</v>
      </c>
      <c r="J149" t="s">
        <v>4109</v>
      </c>
      <c r="K149"/>
      <c r="L149" t="s">
        <v>2814</v>
      </c>
      <c r="M149" t="n">
        <v>1990</v>
      </c>
      <c r="N149" t="n">
        <v>1990</v>
      </c>
      <c r="O149" t="s">
        <v>351</v>
      </c>
      <c r="P149" t="n">
        <v>1</v>
      </c>
      <c r="Q149" t="n">
        <v>1</v>
      </c>
      <c r="R149" t="n">
        <v>1</v>
      </c>
      <c r="S149" t="n">
        <v>1981</v>
      </c>
      <c r="T149" t="s">
        <v>21959</v>
      </c>
      <c r="U149" t="s">
        <v>21960</v>
      </c>
      <c r="V149" t="s">
        <v>74</v>
      </c>
      <c r="W149"/>
      <c r="X149" t="s">
        <v>21961</v>
      </c>
      <c r="Y149" t="s">
        <v>21962</v>
      </c>
      <c r="Z149"/>
      <c r="AA149" t="s">
        <v>21963</v>
      </c>
      <c r="AB149"/>
      <c r="AC149"/>
      <c r="AD149" t="s">
        <v>21964</v>
      </c>
      <c r="AE149" t="n">
        <v>166</v>
      </c>
      <c r="AF149" t="s">
        <v>21964</v>
      </c>
      <c r="AG149" t="n">
        <v>161</v>
      </c>
    </row>
    <row r="150">
      <c r="A150" t="s">
        <v>21965</v>
      </c>
      <c r="B150" t="s">
        <v>27</v>
      </c>
      <c r="C150" t="s">
        <v>65</v>
      </c>
      <c r="D150" t="s">
        <v>21966</v>
      </c>
      <c r="E150" t="s">
        <v>3151</v>
      </c>
      <c r="F150" t="s">
        <v>3152</v>
      </c>
      <c r="G150" t="s">
        <v>3163</v>
      </c>
      <c r="H150" t="n">
        <v>40.397874640288</v>
      </c>
      <c r="I150" t="n">
        <v>-105.044689170436</v>
      </c>
      <c r="J150" t="s">
        <v>35</v>
      </c>
      <c r="K150"/>
      <c r="L150" t="s">
        <v>2204</v>
      </c>
      <c r="M150" t="n">
        <v>1990</v>
      </c>
      <c r="N150" t="n">
        <v>1992</v>
      </c>
      <c r="O150" t="s">
        <v>351</v>
      </c>
      <c r="P150" t="n">
        <v>2</v>
      </c>
      <c r="Q150" t="n">
        <v>1</v>
      </c>
      <c r="R150" t="n">
        <v>1</v>
      </c>
      <c r="S150" t="n">
        <v>1983</v>
      </c>
      <c r="T150" t="s">
        <v>21967</v>
      </c>
      <c r="U150" t="s">
        <v>21968</v>
      </c>
      <c r="V150" t="s">
        <v>74</v>
      </c>
      <c r="W150"/>
      <c r="X150" t="s">
        <v>21969</v>
      </c>
      <c r="Y150" t="s">
        <v>21970</v>
      </c>
      <c r="Z150"/>
      <c r="AA150" t="s">
        <v>21971</v>
      </c>
      <c r="AB150"/>
      <c r="AC150"/>
      <c r="AD150" t="s">
        <v>21972</v>
      </c>
      <c r="AE150" t="n">
        <v>53</v>
      </c>
      <c r="AF150" t="s">
        <v>21973</v>
      </c>
      <c r="AG150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9.71" hidden="0" customWidth="1"/>
    <col min="5" max="5" width="19.71" hidden="0" customWidth="1"/>
    <col min="6" max="6" width="60.71" hidden="0" customWidth="1"/>
  </cols>
  <sheetData>
    <row r="1">
      <c r="A1" s="1" t="s">
        <v>21974</v>
      </c>
      <c r="B1" s="1" t="s">
        <v>21975</v>
      </c>
      <c r="C1" s="1" t="s">
        <v>21976</v>
      </c>
      <c r="D1" s="1" t="s">
        <v>21977</v>
      </c>
      <c r="E1" s="1" t="s">
        <v>21978</v>
      </c>
      <c r="F1" s="1" t="s">
        <v>21979</v>
      </c>
    </row>
    <row r="2">
      <c r="A2" t="n">
        <v>1965</v>
      </c>
      <c r="B2" t="n">
        <v>2338</v>
      </c>
      <c r="C2" t="n">
        <v>626</v>
      </c>
      <c r="D2" s="4" t="n">
        <v>0</v>
      </c>
      <c r="E2" s="4" t="n">
        <v>0.28956372968349</v>
      </c>
      <c r="F2" t="s">
        <v>21980</v>
      </c>
    </row>
    <row r="3">
      <c r="A3" t="n">
        <v>1966</v>
      </c>
      <c r="B3" t="n">
        <v>2406</v>
      </c>
      <c r="C3" t="n">
        <v>547</v>
      </c>
      <c r="D3" s="4" t="n">
        <v>0.845386533665835</v>
      </c>
      <c r="E3" s="4" t="n">
        <v>0.480049875311721</v>
      </c>
      <c r="F3" t="s">
        <v>21981</v>
      </c>
    </row>
    <row r="4">
      <c r="A4" t="n">
        <v>1967</v>
      </c>
      <c r="B4" t="n">
        <v>2446</v>
      </c>
      <c r="C4" t="n">
        <v>742</v>
      </c>
      <c r="D4" s="4" t="n">
        <v>0.670482420278005</v>
      </c>
      <c r="E4" s="4" t="n">
        <v>0.359362224039248</v>
      </c>
      <c r="F4" t="s">
        <v>21982</v>
      </c>
    </row>
    <row r="5">
      <c r="A5" t="n">
        <v>1968</v>
      </c>
      <c r="B5" t="n">
        <v>2508</v>
      </c>
      <c r="C5" t="n">
        <v>893</v>
      </c>
      <c r="D5" s="4" t="n">
        <v>0.779106858054227</v>
      </c>
      <c r="E5" s="4" t="n">
        <v>0.513955342902711</v>
      </c>
      <c r="F5" t="s">
        <v>21983</v>
      </c>
    </row>
    <row r="6">
      <c r="A6" t="n">
        <v>1970</v>
      </c>
      <c r="B6" t="n">
        <v>2775</v>
      </c>
      <c r="C6" t="n">
        <v>786</v>
      </c>
      <c r="D6" s="4" t="n">
        <v>0.654774774774775</v>
      </c>
      <c r="E6" s="4" t="n">
        <v>0.371171171171171</v>
      </c>
      <c r="F6" t="s">
        <v>21984</v>
      </c>
    </row>
    <row r="7">
      <c r="A7" t="n">
        <v>1973</v>
      </c>
      <c r="B7" t="n">
        <v>2976</v>
      </c>
      <c r="C7" t="n">
        <v>1011</v>
      </c>
      <c r="D7" s="4" t="n">
        <v>0.813508064516129</v>
      </c>
      <c r="E7" s="4" t="n">
        <v>0.519153225806452</v>
      </c>
      <c r="F7" t="s">
        <v>21985</v>
      </c>
    </row>
    <row r="8">
      <c r="A8" t="n">
        <v>1974</v>
      </c>
      <c r="B8" t="n">
        <v>3103</v>
      </c>
      <c r="C8" t="n">
        <v>1101</v>
      </c>
      <c r="D8" s="4" t="n">
        <v>0.79890428617467</v>
      </c>
      <c r="E8" s="4" t="n">
        <v>0.538511118272639</v>
      </c>
      <c r="F8" t="s">
        <v>21986</v>
      </c>
    </row>
    <row r="9">
      <c r="A9" t="n">
        <v>1977</v>
      </c>
      <c r="B9" t="n">
        <v>3271</v>
      </c>
      <c r="C9" t="n">
        <v>981</v>
      </c>
      <c r="D9" s="4" t="n">
        <v>0.741057780495261</v>
      </c>
      <c r="E9" s="4" t="n">
        <v>0.416080709263222</v>
      </c>
      <c r="F9" t="s">
        <v>21987</v>
      </c>
    </row>
    <row r="10">
      <c r="A10" t="n">
        <v>1980</v>
      </c>
      <c r="B10" t="n">
        <v>3876</v>
      </c>
      <c r="C10" t="n">
        <v>1415</v>
      </c>
      <c r="D10" s="4" t="n">
        <v>0.89422084623323</v>
      </c>
      <c r="E10" s="4" t="n">
        <v>0.6671826625387</v>
      </c>
      <c r="F10" t="s">
        <v>21988</v>
      </c>
    </row>
    <row r="11">
      <c r="A11" t="n">
        <v>1983</v>
      </c>
      <c r="B11" t="n">
        <v>4299</v>
      </c>
      <c r="C11" t="n">
        <v>1580</v>
      </c>
      <c r="D11" s="4" t="n">
        <v>0.921377064433589</v>
      </c>
      <c r="E11" s="4" t="n">
        <v>0.69806931844615</v>
      </c>
      <c r="F11" t="s">
        <v>21989</v>
      </c>
    </row>
    <row r="12">
      <c r="A12" t="n">
        <v>1988</v>
      </c>
      <c r="B12" t="n">
        <v>4179</v>
      </c>
      <c r="C12" t="n">
        <v>1564</v>
      </c>
      <c r="D12" s="4" t="n">
        <v>0.760229720028715</v>
      </c>
      <c r="E12" s="4" t="n">
        <v>0.575975113663556</v>
      </c>
      <c r="F12" t="s">
        <v>21990</v>
      </c>
    </row>
    <row r="13">
      <c r="A13" t="n">
        <v>1990</v>
      </c>
      <c r="B13" t="n">
        <v>4484</v>
      </c>
      <c r="C13" t="n">
        <v>1581</v>
      </c>
      <c r="D13" s="4" t="n">
        <v>0.90700267618198</v>
      </c>
      <c r="E13" s="4" t="n">
        <v>0.787243532560214</v>
      </c>
      <c r="F13" t="s">
        <v>21991</v>
      </c>
    </row>
    <row r="14">
      <c r="A14" t="n">
        <v>1992</v>
      </c>
      <c r="B14" t="n">
        <v>3326</v>
      </c>
      <c r="C14" t="n">
        <v>1112</v>
      </c>
      <c r="D14" s="4" t="n">
        <v>0.609440769693325</v>
      </c>
      <c r="E14" s="4" t="n">
        <v>0.37282020444979</v>
      </c>
      <c r="F14" t="s">
        <v>21992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priyanka</dc:creator>
  <cp:lastModifiedBy>priyanka</cp:lastModifiedBy>
  <dcterms:created xsi:type="dcterms:W3CDTF">2026-10-29T11:36:56Z</dcterms:created>
</coreProperties>
</file>